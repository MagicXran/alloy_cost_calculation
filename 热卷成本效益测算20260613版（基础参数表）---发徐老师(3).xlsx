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ercar\YongFeng\materials\alloy_cost_calculation\"/>
    </mc:Choice>
  </mc:AlternateContent>
  <xr:revisionPtr revIDLastSave="0" documentId="13_ncr:1_{A89A81C9-E483-44B5-A8A1-DAC0D4686C29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炼钢参数表" sheetId="41" r:id="rId1"/>
    <sheet name="1.合金成本" sheetId="40" r:id="rId2"/>
    <sheet name="增碳分析" sheetId="60" state="hidden" r:id="rId3"/>
  </sheets>
  <externalReferences>
    <externalReference r:id="rId4"/>
    <externalReference r:id="rId5"/>
    <externalReference r:id="rId6"/>
    <externalReference r:id="rId7"/>
  </externalReferences>
  <definedNames>
    <definedName name="__LockDescription__" hidden="1">"ENCODE_"</definedName>
    <definedName name="__LockFormula__" hidden="1">"ENCODE_"</definedName>
    <definedName name="__RptEndPeriod__" hidden="1">"ENCODE_NgA="</definedName>
    <definedName name="__RptEndPeriod___1" hidden="1">"ENCODE_NAA="</definedName>
    <definedName name="__RptEndPeriod___2" hidden="1">"ENCODE_NwA="</definedName>
    <definedName name="__RptGroupCurrency__" hidden="1">"ENCODE_"</definedName>
    <definedName name="__RptPeriod__" hidden="1">"ENCODE_NgA="</definedName>
    <definedName name="__RptPeriod___1" hidden="1">"ENCODE_NAA="</definedName>
    <definedName name="__RptPeriod___2" hidden="1">"ENCODE_NwA="</definedName>
    <definedName name="__RptYear__" hidden="1">"ENCODE_MgAwADAANwA="</definedName>
    <definedName name="__RptYear___1" hidden="1">"ENCODE_MgAwADAANwA="</definedName>
    <definedName name="__VBA__" hidden="1">"ENCODE_"</definedName>
    <definedName name="_1_200808">#REF!</definedName>
    <definedName name="_2_555">#REF!</definedName>
    <definedName name="_4_200808">#REF!</definedName>
    <definedName name="_8_555">#REF!</definedName>
    <definedName name="_xlnm._FilterDatabase" localSheetId="1" hidden="1">'1.合金成本'!$AR$1:$AR$337</definedName>
    <definedName name="_xlnm._FilterDatabase" localSheetId="0" hidden="1">炼钢参数表!$F$1:$F$332</definedName>
    <definedName name="_总帐6">#REF!</definedName>
    <definedName name="FAdjustRS1" hidden="1">"ENCODE_"</definedName>
    <definedName name="FCLASSID" hidden="1">1</definedName>
    <definedName name="FCLASSID_1" hidden="1">1</definedName>
    <definedName name="FCLASSVERNUMBER" hidden="1">1</definedName>
    <definedName name="FCOMPANYID" hidden="1">15</definedName>
    <definedName name="FCOMPANYID_1" hidden="1">15</definedName>
    <definedName name="FCRRPTSHEETORDER" hidden="1">"ENCODE_UwBoAGUAZQB0ADEA"</definedName>
    <definedName name="FCURRENCYID" hidden="1">1</definedName>
    <definedName name="FCYCLEID" hidden="1">2</definedName>
    <definedName name="FISACCEPTED" hidden="1">1</definedName>
    <definedName name="FISAUDIT" hidden="1">0</definedName>
    <definedName name="FISCHANGED" hidden="1">0</definedName>
    <definedName name="FISCHECKED" hidden="1">0</definedName>
    <definedName name="FISHOLDEN" hidden="1">0</definedName>
    <definedName name="FPERIOD" hidden="1">6</definedName>
    <definedName name="FPERIOD_1" hidden="1">4</definedName>
    <definedName name="FPERIOD_2" hidden="1">7</definedName>
    <definedName name="FRPTFRAMEWORKID" hidden="1">1</definedName>
    <definedName name="FYEAR" hidden="1">2007</definedName>
    <definedName name="FYEAR_1" hidden="1">2007</definedName>
    <definedName name="GZ">{0,500,2000,5000,20000,40000,60000,80000,100000}</definedName>
    <definedName name="shangyue">{0,500,2000,5000,20000,40000,60000,80000,100000}</definedName>
    <definedName name="UFPrn20051001103221">#N/A</definedName>
    <definedName name="UFPrn20051001103243">#N/A</definedName>
    <definedName name="UFPrn20060404091403">'[1]#REF!'!$A$1:$C$22</definedName>
    <definedName name="UFPrn20060404091433">'[1]#REF!'!$A$23:$C$39</definedName>
    <definedName name="UFPrn20060502142416">'[1]#REF!'!$A$1:$B$31</definedName>
    <definedName name="UFPrn20070324165129">#REF!</definedName>
    <definedName name="UFPrn20070425083825">#REF!</definedName>
    <definedName name="UFPrn20070601163318">#REF!</definedName>
    <definedName name="UFPrn20070701155357">#REF!</definedName>
    <definedName name="UFPrn20070801153911">#REF!</definedName>
    <definedName name="UFPrn20070801154019">#REF!</definedName>
    <definedName name="UFPrn20070807161608">#REF!</definedName>
    <definedName name="UFPrn20070825093512">#REF!</definedName>
    <definedName name="UFPrn20070901164942">#REF!</definedName>
    <definedName name="UFPrn20070925145437">#REF!</definedName>
    <definedName name="UFPrn20071001143409">#REF!</definedName>
    <definedName name="UFPrn20071201135008">#REF!</definedName>
    <definedName name="UFPrn20080101132617">#REF!</definedName>
    <definedName name="UFPrn20080201152428">#REF!</definedName>
    <definedName name="UFPrn20080201152859">#REF!</definedName>
    <definedName name="UFPrn20080301151152">#REF!</definedName>
    <definedName name="UFPrn20080401143728">#REF!</definedName>
    <definedName name="UFPrn20080408163922">#REF!</definedName>
    <definedName name="UFPrn20080501151850">#REF!</definedName>
    <definedName name="UFPrn20080601120518">#REF!</definedName>
    <definedName name="UFPrn20080701144303">#REF!</definedName>
    <definedName name="UFPrn20080801091948">#REF!</definedName>
    <definedName name="UFPrn20081001113629">#REF!</definedName>
    <definedName name="UFPrn20081101133625">#REF!</definedName>
    <definedName name="UFPrn20081201112019">#REF!</definedName>
    <definedName name="UFPrn20090101161302">#REF!</definedName>
    <definedName name="UFPrn20090201154349">#REF!</definedName>
    <definedName name="UFPrn20090301100312">#REF!</definedName>
    <definedName name="UFPrn20090401161106">#REF!</definedName>
    <definedName name="x">{0,500,2000,5000,20000,40000,60000,80000,100000}</definedName>
    <definedName name="YD">648/0.818</definedName>
    <definedName name="YY">800/1.14</definedName>
    <definedName name="啊">#REF!</definedName>
    <definedName name="成本">#REF!</definedName>
    <definedName name="成本合计">[2]制氧成本!$F$1,[2]制氧成本!$H$1:$N$1</definedName>
    <definedName name="代码">OFFSET([3]引用!$A$1,0,0,COUNTA([3]引用!$A$1:$A$65536),3)</definedName>
    <definedName name="电调整">OFFSET([2]水电!$A$161,,,2,COUNTA([2]水电!$A$161:$AZ$161))</definedName>
    <definedName name="废">{0,500,2000,5000,20000,40000,60000,80000,100000}</definedName>
    <definedName name="辅助列">#N/A</definedName>
    <definedName name="高线啊">{0,500,2000,5000,20000,40000,60000,80000,100000}</definedName>
    <definedName name="合计">#N/A</definedName>
    <definedName name="汇总">#REF!</definedName>
    <definedName name="扣除">[4]动力成本!$J$2,[4]动力成本!$T$2,[4]动力成本!$Y$2,[4]动力成本!$AA$2</definedName>
    <definedName name="新">#REF!</definedName>
    <definedName name="新工艺">#REF!</definedName>
    <definedName name="月份">#N/A</definedName>
    <definedName name="咋">{0,500,2000,5000,20000,40000,60000,80000,100000}</definedName>
    <definedName name="直接费用">[4]动力成本!#REF!</definedName>
    <definedName name="总帐2">#REF!</definedName>
    <definedName name="总帐3">#REF!</definedName>
    <definedName name="总帐4">#REF!</definedName>
    <definedName name="总帐5">#REF!</definedName>
  </definedNames>
  <calcPr calcId="191029"/>
</workbook>
</file>

<file path=xl/calcChain.xml><?xml version="1.0" encoding="utf-8"?>
<calcChain xmlns="http://schemas.openxmlformats.org/spreadsheetml/2006/main">
  <c r="G17" i="60" l="1"/>
  <c r="J14" i="60"/>
  <c r="G14" i="60"/>
  <c r="M12" i="60"/>
  <c r="J9" i="60"/>
  <c r="H9" i="60"/>
  <c r="J8" i="60"/>
  <c r="H8" i="60"/>
  <c r="J7" i="60"/>
  <c r="H7" i="60"/>
  <c r="J6" i="60"/>
  <c r="H6" i="60"/>
  <c r="J5" i="60"/>
  <c r="H5" i="60"/>
  <c r="J4" i="60"/>
  <c r="H4" i="60"/>
  <c r="O3" i="60"/>
  <c r="J3" i="60"/>
  <c r="H3" i="60"/>
  <c r="J1" i="60"/>
  <c r="BJ332" i="40"/>
  <c r="BI332" i="40"/>
  <c r="BH332" i="40"/>
  <c r="BG332" i="40"/>
  <c r="BF332" i="40"/>
  <c r="BE332" i="40"/>
  <c r="BD332" i="40"/>
  <c r="BC332" i="40"/>
  <c r="BB332" i="40"/>
  <c r="BA332" i="40"/>
  <c r="AZ332" i="40"/>
  <c r="AY332" i="40"/>
  <c r="AW332" i="40" a="1"/>
  <c r="AW332" i="40"/>
  <c r="AV332" i="40"/>
  <c r="AT332" i="40"/>
  <c r="AS332" i="40"/>
  <c r="AR332" i="40"/>
  <c r="AQ332" i="40"/>
  <c r="AP332" i="40"/>
  <c r="AO332" i="40"/>
  <c r="AN332" i="40"/>
  <c r="AM332" i="40"/>
  <c r="AL332" i="40"/>
  <c r="AK332" i="40"/>
  <c r="AJ332" i="40"/>
  <c r="AI332" i="40"/>
  <c r="AG332" i="40"/>
  <c r="AE332" i="40"/>
  <c r="AD332" i="40"/>
  <c r="AC332" i="40"/>
  <c r="AB332" i="40"/>
  <c r="BJ331" i="40"/>
  <c r="BI331" i="40"/>
  <c r="BH331" i="40"/>
  <c r="BG331" i="40"/>
  <c r="BF331" i="40"/>
  <c r="BE331" i="40"/>
  <c r="BD331" i="40"/>
  <c r="BC331" i="40"/>
  <c r="BB331" i="40"/>
  <c r="BA331" i="40"/>
  <c r="AZ331" i="40"/>
  <c r="AY331" i="40"/>
  <c r="AW331" i="40" a="1"/>
  <c r="AW331" i="40"/>
  <c r="AV331" i="40"/>
  <c r="AT331" i="40"/>
  <c r="AS331" i="40"/>
  <c r="AR331" i="40"/>
  <c r="AQ331" i="40"/>
  <c r="AP331" i="40"/>
  <c r="AO331" i="40"/>
  <c r="AN331" i="40"/>
  <c r="AM331" i="40"/>
  <c r="AL331" i="40"/>
  <c r="AK331" i="40"/>
  <c r="AJ331" i="40"/>
  <c r="AI331" i="40"/>
  <c r="AG331" i="40"/>
  <c r="AE331" i="40"/>
  <c r="AD331" i="40"/>
  <c r="AC331" i="40"/>
  <c r="AB331" i="40"/>
  <c r="BJ330" i="40"/>
  <c r="BI330" i="40"/>
  <c r="BH330" i="40"/>
  <c r="BG330" i="40"/>
  <c r="BF330" i="40"/>
  <c r="BE330" i="40"/>
  <c r="BD330" i="40"/>
  <c r="BC330" i="40"/>
  <c r="BB330" i="40"/>
  <c r="BA330" i="40"/>
  <c r="AZ330" i="40"/>
  <c r="AY330" i="40"/>
  <c r="AW330" i="40" a="1"/>
  <c r="AW330" i="40"/>
  <c r="AV330" i="40"/>
  <c r="AT330" i="40"/>
  <c r="AS330" i="40"/>
  <c r="AR330" i="40"/>
  <c r="AQ330" i="40"/>
  <c r="AP330" i="40"/>
  <c r="AO330" i="40"/>
  <c r="AN330" i="40"/>
  <c r="AM330" i="40"/>
  <c r="AL330" i="40"/>
  <c r="AK330" i="40"/>
  <c r="AJ330" i="40"/>
  <c r="AI330" i="40"/>
  <c r="AG330" i="40"/>
  <c r="AE330" i="40"/>
  <c r="AD330" i="40"/>
  <c r="AC330" i="40"/>
  <c r="AB330" i="40"/>
  <c r="BJ329" i="40"/>
  <c r="BI329" i="40"/>
  <c r="BH329" i="40"/>
  <c r="BG329" i="40"/>
  <c r="BF329" i="40"/>
  <c r="BE329" i="40"/>
  <c r="BD329" i="40"/>
  <c r="BC329" i="40"/>
  <c r="BB329" i="40"/>
  <c r="BA329" i="40"/>
  <c r="AZ329" i="40"/>
  <c r="AY329" i="40"/>
  <c r="AW329" i="40" a="1"/>
  <c r="AW329" i="40"/>
  <c r="AV329" i="40"/>
  <c r="AT329" i="40"/>
  <c r="AS329" i="40"/>
  <c r="AR329" i="40"/>
  <c r="AQ329" i="40"/>
  <c r="AP329" i="40"/>
  <c r="AO329" i="40"/>
  <c r="AN329" i="40"/>
  <c r="AM329" i="40"/>
  <c r="AL329" i="40"/>
  <c r="AK329" i="40"/>
  <c r="AJ329" i="40"/>
  <c r="AI329" i="40"/>
  <c r="AG329" i="40"/>
  <c r="AE329" i="40"/>
  <c r="AD329" i="40"/>
  <c r="AC329" i="40"/>
  <c r="AB329" i="40"/>
  <c r="BJ328" i="40"/>
  <c r="BI328" i="40"/>
  <c r="BH328" i="40"/>
  <c r="BG328" i="40"/>
  <c r="BF328" i="40"/>
  <c r="BE328" i="40"/>
  <c r="BD328" i="40"/>
  <c r="BC328" i="40"/>
  <c r="BB328" i="40"/>
  <c r="BA328" i="40"/>
  <c r="AZ328" i="40"/>
  <c r="AY328" i="40"/>
  <c r="AW328" i="40" a="1"/>
  <c r="AW328" i="40"/>
  <c r="AV328" i="40"/>
  <c r="AT328" i="40"/>
  <c r="AS328" i="40"/>
  <c r="AR328" i="40"/>
  <c r="AQ328" i="40"/>
  <c r="AP328" i="40"/>
  <c r="AO328" i="40"/>
  <c r="AN328" i="40"/>
  <c r="AM328" i="40"/>
  <c r="AL328" i="40"/>
  <c r="AK328" i="40"/>
  <c r="AJ328" i="40"/>
  <c r="AI328" i="40"/>
  <c r="AG328" i="40"/>
  <c r="AE328" i="40"/>
  <c r="AD328" i="40"/>
  <c r="AC328" i="40"/>
  <c r="AB328" i="40"/>
  <c r="BJ327" i="40"/>
  <c r="BI327" i="40"/>
  <c r="BH327" i="40"/>
  <c r="BG327" i="40"/>
  <c r="BF327" i="40"/>
  <c r="BE327" i="40"/>
  <c r="BD327" i="40"/>
  <c r="BC327" i="40"/>
  <c r="BB327" i="40"/>
  <c r="BA327" i="40"/>
  <c r="AZ327" i="40"/>
  <c r="AY327" i="40"/>
  <c r="AW327" i="40" a="1"/>
  <c r="AW327" i="40"/>
  <c r="AV327" i="40"/>
  <c r="AT327" i="40"/>
  <c r="AS327" i="40"/>
  <c r="AR327" i="40"/>
  <c r="AQ327" i="40"/>
  <c r="AP327" i="40"/>
  <c r="AO327" i="40"/>
  <c r="AN327" i="40"/>
  <c r="AM327" i="40"/>
  <c r="AL327" i="40"/>
  <c r="AK327" i="40"/>
  <c r="AJ327" i="40"/>
  <c r="AI327" i="40"/>
  <c r="AG327" i="40"/>
  <c r="AE327" i="40"/>
  <c r="AD327" i="40"/>
  <c r="AC327" i="40"/>
  <c r="AB327" i="40"/>
  <c r="BJ326" i="40"/>
  <c r="BI326" i="40"/>
  <c r="BH326" i="40"/>
  <c r="BG326" i="40"/>
  <c r="BF326" i="40"/>
  <c r="BE326" i="40"/>
  <c r="BD326" i="40"/>
  <c r="BC326" i="40"/>
  <c r="BB326" i="40"/>
  <c r="BA326" i="40"/>
  <c r="AZ326" i="40"/>
  <c r="AY326" i="40"/>
  <c r="AW326" i="40" a="1"/>
  <c r="AW326" i="40"/>
  <c r="AV326" i="40"/>
  <c r="AT326" i="40"/>
  <c r="AS326" i="40"/>
  <c r="AR326" i="40"/>
  <c r="AQ326" i="40"/>
  <c r="AP326" i="40"/>
  <c r="AO326" i="40"/>
  <c r="AN326" i="40"/>
  <c r="AM326" i="40"/>
  <c r="AL326" i="40"/>
  <c r="AK326" i="40"/>
  <c r="AJ326" i="40"/>
  <c r="AI326" i="40"/>
  <c r="AG326" i="40"/>
  <c r="AE326" i="40"/>
  <c r="AD326" i="40"/>
  <c r="AC326" i="40"/>
  <c r="AB326" i="40"/>
  <c r="BJ325" i="40"/>
  <c r="BI325" i="40"/>
  <c r="BH325" i="40"/>
  <c r="BG325" i="40"/>
  <c r="BF325" i="40"/>
  <c r="BE325" i="40"/>
  <c r="BD325" i="40"/>
  <c r="BC325" i="40"/>
  <c r="BB325" i="40"/>
  <c r="BA325" i="40"/>
  <c r="AZ325" i="40"/>
  <c r="AY325" i="40"/>
  <c r="AW325" i="40" a="1"/>
  <c r="AW325" i="40"/>
  <c r="AV325" i="40"/>
  <c r="AT325" i="40"/>
  <c r="AS325" i="40"/>
  <c r="AR325" i="40"/>
  <c r="AQ325" i="40"/>
  <c r="AP325" i="40"/>
  <c r="AO325" i="40"/>
  <c r="AN325" i="40"/>
  <c r="AM325" i="40"/>
  <c r="AL325" i="40"/>
  <c r="AK325" i="40"/>
  <c r="AJ325" i="40"/>
  <c r="AI325" i="40"/>
  <c r="AG325" i="40"/>
  <c r="AE325" i="40"/>
  <c r="AD325" i="40"/>
  <c r="AC325" i="40"/>
  <c r="AB325" i="40"/>
  <c r="BJ324" i="40"/>
  <c r="BI324" i="40"/>
  <c r="BH324" i="40"/>
  <c r="BG324" i="40"/>
  <c r="BF324" i="40"/>
  <c r="BE324" i="40"/>
  <c r="BD324" i="40"/>
  <c r="BC324" i="40"/>
  <c r="BB324" i="40"/>
  <c r="BA324" i="40"/>
  <c r="AZ324" i="40"/>
  <c r="AY324" i="40"/>
  <c r="AW324" i="40" a="1"/>
  <c r="AW324" i="40"/>
  <c r="AV324" i="40"/>
  <c r="AT324" i="40"/>
  <c r="AS324" i="40"/>
  <c r="AR324" i="40"/>
  <c r="AQ324" i="40"/>
  <c r="AP324" i="40"/>
  <c r="AO324" i="40"/>
  <c r="AN324" i="40"/>
  <c r="AM324" i="40"/>
  <c r="AL324" i="40"/>
  <c r="AK324" i="40"/>
  <c r="AJ324" i="40"/>
  <c r="AI324" i="40"/>
  <c r="AG324" i="40"/>
  <c r="AE324" i="40"/>
  <c r="AD324" i="40"/>
  <c r="AC324" i="40"/>
  <c r="AB324" i="40"/>
  <c r="BJ323" i="40"/>
  <c r="BI323" i="40"/>
  <c r="BH323" i="40"/>
  <c r="BG323" i="40"/>
  <c r="BF323" i="40"/>
  <c r="BE323" i="40"/>
  <c r="BD323" i="40"/>
  <c r="BC323" i="40"/>
  <c r="BB323" i="40"/>
  <c r="BA323" i="40"/>
  <c r="AZ323" i="40"/>
  <c r="AY323" i="40"/>
  <c r="AW323" i="40" a="1"/>
  <c r="AW323" i="40"/>
  <c r="AV323" i="40"/>
  <c r="AT323" i="40"/>
  <c r="AS323" i="40"/>
  <c r="AR323" i="40"/>
  <c r="AQ323" i="40"/>
  <c r="AP323" i="40"/>
  <c r="AO323" i="40"/>
  <c r="AN323" i="40"/>
  <c r="AM323" i="40"/>
  <c r="AL323" i="40"/>
  <c r="AK323" i="40"/>
  <c r="AJ323" i="40"/>
  <c r="AI323" i="40"/>
  <c r="AG323" i="40"/>
  <c r="AE323" i="40"/>
  <c r="AD323" i="40"/>
  <c r="AC323" i="40"/>
  <c r="AB323" i="40"/>
  <c r="BJ322" i="40"/>
  <c r="BI322" i="40"/>
  <c r="BH322" i="40"/>
  <c r="BG322" i="40"/>
  <c r="BF322" i="40"/>
  <c r="BE322" i="40"/>
  <c r="BD322" i="40"/>
  <c r="BC322" i="40"/>
  <c r="BB322" i="40"/>
  <c r="BA322" i="40"/>
  <c r="AZ322" i="40"/>
  <c r="AY322" i="40"/>
  <c r="AW322" i="40" a="1"/>
  <c r="AW322" i="40"/>
  <c r="AV322" i="40"/>
  <c r="AT322" i="40"/>
  <c r="AS322" i="40"/>
  <c r="AR322" i="40"/>
  <c r="AQ322" i="40"/>
  <c r="AP322" i="40"/>
  <c r="AO322" i="40"/>
  <c r="AN322" i="40"/>
  <c r="AM322" i="40"/>
  <c r="AL322" i="40"/>
  <c r="AK322" i="40"/>
  <c r="AJ322" i="40"/>
  <c r="AI322" i="40"/>
  <c r="AG322" i="40"/>
  <c r="AE322" i="40"/>
  <c r="AD322" i="40"/>
  <c r="AC322" i="40"/>
  <c r="AB322" i="40"/>
  <c r="BJ321" i="40"/>
  <c r="BI321" i="40"/>
  <c r="BH321" i="40"/>
  <c r="BG321" i="40"/>
  <c r="BF321" i="40"/>
  <c r="BE321" i="40"/>
  <c r="BD321" i="40"/>
  <c r="BC321" i="40"/>
  <c r="BB321" i="40"/>
  <c r="BA321" i="40"/>
  <c r="AZ321" i="40"/>
  <c r="AY321" i="40"/>
  <c r="AW321" i="40" a="1"/>
  <c r="AW321" i="40"/>
  <c r="AV321" i="40"/>
  <c r="AT321" i="40"/>
  <c r="AS321" i="40"/>
  <c r="AR321" i="40"/>
  <c r="AQ321" i="40"/>
  <c r="AP321" i="40"/>
  <c r="AO321" i="40"/>
  <c r="AN321" i="40"/>
  <c r="AM321" i="40"/>
  <c r="AL321" i="40"/>
  <c r="AK321" i="40"/>
  <c r="AJ321" i="40"/>
  <c r="AI321" i="40"/>
  <c r="AG321" i="40"/>
  <c r="AE321" i="40"/>
  <c r="AD321" i="40"/>
  <c r="AC321" i="40"/>
  <c r="AB321" i="40"/>
  <c r="BJ320" i="40"/>
  <c r="BI320" i="40"/>
  <c r="BH320" i="40"/>
  <c r="BG320" i="40"/>
  <c r="BF320" i="40"/>
  <c r="BE320" i="40"/>
  <c r="BD320" i="40"/>
  <c r="BC320" i="40"/>
  <c r="BB320" i="40"/>
  <c r="BA320" i="40"/>
  <c r="AZ320" i="40"/>
  <c r="AY320" i="40"/>
  <c r="AW320" i="40" a="1"/>
  <c r="AW320" i="40"/>
  <c r="AV320" i="40"/>
  <c r="AT320" i="40"/>
  <c r="AS320" i="40"/>
  <c r="AR320" i="40"/>
  <c r="AQ320" i="40"/>
  <c r="AP320" i="40"/>
  <c r="AO320" i="40"/>
  <c r="AN320" i="40"/>
  <c r="AM320" i="40"/>
  <c r="AL320" i="40"/>
  <c r="AK320" i="40"/>
  <c r="AJ320" i="40"/>
  <c r="AI320" i="40"/>
  <c r="AG320" i="40"/>
  <c r="AE320" i="40"/>
  <c r="AD320" i="40"/>
  <c r="AC320" i="40"/>
  <c r="AB320" i="40"/>
  <c r="BJ319" i="40"/>
  <c r="BI319" i="40"/>
  <c r="BH319" i="40"/>
  <c r="BG319" i="40"/>
  <c r="BF319" i="40"/>
  <c r="BE319" i="40"/>
  <c r="BD319" i="40"/>
  <c r="BC319" i="40"/>
  <c r="BB319" i="40"/>
  <c r="BA319" i="40"/>
  <c r="AZ319" i="40"/>
  <c r="AY319" i="40"/>
  <c r="AW319" i="40" a="1"/>
  <c r="AW319" i="40"/>
  <c r="AV319" i="40"/>
  <c r="AT319" i="40"/>
  <c r="AS319" i="40"/>
  <c r="AR319" i="40"/>
  <c r="AQ319" i="40"/>
  <c r="AP319" i="40"/>
  <c r="AO319" i="40"/>
  <c r="AN319" i="40"/>
  <c r="AM319" i="40"/>
  <c r="AL319" i="40"/>
  <c r="AK319" i="40"/>
  <c r="AJ319" i="40"/>
  <c r="AI319" i="40"/>
  <c r="AG319" i="40"/>
  <c r="AE319" i="40"/>
  <c r="AD319" i="40"/>
  <c r="AC319" i="40"/>
  <c r="AB319" i="40"/>
  <c r="BJ318" i="40"/>
  <c r="BI318" i="40"/>
  <c r="BH318" i="40"/>
  <c r="BG318" i="40"/>
  <c r="BF318" i="40"/>
  <c r="BE318" i="40"/>
  <c r="BD318" i="40"/>
  <c r="BC318" i="40"/>
  <c r="BB318" i="40"/>
  <c r="BA318" i="40"/>
  <c r="AZ318" i="40"/>
  <c r="AY318" i="40"/>
  <c r="AW318" i="40" a="1"/>
  <c r="AW318" i="40"/>
  <c r="AV318" i="40"/>
  <c r="AT318" i="40"/>
  <c r="AS318" i="40"/>
  <c r="AR318" i="40"/>
  <c r="AQ318" i="40"/>
  <c r="AP318" i="40"/>
  <c r="AO318" i="40"/>
  <c r="AN318" i="40"/>
  <c r="AM318" i="40"/>
  <c r="AL318" i="40"/>
  <c r="AK318" i="40"/>
  <c r="AJ318" i="40"/>
  <c r="AI318" i="40"/>
  <c r="AG318" i="40"/>
  <c r="AE318" i="40"/>
  <c r="AD318" i="40"/>
  <c r="AC318" i="40"/>
  <c r="AB318" i="40"/>
  <c r="BJ317" i="40"/>
  <c r="BI317" i="40"/>
  <c r="BH317" i="40"/>
  <c r="BG317" i="40"/>
  <c r="BF317" i="40"/>
  <c r="BE317" i="40"/>
  <c r="BD317" i="40"/>
  <c r="BC317" i="40"/>
  <c r="BB317" i="40"/>
  <c r="BA317" i="40"/>
  <c r="AZ317" i="40"/>
  <c r="AY317" i="40"/>
  <c r="AW317" i="40" a="1"/>
  <c r="AW317" i="40"/>
  <c r="AV317" i="40"/>
  <c r="AT317" i="40"/>
  <c r="AS317" i="40"/>
  <c r="AR317" i="40"/>
  <c r="AQ317" i="40"/>
  <c r="AP317" i="40"/>
  <c r="AO317" i="40"/>
  <c r="AN317" i="40"/>
  <c r="AM317" i="40"/>
  <c r="AL317" i="40"/>
  <c r="AK317" i="40"/>
  <c r="AJ317" i="40"/>
  <c r="AI317" i="40"/>
  <c r="AG317" i="40"/>
  <c r="AE317" i="40"/>
  <c r="AD317" i="40"/>
  <c r="AC317" i="40"/>
  <c r="AB317" i="40"/>
  <c r="BJ316" i="40"/>
  <c r="BI316" i="40"/>
  <c r="BH316" i="40"/>
  <c r="BG316" i="40"/>
  <c r="BF316" i="40"/>
  <c r="BE316" i="40"/>
  <c r="BD316" i="40"/>
  <c r="BC316" i="40"/>
  <c r="BB316" i="40"/>
  <c r="BA316" i="40"/>
  <c r="AZ316" i="40"/>
  <c r="AY316" i="40"/>
  <c r="AW316" i="40" a="1"/>
  <c r="AW316" i="40"/>
  <c r="AV316" i="40"/>
  <c r="AT316" i="40"/>
  <c r="AS316" i="40"/>
  <c r="AR316" i="40"/>
  <c r="AQ316" i="40"/>
  <c r="AP316" i="40"/>
  <c r="AO316" i="40"/>
  <c r="AN316" i="40"/>
  <c r="AM316" i="40"/>
  <c r="AL316" i="40"/>
  <c r="AK316" i="40"/>
  <c r="AJ316" i="40"/>
  <c r="AI316" i="40"/>
  <c r="AG316" i="40"/>
  <c r="AE316" i="40"/>
  <c r="AD316" i="40"/>
  <c r="AC316" i="40"/>
  <c r="AB316" i="40"/>
  <c r="BJ315" i="40"/>
  <c r="BI315" i="40"/>
  <c r="BH315" i="40"/>
  <c r="BG315" i="40"/>
  <c r="BF315" i="40"/>
  <c r="BE315" i="40"/>
  <c r="BD315" i="40"/>
  <c r="BC315" i="40"/>
  <c r="BB315" i="40"/>
  <c r="BA315" i="40"/>
  <c r="AZ315" i="40"/>
  <c r="AY315" i="40"/>
  <c r="AW315" i="40" a="1"/>
  <c r="AW315" i="40"/>
  <c r="AV315" i="40"/>
  <c r="AT315" i="40"/>
  <c r="AS315" i="40"/>
  <c r="AR315" i="40"/>
  <c r="AQ315" i="40"/>
  <c r="AP315" i="40"/>
  <c r="AO315" i="40"/>
  <c r="AN315" i="40"/>
  <c r="AM315" i="40"/>
  <c r="AL315" i="40"/>
  <c r="AK315" i="40"/>
  <c r="AJ315" i="40"/>
  <c r="AI315" i="40"/>
  <c r="AG315" i="40"/>
  <c r="AE315" i="40"/>
  <c r="AD315" i="40"/>
  <c r="AC315" i="40"/>
  <c r="AB315" i="40"/>
  <c r="BJ314" i="40"/>
  <c r="BI314" i="40"/>
  <c r="BH314" i="40"/>
  <c r="BG314" i="40"/>
  <c r="BF314" i="40"/>
  <c r="BE314" i="40"/>
  <c r="BD314" i="40"/>
  <c r="BC314" i="40"/>
  <c r="BB314" i="40"/>
  <c r="BA314" i="40"/>
  <c r="AZ314" i="40"/>
  <c r="AY314" i="40"/>
  <c r="AW314" i="40" a="1"/>
  <c r="AW314" i="40"/>
  <c r="AV314" i="40"/>
  <c r="AT314" i="40"/>
  <c r="AS314" i="40"/>
  <c r="AR314" i="40"/>
  <c r="AQ314" i="40"/>
  <c r="AP314" i="40"/>
  <c r="AO314" i="40"/>
  <c r="AN314" i="40"/>
  <c r="AM314" i="40"/>
  <c r="AL314" i="40"/>
  <c r="AK314" i="40"/>
  <c r="AJ314" i="40"/>
  <c r="AI314" i="40"/>
  <c r="AG314" i="40"/>
  <c r="AE314" i="40"/>
  <c r="AD314" i="40"/>
  <c r="AC314" i="40"/>
  <c r="AB314" i="40"/>
  <c r="BJ313" i="40"/>
  <c r="BI313" i="40"/>
  <c r="BH313" i="40"/>
  <c r="BG313" i="40"/>
  <c r="BF313" i="40"/>
  <c r="BE313" i="40"/>
  <c r="BD313" i="40"/>
  <c r="BC313" i="40"/>
  <c r="BB313" i="40"/>
  <c r="BA313" i="40"/>
  <c r="AZ313" i="40"/>
  <c r="AY313" i="40"/>
  <c r="AW313" i="40" a="1"/>
  <c r="AW313" i="40"/>
  <c r="AV313" i="40"/>
  <c r="AT313" i="40"/>
  <c r="AS313" i="40"/>
  <c r="AR313" i="40"/>
  <c r="AQ313" i="40"/>
  <c r="AP313" i="40"/>
  <c r="AO313" i="40"/>
  <c r="AN313" i="40"/>
  <c r="AM313" i="40"/>
  <c r="AL313" i="40"/>
  <c r="AK313" i="40"/>
  <c r="AJ313" i="40"/>
  <c r="AI313" i="40"/>
  <c r="AG313" i="40"/>
  <c r="AE313" i="40"/>
  <c r="AD313" i="40"/>
  <c r="AC313" i="40"/>
  <c r="AB313" i="40"/>
  <c r="BJ312" i="40"/>
  <c r="BI312" i="40"/>
  <c r="BH312" i="40"/>
  <c r="BG312" i="40"/>
  <c r="BF312" i="40"/>
  <c r="BE312" i="40"/>
  <c r="BD312" i="40"/>
  <c r="BC312" i="40"/>
  <c r="BB312" i="40"/>
  <c r="BA312" i="40"/>
  <c r="AZ312" i="40"/>
  <c r="AY312" i="40"/>
  <c r="AW312" i="40" a="1"/>
  <c r="AW312" i="40"/>
  <c r="AV312" i="40"/>
  <c r="AT312" i="40"/>
  <c r="AS312" i="40"/>
  <c r="AR312" i="40"/>
  <c r="AQ312" i="40"/>
  <c r="AP312" i="40"/>
  <c r="AO312" i="40"/>
  <c r="AN312" i="40"/>
  <c r="AM312" i="40"/>
  <c r="AL312" i="40"/>
  <c r="AK312" i="40"/>
  <c r="AJ312" i="40"/>
  <c r="AI312" i="40"/>
  <c r="AG312" i="40"/>
  <c r="AE312" i="40"/>
  <c r="AD312" i="40"/>
  <c r="AC312" i="40"/>
  <c r="AB312" i="40"/>
  <c r="BJ311" i="40"/>
  <c r="BI311" i="40"/>
  <c r="BH311" i="40"/>
  <c r="BG311" i="40"/>
  <c r="BF311" i="40"/>
  <c r="BE311" i="40"/>
  <c r="BD311" i="40"/>
  <c r="BC311" i="40"/>
  <c r="BB311" i="40"/>
  <c r="BA311" i="40"/>
  <c r="AZ311" i="40"/>
  <c r="AY311" i="40"/>
  <c r="AW311" i="40" a="1"/>
  <c r="AW311" i="40"/>
  <c r="AV311" i="40"/>
  <c r="AT311" i="40"/>
  <c r="AS311" i="40"/>
  <c r="AR311" i="40"/>
  <c r="AQ311" i="40"/>
  <c r="AP311" i="40"/>
  <c r="AO311" i="40"/>
  <c r="AN311" i="40"/>
  <c r="AM311" i="40"/>
  <c r="AL311" i="40"/>
  <c r="AK311" i="40"/>
  <c r="AJ311" i="40"/>
  <c r="AI311" i="40"/>
  <c r="AG311" i="40"/>
  <c r="AE311" i="40"/>
  <c r="AD311" i="40"/>
  <c r="AC311" i="40"/>
  <c r="AB311" i="40"/>
  <c r="BJ310" i="40"/>
  <c r="BI310" i="40"/>
  <c r="BH310" i="40"/>
  <c r="BG310" i="40"/>
  <c r="BF310" i="40"/>
  <c r="BE310" i="40"/>
  <c r="BD310" i="40"/>
  <c r="BC310" i="40"/>
  <c r="BB310" i="40"/>
  <c r="BA310" i="40"/>
  <c r="AZ310" i="40"/>
  <c r="AY310" i="40"/>
  <c r="AW310" i="40" a="1"/>
  <c r="AW310" i="40"/>
  <c r="AV310" i="40"/>
  <c r="AT310" i="40"/>
  <c r="AS310" i="40"/>
  <c r="AR310" i="40"/>
  <c r="AQ310" i="40"/>
  <c r="AP310" i="40"/>
  <c r="AO310" i="40"/>
  <c r="AN310" i="40"/>
  <c r="AM310" i="40"/>
  <c r="AL310" i="40"/>
  <c r="AK310" i="40"/>
  <c r="AJ310" i="40"/>
  <c r="AI310" i="40"/>
  <c r="AG310" i="40"/>
  <c r="AE310" i="40"/>
  <c r="AD310" i="40"/>
  <c r="AC310" i="40"/>
  <c r="AB310" i="40"/>
  <c r="BJ309" i="40"/>
  <c r="BI309" i="40"/>
  <c r="BH309" i="40"/>
  <c r="BG309" i="40"/>
  <c r="BF309" i="40"/>
  <c r="BE309" i="40"/>
  <c r="BD309" i="40"/>
  <c r="BC309" i="40"/>
  <c r="BB309" i="40"/>
  <c r="BA309" i="40"/>
  <c r="AZ309" i="40"/>
  <c r="AY309" i="40"/>
  <c r="AW309" i="40" a="1"/>
  <c r="AW309" i="40"/>
  <c r="AV309" i="40"/>
  <c r="AT309" i="40"/>
  <c r="AS309" i="40"/>
  <c r="AR309" i="40"/>
  <c r="AQ309" i="40"/>
  <c r="AP309" i="40"/>
  <c r="AO309" i="40"/>
  <c r="AN309" i="40"/>
  <c r="AM309" i="40"/>
  <c r="AL309" i="40"/>
  <c r="AK309" i="40"/>
  <c r="AJ309" i="40"/>
  <c r="AI309" i="40"/>
  <c r="AG309" i="40"/>
  <c r="AE309" i="40"/>
  <c r="AD309" i="40"/>
  <c r="AC309" i="40"/>
  <c r="AB309" i="40"/>
  <c r="BJ308" i="40"/>
  <c r="BI308" i="40"/>
  <c r="BH308" i="40"/>
  <c r="BG308" i="40"/>
  <c r="BF308" i="40"/>
  <c r="BE308" i="40"/>
  <c r="BD308" i="40"/>
  <c r="BC308" i="40"/>
  <c r="BB308" i="40"/>
  <c r="BA308" i="40"/>
  <c r="AZ308" i="40"/>
  <c r="AY308" i="40"/>
  <c r="AW308" i="40" a="1"/>
  <c r="AW308" i="40"/>
  <c r="AV308" i="40"/>
  <c r="AT308" i="40"/>
  <c r="AS308" i="40"/>
  <c r="AR308" i="40"/>
  <c r="AQ308" i="40"/>
  <c r="AP308" i="40"/>
  <c r="AO308" i="40"/>
  <c r="AN308" i="40"/>
  <c r="AM308" i="40"/>
  <c r="AL308" i="40"/>
  <c r="AK308" i="40"/>
  <c r="AJ308" i="40"/>
  <c r="AI308" i="40"/>
  <c r="AG308" i="40"/>
  <c r="AE308" i="40"/>
  <c r="AD308" i="40"/>
  <c r="AC308" i="40"/>
  <c r="AB308" i="40"/>
  <c r="BJ307" i="40"/>
  <c r="BI307" i="40"/>
  <c r="BH307" i="40"/>
  <c r="BG307" i="40"/>
  <c r="BF307" i="40"/>
  <c r="BE307" i="40"/>
  <c r="BD307" i="40"/>
  <c r="BC307" i="40"/>
  <c r="BB307" i="40"/>
  <c r="BA307" i="40"/>
  <c r="AZ307" i="40"/>
  <c r="AY307" i="40"/>
  <c r="AW307" i="40" a="1"/>
  <c r="AW307" i="40"/>
  <c r="AV307" i="40"/>
  <c r="AT307" i="40"/>
  <c r="AS307" i="40"/>
  <c r="AR307" i="40"/>
  <c r="AQ307" i="40"/>
  <c r="AP307" i="40"/>
  <c r="AO307" i="40"/>
  <c r="AN307" i="40"/>
  <c r="AM307" i="40"/>
  <c r="AL307" i="40"/>
  <c r="AK307" i="40"/>
  <c r="AJ307" i="40"/>
  <c r="AI307" i="40"/>
  <c r="AG307" i="40"/>
  <c r="AE307" i="40"/>
  <c r="AD307" i="40"/>
  <c r="AC307" i="40"/>
  <c r="AB307" i="40"/>
  <c r="BJ306" i="40"/>
  <c r="BI306" i="40"/>
  <c r="BH306" i="40"/>
  <c r="BG306" i="40"/>
  <c r="BF306" i="40"/>
  <c r="BE306" i="40"/>
  <c r="BD306" i="40"/>
  <c r="BC306" i="40"/>
  <c r="BB306" i="40"/>
  <c r="BA306" i="40"/>
  <c r="AZ306" i="40"/>
  <c r="AY306" i="40"/>
  <c r="AW306" i="40" a="1"/>
  <c r="AW306" i="40"/>
  <c r="AV306" i="40"/>
  <c r="AT306" i="40"/>
  <c r="AS306" i="40"/>
  <c r="AR306" i="40"/>
  <c r="AQ306" i="40"/>
  <c r="AP306" i="40"/>
  <c r="AO306" i="40"/>
  <c r="AN306" i="40"/>
  <c r="AM306" i="40"/>
  <c r="AL306" i="40"/>
  <c r="AK306" i="40"/>
  <c r="AJ306" i="40"/>
  <c r="AI306" i="40"/>
  <c r="AG306" i="40"/>
  <c r="AE306" i="40"/>
  <c r="AD306" i="40"/>
  <c r="AC306" i="40"/>
  <c r="AB306" i="40"/>
  <c r="BJ305" i="40"/>
  <c r="BI305" i="40"/>
  <c r="BH305" i="40"/>
  <c r="BG305" i="40"/>
  <c r="BF305" i="40"/>
  <c r="BE305" i="40"/>
  <c r="BD305" i="40"/>
  <c r="BC305" i="40"/>
  <c r="BB305" i="40"/>
  <c r="BA305" i="40"/>
  <c r="AZ305" i="40"/>
  <c r="AY305" i="40"/>
  <c r="AW305" i="40" a="1"/>
  <c r="AW305" i="40"/>
  <c r="AV305" i="40"/>
  <c r="AT305" i="40"/>
  <c r="AS305" i="40"/>
  <c r="AR305" i="40"/>
  <c r="AQ305" i="40"/>
  <c r="AP305" i="40"/>
  <c r="AO305" i="40"/>
  <c r="AN305" i="40"/>
  <c r="AM305" i="40"/>
  <c r="AL305" i="40"/>
  <c r="AK305" i="40"/>
  <c r="AJ305" i="40"/>
  <c r="AI305" i="40"/>
  <c r="AG305" i="40"/>
  <c r="AE305" i="40"/>
  <c r="AD305" i="40"/>
  <c r="AC305" i="40"/>
  <c r="AB305" i="40"/>
  <c r="BJ304" i="40"/>
  <c r="BI304" i="40"/>
  <c r="BH304" i="40"/>
  <c r="BG304" i="40"/>
  <c r="BF304" i="40"/>
  <c r="BE304" i="40"/>
  <c r="BD304" i="40"/>
  <c r="BC304" i="40"/>
  <c r="BB304" i="40"/>
  <c r="BA304" i="40"/>
  <c r="AZ304" i="40"/>
  <c r="AY304" i="40"/>
  <c r="AW304" i="40" a="1"/>
  <c r="AW304" i="40"/>
  <c r="AV304" i="40"/>
  <c r="AT304" i="40"/>
  <c r="AS304" i="40"/>
  <c r="AR304" i="40"/>
  <c r="AQ304" i="40"/>
  <c r="AP304" i="40"/>
  <c r="AO304" i="40"/>
  <c r="AN304" i="40"/>
  <c r="AM304" i="40"/>
  <c r="AL304" i="40"/>
  <c r="AK304" i="40"/>
  <c r="AJ304" i="40"/>
  <c r="AI304" i="40"/>
  <c r="AG304" i="40"/>
  <c r="AE304" i="40"/>
  <c r="AD304" i="40"/>
  <c r="AC304" i="40"/>
  <c r="AB304" i="40"/>
  <c r="BJ303" i="40"/>
  <c r="BI303" i="40"/>
  <c r="BH303" i="40"/>
  <c r="BG303" i="40"/>
  <c r="BF303" i="40"/>
  <c r="BE303" i="40"/>
  <c r="BD303" i="40"/>
  <c r="BC303" i="40"/>
  <c r="BB303" i="40"/>
  <c r="BA303" i="40"/>
  <c r="AZ303" i="40"/>
  <c r="AY303" i="40"/>
  <c r="AW303" i="40" a="1"/>
  <c r="AW303" i="40"/>
  <c r="AV303" i="40"/>
  <c r="AT303" i="40"/>
  <c r="AS303" i="40"/>
  <c r="AR303" i="40"/>
  <c r="AQ303" i="40"/>
  <c r="AP303" i="40"/>
  <c r="AO303" i="40"/>
  <c r="AN303" i="40"/>
  <c r="AM303" i="40"/>
  <c r="AL303" i="40"/>
  <c r="AK303" i="40"/>
  <c r="AJ303" i="40"/>
  <c r="AI303" i="40"/>
  <c r="AG303" i="40"/>
  <c r="AE303" i="40"/>
  <c r="AD303" i="40"/>
  <c r="AC303" i="40"/>
  <c r="AB303" i="40"/>
  <c r="BJ302" i="40"/>
  <c r="BI302" i="40"/>
  <c r="BH302" i="40"/>
  <c r="BG302" i="40"/>
  <c r="BF302" i="40"/>
  <c r="BE302" i="40"/>
  <c r="BD302" i="40"/>
  <c r="BC302" i="40"/>
  <c r="BB302" i="40"/>
  <c r="BA302" i="40"/>
  <c r="AZ302" i="40"/>
  <c r="AY302" i="40"/>
  <c r="AW302" i="40" a="1"/>
  <c r="AW302" i="40"/>
  <c r="AV302" i="40"/>
  <c r="AT302" i="40"/>
  <c r="AS302" i="40"/>
  <c r="AR302" i="40"/>
  <c r="AQ302" i="40"/>
  <c r="AP302" i="40"/>
  <c r="AO302" i="40"/>
  <c r="AN302" i="40"/>
  <c r="AM302" i="40"/>
  <c r="AL302" i="40"/>
  <c r="AK302" i="40"/>
  <c r="AJ302" i="40"/>
  <c r="AI302" i="40"/>
  <c r="AG302" i="40"/>
  <c r="AE302" i="40"/>
  <c r="AD302" i="40"/>
  <c r="AC302" i="40"/>
  <c r="AB302" i="40"/>
  <c r="BJ301" i="40"/>
  <c r="BI301" i="40"/>
  <c r="BH301" i="40"/>
  <c r="BG301" i="40"/>
  <c r="BF301" i="40"/>
  <c r="BE301" i="40"/>
  <c r="BD301" i="40"/>
  <c r="BC301" i="40"/>
  <c r="BB301" i="40"/>
  <c r="BA301" i="40"/>
  <c r="AZ301" i="40"/>
  <c r="AY301" i="40"/>
  <c r="AW301" i="40" a="1"/>
  <c r="AW301" i="40"/>
  <c r="AV301" i="40"/>
  <c r="AT301" i="40"/>
  <c r="AS301" i="40"/>
  <c r="AR301" i="40"/>
  <c r="AQ301" i="40"/>
  <c r="AP301" i="40"/>
  <c r="AO301" i="40"/>
  <c r="AN301" i="40"/>
  <c r="AM301" i="40"/>
  <c r="AL301" i="40"/>
  <c r="AK301" i="40"/>
  <c r="AJ301" i="40"/>
  <c r="AI301" i="40"/>
  <c r="AG301" i="40"/>
  <c r="AE301" i="40"/>
  <c r="AD301" i="40"/>
  <c r="AC301" i="40"/>
  <c r="AB301" i="40"/>
  <c r="BJ300" i="40"/>
  <c r="BI300" i="40"/>
  <c r="BH300" i="40"/>
  <c r="BG300" i="40"/>
  <c r="BF300" i="40"/>
  <c r="BE300" i="40"/>
  <c r="BD300" i="40"/>
  <c r="BC300" i="40"/>
  <c r="BB300" i="40"/>
  <c r="BA300" i="40"/>
  <c r="AZ300" i="40"/>
  <c r="AY300" i="40"/>
  <c r="AW300" i="40" a="1"/>
  <c r="AW300" i="40"/>
  <c r="AV300" i="40"/>
  <c r="AT300" i="40"/>
  <c r="AS300" i="40"/>
  <c r="AR300" i="40"/>
  <c r="AQ300" i="40"/>
  <c r="AP300" i="40"/>
  <c r="AO300" i="40"/>
  <c r="AN300" i="40"/>
  <c r="AM300" i="40"/>
  <c r="AL300" i="40"/>
  <c r="AK300" i="40"/>
  <c r="AJ300" i="40"/>
  <c r="AI300" i="40"/>
  <c r="AG300" i="40"/>
  <c r="AE300" i="40"/>
  <c r="AD300" i="40"/>
  <c r="AC300" i="40"/>
  <c r="AB300" i="40"/>
  <c r="BJ299" i="40"/>
  <c r="BI299" i="40"/>
  <c r="BH299" i="40"/>
  <c r="BG299" i="40"/>
  <c r="BF299" i="40"/>
  <c r="BE299" i="40"/>
  <c r="BD299" i="40"/>
  <c r="BC299" i="40"/>
  <c r="BB299" i="40"/>
  <c r="BA299" i="40"/>
  <c r="AZ299" i="40"/>
  <c r="AY299" i="40"/>
  <c r="AW299" i="40" a="1"/>
  <c r="AW299" i="40"/>
  <c r="AV299" i="40"/>
  <c r="AT299" i="40"/>
  <c r="AS299" i="40"/>
  <c r="AR299" i="40"/>
  <c r="AQ299" i="40"/>
  <c r="AP299" i="40"/>
  <c r="AO299" i="40"/>
  <c r="AN299" i="40"/>
  <c r="AM299" i="40"/>
  <c r="AL299" i="40"/>
  <c r="AK299" i="40"/>
  <c r="AJ299" i="40"/>
  <c r="AI299" i="40"/>
  <c r="AG299" i="40"/>
  <c r="AE299" i="40"/>
  <c r="AD299" i="40"/>
  <c r="AC299" i="40"/>
  <c r="AB299" i="40"/>
  <c r="BJ298" i="40"/>
  <c r="BI298" i="40"/>
  <c r="BH298" i="40"/>
  <c r="BG298" i="40"/>
  <c r="BF298" i="40"/>
  <c r="BE298" i="40"/>
  <c r="BD298" i="40"/>
  <c r="BC298" i="40"/>
  <c r="BB298" i="40"/>
  <c r="BA298" i="40"/>
  <c r="AZ298" i="40"/>
  <c r="AY298" i="40"/>
  <c r="AW298" i="40" a="1"/>
  <c r="AW298" i="40"/>
  <c r="AV298" i="40"/>
  <c r="AT298" i="40"/>
  <c r="AS298" i="40"/>
  <c r="AR298" i="40"/>
  <c r="AQ298" i="40"/>
  <c r="AP298" i="40"/>
  <c r="AO298" i="40"/>
  <c r="AN298" i="40"/>
  <c r="AM298" i="40"/>
  <c r="AL298" i="40"/>
  <c r="AK298" i="40"/>
  <c r="AJ298" i="40"/>
  <c r="AI298" i="40"/>
  <c r="AG298" i="40"/>
  <c r="AE298" i="40"/>
  <c r="AD298" i="40"/>
  <c r="AC298" i="40"/>
  <c r="AB298" i="40"/>
  <c r="BJ297" i="40"/>
  <c r="BI297" i="40"/>
  <c r="BH297" i="40"/>
  <c r="BG297" i="40"/>
  <c r="BF297" i="40"/>
  <c r="BE297" i="40"/>
  <c r="BD297" i="40"/>
  <c r="BC297" i="40"/>
  <c r="BB297" i="40"/>
  <c r="BA297" i="40"/>
  <c r="AZ297" i="40"/>
  <c r="AY297" i="40"/>
  <c r="AW297" i="40" a="1"/>
  <c r="AW297" i="40"/>
  <c r="AV297" i="40"/>
  <c r="AT297" i="40"/>
  <c r="AS297" i="40"/>
  <c r="AR297" i="40"/>
  <c r="AQ297" i="40"/>
  <c r="AP297" i="40"/>
  <c r="AO297" i="40"/>
  <c r="AN297" i="40"/>
  <c r="AM297" i="40"/>
  <c r="AL297" i="40"/>
  <c r="AK297" i="40"/>
  <c r="AJ297" i="40"/>
  <c r="AI297" i="40"/>
  <c r="AG297" i="40"/>
  <c r="AE297" i="40"/>
  <c r="AD297" i="40"/>
  <c r="AC297" i="40"/>
  <c r="AB297" i="40"/>
  <c r="BJ296" i="40"/>
  <c r="BI296" i="40"/>
  <c r="BH296" i="40"/>
  <c r="BG296" i="40"/>
  <c r="BF296" i="40"/>
  <c r="BE296" i="40"/>
  <c r="BD296" i="40"/>
  <c r="BC296" i="40"/>
  <c r="BB296" i="40"/>
  <c r="BA296" i="40"/>
  <c r="AZ296" i="40"/>
  <c r="AY296" i="40"/>
  <c r="AW296" i="40" a="1"/>
  <c r="AW296" i="40"/>
  <c r="AV296" i="40"/>
  <c r="AT296" i="40"/>
  <c r="AS296" i="40"/>
  <c r="AR296" i="40"/>
  <c r="AQ296" i="40"/>
  <c r="AP296" i="40"/>
  <c r="AO296" i="40"/>
  <c r="AN296" i="40"/>
  <c r="AM296" i="40"/>
  <c r="AL296" i="40"/>
  <c r="AK296" i="40"/>
  <c r="AJ296" i="40"/>
  <c r="AI296" i="40"/>
  <c r="AG296" i="40"/>
  <c r="AE296" i="40"/>
  <c r="AD296" i="40"/>
  <c r="AC296" i="40"/>
  <c r="AB296" i="40"/>
  <c r="BJ295" i="40"/>
  <c r="BI295" i="40"/>
  <c r="BH295" i="40"/>
  <c r="BG295" i="40"/>
  <c r="BF295" i="40"/>
  <c r="BE295" i="40"/>
  <c r="BD295" i="40"/>
  <c r="BC295" i="40"/>
  <c r="BB295" i="40"/>
  <c r="BA295" i="40"/>
  <c r="AZ295" i="40"/>
  <c r="AY295" i="40"/>
  <c r="AW295" i="40" a="1"/>
  <c r="AW295" i="40"/>
  <c r="AV295" i="40"/>
  <c r="AT295" i="40"/>
  <c r="AS295" i="40"/>
  <c r="AR295" i="40"/>
  <c r="AQ295" i="40"/>
  <c r="AP295" i="40"/>
  <c r="AO295" i="40"/>
  <c r="AN295" i="40"/>
  <c r="AM295" i="40"/>
  <c r="AL295" i="40"/>
  <c r="AK295" i="40"/>
  <c r="AJ295" i="40"/>
  <c r="AI295" i="40"/>
  <c r="AG295" i="40"/>
  <c r="AE295" i="40"/>
  <c r="AD295" i="40"/>
  <c r="AC295" i="40"/>
  <c r="AB295" i="40"/>
  <c r="BJ294" i="40"/>
  <c r="BI294" i="40"/>
  <c r="BH294" i="40"/>
  <c r="BG294" i="40"/>
  <c r="BF294" i="40"/>
  <c r="BE294" i="40"/>
  <c r="BD294" i="40"/>
  <c r="BC294" i="40"/>
  <c r="BB294" i="40"/>
  <c r="BA294" i="40"/>
  <c r="AZ294" i="40"/>
  <c r="AY294" i="40"/>
  <c r="AW294" i="40" a="1"/>
  <c r="AW294" i="40"/>
  <c r="AV294" i="40"/>
  <c r="AT294" i="40"/>
  <c r="AS294" i="40"/>
  <c r="AR294" i="40"/>
  <c r="AQ294" i="40"/>
  <c r="AP294" i="40"/>
  <c r="AO294" i="40"/>
  <c r="AN294" i="40"/>
  <c r="AM294" i="40"/>
  <c r="AL294" i="40"/>
  <c r="AK294" i="40"/>
  <c r="AJ294" i="40"/>
  <c r="AI294" i="40"/>
  <c r="AG294" i="40"/>
  <c r="AE294" i="40"/>
  <c r="AD294" i="40"/>
  <c r="AC294" i="40"/>
  <c r="AB294" i="40"/>
  <c r="BJ293" i="40"/>
  <c r="BI293" i="40"/>
  <c r="BH293" i="40"/>
  <c r="BG293" i="40"/>
  <c r="BF293" i="40"/>
  <c r="BE293" i="40"/>
  <c r="BD293" i="40"/>
  <c r="BC293" i="40"/>
  <c r="BB293" i="40"/>
  <c r="BA293" i="40"/>
  <c r="AZ293" i="40"/>
  <c r="AY293" i="40"/>
  <c r="AW293" i="40" a="1"/>
  <c r="AW293" i="40"/>
  <c r="AV293" i="40"/>
  <c r="AT293" i="40"/>
  <c r="AS293" i="40"/>
  <c r="AR293" i="40"/>
  <c r="AQ293" i="40"/>
  <c r="AP293" i="40"/>
  <c r="AO293" i="40"/>
  <c r="AN293" i="40"/>
  <c r="AM293" i="40"/>
  <c r="AL293" i="40"/>
  <c r="AK293" i="40"/>
  <c r="AJ293" i="40"/>
  <c r="AI293" i="40"/>
  <c r="AG293" i="40"/>
  <c r="AE293" i="40"/>
  <c r="AD293" i="40"/>
  <c r="AC293" i="40"/>
  <c r="AB293" i="40"/>
  <c r="BJ292" i="40"/>
  <c r="BI292" i="40"/>
  <c r="BH292" i="40"/>
  <c r="BG292" i="40"/>
  <c r="BF292" i="40"/>
  <c r="BE292" i="40"/>
  <c r="BD292" i="40"/>
  <c r="BC292" i="40"/>
  <c r="BB292" i="40"/>
  <c r="BA292" i="40"/>
  <c r="AZ292" i="40"/>
  <c r="AY292" i="40"/>
  <c r="AW292" i="40" a="1"/>
  <c r="AW292" i="40"/>
  <c r="AV292" i="40"/>
  <c r="AT292" i="40"/>
  <c r="AS292" i="40"/>
  <c r="AR292" i="40"/>
  <c r="AQ292" i="40"/>
  <c r="AP292" i="40"/>
  <c r="AO292" i="40"/>
  <c r="AN292" i="40"/>
  <c r="AM292" i="40"/>
  <c r="AL292" i="40"/>
  <c r="AK292" i="40"/>
  <c r="AJ292" i="40"/>
  <c r="AI292" i="40"/>
  <c r="AG292" i="40"/>
  <c r="AE292" i="40"/>
  <c r="AD292" i="40"/>
  <c r="AC292" i="40"/>
  <c r="AB292" i="40"/>
  <c r="BJ291" i="40"/>
  <c r="BI291" i="40"/>
  <c r="BH291" i="40"/>
  <c r="BG291" i="40"/>
  <c r="BF291" i="40"/>
  <c r="BE291" i="40"/>
  <c r="BD291" i="40"/>
  <c r="BC291" i="40"/>
  <c r="BB291" i="40"/>
  <c r="BA291" i="40"/>
  <c r="AZ291" i="40"/>
  <c r="AY291" i="40"/>
  <c r="AW291" i="40" a="1"/>
  <c r="AW291" i="40"/>
  <c r="AV291" i="40"/>
  <c r="AT291" i="40"/>
  <c r="AS291" i="40"/>
  <c r="AR291" i="40"/>
  <c r="AQ291" i="40"/>
  <c r="AP291" i="40"/>
  <c r="AO291" i="40"/>
  <c r="AN291" i="40"/>
  <c r="AM291" i="40"/>
  <c r="AL291" i="40"/>
  <c r="AK291" i="40"/>
  <c r="AJ291" i="40"/>
  <c r="AI291" i="40"/>
  <c r="AG291" i="40"/>
  <c r="AE291" i="40"/>
  <c r="AD291" i="40"/>
  <c r="AC291" i="40"/>
  <c r="AB291" i="40"/>
  <c r="BJ290" i="40"/>
  <c r="BI290" i="40"/>
  <c r="BH290" i="40"/>
  <c r="BG290" i="40"/>
  <c r="BF290" i="40"/>
  <c r="BE290" i="40"/>
  <c r="BD290" i="40"/>
  <c r="BC290" i="40"/>
  <c r="BB290" i="40"/>
  <c r="BA290" i="40"/>
  <c r="AZ290" i="40"/>
  <c r="AY290" i="40"/>
  <c r="AW290" i="40" a="1"/>
  <c r="AW290" i="40"/>
  <c r="AV290" i="40"/>
  <c r="AT290" i="40"/>
  <c r="AS290" i="40"/>
  <c r="AR290" i="40"/>
  <c r="AQ290" i="40"/>
  <c r="AP290" i="40"/>
  <c r="AO290" i="40"/>
  <c r="AN290" i="40"/>
  <c r="AM290" i="40"/>
  <c r="AL290" i="40"/>
  <c r="AK290" i="40"/>
  <c r="AJ290" i="40"/>
  <c r="AI290" i="40"/>
  <c r="AG290" i="40"/>
  <c r="AE290" i="40"/>
  <c r="AD290" i="40"/>
  <c r="AC290" i="40"/>
  <c r="AB290" i="40"/>
  <c r="BJ289" i="40"/>
  <c r="BI289" i="40"/>
  <c r="BH289" i="40"/>
  <c r="BG289" i="40"/>
  <c r="BF289" i="40"/>
  <c r="BE289" i="40"/>
  <c r="BD289" i="40"/>
  <c r="BC289" i="40"/>
  <c r="BB289" i="40"/>
  <c r="BA289" i="40"/>
  <c r="AZ289" i="40"/>
  <c r="AY289" i="40"/>
  <c r="AW289" i="40" a="1"/>
  <c r="AW289" i="40"/>
  <c r="AV289" i="40"/>
  <c r="AT289" i="40"/>
  <c r="AS289" i="40"/>
  <c r="AR289" i="40"/>
  <c r="AQ289" i="40"/>
  <c r="AP289" i="40"/>
  <c r="AO289" i="40"/>
  <c r="AN289" i="40"/>
  <c r="AM289" i="40"/>
  <c r="AL289" i="40"/>
  <c r="AK289" i="40"/>
  <c r="AJ289" i="40"/>
  <c r="AI289" i="40"/>
  <c r="AG289" i="40"/>
  <c r="AE289" i="40"/>
  <c r="AD289" i="40"/>
  <c r="AC289" i="40"/>
  <c r="AB289" i="40"/>
  <c r="BJ288" i="40"/>
  <c r="BI288" i="40"/>
  <c r="BH288" i="40"/>
  <c r="BG288" i="40"/>
  <c r="BF288" i="40"/>
  <c r="BE288" i="40"/>
  <c r="BD288" i="40"/>
  <c r="BC288" i="40"/>
  <c r="BB288" i="40"/>
  <c r="BA288" i="40"/>
  <c r="AZ288" i="40"/>
  <c r="AY288" i="40"/>
  <c r="AW288" i="40" a="1"/>
  <c r="AW288" i="40"/>
  <c r="AV288" i="40"/>
  <c r="AT288" i="40"/>
  <c r="AS288" i="40"/>
  <c r="AR288" i="40"/>
  <c r="AQ288" i="40"/>
  <c r="AP288" i="40"/>
  <c r="AO288" i="40"/>
  <c r="AN288" i="40"/>
  <c r="AM288" i="40"/>
  <c r="AL288" i="40"/>
  <c r="AK288" i="40"/>
  <c r="AJ288" i="40"/>
  <c r="AI288" i="40"/>
  <c r="AG288" i="40"/>
  <c r="AE288" i="40"/>
  <c r="AD288" i="40"/>
  <c r="AC288" i="40"/>
  <c r="AB288" i="40"/>
  <c r="BJ287" i="40"/>
  <c r="BI287" i="40"/>
  <c r="BH287" i="40"/>
  <c r="BG287" i="40"/>
  <c r="BF287" i="40"/>
  <c r="BE287" i="40"/>
  <c r="BD287" i="40"/>
  <c r="BC287" i="40"/>
  <c r="BB287" i="40"/>
  <c r="BA287" i="40"/>
  <c r="AZ287" i="40"/>
  <c r="AY287" i="40"/>
  <c r="AW287" i="40" a="1"/>
  <c r="AW287" i="40"/>
  <c r="AV287" i="40"/>
  <c r="AT287" i="40"/>
  <c r="AS287" i="40"/>
  <c r="AR287" i="40"/>
  <c r="AQ287" i="40"/>
  <c r="AP287" i="40"/>
  <c r="AO287" i="40"/>
  <c r="AN287" i="40"/>
  <c r="AM287" i="40"/>
  <c r="AL287" i="40"/>
  <c r="AK287" i="40"/>
  <c r="AJ287" i="40"/>
  <c r="AI287" i="40"/>
  <c r="AG287" i="40"/>
  <c r="AE287" i="40"/>
  <c r="AD287" i="40"/>
  <c r="AC287" i="40"/>
  <c r="AB287" i="40"/>
  <c r="BJ286" i="40"/>
  <c r="BI286" i="40"/>
  <c r="BH286" i="40"/>
  <c r="BG286" i="40"/>
  <c r="BF286" i="40"/>
  <c r="BE286" i="40"/>
  <c r="BD286" i="40"/>
  <c r="BC286" i="40"/>
  <c r="BB286" i="40"/>
  <c r="BA286" i="40"/>
  <c r="AZ286" i="40"/>
  <c r="AY286" i="40"/>
  <c r="AW286" i="40" a="1"/>
  <c r="AW286" i="40"/>
  <c r="AV286" i="40"/>
  <c r="AT286" i="40"/>
  <c r="AS286" i="40"/>
  <c r="AR286" i="40"/>
  <c r="AQ286" i="40"/>
  <c r="AP286" i="40"/>
  <c r="AO286" i="40"/>
  <c r="AN286" i="40"/>
  <c r="AM286" i="40"/>
  <c r="AL286" i="40"/>
  <c r="AK286" i="40"/>
  <c r="AJ286" i="40"/>
  <c r="AI286" i="40"/>
  <c r="AG286" i="40"/>
  <c r="AE286" i="40"/>
  <c r="AD286" i="40"/>
  <c r="AC286" i="40"/>
  <c r="AB286" i="40"/>
  <c r="BJ285" i="40"/>
  <c r="BI285" i="40"/>
  <c r="BH285" i="40"/>
  <c r="BG285" i="40"/>
  <c r="BF285" i="40"/>
  <c r="BE285" i="40"/>
  <c r="BD285" i="40"/>
  <c r="BC285" i="40"/>
  <c r="BB285" i="40"/>
  <c r="BA285" i="40"/>
  <c r="AZ285" i="40"/>
  <c r="AY285" i="40"/>
  <c r="AW285" i="40" a="1"/>
  <c r="AW285" i="40"/>
  <c r="AV285" i="40"/>
  <c r="AT285" i="40"/>
  <c r="AS285" i="40"/>
  <c r="AR285" i="40"/>
  <c r="AQ285" i="40"/>
  <c r="AP285" i="40"/>
  <c r="AO285" i="40"/>
  <c r="AN285" i="40"/>
  <c r="AM285" i="40"/>
  <c r="AL285" i="40"/>
  <c r="AK285" i="40"/>
  <c r="AJ285" i="40"/>
  <c r="AI285" i="40"/>
  <c r="AG285" i="40"/>
  <c r="AE285" i="40"/>
  <c r="AD285" i="40"/>
  <c r="AC285" i="40"/>
  <c r="AB285" i="40"/>
  <c r="BJ284" i="40"/>
  <c r="BI284" i="40"/>
  <c r="BH284" i="40"/>
  <c r="BG284" i="40"/>
  <c r="BF284" i="40"/>
  <c r="BE284" i="40"/>
  <c r="BD284" i="40"/>
  <c r="BC284" i="40"/>
  <c r="BB284" i="40"/>
  <c r="BA284" i="40"/>
  <c r="AZ284" i="40"/>
  <c r="AY284" i="40"/>
  <c r="AW284" i="40" a="1"/>
  <c r="AW284" i="40"/>
  <c r="AV284" i="40"/>
  <c r="AT284" i="40"/>
  <c r="AS284" i="40"/>
  <c r="AR284" i="40"/>
  <c r="AQ284" i="40"/>
  <c r="AP284" i="40"/>
  <c r="AO284" i="40"/>
  <c r="AN284" i="40"/>
  <c r="AM284" i="40"/>
  <c r="AL284" i="40"/>
  <c r="AK284" i="40"/>
  <c r="AJ284" i="40"/>
  <c r="AI284" i="40"/>
  <c r="AG284" i="40"/>
  <c r="AE284" i="40"/>
  <c r="AD284" i="40"/>
  <c r="AC284" i="40"/>
  <c r="AB284" i="40"/>
  <c r="BJ283" i="40"/>
  <c r="BI283" i="40"/>
  <c r="BH283" i="40"/>
  <c r="BG283" i="40"/>
  <c r="BF283" i="40"/>
  <c r="BE283" i="40"/>
  <c r="BD283" i="40"/>
  <c r="BC283" i="40"/>
  <c r="BB283" i="40"/>
  <c r="BA283" i="40"/>
  <c r="AZ283" i="40"/>
  <c r="AY283" i="40"/>
  <c r="AW283" i="40" a="1"/>
  <c r="AW283" i="40"/>
  <c r="AV283" i="40"/>
  <c r="AT283" i="40"/>
  <c r="AS283" i="40"/>
  <c r="AR283" i="40"/>
  <c r="AQ283" i="40"/>
  <c r="AP283" i="40"/>
  <c r="AO283" i="40"/>
  <c r="AN283" i="40"/>
  <c r="AM283" i="40"/>
  <c r="AL283" i="40"/>
  <c r="AK283" i="40"/>
  <c r="AJ283" i="40"/>
  <c r="AI283" i="40"/>
  <c r="AG283" i="40"/>
  <c r="AE283" i="40"/>
  <c r="AD283" i="40"/>
  <c r="AC283" i="40"/>
  <c r="AB283" i="40"/>
  <c r="BJ282" i="40"/>
  <c r="BI282" i="40"/>
  <c r="BH282" i="40"/>
  <c r="BG282" i="40"/>
  <c r="BF282" i="40"/>
  <c r="BE282" i="40"/>
  <c r="BD282" i="40"/>
  <c r="BC282" i="40"/>
  <c r="BB282" i="40"/>
  <c r="BA282" i="40"/>
  <c r="AZ282" i="40"/>
  <c r="AY282" i="40"/>
  <c r="AW282" i="40" a="1"/>
  <c r="AW282" i="40"/>
  <c r="AV282" i="40"/>
  <c r="AT282" i="40"/>
  <c r="AS282" i="40"/>
  <c r="AR282" i="40"/>
  <c r="AQ282" i="40"/>
  <c r="AP282" i="40"/>
  <c r="AO282" i="40"/>
  <c r="AN282" i="40"/>
  <c r="AM282" i="40"/>
  <c r="AL282" i="40"/>
  <c r="AK282" i="40"/>
  <c r="AJ282" i="40"/>
  <c r="AI282" i="40"/>
  <c r="AG282" i="40"/>
  <c r="AE282" i="40"/>
  <c r="AD282" i="40"/>
  <c r="AC282" i="40"/>
  <c r="AB282" i="40"/>
  <c r="BJ281" i="40"/>
  <c r="BI281" i="40"/>
  <c r="BH281" i="40"/>
  <c r="BG281" i="40"/>
  <c r="BF281" i="40"/>
  <c r="BE281" i="40"/>
  <c r="BD281" i="40"/>
  <c r="BC281" i="40"/>
  <c r="BB281" i="40"/>
  <c r="BA281" i="40"/>
  <c r="AZ281" i="40"/>
  <c r="AY281" i="40"/>
  <c r="AW281" i="40" a="1"/>
  <c r="AW281" i="40"/>
  <c r="AV281" i="40"/>
  <c r="AT281" i="40"/>
  <c r="AS281" i="40"/>
  <c r="AR281" i="40"/>
  <c r="AQ281" i="40"/>
  <c r="AP281" i="40"/>
  <c r="AO281" i="40"/>
  <c r="AN281" i="40"/>
  <c r="AM281" i="40"/>
  <c r="AL281" i="40"/>
  <c r="AK281" i="40"/>
  <c r="AJ281" i="40"/>
  <c r="AI281" i="40"/>
  <c r="AG281" i="40"/>
  <c r="AE281" i="40"/>
  <c r="AD281" i="40"/>
  <c r="AC281" i="40"/>
  <c r="AB281" i="40"/>
  <c r="BJ280" i="40"/>
  <c r="BI280" i="40"/>
  <c r="BH280" i="40"/>
  <c r="BG280" i="40"/>
  <c r="BF280" i="40"/>
  <c r="BE280" i="40"/>
  <c r="BD280" i="40"/>
  <c r="BC280" i="40"/>
  <c r="BB280" i="40"/>
  <c r="BA280" i="40"/>
  <c r="AZ280" i="40"/>
  <c r="AY280" i="40"/>
  <c r="AW280" i="40" a="1"/>
  <c r="AW280" i="40"/>
  <c r="AV280" i="40"/>
  <c r="AT280" i="40"/>
  <c r="AS280" i="40"/>
  <c r="AR280" i="40"/>
  <c r="AQ280" i="40"/>
  <c r="AP280" i="40"/>
  <c r="AO280" i="40"/>
  <c r="AN280" i="40"/>
  <c r="AM280" i="40"/>
  <c r="AL280" i="40"/>
  <c r="AK280" i="40"/>
  <c r="AJ280" i="40"/>
  <c r="AI280" i="40"/>
  <c r="AG280" i="40"/>
  <c r="AE280" i="40"/>
  <c r="AD280" i="40"/>
  <c r="AC280" i="40"/>
  <c r="AB280" i="40"/>
  <c r="BJ279" i="40"/>
  <c r="BI279" i="40"/>
  <c r="BH279" i="40"/>
  <c r="BG279" i="40"/>
  <c r="BF279" i="40"/>
  <c r="BE279" i="40"/>
  <c r="BD279" i="40"/>
  <c r="BC279" i="40"/>
  <c r="BB279" i="40"/>
  <c r="BA279" i="40"/>
  <c r="AZ279" i="40"/>
  <c r="AY279" i="40"/>
  <c r="AW279" i="40" a="1"/>
  <c r="AW279" i="40"/>
  <c r="AV279" i="40"/>
  <c r="AT279" i="40"/>
  <c r="AS279" i="40"/>
  <c r="AR279" i="40"/>
  <c r="AQ279" i="40"/>
  <c r="AP279" i="40"/>
  <c r="AO279" i="40"/>
  <c r="AN279" i="40"/>
  <c r="AM279" i="40"/>
  <c r="AL279" i="40"/>
  <c r="AK279" i="40"/>
  <c r="AJ279" i="40"/>
  <c r="AI279" i="40"/>
  <c r="AG279" i="40"/>
  <c r="AE279" i="40"/>
  <c r="AD279" i="40"/>
  <c r="AC279" i="40"/>
  <c r="AB279" i="40"/>
  <c r="BJ278" i="40"/>
  <c r="BI278" i="40"/>
  <c r="BH278" i="40"/>
  <c r="BG278" i="40"/>
  <c r="BF278" i="40"/>
  <c r="BE278" i="40"/>
  <c r="BD278" i="40"/>
  <c r="BC278" i="40"/>
  <c r="BB278" i="40"/>
  <c r="BA278" i="40"/>
  <c r="AZ278" i="40"/>
  <c r="AY278" i="40"/>
  <c r="AW278" i="40" a="1"/>
  <c r="AW278" i="40"/>
  <c r="AV278" i="40"/>
  <c r="AT278" i="40"/>
  <c r="AS278" i="40"/>
  <c r="AR278" i="40"/>
  <c r="AQ278" i="40"/>
  <c r="AP278" i="40"/>
  <c r="AO278" i="40"/>
  <c r="AN278" i="40"/>
  <c r="AM278" i="40"/>
  <c r="AL278" i="40"/>
  <c r="AK278" i="40"/>
  <c r="AJ278" i="40"/>
  <c r="AI278" i="40"/>
  <c r="AG278" i="40"/>
  <c r="AE278" i="40"/>
  <c r="AD278" i="40"/>
  <c r="AC278" i="40"/>
  <c r="AB278" i="40"/>
  <c r="BJ277" i="40"/>
  <c r="BI277" i="40"/>
  <c r="BH277" i="40"/>
  <c r="BG277" i="40"/>
  <c r="BF277" i="40"/>
  <c r="BE277" i="40"/>
  <c r="BD277" i="40"/>
  <c r="BC277" i="40"/>
  <c r="BB277" i="40"/>
  <c r="BA277" i="40"/>
  <c r="AZ277" i="40"/>
  <c r="AY277" i="40"/>
  <c r="AW277" i="40" a="1"/>
  <c r="AW277" i="40"/>
  <c r="AV277" i="40"/>
  <c r="AT277" i="40"/>
  <c r="AS277" i="40"/>
  <c r="AR277" i="40"/>
  <c r="AQ277" i="40"/>
  <c r="AP277" i="40"/>
  <c r="AO277" i="40"/>
  <c r="AN277" i="40"/>
  <c r="AM277" i="40"/>
  <c r="AL277" i="40"/>
  <c r="AK277" i="40"/>
  <c r="AJ277" i="40"/>
  <c r="AI277" i="40"/>
  <c r="AG277" i="40"/>
  <c r="AE277" i="40"/>
  <c r="AD277" i="40"/>
  <c r="AC277" i="40"/>
  <c r="AB277" i="40"/>
  <c r="BJ276" i="40"/>
  <c r="BI276" i="40"/>
  <c r="BH276" i="40"/>
  <c r="BG276" i="40"/>
  <c r="BF276" i="40"/>
  <c r="BE276" i="40"/>
  <c r="BD276" i="40"/>
  <c r="BC276" i="40"/>
  <c r="BB276" i="40"/>
  <c r="BA276" i="40"/>
  <c r="AZ276" i="40"/>
  <c r="AY276" i="40"/>
  <c r="AW276" i="40" a="1"/>
  <c r="AW276" i="40"/>
  <c r="AV276" i="40"/>
  <c r="AT276" i="40"/>
  <c r="AS276" i="40"/>
  <c r="AR276" i="40"/>
  <c r="AQ276" i="40"/>
  <c r="AP276" i="40"/>
  <c r="AO276" i="40"/>
  <c r="AN276" i="40"/>
  <c r="AM276" i="40"/>
  <c r="AL276" i="40"/>
  <c r="AK276" i="40"/>
  <c r="AJ276" i="40"/>
  <c r="AI276" i="40"/>
  <c r="AG276" i="40"/>
  <c r="AE276" i="40"/>
  <c r="AD276" i="40"/>
  <c r="AC276" i="40"/>
  <c r="AB276" i="40"/>
  <c r="BJ275" i="40"/>
  <c r="BI275" i="40"/>
  <c r="BH275" i="40"/>
  <c r="BG275" i="40"/>
  <c r="BF275" i="40"/>
  <c r="BE275" i="40"/>
  <c r="BD275" i="40"/>
  <c r="BC275" i="40"/>
  <c r="BB275" i="40"/>
  <c r="BA275" i="40"/>
  <c r="AZ275" i="40"/>
  <c r="AY275" i="40"/>
  <c r="AW275" i="40" a="1"/>
  <c r="AW275" i="40"/>
  <c r="AV275" i="40"/>
  <c r="AT275" i="40"/>
  <c r="AS275" i="40"/>
  <c r="AR275" i="40"/>
  <c r="AQ275" i="40"/>
  <c r="AP275" i="40"/>
  <c r="AO275" i="40"/>
  <c r="AN275" i="40"/>
  <c r="AM275" i="40"/>
  <c r="AL275" i="40"/>
  <c r="AK275" i="40"/>
  <c r="AJ275" i="40"/>
  <c r="AI275" i="40"/>
  <c r="AG275" i="40"/>
  <c r="AE275" i="40"/>
  <c r="AD275" i="40"/>
  <c r="AC275" i="40"/>
  <c r="AB275" i="40"/>
  <c r="BJ274" i="40"/>
  <c r="BI274" i="40"/>
  <c r="BH274" i="40"/>
  <c r="BG274" i="40"/>
  <c r="BF274" i="40"/>
  <c r="BE274" i="40"/>
  <c r="BD274" i="40"/>
  <c r="BC274" i="40"/>
  <c r="BB274" i="40"/>
  <c r="BA274" i="40"/>
  <c r="AZ274" i="40"/>
  <c r="AY274" i="40"/>
  <c r="AW274" i="40" a="1"/>
  <c r="AW274" i="40"/>
  <c r="AV274" i="40"/>
  <c r="AT274" i="40"/>
  <c r="AS274" i="40"/>
  <c r="AR274" i="40"/>
  <c r="AQ274" i="40"/>
  <c r="AP274" i="40"/>
  <c r="AO274" i="40"/>
  <c r="AN274" i="40"/>
  <c r="AM274" i="40"/>
  <c r="AL274" i="40"/>
  <c r="AK274" i="40"/>
  <c r="AJ274" i="40"/>
  <c r="AI274" i="40"/>
  <c r="AG274" i="40"/>
  <c r="AE274" i="40"/>
  <c r="AD274" i="40"/>
  <c r="AC274" i="40"/>
  <c r="AB274" i="40"/>
  <c r="BJ273" i="40"/>
  <c r="BI273" i="40"/>
  <c r="BH273" i="40"/>
  <c r="BG273" i="40"/>
  <c r="BF273" i="40"/>
  <c r="BE273" i="40"/>
  <c r="BD273" i="40"/>
  <c r="BC273" i="40"/>
  <c r="BB273" i="40"/>
  <c r="BA273" i="40"/>
  <c r="AZ273" i="40"/>
  <c r="AY273" i="40"/>
  <c r="AW273" i="40" a="1"/>
  <c r="AW273" i="40"/>
  <c r="AV273" i="40"/>
  <c r="AT273" i="40"/>
  <c r="AS273" i="40"/>
  <c r="AR273" i="40"/>
  <c r="AQ273" i="40"/>
  <c r="AP273" i="40"/>
  <c r="AO273" i="40"/>
  <c r="AN273" i="40"/>
  <c r="AM273" i="40"/>
  <c r="AL273" i="40"/>
  <c r="AK273" i="40"/>
  <c r="AJ273" i="40"/>
  <c r="AI273" i="40"/>
  <c r="AG273" i="40"/>
  <c r="AE273" i="40"/>
  <c r="AD273" i="40"/>
  <c r="AC273" i="40"/>
  <c r="AB273" i="40"/>
  <c r="BJ272" i="40"/>
  <c r="BI272" i="40"/>
  <c r="BH272" i="40"/>
  <c r="BG272" i="40"/>
  <c r="BF272" i="40"/>
  <c r="BE272" i="40"/>
  <c r="BD272" i="40"/>
  <c r="BC272" i="40"/>
  <c r="BB272" i="40"/>
  <c r="BA272" i="40"/>
  <c r="AZ272" i="40"/>
  <c r="AY272" i="40"/>
  <c r="AW272" i="40" a="1"/>
  <c r="AW272" i="40"/>
  <c r="AV272" i="40"/>
  <c r="AT272" i="40"/>
  <c r="AS272" i="40"/>
  <c r="AR272" i="40"/>
  <c r="AQ272" i="40"/>
  <c r="AP272" i="40"/>
  <c r="AO272" i="40"/>
  <c r="AN272" i="40"/>
  <c r="AM272" i="40"/>
  <c r="AL272" i="40"/>
  <c r="AK272" i="40"/>
  <c r="AJ272" i="40"/>
  <c r="AI272" i="40"/>
  <c r="AG272" i="40"/>
  <c r="AE272" i="40"/>
  <c r="AD272" i="40"/>
  <c r="AC272" i="40"/>
  <c r="AB272" i="40"/>
  <c r="BJ271" i="40"/>
  <c r="BI271" i="40"/>
  <c r="BH271" i="40"/>
  <c r="BG271" i="40"/>
  <c r="BF271" i="40"/>
  <c r="BE271" i="40"/>
  <c r="BD271" i="40"/>
  <c r="BC271" i="40"/>
  <c r="BB271" i="40"/>
  <c r="BA271" i="40"/>
  <c r="AZ271" i="40"/>
  <c r="AY271" i="40"/>
  <c r="AW271" i="40" a="1"/>
  <c r="AW271" i="40"/>
  <c r="AV271" i="40"/>
  <c r="AT271" i="40"/>
  <c r="AS271" i="40"/>
  <c r="AR271" i="40"/>
  <c r="AQ271" i="40"/>
  <c r="AP271" i="40"/>
  <c r="AO271" i="40"/>
  <c r="AN271" i="40"/>
  <c r="AM271" i="40"/>
  <c r="AL271" i="40"/>
  <c r="AK271" i="40"/>
  <c r="AJ271" i="40"/>
  <c r="AI271" i="40"/>
  <c r="AG271" i="40"/>
  <c r="AE271" i="40"/>
  <c r="AD271" i="40"/>
  <c r="AC271" i="40"/>
  <c r="AB271" i="40"/>
  <c r="BJ270" i="40"/>
  <c r="BI270" i="40"/>
  <c r="BH270" i="40"/>
  <c r="BG270" i="40"/>
  <c r="BF270" i="40"/>
  <c r="BE270" i="40"/>
  <c r="BD270" i="40"/>
  <c r="BC270" i="40"/>
  <c r="BB270" i="40"/>
  <c r="BA270" i="40"/>
  <c r="AZ270" i="40"/>
  <c r="AY270" i="40"/>
  <c r="AW270" i="40" a="1"/>
  <c r="AW270" i="40"/>
  <c r="AV270" i="40"/>
  <c r="AT270" i="40"/>
  <c r="AS270" i="40"/>
  <c r="AR270" i="40"/>
  <c r="AQ270" i="40"/>
  <c r="AP270" i="40"/>
  <c r="AO270" i="40"/>
  <c r="AN270" i="40"/>
  <c r="AM270" i="40"/>
  <c r="AL270" i="40"/>
  <c r="AK270" i="40"/>
  <c r="AJ270" i="40"/>
  <c r="AI270" i="40"/>
  <c r="AG270" i="40"/>
  <c r="AE270" i="40"/>
  <c r="AD270" i="40"/>
  <c r="AC270" i="40"/>
  <c r="AB270" i="40"/>
  <c r="BJ269" i="40"/>
  <c r="BI269" i="40"/>
  <c r="BH269" i="40"/>
  <c r="BG269" i="40"/>
  <c r="BF269" i="40"/>
  <c r="BE269" i="40"/>
  <c r="BD269" i="40"/>
  <c r="BC269" i="40"/>
  <c r="BB269" i="40"/>
  <c r="BA269" i="40"/>
  <c r="AZ269" i="40"/>
  <c r="AY269" i="40"/>
  <c r="AW269" i="40" a="1"/>
  <c r="AW269" i="40"/>
  <c r="AV269" i="40"/>
  <c r="AT269" i="40"/>
  <c r="AS269" i="40"/>
  <c r="AR269" i="40"/>
  <c r="AQ269" i="40"/>
  <c r="AP269" i="40"/>
  <c r="AO269" i="40"/>
  <c r="AN269" i="40"/>
  <c r="AM269" i="40"/>
  <c r="AL269" i="40"/>
  <c r="AK269" i="40"/>
  <c r="AJ269" i="40"/>
  <c r="AI269" i="40"/>
  <c r="AG269" i="40"/>
  <c r="AE269" i="40"/>
  <c r="AD269" i="40"/>
  <c r="AC269" i="40"/>
  <c r="AB269" i="40"/>
  <c r="BJ268" i="40"/>
  <c r="BI268" i="40"/>
  <c r="BH268" i="40"/>
  <c r="BG268" i="40"/>
  <c r="BF268" i="40"/>
  <c r="BE268" i="40"/>
  <c r="BD268" i="40"/>
  <c r="BC268" i="40"/>
  <c r="BB268" i="40"/>
  <c r="BA268" i="40"/>
  <c r="AZ268" i="40"/>
  <c r="AY268" i="40"/>
  <c r="AW268" i="40" a="1"/>
  <c r="AW268" i="40"/>
  <c r="AV268" i="40"/>
  <c r="AT268" i="40"/>
  <c r="AS268" i="40"/>
  <c r="AR268" i="40"/>
  <c r="AQ268" i="40"/>
  <c r="AP268" i="40"/>
  <c r="AO268" i="40"/>
  <c r="AN268" i="40"/>
  <c r="AM268" i="40"/>
  <c r="AL268" i="40"/>
  <c r="AK268" i="40"/>
  <c r="AJ268" i="40"/>
  <c r="AI268" i="40"/>
  <c r="AG268" i="40"/>
  <c r="AE268" i="40"/>
  <c r="AD268" i="40"/>
  <c r="AC268" i="40"/>
  <c r="AB268" i="40"/>
  <c r="BJ267" i="40"/>
  <c r="BI267" i="40"/>
  <c r="BH267" i="40"/>
  <c r="BG267" i="40"/>
  <c r="BF267" i="40"/>
  <c r="BE267" i="40"/>
  <c r="BD267" i="40"/>
  <c r="BC267" i="40"/>
  <c r="BB267" i="40"/>
  <c r="BA267" i="40"/>
  <c r="AZ267" i="40"/>
  <c r="AY267" i="40"/>
  <c r="AW267" i="40" a="1"/>
  <c r="AW267" i="40"/>
  <c r="AV267" i="40"/>
  <c r="AT267" i="40"/>
  <c r="AS267" i="40"/>
  <c r="AR267" i="40"/>
  <c r="AQ267" i="40"/>
  <c r="AP267" i="40"/>
  <c r="AO267" i="40"/>
  <c r="AN267" i="40"/>
  <c r="AM267" i="40"/>
  <c r="AL267" i="40"/>
  <c r="AK267" i="40"/>
  <c r="AJ267" i="40"/>
  <c r="AI267" i="40"/>
  <c r="AG267" i="40"/>
  <c r="AE267" i="40"/>
  <c r="AD267" i="40"/>
  <c r="AC267" i="40"/>
  <c r="AB267" i="40"/>
  <c r="BJ266" i="40"/>
  <c r="BI266" i="40"/>
  <c r="BH266" i="40"/>
  <c r="BG266" i="40"/>
  <c r="BF266" i="40"/>
  <c r="BE266" i="40"/>
  <c r="BD266" i="40"/>
  <c r="BC266" i="40"/>
  <c r="BB266" i="40"/>
  <c r="BA266" i="40"/>
  <c r="AZ266" i="40"/>
  <c r="AY266" i="40"/>
  <c r="AW266" i="40" a="1"/>
  <c r="AW266" i="40"/>
  <c r="AV266" i="40"/>
  <c r="AT266" i="40"/>
  <c r="AS266" i="40"/>
  <c r="AR266" i="40"/>
  <c r="AQ266" i="40"/>
  <c r="AP266" i="40"/>
  <c r="AO266" i="40"/>
  <c r="AN266" i="40"/>
  <c r="AM266" i="40"/>
  <c r="AL266" i="40"/>
  <c r="AK266" i="40"/>
  <c r="AJ266" i="40"/>
  <c r="AI266" i="40"/>
  <c r="AG266" i="40"/>
  <c r="AE266" i="40"/>
  <c r="AD266" i="40"/>
  <c r="AC266" i="40"/>
  <c r="AB266" i="40"/>
  <c r="BJ265" i="40"/>
  <c r="BI265" i="40"/>
  <c r="BH265" i="40"/>
  <c r="BG265" i="40"/>
  <c r="BF265" i="40"/>
  <c r="BE265" i="40"/>
  <c r="BD265" i="40"/>
  <c r="BC265" i="40"/>
  <c r="BB265" i="40"/>
  <c r="BA265" i="40"/>
  <c r="AZ265" i="40"/>
  <c r="AY265" i="40"/>
  <c r="AW265" i="40" a="1"/>
  <c r="AW265" i="40"/>
  <c r="AV265" i="40"/>
  <c r="AT265" i="40"/>
  <c r="AS265" i="40"/>
  <c r="AR265" i="40"/>
  <c r="AQ265" i="40"/>
  <c r="AP265" i="40"/>
  <c r="AO265" i="40"/>
  <c r="AN265" i="40"/>
  <c r="AM265" i="40"/>
  <c r="AL265" i="40"/>
  <c r="AK265" i="40"/>
  <c r="AJ265" i="40"/>
  <c r="AI265" i="40"/>
  <c r="AG265" i="40"/>
  <c r="AE265" i="40"/>
  <c r="AD265" i="40"/>
  <c r="AC265" i="40"/>
  <c r="AB265" i="40"/>
  <c r="BJ264" i="40"/>
  <c r="BI264" i="40"/>
  <c r="BH264" i="40"/>
  <c r="BG264" i="40"/>
  <c r="BF264" i="40"/>
  <c r="BE264" i="40"/>
  <c r="BD264" i="40"/>
  <c r="BC264" i="40"/>
  <c r="BB264" i="40"/>
  <c r="BA264" i="40"/>
  <c r="AZ264" i="40"/>
  <c r="AY264" i="40"/>
  <c r="AW264" i="40" a="1"/>
  <c r="AW264" i="40"/>
  <c r="AV264" i="40"/>
  <c r="AT264" i="40"/>
  <c r="AS264" i="40"/>
  <c r="AR264" i="40"/>
  <c r="AQ264" i="40"/>
  <c r="AP264" i="40"/>
  <c r="AO264" i="40"/>
  <c r="AN264" i="40"/>
  <c r="AM264" i="40"/>
  <c r="AL264" i="40"/>
  <c r="AK264" i="40"/>
  <c r="AJ264" i="40"/>
  <c r="AI264" i="40"/>
  <c r="AG264" i="40"/>
  <c r="AE264" i="40"/>
  <c r="AD264" i="40"/>
  <c r="AC264" i="40"/>
  <c r="AB264" i="40"/>
  <c r="BJ263" i="40"/>
  <c r="BI263" i="40"/>
  <c r="BH263" i="40"/>
  <c r="BG263" i="40"/>
  <c r="BF263" i="40"/>
  <c r="BE263" i="40"/>
  <c r="BD263" i="40"/>
  <c r="BC263" i="40"/>
  <c r="BB263" i="40"/>
  <c r="BA263" i="40"/>
  <c r="AZ263" i="40"/>
  <c r="AY263" i="40"/>
  <c r="AW263" i="40" a="1"/>
  <c r="AW263" i="40"/>
  <c r="AV263" i="40"/>
  <c r="AT263" i="40"/>
  <c r="AS263" i="40"/>
  <c r="AR263" i="40"/>
  <c r="AQ263" i="40"/>
  <c r="AP263" i="40"/>
  <c r="AO263" i="40"/>
  <c r="AN263" i="40"/>
  <c r="AM263" i="40"/>
  <c r="AL263" i="40"/>
  <c r="AK263" i="40"/>
  <c r="AJ263" i="40"/>
  <c r="AI263" i="40"/>
  <c r="AG263" i="40"/>
  <c r="AE263" i="40"/>
  <c r="AD263" i="40"/>
  <c r="AC263" i="40"/>
  <c r="AB263" i="40"/>
  <c r="BJ262" i="40"/>
  <c r="BI262" i="40"/>
  <c r="BH262" i="40"/>
  <c r="BG262" i="40"/>
  <c r="BF262" i="40"/>
  <c r="BE262" i="40"/>
  <c r="BD262" i="40"/>
  <c r="BC262" i="40"/>
  <c r="BB262" i="40"/>
  <c r="BA262" i="40"/>
  <c r="AZ262" i="40"/>
  <c r="AY262" i="40"/>
  <c r="AW262" i="40" a="1"/>
  <c r="AW262" i="40"/>
  <c r="AV262" i="40"/>
  <c r="AT262" i="40"/>
  <c r="AS262" i="40"/>
  <c r="AR262" i="40"/>
  <c r="AQ262" i="40"/>
  <c r="AP262" i="40"/>
  <c r="AO262" i="40"/>
  <c r="AN262" i="40"/>
  <c r="AM262" i="40"/>
  <c r="AL262" i="40"/>
  <c r="AK262" i="40"/>
  <c r="AJ262" i="40"/>
  <c r="AI262" i="40"/>
  <c r="AG262" i="40"/>
  <c r="AE262" i="40"/>
  <c r="AD262" i="40"/>
  <c r="AC262" i="40"/>
  <c r="AB262" i="40"/>
  <c r="BJ261" i="40"/>
  <c r="BI261" i="40"/>
  <c r="BH261" i="40"/>
  <c r="BG261" i="40"/>
  <c r="BF261" i="40"/>
  <c r="BE261" i="40"/>
  <c r="BD261" i="40"/>
  <c r="BC261" i="40"/>
  <c r="BB261" i="40"/>
  <c r="BA261" i="40"/>
  <c r="AZ261" i="40"/>
  <c r="AY261" i="40"/>
  <c r="AW261" i="40" a="1"/>
  <c r="AW261" i="40"/>
  <c r="AV261" i="40"/>
  <c r="AT261" i="40"/>
  <c r="AS261" i="40"/>
  <c r="AR261" i="40"/>
  <c r="AQ261" i="40"/>
  <c r="AP261" i="40"/>
  <c r="AO261" i="40"/>
  <c r="AN261" i="40"/>
  <c r="AM261" i="40"/>
  <c r="AL261" i="40"/>
  <c r="AK261" i="40"/>
  <c r="AJ261" i="40"/>
  <c r="AI261" i="40"/>
  <c r="AG261" i="40"/>
  <c r="AE261" i="40"/>
  <c r="AD261" i="40"/>
  <c r="AC261" i="40"/>
  <c r="AB261" i="40"/>
  <c r="BJ260" i="40"/>
  <c r="BI260" i="40"/>
  <c r="BH260" i="40"/>
  <c r="BG260" i="40"/>
  <c r="BF260" i="40"/>
  <c r="BE260" i="40"/>
  <c r="BD260" i="40"/>
  <c r="BC260" i="40"/>
  <c r="BB260" i="40"/>
  <c r="BA260" i="40"/>
  <c r="AZ260" i="40"/>
  <c r="AY260" i="40"/>
  <c r="AW260" i="40" a="1"/>
  <c r="AW260" i="40"/>
  <c r="AV260" i="40"/>
  <c r="AT260" i="40"/>
  <c r="AS260" i="40"/>
  <c r="AR260" i="40"/>
  <c r="AQ260" i="40"/>
  <c r="AP260" i="40"/>
  <c r="AO260" i="40"/>
  <c r="AN260" i="40"/>
  <c r="AM260" i="40"/>
  <c r="AL260" i="40"/>
  <c r="AK260" i="40"/>
  <c r="AJ260" i="40"/>
  <c r="AI260" i="40"/>
  <c r="AG260" i="40"/>
  <c r="AE260" i="40"/>
  <c r="AD260" i="40"/>
  <c r="AC260" i="40"/>
  <c r="AB260" i="40"/>
  <c r="BJ259" i="40"/>
  <c r="BI259" i="40"/>
  <c r="BH259" i="40"/>
  <c r="BG259" i="40"/>
  <c r="BF259" i="40"/>
  <c r="BE259" i="40"/>
  <c r="BD259" i="40"/>
  <c r="BC259" i="40"/>
  <c r="BB259" i="40"/>
  <c r="BA259" i="40"/>
  <c r="AZ259" i="40"/>
  <c r="AY259" i="40"/>
  <c r="AW259" i="40" a="1"/>
  <c r="AW259" i="40"/>
  <c r="AV259" i="40"/>
  <c r="AT259" i="40"/>
  <c r="AS259" i="40"/>
  <c r="AR259" i="40"/>
  <c r="AQ259" i="40"/>
  <c r="AP259" i="40"/>
  <c r="AO259" i="40"/>
  <c r="AN259" i="40"/>
  <c r="AM259" i="40"/>
  <c r="AL259" i="40"/>
  <c r="AK259" i="40"/>
  <c r="AJ259" i="40"/>
  <c r="AI259" i="40"/>
  <c r="AG259" i="40"/>
  <c r="AE259" i="40"/>
  <c r="AD259" i="40"/>
  <c r="AC259" i="40"/>
  <c r="AB259" i="40"/>
  <c r="BJ258" i="40"/>
  <c r="BI258" i="40"/>
  <c r="BH258" i="40"/>
  <c r="BG258" i="40"/>
  <c r="BF258" i="40"/>
  <c r="BE258" i="40"/>
  <c r="BD258" i="40"/>
  <c r="BC258" i="40"/>
  <c r="BB258" i="40"/>
  <c r="BA258" i="40"/>
  <c r="AZ258" i="40"/>
  <c r="AY258" i="40"/>
  <c r="AW258" i="40" a="1"/>
  <c r="AW258" i="40"/>
  <c r="AV258" i="40"/>
  <c r="AT258" i="40"/>
  <c r="AS258" i="40"/>
  <c r="AR258" i="40"/>
  <c r="AQ258" i="40"/>
  <c r="AP258" i="40"/>
  <c r="AO258" i="40"/>
  <c r="AN258" i="40"/>
  <c r="AM258" i="40"/>
  <c r="AL258" i="40"/>
  <c r="AK258" i="40"/>
  <c r="AJ258" i="40"/>
  <c r="AI258" i="40"/>
  <c r="AG258" i="40"/>
  <c r="AE258" i="40"/>
  <c r="AD258" i="40"/>
  <c r="AC258" i="40"/>
  <c r="AB258" i="40"/>
  <c r="BJ257" i="40"/>
  <c r="BI257" i="40"/>
  <c r="BH257" i="40"/>
  <c r="BG257" i="40"/>
  <c r="BF257" i="40"/>
  <c r="BE257" i="40"/>
  <c r="BD257" i="40"/>
  <c r="BC257" i="40"/>
  <c r="BB257" i="40"/>
  <c r="BA257" i="40"/>
  <c r="AZ257" i="40"/>
  <c r="AY257" i="40"/>
  <c r="AW257" i="40" a="1"/>
  <c r="AW257" i="40"/>
  <c r="AV257" i="40"/>
  <c r="AT257" i="40"/>
  <c r="AS257" i="40"/>
  <c r="AR257" i="40"/>
  <c r="AQ257" i="40"/>
  <c r="AP257" i="40"/>
  <c r="AO257" i="40"/>
  <c r="AN257" i="40"/>
  <c r="AM257" i="40"/>
  <c r="AL257" i="40"/>
  <c r="AK257" i="40"/>
  <c r="AJ257" i="40"/>
  <c r="AI257" i="40"/>
  <c r="AG257" i="40"/>
  <c r="AE257" i="40"/>
  <c r="AD257" i="40"/>
  <c r="AC257" i="40"/>
  <c r="AB257" i="40"/>
  <c r="BJ256" i="40"/>
  <c r="BI256" i="40"/>
  <c r="BH256" i="40"/>
  <c r="BG256" i="40"/>
  <c r="BF256" i="40"/>
  <c r="BE256" i="40"/>
  <c r="BD256" i="40"/>
  <c r="BC256" i="40"/>
  <c r="BB256" i="40"/>
  <c r="BA256" i="40"/>
  <c r="AZ256" i="40"/>
  <c r="AY256" i="40"/>
  <c r="AW256" i="40" a="1"/>
  <c r="AW256" i="40"/>
  <c r="AV256" i="40"/>
  <c r="AT256" i="40"/>
  <c r="AS256" i="40"/>
  <c r="AR256" i="40"/>
  <c r="AQ256" i="40"/>
  <c r="AP256" i="40"/>
  <c r="AO256" i="40"/>
  <c r="AN256" i="40"/>
  <c r="AM256" i="40"/>
  <c r="AL256" i="40"/>
  <c r="AK256" i="40"/>
  <c r="AJ256" i="40"/>
  <c r="AI256" i="40"/>
  <c r="AG256" i="40"/>
  <c r="AE256" i="40"/>
  <c r="AD256" i="40"/>
  <c r="AC256" i="40"/>
  <c r="AB256" i="40"/>
  <c r="BJ255" i="40"/>
  <c r="BI255" i="40"/>
  <c r="BH255" i="40"/>
  <c r="BG255" i="40"/>
  <c r="BF255" i="40"/>
  <c r="BE255" i="40"/>
  <c r="BD255" i="40"/>
  <c r="BC255" i="40"/>
  <c r="BB255" i="40"/>
  <c r="BA255" i="40"/>
  <c r="AZ255" i="40"/>
  <c r="AY255" i="40"/>
  <c r="AW255" i="40" a="1"/>
  <c r="AW255" i="40"/>
  <c r="AV255" i="40"/>
  <c r="AT255" i="40"/>
  <c r="AS255" i="40"/>
  <c r="AR255" i="40"/>
  <c r="AQ255" i="40"/>
  <c r="AP255" i="40"/>
  <c r="AO255" i="40"/>
  <c r="AN255" i="40"/>
  <c r="AM255" i="40"/>
  <c r="AL255" i="40"/>
  <c r="AK255" i="40"/>
  <c r="AJ255" i="40"/>
  <c r="AI255" i="40"/>
  <c r="AG255" i="40"/>
  <c r="AE255" i="40"/>
  <c r="AD255" i="40"/>
  <c r="AC255" i="40"/>
  <c r="AB255" i="40"/>
  <c r="BJ254" i="40"/>
  <c r="BI254" i="40"/>
  <c r="BH254" i="40"/>
  <c r="BG254" i="40"/>
  <c r="BF254" i="40"/>
  <c r="BE254" i="40"/>
  <c r="BD254" i="40"/>
  <c r="BC254" i="40"/>
  <c r="BB254" i="40"/>
  <c r="BA254" i="40"/>
  <c r="AZ254" i="40"/>
  <c r="AY254" i="40"/>
  <c r="AW254" i="40" a="1"/>
  <c r="AW254" i="40"/>
  <c r="AV254" i="40"/>
  <c r="AT254" i="40"/>
  <c r="AS254" i="40"/>
  <c r="AR254" i="40"/>
  <c r="AQ254" i="40"/>
  <c r="AP254" i="40"/>
  <c r="AO254" i="40"/>
  <c r="AN254" i="40"/>
  <c r="AM254" i="40"/>
  <c r="AL254" i="40"/>
  <c r="AK254" i="40"/>
  <c r="AJ254" i="40"/>
  <c r="AI254" i="40"/>
  <c r="AG254" i="40"/>
  <c r="AE254" i="40"/>
  <c r="AD254" i="40"/>
  <c r="AC254" i="40"/>
  <c r="AB254" i="40"/>
  <c r="BJ253" i="40"/>
  <c r="BI253" i="40"/>
  <c r="BH253" i="40"/>
  <c r="BG253" i="40"/>
  <c r="BF253" i="40"/>
  <c r="BE253" i="40"/>
  <c r="BD253" i="40"/>
  <c r="BC253" i="40"/>
  <c r="BB253" i="40"/>
  <c r="BA253" i="40"/>
  <c r="AZ253" i="40"/>
  <c r="AY253" i="40"/>
  <c r="AW253" i="40" a="1"/>
  <c r="AW253" i="40"/>
  <c r="AV253" i="40"/>
  <c r="AT253" i="40"/>
  <c r="AS253" i="40"/>
  <c r="AR253" i="40"/>
  <c r="AQ253" i="40"/>
  <c r="AP253" i="40"/>
  <c r="AO253" i="40"/>
  <c r="AN253" i="40"/>
  <c r="AM253" i="40"/>
  <c r="AL253" i="40"/>
  <c r="AK253" i="40"/>
  <c r="AJ253" i="40"/>
  <c r="AI253" i="40"/>
  <c r="AG253" i="40"/>
  <c r="AE253" i="40"/>
  <c r="AD253" i="40"/>
  <c r="AC253" i="40"/>
  <c r="AB253" i="40"/>
  <c r="BJ252" i="40"/>
  <c r="BI252" i="40"/>
  <c r="BH252" i="40"/>
  <c r="BG252" i="40"/>
  <c r="BF252" i="40"/>
  <c r="BE252" i="40"/>
  <c r="BD252" i="40"/>
  <c r="BC252" i="40"/>
  <c r="BB252" i="40"/>
  <c r="BA252" i="40"/>
  <c r="AZ252" i="40"/>
  <c r="AY252" i="40"/>
  <c r="AW252" i="40" a="1"/>
  <c r="AW252" i="40"/>
  <c r="AV252" i="40"/>
  <c r="AT252" i="40"/>
  <c r="AS252" i="40"/>
  <c r="AR252" i="40"/>
  <c r="AQ252" i="40"/>
  <c r="AP252" i="40"/>
  <c r="AO252" i="40"/>
  <c r="AN252" i="40"/>
  <c r="AM252" i="40"/>
  <c r="AL252" i="40"/>
  <c r="AK252" i="40"/>
  <c r="AJ252" i="40"/>
  <c r="AI252" i="40"/>
  <c r="AG252" i="40"/>
  <c r="AE252" i="40"/>
  <c r="AD252" i="40"/>
  <c r="AC252" i="40"/>
  <c r="AB252" i="40"/>
  <c r="BJ251" i="40"/>
  <c r="BI251" i="40"/>
  <c r="BH251" i="40"/>
  <c r="BG251" i="40"/>
  <c r="BF251" i="40"/>
  <c r="BE251" i="40"/>
  <c r="BD251" i="40"/>
  <c r="BC251" i="40"/>
  <c r="BB251" i="40"/>
  <c r="BA251" i="40"/>
  <c r="AZ251" i="40"/>
  <c r="AY251" i="40"/>
  <c r="AW251" i="40" a="1"/>
  <c r="AW251" i="40"/>
  <c r="AV251" i="40"/>
  <c r="AT251" i="40"/>
  <c r="AS251" i="40"/>
  <c r="AR251" i="40"/>
  <c r="AQ251" i="40"/>
  <c r="AP251" i="40"/>
  <c r="AO251" i="40"/>
  <c r="AN251" i="40"/>
  <c r="AM251" i="40"/>
  <c r="AL251" i="40"/>
  <c r="AK251" i="40"/>
  <c r="AJ251" i="40"/>
  <c r="AI251" i="40"/>
  <c r="AG251" i="40"/>
  <c r="AE251" i="40"/>
  <c r="AD251" i="40"/>
  <c r="AC251" i="40"/>
  <c r="AB251" i="40"/>
  <c r="BJ250" i="40"/>
  <c r="BI250" i="40"/>
  <c r="BH250" i="40"/>
  <c r="BG250" i="40"/>
  <c r="BF250" i="40"/>
  <c r="BE250" i="40"/>
  <c r="BD250" i="40"/>
  <c r="BC250" i="40"/>
  <c r="BB250" i="40"/>
  <c r="BA250" i="40"/>
  <c r="AZ250" i="40"/>
  <c r="AY250" i="40"/>
  <c r="AW250" i="40" a="1"/>
  <c r="AW250" i="40"/>
  <c r="AV250" i="40"/>
  <c r="AT250" i="40"/>
  <c r="AS250" i="40"/>
  <c r="AR250" i="40"/>
  <c r="AQ250" i="40"/>
  <c r="AP250" i="40"/>
  <c r="AO250" i="40"/>
  <c r="AN250" i="40"/>
  <c r="AM250" i="40"/>
  <c r="AL250" i="40"/>
  <c r="AK250" i="40"/>
  <c r="AJ250" i="40"/>
  <c r="AI250" i="40"/>
  <c r="AG250" i="40"/>
  <c r="AE250" i="40"/>
  <c r="AD250" i="40"/>
  <c r="AC250" i="40"/>
  <c r="AB250" i="40"/>
  <c r="BJ249" i="40"/>
  <c r="BI249" i="40"/>
  <c r="BH249" i="40"/>
  <c r="BG249" i="40"/>
  <c r="BF249" i="40"/>
  <c r="BE249" i="40"/>
  <c r="BD249" i="40"/>
  <c r="BC249" i="40"/>
  <c r="BB249" i="40"/>
  <c r="BA249" i="40"/>
  <c r="AZ249" i="40"/>
  <c r="AY249" i="40"/>
  <c r="AW249" i="40" a="1"/>
  <c r="AW249" i="40"/>
  <c r="AV249" i="40"/>
  <c r="AT249" i="40"/>
  <c r="AS249" i="40"/>
  <c r="AR249" i="40"/>
  <c r="AQ249" i="40"/>
  <c r="AP249" i="40"/>
  <c r="AO249" i="40"/>
  <c r="AN249" i="40"/>
  <c r="AM249" i="40"/>
  <c r="AL249" i="40"/>
  <c r="AK249" i="40"/>
  <c r="AJ249" i="40"/>
  <c r="AI249" i="40"/>
  <c r="AG249" i="40"/>
  <c r="AE249" i="40"/>
  <c r="AD249" i="40"/>
  <c r="AC249" i="40"/>
  <c r="AB249" i="40"/>
  <c r="BJ248" i="40"/>
  <c r="BI248" i="40"/>
  <c r="BH248" i="40"/>
  <c r="BG248" i="40"/>
  <c r="BF248" i="40"/>
  <c r="BE248" i="40"/>
  <c r="BD248" i="40"/>
  <c r="BC248" i="40"/>
  <c r="BB248" i="40"/>
  <c r="BA248" i="40"/>
  <c r="AZ248" i="40"/>
  <c r="AY248" i="40"/>
  <c r="AW248" i="40" a="1"/>
  <c r="AW248" i="40"/>
  <c r="AV248" i="40"/>
  <c r="AT248" i="40"/>
  <c r="AS248" i="40"/>
  <c r="AR248" i="40"/>
  <c r="AQ248" i="40"/>
  <c r="AP248" i="40"/>
  <c r="AO248" i="40"/>
  <c r="AN248" i="40"/>
  <c r="AM248" i="40"/>
  <c r="AL248" i="40"/>
  <c r="AK248" i="40"/>
  <c r="AJ248" i="40"/>
  <c r="AI248" i="40"/>
  <c r="AG248" i="40"/>
  <c r="AE248" i="40"/>
  <c r="AD248" i="40"/>
  <c r="AC248" i="40"/>
  <c r="AB248" i="40"/>
  <c r="BJ247" i="40"/>
  <c r="BI247" i="40"/>
  <c r="BH247" i="40"/>
  <c r="BG247" i="40"/>
  <c r="BF247" i="40"/>
  <c r="BE247" i="40"/>
  <c r="BD247" i="40"/>
  <c r="BC247" i="40"/>
  <c r="BB247" i="40"/>
  <c r="BA247" i="40"/>
  <c r="AZ247" i="40"/>
  <c r="AY247" i="40"/>
  <c r="AW247" i="40" a="1"/>
  <c r="AW247" i="40"/>
  <c r="AV247" i="40"/>
  <c r="AT247" i="40"/>
  <c r="AS247" i="40"/>
  <c r="AR247" i="40"/>
  <c r="AQ247" i="40"/>
  <c r="AP247" i="40"/>
  <c r="AO247" i="40"/>
  <c r="AN247" i="40"/>
  <c r="AM247" i="40"/>
  <c r="AL247" i="40"/>
  <c r="AK247" i="40"/>
  <c r="AJ247" i="40"/>
  <c r="AI247" i="40"/>
  <c r="AG247" i="40"/>
  <c r="AE247" i="40"/>
  <c r="AD247" i="40"/>
  <c r="AC247" i="40"/>
  <c r="AB247" i="40"/>
  <c r="BJ246" i="40"/>
  <c r="BI246" i="40"/>
  <c r="BH246" i="40"/>
  <c r="BG246" i="40"/>
  <c r="BF246" i="40"/>
  <c r="BE246" i="40"/>
  <c r="BD246" i="40"/>
  <c r="BC246" i="40"/>
  <c r="BB246" i="40"/>
  <c r="BA246" i="40"/>
  <c r="AZ246" i="40"/>
  <c r="AY246" i="40"/>
  <c r="AW246" i="40" a="1"/>
  <c r="AW246" i="40"/>
  <c r="AV246" i="40"/>
  <c r="AT246" i="40"/>
  <c r="AS246" i="40"/>
  <c r="AR246" i="40"/>
  <c r="AQ246" i="40"/>
  <c r="AP246" i="40"/>
  <c r="AO246" i="40"/>
  <c r="AN246" i="40"/>
  <c r="AM246" i="40"/>
  <c r="AL246" i="40"/>
  <c r="AK246" i="40"/>
  <c r="AJ246" i="40"/>
  <c r="AI246" i="40"/>
  <c r="AG246" i="40"/>
  <c r="AE246" i="40"/>
  <c r="AD246" i="40"/>
  <c r="AC246" i="40"/>
  <c r="AB246" i="40"/>
  <c r="BJ245" i="40"/>
  <c r="BI245" i="40"/>
  <c r="BH245" i="40"/>
  <c r="BG245" i="40"/>
  <c r="BF245" i="40"/>
  <c r="BE245" i="40"/>
  <c r="BD245" i="40"/>
  <c r="BC245" i="40"/>
  <c r="BB245" i="40"/>
  <c r="BA245" i="40"/>
  <c r="AZ245" i="40"/>
  <c r="AY245" i="40"/>
  <c r="AW245" i="40" a="1"/>
  <c r="AW245" i="40"/>
  <c r="AV245" i="40"/>
  <c r="AT245" i="40"/>
  <c r="AS245" i="40"/>
  <c r="AR245" i="40"/>
  <c r="AQ245" i="40"/>
  <c r="AP245" i="40"/>
  <c r="AO245" i="40"/>
  <c r="AN245" i="40"/>
  <c r="AM245" i="40"/>
  <c r="AL245" i="40"/>
  <c r="AK245" i="40"/>
  <c r="AJ245" i="40"/>
  <c r="AI245" i="40"/>
  <c r="AG245" i="40"/>
  <c r="AE245" i="40"/>
  <c r="AD245" i="40"/>
  <c r="AC245" i="40"/>
  <c r="AB245" i="40"/>
  <c r="BJ244" i="40"/>
  <c r="BI244" i="40"/>
  <c r="BH244" i="40"/>
  <c r="BG244" i="40"/>
  <c r="BF244" i="40"/>
  <c r="BE244" i="40"/>
  <c r="BD244" i="40"/>
  <c r="BC244" i="40"/>
  <c r="BB244" i="40"/>
  <c r="BA244" i="40"/>
  <c r="AZ244" i="40"/>
  <c r="AY244" i="40"/>
  <c r="AW244" i="40" a="1"/>
  <c r="AW244" i="40"/>
  <c r="AV244" i="40"/>
  <c r="AT244" i="40"/>
  <c r="AS244" i="40"/>
  <c r="AR244" i="40"/>
  <c r="AQ244" i="40"/>
  <c r="AP244" i="40"/>
  <c r="AO244" i="40"/>
  <c r="AN244" i="40"/>
  <c r="AM244" i="40"/>
  <c r="AL244" i="40"/>
  <c r="AK244" i="40"/>
  <c r="AJ244" i="40"/>
  <c r="AI244" i="40"/>
  <c r="AG244" i="40"/>
  <c r="AE244" i="40"/>
  <c r="AD244" i="40"/>
  <c r="AC244" i="40"/>
  <c r="AB244" i="40"/>
  <c r="BJ243" i="40"/>
  <c r="BI243" i="40"/>
  <c r="BH243" i="40"/>
  <c r="BG243" i="40"/>
  <c r="BF243" i="40"/>
  <c r="BE243" i="40"/>
  <c r="BD243" i="40"/>
  <c r="BC243" i="40"/>
  <c r="BB243" i="40"/>
  <c r="BA243" i="40"/>
  <c r="AZ243" i="40"/>
  <c r="AY243" i="40"/>
  <c r="AW243" i="40" a="1"/>
  <c r="AW243" i="40"/>
  <c r="AV243" i="40"/>
  <c r="AT243" i="40"/>
  <c r="AS243" i="40"/>
  <c r="AR243" i="40"/>
  <c r="AQ243" i="40"/>
  <c r="AP243" i="40"/>
  <c r="AO243" i="40"/>
  <c r="AN243" i="40"/>
  <c r="AM243" i="40"/>
  <c r="AL243" i="40"/>
  <c r="AK243" i="40"/>
  <c r="AJ243" i="40"/>
  <c r="AI243" i="40"/>
  <c r="AG243" i="40"/>
  <c r="AE243" i="40"/>
  <c r="AD243" i="40"/>
  <c r="AC243" i="40"/>
  <c r="AB243" i="40"/>
  <c r="BJ242" i="40"/>
  <c r="BI242" i="40"/>
  <c r="BH242" i="40"/>
  <c r="BG242" i="40"/>
  <c r="BF242" i="40"/>
  <c r="BE242" i="40"/>
  <c r="BD242" i="40"/>
  <c r="BC242" i="40"/>
  <c r="BB242" i="40"/>
  <c r="BA242" i="40"/>
  <c r="AZ242" i="40"/>
  <c r="AY242" i="40"/>
  <c r="AW242" i="40" a="1"/>
  <c r="AW242" i="40"/>
  <c r="AV242" i="40"/>
  <c r="AT242" i="40"/>
  <c r="AS242" i="40"/>
  <c r="AR242" i="40"/>
  <c r="AQ242" i="40"/>
  <c r="AP242" i="40"/>
  <c r="AO242" i="40"/>
  <c r="AN242" i="40"/>
  <c r="AM242" i="40"/>
  <c r="AL242" i="40"/>
  <c r="AK242" i="40"/>
  <c r="AJ242" i="40"/>
  <c r="AI242" i="40"/>
  <c r="AG242" i="40"/>
  <c r="AE242" i="40"/>
  <c r="AD242" i="40"/>
  <c r="AC242" i="40"/>
  <c r="AB242" i="40"/>
  <c r="BJ241" i="40"/>
  <c r="BI241" i="40"/>
  <c r="BH241" i="40"/>
  <c r="BG241" i="40"/>
  <c r="BF241" i="40"/>
  <c r="BE241" i="40"/>
  <c r="BD241" i="40"/>
  <c r="BC241" i="40"/>
  <c r="BB241" i="40"/>
  <c r="BA241" i="40"/>
  <c r="AZ241" i="40"/>
  <c r="AY241" i="40"/>
  <c r="AW241" i="40" a="1"/>
  <c r="AW241" i="40"/>
  <c r="AV241" i="40"/>
  <c r="AT241" i="40"/>
  <c r="AS241" i="40"/>
  <c r="AR241" i="40"/>
  <c r="AQ241" i="40"/>
  <c r="AP241" i="40"/>
  <c r="AO241" i="40"/>
  <c r="AN241" i="40"/>
  <c r="AM241" i="40"/>
  <c r="AL241" i="40"/>
  <c r="AK241" i="40"/>
  <c r="AJ241" i="40"/>
  <c r="AI241" i="40"/>
  <c r="AG241" i="40"/>
  <c r="AE241" i="40"/>
  <c r="AD241" i="40"/>
  <c r="AC241" i="40"/>
  <c r="AB241" i="40"/>
  <c r="BJ240" i="40"/>
  <c r="BI240" i="40"/>
  <c r="BH240" i="40"/>
  <c r="BG240" i="40"/>
  <c r="BF240" i="40"/>
  <c r="BE240" i="40"/>
  <c r="BD240" i="40"/>
  <c r="BC240" i="40"/>
  <c r="BB240" i="40"/>
  <c r="BA240" i="40"/>
  <c r="AZ240" i="40"/>
  <c r="AY240" i="40"/>
  <c r="AW240" i="40" a="1"/>
  <c r="AW240" i="40"/>
  <c r="AV240" i="40"/>
  <c r="AT240" i="40"/>
  <c r="AS240" i="40"/>
  <c r="AR240" i="40"/>
  <c r="AQ240" i="40"/>
  <c r="AP240" i="40"/>
  <c r="AO240" i="40"/>
  <c r="AN240" i="40"/>
  <c r="AM240" i="40"/>
  <c r="AL240" i="40"/>
  <c r="AK240" i="40"/>
  <c r="AJ240" i="40"/>
  <c r="AI240" i="40"/>
  <c r="AG240" i="40"/>
  <c r="AE240" i="40"/>
  <c r="AD240" i="40"/>
  <c r="AC240" i="40"/>
  <c r="AB240" i="40"/>
  <c r="BJ239" i="40"/>
  <c r="BI239" i="40"/>
  <c r="BH239" i="40"/>
  <c r="BG239" i="40"/>
  <c r="BF239" i="40"/>
  <c r="BE239" i="40"/>
  <c r="BD239" i="40"/>
  <c r="BC239" i="40"/>
  <c r="BB239" i="40"/>
  <c r="BA239" i="40"/>
  <c r="AZ239" i="40"/>
  <c r="AY239" i="40"/>
  <c r="AW239" i="40" a="1"/>
  <c r="AW239" i="40"/>
  <c r="AV239" i="40"/>
  <c r="AT239" i="40"/>
  <c r="AS239" i="40"/>
  <c r="AR239" i="40"/>
  <c r="AQ239" i="40"/>
  <c r="AP239" i="40"/>
  <c r="AO239" i="40"/>
  <c r="AN239" i="40"/>
  <c r="AM239" i="40"/>
  <c r="AL239" i="40"/>
  <c r="AK239" i="40"/>
  <c r="AJ239" i="40"/>
  <c r="AI239" i="40"/>
  <c r="AG239" i="40"/>
  <c r="AE239" i="40"/>
  <c r="AD239" i="40"/>
  <c r="AC239" i="40"/>
  <c r="AB239" i="40"/>
  <c r="BJ238" i="40"/>
  <c r="BI238" i="40"/>
  <c r="BH238" i="40"/>
  <c r="BG238" i="40"/>
  <c r="BF238" i="40"/>
  <c r="BE238" i="40"/>
  <c r="BD238" i="40"/>
  <c r="BC238" i="40"/>
  <c r="BB238" i="40"/>
  <c r="BA238" i="40"/>
  <c r="AZ238" i="40"/>
  <c r="AY238" i="40"/>
  <c r="AW238" i="40" a="1"/>
  <c r="AW238" i="40"/>
  <c r="AV238" i="40"/>
  <c r="AT238" i="40"/>
  <c r="AS238" i="40"/>
  <c r="AR238" i="40"/>
  <c r="AQ238" i="40"/>
  <c r="AP238" i="40"/>
  <c r="AO238" i="40"/>
  <c r="AN238" i="40"/>
  <c r="AM238" i="40"/>
  <c r="AL238" i="40"/>
  <c r="AK238" i="40"/>
  <c r="AJ238" i="40"/>
  <c r="AI238" i="40"/>
  <c r="AG238" i="40"/>
  <c r="AE238" i="40"/>
  <c r="AD238" i="40"/>
  <c r="AC238" i="40"/>
  <c r="AB238" i="40"/>
  <c r="BJ237" i="40"/>
  <c r="BI237" i="40"/>
  <c r="BH237" i="40"/>
  <c r="BG237" i="40"/>
  <c r="BF237" i="40"/>
  <c r="BE237" i="40"/>
  <c r="BD237" i="40"/>
  <c r="BC237" i="40"/>
  <c r="BB237" i="40"/>
  <c r="BA237" i="40"/>
  <c r="AZ237" i="40"/>
  <c r="AY237" i="40"/>
  <c r="AW237" i="40" a="1"/>
  <c r="AW237" i="40"/>
  <c r="AV237" i="40"/>
  <c r="AT237" i="40"/>
  <c r="AS237" i="40"/>
  <c r="AR237" i="40"/>
  <c r="AQ237" i="40"/>
  <c r="AP237" i="40"/>
  <c r="AO237" i="40"/>
  <c r="AN237" i="40"/>
  <c r="AM237" i="40"/>
  <c r="AL237" i="40"/>
  <c r="AK237" i="40"/>
  <c r="AJ237" i="40"/>
  <c r="AI237" i="40"/>
  <c r="AG237" i="40"/>
  <c r="AE237" i="40"/>
  <c r="AD237" i="40"/>
  <c r="AC237" i="40"/>
  <c r="AB237" i="40"/>
  <c r="BJ236" i="40"/>
  <c r="BI236" i="40"/>
  <c r="BH236" i="40"/>
  <c r="BG236" i="40"/>
  <c r="BF236" i="40"/>
  <c r="BE236" i="40"/>
  <c r="BD236" i="40"/>
  <c r="BC236" i="40"/>
  <c r="BB236" i="40"/>
  <c r="BA236" i="40"/>
  <c r="AZ236" i="40"/>
  <c r="AY236" i="40"/>
  <c r="AW236" i="40" a="1"/>
  <c r="AW236" i="40"/>
  <c r="AV236" i="40"/>
  <c r="AT236" i="40"/>
  <c r="AS236" i="40"/>
  <c r="AR236" i="40"/>
  <c r="AQ236" i="40"/>
  <c r="AP236" i="40"/>
  <c r="AO236" i="40"/>
  <c r="AN236" i="40"/>
  <c r="AM236" i="40"/>
  <c r="AL236" i="40"/>
  <c r="AK236" i="40"/>
  <c r="AJ236" i="40"/>
  <c r="AI236" i="40"/>
  <c r="AG236" i="40"/>
  <c r="AE236" i="40"/>
  <c r="AD236" i="40"/>
  <c r="AC236" i="40"/>
  <c r="AB236" i="40"/>
  <c r="BJ235" i="40"/>
  <c r="BI235" i="40"/>
  <c r="BH235" i="40"/>
  <c r="BG235" i="40"/>
  <c r="BF235" i="40"/>
  <c r="BE235" i="40"/>
  <c r="BD235" i="40"/>
  <c r="BC235" i="40"/>
  <c r="BB235" i="40"/>
  <c r="BA235" i="40"/>
  <c r="AZ235" i="40"/>
  <c r="AY235" i="40"/>
  <c r="AW235" i="40" a="1"/>
  <c r="AW235" i="40"/>
  <c r="AV235" i="40"/>
  <c r="AT235" i="40"/>
  <c r="AS235" i="40"/>
  <c r="AR235" i="40"/>
  <c r="AQ235" i="40"/>
  <c r="AP235" i="40"/>
  <c r="AO235" i="40"/>
  <c r="AN235" i="40"/>
  <c r="AM235" i="40"/>
  <c r="AL235" i="40"/>
  <c r="AK235" i="40"/>
  <c r="AJ235" i="40"/>
  <c r="AI235" i="40"/>
  <c r="AG235" i="40"/>
  <c r="AE235" i="40"/>
  <c r="AD235" i="40"/>
  <c r="AC235" i="40"/>
  <c r="AB235" i="40"/>
  <c r="BJ234" i="40"/>
  <c r="BI234" i="40"/>
  <c r="BH234" i="40"/>
  <c r="BG234" i="40"/>
  <c r="BF234" i="40"/>
  <c r="BE234" i="40"/>
  <c r="BD234" i="40"/>
  <c r="BC234" i="40"/>
  <c r="BB234" i="40"/>
  <c r="BA234" i="40"/>
  <c r="AZ234" i="40"/>
  <c r="AY234" i="40"/>
  <c r="AW234" i="40" a="1"/>
  <c r="AW234" i="40"/>
  <c r="AV234" i="40"/>
  <c r="AT234" i="40"/>
  <c r="AS234" i="40"/>
  <c r="AR234" i="40"/>
  <c r="AQ234" i="40"/>
  <c r="AP234" i="40"/>
  <c r="AO234" i="40"/>
  <c r="AN234" i="40"/>
  <c r="AM234" i="40"/>
  <c r="AL234" i="40"/>
  <c r="AK234" i="40"/>
  <c r="AJ234" i="40"/>
  <c r="AI234" i="40"/>
  <c r="AG234" i="40"/>
  <c r="AE234" i="40"/>
  <c r="AD234" i="40"/>
  <c r="AC234" i="40"/>
  <c r="AB234" i="40"/>
  <c r="BJ233" i="40"/>
  <c r="BI233" i="40"/>
  <c r="BH233" i="40"/>
  <c r="BG233" i="40"/>
  <c r="BF233" i="40"/>
  <c r="BE233" i="40"/>
  <c r="BD233" i="40"/>
  <c r="BC233" i="40"/>
  <c r="BB233" i="40"/>
  <c r="BA233" i="40"/>
  <c r="AZ233" i="40"/>
  <c r="AY233" i="40"/>
  <c r="AW233" i="40" a="1"/>
  <c r="AW233" i="40"/>
  <c r="AV233" i="40"/>
  <c r="AT233" i="40"/>
  <c r="AS233" i="40"/>
  <c r="AR233" i="40"/>
  <c r="AQ233" i="40"/>
  <c r="AP233" i="40"/>
  <c r="AO233" i="40"/>
  <c r="AN233" i="40"/>
  <c r="AM233" i="40"/>
  <c r="AL233" i="40"/>
  <c r="AK233" i="40"/>
  <c r="AJ233" i="40"/>
  <c r="AI233" i="40"/>
  <c r="AG233" i="40"/>
  <c r="AE233" i="40"/>
  <c r="AD233" i="40"/>
  <c r="AC233" i="40"/>
  <c r="AB233" i="40"/>
  <c r="BJ232" i="40"/>
  <c r="BI232" i="40"/>
  <c r="BH232" i="40"/>
  <c r="BG232" i="40"/>
  <c r="BF232" i="40"/>
  <c r="BE232" i="40"/>
  <c r="BD232" i="40"/>
  <c r="BC232" i="40"/>
  <c r="BB232" i="40"/>
  <c r="BA232" i="40"/>
  <c r="AZ232" i="40"/>
  <c r="AY232" i="40"/>
  <c r="AW232" i="40" a="1"/>
  <c r="AW232" i="40"/>
  <c r="AV232" i="40"/>
  <c r="AT232" i="40"/>
  <c r="AS232" i="40"/>
  <c r="AR232" i="40"/>
  <c r="AQ232" i="40"/>
  <c r="AP232" i="40"/>
  <c r="AO232" i="40"/>
  <c r="AN232" i="40"/>
  <c r="AM232" i="40"/>
  <c r="AL232" i="40"/>
  <c r="AK232" i="40"/>
  <c r="AJ232" i="40"/>
  <c r="AI232" i="40"/>
  <c r="AG232" i="40"/>
  <c r="AE232" i="40"/>
  <c r="AD232" i="40"/>
  <c r="AC232" i="40"/>
  <c r="AB232" i="40"/>
  <c r="BJ231" i="40"/>
  <c r="BI231" i="40"/>
  <c r="BH231" i="40"/>
  <c r="BG231" i="40"/>
  <c r="BF231" i="40"/>
  <c r="BE231" i="40"/>
  <c r="BD231" i="40"/>
  <c r="BC231" i="40"/>
  <c r="BB231" i="40"/>
  <c r="BA231" i="40"/>
  <c r="AZ231" i="40"/>
  <c r="AY231" i="40"/>
  <c r="AW231" i="40" a="1"/>
  <c r="AW231" i="40"/>
  <c r="AV231" i="40"/>
  <c r="AT231" i="40"/>
  <c r="AS231" i="40"/>
  <c r="AR231" i="40"/>
  <c r="AQ231" i="40"/>
  <c r="AP231" i="40"/>
  <c r="AO231" i="40"/>
  <c r="AN231" i="40"/>
  <c r="AM231" i="40"/>
  <c r="AL231" i="40"/>
  <c r="AK231" i="40"/>
  <c r="AJ231" i="40"/>
  <c r="AI231" i="40"/>
  <c r="AG231" i="40"/>
  <c r="AE231" i="40"/>
  <c r="AD231" i="40"/>
  <c r="AC231" i="40"/>
  <c r="AB231" i="40"/>
  <c r="BJ230" i="40"/>
  <c r="BI230" i="40"/>
  <c r="BH230" i="40"/>
  <c r="BG230" i="40"/>
  <c r="BF230" i="40"/>
  <c r="BE230" i="40"/>
  <c r="BD230" i="40"/>
  <c r="BC230" i="40"/>
  <c r="BB230" i="40"/>
  <c r="BA230" i="40"/>
  <c r="AZ230" i="40"/>
  <c r="AY230" i="40"/>
  <c r="AW230" i="40" a="1"/>
  <c r="AW230" i="40"/>
  <c r="AV230" i="40"/>
  <c r="AT230" i="40"/>
  <c r="AS230" i="40"/>
  <c r="AR230" i="40"/>
  <c r="AQ230" i="40"/>
  <c r="AP230" i="40"/>
  <c r="AO230" i="40"/>
  <c r="AN230" i="40"/>
  <c r="AM230" i="40"/>
  <c r="AL230" i="40"/>
  <c r="AK230" i="40"/>
  <c r="AJ230" i="40"/>
  <c r="AI230" i="40"/>
  <c r="AG230" i="40"/>
  <c r="AE230" i="40"/>
  <c r="AD230" i="40"/>
  <c r="AC230" i="40"/>
  <c r="AB230" i="40"/>
  <c r="BJ229" i="40"/>
  <c r="BI229" i="40"/>
  <c r="BH229" i="40"/>
  <c r="BG229" i="40"/>
  <c r="BF229" i="40"/>
  <c r="BE229" i="40"/>
  <c r="BD229" i="40"/>
  <c r="BC229" i="40"/>
  <c r="BB229" i="40"/>
  <c r="BA229" i="40"/>
  <c r="AZ229" i="40"/>
  <c r="AY229" i="40"/>
  <c r="AW229" i="40" a="1"/>
  <c r="AW229" i="40"/>
  <c r="AV229" i="40"/>
  <c r="AT229" i="40"/>
  <c r="AS229" i="40"/>
  <c r="AR229" i="40"/>
  <c r="AQ229" i="40"/>
  <c r="AP229" i="40"/>
  <c r="AO229" i="40"/>
  <c r="AN229" i="40"/>
  <c r="AM229" i="40"/>
  <c r="AL229" i="40"/>
  <c r="AK229" i="40"/>
  <c r="AJ229" i="40"/>
  <c r="AI229" i="40"/>
  <c r="AG229" i="40"/>
  <c r="AE229" i="40"/>
  <c r="AD229" i="40"/>
  <c r="AC229" i="40"/>
  <c r="AB229" i="40"/>
  <c r="BJ228" i="40"/>
  <c r="BI228" i="40"/>
  <c r="BH228" i="40"/>
  <c r="BG228" i="40"/>
  <c r="BF228" i="40"/>
  <c r="BE228" i="40"/>
  <c r="BD228" i="40"/>
  <c r="BC228" i="40"/>
  <c r="BB228" i="40"/>
  <c r="BA228" i="40"/>
  <c r="AZ228" i="40"/>
  <c r="AY228" i="40"/>
  <c r="AW228" i="40" a="1"/>
  <c r="AW228" i="40"/>
  <c r="AV228" i="40"/>
  <c r="AT228" i="40"/>
  <c r="AS228" i="40"/>
  <c r="AR228" i="40"/>
  <c r="AQ228" i="40"/>
  <c r="AP228" i="40"/>
  <c r="AO228" i="40"/>
  <c r="AN228" i="40"/>
  <c r="AM228" i="40"/>
  <c r="AL228" i="40"/>
  <c r="AK228" i="40"/>
  <c r="AJ228" i="40"/>
  <c r="AI228" i="40"/>
  <c r="AG228" i="40"/>
  <c r="AE228" i="40"/>
  <c r="AD228" i="40"/>
  <c r="AC228" i="40"/>
  <c r="AB228" i="40"/>
  <c r="BJ227" i="40"/>
  <c r="BI227" i="40"/>
  <c r="BH227" i="40"/>
  <c r="BG227" i="40"/>
  <c r="BF227" i="40"/>
  <c r="BE227" i="40"/>
  <c r="BD227" i="40"/>
  <c r="BC227" i="40"/>
  <c r="BB227" i="40"/>
  <c r="BA227" i="40"/>
  <c r="AZ227" i="40"/>
  <c r="AY227" i="40"/>
  <c r="AW227" i="40" a="1"/>
  <c r="AW227" i="40"/>
  <c r="AV227" i="40"/>
  <c r="AT227" i="40"/>
  <c r="AS227" i="40"/>
  <c r="AR227" i="40"/>
  <c r="AQ227" i="40"/>
  <c r="AP227" i="40"/>
  <c r="AO227" i="40"/>
  <c r="AN227" i="40"/>
  <c r="AM227" i="40"/>
  <c r="AL227" i="40"/>
  <c r="AK227" i="40"/>
  <c r="AJ227" i="40"/>
  <c r="AI227" i="40"/>
  <c r="AG227" i="40"/>
  <c r="AE227" i="40"/>
  <c r="AD227" i="40"/>
  <c r="AC227" i="40"/>
  <c r="AB227" i="40"/>
  <c r="BJ226" i="40"/>
  <c r="BI226" i="40"/>
  <c r="BH226" i="40"/>
  <c r="BG226" i="40"/>
  <c r="BF226" i="40"/>
  <c r="BE226" i="40"/>
  <c r="BD226" i="40"/>
  <c r="BC226" i="40"/>
  <c r="BB226" i="40"/>
  <c r="BA226" i="40"/>
  <c r="AZ226" i="40"/>
  <c r="AY226" i="40"/>
  <c r="AW226" i="40" a="1"/>
  <c r="AW226" i="40"/>
  <c r="AV226" i="40"/>
  <c r="AT226" i="40"/>
  <c r="AS226" i="40"/>
  <c r="AR226" i="40"/>
  <c r="AQ226" i="40"/>
  <c r="AP226" i="40"/>
  <c r="AO226" i="40"/>
  <c r="AN226" i="40"/>
  <c r="AM226" i="40"/>
  <c r="AL226" i="40"/>
  <c r="AK226" i="40"/>
  <c r="AJ226" i="40"/>
  <c r="AI226" i="40"/>
  <c r="AG226" i="40"/>
  <c r="AE226" i="40"/>
  <c r="AD226" i="40"/>
  <c r="AC226" i="40"/>
  <c r="AB226" i="40"/>
  <c r="BJ225" i="40"/>
  <c r="BI225" i="40"/>
  <c r="BH225" i="40"/>
  <c r="BG225" i="40"/>
  <c r="BF225" i="40"/>
  <c r="BE225" i="40"/>
  <c r="BD225" i="40"/>
  <c r="BC225" i="40"/>
  <c r="BB225" i="40"/>
  <c r="BA225" i="40"/>
  <c r="AZ225" i="40"/>
  <c r="AY225" i="40"/>
  <c r="AW225" i="40" a="1"/>
  <c r="AW225" i="40"/>
  <c r="AV225" i="40"/>
  <c r="AT225" i="40"/>
  <c r="AS225" i="40"/>
  <c r="AR225" i="40"/>
  <c r="AQ225" i="40"/>
  <c r="AP225" i="40"/>
  <c r="AO225" i="40"/>
  <c r="AN225" i="40"/>
  <c r="AM225" i="40"/>
  <c r="AL225" i="40"/>
  <c r="AK225" i="40"/>
  <c r="AJ225" i="40"/>
  <c r="AI225" i="40"/>
  <c r="AG225" i="40"/>
  <c r="AE225" i="40"/>
  <c r="AD225" i="40"/>
  <c r="AC225" i="40"/>
  <c r="AB225" i="40"/>
  <c r="BJ224" i="40"/>
  <c r="BI224" i="40"/>
  <c r="BH224" i="40"/>
  <c r="BG224" i="40"/>
  <c r="BF224" i="40"/>
  <c r="BE224" i="40"/>
  <c r="BD224" i="40"/>
  <c r="BC224" i="40"/>
  <c r="BB224" i="40"/>
  <c r="BA224" i="40"/>
  <c r="AZ224" i="40"/>
  <c r="AY224" i="40"/>
  <c r="AW224" i="40" a="1"/>
  <c r="AW224" i="40"/>
  <c r="AV224" i="40"/>
  <c r="AT224" i="40"/>
  <c r="AS224" i="40"/>
  <c r="AR224" i="40"/>
  <c r="AQ224" i="40"/>
  <c r="AP224" i="40"/>
  <c r="AO224" i="40"/>
  <c r="AN224" i="40"/>
  <c r="AM224" i="40"/>
  <c r="AL224" i="40"/>
  <c r="AK224" i="40"/>
  <c r="AJ224" i="40"/>
  <c r="AI224" i="40"/>
  <c r="AG224" i="40"/>
  <c r="AE224" i="40"/>
  <c r="AD224" i="40"/>
  <c r="AC224" i="40"/>
  <c r="AB224" i="40"/>
  <c r="BJ223" i="40"/>
  <c r="BI223" i="40"/>
  <c r="BH223" i="40"/>
  <c r="BG223" i="40"/>
  <c r="BF223" i="40"/>
  <c r="BE223" i="40"/>
  <c r="BD223" i="40"/>
  <c r="BC223" i="40"/>
  <c r="BB223" i="40"/>
  <c r="BA223" i="40"/>
  <c r="AZ223" i="40"/>
  <c r="AY223" i="40"/>
  <c r="AW223" i="40" a="1"/>
  <c r="AW223" i="40"/>
  <c r="AV223" i="40"/>
  <c r="AT223" i="40"/>
  <c r="AS223" i="40"/>
  <c r="AR223" i="40"/>
  <c r="AQ223" i="40"/>
  <c r="AP223" i="40"/>
  <c r="AO223" i="40"/>
  <c r="AN223" i="40"/>
  <c r="AM223" i="40"/>
  <c r="AL223" i="40"/>
  <c r="AK223" i="40"/>
  <c r="AJ223" i="40"/>
  <c r="AI223" i="40"/>
  <c r="AG223" i="40"/>
  <c r="AE223" i="40"/>
  <c r="AD223" i="40"/>
  <c r="AC223" i="40"/>
  <c r="AB223" i="40"/>
  <c r="BJ222" i="40"/>
  <c r="BI222" i="40"/>
  <c r="BH222" i="40"/>
  <c r="BG222" i="40"/>
  <c r="BF222" i="40"/>
  <c r="BE222" i="40"/>
  <c r="BD222" i="40"/>
  <c r="BC222" i="40"/>
  <c r="BB222" i="40"/>
  <c r="BA222" i="40"/>
  <c r="AZ222" i="40"/>
  <c r="AY222" i="40"/>
  <c r="AW222" i="40" a="1"/>
  <c r="AW222" i="40"/>
  <c r="AV222" i="40"/>
  <c r="AT222" i="40"/>
  <c r="AS222" i="40"/>
  <c r="AR222" i="40"/>
  <c r="AQ222" i="40"/>
  <c r="AP222" i="40"/>
  <c r="AO222" i="40"/>
  <c r="AN222" i="40"/>
  <c r="AM222" i="40"/>
  <c r="AL222" i="40"/>
  <c r="AK222" i="40"/>
  <c r="AJ222" i="40"/>
  <c r="AI222" i="40"/>
  <c r="AG222" i="40"/>
  <c r="AE222" i="40"/>
  <c r="AD222" i="40"/>
  <c r="AC222" i="40"/>
  <c r="AB222" i="40"/>
  <c r="BJ221" i="40"/>
  <c r="BI221" i="40"/>
  <c r="BH221" i="40"/>
  <c r="BG221" i="40"/>
  <c r="BF221" i="40"/>
  <c r="BE221" i="40"/>
  <c r="BD221" i="40"/>
  <c r="BC221" i="40"/>
  <c r="BB221" i="40"/>
  <c r="BA221" i="40"/>
  <c r="AZ221" i="40"/>
  <c r="AY221" i="40"/>
  <c r="AW221" i="40" a="1"/>
  <c r="AW221" i="40"/>
  <c r="AV221" i="40"/>
  <c r="AT221" i="40"/>
  <c r="AS221" i="40"/>
  <c r="AR221" i="40"/>
  <c r="AQ221" i="40"/>
  <c r="AP221" i="40"/>
  <c r="AO221" i="40"/>
  <c r="AN221" i="40"/>
  <c r="AM221" i="40"/>
  <c r="AL221" i="40"/>
  <c r="AK221" i="40"/>
  <c r="AJ221" i="40"/>
  <c r="AI221" i="40"/>
  <c r="AG221" i="40"/>
  <c r="AE221" i="40"/>
  <c r="AD221" i="40"/>
  <c r="AC221" i="40"/>
  <c r="AB221" i="40"/>
  <c r="BJ220" i="40"/>
  <c r="BI220" i="40"/>
  <c r="BH220" i="40"/>
  <c r="BG220" i="40"/>
  <c r="BF220" i="40"/>
  <c r="BE220" i="40"/>
  <c r="BD220" i="40"/>
  <c r="BC220" i="40"/>
  <c r="BB220" i="40"/>
  <c r="BA220" i="40"/>
  <c r="AZ220" i="40"/>
  <c r="AY220" i="40"/>
  <c r="AW220" i="40" a="1"/>
  <c r="AW220" i="40"/>
  <c r="AV220" i="40"/>
  <c r="AT220" i="40"/>
  <c r="AS220" i="40"/>
  <c r="AR220" i="40"/>
  <c r="AQ220" i="40"/>
  <c r="AP220" i="40"/>
  <c r="AO220" i="40"/>
  <c r="AN220" i="40"/>
  <c r="AM220" i="40"/>
  <c r="AL220" i="40"/>
  <c r="AK220" i="40"/>
  <c r="AJ220" i="40"/>
  <c r="AI220" i="40"/>
  <c r="AG220" i="40"/>
  <c r="AE220" i="40"/>
  <c r="AD220" i="40"/>
  <c r="AC220" i="40"/>
  <c r="AB220" i="40"/>
  <c r="BJ219" i="40"/>
  <c r="BI219" i="40"/>
  <c r="BH219" i="40"/>
  <c r="BG219" i="40"/>
  <c r="BF219" i="40"/>
  <c r="BE219" i="40"/>
  <c r="BD219" i="40"/>
  <c r="BC219" i="40"/>
  <c r="BB219" i="40"/>
  <c r="BA219" i="40"/>
  <c r="AZ219" i="40"/>
  <c r="AY219" i="40"/>
  <c r="AW219" i="40" a="1"/>
  <c r="AW219" i="40"/>
  <c r="AV219" i="40"/>
  <c r="AT219" i="40"/>
  <c r="AS219" i="40"/>
  <c r="AR219" i="40"/>
  <c r="AQ219" i="40"/>
  <c r="AP219" i="40"/>
  <c r="AO219" i="40"/>
  <c r="AN219" i="40"/>
  <c r="AM219" i="40"/>
  <c r="AL219" i="40"/>
  <c r="AK219" i="40"/>
  <c r="AJ219" i="40"/>
  <c r="AI219" i="40"/>
  <c r="AG219" i="40"/>
  <c r="AE219" i="40"/>
  <c r="AD219" i="40"/>
  <c r="AC219" i="40"/>
  <c r="BJ218" i="40"/>
  <c r="BI218" i="40"/>
  <c r="BH218" i="40"/>
  <c r="BG218" i="40"/>
  <c r="BF218" i="40"/>
  <c r="BE218" i="40"/>
  <c r="BD218" i="40"/>
  <c r="BC218" i="40"/>
  <c r="BB218" i="40"/>
  <c r="BA218" i="40"/>
  <c r="AZ218" i="40"/>
  <c r="AY218" i="40"/>
  <c r="AW218" i="40" a="1"/>
  <c r="AW218" i="40"/>
  <c r="AV218" i="40"/>
  <c r="AT218" i="40"/>
  <c r="AS218" i="40"/>
  <c r="AR218" i="40"/>
  <c r="AQ218" i="40"/>
  <c r="AP218" i="40"/>
  <c r="AO218" i="40"/>
  <c r="AN218" i="40"/>
  <c r="AM218" i="40"/>
  <c r="AL218" i="40"/>
  <c r="AK218" i="40"/>
  <c r="AJ218" i="40"/>
  <c r="AI218" i="40"/>
  <c r="AG218" i="40"/>
  <c r="AE218" i="40"/>
  <c r="AD218" i="40"/>
  <c r="AC218" i="40"/>
  <c r="AB218" i="40"/>
  <c r="BJ217" i="40"/>
  <c r="BI217" i="40"/>
  <c r="BH217" i="40"/>
  <c r="BG217" i="40"/>
  <c r="BF217" i="40"/>
  <c r="BE217" i="40"/>
  <c r="BD217" i="40"/>
  <c r="BC217" i="40"/>
  <c r="BB217" i="40"/>
  <c r="BA217" i="40"/>
  <c r="AZ217" i="40"/>
  <c r="AY217" i="40"/>
  <c r="AW217" i="40" a="1"/>
  <c r="AW217" i="40"/>
  <c r="AV217" i="40"/>
  <c r="AT217" i="40"/>
  <c r="AS217" i="40"/>
  <c r="AR217" i="40"/>
  <c r="AQ217" i="40"/>
  <c r="AP217" i="40"/>
  <c r="AO217" i="40"/>
  <c r="AN217" i="40"/>
  <c r="AM217" i="40"/>
  <c r="AL217" i="40"/>
  <c r="AK217" i="40"/>
  <c r="AJ217" i="40"/>
  <c r="AI217" i="40"/>
  <c r="AG217" i="40"/>
  <c r="AE217" i="40"/>
  <c r="AD217" i="40"/>
  <c r="AC217" i="40"/>
  <c r="AB217" i="40"/>
  <c r="BJ216" i="40"/>
  <c r="BI216" i="40"/>
  <c r="BH216" i="40"/>
  <c r="BG216" i="40"/>
  <c r="BF216" i="40"/>
  <c r="BE216" i="40"/>
  <c r="BD216" i="40"/>
  <c r="BC216" i="40"/>
  <c r="BB216" i="40"/>
  <c r="BA216" i="40"/>
  <c r="AZ216" i="40"/>
  <c r="AY216" i="40"/>
  <c r="AW216" i="40" a="1"/>
  <c r="AW216" i="40"/>
  <c r="AV216" i="40"/>
  <c r="AT216" i="40"/>
  <c r="AS216" i="40"/>
  <c r="AR216" i="40"/>
  <c r="AQ216" i="40"/>
  <c r="AP216" i="40"/>
  <c r="AO216" i="40"/>
  <c r="AN216" i="40"/>
  <c r="AM216" i="40"/>
  <c r="AL216" i="40"/>
  <c r="AK216" i="40"/>
  <c r="AJ216" i="40"/>
  <c r="AI216" i="40"/>
  <c r="AG216" i="40"/>
  <c r="AE216" i="40"/>
  <c r="AD216" i="40"/>
  <c r="AC216" i="40"/>
  <c r="AB216" i="40"/>
  <c r="BJ215" i="40"/>
  <c r="BI215" i="40"/>
  <c r="BH215" i="40"/>
  <c r="BG215" i="40"/>
  <c r="BF215" i="40"/>
  <c r="BE215" i="40"/>
  <c r="BD215" i="40"/>
  <c r="BC215" i="40"/>
  <c r="BB215" i="40"/>
  <c r="BA215" i="40"/>
  <c r="AZ215" i="40"/>
  <c r="AY215" i="40"/>
  <c r="AW215" i="40" a="1"/>
  <c r="AW215" i="40"/>
  <c r="AV215" i="40"/>
  <c r="AT215" i="40"/>
  <c r="AS215" i="40"/>
  <c r="AR215" i="40"/>
  <c r="AQ215" i="40"/>
  <c r="AP215" i="40"/>
  <c r="AO215" i="40"/>
  <c r="AN215" i="40"/>
  <c r="AM215" i="40"/>
  <c r="AL215" i="40"/>
  <c r="AK215" i="40"/>
  <c r="AJ215" i="40"/>
  <c r="AI215" i="40"/>
  <c r="AG215" i="40"/>
  <c r="AE215" i="40"/>
  <c r="AD215" i="40"/>
  <c r="AC215" i="40"/>
  <c r="AB215" i="40"/>
  <c r="BJ214" i="40"/>
  <c r="BI214" i="40"/>
  <c r="BH214" i="40"/>
  <c r="BG214" i="40"/>
  <c r="BF214" i="40"/>
  <c r="BE214" i="40"/>
  <c r="BD214" i="40"/>
  <c r="BC214" i="40"/>
  <c r="BB214" i="40"/>
  <c r="BA214" i="40"/>
  <c r="AZ214" i="40"/>
  <c r="AY214" i="40"/>
  <c r="AW214" i="40" a="1"/>
  <c r="AW214" i="40"/>
  <c r="AV214" i="40"/>
  <c r="AT214" i="40"/>
  <c r="AS214" i="40"/>
  <c r="AR214" i="40"/>
  <c r="AQ214" i="40"/>
  <c r="AP214" i="40"/>
  <c r="AO214" i="40"/>
  <c r="AN214" i="40"/>
  <c r="AM214" i="40"/>
  <c r="AL214" i="40"/>
  <c r="AK214" i="40"/>
  <c r="AJ214" i="40"/>
  <c r="AI214" i="40"/>
  <c r="AG214" i="40"/>
  <c r="AE214" i="40"/>
  <c r="AD214" i="40"/>
  <c r="AC214" i="40"/>
  <c r="AB214" i="40"/>
  <c r="BJ213" i="40"/>
  <c r="BI213" i="40"/>
  <c r="BH213" i="40"/>
  <c r="BG213" i="40"/>
  <c r="BF213" i="40"/>
  <c r="BE213" i="40"/>
  <c r="BD213" i="40"/>
  <c r="BC213" i="40"/>
  <c r="BB213" i="40"/>
  <c r="BA213" i="40"/>
  <c r="AZ213" i="40"/>
  <c r="AY213" i="40"/>
  <c r="AW213" i="40" a="1"/>
  <c r="AW213" i="40"/>
  <c r="AV213" i="40"/>
  <c r="AT213" i="40"/>
  <c r="AS213" i="40"/>
  <c r="AR213" i="40"/>
  <c r="AQ213" i="40"/>
  <c r="AP213" i="40"/>
  <c r="AO213" i="40"/>
  <c r="AN213" i="40"/>
  <c r="AM213" i="40"/>
  <c r="AL213" i="40"/>
  <c r="AK213" i="40"/>
  <c r="AJ213" i="40"/>
  <c r="AI213" i="40"/>
  <c r="AG213" i="40"/>
  <c r="AE213" i="40"/>
  <c r="AD213" i="40"/>
  <c r="AC213" i="40"/>
  <c r="AB213" i="40"/>
  <c r="BJ212" i="40"/>
  <c r="BI212" i="40"/>
  <c r="BH212" i="40"/>
  <c r="BG212" i="40"/>
  <c r="BF212" i="40"/>
  <c r="BE212" i="40"/>
  <c r="BD212" i="40"/>
  <c r="BC212" i="40"/>
  <c r="BB212" i="40"/>
  <c r="BA212" i="40"/>
  <c r="AZ212" i="40"/>
  <c r="AY212" i="40"/>
  <c r="AW212" i="40" a="1"/>
  <c r="AW212" i="40"/>
  <c r="AV212" i="40"/>
  <c r="AT212" i="40"/>
  <c r="AS212" i="40"/>
  <c r="AR212" i="40"/>
  <c r="AQ212" i="40"/>
  <c r="AP212" i="40"/>
  <c r="AO212" i="40"/>
  <c r="AN212" i="40"/>
  <c r="AM212" i="40"/>
  <c r="AL212" i="40"/>
  <c r="AK212" i="40"/>
  <c r="AJ212" i="40"/>
  <c r="AI212" i="40"/>
  <c r="AG212" i="40"/>
  <c r="AE212" i="40"/>
  <c r="AD212" i="40"/>
  <c r="AC212" i="40"/>
  <c r="AB212" i="40"/>
  <c r="BJ211" i="40"/>
  <c r="BI211" i="40"/>
  <c r="BH211" i="40"/>
  <c r="BG211" i="40"/>
  <c r="BF211" i="40"/>
  <c r="BE211" i="40"/>
  <c r="BD211" i="40"/>
  <c r="BC211" i="40"/>
  <c r="BB211" i="40"/>
  <c r="BA211" i="40"/>
  <c r="AZ211" i="40"/>
  <c r="AY211" i="40"/>
  <c r="AW211" i="40" a="1"/>
  <c r="AW211" i="40"/>
  <c r="AV211" i="40"/>
  <c r="AT211" i="40"/>
  <c r="AS211" i="40"/>
  <c r="AR211" i="40"/>
  <c r="AQ211" i="40"/>
  <c r="AP211" i="40"/>
  <c r="AO211" i="40"/>
  <c r="AN211" i="40"/>
  <c r="AM211" i="40"/>
  <c r="AL211" i="40"/>
  <c r="AK211" i="40"/>
  <c r="AJ211" i="40"/>
  <c r="AI211" i="40"/>
  <c r="AG211" i="40"/>
  <c r="AE211" i="40"/>
  <c r="AD211" i="40"/>
  <c r="AC211" i="40"/>
  <c r="AB211" i="40"/>
  <c r="BJ210" i="40"/>
  <c r="BI210" i="40"/>
  <c r="BH210" i="40"/>
  <c r="BG210" i="40"/>
  <c r="BF210" i="40"/>
  <c r="BE210" i="40"/>
  <c r="BD210" i="40"/>
  <c r="BC210" i="40"/>
  <c r="BB210" i="40"/>
  <c r="BA210" i="40"/>
  <c r="AZ210" i="40"/>
  <c r="AY210" i="40"/>
  <c r="AW210" i="40" a="1"/>
  <c r="AW210" i="40"/>
  <c r="AV210" i="40"/>
  <c r="AT210" i="40"/>
  <c r="AS210" i="40"/>
  <c r="AR210" i="40"/>
  <c r="AQ210" i="40"/>
  <c r="AP210" i="40"/>
  <c r="AO210" i="40"/>
  <c r="AN210" i="40"/>
  <c r="AM210" i="40"/>
  <c r="AL210" i="40"/>
  <c r="AK210" i="40"/>
  <c r="AJ210" i="40"/>
  <c r="AI210" i="40"/>
  <c r="AG210" i="40"/>
  <c r="AE210" i="40"/>
  <c r="AD210" i="40"/>
  <c r="AC210" i="40"/>
  <c r="AB210" i="40"/>
  <c r="BJ209" i="40"/>
  <c r="BI209" i="40"/>
  <c r="BH209" i="40"/>
  <c r="BG209" i="40"/>
  <c r="BF209" i="40"/>
  <c r="BE209" i="40"/>
  <c r="BD209" i="40"/>
  <c r="BC209" i="40"/>
  <c r="BB209" i="40"/>
  <c r="BA209" i="40"/>
  <c r="AZ209" i="40"/>
  <c r="AY209" i="40"/>
  <c r="AW209" i="40" a="1"/>
  <c r="AW209" i="40"/>
  <c r="AV209" i="40"/>
  <c r="AT209" i="40"/>
  <c r="AS209" i="40"/>
  <c r="AR209" i="40"/>
  <c r="AQ209" i="40"/>
  <c r="AP209" i="40"/>
  <c r="AO209" i="40"/>
  <c r="AN209" i="40"/>
  <c r="AM209" i="40"/>
  <c r="AL209" i="40"/>
  <c r="AK209" i="40"/>
  <c r="AJ209" i="40"/>
  <c r="AI209" i="40"/>
  <c r="AG209" i="40"/>
  <c r="AE209" i="40"/>
  <c r="AD209" i="40"/>
  <c r="AC209" i="40"/>
  <c r="AB209" i="40"/>
  <c r="BJ208" i="40"/>
  <c r="BI208" i="40"/>
  <c r="BH208" i="40"/>
  <c r="BG208" i="40"/>
  <c r="BF208" i="40"/>
  <c r="BE208" i="40"/>
  <c r="BD208" i="40"/>
  <c r="BC208" i="40"/>
  <c r="BB208" i="40"/>
  <c r="BA208" i="40"/>
  <c r="AZ208" i="40"/>
  <c r="AY208" i="40"/>
  <c r="AW208" i="40" a="1"/>
  <c r="AW208" i="40"/>
  <c r="AV208" i="40"/>
  <c r="AT208" i="40"/>
  <c r="AS208" i="40"/>
  <c r="AR208" i="40"/>
  <c r="AQ208" i="40"/>
  <c r="AP208" i="40"/>
  <c r="AO208" i="40"/>
  <c r="AN208" i="40"/>
  <c r="AM208" i="40"/>
  <c r="AL208" i="40"/>
  <c r="AK208" i="40"/>
  <c r="AJ208" i="40"/>
  <c r="AI208" i="40"/>
  <c r="AG208" i="40"/>
  <c r="AE208" i="40"/>
  <c r="AD208" i="40"/>
  <c r="AC208" i="40"/>
  <c r="AB208" i="40"/>
  <c r="BJ207" i="40"/>
  <c r="BI207" i="40"/>
  <c r="BH207" i="40"/>
  <c r="BG207" i="40"/>
  <c r="BF207" i="40"/>
  <c r="BE207" i="40"/>
  <c r="BD207" i="40"/>
  <c r="BC207" i="40"/>
  <c r="BB207" i="40"/>
  <c r="BA207" i="40"/>
  <c r="AZ207" i="40"/>
  <c r="AY207" i="40"/>
  <c r="AW207" i="40" a="1"/>
  <c r="AW207" i="40"/>
  <c r="AV207" i="40"/>
  <c r="AT207" i="40"/>
  <c r="AS207" i="40"/>
  <c r="AR207" i="40"/>
  <c r="AQ207" i="40"/>
  <c r="AP207" i="40"/>
  <c r="AO207" i="40"/>
  <c r="AN207" i="40"/>
  <c r="AM207" i="40"/>
  <c r="AL207" i="40"/>
  <c r="AK207" i="40"/>
  <c r="AJ207" i="40"/>
  <c r="AI207" i="40"/>
  <c r="AG207" i="40"/>
  <c r="AE207" i="40"/>
  <c r="AD207" i="40"/>
  <c r="AC207" i="40"/>
  <c r="AB207" i="40"/>
  <c r="BJ206" i="40"/>
  <c r="BI206" i="40"/>
  <c r="BH206" i="40"/>
  <c r="BG206" i="40"/>
  <c r="BF206" i="40"/>
  <c r="BE206" i="40"/>
  <c r="BD206" i="40"/>
  <c r="BC206" i="40"/>
  <c r="BB206" i="40"/>
  <c r="BA206" i="40"/>
  <c r="AZ206" i="40"/>
  <c r="AY206" i="40"/>
  <c r="AW206" i="40" a="1"/>
  <c r="AW206" i="40"/>
  <c r="AV206" i="40"/>
  <c r="AT206" i="40"/>
  <c r="AS206" i="40"/>
  <c r="AR206" i="40"/>
  <c r="AQ206" i="40"/>
  <c r="AP206" i="40"/>
  <c r="AO206" i="40"/>
  <c r="AN206" i="40"/>
  <c r="AM206" i="40"/>
  <c r="AL206" i="40"/>
  <c r="AK206" i="40"/>
  <c r="AJ206" i="40"/>
  <c r="AI206" i="40"/>
  <c r="AG206" i="40"/>
  <c r="AE206" i="40"/>
  <c r="AD206" i="40"/>
  <c r="AC206" i="40"/>
  <c r="AB206" i="40"/>
  <c r="BJ205" i="40"/>
  <c r="BI205" i="40"/>
  <c r="BH205" i="40"/>
  <c r="BG205" i="40"/>
  <c r="BF205" i="40"/>
  <c r="BE205" i="40"/>
  <c r="BD205" i="40"/>
  <c r="BC205" i="40"/>
  <c r="BB205" i="40"/>
  <c r="BA205" i="40"/>
  <c r="AZ205" i="40"/>
  <c r="AY205" i="40"/>
  <c r="AW205" i="40" a="1"/>
  <c r="AW205" i="40"/>
  <c r="AV205" i="40"/>
  <c r="AT205" i="40"/>
  <c r="AS205" i="40"/>
  <c r="AR205" i="40"/>
  <c r="AQ205" i="40"/>
  <c r="AP205" i="40"/>
  <c r="AO205" i="40"/>
  <c r="AN205" i="40"/>
  <c r="AM205" i="40"/>
  <c r="AL205" i="40"/>
  <c r="AK205" i="40"/>
  <c r="AJ205" i="40"/>
  <c r="AI205" i="40"/>
  <c r="AG205" i="40"/>
  <c r="AE205" i="40"/>
  <c r="AD205" i="40"/>
  <c r="AC205" i="40"/>
  <c r="AB205" i="40"/>
  <c r="BJ204" i="40"/>
  <c r="BI204" i="40"/>
  <c r="BH204" i="40"/>
  <c r="BG204" i="40"/>
  <c r="BF204" i="40"/>
  <c r="BE204" i="40"/>
  <c r="BD204" i="40"/>
  <c r="BC204" i="40"/>
  <c r="BB204" i="40"/>
  <c r="BA204" i="40"/>
  <c r="AZ204" i="40"/>
  <c r="AY204" i="40"/>
  <c r="AW204" i="40" a="1"/>
  <c r="AW204" i="40"/>
  <c r="AV204" i="40"/>
  <c r="AT204" i="40"/>
  <c r="AS204" i="40"/>
  <c r="AR204" i="40"/>
  <c r="AQ204" i="40"/>
  <c r="AP204" i="40"/>
  <c r="AO204" i="40"/>
  <c r="AN204" i="40"/>
  <c r="AM204" i="40"/>
  <c r="AL204" i="40"/>
  <c r="AK204" i="40"/>
  <c r="AJ204" i="40"/>
  <c r="AI204" i="40"/>
  <c r="AG204" i="40"/>
  <c r="AE204" i="40"/>
  <c r="AD204" i="40"/>
  <c r="AC204" i="40"/>
  <c r="AB204" i="40"/>
  <c r="BJ203" i="40"/>
  <c r="BI203" i="40"/>
  <c r="BH203" i="40"/>
  <c r="BG203" i="40"/>
  <c r="BF203" i="40"/>
  <c r="BE203" i="40"/>
  <c r="BD203" i="40"/>
  <c r="BC203" i="40"/>
  <c r="BB203" i="40"/>
  <c r="BA203" i="40"/>
  <c r="AZ203" i="40"/>
  <c r="AY203" i="40"/>
  <c r="AW203" i="40" a="1"/>
  <c r="AW203" i="40"/>
  <c r="AV203" i="40"/>
  <c r="AT203" i="40"/>
  <c r="AS203" i="40"/>
  <c r="AR203" i="40"/>
  <c r="AQ203" i="40"/>
  <c r="AP203" i="40"/>
  <c r="AO203" i="40"/>
  <c r="AN203" i="40"/>
  <c r="AM203" i="40"/>
  <c r="AL203" i="40"/>
  <c r="AK203" i="40"/>
  <c r="AJ203" i="40"/>
  <c r="AI203" i="40"/>
  <c r="AG203" i="40"/>
  <c r="AE203" i="40"/>
  <c r="AD203" i="40"/>
  <c r="AC203" i="40"/>
  <c r="AB203" i="40"/>
  <c r="BJ202" i="40"/>
  <c r="BI202" i="40"/>
  <c r="BH202" i="40"/>
  <c r="BG202" i="40"/>
  <c r="BF202" i="40"/>
  <c r="BE202" i="40"/>
  <c r="BD202" i="40"/>
  <c r="BC202" i="40"/>
  <c r="BB202" i="40"/>
  <c r="BA202" i="40"/>
  <c r="AZ202" i="40"/>
  <c r="AY202" i="40"/>
  <c r="AW202" i="40" a="1"/>
  <c r="AW202" i="40"/>
  <c r="AV202" i="40"/>
  <c r="AT202" i="40"/>
  <c r="AS202" i="40"/>
  <c r="AR202" i="40"/>
  <c r="AQ202" i="40"/>
  <c r="AP202" i="40"/>
  <c r="AO202" i="40"/>
  <c r="AN202" i="40"/>
  <c r="AM202" i="40"/>
  <c r="AL202" i="40"/>
  <c r="AK202" i="40"/>
  <c r="AJ202" i="40"/>
  <c r="AI202" i="40"/>
  <c r="AG202" i="40"/>
  <c r="AE202" i="40"/>
  <c r="AD202" i="40"/>
  <c r="AC202" i="40"/>
  <c r="AB202" i="40"/>
  <c r="BJ201" i="40"/>
  <c r="BI201" i="40"/>
  <c r="BH201" i="40"/>
  <c r="BG201" i="40"/>
  <c r="BF201" i="40"/>
  <c r="BE201" i="40"/>
  <c r="BD201" i="40"/>
  <c r="BC201" i="40"/>
  <c r="BB201" i="40"/>
  <c r="BA201" i="40"/>
  <c r="AZ201" i="40"/>
  <c r="AY201" i="40"/>
  <c r="AW201" i="40" a="1"/>
  <c r="AW201" i="40"/>
  <c r="AV201" i="40"/>
  <c r="AT201" i="40"/>
  <c r="AS201" i="40"/>
  <c r="AR201" i="40"/>
  <c r="AQ201" i="40"/>
  <c r="AP201" i="40"/>
  <c r="AO201" i="40"/>
  <c r="AN201" i="40"/>
  <c r="AM201" i="40"/>
  <c r="AL201" i="40"/>
  <c r="AK201" i="40"/>
  <c r="AJ201" i="40"/>
  <c r="AI201" i="40"/>
  <c r="AG201" i="40"/>
  <c r="AE201" i="40"/>
  <c r="AD201" i="40"/>
  <c r="AC201" i="40"/>
  <c r="AB201" i="40"/>
  <c r="BJ200" i="40"/>
  <c r="BI200" i="40"/>
  <c r="BH200" i="40"/>
  <c r="BG200" i="40"/>
  <c r="BF200" i="40"/>
  <c r="BE200" i="40"/>
  <c r="BD200" i="40"/>
  <c r="BC200" i="40"/>
  <c r="BB200" i="40"/>
  <c r="BA200" i="40"/>
  <c r="AZ200" i="40"/>
  <c r="AY200" i="40"/>
  <c r="AW200" i="40" a="1"/>
  <c r="AW200" i="40"/>
  <c r="AV200" i="40"/>
  <c r="AT200" i="40"/>
  <c r="AS200" i="40"/>
  <c r="AR200" i="40"/>
  <c r="AQ200" i="40"/>
  <c r="AP200" i="40"/>
  <c r="AO200" i="40"/>
  <c r="AN200" i="40"/>
  <c r="AM200" i="40"/>
  <c r="AL200" i="40"/>
  <c r="AK200" i="40"/>
  <c r="AJ200" i="40"/>
  <c r="AI200" i="40"/>
  <c r="AG200" i="40"/>
  <c r="AE200" i="40"/>
  <c r="AD200" i="40"/>
  <c r="AC200" i="40"/>
  <c r="AB200" i="40"/>
  <c r="BJ199" i="40"/>
  <c r="BI199" i="40"/>
  <c r="BH199" i="40"/>
  <c r="BG199" i="40"/>
  <c r="BF199" i="40"/>
  <c r="BE199" i="40"/>
  <c r="BD199" i="40"/>
  <c r="BC199" i="40"/>
  <c r="BB199" i="40"/>
  <c r="BA199" i="40"/>
  <c r="AZ199" i="40"/>
  <c r="AY199" i="40"/>
  <c r="AW199" i="40" a="1"/>
  <c r="AW199" i="40"/>
  <c r="AV199" i="40"/>
  <c r="AT199" i="40"/>
  <c r="AS199" i="40"/>
  <c r="AR199" i="40"/>
  <c r="AQ199" i="40"/>
  <c r="AP199" i="40"/>
  <c r="AO199" i="40"/>
  <c r="AN199" i="40"/>
  <c r="AM199" i="40"/>
  <c r="AL199" i="40"/>
  <c r="AK199" i="40"/>
  <c r="AJ199" i="40"/>
  <c r="AI199" i="40"/>
  <c r="AG199" i="40"/>
  <c r="AE199" i="40"/>
  <c r="AD199" i="40"/>
  <c r="AC199" i="40"/>
  <c r="AB199" i="40"/>
  <c r="BJ198" i="40"/>
  <c r="BI198" i="40"/>
  <c r="BH198" i="40"/>
  <c r="BG198" i="40"/>
  <c r="BF198" i="40"/>
  <c r="BE198" i="40"/>
  <c r="BD198" i="40"/>
  <c r="BC198" i="40"/>
  <c r="BB198" i="40"/>
  <c r="BA198" i="40"/>
  <c r="AZ198" i="40"/>
  <c r="AY198" i="40"/>
  <c r="AW198" i="40" a="1"/>
  <c r="AW198" i="40"/>
  <c r="AV198" i="40"/>
  <c r="AT198" i="40"/>
  <c r="AS198" i="40"/>
  <c r="AR198" i="40"/>
  <c r="AQ198" i="40"/>
  <c r="AP198" i="40"/>
  <c r="AO198" i="40"/>
  <c r="AN198" i="40"/>
  <c r="AM198" i="40"/>
  <c r="AL198" i="40"/>
  <c r="AK198" i="40"/>
  <c r="AJ198" i="40"/>
  <c r="AI198" i="40"/>
  <c r="AG198" i="40"/>
  <c r="AE198" i="40"/>
  <c r="AD198" i="40"/>
  <c r="AC198" i="40"/>
  <c r="AB198" i="40"/>
  <c r="BJ197" i="40"/>
  <c r="BI197" i="40"/>
  <c r="BH197" i="40"/>
  <c r="BG197" i="40"/>
  <c r="BF197" i="40"/>
  <c r="BE197" i="40"/>
  <c r="BD197" i="40"/>
  <c r="BC197" i="40"/>
  <c r="BB197" i="40"/>
  <c r="BA197" i="40"/>
  <c r="AZ197" i="40"/>
  <c r="AY197" i="40"/>
  <c r="AW197" i="40" a="1"/>
  <c r="AW197" i="40"/>
  <c r="AV197" i="40"/>
  <c r="AT197" i="40"/>
  <c r="AS197" i="40"/>
  <c r="AR197" i="40"/>
  <c r="AQ197" i="40"/>
  <c r="AP197" i="40"/>
  <c r="AO197" i="40"/>
  <c r="AN197" i="40"/>
  <c r="AM197" i="40"/>
  <c r="AL197" i="40"/>
  <c r="AK197" i="40"/>
  <c r="AJ197" i="40"/>
  <c r="AI197" i="40"/>
  <c r="AG197" i="40"/>
  <c r="AE197" i="40"/>
  <c r="AD197" i="40"/>
  <c r="AC197" i="40"/>
  <c r="AB197" i="40"/>
  <c r="BJ196" i="40"/>
  <c r="BI196" i="40"/>
  <c r="BH196" i="40"/>
  <c r="BG196" i="40"/>
  <c r="BF196" i="40"/>
  <c r="BE196" i="40"/>
  <c r="BD196" i="40"/>
  <c r="BC196" i="40"/>
  <c r="BB196" i="40"/>
  <c r="BA196" i="40"/>
  <c r="AZ196" i="40"/>
  <c r="AY196" i="40"/>
  <c r="AW196" i="40" a="1"/>
  <c r="AW196" i="40"/>
  <c r="AV196" i="40"/>
  <c r="AT196" i="40"/>
  <c r="AS196" i="40"/>
  <c r="AR196" i="40"/>
  <c r="AQ196" i="40"/>
  <c r="AP196" i="40"/>
  <c r="AO196" i="40"/>
  <c r="AN196" i="40"/>
  <c r="AM196" i="40"/>
  <c r="AL196" i="40"/>
  <c r="AK196" i="40"/>
  <c r="AJ196" i="40"/>
  <c r="AI196" i="40"/>
  <c r="AG196" i="40"/>
  <c r="AE196" i="40"/>
  <c r="AD196" i="40"/>
  <c r="AC196" i="40"/>
  <c r="AB196" i="40"/>
  <c r="BJ195" i="40"/>
  <c r="BI195" i="40"/>
  <c r="BH195" i="40"/>
  <c r="BG195" i="40"/>
  <c r="BF195" i="40"/>
  <c r="BE195" i="40"/>
  <c r="BD195" i="40"/>
  <c r="BC195" i="40"/>
  <c r="BB195" i="40"/>
  <c r="BA195" i="40"/>
  <c r="AZ195" i="40"/>
  <c r="AY195" i="40"/>
  <c r="AW195" i="40" a="1"/>
  <c r="AW195" i="40"/>
  <c r="AV195" i="40"/>
  <c r="AT195" i="40"/>
  <c r="AS195" i="40"/>
  <c r="AR195" i="40"/>
  <c r="AQ195" i="40"/>
  <c r="AP195" i="40"/>
  <c r="AO195" i="40"/>
  <c r="AN195" i="40"/>
  <c r="AM195" i="40"/>
  <c r="AL195" i="40"/>
  <c r="AK195" i="40"/>
  <c r="AJ195" i="40"/>
  <c r="AI195" i="40"/>
  <c r="AG195" i="40"/>
  <c r="AE195" i="40"/>
  <c r="AD195" i="40"/>
  <c r="AC195" i="40"/>
  <c r="AB195" i="40"/>
  <c r="BJ194" i="40"/>
  <c r="BI194" i="40"/>
  <c r="BH194" i="40"/>
  <c r="BG194" i="40"/>
  <c r="BF194" i="40"/>
  <c r="BE194" i="40"/>
  <c r="BD194" i="40"/>
  <c r="BC194" i="40"/>
  <c r="BB194" i="40"/>
  <c r="BA194" i="40"/>
  <c r="AZ194" i="40"/>
  <c r="AY194" i="40"/>
  <c r="AW194" i="40" a="1"/>
  <c r="AW194" i="40"/>
  <c r="AV194" i="40"/>
  <c r="AT194" i="40"/>
  <c r="AS194" i="40"/>
  <c r="AR194" i="40"/>
  <c r="AQ194" i="40"/>
  <c r="AP194" i="40"/>
  <c r="AO194" i="40"/>
  <c r="AN194" i="40"/>
  <c r="AM194" i="40"/>
  <c r="AL194" i="40"/>
  <c r="AK194" i="40"/>
  <c r="AJ194" i="40"/>
  <c r="AI194" i="40"/>
  <c r="AG194" i="40"/>
  <c r="AE194" i="40"/>
  <c r="AD194" i="40"/>
  <c r="AC194" i="40"/>
  <c r="AB194" i="40"/>
  <c r="BJ193" i="40"/>
  <c r="BI193" i="40"/>
  <c r="BH193" i="40"/>
  <c r="BG193" i="40"/>
  <c r="BF193" i="40"/>
  <c r="BE193" i="40"/>
  <c r="BD193" i="40"/>
  <c r="BC193" i="40"/>
  <c r="BB193" i="40"/>
  <c r="BA193" i="40"/>
  <c r="AZ193" i="40"/>
  <c r="AY193" i="40"/>
  <c r="AW193" i="40" a="1"/>
  <c r="AW193" i="40"/>
  <c r="AV193" i="40"/>
  <c r="AT193" i="40"/>
  <c r="AS193" i="40"/>
  <c r="AR193" i="40"/>
  <c r="AQ193" i="40"/>
  <c r="AP193" i="40"/>
  <c r="AO193" i="40"/>
  <c r="AN193" i="40"/>
  <c r="AM193" i="40"/>
  <c r="AL193" i="40"/>
  <c r="AK193" i="40"/>
  <c r="AJ193" i="40"/>
  <c r="AI193" i="40"/>
  <c r="AG193" i="40"/>
  <c r="AE193" i="40"/>
  <c r="AD193" i="40"/>
  <c r="AC193" i="40"/>
  <c r="AB193" i="40"/>
  <c r="BJ192" i="40"/>
  <c r="BI192" i="40"/>
  <c r="BH192" i="40"/>
  <c r="BG192" i="40"/>
  <c r="BF192" i="40"/>
  <c r="BE192" i="40"/>
  <c r="BD192" i="40"/>
  <c r="BC192" i="40"/>
  <c r="BB192" i="40"/>
  <c r="BA192" i="40"/>
  <c r="AZ192" i="40"/>
  <c r="AY192" i="40"/>
  <c r="AW192" i="40" a="1"/>
  <c r="AW192" i="40"/>
  <c r="AV192" i="40"/>
  <c r="AT192" i="40"/>
  <c r="AS192" i="40"/>
  <c r="AR192" i="40"/>
  <c r="AQ192" i="40"/>
  <c r="AP192" i="40"/>
  <c r="AO192" i="40"/>
  <c r="AN192" i="40"/>
  <c r="AM192" i="40"/>
  <c r="AL192" i="40"/>
  <c r="AK192" i="40"/>
  <c r="AJ192" i="40"/>
  <c r="AI192" i="40"/>
  <c r="AG192" i="40"/>
  <c r="AE192" i="40"/>
  <c r="AD192" i="40"/>
  <c r="AC192" i="40"/>
  <c r="AB192" i="40"/>
  <c r="BJ191" i="40"/>
  <c r="BI191" i="40"/>
  <c r="BH191" i="40"/>
  <c r="BG191" i="40"/>
  <c r="BF191" i="40"/>
  <c r="BE191" i="40"/>
  <c r="BD191" i="40"/>
  <c r="BC191" i="40"/>
  <c r="BB191" i="40"/>
  <c r="BA191" i="40"/>
  <c r="AZ191" i="40"/>
  <c r="AY191" i="40"/>
  <c r="AW191" i="40" a="1"/>
  <c r="AW191" i="40"/>
  <c r="AV191" i="40"/>
  <c r="AT191" i="40"/>
  <c r="AS191" i="40"/>
  <c r="AR191" i="40"/>
  <c r="AQ191" i="40"/>
  <c r="AP191" i="40"/>
  <c r="AO191" i="40"/>
  <c r="AN191" i="40"/>
  <c r="AM191" i="40"/>
  <c r="AL191" i="40"/>
  <c r="AK191" i="40"/>
  <c r="AJ191" i="40"/>
  <c r="AI191" i="40"/>
  <c r="AG191" i="40"/>
  <c r="AE191" i="40"/>
  <c r="AD191" i="40"/>
  <c r="AC191" i="40"/>
  <c r="AB191" i="40"/>
  <c r="BJ190" i="40"/>
  <c r="BI190" i="40"/>
  <c r="BH190" i="40"/>
  <c r="BG190" i="40"/>
  <c r="BF190" i="40"/>
  <c r="BE190" i="40"/>
  <c r="BD190" i="40"/>
  <c r="BC190" i="40"/>
  <c r="BB190" i="40"/>
  <c r="BA190" i="40"/>
  <c r="AZ190" i="40"/>
  <c r="AY190" i="40"/>
  <c r="AW190" i="40" a="1"/>
  <c r="AW190" i="40"/>
  <c r="AV190" i="40"/>
  <c r="AT190" i="40"/>
  <c r="AS190" i="40"/>
  <c r="AR190" i="40"/>
  <c r="AQ190" i="40"/>
  <c r="AP190" i="40"/>
  <c r="AO190" i="40"/>
  <c r="AN190" i="40"/>
  <c r="AM190" i="40"/>
  <c r="AL190" i="40"/>
  <c r="AK190" i="40"/>
  <c r="AJ190" i="40"/>
  <c r="AI190" i="40"/>
  <c r="AG190" i="40"/>
  <c r="AE190" i="40"/>
  <c r="AD190" i="40"/>
  <c r="AC190" i="40"/>
  <c r="AB190" i="40"/>
  <c r="BJ189" i="40"/>
  <c r="BI189" i="40"/>
  <c r="BH189" i="40"/>
  <c r="BG189" i="40"/>
  <c r="BF189" i="40"/>
  <c r="BE189" i="40"/>
  <c r="BD189" i="40"/>
  <c r="BC189" i="40"/>
  <c r="BB189" i="40"/>
  <c r="BA189" i="40"/>
  <c r="AZ189" i="40"/>
  <c r="AY189" i="40"/>
  <c r="AW189" i="40" a="1"/>
  <c r="AW189" i="40"/>
  <c r="AV189" i="40"/>
  <c r="AT189" i="40"/>
  <c r="AS189" i="40"/>
  <c r="AR189" i="40"/>
  <c r="AQ189" i="40"/>
  <c r="AP189" i="40"/>
  <c r="AO189" i="40"/>
  <c r="AN189" i="40"/>
  <c r="AM189" i="40"/>
  <c r="AL189" i="40"/>
  <c r="AK189" i="40"/>
  <c r="AJ189" i="40"/>
  <c r="AI189" i="40"/>
  <c r="AG189" i="40"/>
  <c r="AE189" i="40"/>
  <c r="AD189" i="40"/>
  <c r="AC189" i="40"/>
  <c r="AB189" i="40"/>
  <c r="BJ188" i="40"/>
  <c r="BI188" i="40"/>
  <c r="BH188" i="40"/>
  <c r="BG188" i="40"/>
  <c r="BF188" i="40"/>
  <c r="BE188" i="40"/>
  <c r="BD188" i="40"/>
  <c r="BC188" i="40"/>
  <c r="BB188" i="40"/>
  <c r="BA188" i="40"/>
  <c r="AZ188" i="40"/>
  <c r="AY188" i="40"/>
  <c r="AW188" i="40" a="1"/>
  <c r="AW188" i="40"/>
  <c r="AV188" i="40"/>
  <c r="AT188" i="40"/>
  <c r="AS188" i="40"/>
  <c r="AR188" i="40"/>
  <c r="AQ188" i="40"/>
  <c r="AP188" i="40"/>
  <c r="AO188" i="40"/>
  <c r="AN188" i="40"/>
  <c r="AM188" i="40"/>
  <c r="AL188" i="40"/>
  <c r="AK188" i="40"/>
  <c r="AJ188" i="40"/>
  <c r="AI188" i="40"/>
  <c r="AG188" i="40"/>
  <c r="AE188" i="40"/>
  <c r="AD188" i="40"/>
  <c r="AC188" i="40"/>
  <c r="AB188" i="40"/>
  <c r="BJ187" i="40"/>
  <c r="BI187" i="40"/>
  <c r="BH187" i="40"/>
  <c r="BG187" i="40"/>
  <c r="BF187" i="40"/>
  <c r="BE187" i="40"/>
  <c r="BD187" i="40"/>
  <c r="BC187" i="40"/>
  <c r="BB187" i="40"/>
  <c r="BA187" i="40"/>
  <c r="AZ187" i="40"/>
  <c r="AY187" i="40"/>
  <c r="AW187" i="40" a="1"/>
  <c r="AW187" i="40"/>
  <c r="AV187" i="40"/>
  <c r="AT187" i="40"/>
  <c r="AS187" i="40"/>
  <c r="AR187" i="40"/>
  <c r="AQ187" i="40"/>
  <c r="AP187" i="40"/>
  <c r="AO187" i="40"/>
  <c r="AN187" i="40"/>
  <c r="AM187" i="40"/>
  <c r="AL187" i="40"/>
  <c r="AK187" i="40"/>
  <c r="AJ187" i="40"/>
  <c r="AI187" i="40"/>
  <c r="AG187" i="40"/>
  <c r="AE187" i="40"/>
  <c r="AD187" i="40"/>
  <c r="AC187" i="40"/>
  <c r="AB187" i="40"/>
  <c r="BJ186" i="40"/>
  <c r="BI186" i="40"/>
  <c r="BH186" i="40"/>
  <c r="BG186" i="40"/>
  <c r="BF186" i="40"/>
  <c r="BE186" i="40"/>
  <c r="BD186" i="40"/>
  <c r="BC186" i="40"/>
  <c r="BB186" i="40"/>
  <c r="BA186" i="40"/>
  <c r="AZ186" i="40"/>
  <c r="AY186" i="40"/>
  <c r="AW186" i="40" a="1"/>
  <c r="AW186" i="40"/>
  <c r="AV186" i="40"/>
  <c r="AT186" i="40"/>
  <c r="AS186" i="40"/>
  <c r="AR186" i="40"/>
  <c r="AQ186" i="40"/>
  <c r="AP186" i="40"/>
  <c r="AO186" i="40"/>
  <c r="AN186" i="40"/>
  <c r="AM186" i="40"/>
  <c r="AL186" i="40"/>
  <c r="AK186" i="40"/>
  <c r="AJ186" i="40"/>
  <c r="AI186" i="40"/>
  <c r="AG186" i="40"/>
  <c r="AE186" i="40"/>
  <c r="AD186" i="40"/>
  <c r="AC186" i="40"/>
  <c r="AB186" i="40"/>
  <c r="BJ185" i="40"/>
  <c r="BI185" i="40"/>
  <c r="BH185" i="40"/>
  <c r="BG185" i="40"/>
  <c r="BF185" i="40"/>
  <c r="BE185" i="40"/>
  <c r="BD185" i="40"/>
  <c r="BC185" i="40"/>
  <c r="BB185" i="40"/>
  <c r="BA185" i="40"/>
  <c r="AZ185" i="40"/>
  <c r="AY185" i="40"/>
  <c r="AW185" i="40" a="1"/>
  <c r="AW185" i="40"/>
  <c r="AV185" i="40"/>
  <c r="AT185" i="40"/>
  <c r="AS185" i="40"/>
  <c r="AR185" i="40"/>
  <c r="AQ185" i="40"/>
  <c r="AP185" i="40"/>
  <c r="AO185" i="40"/>
  <c r="AN185" i="40"/>
  <c r="AM185" i="40"/>
  <c r="AL185" i="40"/>
  <c r="AK185" i="40"/>
  <c r="AJ185" i="40"/>
  <c r="AI185" i="40"/>
  <c r="AG185" i="40"/>
  <c r="AE185" i="40"/>
  <c r="AD185" i="40"/>
  <c r="AC185" i="40"/>
  <c r="AB185" i="40"/>
  <c r="BJ184" i="40"/>
  <c r="BI184" i="40"/>
  <c r="BH184" i="40"/>
  <c r="BG184" i="40"/>
  <c r="BF184" i="40"/>
  <c r="BE184" i="40"/>
  <c r="BD184" i="40"/>
  <c r="BC184" i="40"/>
  <c r="BB184" i="40"/>
  <c r="BA184" i="40"/>
  <c r="AZ184" i="40"/>
  <c r="AY184" i="40"/>
  <c r="AW184" i="40" a="1"/>
  <c r="AW184" i="40"/>
  <c r="AV184" i="40"/>
  <c r="AT184" i="40"/>
  <c r="AS184" i="40"/>
  <c r="AR184" i="40"/>
  <c r="AQ184" i="40"/>
  <c r="AP184" i="40"/>
  <c r="AO184" i="40"/>
  <c r="AN184" i="40"/>
  <c r="AM184" i="40"/>
  <c r="AL184" i="40"/>
  <c r="AK184" i="40"/>
  <c r="AJ184" i="40"/>
  <c r="AI184" i="40"/>
  <c r="AG184" i="40"/>
  <c r="AE184" i="40"/>
  <c r="AD184" i="40"/>
  <c r="AC184" i="40"/>
  <c r="AB184" i="40"/>
  <c r="BJ183" i="40"/>
  <c r="BI183" i="40"/>
  <c r="BH183" i="40"/>
  <c r="BG183" i="40"/>
  <c r="BF183" i="40"/>
  <c r="BE183" i="40"/>
  <c r="BD183" i="40"/>
  <c r="BC183" i="40"/>
  <c r="BB183" i="40"/>
  <c r="BA183" i="40"/>
  <c r="AZ183" i="40"/>
  <c r="AY183" i="40"/>
  <c r="AW183" i="40" a="1"/>
  <c r="AW183" i="40"/>
  <c r="AV183" i="40"/>
  <c r="AT183" i="40"/>
  <c r="AS183" i="40"/>
  <c r="AR183" i="40"/>
  <c r="AQ183" i="40"/>
  <c r="AP183" i="40"/>
  <c r="AO183" i="40"/>
  <c r="AN183" i="40"/>
  <c r="AM183" i="40"/>
  <c r="AL183" i="40"/>
  <c r="AK183" i="40"/>
  <c r="AJ183" i="40"/>
  <c r="AI183" i="40"/>
  <c r="AG183" i="40"/>
  <c r="AE183" i="40"/>
  <c r="AD183" i="40"/>
  <c r="AC183" i="40"/>
  <c r="AB183" i="40"/>
  <c r="BJ182" i="40"/>
  <c r="BI182" i="40"/>
  <c r="BH182" i="40"/>
  <c r="BG182" i="40"/>
  <c r="BF182" i="40"/>
  <c r="BE182" i="40"/>
  <c r="BD182" i="40"/>
  <c r="BC182" i="40"/>
  <c r="BB182" i="40"/>
  <c r="BA182" i="40"/>
  <c r="AZ182" i="40"/>
  <c r="AY182" i="40"/>
  <c r="AW182" i="40" a="1"/>
  <c r="AW182" i="40"/>
  <c r="AV182" i="40"/>
  <c r="AT182" i="40"/>
  <c r="AS182" i="40"/>
  <c r="AR182" i="40"/>
  <c r="AQ182" i="40"/>
  <c r="AP182" i="40"/>
  <c r="AO182" i="40"/>
  <c r="AN182" i="40"/>
  <c r="AM182" i="40"/>
  <c r="AL182" i="40"/>
  <c r="AK182" i="40"/>
  <c r="AJ182" i="40"/>
  <c r="AI182" i="40"/>
  <c r="AG182" i="40"/>
  <c r="AE182" i="40"/>
  <c r="AD182" i="40"/>
  <c r="AC182" i="40"/>
  <c r="AB182" i="40"/>
  <c r="BJ181" i="40"/>
  <c r="BI181" i="40"/>
  <c r="BH181" i="40"/>
  <c r="BG181" i="40"/>
  <c r="BF181" i="40"/>
  <c r="BE181" i="40"/>
  <c r="BD181" i="40"/>
  <c r="BC181" i="40"/>
  <c r="BB181" i="40"/>
  <c r="BA181" i="40"/>
  <c r="AZ181" i="40"/>
  <c r="AY181" i="40"/>
  <c r="AW181" i="40" a="1"/>
  <c r="AW181" i="40"/>
  <c r="AV181" i="40"/>
  <c r="AT181" i="40"/>
  <c r="AS181" i="40"/>
  <c r="AR181" i="40"/>
  <c r="AQ181" i="40"/>
  <c r="AP181" i="40"/>
  <c r="AO181" i="40"/>
  <c r="AN181" i="40"/>
  <c r="AM181" i="40"/>
  <c r="AL181" i="40"/>
  <c r="AK181" i="40"/>
  <c r="AJ181" i="40"/>
  <c r="AI181" i="40"/>
  <c r="AG181" i="40"/>
  <c r="AE181" i="40"/>
  <c r="AD181" i="40"/>
  <c r="AC181" i="40"/>
  <c r="AB181" i="40"/>
  <c r="BJ180" i="40"/>
  <c r="BI180" i="40"/>
  <c r="BH180" i="40"/>
  <c r="BG180" i="40"/>
  <c r="BF180" i="40"/>
  <c r="BE180" i="40"/>
  <c r="BD180" i="40"/>
  <c r="BC180" i="40"/>
  <c r="BB180" i="40"/>
  <c r="BA180" i="40"/>
  <c r="AZ180" i="40"/>
  <c r="AY180" i="40"/>
  <c r="AW180" i="40" a="1"/>
  <c r="AW180" i="40"/>
  <c r="AV180" i="40"/>
  <c r="AT180" i="40"/>
  <c r="AS180" i="40"/>
  <c r="AR180" i="40"/>
  <c r="AQ180" i="40"/>
  <c r="AP180" i="40"/>
  <c r="AO180" i="40"/>
  <c r="AN180" i="40"/>
  <c r="AM180" i="40"/>
  <c r="AL180" i="40"/>
  <c r="AK180" i="40"/>
  <c r="AJ180" i="40"/>
  <c r="AI180" i="40"/>
  <c r="AG180" i="40"/>
  <c r="AE180" i="40"/>
  <c r="AD180" i="40"/>
  <c r="AC180" i="40"/>
  <c r="AB180" i="40"/>
  <c r="BJ179" i="40"/>
  <c r="BI179" i="40"/>
  <c r="BH179" i="40"/>
  <c r="BG179" i="40"/>
  <c r="BF179" i="40"/>
  <c r="BE179" i="40"/>
  <c r="BD179" i="40"/>
  <c r="BC179" i="40"/>
  <c r="BB179" i="40"/>
  <c r="BA179" i="40"/>
  <c r="AZ179" i="40"/>
  <c r="AY179" i="40"/>
  <c r="AW179" i="40" a="1"/>
  <c r="AW179" i="40"/>
  <c r="AV179" i="40"/>
  <c r="AT179" i="40"/>
  <c r="AS179" i="40"/>
  <c r="AR179" i="40"/>
  <c r="AQ179" i="40"/>
  <c r="AP179" i="40"/>
  <c r="AO179" i="40"/>
  <c r="AN179" i="40"/>
  <c r="AM179" i="40"/>
  <c r="AL179" i="40"/>
  <c r="AK179" i="40"/>
  <c r="AJ179" i="40"/>
  <c r="AI179" i="40"/>
  <c r="AG179" i="40"/>
  <c r="AE179" i="40"/>
  <c r="AD179" i="40"/>
  <c r="AC179" i="40"/>
  <c r="AB179" i="40"/>
  <c r="BJ178" i="40"/>
  <c r="BI178" i="40"/>
  <c r="BH178" i="40"/>
  <c r="BG178" i="40"/>
  <c r="BF178" i="40"/>
  <c r="BE178" i="40"/>
  <c r="BD178" i="40"/>
  <c r="BC178" i="40"/>
  <c r="BB178" i="40"/>
  <c r="BA178" i="40"/>
  <c r="AZ178" i="40"/>
  <c r="AY178" i="40"/>
  <c r="AW178" i="40" a="1"/>
  <c r="AW178" i="40"/>
  <c r="AV178" i="40"/>
  <c r="AT178" i="40"/>
  <c r="AS178" i="40"/>
  <c r="AR178" i="40"/>
  <c r="AQ178" i="40"/>
  <c r="AP178" i="40"/>
  <c r="AO178" i="40"/>
  <c r="AN178" i="40"/>
  <c r="AM178" i="40"/>
  <c r="AL178" i="40"/>
  <c r="AK178" i="40"/>
  <c r="AJ178" i="40"/>
  <c r="AI178" i="40"/>
  <c r="AG178" i="40"/>
  <c r="AE178" i="40"/>
  <c r="AD178" i="40"/>
  <c r="AC178" i="40"/>
  <c r="AB178" i="40"/>
  <c r="BJ177" i="40"/>
  <c r="BI177" i="40"/>
  <c r="BH177" i="40"/>
  <c r="BG177" i="40"/>
  <c r="BF177" i="40"/>
  <c r="BE177" i="40"/>
  <c r="BD177" i="40"/>
  <c r="BC177" i="40"/>
  <c r="BB177" i="40"/>
  <c r="BA177" i="40"/>
  <c r="AZ177" i="40"/>
  <c r="AY177" i="40"/>
  <c r="AW177" i="40" a="1"/>
  <c r="AW177" i="40"/>
  <c r="AV177" i="40"/>
  <c r="AT177" i="40"/>
  <c r="AS177" i="40"/>
  <c r="AR177" i="40"/>
  <c r="AQ177" i="40"/>
  <c r="AP177" i="40"/>
  <c r="AO177" i="40"/>
  <c r="AN177" i="40"/>
  <c r="AM177" i="40"/>
  <c r="AL177" i="40"/>
  <c r="AK177" i="40"/>
  <c r="AJ177" i="40"/>
  <c r="AI177" i="40"/>
  <c r="AG177" i="40"/>
  <c r="AE177" i="40"/>
  <c r="AD177" i="40"/>
  <c r="AC177" i="40"/>
  <c r="AB177" i="40"/>
  <c r="BJ176" i="40"/>
  <c r="BI176" i="40"/>
  <c r="BH176" i="40"/>
  <c r="BG176" i="40"/>
  <c r="BF176" i="40"/>
  <c r="BE176" i="40"/>
  <c r="BD176" i="40"/>
  <c r="BC176" i="40"/>
  <c r="BB176" i="40"/>
  <c r="BA176" i="40"/>
  <c r="AZ176" i="40"/>
  <c r="AY176" i="40"/>
  <c r="AW176" i="40" a="1"/>
  <c r="AW176" i="40"/>
  <c r="AV176" i="40"/>
  <c r="AT176" i="40"/>
  <c r="AS176" i="40"/>
  <c r="AR176" i="40"/>
  <c r="AQ176" i="40"/>
  <c r="AP176" i="40"/>
  <c r="AO176" i="40"/>
  <c r="AN176" i="40"/>
  <c r="AM176" i="40"/>
  <c r="AL176" i="40"/>
  <c r="AK176" i="40"/>
  <c r="AJ176" i="40"/>
  <c r="AI176" i="40"/>
  <c r="AG176" i="40"/>
  <c r="AE176" i="40"/>
  <c r="AD176" i="40"/>
  <c r="AC176" i="40"/>
  <c r="AB176" i="40"/>
  <c r="BJ175" i="40"/>
  <c r="BI175" i="40"/>
  <c r="BH175" i="40"/>
  <c r="BG175" i="40"/>
  <c r="BF175" i="40"/>
  <c r="BE175" i="40"/>
  <c r="BD175" i="40"/>
  <c r="BC175" i="40"/>
  <c r="BB175" i="40"/>
  <c r="BA175" i="40"/>
  <c r="AZ175" i="40"/>
  <c r="AY175" i="40"/>
  <c r="AW175" i="40" a="1"/>
  <c r="AW175" i="40"/>
  <c r="AV175" i="40"/>
  <c r="AT175" i="40"/>
  <c r="AS175" i="40"/>
  <c r="AR175" i="40"/>
  <c r="AQ175" i="40"/>
  <c r="AP175" i="40"/>
  <c r="AO175" i="40"/>
  <c r="AN175" i="40"/>
  <c r="AM175" i="40"/>
  <c r="AL175" i="40"/>
  <c r="AK175" i="40"/>
  <c r="AJ175" i="40"/>
  <c r="AI175" i="40"/>
  <c r="AG175" i="40"/>
  <c r="AE175" i="40"/>
  <c r="AD175" i="40"/>
  <c r="AC175" i="40"/>
  <c r="AB175" i="40"/>
  <c r="BJ174" i="40"/>
  <c r="BI174" i="40"/>
  <c r="BH174" i="40"/>
  <c r="BG174" i="40"/>
  <c r="BF174" i="40"/>
  <c r="BE174" i="40"/>
  <c r="BD174" i="40"/>
  <c r="BC174" i="40"/>
  <c r="BB174" i="40"/>
  <c r="BA174" i="40"/>
  <c r="AZ174" i="40"/>
  <c r="AY174" i="40"/>
  <c r="AW174" i="40" a="1"/>
  <c r="AW174" i="40"/>
  <c r="AV174" i="40"/>
  <c r="AT174" i="40"/>
  <c r="AS174" i="40"/>
  <c r="AR174" i="40"/>
  <c r="AQ174" i="40"/>
  <c r="AP174" i="40"/>
  <c r="AO174" i="40"/>
  <c r="AN174" i="40"/>
  <c r="AM174" i="40"/>
  <c r="AL174" i="40"/>
  <c r="AK174" i="40"/>
  <c r="AJ174" i="40"/>
  <c r="AI174" i="40"/>
  <c r="AG174" i="40"/>
  <c r="AE174" i="40"/>
  <c r="AD174" i="40"/>
  <c r="AC174" i="40"/>
  <c r="AB174" i="40"/>
  <c r="BJ173" i="40"/>
  <c r="BI173" i="40"/>
  <c r="BH173" i="40"/>
  <c r="BG173" i="40"/>
  <c r="BF173" i="40"/>
  <c r="BE173" i="40"/>
  <c r="BD173" i="40"/>
  <c r="BC173" i="40"/>
  <c r="BB173" i="40"/>
  <c r="BA173" i="40"/>
  <c r="AZ173" i="40"/>
  <c r="AY173" i="40"/>
  <c r="AW173" i="40" a="1"/>
  <c r="AW173" i="40"/>
  <c r="AV173" i="40"/>
  <c r="AT173" i="40"/>
  <c r="AS173" i="40"/>
  <c r="AR173" i="40"/>
  <c r="AQ173" i="40"/>
  <c r="AP173" i="40"/>
  <c r="AO173" i="40"/>
  <c r="AN173" i="40"/>
  <c r="AM173" i="40"/>
  <c r="AL173" i="40"/>
  <c r="AK173" i="40"/>
  <c r="AJ173" i="40"/>
  <c r="AI173" i="40"/>
  <c r="AG173" i="40"/>
  <c r="AE173" i="40"/>
  <c r="AD173" i="40"/>
  <c r="AC173" i="40"/>
  <c r="AB173" i="40"/>
  <c r="BJ172" i="40"/>
  <c r="BI172" i="40"/>
  <c r="BH172" i="40"/>
  <c r="BG172" i="40"/>
  <c r="BF172" i="40"/>
  <c r="BE172" i="40"/>
  <c r="BD172" i="40"/>
  <c r="BC172" i="40"/>
  <c r="BB172" i="40"/>
  <c r="BA172" i="40"/>
  <c r="AZ172" i="40"/>
  <c r="AY172" i="40"/>
  <c r="AW172" i="40" a="1"/>
  <c r="AW172" i="40"/>
  <c r="AV172" i="40"/>
  <c r="AT172" i="40"/>
  <c r="AS172" i="40"/>
  <c r="AR172" i="40"/>
  <c r="AQ172" i="40"/>
  <c r="AP172" i="40"/>
  <c r="AO172" i="40"/>
  <c r="AN172" i="40"/>
  <c r="AM172" i="40"/>
  <c r="AL172" i="40"/>
  <c r="AK172" i="40"/>
  <c r="AJ172" i="40"/>
  <c r="AI172" i="40"/>
  <c r="AG172" i="40"/>
  <c r="AE172" i="40"/>
  <c r="AD172" i="40"/>
  <c r="AC172" i="40"/>
  <c r="AB172" i="40"/>
  <c r="BJ171" i="40"/>
  <c r="BI171" i="40"/>
  <c r="BH171" i="40"/>
  <c r="BG171" i="40"/>
  <c r="BF171" i="40"/>
  <c r="BE171" i="40"/>
  <c r="BD171" i="40"/>
  <c r="BC171" i="40"/>
  <c r="BB171" i="40"/>
  <c r="BA171" i="40"/>
  <c r="AZ171" i="40"/>
  <c r="AY171" i="40"/>
  <c r="AW171" i="40" a="1"/>
  <c r="AW171" i="40"/>
  <c r="AV171" i="40"/>
  <c r="AT171" i="40"/>
  <c r="AS171" i="40"/>
  <c r="AR171" i="40"/>
  <c r="AQ171" i="40"/>
  <c r="AP171" i="40"/>
  <c r="AO171" i="40"/>
  <c r="AN171" i="40"/>
  <c r="AM171" i="40"/>
  <c r="AL171" i="40"/>
  <c r="AK171" i="40"/>
  <c r="AJ171" i="40"/>
  <c r="AI171" i="40"/>
  <c r="AG171" i="40"/>
  <c r="AE171" i="40"/>
  <c r="AD171" i="40"/>
  <c r="AC171" i="40"/>
  <c r="AB171" i="40"/>
  <c r="BJ170" i="40"/>
  <c r="BI170" i="40"/>
  <c r="BH170" i="40"/>
  <c r="BG170" i="40"/>
  <c r="BF170" i="40"/>
  <c r="BE170" i="40"/>
  <c r="BD170" i="40"/>
  <c r="BC170" i="40"/>
  <c r="BB170" i="40"/>
  <c r="BA170" i="40"/>
  <c r="AZ170" i="40"/>
  <c r="AY170" i="40"/>
  <c r="AW170" i="40" a="1"/>
  <c r="AW170" i="40"/>
  <c r="AV170" i="40"/>
  <c r="AT170" i="40"/>
  <c r="AS170" i="40"/>
  <c r="AR170" i="40"/>
  <c r="AQ170" i="40"/>
  <c r="AP170" i="40"/>
  <c r="AO170" i="40"/>
  <c r="AN170" i="40"/>
  <c r="AM170" i="40"/>
  <c r="AL170" i="40"/>
  <c r="AK170" i="40"/>
  <c r="AJ170" i="40"/>
  <c r="AI170" i="40"/>
  <c r="AG170" i="40"/>
  <c r="AE170" i="40"/>
  <c r="AD170" i="40"/>
  <c r="AC170" i="40"/>
  <c r="AB170" i="40"/>
  <c r="BJ169" i="40"/>
  <c r="BI169" i="40"/>
  <c r="BH169" i="40"/>
  <c r="BG169" i="40"/>
  <c r="BF169" i="40"/>
  <c r="BE169" i="40"/>
  <c r="BD169" i="40"/>
  <c r="BC169" i="40"/>
  <c r="BB169" i="40"/>
  <c r="BA169" i="40"/>
  <c r="AZ169" i="40"/>
  <c r="AY169" i="40"/>
  <c r="AW169" i="40" a="1"/>
  <c r="AW169" i="40"/>
  <c r="AV169" i="40"/>
  <c r="AT169" i="40"/>
  <c r="AS169" i="40"/>
  <c r="AR169" i="40"/>
  <c r="AQ169" i="40"/>
  <c r="AP169" i="40"/>
  <c r="AO169" i="40"/>
  <c r="AN169" i="40"/>
  <c r="AM169" i="40"/>
  <c r="AL169" i="40"/>
  <c r="AK169" i="40"/>
  <c r="AJ169" i="40"/>
  <c r="AI169" i="40"/>
  <c r="AG169" i="40"/>
  <c r="AE169" i="40"/>
  <c r="AD169" i="40"/>
  <c r="AC169" i="40"/>
  <c r="AB169" i="40"/>
  <c r="BJ168" i="40"/>
  <c r="BI168" i="40"/>
  <c r="BH168" i="40"/>
  <c r="BG168" i="40"/>
  <c r="BF168" i="40"/>
  <c r="BE168" i="40"/>
  <c r="BD168" i="40"/>
  <c r="BC168" i="40"/>
  <c r="BB168" i="40"/>
  <c r="BA168" i="40"/>
  <c r="AZ168" i="40"/>
  <c r="AY168" i="40"/>
  <c r="AW168" i="40" a="1"/>
  <c r="AW168" i="40"/>
  <c r="AV168" i="40"/>
  <c r="AT168" i="40"/>
  <c r="AS168" i="40"/>
  <c r="AR168" i="40"/>
  <c r="AQ168" i="40"/>
  <c r="AP168" i="40"/>
  <c r="AO168" i="40"/>
  <c r="AN168" i="40"/>
  <c r="AM168" i="40"/>
  <c r="AL168" i="40"/>
  <c r="AK168" i="40"/>
  <c r="AJ168" i="40"/>
  <c r="AI168" i="40"/>
  <c r="AG168" i="40"/>
  <c r="AE168" i="40"/>
  <c r="AD168" i="40"/>
  <c r="AC168" i="40"/>
  <c r="AB168" i="40"/>
  <c r="BJ167" i="40"/>
  <c r="BI167" i="40"/>
  <c r="BH167" i="40"/>
  <c r="BG167" i="40"/>
  <c r="BF167" i="40"/>
  <c r="BE167" i="40"/>
  <c r="BD167" i="40"/>
  <c r="BC167" i="40"/>
  <c r="BB167" i="40"/>
  <c r="BA167" i="40"/>
  <c r="AZ167" i="40"/>
  <c r="AY167" i="40"/>
  <c r="AW167" i="40" a="1"/>
  <c r="AW167" i="40"/>
  <c r="AV167" i="40"/>
  <c r="AT167" i="40"/>
  <c r="AS167" i="40"/>
  <c r="AR167" i="40"/>
  <c r="AQ167" i="40"/>
  <c r="AP167" i="40"/>
  <c r="AO167" i="40"/>
  <c r="AN167" i="40"/>
  <c r="AM167" i="40"/>
  <c r="AL167" i="40"/>
  <c r="AK167" i="40"/>
  <c r="AJ167" i="40"/>
  <c r="AI167" i="40"/>
  <c r="AG167" i="40"/>
  <c r="AE167" i="40"/>
  <c r="AD167" i="40"/>
  <c r="AC167" i="40"/>
  <c r="AB167" i="40"/>
  <c r="BJ166" i="40"/>
  <c r="BI166" i="40"/>
  <c r="BH166" i="40"/>
  <c r="BG166" i="40"/>
  <c r="BF166" i="40"/>
  <c r="BE166" i="40"/>
  <c r="BD166" i="40"/>
  <c r="BC166" i="40"/>
  <c r="BB166" i="40"/>
  <c r="BA166" i="40"/>
  <c r="AZ166" i="40"/>
  <c r="AY166" i="40"/>
  <c r="AW166" i="40" a="1"/>
  <c r="AW166" i="40"/>
  <c r="AV166" i="40"/>
  <c r="AT166" i="40"/>
  <c r="AS166" i="40"/>
  <c r="AR166" i="40"/>
  <c r="AQ166" i="40"/>
  <c r="AP166" i="40"/>
  <c r="AO166" i="40"/>
  <c r="AN166" i="40"/>
  <c r="AM166" i="40"/>
  <c r="AL166" i="40"/>
  <c r="AK166" i="40"/>
  <c r="AJ166" i="40"/>
  <c r="AI166" i="40"/>
  <c r="AG166" i="40"/>
  <c r="AE166" i="40"/>
  <c r="AD166" i="40"/>
  <c r="AC166" i="40"/>
  <c r="AB166" i="40"/>
  <c r="BJ165" i="40"/>
  <c r="BI165" i="40"/>
  <c r="BH165" i="40"/>
  <c r="BG165" i="40"/>
  <c r="BF165" i="40"/>
  <c r="BE165" i="40"/>
  <c r="BD165" i="40"/>
  <c r="BC165" i="40"/>
  <c r="BB165" i="40"/>
  <c r="BA165" i="40"/>
  <c r="AZ165" i="40"/>
  <c r="AY165" i="40"/>
  <c r="AW165" i="40" a="1"/>
  <c r="AW165" i="40"/>
  <c r="AV165" i="40"/>
  <c r="AT165" i="40"/>
  <c r="AS165" i="40"/>
  <c r="AR165" i="40"/>
  <c r="AQ165" i="40"/>
  <c r="AP165" i="40"/>
  <c r="AO165" i="40"/>
  <c r="AN165" i="40"/>
  <c r="AM165" i="40"/>
  <c r="AL165" i="40"/>
  <c r="AK165" i="40"/>
  <c r="AJ165" i="40"/>
  <c r="AI165" i="40"/>
  <c r="AG165" i="40"/>
  <c r="AE165" i="40"/>
  <c r="AD165" i="40"/>
  <c r="AC165" i="40"/>
  <c r="AB165" i="40"/>
  <c r="BJ164" i="40"/>
  <c r="BI164" i="40"/>
  <c r="BH164" i="40"/>
  <c r="BG164" i="40"/>
  <c r="BF164" i="40"/>
  <c r="BE164" i="40"/>
  <c r="BD164" i="40"/>
  <c r="BC164" i="40"/>
  <c r="BB164" i="40"/>
  <c r="BA164" i="40"/>
  <c r="AZ164" i="40"/>
  <c r="AY164" i="40"/>
  <c r="AW164" i="40" a="1"/>
  <c r="AW164" i="40"/>
  <c r="AV164" i="40"/>
  <c r="AT164" i="40"/>
  <c r="AS164" i="40"/>
  <c r="AR164" i="40"/>
  <c r="AQ164" i="40"/>
  <c r="AP164" i="40"/>
  <c r="AO164" i="40"/>
  <c r="AN164" i="40"/>
  <c r="AM164" i="40"/>
  <c r="AL164" i="40"/>
  <c r="AK164" i="40"/>
  <c r="AJ164" i="40"/>
  <c r="AI164" i="40"/>
  <c r="AG164" i="40"/>
  <c r="AE164" i="40"/>
  <c r="AD164" i="40"/>
  <c r="AC164" i="40"/>
  <c r="AB164" i="40"/>
  <c r="BJ163" i="40"/>
  <c r="BI163" i="40"/>
  <c r="BH163" i="40"/>
  <c r="BG163" i="40"/>
  <c r="BF163" i="40"/>
  <c r="BE163" i="40"/>
  <c r="BD163" i="40"/>
  <c r="BC163" i="40"/>
  <c r="BB163" i="40"/>
  <c r="BA163" i="40"/>
  <c r="AZ163" i="40"/>
  <c r="AY163" i="40"/>
  <c r="AW163" i="40" a="1"/>
  <c r="AW163" i="40"/>
  <c r="AV163" i="40"/>
  <c r="AT163" i="40"/>
  <c r="AS163" i="40"/>
  <c r="AR163" i="40"/>
  <c r="AQ163" i="40"/>
  <c r="AP163" i="40"/>
  <c r="AO163" i="40"/>
  <c r="AN163" i="40"/>
  <c r="AM163" i="40"/>
  <c r="AL163" i="40"/>
  <c r="AK163" i="40"/>
  <c r="AJ163" i="40"/>
  <c r="AI163" i="40"/>
  <c r="AG163" i="40"/>
  <c r="AE163" i="40"/>
  <c r="AD163" i="40"/>
  <c r="AC163" i="40"/>
  <c r="AB163" i="40"/>
  <c r="BJ162" i="40"/>
  <c r="BI162" i="40"/>
  <c r="BH162" i="40"/>
  <c r="BG162" i="40"/>
  <c r="BF162" i="40"/>
  <c r="BE162" i="40"/>
  <c r="BD162" i="40"/>
  <c r="BC162" i="40"/>
  <c r="BB162" i="40"/>
  <c r="BA162" i="40"/>
  <c r="AZ162" i="40"/>
  <c r="AY162" i="40"/>
  <c r="AW162" i="40" a="1"/>
  <c r="AW162" i="40"/>
  <c r="AV162" i="40"/>
  <c r="AT162" i="40"/>
  <c r="AS162" i="40"/>
  <c r="AR162" i="40"/>
  <c r="AQ162" i="40"/>
  <c r="AP162" i="40"/>
  <c r="AO162" i="40"/>
  <c r="AN162" i="40"/>
  <c r="AM162" i="40"/>
  <c r="AL162" i="40"/>
  <c r="AK162" i="40"/>
  <c r="AJ162" i="40"/>
  <c r="AI162" i="40"/>
  <c r="AG162" i="40"/>
  <c r="AE162" i="40"/>
  <c r="AD162" i="40"/>
  <c r="AC162" i="40"/>
  <c r="AB162" i="40"/>
  <c r="BJ161" i="40"/>
  <c r="BI161" i="40"/>
  <c r="BH161" i="40"/>
  <c r="BG161" i="40"/>
  <c r="BF161" i="40"/>
  <c r="BE161" i="40"/>
  <c r="BD161" i="40"/>
  <c r="BC161" i="40"/>
  <c r="BB161" i="40"/>
  <c r="BA161" i="40"/>
  <c r="AZ161" i="40"/>
  <c r="AY161" i="40"/>
  <c r="AW161" i="40" a="1"/>
  <c r="AW161" i="40"/>
  <c r="AV161" i="40"/>
  <c r="AT161" i="40"/>
  <c r="AS161" i="40"/>
  <c r="AR161" i="40"/>
  <c r="AQ161" i="40"/>
  <c r="AP161" i="40"/>
  <c r="AO161" i="40"/>
  <c r="AN161" i="40"/>
  <c r="AM161" i="40"/>
  <c r="AL161" i="40"/>
  <c r="AK161" i="40"/>
  <c r="AJ161" i="40"/>
  <c r="AI161" i="40"/>
  <c r="AG161" i="40"/>
  <c r="AE161" i="40"/>
  <c r="AD161" i="40"/>
  <c r="AC161" i="40"/>
  <c r="AB161" i="40"/>
  <c r="BJ160" i="40"/>
  <c r="BI160" i="40"/>
  <c r="BH160" i="40"/>
  <c r="BG160" i="40"/>
  <c r="BF160" i="40"/>
  <c r="BE160" i="40"/>
  <c r="BD160" i="40"/>
  <c r="BC160" i="40"/>
  <c r="BB160" i="40"/>
  <c r="BA160" i="40"/>
  <c r="AZ160" i="40"/>
  <c r="AY160" i="40"/>
  <c r="AW160" i="40" a="1"/>
  <c r="AW160" i="40"/>
  <c r="AV160" i="40"/>
  <c r="AT160" i="40"/>
  <c r="AS160" i="40"/>
  <c r="AR160" i="40"/>
  <c r="AQ160" i="40"/>
  <c r="AP160" i="40"/>
  <c r="AO160" i="40"/>
  <c r="AN160" i="40"/>
  <c r="AM160" i="40"/>
  <c r="AL160" i="40"/>
  <c r="AK160" i="40"/>
  <c r="AJ160" i="40"/>
  <c r="AI160" i="40"/>
  <c r="AG160" i="40"/>
  <c r="AE160" i="40"/>
  <c r="AD160" i="40"/>
  <c r="AC160" i="40"/>
  <c r="AB160" i="40"/>
  <c r="BJ159" i="40"/>
  <c r="BI159" i="40"/>
  <c r="BH159" i="40"/>
  <c r="BG159" i="40"/>
  <c r="BF159" i="40"/>
  <c r="BE159" i="40"/>
  <c r="BD159" i="40"/>
  <c r="BC159" i="40"/>
  <c r="BB159" i="40"/>
  <c r="BA159" i="40"/>
  <c r="AZ159" i="40"/>
  <c r="AY159" i="40"/>
  <c r="AW159" i="40" a="1"/>
  <c r="AW159" i="40"/>
  <c r="AV159" i="40"/>
  <c r="AT159" i="40"/>
  <c r="AS159" i="40"/>
  <c r="AR159" i="40"/>
  <c r="AQ159" i="40"/>
  <c r="AP159" i="40"/>
  <c r="AO159" i="40"/>
  <c r="AN159" i="40"/>
  <c r="AM159" i="40"/>
  <c r="AL159" i="40"/>
  <c r="AK159" i="40"/>
  <c r="AJ159" i="40"/>
  <c r="AI159" i="40"/>
  <c r="AG159" i="40"/>
  <c r="AE159" i="40"/>
  <c r="AD159" i="40"/>
  <c r="AC159" i="40"/>
  <c r="AB159" i="40"/>
  <c r="BJ158" i="40"/>
  <c r="BI158" i="40"/>
  <c r="BH158" i="40"/>
  <c r="BG158" i="40"/>
  <c r="BF158" i="40"/>
  <c r="BE158" i="40"/>
  <c r="BD158" i="40"/>
  <c r="BC158" i="40"/>
  <c r="BB158" i="40"/>
  <c r="BA158" i="40"/>
  <c r="AZ158" i="40"/>
  <c r="AY158" i="40"/>
  <c r="AW158" i="40" a="1"/>
  <c r="AW158" i="40"/>
  <c r="AV158" i="40"/>
  <c r="AT158" i="40"/>
  <c r="AS158" i="40"/>
  <c r="AR158" i="40"/>
  <c r="AQ158" i="40"/>
  <c r="AP158" i="40"/>
  <c r="AO158" i="40"/>
  <c r="AN158" i="40"/>
  <c r="AM158" i="40"/>
  <c r="AL158" i="40"/>
  <c r="AK158" i="40"/>
  <c r="AJ158" i="40"/>
  <c r="AI158" i="40"/>
  <c r="AG158" i="40"/>
  <c r="AE158" i="40"/>
  <c r="AD158" i="40"/>
  <c r="AC158" i="40"/>
  <c r="AB158" i="40"/>
  <c r="BJ157" i="40"/>
  <c r="BI157" i="40"/>
  <c r="BH157" i="40"/>
  <c r="BG157" i="40"/>
  <c r="BF157" i="40"/>
  <c r="BE157" i="40"/>
  <c r="BD157" i="40"/>
  <c r="BC157" i="40"/>
  <c r="BB157" i="40"/>
  <c r="BA157" i="40"/>
  <c r="AZ157" i="40"/>
  <c r="AY157" i="40"/>
  <c r="AW157" i="40" a="1"/>
  <c r="AW157" i="40"/>
  <c r="AV157" i="40"/>
  <c r="AT157" i="40"/>
  <c r="AS157" i="40"/>
  <c r="AR157" i="40"/>
  <c r="AQ157" i="40"/>
  <c r="AP157" i="40"/>
  <c r="AO157" i="40"/>
  <c r="AN157" i="40"/>
  <c r="AM157" i="40"/>
  <c r="AL157" i="40"/>
  <c r="AK157" i="40"/>
  <c r="AJ157" i="40"/>
  <c r="AI157" i="40"/>
  <c r="AG157" i="40"/>
  <c r="AE157" i="40"/>
  <c r="AD157" i="40"/>
  <c r="AC157" i="40"/>
  <c r="AB157" i="40"/>
  <c r="BJ156" i="40"/>
  <c r="BI156" i="40"/>
  <c r="BH156" i="40"/>
  <c r="BG156" i="40"/>
  <c r="BF156" i="40"/>
  <c r="BE156" i="40"/>
  <c r="BD156" i="40"/>
  <c r="BC156" i="40"/>
  <c r="BB156" i="40"/>
  <c r="BA156" i="40"/>
  <c r="AZ156" i="40"/>
  <c r="AY156" i="40"/>
  <c r="AW156" i="40" a="1"/>
  <c r="AW156" i="40"/>
  <c r="AV156" i="40"/>
  <c r="AT156" i="40"/>
  <c r="AS156" i="40"/>
  <c r="AR156" i="40"/>
  <c r="AQ156" i="40"/>
  <c r="AP156" i="40"/>
  <c r="AO156" i="40"/>
  <c r="AN156" i="40"/>
  <c r="AM156" i="40"/>
  <c r="AL156" i="40"/>
  <c r="AK156" i="40"/>
  <c r="AJ156" i="40"/>
  <c r="AI156" i="40"/>
  <c r="AG156" i="40"/>
  <c r="AE156" i="40"/>
  <c r="AD156" i="40"/>
  <c r="AC156" i="40"/>
  <c r="AB156" i="40"/>
  <c r="BJ155" i="40"/>
  <c r="BI155" i="40"/>
  <c r="BH155" i="40"/>
  <c r="BG155" i="40"/>
  <c r="BF155" i="40"/>
  <c r="BE155" i="40"/>
  <c r="BD155" i="40"/>
  <c r="BC155" i="40"/>
  <c r="BB155" i="40"/>
  <c r="BA155" i="40"/>
  <c r="AZ155" i="40"/>
  <c r="AY155" i="40"/>
  <c r="AW155" i="40" a="1"/>
  <c r="AW155" i="40"/>
  <c r="AV155" i="40"/>
  <c r="AT155" i="40"/>
  <c r="AS155" i="40"/>
  <c r="AR155" i="40"/>
  <c r="AQ155" i="40"/>
  <c r="AP155" i="40"/>
  <c r="AO155" i="40"/>
  <c r="AN155" i="40"/>
  <c r="AM155" i="40"/>
  <c r="AL155" i="40"/>
  <c r="AK155" i="40"/>
  <c r="AJ155" i="40"/>
  <c r="AI155" i="40"/>
  <c r="AG155" i="40"/>
  <c r="AE155" i="40"/>
  <c r="AD155" i="40"/>
  <c r="AC155" i="40"/>
  <c r="AB155" i="40"/>
  <c r="BJ154" i="40"/>
  <c r="BI154" i="40"/>
  <c r="BH154" i="40"/>
  <c r="BG154" i="40"/>
  <c r="BF154" i="40"/>
  <c r="BE154" i="40"/>
  <c r="BD154" i="40"/>
  <c r="BC154" i="40"/>
  <c r="BB154" i="40"/>
  <c r="BA154" i="40"/>
  <c r="AZ154" i="40"/>
  <c r="AY154" i="40"/>
  <c r="AW154" i="40" a="1"/>
  <c r="AW154" i="40"/>
  <c r="AV154" i="40"/>
  <c r="AT154" i="40"/>
  <c r="AS154" i="40"/>
  <c r="AR154" i="40"/>
  <c r="AQ154" i="40"/>
  <c r="AP154" i="40"/>
  <c r="AO154" i="40"/>
  <c r="AN154" i="40"/>
  <c r="AM154" i="40"/>
  <c r="AL154" i="40"/>
  <c r="AK154" i="40"/>
  <c r="AJ154" i="40"/>
  <c r="AI154" i="40"/>
  <c r="AG154" i="40"/>
  <c r="AE154" i="40"/>
  <c r="AD154" i="40"/>
  <c r="AC154" i="40"/>
  <c r="AB154" i="40"/>
  <c r="BJ153" i="40"/>
  <c r="BI153" i="40"/>
  <c r="BH153" i="40"/>
  <c r="BG153" i="40"/>
  <c r="BF153" i="40"/>
  <c r="BE153" i="40"/>
  <c r="BD153" i="40"/>
  <c r="BC153" i="40"/>
  <c r="BB153" i="40"/>
  <c r="BA153" i="40"/>
  <c r="AZ153" i="40"/>
  <c r="AY153" i="40"/>
  <c r="AW153" i="40" a="1"/>
  <c r="AW153" i="40"/>
  <c r="AV153" i="40"/>
  <c r="AT153" i="40"/>
  <c r="AS153" i="40"/>
  <c r="AR153" i="40"/>
  <c r="AQ153" i="40"/>
  <c r="AP153" i="40"/>
  <c r="AO153" i="40"/>
  <c r="AN153" i="40"/>
  <c r="AM153" i="40"/>
  <c r="AL153" i="40"/>
  <c r="AK153" i="40"/>
  <c r="AJ153" i="40"/>
  <c r="AI153" i="40"/>
  <c r="AG153" i="40"/>
  <c r="AE153" i="40"/>
  <c r="AD153" i="40"/>
  <c r="AC153" i="40"/>
  <c r="AB153" i="40"/>
  <c r="BJ152" i="40"/>
  <c r="BI152" i="40"/>
  <c r="BH152" i="40"/>
  <c r="BG152" i="40"/>
  <c r="BF152" i="40"/>
  <c r="BE152" i="40"/>
  <c r="BD152" i="40"/>
  <c r="BC152" i="40"/>
  <c r="BB152" i="40"/>
  <c r="BA152" i="40"/>
  <c r="AZ152" i="40"/>
  <c r="AY152" i="40"/>
  <c r="AW152" i="40" a="1"/>
  <c r="AW152" i="40"/>
  <c r="AV152" i="40"/>
  <c r="AT152" i="40"/>
  <c r="AS152" i="40"/>
  <c r="AR152" i="40"/>
  <c r="AQ152" i="40"/>
  <c r="AP152" i="40"/>
  <c r="AO152" i="40"/>
  <c r="AN152" i="40"/>
  <c r="AM152" i="40"/>
  <c r="AL152" i="40"/>
  <c r="AK152" i="40"/>
  <c r="AJ152" i="40"/>
  <c r="AI152" i="40"/>
  <c r="AG152" i="40"/>
  <c r="AE152" i="40"/>
  <c r="AD152" i="40"/>
  <c r="AC152" i="40"/>
  <c r="AB152" i="40"/>
  <c r="BJ151" i="40"/>
  <c r="BI151" i="40"/>
  <c r="BH151" i="40"/>
  <c r="BG151" i="40"/>
  <c r="BF151" i="40"/>
  <c r="BE151" i="40"/>
  <c r="BD151" i="40"/>
  <c r="BC151" i="40"/>
  <c r="BB151" i="40"/>
  <c r="BA151" i="40"/>
  <c r="AZ151" i="40"/>
  <c r="AY151" i="40"/>
  <c r="AW151" i="40" a="1"/>
  <c r="AW151" i="40"/>
  <c r="AV151" i="40"/>
  <c r="AT151" i="40"/>
  <c r="AS151" i="40"/>
  <c r="AR151" i="40"/>
  <c r="AQ151" i="40"/>
  <c r="AP151" i="40"/>
  <c r="AO151" i="40"/>
  <c r="AN151" i="40"/>
  <c r="AM151" i="40"/>
  <c r="AL151" i="40"/>
  <c r="AK151" i="40"/>
  <c r="AJ151" i="40"/>
  <c r="AI151" i="40"/>
  <c r="AG151" i="40"/>
  <c r="AE151" i="40"/>
  <c r="AD151" i="40"/>
  <c r="AC151" i="40"/>
  <c r="AB151" i="40"/>
  <c r="BJ150" i="40"/>
  <c r="BI150" i="40"/>
  <c r="BH150" i="40"/>
  <c r="BG150" i="40"/>
  <c r="BF150" i="40"/>
  <c r="BE150" i="40"/>
  <c r="BD150" i="40"/>
  <c r="BC150" i="40"/>
  <c r="BB150" i="40"/>
  <c r="BA150" i="40"/>
  <c r="AZ150" i="40"/>
  <c r="AY150" i="40"/>
  <c r="AW150" i="40" a="1"/>
  <c r="AW150" i="40"/>
  <c r="AV150" i="40"/>
  <c r="AT150" i="40"/>
  <c r="AS150" i="40"/>
  <c r="AR150" i="40"/>
  <c r="AQ150" i="40"/>
  <c r="AP150" i="40"/>
  <c r="AO150" i="40"/>
  <c r="AN150" i="40"/>
  <c r="AM150" i="40"/>
  <c r="AL150" i="40"/>
  <c r="AK150" i="40"/>
  <c r="AJ150" i="40"/>
  <c r="AI150" i="40"/>
  <c r="AG150" i="40"/>
  <c r="AE150" i="40"/>
  <c r="AD150" i="40"/>
  <c r="AC150" i="40"/>
  <c r="AB150" i="40"/>
  <c r="BJ149" i="40"/>
  <c r="BI149" i="40"/>
  <c r="BH149" i="40"/>
  <c r="BG149" i="40"/>
  <c r="BF149" i="40"/>
  <c r="BE149" i="40"/>
  <c r="BD149" i="40"/>
  <c r="BC149" i="40"/>
  <c r="BB149" i="40"/>
  <c r="BA149" i="40"/>
  <c r="AZ149" i="40"/>
  <c r="AY149" i="40"/>
  <c r="AW149" i="40" a="1"/>
  <c r="AW149" i="40"/>
  <c r="AV149" i="40"/>
  <c r="AT149" i="40"/>
  <c r="AS149" i="40"/>
  <c r="AR149" i="40"/>
  <c r="AQ149" i="40"/>
  <c r="AP149" i="40"/>
  <c r="AO149" i="40"/>
  <c r="AN149" i="40"/>
  <c r="AM149" i="40"/>
  <c r="AL149" i="40"/>
  <c r="AK149" i="40"/>
  <c r="AJ149" i="40"/>
  <c r="AI149" i="40"/>
  <c r="AG149" i="40"/>
  <c r="AE149" i="40"/>
  <c r="AD149" i="40"/>
  <c r="AC149" i="40"/>
  <c r="AB149" i="40"/>
  <c r="BJ148" i="40"/>
  <c r="BI148" i="40"/>
  <c r="BH148" i="40"/>
  <c r="BG148" i="40"/>
  <c r="BF148" i="40"/>
  <c r="BE148" i="40"/>
  <c r="BD148" i="40"/>
  <c r="BC148" i="40"/>
  <c r="BB148" i="40"/>
  <c r="BA148" i="40"/>
  <c r="AZ148" i="40"/>
  <c r="AY148" i="40"/>
  <c r="AW148" i="40" a="1"/>
  <c r="AW148" i="40"/>
  <c r="AV148" i="40"/>
  <c r="AT148" i="40"/>
  <c r="AS148" i="40"/>
  <c r="AR148" i="40"/>
  <c r="AQ148" i="40"/>
  <c r="AP148" i="40"/>
  <c r="AO148" i="40"/>
  <c r="AN148" i="40"/>
  <c r="AM148" i="40"/>
  <c r="AL148" i="40"/>
  <c r="AK148" i="40"/>
  <c r="AJ148" i="40"/>
  <c r="AI148" i="40"/>
  <c r="AG148" i="40"/>
  <c r="AE148" i="40"/>
  <c r="AD148" i="40"/>
  <c r="AC148" i="40"/>
  <c r="AB148" i="40"/>
  <c r="BJ147" i="40"/>
  <c r="BI147" i="40"/>
  <c r="BH147" i="40"/>
  <c r="BG147" i="40"/>
  <c r="BF147" i="40"/>
  <c r="BE147" i="40"/>
  <c r="BD147" i="40"/>
  <c r="BC147" i="40"/>
  <c r="BB147" i="40"/>
  <c r="BA147" i="40"/>
  <c r="AZ147" i="40"/>
  <c r="AY147" i="40"/>
  <c r="AW147" i="40" a="1"/>
  <c r="AW147" i="40"/>
  <c r="AV147" i="40"/>
  <c r="AT147" i="40"/>
  <c r="AS147" i="40"/>
  <c r="AR147" i="40"/>
  <c r="AQ147" i="40"/>
  <c r="AP147" i="40"/>
  <c r="AO147" i="40"/>
  <c r="AN147" i="40"/>
  <c r="AM147" i="40"/>
  <c r="AL147" i="40"/>
  <c r="AK147" i="40"/>
  <c r="AJ147" i="40"/>
  <c r="AI147" i="40"/>
  <c r="AG147" i="40"/>
  <c r="AE147" i="40"/>
  <c r="AD147" i="40"/>
  <c r="AC147" i="40"/>
  <c r="AB147" i="40"/>
  <c r="BJ146" i="40"/>
  <c r="BI146" i="40"/>
  <c r="BH146" i="40"/>
  <c r="BG146" i="40"/>
  <c r="BF146" i="40"/>
  <c r="BE146" i="40"/>
  <c r="BD146" i="40"/>
  <c r="BC146" i="40"/>
  <c r="BB146" i="40"/>
  <c r="BA146" i="40"/>
  <c r="AZ146" i="40"/>
  <c r="AY146" i="40"/>
  <c r="AW146" i="40" a="1"/>
  <c r="AW146" i="40"/>
  <c r="AV146" i="40"/>
  <c r="AT146" i="40"/>
  <c r="AS146" i="40"/>
  <c r="AR146" i="40"/>
  <c r="AQ146" i="40"/>
  <c r="AP146" i="40"/>
  <c r="AO146" i="40"/>
  <c r="AN146" i="40"/>
  <c r="AM146" i="40"/>
  <c r="AL146" i="40"/>
  <c r="AK146" i="40"/>
  <c r="AJ146" i="40"/>
  <c r="AI146" i="40"/>
  <c r="AG146" i="40"/>
  <c r="AE146" i="40"/>
  <c r="AD146" i="40"/>
  <c r="AC146" i="40"/>
  <c r="AB146" i="40"/>
  <c r="BJ145" i="40"/>
  <c r="BI145" i="40"/>
  <c r="BH145" i="40"/>
  <c r="BG145" i="40"/>
  <c r="BF145" i="40"/>
  <c r="BE145" i="40"/>
  <c r="BD145" i="40"/>
  <c r="BC145" i="40"/>
  <c r="BB145" i="40"/>
  <c r="BA145" i="40"/>
  <c r="AZ145" i="40"/>
  <c r="AY145" i="40"/>
  <c r="AW145" i="40" a="1"/>
  <c r="AW145" i="40"/>
  <c r="AV145" i="40"/>
  <c r="AT145" i="40"/>
  <c r="AS145" i="40"/>
  <c r="AR145" i="40"/>
  <c r="AQ145" i="40"/>
  <c r="AP145" i="40"/>
  <c r="AO145" i="40"/>
  <c r="AN145" i="40"/>
  <c r="AM145" i="40"/>
  <c r="AL145" i="40"/>
  <c r="AK145" i="40"/>
  <c r="AJ145" i="40"/>
  <c r="AI145" i="40"/>
  <c r="AG145" i="40"/>
  <c r="AE145" i="40"/>
  <c r="AD145" i="40"/>
  <c r="AC145" i="40"/>
  <c r="AB145" i="40"/>
  <c r="BJ144" i="40"/>
  <c r="BI144" i="40"/>
  <c r="BH144" i="40"/>
  <c r="BG144" i="40"/>
  <c r="BF144" i="40"/>
  <c r="BE144" i="40"/>
  <c r="BD144" i="40"/>
  <c r="BC144" i="40"/>
  <c r="BB144" i="40"/>
  <c r="BA144" i="40"/>
  <c r="AZ144" i="40"/>
  <c r="AY144" i="40"/>
  <c r="AW144" i="40" a="1"/>
  <c r="AW144" i="40"/>
  <c r="AV144" i="40"/>
  <c r="AT144" i="40"/>
  <c r="AS144" i="40"/>
  <c r="AR144" i="40"/>
  <c r="AQ144" i="40"/>
  <c r="AP144" i="40"/>
  <c r="AO144" i="40"/>
  <c r="AN144" i="40"/>
  <c r="AM144" i="40"/>
  <c r="AL144" i="40"/>
  <c r="AK144" i="40"/>
  <c r="AJ144" i="40"/>
  <c r="AI144" i="40"/>
  <c r="AG144" i="40"/>
  <c r="AE144" i="40"/>
  <c r="AD144" i="40"/>
  <c r="AC144" i="40"/>
  <c r="AB144" i="40"/>
  <c r="BJ143" i="40"/>
  <c r="BI143" i="40"/>
  <c r="BH143" i="40"/>
  <c r="BG143" i="40"/>
  <c r="BF143" i="40"/>
  <c r="BE143" i="40"/>
  <c r="BD143" i="40"/>
  <c r="BC143" i="40"/>
  <c r="BB143" i="40"/>
  <c r="BA143" i="40"/>
  <c r="AZ143" i="40"/>
  <c r="AY143" i="40"/>
  <c r="AW143" i="40" a="1"/>
  <c r="AW143" i="40"/>
  <c r="AV143" i="40"/>
  <c r="AT143" i="40"/>
  <c r="AS143" i="40"/>
  <c r="AR143" i="40"/>
  <c r="AQ143" i="40"/>
  <c r="AP143" i="40"/>
  <c r="AO143" i="40"/>
  <c r="AN143" i="40"/>
  <c r="AM143" i="40"/>
  <c r="AL143" i="40"/>
  <c r="AK143" i="40"/>
  <c r="AJ143" i="40"/>
  <c r="AI143" i="40"/>
  <c r="AG143" i="40"/>
  <c r="AE143" i="40"/>
  <c r="AD143" i="40"/>
  <c r="AC143" i="40"/>
  <c r="AB143" i="40"/>
  <c r="BJ142" i="40"/>
  <c r="BI142" i="40"/>
  <c r="BH142" i="40"/>
  <c r="BG142" i="40"/>
  <c r="BF142" i="40"/>
  <c r="BE142" i="40"/>
  <c r="BD142" i="40"/>
  <c r="BC142" i="40"/>
  <c r="BB142" i="40"/>
  <c r="BA142" i="40"/>
  <c r="AZ142" i="40"/>
  <c r="AY142" i="40"/>
  <c r="AW142" i="40" a="1"/>
  <c r="AW142" i="40"/>
  <c r="AV142" i="40"/>
  <c r="AT142" i="40"/>
  <c r="AS142" i="40"/>
  <c r="AR142" i="40"/>
  <c r="AQ142" i="40"/>
  <c r="AP142" i="40"/>
  <c r="AO142" i="40"/>
  <c r="AN142" i="40"/>
  <c r="AM142" i="40"/>
  <c r="AL142" i="40"/>
  <c r="AK142" i="40"/>
  <c r="AJ142" i="40"/>
  <c r="AI142" i="40"/>
  <c r="AG142" i="40"/>
  <c r="AE142" i="40"/>
  <c r="AD142" i="40"/>
  <c r="AC142" i="40"/>
  <c r="AB142" i="40"/>
  <c r="BJ141" i="40"/>
  <c r="BI141" i="40"/>
  <c r="BH141" i="40"/>
  <c r="BG141" i="40"/>
  <c r="BF141" i="40"/>
  <c r="BE141" i="40"/>
  <c r="BD141" i="40"/>
  <c r="BC141" i="40"/>
  <c r="BB141" i="40"/>
  <c r="BA141" i="40"/>
  <c r="AZ141" i="40"/>
  <c r="AY141" i="40"/>
  <c r="AW141" i="40" a="1"/>
  <c r="AW141" i="40"/>
  <c r="AV141" i="40"/>
  <c r="AT141" i="40"/>
  <c r="AS141" i="40"/>
  <c r="AR141" i="40"/>
  <c r="AQ141" i="40"/>
  <c r="AP141" i="40"/>
  <c r="AO141" i="40"/>
  <c r="AN141" i="40"/>
  <c r="AM141" i="40"/>
  <c r="AL141" i="40"/>
  <c r="AK141" i="40"/>
  <c r="AJ141" i="40"/>
  <c r="AI141" i="40"/>
  <c r="AG141" i="40"/>
  <c r="AE141" i="40"/>
  <c r="AD141" i="40"/>
  <c r="AC141" i="40"/>
  <c r="AB141" i="40"/>
  <c r="BJ140" i="40"/>
  <c r="BI140" i="40"/>
  <c r="BH140" i="40"/>
  <c r="BG140" i="40"/>
  <c r="BF140" i="40"/>
  <c r="BE140" i="40"/>
  <c r="BD140" i="40"/>
  <c r="BC140" i="40"/>
  <c r="BB140" i="40"/>
  <c r="BA140" i="40"/>
  <c r="AZ140" i="40"/>
  <c r="AY140" i="40"/>
  <c r="AW140" i="40" a="1"/>
  <c r="AW140" i="40"/>
  <c r="AV140" i="40"/>
  <c r="AT140" i="40"/>
  <c r="AS140" i="40"/>
  <c r="AR140" i="40"/>
  <c r="AQ140" i="40"/>
  <c r="AP140" i="40"/>
  <c r="AO140" i="40"/>
  <c r="AN140" i="40"/>
  <c r="AM140" i="40"/>
  <c r="AL140" i="40"/>
  <c r="AK140" i="40"/>
  <c r="AJ140" i="40"/>
  <c r="AI140" i="40"/>
  <c r="AG140" i="40"/>
  <c r="AE140" i="40"/>
  <c r="AD140" i="40"/>
  <c r="AC140" i="40"/>
  <c r="AB140" i="40"/>
  <c r="BJ139" i="40"/>
  <c r="BI139" i="40"/>
  <c r="BH139" i="40"/>
  <c r="BG139" i="40"/>
  <c r="BF139" i="40"/>
  <c r="BE139" i="40"/>
  <c r="BD139" i="40"/>
  <c r="BC139" i="40"/>
  <c r="BB139" i="40"/>
  <c r="BA139" i="40"/>
  <c r="AZ139" i="40"/>
  <c r="AY139" i="40"/>
  <c r="AW139" i="40" a="1"/>
  <c r="AW139" i="40"/>
  <c r="AV139" i="40"/>
  <c r="AT139" i="40"/>
  <c r="AS139" i="40"/>
  <c r="AR139" i="40"/>
  <c r="AQ139" i="40"/>
  <c r="AP139" i="40"/>
  <c r="AO139" i="40"/>
  <c r="AN139" i="40"/>
  <c r="AM139" i="40"/>
  <c r="AL139" i="40"/>
  <c r="AK139" i="40"/>
  <c r="AJ139" i="40"/>
  <c r="AI139" i="40"/>
  <c r="AG139" i="40"/>
  <c r="AE139" i="40"/>
  <c r="AD139" i="40"/>
  <c r="AC139" i="40"/>
  <c r="AB139" i="40"/>
  <c r="BJ138" i="40"/>
  <c r="BI138" i="40"/>
  <c r="BH138" i="40"/>
  <c r="BG138" i="40"/>
  <c r="BF138" i="40"/>
  <c r="BE138" i="40"/>
  <c r="BD138" i="40"/>
  <c r="BC138" i="40"/>
  <c r="BB138" i="40"/>
  <c r="BA138" i="40"/>
  <c r="AZ138" i="40"/>
  <c r="AY138" i="40"/>
  <c r="AW138" i="40" a="1"/>
  <c r="AW138" i="40"/>
  <c r="AV138" i="40"/>
  <c r="AT138" i="40"/>
  <c r="AS138" i="40"/>
  <c r="AR138" i="40"/>
  <c r="AQ138" i="40"/>
  <c r="AP138" i="40"/>
  <c r="AO138" i="40"/>
  <c r="AN138" i="40"/>
  <c r="AM138" i="40"/>
  <c r="AL138" i="40"/>
  <c r="AK138" i="40"/>
  <c r="AJ138" i="40"/>
  <c r="AI138" i="40"/>
  <c r="AG138" i="40"/>
  <c r="AE138" i="40"/>
  <c r="AD138" i="40"/>
  <c r="AC138" i="40"/>
  <c r="AB138" i="40"/>
  <c r="BJ137" i="40"/>
  <c r="BI137" i="40"/>
  <c r="BH137" i="40"/>
  <c r="BG137" i="40"/>
  <c r="BF137" i="40"/>
  <c r="BE137" i="40"/>
  <c r="BD137" i="40"/>
  <c r="BC137" i="40"/>
  <c r="BB137" i="40"/>
  <c r="BA137" i="40"/>
  <c r="AZ137" i="40"/>
  <c r="AY137" i="40"/>
  <c r="AW137" i="40" a="1"/>
  <c r="AW137" i="40"/>
  <c r="AV137" i="40"/>
  <c r="AT137" i="40"/>
  <c r="AS137" i="40"/>
  <c r="AR137" i="40"/>
  <c r="AQ137" i="40"/>
  <c r="AP137" i="40"/>
  <c r="AO137" i="40"/>
  <c r="AN137" i="40"/>
  <c r="AM137" i="40"/>
  <c r="AL137" i="40"/>
  <c r="AK137" i="40"/>
  <c r="AJ137" i="40"/>
  <c r="AI137" i="40"/>
  <c r="AG137" i="40"/>
  <c r="AE137" i="40"/>
  <c r="AD137" i="40"/>
  <c r="AC137" i="40"/>
  <c r="AB137" i="40"/>
  <c r="BJ136" i="40"/>
  <c r="BI136" i="40"/>
  <c r="BH136" i="40"/>
  <c r="BG136" i="40"/>
  <c r="BF136" i="40"/>
  <c r="BE136" i="40"/>
  <c r="BD136" i="40"/>
  <c r="BC136" i="40"/>
  <c r="BB136" i="40"/>
  <c r="BA136" i="40"/>
  <c r="AZ136" i="40"/>
  <c r="AY136" i="40"/>
  <c r="AW136" i="40" a="1"/>
  <c r="AW136" i="40"/>
  <c r="AV136" i="40"/>
  <c r="AT136" i="40"/>
  <c r="AS136" i="40"/>
  <c r="AR136" i="40"/>
  <c r="AQ136" i="40"/>
  <c r="AP136" i="40"/>
  <c r="AO136" i="40"/>
  <c r="AN136" i="40"/>
  <c r="AM136" i="40"/>
  <c r="AL136" i="40"/>
  <c r="AK136" i="40"/>
  <c r="AJ136" i="40"/>
  <c r="AI136" i="40"/>
  <c r="AG136" i="40"/>
  <c r="AE136" i="40"/>
  <c r="AD136" i="40"/>
  <c r="AC136" i="40"/>
  <c r="AB136" i="40"/>
  <c r="BJ135" i="40"/>
  <c r="BI135" i="40"/>
  <c r="BH135" i="40"/>
  <c r="BG135" i="40"/>
  <c r="BF135" i="40"/>
  <c r="BE135" i="40"/>
  <c r="BD135" i="40"/>
  <c r="BC135" i="40"/>
  <c r="BB135" i="40"/>
  <c r="BA135" i="40"/>
  <c r="AZ135" i="40"/>
  <c r="AY135" i="40"/>
  <c r="AW135" i="40" a="1"/>
  <c r="AW135" i="40"/>
  <c r="AV135" i="40"/>
  <c r="AT135" i="40"/>
  <c r="AS135" i="40"/>
  <c r="AR135" i="40"/>
  <c r="AQ135" i="40"/>
  <c r="AP135" i="40"/>
  <c r="AO135" i="40"/>
  <c r="AN135" i="40"/>
  <c r="AM135" i="40"/>
  <c r="AL135" i="40"/>
  <c r="AK135" i="40"/>
  <c r="AJ135" i="40"/>
  <c r="AI135" i="40"/>
  <c r="AG135" i="40"/>
  <c r="AE135" i="40"/>
  <c r="AD135" i="40"/>
  <c r="AC135" i="40"/>
  <c r="AB135" i="40"/>
  <c r="BJ134" i="40"/>
  <c r="BI134" i="40"/>
  <c r="BH134" i="40"/>
  <c r="BG134" i="40"/>
  <c r="BF134" i="40"/>
  <c r="BE134" i="40"/>
  <c r="BD134" i="40"/>
  <c r="BC134" i="40"/>
  <c r="BB134" i="40"/>
  <c r="BA134" i="40"/>
  <c r="AZ134" i="40"/>
  <c r="AY134" i="40"/>
  <c r="AW134" i="40" a="1"/>
  <c r="AW134" i="40"/>
  <c r="AV134" i="40"/>
  <c r="AT134" i="40"/>
  <c r="AS134" i="40"/>
  <c r="AR134" i="40"/>
  <c r="AQ134" i="40"/>
  <c r="AP134" i="40"/>
  <c r="AO134" i="40"/>
  <c r="AN134" i="40"/>
  <c r="AM134" i="40"/>
  <c r="AL134" i="40"/>
  <c r="AK134" i="40"/>
  <c r="AJ134" i="40"/>
  <c r="AI134" i="40"/>
  <c r="AG134" i="40"/>
  <c r="AE134" i="40"/>
  <c r="AD134" i="40"/>
  <c r="AC134" i="40"/>
  <c r="AB134" i="40"/>
  <c r="BJ133" i="40"/>
  <c r="BI133" i="40"/>
  <c r="BH133" i="40"/>
  <c r="BG133" i="40"/>
  <c r="BF133" i="40"/>
  <c r="BE133" i="40"/>
  <c r="BD133" i="40"/>
  <c r="BC133" i="40"/>
  <c r="BB133" i="40"/>
  <c r="BA133" i="40"/>
  <c r="AZ133" i="40"/>
  <c r="AY133" i="40"/>
  <c r="AW133" i="40" a="1"/>
  <c r="AW133" i="40"/>
  <c r="AV133" i="40"/>
  <c r="AT133" i="40"/>
  <c r="AS133" i="40"/>
  <c r="AR133" i="40"/>
  <c r="AQ133" i="40"/>
  <c r="AP133" i="40"/>
  <c r="AO133" i="40"/>
  <c r="AN133" i="40"/>
  <c r="AM133" i="40"/>
  <c r="AL133" i="40"/>
  <c r="AK133" i="40"/>
  <c r="AJ133" i="40"/>
  <c r="AI133" i="40"/>
  <c r="AG133" i="40"/>
  <c r="AE133" i="40"/>
  <c r="AD133" i="40"/>
  <c r="AC133" i="40"/>
  <c r="AB133" i="40"/>
  <c r="BJ132" i="40"/>
  <c r="BI132" i="40"/>
  <c r="BH132" i="40"/>
  <c r="BG132" i="40"/>
  <c r="BF132" i="40"/>
  <c r="BE132" i="40"/>
  <c r="BD132" i="40"/>
  <c r="BC132" i="40"/>
  <c r="BB132" i="40"/>
  <c r="BA132" i="40"/>
  <c r="AZ132" i="40"/>
  <c r="AY132" i="40"/>
  <c r="AW132" i="40" a="1"/>
  <c r="AW132" i="40"/>
  <c r="AV132" i="40"/>
  <c r="AT132" i="40"/>
  <c r="AS132" i="40"/>
  <c r="AR132" i="40"/>
  <c r="AQ132" i="40"/>
  <c r="AP132" i="40"/>
  <c r="AO132" i="40"/>
  <c r="AN132" i="40"/>
  <c r="AM132" i="40"/>
  <c r="AL132" i="40"/>
  <c r="AK132" i="40"/>
  <c r="AJ132" i="40"/>
  <c r="AI132" i="40"/>
  <c r="AG132" i="40"/>
  <c r="AE132" i="40"/>
  <c r="AD132" i="40"/>
  <c r="AC132" i="40"/>
  <c r="AB132" i="40"/>
  <c r="BJ131" i="40"/>
  <c r="BI131" i="40"/>
  <c r="BH131" i="40"/>
  <c r="BG131" i="40"/>
  <c r="BF131" i="40"/>
  <c r="BE131" i="40"/>
  <c r="BD131" i="40"/>
  <c r="BC131" i="40"/>
  <c r="BB131" i="40"/>
  <c r="BA131" i="40"/>
  <c r="AZ131" i="40"/>
  <c r="AY131" i="40"/>
  <c r="AW131" i="40" a="1"/>
  <c r="AW131" i="40"/>
  <c r="AV131" i="40"/>
  <c r="AT131" i="40"/>
  <c r="AS131" i="40"/>
  <c r="AR131" i="40"/>
  <c r="AQ131" i="40"/>
  <c r="AP131" i="40"/>
  <c r="AO131" i="40"/>
  <c r="AN131" i="40"/>
  <c r="AM131" i="40"/>
  <c r="AL131" i="40"/>
  <c r="AK131" i="40"/>
  <c r="AJ131" i="40"/>
  <c r="AI131" i="40"/>
  <c r="AG131" i="40"/>
  <c r="AE131" i="40"/>
  <c r="AD131" i="40"/>
  <c r="AC131" i="40"/>
  <c r="AB131" i="40"/>
  <c r="BJ130" i="40"/>
  <c r="BI130" i="40"/>
  <c r="BH130" i="40"/>
  <c r="BG130" i="40"/>
  <c r="BF130" i="40"/>
  <c r="BE130" i="40"/>
  <c r="BD130" i="40"/>
  <c r="BC130" i="40"/>
  <c r="BB130" i="40"/>
  <c r="BA130" i="40"/>
  <c r="AZ130" i="40"/>
  <c r="AY130" i="40"/>
  <c r="AW130" i="40" a="1"/>
  <c r="AW130" i="40"/>
  <c r="AV130" i="40"/>
  <c r="AT130" i="40"/>
  <c r="AS130" i="40"/>
  <c r="AR130" i="40"/>
  <c r="AQ130" i="40"/>
  <c r="AP130" i="40"/>
  <c r="AO130" i="40"/>
  <c r="AN130" i="40"/>
  <c r="AM130" i="40"/>
  <c r="AL130" i="40"/>
  <c r="AK130" i="40"/>
  <c r="AJ130" i="40"/>
  <c r="AI130" i="40"/>
  <c r="AG130" i="40"/>
  <c r="AE130" i="40"/>
  <c r="AD130" i="40"/>
  <c r="AC130" i="40"/>
  <c r="AB130" i="40"/>
  <c r="BJ129" i="40"/>
  <c r="BI129" i="40"/>
  <c r="BH129" i="40"/>
  <c r="BG129" i="40"/>
  <c r="BF129" i="40"/>
  <c r="BE129" i="40"/>
  <c r="BD129" i="40"/>
  <c r="BC129" i="40"/>
  <c r="BB129" i="40"/>
  <c r="BA129" i="40"/>
  <c r="AZ129" i="40"/>
  <c r="AY129" i="40"/>
  <c r="AW129" i="40" a="1"/>
  <c r="AW129" i="40"/>
  <c r="AV129" i="40"/>
  <c r="AT129" i="40"/>
  <c r="AS129" i="40"/>
  <c r="AR129" i="40"/>
  <c r="AQ129" i="40"/>
  <c r="AP129" i="40"/>
  <c r="AO129" i="40"/>
  <c r="AN129" i="40"/>
  <c r="AM129" i="40"/>
  <c r="AL129" i="40"/>
  <c r="AK129" i="40"/>
  <c r="AJ129" i="40"/>
  <c r="AI129" i="40"/>
  <c r="AG129" i="40"/>
  <c r="AE129" i="40"/>
  <c r="AD129" i="40"/>
  <c r="AC129" i="40"/>
  <c r="AB129" i="40"/>
  <c r="BJ128" i="40"/>
  <c r="BI128" i="40"/>
  <c r="BH128" i="40"/>
  <c r="BG128" i="40"/>
  <c r="BF128" i="40"/>
  <c r="BE128" i="40"/>
  <c r="BD128" i="40"/>
  <c r="BC128" i="40"/>
  <c r="BB128" i="40"/>
  <c r="BA128" i="40"/>
  <c r="AZ128" i="40"/>
  <c r="AY128" i="40"/>
  <c r="AW128" i="40" a="1"/>
  <c r="AW128" i="40"/>
  <c r="AV128" i="40"/>
  <c r="AT128" i="40"/>
  <c r="AS128" i="40"/>
  <c r="AR128" i="40"/>
  <c r="AQ128" i="40"/>
  <c r="AP128" i="40"/>
  <c r="AO128" i="40"/>
  <c r="AN128" i="40"/>
  <c r="AM128" i="40"/>
  <c r="AL128" i="40"/>
  <c r="AK128" i="40"/>
  <c r="AJ128" i="40"/>
  <c r="AI128" i="40"/>
  <c r="AG128" i="40"/>
  <c r="AE128" i="40"/>
  <c r="AD128" i="40"/>
  <c r="AC128" i="40"/>
  <c r="AB128" i="40"/>
  <c r="BJ127" i="40"/>
  <c r="BI127" i="40"/>
  <c r="BH127" i="40"/>
  <c r="BG127" i="40"/>
  <c r="BF127" i="40"/>
  <c r="BE127" i="40"/>
  <c r="BD127" i="40"/>
  <c r="BC127" i="40"/>
  <c r="BB127" i="40"/>
  <c r="BA127" i="40"/>
  <c r="AZ127" i="40"/>
  <c r="AY127" i="40"/>
  <c r="AW127" i="40" a="1"/>
  <c r="AW127" i="40"/>
  <c r="AV127" i="40"/>
  <c r="AT127" i="40"/>
  <c r="AS127" i="40"/>
  <c r="AR127" i="40"/>
  <c r="AQ127" i="40"/>
  <c r="AP127" i="40"/>
  <c r="AO127" i="40"/>
  <c r="AN127" i="40"/>
  <c r="AM127" i="40"/>
  <c r="AL127" i="40"/>
  <c r="AK127" i="40"/>
  <c r="AJ127" i="40"/>
  <c r="AI127" i="40"/>
  <c r="AG127" i="40"/>
  <c r="AE127" i="40"/>
  <c r="AD127" i="40"/>
  <c r="AC127" i="40"/>
  <c r="AB127" i="40"/>
  <c r="BJ126" i="40"/>
  <c r="BI126" i="40"/>
  <c r="BH126" i="40"/>
  <c r="BG126" i="40"/>
  <c r="BF126" i="40"/>
  <c r="BE126" i="40"/>
  <c r="BD126" i="40"/>
  <c r="BC126" i="40"/>
  <c r="BB126" i="40"/>
  <c r="BA126" i="40"/>
  <c r="AZ126" i="40"/>
  <c r="AY126" i="40"/>
  <c r="AW126" i="40" a="1"/>
  <c r="AW126" i="40"/>
  <c r="AV126" i="40"/>
  <c r="AT126" i="40"/>
  <c r="AS126" i="40"/>
  <c r="AR126" i="40"/>
  <c r="AQ126" i="40"/>
  <c r="AP126" i="40"/>
  <c r="AO126" i="40"/>
  <c r="AN126" i="40"/>
  <c r="AM126" i="40"/>
  <c r="AL126" i="40"/>
  <c r="AK126" i="40"/>
  <c r="AJ126" i="40"/>
  <c r="AI126" i="40"/>
  <c r="AG126" i="40"/>
  <c r="AE126" i="40"/>
  <c r="AD126" i="40"/>
  <c r="AC126" i="40"/>
  <c r="AB126" i="40"/>
  <c r="BJ125" i="40"/>
  <c r="BI125" i="40"/>
  <c r="BH125" i="40"/>
  <c r="BG125" i="40"/>
  <c r="BF125" i="40"/>
  <c r="BE125" i="40"/>
  <c r="BD125" i="40"/>
  <c r="BC125" i="40"/>
  <c r="BB125" i="40"/>
  <c r="BA125" i="40"/>
  <c r="AZ125" i="40"/>
  <c r="AY125" i="40"/>
  <c r="AW125" i="40" a="1"/>
  <c r="AW125" i="40"/>
  <c r="AV125" i="40"/>
  <c r="AT125" i="40"/>
  <c r="AS125" i="40"/>
  <c r="AR125" i="40"/>
  <c r="AQ125" i="40"/>
  <c r="AP125" i="40"/>
  <c r="AO125" i="40"/>
  <c r="AN125" i="40"/>
  <c r="AM125" i="40"/>
  <c r="AL125" i="40"/>
  <c r="AK125" i="40"/>
  <c r="AJ125" i="40"/>
  <c r="AI125" i="40"/>
  <c r="AG125" i="40"/>
  <c r="AE125" i="40"/>
  <c r="AD125" i="40"/>
  <c r="AC125" i="40"/>
  <c r="AB125" i="40"/>
  <c r="BJ124" i="40"/>
  <c r="BI124" i="40"/>
  <c r="BH124" i="40"/>
  <c r="BG124" i="40"/>
  <c r="BF124" i="40"/>
  <c r="BE124" i="40"/>
  <c r="BD124" i="40"/>
  <c r="BC124" i="40"/>
  <c r="BB124" i="40"/>
  <c r="BA124" i="40"/>
  <c r="AZ124" i="40"/>
  <c r="AY124" i="40"/>
  <c r="AW124" i="40" a="1"/>
  <c r="AW124" i="40"/>
  <c r="AV124" i="40"/>
  <c r="AT124" i="40"/>
  <c r="AS124" i="40"/>
  <c r="AR124" i="40"/>
  <c r="AQ124" i="40"/>
  <c r="AP124" i="40"/>
  <c r="AO124" i="40"/>
  <c r="AN124" i="40"/>
  <c r="AM124" i="40"/>
  <c r="AL124" i="40"/>
  <c r="AK124" i="40"/>
  <c r="AJ124" i="40"/>
  <c r="AI124" i="40"/>
  <c r="AG124" i="40"/>
  <c r="AE124" i="40"/>
  <c r="AD124" i="40"/>
  <c r="AC124" i="40"/>
  <c r="AB124" i="40"/>
  <c r="BJ123" i="40"/>
  <c r="BI123" i="40"/>
  <c r="BH123" i="40"/>
  <c r="BG123" i="40"/>
  <c r="BF123" i="40"/>
  <c r="BE123" i="40"/>
  <c r="BD123" i="40"/>
  <c r="BC123" i="40"/>
  <c r="BB123" i="40"/>
  <c r="BA123" i="40"/>
  <c r="AZ123" i="40"/>
  <c r="AY123" i="40"/>
  <c r="AW123" i="40" a="1"/>
  <c r="AW123" i="40"/>
  <c r="AV123" i="40"/>
  <c r="AT123" i="40"/>
  <c r="AS123" i="40"/>
  <c r="AR123" i="40"/>
  <c r="AQ123" i="40"/>
  <c r="AP123" i="40"/>
  <c r="AO123" i="40"/>
  <c r="AN123" i="40"/>
  <c r="AM123" i="40"/>
  <c r="AL123" i="40"/>
  <c r="AK123" i="40"/>
  <c r="AJ123" i="40"/>
  <c r="AI123" i="40"/>
  <c r="AG123" i="40"/>
  <c r="AE123" i="40"/>
  <c r="AD123" i="40"/>
  <c r="AC123" i="40"/>
  <c r="AB123" i="40"/>
  <c r="BJ122" i="40"/>
  <c r="BI122" i="40"/>
  <c r="BH122" i="40"/>
  <c r="BG122" i="40"/>
  <c r="BF122" i="40"/>
  <c r="BE122" i="40"/>
  <c r="BD122" i="40"/>
  <c r="BC122" i="40"/>
  <c r="BB122" i="40"/>
  <c r="BA122" i="40"/>
  <c r="AZ122" i="40"/>
  <c r="AY122" i="40"/>
  <c r="AW122" i="40" a="1"/>
  <c r="AW122" i="40"/>
  <c r="AV122" i="40"/>
  <c r="AT122" i="40"/>
  <c r="AS122" i="40"/>
  <c r="AR122" i="40"/>
  <c r="AQ122" i="40"/>
  <c r="AP122" i="40"/>
  <c r="AO122" i="40"/>
  <c r="AN122" i="40"/>
  <c r="AM122" i="40"/>
  <c r="AL122" i="40"/>
  <c r="AK122" i="40"/>
  <c r="AJ122" i="40"/>
  <c r="AI122" i="40"/>
  <c r="AG122" i="40"/>
  <c r="AE122" i="40"/>
  <c r="AD122" i="40"/>
  <c r="AC122" i="40"/>
  <c r="AB122" i="40"/>
  <c r="BJ121" i="40"/>
  <c r="BI121" i="40"/>
  <c r="BH121" i="40"/>
  <c r="BG121" i="40"/>
  <c r="BF121" i="40"/>
  <c r="BE121" i="40"/>
  <c r="BD121" i="40"/>
  <c r="BC121" i="40"/>
  <c r="BB121" i="40"/>
  <c r="BA121" i="40"/>
  <c r="AZ121" i="40"/>
  <c r="AY121" i="40"/>
  <c r="AW121" i="40" a="1"/>
  <c r="AW121" i="40"/>
  <c r="AV121" i="40"/>
  <c r="AT121" i="40"/>
  <c r="AS121" i="40"/>
  <c r="AR121" i="40"/>
  <c r="AQ121" i="40"/>
  <c r="AP121" i="40"/>
  <c r="AO121" i="40"/>
  <c r="AN121" i="40"/>
  <c r="AM121" i="40"/>
  <c r="AL121" i="40"/>
  <c r="AK121" i="40"/>
  <c r="AJ121" i="40"/>
  <c r="AI121" i="40"/>
  <c r="AG121" i="40"/>
  <c r="AE121" i="40"/>
  <c r="AD121" i="40"/>
  <c r="AC121" i="40"/>
  <c r="AB121" i="40"/>
  <c r="BJ120" i="40"/>
  <c r="BI120" i="40"/>
  <c r="BH120" i="40"/>
  <c r="BG120" i="40"/>
  <c r="BF120" i="40"/>
  <c r="BE120" i="40"/>
  <c r="BD120" i="40"/>
  <c r="BC120" i="40"/>
  <c r="BB120" i="40"/>
  <c r="BA120" i="40"/>
  <c r="AZ120" i="40"/>
  <c r="AY120" i="40"/>
  <c r="AW120" i="40" a="1"/>
  <c r="AW120" i="40"/>
  <c r="AV120" i="40"/>
  <c r="AT120" i="40"/>
  <c r="AS120" i="40"/>
  <c r="AR120" i="40"/>
  <c r="AQ120" i="40"/>
  <c r="AP120" i="40"/>
  <c r="AO120" i="40"/>
  <c r="AN120" i="40"/>
  <c r="AM120" i="40"/>
  <c r="AL120" i="40"/>
  <c r="AK120" i="40"/>
  <c r="AJ120" i="40"/>
  <c r="AI120" i="40"/>
  <c r="AG120" i="40"/>
  <c r="AE120" i="40"/>
  <c r="AD120" i="40"/>
  <c r="AC120" i="40"/>
  <c r="AB120" i="40"/>
  <c r="BJ119" i="40"/>
  <c r="BI119" i="40"/>
  <c r="BH119" i="40"/>
  <c r="BG119" i="40"/>
  <c r="BF119" i="40"/>
  <c r="BE119" i="40"/>
  <c r="BD119" i="40"/>
  <c r="BC119" i="40"/>
  <c r="BB119" i="40"/>
  <c r="BA119" i="40"/>
  <c r="AZ119" i="40"/>
  <c r="AY119" i="40"/>
  <c r="AW119" i="40" a="1"/>
  <c r="AW119" i="40"/>
  <c r="AV119" i="40"/>
  <c r="AT119" i="40"/>
  <c r="AS119" i="40"/>
  <c r="AR119" i="40"/>
  <c r="AQ119" i="40"/>
  <c r="AP119" i="40"/>
  <c r="AO119" i="40"/>
  <c r="AN119" i="40"/>
  <c r="AM119" i="40"/>
  <c r="AL119" i="40"/>
  <c r="AK119" i="40"/>
  <c r="AJ119" i="40"/>
  <c r="AI119" i="40"/>
  <c r="AG119" i="40"/>
  <c r="AE119" i="40"/>
  <c r="AD119" i="40"/>
  <c r="AC119" i="40"/>
  <c r="AB119" i="40"/>
  <c r="BJ118" i="40"/>
  <c r="BI118" i="40"/>
  <c r="BH118" i="40"/>
  <c r="BG118" i="40"/>
  <c r="BF118" i="40"/>
  <c r="BE118" i="40"/>
  <c r="BD118" i="40"/>
  <c r="BC118" i="40"/>
  <c r="BB118" i="40"/>
  <c r="BA118" i="40"/>
  <c r="AZ118" i="40"/>
  <c r="AY118" i="40"/>
  <c r="AW118" i="40" a="1"/>
  <c r="AW118" i="40"/>
  <c r="AV118" i="40"/>
  <c r="AT118" i="40"/>
  <c r="AS118" i="40"/>
  <c r="AR118" i="40"/>
  <c r="AQ118" i="40"/>
  <c r="AP118" i="40"/>
  <c r="AO118" i="40"/>
  <c r="AN118" i="40"/>
  <c r="AM118" i="40"/>
  <c r="AL118" i="40"/>
  <c r="AK118" i="40"/>
  <c r="AJ118" i="40"/>
  <c r="AI118" i="40"/>
  <c r="AG118" i="40"/>
  <c r="AE118" i="40"/>
  <c r="AD118" i="40"/>
  <c r="AC118" i="40"/>
  <c r="AB118" i="40"/>
  <c r="BJ117" i="40"/>
  <c r="BI117" i="40"/>
  <c r="BH117" i="40"/>
  <c r="BG117" i="40"/>
  <c r="BF117" i="40"/>
  <c r="BE117" i="40"/>
  <c r="BD117" i="40"/>
  <c r="BC117" i="40"/>
  <c r="BB117" i="40"/>
  <c r="BA117" i="40"/>
  <c r="AZ117" i="40"/>
  <c r="AY117" i="40"/>
  <c r="AW117" i="40" a="1"/>
  <c r="AW117" i="40"/>
  <c r="AV117" i="40"/>
  <c r="AT117" i="40"/>
  <c r="AS117" i="40"/>
  <c r="AR117" i="40"/>
  <c r="AQ117" i="40"/>
  <c r="AP117" i="40"/>
  <c r="AO117" i="40"/>
  <c r="AN117" i="40"/>
  <c r="AM117" i="40"/>
  <c r="AL117" i="40"/>
  <c r="AK117" i="40"/>
  <c r="AJ117" i="40"/>
  <c r="AI117" i="40"/>
  <c r="AG117" i="40"/>
  <c r="AE117" i="40"/>
  <c r="AD117" i="40"/>
  <c r="AC117" i="40"/>
  <c r="AB117" i="40"/>
  <c r="BJ116" i="40"/>
  <c r="BI116" i="40"/>
  <c r="BH116" i="40"/>
  <c r="BG116" i="40"/>
  <c r="BF116" i="40"/>
  <c r="BE116" i="40"/>
  <c r="BD116" i="40"/>
  <c r="BC116" i="40"/>
  <c r="BB116" i="40"/>
  <c r="BA116" i="40"/>
  <c r="AZ116" i="40"/>
  <c r="AY116" i="40"/>
  <c r="AW116" i="40" a="1"/>
  <c r="AW116" i="40"/>
  <c r="AV116" i="40"/>
  <c r="AT116" i="40"/>
  <c r="AS116" i="40"/>
  <c r="AR116" i="40"/>
  <c r="AQ116" i="40"/>
  <c r="AP116" i="40"/>
  <c r="AO116" i="40"/>
  <c r="AN116" i="40"/>
  <c r="AM116" i="40"/>
  <c r="AL116" i="40"/>
  <c r="AK116" i="40"/>
  <c r="AJ116" i="40"/>
  <c r="AI116" i="40"/>
  <c r="AG116" i="40"/>
  <c r="AE116" i="40"/>
  <c r="AD116" i="40"/>
  <c r="AC116" i="40"/>
  <c r="AB116" i="40"/>
  <c r="BJ115" i="40"/>
  <c r="BI115" i="40"/>
  <c r="BH115" i="40"/>
  <c r="BG115" i="40"/>
  <c r="BF115" i="40"/>
  <c r="BE115" i="40"/>
  <c r="BD115" i="40"/>
  <c r="BC115" i="40"/>
  <c r="BB115" i="40"/>
  <c r="BA115" i="40"/>
  <c r="AZ115" i="40"/>
  <c r="AY115" i="40"/>
  <c r="AW115" i="40" a="1"/>
  <c r="AW115" i="40"/>
  <c r="AV115" i="40"/>
  <c r="AT115" i="40"/>
  <c r="AS115" i="40"/>
  <c r="AR115" i="40"/>
  <c r="AQ115" i="40"/>
  <c r="AP115" i="40"/>
  <c r="AO115" i="40"/>
  <c r="AN115" i="40"/>
  <c r="AM115" i="40"/>
  <c r="AL115" i="40"/>
  <c r="AK115" i="40"/>
  <c r="AJ115" i="40"/>
  <c r="AI115" i="40"/>
  <c r="AG115" i="40"/>
  <c r="AE115" i="40"/>
  <c r="AD115" i="40"/>
  <c r="AC115" i="40"/>
  <c r="AB115" i="40"/>
  <c r="BJ114" i="40"/>
  <c r="BI114" i="40"/>
  <c r="BH114" i="40"/>
  <c r="BG114" i="40"/>
  <c r="BF114" i="40"/>
  <c r="BE114" i="40"/>
  <c r="BD114" i="40"/>
  <c r="BC114" i="40"/>
  <c r="BB114" i="40"/>
  <c r="BA114" i="40"/>
  <c r="AZ114" i="40"/>
  <c r="AY114" i="40"/>
  <c r="AW114" i="40" a="1"/>
  <c r="AW114" i="40"/>
  <c r="AV114" i="40"/>
  <c r="AT114" i="40"/>
  <c r="AS114" i="40"/>
  <c r="AR114" i="40"/>
  <c r="AQ114" i="40"/>
  <c r="AP114" i="40"/>
  <c r="AO114" i="40"/>
  <c r="AN114" i="40"/>
  <c r="AM114" i="40"/>
  <c r="AL114" i="40"/>
  <c r="AK114" i="40"/>
  <c r="AJ114" i="40"/>
  <c r="AI114" i="40"/>
  <c r="AG114" i="40"/>
  <c r="AE114" i="40"/>
  <c r="AD114" i="40"/>
  <c r="AC114" i="40"/>
  <c r="AB114" i="40"/>
  <c r="BJ113" i="40"/>
  <c r="BI113" i="40"/>
  <c r="BH113" i="40"/>
  <c r="BG113" i="40"/>
  <c r="BF113" i="40"/>
  <c r="BE113" i="40"/>
  <c r="BD113" i="40"/>
  <c r="BC113" i="40"/>
  <c r="BB113" i="40"/>
  <c r="BA113" i="40"/>
  <c r="AZ113" i="40"/>
  <c r="AY113" i="40"/>
  <c r="AW113" i="40" a="1"/>
  <c r="AW113" i="40"/>
  <c r="AV113" i="40"/>
  <c r="AT113" i="40"/>
  <c r="AS113" i="40"/>
  <c r="AR113" i="40"/>
  <c r="AQ113" i="40"/>
  <c r="AP113" i="40"/>
  <c r="AO113" i="40"/>
  <c r="AN113" i="40"/>
  <c r="AM113" i="40"/>
  <c r="AL113" i="40"/>
  <c r="AK113" i="40"/>
  <c r="AJ113" i="40"/>
  <c r="AI113" i="40"/>
  <c r="AG113" i="40"/>
  <c r="AE113" i="40"/>
  <c r="AD113" i="40"/>
  <c r="AC113" i="40"/>
  <c r="AB113" i="40"/>
  <c r="BJ112" i="40"/>
  <c r="BI112" i="40"/>
  <c r="BH112" i="40"/>
  <c r="BG112" i="40"/>
  <c r="BF112" i="40"/>
  <c r="BE112" i="40"/>
  <c r="BD112" i="40"/>
  <c r="BC112" i="40"/>
  <c r="BB112" i="40"/>
  <c r="BA112" i="40"/>
  <c r="AZ112" i="40"/>
  <c r="AY112" i="40"/>
  <c r="AW112" i="40" a="1"/>
  <c r="AW112" i="40"/>
  <c r="AV112" i="40"/>
  <c r="AT112" i="40"/>
  <c r="AS112" i="40"/>
  <c r="AR112" i="40"/>
  <c r="AQ112" i="40"/>
  <c r="AP112" i="40"/>
  <c r="AO112" i="40"/>
  <c r="AN112" i="40"/>
  <c r="AM112" i="40"/>
  <c r="AL112" i="40"/>
  <c r="AK112" i="40"/>
  <c r="AJ112" i="40"/>
  <c r="AI112" i="40"/>
  <c r="AG112" i="40"/>
  <c r="AE112" i="40"/>
  <c r="AD112" i="40"/>
  <c r="AC112" i="40"/>
  <c r="AB112" i="40"/>
  <c r="BJ111" i="40"/>
  <c r="BI111" i="40"/>
  <c r="BH111" i="40"/>
  <c r="BG111" i="40"/>
  <c r="BF111" i="40"/>
  <c r="BE111" i="40"/>
  <c r="BD111" i="40"/>
  <c r="BC111" i="40"/>
  <c r="BB111" i="40"/>
  <c r="BA111" i="40"/>
  <c r="AZ111" i="40"/>
  <c r="AY111" i="40"/>
  <c r="AW111" i="40" a="1"/>
  <c r="AW111" i="40"/>
  <c r="AV111" i="40"/>
  <c r="AT111" i="40"/>
  <c r="AS111" i="40"/>
  <c r="AR111" i="40"/>
  <c r="AQ111" i="40"/>
  <c r="AP111" i="40"/>
  <c r="AO111" i="40"/>
  <c r="AN111" i="40"/>
  <c r="AM111" i="40"/>
  <c r="AL111" i="40"/>
  <c r="AK111" i="40"/>
  <c r="AJ111" i="40"/>
  <c r="AI111" i="40"/>
  <c r="AG111" i="40"/>
  <c r="AE111" i="40"/>
  <c r="AD111" i="40"/>
  <c r="AC111" i="40"/>
  <c r="AB111" i="40"/>
  <c r="BJ110" i="40"/>
  <c r="BI110" i="40"/>
  <c r="BH110" i="40"/>
  <c r="BG110" i="40"/>
  <c r="BF110" i="40"/>
  <c r="BE110" i="40"/>
  <c r="BD110" i="40"/>
  <c r="BC110" i="40"/>
  <c r="BB110" i="40"/>
  <c r="BA110" i="40"/>
  <c r="AZ110" i="40"/>
  <c r="AY110" i="40"/>
  <c r="AW110" i="40" a="1"/>
  <c r="AW110" i="40"/>
  <c r="AV110" i="40"/>
  <c r="AT110" i="40"/>
  <c r="AS110" i="40"/>
  <c r="AR110" i="40"/>
  <c r="AQ110" i="40"/>
  <c r="AP110" i="40"/>
  <c r="AO110" i="40"/>
  <c r="AN110" i="40"/>
  <c r="AM110" i="40"/>
  <c r="AL110" i="40"/>
  <c r="AK110" i="40"/>
  <c r="AJ110" i="40"/>
  <c r="AI110" i="40"/>
  <c r="AG110" i="40"/>
  <c r="AE110" i="40"/>
  <c r="AD110" i="40"/>
  <c r="AC110" i="40"/>
  <c r="AB110" i="40"/>
  <c r="BJ109" i="40"/>
  <c r="BI109" i="40"/>
  <c r="BH109" i="40"/>
  <c r="BG109" i="40"/>
  <c r="BF109" i="40"/>
  <c r="BE109" i="40"/>
  <c r="BD109" i="40"/>
  <c r="BC109" i="40"/>
  <c r="BB109" i="40"/>
  <c r="BA109" i="40"/>
  <c r="AZ109" i="40"/>
  <c r="AY109" i="40"/>
  <c r="AW109" i="40" a="1"/>
  <c r="AW109" i="40"/>
  <c r="AV109" i="40"/>
  <c r="AT109" i="40"/>
  <c r="AS109" i="40"/>
  <c r="AR109" i="40"/>
  <c r="AQ109" i="40"/>
  <c r="AP109" i="40"/>
  <c r="AO109" i="40"/>
  <c r="AN109" i="40"/>
  <c r="AM109" i="40"/>
  <c r="AL109" i="40"/>
  <c r="AK109" i="40"/>
  <c r="AJ109" i="40"/>
  <c r="AI109" i="40"/>
  <c r="AG109" i="40"/>
  <c r="AE109" i="40"/>
  <c r="AD109" i="40"/>
  <c r="AC109" i="40"/>
  <c r="AB109" i="40"/>
  <c r="BJ108" i="40"/>
  <c r="BI108" i="40"/>
  <c r="BH108" i="40"/>
  <c r="BG108" i="40"/>
  <c r="BF108" i="40"/>
  <c r="BE108" i="40"/>
  <c r="BD108" i="40"/>
  <c r="BC108" i="40"/>
  <c r="BB108" i="40"/>
  <c r="BA108" i="40"/>
  <c r="AZ108" i="40"/>
  <c r="AY108" i="40"/>
  <c r="AW108" i="40" a="1"/>
  <c r="AW108" i="40"/>
  <c r="AV108" i="40"/>
  <c r="AT108" i="40"/>
  <c r="AS108" i="40"/>
  <c r="AR108" i="40"/>
  <c r="AQ108" i="40"/>
  <c r="AP108" i="40"/>
  <c r="AO108" i="40"/>
  <c r="AN108" i="40"/>
  <c r="AM108" i="40"/>
  <c r="AL108" i="40"/>
  <c r="AK108" i="40"/>
  <c r="AJ108" i="40"/>
  <c r="AI108" i="40"/>
  <c r="AG108" i="40"/>
  <c r="AE108" i="40"/>
  <c r="AD108" i="40"/>
  <c r="AC108" i="40"/>
  <c r="AB108" i="40"/>
  <c r="BJ107" i="40"/>
  <c r="BI107" i="40"/>
  <c r="BH107" i="40"/>
  <c r="BG107" i="40"/>
  <c r="BF107" i="40"/>
  <c r="BE107" i="40"/>
  <c r="BD107" i="40"/>
  <c r="BC107" i="40"/>
  <c r="BB107" i="40"/>
  <c r="BA107" i="40"/>
  <c r="AZ107" i="40"/>
  <c r="AY107" i="40"/>
  <c r="AW107" i="40" a="1"/>
  <c r="AW107" i="40"/>
  <c r="AV107" i="40"/>
  <c r="AT107" i="40"/>
  <c r="AS107" i="40"/>
  <c r="AR107" i="40"/>
  <c r="AQ107" i="40"/>
  <c r="AP107" i="40"/>
  <c r="AO107" i="40"/>
  <c r="AN107" i="40"/>
  <c r="AM107" i="40"/>
  <c r="AL107" i="40"/>
  <c r="AK107" i="40"/>
  <c r="AJ107" i="40"/>
  <c r="AI107" i="40"/>
  <c r="AG107" i="40"/>
  <c r="AE107" i="40"/>
  <c r="AD107" i="40"/>
  <c r="AC107" i="40"/>
  <c r="AB107" i="40"/>
  <c r="BJ106" i="40"/>
  <c r="BI106" i="40"/>
  <c r="BH106" i="40"/>
  <c r="BG106" i="40"/>
  <c r="BF106" i="40"/>
  <c r="BE106" i="40"/>
  <c r="BD106" i="40"/>
  <c r="BC106" i="40"/>
  <c r="BB106" i="40"/>
  <c r="BA106" i="40"/>
  <c r="AZ106" i="40"/>
  <c r="AY106" i="40"/>
  <c r="AW106" i="40" a="1"/>
  <c r="AW106" i="40"/>
  <c r="AV106" i="40"/>
  <c r="AT106" i="40"/>
  <c r="AS106" i="40"/>
  <c r="AR106" i="40"/>
  <c r="AQ106" i="40"/>
  <c r="AP106" i="40"/>
  <c r="AO106" i="40"/>
  <c r="AN106" i="40"/>
  <c r="AM106" i="40"/>
  <c r="AL106" i="40"/>
  <c r="AK106" i="40"/>
  <c r="AJ106" i="40"/>
  <c r="AI106" i="40"/>
  <c r="AG106" i="40"/>
  <c r="AE106" i="40"/>
  <c r="AD106" i="40"/>
  <c r="AC106" i="40"/>
  <c r="AB106" i="40"/>
  <c r="BJ105" i="40"/>
  <c r="BI105" i="40"/>
  <c r="BH105" i="40"/>
  <c r="BG105" i="40"/>
  <c r="BF105" i="40"/>
  <c r="BE105" i="40"/>
  <c r="BD105" i="40"/>
  <c r="BC105" i="40"/>
  <c r="BB105" i="40"/>
  <c r="BA105" i="40"/>
  <c r="AZ105" i="40"/>
  <c r="AY105" i="40"/>
  <c r="AW105" i="40" a="1"/>
  <c r="AW105" i="40"/>
  <c r="AV105" i="40"/>
  <c r="AT105" i="40"/>
  <c r="AS105" i="40"/>
  <c r="AR105" i="40"/>
  <c r="AQ105" i="40"/>
  <c r="AP105" i="40"/>
  <c r="AO105" i="40"/>
  <c r="AN105" i="40"/>
  <c r="AM105" i="40"/>
  <c r="AL105" i="40"/>
  <c r="AK105" i="40"/>
  <c r="AJ105" i="40"/>
  <c r="AI105" i="40"/>
  <c r="AG105" i="40"/>
  <c r="AE105" i="40"/>
  <c r="AD105" i="40"/>
  <c r="AC105" i="40"/>
  <c r="AB105" i="40"/>
  <c r="BJ104" i="40"/>
  <c r="BI104" i="40"/>
  <c r="BH104" i="40"/>
  <c r="BG104" i="40"/>
  <c r="BF104" i="40"/>
  <c r="BE104" i="40"/>
  <c r="BD104" i="40"/>
  <c r="BC104" i="40"/>
  <c r="BB104" i="40"/>
  <c r="BA104" i="40"/>
  <c r="AZ104" i="40"/>
  <c r="AY104" i="40"/>
  <c r="AW104" i="40" a="1"/>
  <c r="AW104" i="40"/>
  <c r="AV104" i="40"/>
  <c r="AT104" i="40"/>
  <c r="AS104" i="40"/>
  <c r="AR104" i="40"/>
  <c r="AQ104" i="40"/>
  <c r="AP104" i="40"/>
  <c r="AO104" i="40"/>
  <c r="AN104" i="40"/>
  <c r="AM104" i="40"/>
  <c r="AL104" i="40"/>
  <c r="AK104" i="40"/>
  <c r="AJ104" i="40"/>
  <c r="AI104" i="40"/>
  <c r="AG104" i="40"/>
  <c r="AE104" i="40"/>
  <c r="AD104" i="40"/>
  <c r="AC104" i="40"/>
  <c r="AB104" i="40"/>
  <c r="BJ103" i="40"/>
  <c r="BI103" i="40"/>
  <c r="BH103" i="40"/>
  <c r="BG103" i="40"/>
  <c r="BF103" i="40"/>
  <c r="BE103" i="40"/>
  <c r="BD103" i="40"/>
  <c r="BC103" i="40"/>
  <c r="BB103" i="40"/>
  <c r="BA103" i="40"/>
  <c r="AZ103" i="40"/>
  <c r="AY103" i="40"/>
  <c r="AW103" i="40" a="1"/>
  <c r="AW103" i="40"/>
  <c r="AV103" i="40"/>
  <c r="AT103" i="40"/>
  <c r="AS103" i="40"/>
  <c r="AR103" i="40"/>
  <c r="AQ103" i="40"/>
  <c r="AP103" i="40"/>
  <c r="AO103" i="40"/>
  <c r="AN103" i="40"/>
  <c r="AM103" i="40"/>
  <c r="AL103" i="40"/>
  <c r="AK103" i="40"/>
  <c r="AJ103" i="40"/>
  <c r="AI103" i="40"/>
  <c r="AG103" i="40"/>
  <c r="AE103" i="40"/>
  <c r="AD103" i="40"/>
  <c r="AC103" i="40"/>
  <c r="AB103" i="40"/>
  <c r="BJ102" i="40"/>
  <c r="BI102" i="40"/>
  <c r="BH102" i="40"/>
  <c r="BG102" i="40"/>
  <c r="BF102" i="40"/>
  <c r="BE102" i="40"/>
  <c r="BD102" i="40"/>
  <c r="BC102" i="40"/>
  <c r="BB102" i="40"/>
  <c r="BA102" i="40"/>
  <c r="AZ102" i="40"/>
  <c r="AY102" i="40"/>
  <c r="AW102" i="40" a="1"/>
  <c r="AW102" i="40"/>
  <c r="AV102" i="40"/>
  <c r="AT102" i="40"/>
  <c r="AS102" i="40"/>
  <c r="AR102" i="40"/>
  <c r="AQ102" i="40"/>
  <c r="AP102" i="40"/>
  <c r="AO102" i="40"/>
  <c r="AN102" i="40"/>
  <c r="AM102" i="40"/>
  <c r="AL102" i="40"/>
  <c r="AK102" i="40"/>
  <c r="AJ102" i="40"/>
  <c r="AI102" i="40"/>
  <c r="AG102" i="40"/>
  <c r="AE102" i="40"/>
  <c r="AD102" i="40"/>
  <c r="AC102" i="40"/>
  <c r="AB102" i="40"/>
  <c r="BJ101" i="40"/>
  <c r="BI101" i="40"/>
  <c r="BH101" i="40"/>
  <c r="BG101" i="40"/>
  <c r="BF101" i="40"/>
  <c r="BE101" i="40"/>
  <c r="BD101" i="40"/>
  <c r="BC101" i="40"/>
  <c r="BB101" i="40"/>
  <c r="BA101" i="40"/>
  <c r="AZ101" i="40"/>
  <c r="AY101" i="40"/>
  <c r="AW101" i="40" a="1"/>
  <c r="AW101" i="40"/>
  <c r="AV101" i="40"/>
  <c r="AT101" i="40"/>
  <c r="AS101" i="40"/>
  <c r="AR101" i="40"/>
  <c r="AQ101" i="40"/>
  <c r="AP101" i="40"/>
  <c r="AO101" i="40"/>
  <c r="AN101" i="40"/>
  <c r="AM101" i="40"/>
  <c r="AL101" i="40"/>
  <c r="AK101" i="40"/>
  <c r="AJ101" i="40"/>
  <c r="AI101" i="40"/>
  <c r="AG101" i="40"/>
  <c r="AE101" i="40"/>
  <c r="AD101" i="40"/>
  <c r="AC101" i="40"/>
  <c r="AB101" i="40"/>
  <c r="BJ100" i="40"/>
  <c r="BI100" i="40"/>
  <c r="BH100" i="40"/>
  <c r="BG100" i="40"/>
  <c r="BF100" i="40"/>
  <c r="BE100" i="40"/>
  <c r="BD100" i="40"/>
  <c r="BC100" i="40"/>
  <c r="BB100" i="40"/>
  <c r="BA100" i="40"/>
  <c r="AZ100" i="40"/>
  <c r="AY100" i="40"/>
  <c r="AW100" i="40" a="1"/>
  <c r="AW100" i="40"/>
  <c r="AV100" i="40"/>
  <c r="AT100" i="40"/>
  <c r="AS100" i="40"/>
  <c r="AR100" i="40"/>
  <c r="AQ100" i="40"/>
  <c r="AP100" i="40"/>
  <c r="AO100" i="40"/>
  <c r="AN100" i="40"/>
  <c r="AM100" i="40"/>
  <c r="AL100" i="40"/>
  <c r="AK100" i="40"/>
  <c r="AJ100" i="40"/>
  <c r="AI100" i="40"/>
  <c r="AG100" i="40"/>
  <c r="AE100" i="40"/>
  <c r="AD100" i="40"/>
  <c r="AC100" i="40"/>
  <c r="AB100" i="40"/>
  <c r="BJ99" i="40"/>
  <c r="BI99" i="40"/>
  <c r="BH99" i="40"/>
  <c r="BG99" i="40"/>
  <c r="BF99" i="40"/>
  <c r="BE99" i="40"/>
  <c r="BD99" i="40"/>
  <c r="BC99" i="40"/>
  <c r="BB99" i="40"/>
  <c r="BA99" i="40"/>
  <c r="AZ99" i="40"/>
  <c r="AY99" i="40"/>
  <c r="AW99" i="40" a="1"/>
  <c r="AW99" i="40"/>
  <c r="AV99" i="40"/>
  <c r="AT99" i="40"/>
  <c r="AS99" i="40"/>
  <c r="AR99" i="40"/>
  <c r="AQ99" i="40"/>
  <c r="AP99" i="40"/>
  <c r="AO99" i="40"/>
  <c r="AN99" i="40"/>
  <c r="AM99" i="40"/>
  <c r="AL99" i="40"/>
  <c r="AK99" i="40"/>
  <c r="AJ99" i="40"/>
  <c r="AI99" i="40"/>
  <c r="AG99" i="40"/>
  <c r="AE99" i="40"/>
  <c r="AD99" i="40"/>
  <c r="AC99" i="40"/>
  <c r="AB99" i="40"/>
  <c r="BJ98" i="40"/>
  <c r="BI98" i="40"/>
  <c r="BH98" i="40"/>
  <c r="BG98" i="40"/>
  <c r="BF98" i="40"/>
  <c r="BE98" i="40"/>
  <c r="BD98" i="40"/>
  <c r="BC98" i="40"/>
  <c r="BB98" i="40"/>
  <c r="BA98" i="40"/>
  <c r="AZ98" i="40"/>
  <c r="AY98" i="40"/>
  <c r="AW98" i="40" a="1"/>
  <c r="AW98" i="40"/>
  <c r="AV98" i="40"/>
  <c r="AT98" i="40"/>
  <c r="AS98" i="40"/>
  <c r="AR98" i="40"/>
  <c r="AQ98" i="40"/>
  <c r="AP98" i="40"/>
  <c r="AO98" i="40"/>
  <c r="AN98" i="40"/>
  <c r="AM98" i="40"/>
  <c r="AL98" i="40"/>
  <c r="AK98" i="40"/>
  <c r="AJ98" i="40"/>
  <c r="AI98" i="40"/>
  <c r="AG98" i="40"/>
  <c r="AE98" i="40"/>
  <c r="AD98" i="40"/>
  <c r="AC98" i="40"/>
  <c r="AB98" i="40"/>
  <c r="BJ97" i="40"/>
  <c r="BI97" i="40"/>
  <c r="BH97" i="40"/>
  <c r="BG97" i="40"/>
  <c r="BF97" i="40"/>
  <c r="BE97" i="40"/>
  <c r="BD97" i="40"/>
  <c r="BC97" i="40"/>
  <c r="BB97" i="40"/>
  <c r="BA97" i="40"/>
  <c r="AZ97" i="40"/>
  <c r="AY97" i="40"/>
  <c r="AW97" i="40" a="1"/>
  <c r="AW97" i="40"/>
  <c r="AV97" i="40"/>
  <c r="AT97" i="40"/>
  <c r="AS97" i="40"/>
  <c r="AR97" i="40"/>
  <c r="AQ97" i="40"/>
  <c r="AP97" i="40"/>
  <c r="AO97" i="40"/>
  <c r="AN97" i="40"/>
  <c r="AM97" i="40"/>
  <c r="AL97" i="40"/>
  <c r="AK97" i="40"/>
  <c r="AJ97" i="40"/>
  <c r="AI97" i="40"/>
  <c r="AG97" i="40"/>
  <c r="AE97" i="40"/>
  <c r="AD97" i="40"/>
  <c r="AC97" i="40"/>
  <c r="AB97" i="40"/>
  <c r="BJ96" i="40"/>
  <c r="BI96" i="40"/>
  <c r="BH96" i="40"/>
  <c r="BG96" i="40"/>
  <c r="BF96" i="40"/>
  <c r="BE96" i="40"/>
  <c r="BD96" i="40"/>
  <c r="BC96" i="40"/>
  <c r="BB96" i="40"/>
  <c r="BA96" i="40"/>
  <c r="AZ96" i="40"/>
  <c r="AY96" i="40"/>
  <c r="AW96" i="40" a="1"/>
  <c r="AW96" i="40"/>
  <c r="AV96" i="40"/>
  <c r="AT96" i="40"/>
  <c r="AS96" i="40"/>
  <c r="AR96" i="40"/>
  <c r="AQ96" i="40"/>
  <c r="AP96" i="40"/>
  <c r="AO96" i="40"/>
  <c r="AN96" i="40"/>
  <c r="AM96" i="40"/>
  <c r="AL96" i="40"/>
  <c r="AK96" i="40"/>
  <c r="AJ96" i="40"/>
  <c r="AI96" i="40"/>
  <c r="AG96" i="40"/>
  <c r="AE96" i="40"/>
  <c r="AD96" i="40"/>
  <c r="AC96" i="40"/>
  <c r="AB96" i="40"/>
  <c r="BJ95" i="40"/>
  <c r="BI95" i="40"/>
  <c r="BH95" i="40"/>
  <c r="BG95" i="40"/>
  <c r="BF95" i="40"/>
  <c r="BE95" i="40"/>
  <c r="BD95" i="40"/>
  <c r="BC95" i="40"/>
  <c r="BB95" i="40"/>
  <c r="BA95" i="40"/>
  <c r="AZ95" i="40"/>
  <c r="AY95" i="40"/>
  <c r="AW95" i="40" a="1"/>
  <c r="AW95" i="40"/>
  <c r="AV95" i="40"/>
  <c r="AT95" i="40"/>
  <c r="AS95" i="40"/>
  <c r="AR95" i="40"/>
  <c r="AQ95" i="40"/>
  <c r="AP95" i="40"/>
  <c r="AO95" i="40"/>
  <c r="AN95" i="40"/>
  <c r="AM95" i="40"/>
  <c r="AL95" i="40"/>
  <c r="AK95" i="40"/>
  <c r="AJ95" i="40"/>
  <c r="AI95" i="40"/>
  <c r="AG95" i="40"/>
  <c r="AE95" i="40"/>
  <c r="AD95" i="40"/>
  <c r="AC95" i="40"/>
  <c r="AB95" i="40"/>
  <c r="BJ94" i="40"/>
  <c r="BI94" i="40"/>
  <c r="BH94" i="40"/>
  <c r="BG94" i="40"/>
  <c r="BF94" i="40"/>
  <c r="BE94" i="40"/>
  <c r="BD94" i="40"/>
  <c r="BC94" i="40"/>
  <c r="BB94" i="40"/>
  <c r="BA94" i="40"/>
  <c r="AZ94" i="40"/>
  <c r="AY94" i="40"/>
  <c r="AW94" i="40" a="1"/>
  <c r="AW94" i="40"/>
  <c r="AV94" i="40"/>
  <c r="AT94" i="40"/>
  <c r="AS94" i="40"/>
  <c r="AR94" i="40"/>
  <c r="AQ94" i="40"/>
  <c r="AP94" i="40"/>
  <c r="AO94" i="40"/>
  <c r="AN94" i="40"/>
  <c r="AM94" i="40"/>
  <c r="AL94" i="40"/>
  <c r="AK94" i="40"/>
  <c r="AJ94" i="40"/>
  <c r="AI94" i="40"/>
  <c r="AG94" i="40"/>
  <c r="AE94" i="40"/>
  <c r="AD94" i="40"/>
  <c r="AC94" i="40"/>
  <c r="AB94" i="40"/>
  <c r="BJ93" i="40"/>
  <c r="BI93" i="40"/>
  <c r="BH93" i="40"/>
  <c r="BG93" i="40"/>
  <c r="BF93" i="40"/>
  <c r="BE93" i="40"/>
  <c r="BD93" i="40"/>
  <c r="BC93" i="40"/>
  <c r="BB93" i="40"/>
  <c r="BA93" i="40"/>
  <c r="AZ93" i="40"/>
  <c r="AY93" i="40"/>
  <c r="AW93" i="40" a="1"/>
  <c r="AW93" i="40"/>
  <c r="AV93" i="40"/>
  <c r="AT93" i="40"/>
  <c r="AS93" i="40"/>
  <c r="AR93" i="40"/>
  <c r="AQ93" i="40"/>
  <c r="AP93" i="40"/>
  <c r="AO93" i="40"/>
  <c r="AN93" i="40"/>
  <c r="AM93" i="40"/>
  <c r="AL93" i="40"/>
  <c r="AK93" i="40"/>
  <c r="AJ93" i="40"/>
  <c r="AI93" i="40"/>
  <c r="AG93" i="40"/>
  <c r="AE93" i="40"/>
  <c r="AD93" i="40"/>
  <c r="AC93" i="40"/>
  <c r="AB93" i="40"/>
  <c r="BJ92" i="40"/>
  <c r="BI92" i="40"/>
  <c r="BH92" i="40"/>
  <c r="BG92" i="40"/>
  <c r="BF92" i="40"/>
  <c r="BE92" i="40"/>
  <c r="BD92" i="40"/>
  <c r="BC92" i="40"/>
  <c r="BB92" i="40"/>
  <c r="BA92" i="40"/>
  <c r="AZ92" i="40"/>
  <c r="AY92" i="40"/>
  <c r="AW92" i="40" a="1"/>
  <c r="AW92" i="40"/>
  <c r="AV92" i="40"/>
  <c r="AT92" i="40"/>
  <c r="AS92" i="40"/>
  <c r="AR92" i="40"/>
  <c r="AQ92" i="40"/>
  <c r="AP92" i="40"/>
  <c r="AO92" i="40"/>
  <c r="AN92" i="40"/>
  <c r="AM92" i="40"/>
  <c r="AL92" i="40"/>
  <c r="AK92" i="40"/>
  <c r="AJ92" i="40"/>
  <c r="AI92" i="40"/>
  <c r="AG92" i="40"/>
  <c r="AE92" i="40"/>
  <c r="AD92" i="40"/>
  <c r="AC92" i="40"/>
  <c r="AB92" i="40"/>
  <c r="BJ91" i="40"/>
  <c r="BI91" i="40"/>
  <c r="BH91" i="40"/>
  <c r="BG91" i="40"/>
  <c r="BF91" i="40"/>
  <c r="BE91" i="40"/>
  <c r="BD91" i="40"/>
  <c r="BC91" i="40"/>
  <c r="BB91" i="40"/>
  <c r="BA91" i="40"/>
  <c r="AZ91" i="40"/>
  <c r="AY91" i="40"/>
  <c r="AW91" i="40" a="1"/>
  <c r="AW91" i="40"/>
  <c r="AV91" i="40"/>
  <c r="AT91" i="40"/>
  <c r="AS91" i="40"/>
  <c r="AR91" i="40"/>
  <c r="AQ91" i="40"/>
  <c r="AP91" i="40"/>
  <c r="AO91" i="40"/>
  <c r="AN91" i="40"/>
  <c r="AM91" i="40"/>
  <c r="AL91" i="40"/>
  <c r="AK91" i="40"/>
  <c r="AJ91" i="40"/>
  <c r="AI91" i="40"/>
  <c r="AG91" i="40"/>
  <c r="AE91" i="40"/>
  <c r="AD91" i="40"/>
  <c r="AC91" i="40"/>
  <c r="AB91" i="40"/>
  <c r="BJ90" i="40"/>
  <c r="BI90" i="40"/>
  <c r="BH90" i="40"/>
  <c r="BG90" i="40"/>
  <c r="BF90" i="40"/>
  <c r="BE90" i="40"/>
  <c r="BD90" i="40"/>
  <c r="BC90" i="40"/>
  <c r="BB90" i="40"/>
  <c r="BA90" i="40"/>
  <c r="AZ90" i="40"/>
  <c r="AY90" i="40"/>
  <c r="AW90" i="40" a="1"/>
  <c r="AW90" i="40"/>
  <c r="AV90" i="40"/>
  <c r="AT90" i="40"/>
  <c r="AS90" i="40"/>
  <c r="AR90" i="40"/>
  <c r="AQ90" i="40"/>
  <c r="AP90" i="40"/>
  <c r="AO90" i="40"/>
  <c r="AN90" i="40"/>
  <c r="AM90" i="40"/>
  <c r="AL90" i="40"/>
  <c r="AK90" i="40"/>
  <c r="AJ90" i="40"/>
  <c r="AI90" i="40"/>
  <c r="AG90" i="40"/>
  <c r="AE90" i="40"/>
  <c r="AD90" i="40"/>
  <c r="AC90" i="40"/>
  <c r="AB90" i="40"/>
  <c r="BJ89" i="40"/>
  <c r="BI89" i="40"/>
  <c r="BH89" i="40"/>
  <c r="BG89" i="40"/>
  <c r="BF89" i="40"/>
  <c r="BE89" i="40"/>
  <c r="BD89" i="40"/>
  <c r="BC89" i="40"/>
  <c r="BB89" i="40"/>
  <c r="BA89" i="40"/>
  <c r="AZ89" i="40"/>
  <c r="AY89" i="40"/>
  <c r="AW89" i="40" a="1"/>
  <c r="AW89" i="40"/>
  <c r="AV89" i="40"/>
  <c r="AT89" i="40"/>
  <c r="AS89" i="40"/>
  <c r="AR89" i="40"/>
  <c r="AQ89" i="40"/>
  <c r="AP89" i="40"/>
  <c r="AO89" i="40"/>
  <c r="AN89" i="40"/>
  <c r="AM89" i="40"/>
  <c r="AL89" i="40"/>
  <c r="AK89" i="40"/>
  <c r="AJ89" i="40"/>
  <c r="AI89" i="40"/>
  <c r="AG89" i="40"/>
  <c r="AE89" i="40"/>
  <c r="AD89" i="40"/>
  <c r="AC89" i="40"/>
  <c r="AB89" i="40"/>
  <c r="BJ88" i="40"/>
  <c r="BI88" i="40"/>
  <c r="BH88" i="40"/>
  <c r="BG88" i="40"/>
  <c r="BF88" i="40"/>
  <c r="BE88" i="40"/>
  <c r="BD88" i="40"/>
  <c r="BC88" i="40"/>
  <c r="BB88" i="40"/>
  <c r="BA88" i="40"/>
  <c r="AZ88" i="40"/>
  <c r="AY88" i="40"/>
  <c r="AW88" i="40" a="1"/>
  <c r="AW88" i="40"/>
  <c r="AV88" i="40"/>
  <c r="AT88" i="40"/>
  <c r="AS88" i="40"/>
  <c r="AR88" i="40"/>
  <c r="AQ88" i="40"/>
  <c r="AP88" i="40"/>
  <c r="AO88" i="40"/>
  <c r="AN88" i="40"/>
  <c r="AM88" i="40"/>
  <c r="AL88" i="40"/>
  <c r="AK88" i="40"/>
  <c r="AJ88" i="40"/>
  <c r="AI88" i="40"/>
  <c r="AG88" i="40"/>
  <c r="AE88" i="40"/>
  <c r="AD88" i="40"/>
  <c r="AC88" i="40"/>
  <c r="AB88" i="40"/>
  <c r="BJ87" i="40"/>
  <c r="BI87" i="40"/>
  <c r="BH87" i="40"/>
  <c r="BG87" i="40"/>
  <c r="BF87" i="40"/>
  <c r="BE87" i="40"/>
  <c r="BD87" i="40"/>
  <c r="BC87" i="40"/>
  <c r="BB87" i="40"/>
  <c r="BA87" i="40"/>
  <c r="AZ87" i="40"/>
  <c r="AY87" i="40"/>
  <c r="AW87" i="40" a="1"/>
  <c r="AW87" i="40"/>
  <c r="AV87" i="40"/>
  <c r="AT87" i="40"/>
  <c r="AS87" i="40"/>
  <c r="AR87" i="40"/>
  <c r="AQ87" i="40"/>
  <c r="AP87" i="40"/>
  <c r="AO87" i="40"/>
  <c r="AN87" i="40"/>
  <c r="AM87" i="40"/>
  <c r="AL87" i="40"/>
  <c r="AK87" i="40"/>
  <c r="AJ87" i="40"/>
  <c r="AI87" i="40"/>
  <c r="AG87" i="40"/>
  <c r="AE87" i="40"/>
  <c r="AD87" i="40"/>
  <c r="AC87" i="40"/>
  <c r="AB87" i="40"/>
  <c r="BJ86" i="40"/>
  <c r="BI86" i="40"/>
  <c r="BH86" i="40"/>
  <c r="BG86" i="40"/>
  <c r="BF86" i="40"/>
  <c r="BE86" i="40"/>
  <c r="BD86" i="40"/>
  <c r="BC86" i="40"/>
  <c r="BB86" i="40"/>
  <c r="BA86" i="40"/>
  <c r="AZ86" i="40"/>
  <c r="AY86" i="40"/>
  <c r="AW86" i="40" a="1"/>
  <c r="AW86" i="40"/>
  <c r="AV86" i="40"/>
  <c r="AT86" i="40"/>
  <c r="AS86" i="40"/>
  <c r="AR86" i="40"/>
  <c r="AQ86" i="40"/>
  <c r="AP86" i="40"/>
  <c r="AO86" i="40"/>
  <c r="AN86" i="40"/>
  <c r="AM86" i="40"/>
  <c r="AL86" i="40"/>
  <c r="AK86" i="40"/>
  <c r="AJ86" i="40"/>
  <c r="AI86" i="40"/>
  <c r="AG86" i="40"/>
  <c r="AE86" i="40"/>
  <c r="AD86" i="40"/>
  <c r="AC86" i="40"/>
  <c r="AB86" i="40"/>
  <c r="BJ85" i="40"/>
  <c r="BI85" i="40"/>
  <c r="BH85" i="40"/>
  <c r="BG85" i="40"/>
  <c r="BF85" i="40"/>
  <c r="BE85" i="40"/>
  <c r="BD85" i="40"/>
  <c r="BC85" i="40"/>
  <c r="BB85" i="40"/>
  <c r="BA85" i="40"/>
  <c r="AZ85" i="40"/>
  <c r="AY85" i="40"/>
  <c r="AW85" i="40" a="1"/>
  <c r="AW85" i="40"/>
  <c r="AV85" i="40"/>
  <c r="AT85" i="40"/>
  <c r="AS85" i="40"/>
  <c r="AR85" i="40"/>
  <c r="AQ85" i="40"/>
  <c r="AP85" i="40"/>
  <c r="AO85" i="40"/>
  <c r="AN85" i="40"/>
  <c r="AM85" i="40"/>
  <c r="AL85" i="40"/>
  <c r="AK85" i="40"/>
  <c r="AJ85" i="40"/>
  <c r="AI85" i="40"/>
  <c r="AG85" i="40"/>
  <c r="AE85" i="40"/>
  <c r="AD85" i="40"/>
  <c r="AC85" i="40"/>
  <c r="AB85" i="40"/>
  <c r="BJ84" i="40"/>
  <c r="BI84" i="40"/>
  <c r="BH84" i="40"/>
  <c r="BG84" i="40"/>
  <c r="BF84" i="40"/>
  <c r="BE84" i="40"/>
  <c r="BD84" i="40"/>
  <c r="BC84" i="40"/>
  <c r="BB84" i="40"/>
  <c r="BA84" i="40"/>
  <c r="AZ84" i="40"/>
  <c r="AY84" i="40"/>
  <c r="AW84" i="40" a="1"/>
  <c r="AW84" i="40"/>
  <c r="AV84" i="40"/>
  <c r="AT84" i="40"/>
  <c r="AS84" i="40"/>
  <c r="AR84" i="40"/>
  <c r="AQ84" i="40"/>
  <c r="AP84" i="40"/>
  <c r="AO84" i="40"/>
  <c r="AN84" i="40"/>
  <c r="AM84" i="40"/>
  <c r="AL84" i="40"/>
  <c r="AK84" i="40"/>
  <c r="AJ84" i="40"/>
  <c r="AI84" i="40"/>
  <c r="AG84" i="40"/>
  <c r="AE84" i="40"/>
  <c r="AD84" i="40"/>
  <c r="AC84" i="40"/>
  <c r="AB84" i="40"/>
  <c r="BJ83" i="40"/>
  <c r="BI83" i="40"/>
  <c r="BH83" i="40"/>
  <c r="BG83" i="40"/>
  <c r="BF83" i="40"/>
  <c r="BE83" i="40"/>
  <c r="BD83" i="40"/>
  <c r="BC83" i="40"/>
  <c r="BB83" i="40"/>
  <c r="BA83" i="40"/>
  <c r="AZ83" i="40"/>
  <c r="AY83" i="40"/>
  <c r="AW83" i="40" a="1"/>
  <c r="AW83" i="40"/>
  <c r="AV83" i="40"/>
  <c r="AT83" i="40"/>
  <c r="AS83" i="40"/>
  <c r="AR83" i="40"/>
  <c r="AQ83" i="40"/>
  <c r="AP83" i="40"/>
  <c r="AO83" i="40"/>
  <c r="AN83" i="40"/>
  <c r="AM83" i="40"/>
  <c r="AL83" i="40"/>
  <c r="AK83" i="40"/>
  <c r="AJ83" i="40"/>
  <c r="AI83" i="40"/>
  <c r="AG83" i="40"/>
  <c r="AE83" i="40"/>
  <c r="AD83" i="40"/>
  <c r="AC83" i="40"/>
  <c r="AB83" i="40"/>
  <c r="BJ82" i="40"/>
  <c r="BI82" i="40"/>
  <c r="BH82" i="40"/>
  <c r="BG82" i="40"/>
  <c r="BF82" i="40"/>
  <c r="BE82" i="40"/>
  <c r="BD82" i="40"/>
  <c r="BC82" i="40"/>
  <c r="BB82" i="40"/>
  <c r="BA82" i="40"/>
  <c r="AZ82" i="40"/>
  <c r="AY82" i="40"/>
  <c r="AW82" i="40" a="1"/>
  <c r="AW82" i="40"/>
  <c r="AV82" i="40"/>
  <c r="AT82" i="40"/>
  <c r="AS82" i="40"/>
  <c r="AR82" i="40"/>
  <c r="AQ82" i="40"/>
  <c r="AP82" i="40"/>
  <c r="AO82" i="40"/>
  <c r="AN82" i="40"/>
  <c r="AM82" i="40"/>
  <c r="AL82" i="40"/>
  <c r="AK82" i="40"/>
  <c r="AJ82" i="40"/>
  <c r="AI82" i="40"/>
  <c r="AG82" i="40"/>
  <c r="AE82" i="40"/>
  <c r="AD82" i="40"/>
  <c r="AC82" i="40"/>
  <c r="AB82" i="40"/>
  <c r="BJ81" i="40"/>
  <c r="BI81" i="40"/>
  <c r="BH81" i="40"/>
  <c r="BG81" i="40"/>
  <c r="BF81" i="40"/>
  <c r="BE81" i="40"/>
  <c r="BD81" i="40"/>
  <c r="BC81" i="40"/>
  <c r="BB81" i="40"/>
  <c r="BA81" i="40"/>
  <c r="AZ81" i="40"/>
  <c r="AY81" i="40"/>
  <c r="AW81" i="40" a="1"/>
  <c r="AW81" i="40"/>
  <c r="AV81" i="40"/>
  <c r="AT81" i="40"/>
  <c r="AS81" i="40"/>
  <c r="AR81" i="40"/>
  <c r="AQ81" i="40"/>
  <c r="AP81" i="40"/>
  <c r="AO81" i="40"/>
  <c r="AN81" i="40"/>
  <c r="AM81" i="40"/>
  <c r="AL81" i="40"/>
  <c r="AK81" i="40"/>
  <c r="AJ81" i="40"/>
  <c r="AI81" i="40"/>
  <c r="AG81" i="40"/>
  <c r="AE81" i="40"/>
  <c r="AD81" i="40"/>
  <c r="AC81" i="40"/>
  <c r="AB81" i="40"/>
  <c r="BJ80" i="40"/>
  <c r="BI80" i="40"/>
  <c r="BH80" i="40"/>
  <c r="BG80" i="40"/>
  <c r="BF80" i="40"/>
  <c r="BE80" i="40"/>
  <c r="BD80" i="40"/>
  <c r="BC80" i="40"/>
  <c r="BB80" i="40"/>
  <c r="BA80" i="40"/>
  <c r="AZ80" i="40"/>
  <c r="AY80" i="40"/>
  <c r="AW80" i="40" a="1"/>
  <c r="AW80" i="40"/>
  <c r="AV80" i="40"/>
  <c r="AT80" i="40"/>
  <c r="AS80" i="40"/>
  <c r="AR80" i="40"/>
  <c r="AQ80" i="40"/>
  <c r="AP80" i="40"/>
  <c r="AO80" i="40"/>
  <c r="AN80" i="40"/>
  <c r="AM80" i="40"/>
  <c r="AL80" i="40"/>
  <c r="AK80" i="40"/>
  <c r="AJ80" i="40"/>
  <c r="AI80" i="40"/>
  <c r="AG80" i="40"/>
  <c r="AE80" i="40"/>
  <c r="AD80" i="40"/>
  <c r="AC80" i="40"/>
  <c r="AB80" i="40"/>
  <c r="BJ79" i="40"/>
  <c r="BI79" i="40"/>
  <c r="BH79" i="40"/>
  <c r="BG79" i="40"/>
  <c r="BF79" i="40"/>
  <c r="BE79" i="40"/>
  <c r="BD79" i="40"/>
  <c r="BC79" i="40"/>
  <c r="BB79" i="40"/>
  <c r="BA79" i="40"/>
  <c r="AZ79" i="40"/>
  <c r="AY79" i="40"/>
  <c r="AW79" i="40" a="1"/>
  <c r="AW79" i="40"/>
  <c r="AV79" i="40"/>
  <c r="AT79" i="40"/>
  <c r="AS79" i="40"/>
  <c r="AR79" i="40"/>
  <c r="AQ79" i="40"/>
  <c r="AP79" i="40"/>
  <c r="AO79" i="40"/>
  <c r="AN79" i="40"/>
  <c r="AM79" i="40"/>
  <c r="AL79" i="40"/>
  <c r="AK79" i="40"/>
  <c r="AJ79" i="40"/>
  <c r="AI79" i="40"/>
  <c r="AG79" i="40"/>
  <c r="AE79" i="40"/>
  <c r="AD79" i="40"/>
  <c r="AC79" i="40"/>
  <c r="AB79" i="40"/>
  <c r="BJ78" i="40"/>
  <c r="BI78" i="40"/>
  <c r="BH78" i="40"/>
  <c r="BG78" i="40"/>
  <c r="BF78" i="40"/>
  <c r="BE78" i="40"/>
  <c r="BD78" i="40"/>
  <c r="BC78" i="40"/>
  <c r="BB78" i="40"/>
  <c r="BA78" i="40"/>
  <c r="AZ78" i="40"/>
  <c r="AY78" i="40"/>
  <c r="AW78" i="40" a="1"/>
  <c r="AW78" i="40"/>
  <c r="AV78" i="40"/>
  <c r="AT78" i="40"/>
  <c r="AS78" i="40"/>
  <c r="AR78" i="40"/>
  <c r="AQ78" i="40"/>
  <c r="AP78" i="40"/>
  <c r="AO78" i="40"/>
  <c r="AN78" i="40"/>
  <c r="AM78" i="40"/>
  <c r="AL78" i="40"/>
  <c r="AK78" i="40"/>
  <c r="AJ78" i="40"/>
  <c r="AI78" i="40"/>
  <c r="AG78" i="40"/>
  <c r="AE78" i="40"/>
  <c r="AD78" i="40"/>
  <c r="AC78" i="40"/>
  <c r="AB78" i="40"/>
  <c r="BJ77" i="40"/>
  <c r="BI77" i="40"/>
  <c r="BH77" i="40"/>
  <c r="BG77" i="40"/>
  <c r="BF77" i="40"/>
  <c r="BE77" i="40"/>
  <c r="BD77" i="40"/>
  <c r="BC77" i="40"/>
  <c r="BB77" i="40"/>
  <c r="BA77" i="40"/>
  <c r="AZ77" i="40"/>
  <c r="AY77" i="40"/>
  <c r="AW77" i="40" a="1"/>
  <c r="AW77" i="40"/>
  <c r="AV77" i="40"/>
  <c r="AT77" i="40"/>
  <c r="AS77" i="40"/>
  <c r="AR77" i="40"/>
  <c r="AQ77" i="40"/>
  <c r="AP77" i="40"/>
  <c r="AO77" i="40"/>
  <c r="AN77" i="40"/>
  <c r="AM77" i="40"/>
  <c r="AL77" i="40"/>
  <c r="AK77" i="40"/>
  <c r="AJ77" i="40"/>
  <c r="AI77" i="40"/>
  <c r="AG77" i="40"/>
  <c r="AE77" i="40"/>
  <c r="AD77" i="40"/>
  <c r="AC77" i="40"/>
  <c r="AB77" i="40"/>
  <c r="BJ76" i="40"/>
  <c r="BI76" i="40"/>
  <c r="BH76" i="40"/>
  <c r="BG76" i="40"/>
  <c r="BF76" i="40"/>
  <c r="BE76" i="40"/>
  <c r="BD76" i="40"/>
  <c r="BC76" i="40"/>
  <c r="BB76" i="40"/>
  <c r="BA76" i="40"/>
  <c r="AZ76" i="40"/>
  <c r="AY76" i="40"/>
  <c r="AW76" i="40" a="1"/>
  <c r="AW76" i="40"/>
  <c r="AV76" i="40"/>
  <c r="AT76" i="40"/>
  <c r="AS76" i="40"/>
  <c r="AR76" i="40"/>
  <c r="AQ76" i="40"/>
  <c r="AP76" i="40"/>
  <c r="AO76" i="40"/>
  <c r="AN76" i="40"/>
  <c r="AM76" i="40"/>
  <c r="AL76" i="40"/>
  <c r="AK76" i="40"/>
  <c r="AJ76" i="40"/>
  <c r="AI76" i="40"/>
  <c r="AG76" i="40"/>
  <c r="AE76" i="40"/>
  <c r="AD76" i="40"/>
  <c r="AC76" i="40"/>
  <c r="AB76" i="40"/>
  <c r="BJ75" i="40"/>
  <c r="BI75" i="40"/>
  <c r="BH75" i="40"/>
  <c r="BG75" i="40"/>
  <c r="BF75" i="40"/>
  <c r="BE75" i="40"/>
  <c r="BD75" i="40"/>
  <c r="BC75" i="40"/>
  <c r="BB75" i="40"/>
  <c r="BA75" i="40"/>
  <c r="AZ75" i="40"/>
  <c r="AY75" i="40"/>
  <c r="AW75" i="40" a="1"/>
  <c r="AW75" i="40"/>
  <c r="AV75" i="40"/>
  <c r="AT75" i="40"/>
  <c r="AS75" i="40"/>
  <c r="AR75" i="40"/>
  <c r="AQ75" i="40"/>
  <c r="AP75" i="40"/>
  <c r="AO75" i="40"/>
  <c r="AN75" i="40"/>
  <c r="AM75" i="40"/>
  <c r="AL75" i="40"/>
  <c r="AK75" i="40"/>
  <c r="AJ75" i="40"/>
  <c r="AI75" i="40"/>
  <c r="AG75" i="40"/>
  <c r="AE75" i="40"/>
  <c r="AD75" i="40"/>
  <c r="AC75" i="40"/>
  <c r="AB75" i="40"/>
  <c r="BJ74" i="40"/>
  <c r="BI74" i="40"/>
  <c r="BH74" i="40"/>
  <c r="BG74" i="40"/>
  <c r="BF74" i="40"/>
  <c r="BE74" i="40"/>
  <c r="BD74" i="40"/>
  <c r="BC74" i="40"/>
  <c r="BB74" i="40"/>
  <c r="BA74" i="40"/>
  <c r="AZ74" i="40"/>
  <c r="AY74" i="40"/>
  <c r="AW74" i="40" a="1"/>
  <c r="AW74" i="40"/>
  <c r="AV74" i="40"/>
  <c r="AT74" i="40"/>
  <c r="AS74" i="40"/>
  <c r="AR74" i="40"/>
  <c r="AQ74" i="40"/>
  <c r="AP74" i="40"/>
  <c r="AO74" i="40"/>
  <c r="AN74" i="40"/>
  <c r="AM74" i="40"/>
  <c r="AL74" i="40"/>
  <c r="AK74" i="40"/>
  <c r="AJ74" i="40"/>
  <c r="AI74" i="40"/>
  <c r="AG74" i="40"/>
  <c r="AE74" i="40"/>
  <c r="AD74" i="40"/>
  <c r="AC74" i="40"/>
  <c r="AB74" i="40"/>
  <c r="BJ73" i="40"/>
  <c r="BI73" i="40"/>
  <c r="BH73" i="40"/>
  <c r="BG73" i="40"/>
  <c r="BF73" i="40"/>
  <c r="BE73" i="40"/>
  <c r="BD73" i="40"/>
  <c r="BC73" i="40"/>
  <c r="BB73" i="40"/>
  <c r="BA73" i="40"/>
  <c r="AZ73" i="40"/>
  <c r="AY73" i="40"/>
  <c r="AW73" i="40" a="1"/>
  <c r="AW73" i="40"/>
  <c r="AV73" i="40"/>
  <c r="AT73" i="40"/>
  <c r="AS73" i="40"/>
  <c r="AR73" i="40"/>
  <c r="AQ73" i="40"/>
  <c r="AP73" i="40"/>
  <c r="AO73" i="40"/>
  <c r="AN73" i="40"/>
  <c r="AM73" i="40"/>
  <c r="AL73" i="40"/>
  <c r="AK73" i="40"/>
  <c r="AJ73" i="40"/>
  <c r="AI73" i="40"/>
  <c r="AG73" i="40"/>
  <c r="AE73" i="40"/>
  <c r="AD73" i="40"/>
  <c r="AC73" i="40"/>
  <c r="AB73" i="40"/>
  <c r="BJ72" i="40"/>
  <c r="BI72" i="40"/>
  <c r="BH72" i="40"/>
  <c r="BG72" i="40"/>
  <c r="BF72" i="40"/>
  <c r="BE72" i="40"/>
  <c r="BD72" i="40"/>
  <c r="BC72" i="40"/>
  <c r="BB72" i="40"/>
  <c r="BA72" i="40"/>
  <c r="AZ72" i="40"/>
  <c r="AY72" i="40"/>
  <c r="AW72" i="40" a="1"/>
  <c r="AW72" i="40"/>
  <c r="AV72" i="40"/>
  <c r="AT72" i="40"/>
  <c r="AS72" i="40"/>
  <c r="AR72" i="40"/>
  <c r="AQ72" i="40"/>
  <c r="AP72" i="40"/>
  <c r="AO72" i="40"/>
  <c r="AN72" i="40"/>
  <c r="AM72" i="40"/>
  <c r="AL72" i="40"/>
  <c r="AK72" i="40"/>
  <c r="AJ72" i="40"/>
  <c r="AI72" i="40"/>
  <c r="AG72" i="40"/>
  <c r="AE72" i="40"/>
  <c r="AD72" i="40"/>
  <c r="AC72" i="40"/>
  <c r="AB72" i="40"/>
  <c r="BJ71" i="40"/>
  <c r="BI71" i="40"/>
  <c r="BH71" i="40"/>
  <c r="BG71" i="40"/>
  <c r="BF71" i="40"/>
  <c r="BE71" i="40"/>
  <c r="BD71" i="40"/>
  <c r="BC71" i="40"/>
  <c r="BB71" i="40"/>
  <c r="BA71" i="40"/>
  <c r="AZ71" i="40"/>
  <c r="AY71" i="40"/>
  <c r="AW71" i="40" a="1"/>
  <c r="AW71" i="40"/>
  <c r="AV71" i="40"/>
  <c r="AT71" i="40"/>
  <c r="AS71" i="40"/>
  <c r="AR71" i="40"/>
  <c r="AQ71" i="40"/>
  <c r="AP71" i="40"/>
  <c r="AO71" i="40"/>
  <c r="AN71" i="40"/>
  <c r="AM71" i="40"/>
  <c r="AL71" i="40"/>
  <c r="AK71" i="40"/>
  <c r="AJ71" i="40"/>
  <c r="AI71" i="40"/>
  <c r="AG71" i="40"/>
  <c r="AE71" i="40"/>
  <c r="AD71" i="40"/>
  <c r="AC71" i="40"/>
  <c r="AB71" i="40"/>
  <c r="BJ70" i="40"/>
  <c r="BI70" i="40"/>
  <c r="BH70" i="40"/>
  <c r="BG70" i="40"/>
  <c r="BF70" i="40"/>
  <c r="BE70" i="40"/>
  <c r="BD70" i="40"/>
  <c r="BC70" i="40"/>
  <c r="BB70" i="40"/>
  <c r="BA70" i="40"/>
  <c r="AZ70" i="40"/>
  <c r="AY70" i="40"/>
  <c r="AW70" i="40" a="1"/>
  <c r="AW70" i="40"/>
  <c r="AV70" i="40"/>
  <c r="AT70" i="40"/>
  <c r="AS70" i="40"/>
  <c r="AR70" i="40"/>
  <c r="AQ70" i="40"/>
  <c r="AP70" i="40"/>
  <c r="AO70" i="40"/>
  <c r="AN70" i="40"/>
  <c r="AM70" i="40"/>
  <c r="AL70" i="40"/>
  <c r="AK70" i="40"/>
  <c r="AJ70" i="40"/>
  <c r="AI70" i="40"/>
  <c r="AG70" i="40"/>
  <c r="AE70" i="40"/>
  <c r="AD70" i="40"/>
  <c r="AC70" i="40"/>
  <c r="AB70" i="40"/>
  <c r="BJ69" i="40"/>
  <c r="BI69" i="40"/>
  <c r="BH69" i="40"/>
  <c r="BG69" i="40"/>
  <c r="BF69" i="40"/>
  <c r="BE69" i="40"/>
  <c r="BD69" i="40"/>
  <c r="BC69" i="40"/>
  <c r="BB69" i="40"/>
  <c r="BA69" i="40"/>
  <c r="AZ69" i="40"/>
  <c r="AY69" i="40"/>
  <c r="AW69" i="40" a="1"/>
  <c r="AW69" i="40"/>
  <c r="AV69" i="40"/>
  <c r="AT69" i="40"/>
  <c r="AS69" i="40"/>
  <c r="AR69" i="40"/>
  <c r="AQ69" i="40"/>
  <c r="AP69" i="40"/>
  <c r="AO69" i="40"/>
  <c r="AN69" i="40"/>
  <c r="AM69" i="40"/>
  <c r="AL69" i="40"/>
  <c r="AK69" i="40"/>
  <c r="AJ69" i="40"/>
  <c r="AI69" i="40"/>
  <c r="AG69" i="40"/>
  <c r="AE69" i="40"/>
  <c r="AD69" i="40"/>
  <c r="AC69" i="40"/>
  <c r="AB69" i="40"/>
  <c r="BJ68" i="40"/>
  <c r="BI68" i="40"/>
  <c r="BH68" i="40"/>
  <c r="BG68" i="40"/>
  <c r="BF68" i="40"/>
  <c r="BE68" i="40"/>
  <c r="BD68" i="40"/>
  <c r="BC68" i="40"/>
  <c r="BB68" i="40"/>
  <c r="BA68" i="40"/>
  <c r="AZ68" i="40"/>
  <c r="AY68" i="40"/>
  <c r="AW68" i="40" a="1"/>
  <c r="AW68" i="40"/>
  <c r="AV68" i="40"/>
  <c r="AT68" i="40"/>
  <c r="AS68" i="40"/>
  <c r="AR68" i="40"/>
  <c r="AQ68" i="40"/>
  <c r="AP68" i="40"/>
  <c r="AO68" i="40"/>
  <c r="AN68" i="40"/>
  <c r="AM68" i="40"/>
  <c r="AL68" i="40"/>
  <c r="AK68" i="40"/>
  <c r="AJ68" i="40"/>
  <c r="AI68" i="40"/>
  <c r="AG68" i="40"/>
  <c r="AE68" i="40"/>
  <c r="AD68" i="40"/>
  <c r="AC68" i="40"/>
  <c r="AB68" i="40"/>
  <c r="BJ67" i="40"/>
  <c r="BI67" i="40"/>
  <c r="BH67" i="40"/>
  <c r="BG67" i="40"/>
  <c r="BF67" i="40"/>
  <c r="BE67" i="40"/>
  <c r="BD67" i="40"/>
  <c r="BC67" i="40"/>
  <c r="BB67" i="40"/>
  <c r="BA67" i="40"/>
  <c r="AZ67" i="40"/>
  <c r="AY67" i="40"/>
  <c r="AW67" i="40" a="1"/>
  <c r="AW67" i="40"/>
  <c r="AV67" i="40"/>
  <c r="AT67" i="40"/>
  <c r="AS67" i="40"/>
  <c r="AR67" i="40"/>
  <c r="AQ67" i="40"/>
  <c r="AP67" i="40"/>
  <c r="AO67" i="40"/>
  <c r="AN67" i="40"/>
  <c r="AM67" i="40"/>
  <c r="AL67" i="40"/>
  <c r="AK67" i="40"/>
  <c r="AJ67" i="40"/>
  <c r="AI67" i="40"/>
  <c r="AG67" i="40"/>
  <c r="AE67" i="40"/>
  <c r="AD67" i="40"/>
  <c r="AC67" i="40"/>
  <c r="AB67" i="40"/>
  <c r="BJ66" i="40"/>
  <c r="BI66" i="40"/>
  <c r="BH66" i="40"/>
  <c r="BG66" i="40"/>
  <c r="BF66" i="40"/>
  <c r="BE66" i="40"/>
  <c r="BD66" i="40"/>
  <c r="BC66" i="40"/>
  <c r="BB66" i="40"/>
  <c r="BA66" i="40"/>
  <c r="AZ66" i="40"/>
  <c r="AY66" i="40"/>
  <c r="AW66" i="40" a="1"/>
  <c r="AW66" i="40"/>
  <c r="AV66" i="40"/>
  <c r="AT66" i="40"/>
  <c r="AS66" i="40"/>
  <c r="AR66" i="40"/>
  <c r="AQ66" i="40"/>
  <c r="AP66" i="40"/>
  <c r="AO66" i="40"/>
  <c r="AN66" i="40"/>
  <c r="AM66" i="40"/>
  <c r="AL66" i="40"/>
  <c r="AK66" i="40"/>
  <c r="AJ66" i="40"/>
  <c r="AI66" i="40"/>
  <c r="AG66" i="40"/>
  <c r="AE66" i="40"/>
  <c r="AD66" i="40"/>
  <c r="AC66" i="40"/>
  <c r="AB66" i="40"/>
  <c r="BJ65" i="40"/>
  <c r="BI65" i="40"/>
  <c r="BH65" i="40"/>
  <c r="BG65" i="40"/>
  <c r="BF65" i="40"/>
  <c r="BE65" i="40"/>
  <c r="BD65" i="40"/>
  <c r="BC65" i="40"/>
  <c r="BB65" i="40"/>
  <c r="BA65" i="40"/>
  <c r="AZ65" i="40"/>
  <c r="AY65" i="40"/>
  <c r="AW65" i="40" a="1"/>
  <c r="AW65" i="40"/>
  <c r="AV65" i="40"/>
  <c r="AT65" i="40"/>
  <c r="AS65" i="40"/>
  <c r="AR65" i="40"/>
  <c r="AQ65" i="40"/>
  <c r="AP65" i="40"/>
  <c r="AO65" i="40"/>
  <c r="AN65" i="40"/>
  <c r="AM65" i="40"/>
  <c r="AL65" i="40"/>
  <c r="AK65" i="40"/>
  <c r="AJ65" i="40"/>
  <c r="AI65" i="40"/>
  <c r="AG65" i="40"/>
  <c r="AE65" i="40"/>
  <c r="AD65" i="40"/>
  <c r="AC65" i="40"/>
  <c r="AB65" i="40"/>
  <c r="BJ64" i="40"/>
  <c r="BI64" i="40"/>
  <c r="BH64" i="40"/>
  <c r="BG64" i="40"/>
  <c r="BF64" i="40"/>
  <c r="BE64" i="40"/>
  <c r="BD64" i="40"/>
  <c r="BC64" i="40"/>
  <c r="BB64" i="40"/>
  <c r="BA64" i="40"/>
  <c r="AZ64" i="40"/>
  <c r="AY64" i="40"/>
  <c r="AW64" i="40" a="1"/>
  <c r="AW64" i="40"/>
  <c r="AV64" i="40"/>
  <c r="AT64" i="40"/>
  <c r="AS64" i="40"/>
  <c r="AR64" i="40"/>
  <c r="AQ64" i="40"/>
  <c r="AP64" i="40"/>
  <c r="AO64" i="40"/>
  <c r="AN64" i="40"/>
  <c r="AM64" i="40"/>
  <c r="AL64" i="40"/>
  <c r="AK64" i="40"/>
  <c r="AJ64" i="40"/>
  <c r="AI64" i="40"/>
  <c r="AG64" i="40"/>
  <c r="AE64" i="40"/>
  <c r="AD64" i="40"/>
  <c r="AC64" i="40"/>
  <c r="AB64" i="40"/>
  <c r="BJ63" i="40"/>
  <c r="BI63" i="40"/>
  <c r="BH63" i="40"/>
  <c r="BG63" i="40"/>
  <c r="BF63" i="40"/>
  <c r="BE63" i="40"/>
  <c r="BD63" i="40"/>
  <c r="BC63" i="40"/>
  <c r="BB63" i="40"/>
  <c r="BA63" i="40"/>
  <c r="AZ63" i="40"/>
  <c r="AY63" i="40"/>
  <c r="AW63" i="40" a="1"/>
  <c r="AW63" i="40"/>
  <c r="AV63" i="40"/>
  <c r="AT63" i="40"/>
  <c r="AS63" i="40"/>
  <c r="AR63" i="40"/>
  <c r="AQ63" i="40"/>
  <c r="AP63" i="40"/>
  <c r="AO63" i="40"/>
  <c r="AN63" i="40"/>
  <c r="AM63" i="40"/>
  <c r="AL63" i="40"/>
  <c r="AK63" i="40"/>
  <c r="AJ63" i="40"/>
  <c r="AI63" i="40"/>
  <c r="AG63" i="40"/>
  <c r="AE63" i="40"/>
  <c r="AD63" i="40"/>
  <c r="AC63" i="40"/>
  <c r="AB63" i="40"/>
  <c r="BJ62" i="40"/>
  <c r="BI62" i="40"/>
  <c r="BH62" i="40"/>
  <c r="BG62" i="40"/>
  <c r="BF62" i="40"/>
  <c r="BE62" i="40"/>
  <c r="BD62" i="40"/>
  <c r="BC62" i="40"/>
  <c r="BB62" i="40"/>
  <c r="BA62" i="40"/>
  <c r="AZ62" i="40"/>
  <c r="AY62" i="40"/>
  <c r="AW62" i="40" a="1"/>
  <c r="AW62" i="40"/>
  <c r="AV62" i="40"/>
  <c r="AT62" i="40"/>
  <c r="AS62" i="40"/>
  <c r="AR62" i="40"/>
  <c r="AQ62" i="40"/>
  <c r="AP62" i="40"/>
  <c r="AO62" i="40"/>
  <c r="AN62" i="40"/>
  <c r="AM62" i="40"/>
  <c r="AL62" i="40"/>
  <c r="AK62" i="40"/>
  <c r="AJ62" i="40"/>
  <c r="AI62" i="40"/>
  <c r="AG62" i="40"/>
  <c r="AE62" i="40"/>
  <c r="AD62" i="40"/>
  <c r="AC62" i="40"/>
  <c r="AB62" i="40"/>
  <c r="BJ61" i="40"/>
  <c r="BI61" i="40"/>
  <c r="BH61" i="40"/>
  <c r="BG61" i="40"/>
  <c r="BF61" i="40"/>
  <c r="BE61" i="40"/>
  <c r="BD61" i="40"/>
  <c r="BC61" i="40"/>
  <c r="BB61" i="40"/>
  <c r="BA61" i="40"/>
  <c r="AZ61" i="40"/>
  <c r="AY61" i="40"/>
  <c r="AW61" i="40" a="1"/>
  <c r="AW61" i="40"/>
  <c r="AV61" i="40"/>
  <c r="AT61" i="40"/>
  <c r="AS61" i="40"/>
  <c r="AR61" i="40"/>
  <c r="AQ61" i="40"/>
  <c r="AP61" i="40"/>
  <c r="AO61" i="40"/>
  <c r="AN61" i="40"/>
  <c r="AM61" i="40"/>
  <c r="AL61" i="40"/>
  <c r="AK61" i="40"/>
  <c r="AJ61" i="40"/>
  <c r="AI61" i="40"/>
  <c r="AG61" i="40"/>
  <c r="AE61" i="40"/>
  <c r="AD61" i="40"/>
  <c r="AC61" i="40"/>
  <c r="AB61" i="40"/>
  <c r="BJ60" i="40"/>
  <c r="BI60" i="40"/>
  <c r="BH60" i="40"/>
  <c r="BG60" i="40"/>
  <c r="BF60" i="40"/>
  <c r="BE60" i="40"/>
  <c r="BD60" i="40"/>
  <c r="BC60" i="40"/>
  <c r="BB60" i="40"/>
  <c r="BA60" i="40"/>
  <c r="AZ60" i="40"/>
  <c r="AY60" i="40"/>
  <c r="AW60" i="40" a="1"/>
  <c r="AW60" i="40"/>
  <c r="AV60" i="40"/>
  <c r="AT60" i="40"/>
  <c r="AS60" i="40"/>
  <c r="AR60" i="40"/>
  <c r="AQ60" i="40"/>
  <c r="AP60" i="40"/>
  <c r="AO60" i="40"/>
  <c r="AN60" i="40"/>
  <c r="AM60" i="40"/>
  <c r="AL60" i="40"/>
  <c r="AK60" i="40"/>
  <c r="AJ60" i="40"/>
  <c r="AI60" i="40"/>
  <c r="AG60" i="40"/>
  <c r="AE60" i="40"/>
  <c r="AD60" i="40"/>
  <c r="AC60" i="40"/>
  <c r="AB60" i="40"/>
  <c r="BJ59" i="40"/>
  <c r="BI59" i="40"/>
  <c r="BH59" i="40"/>
  <c r="BG59" i="40"/>
  <c r="BF59" i="40"/>
  <c r="BE59" i="40"/>
  <c r="BD59" i="40"/>
  <c r="BC59" i="40"/>
  <c r="BB59" i="40"/>
  <c r="BA59" i="40"/>
  <c r="AZ59" i="40"/>
  <c r="AY59" i="40"/>
  <c r="AW59" i="40" a="1"/>
  <c r="AW59" i="40"/>
  <c r="AV59" i="40"/>
  <c r="AT59" i="40"/>
  <c r="AS59" i="40"/>
  <c r="AR59" i="40"/>
  <c r="AQ59" i="40"/>
  <c r="AP59" i="40"/>
  <c r="AO59" i="40"/>
  <c r="AN59" i="40"/>
  <c r="AM59" i="40"/>
  <c r="AL59" i="40"/>
  <c r="AK59" i="40"/>
  <c r="AJ59" i="40"/>
  <c r="AI59" i="40"/>
  <c r="AG59" i="40"/>
  <c r="AE59" i="40"/>
  <c r="AD59" i="40"/>
  <c r="AC59" i="40"/>
  <c r="AB59" i="40"/>
  <c r="BJ58" i="40"/>
  <c r="BI58" i="40"/>
  <c r="BH58" i="40"/>
  <c r="BG58" i="40"/>
  <c r="BF58" i="40"/>
  <c r="BE58" i="40"/>
  <c r="BD58" i="40"/>
  <c r="BC58" i="40"/>
  <c r="BB58" i="40"/>
  <c r="BA58" i="40"/>
  <c r="AZ58" i="40"/>
  <c r="AY58" i="40"/>
  <c r="AW58" i="40" a="1"/>
  <c r="AW58" i="40"/>
  <c r="AV58" i="40"/>
  <c r="AT58" i="40"/>
  <c r="AS58" i="40"/>
  <c r="AR58" i="40"/>
  <c r="AQ58" i="40"/>
  <c r="AP58" i="40"/>
  <c r="AO58" i="40"/>
  <c r="AN58" i="40"/>
  <c r="AM58" i="40"/>
  <c r="AL58" i="40"/>
  <c r="AK58" i="40"/>
  <c r="AJ58" i="40"/>
  <c r="AI58" i="40"/>
  <c r="AG58" i="40"/>
  <c r="AE58" i="40"/>
  <c r="AD58" i="40"/>
  <c r="AC58" i="40"/>
  <c r="AB58" i="40"/>
  <c r="BJ57" i="40"/>
  <c r="BI57" i="40"/>
  <c r="BH57" i="40"/>
  <c r="BG57" i="40"/>
  <c r="BF57" i="40"/>
  <c r="BE57" i="40"/>
  <c r="BD57" i="40"/>
  <c r="BC57" i="40"/>
  <c r="BB57" i="40"/>
  <c r="BA57" i="40"/>
  <c r="AZ57" i="40"/>
  <c r="AY57" i="40"/>
  <c r="AW57" i="40" a="1"/>
  <c r="AW57" i="40"/>
  <c r="AV57" i="40"/>
  <c r="AT57" i="40"/>
  <c r="AS57" i="40"/>
  <c r="AR57" i="40"/>
  <c r="AQ57" i="40"/>
  <c r="AP57" i="40"/>
  <c r="AO57" i="40"/>
  <c r="AN57" i="40"/>
  <c r="AM57" i="40"/>
  <c r="AL57" i="40"/>
  <c r="AK57" i="40"/>
  <c r="AJ57" i="40"/>
  <c r="AI57" i="40"/>
  <c r="AG57" i="40"/>
  <c r="AE57" i="40"/>
  <c r="AD57" i="40"/>
  <c r="AC57" i="40"/>
  <c r="AB57" i="40"/>
  <c r="BJ56" i="40"/>
  <c r="BI56" i="40"/>
  <c r="BH56" i="40"/>
  <c r="BG56" i="40"/>
  <c r="BF56" i="40"/>
  <c r="BE56" i="40"/>
  <c r="BD56" i="40"/>
  <c r="BC56" i="40"/>
  <c r="BB56" i="40"/>
  <c r="BA56" i="40"/>
  <c r="AZ56" i="40"/>
  <c r="AY56" i="40"/>
  <c r="AW56" i="40" a="1"/>
  <c r="AW56" i="40"/>
  <c r="AV56" i="40"/>
  <c r="AT56" i="40"/>
  <c r="AS56" i="40"/>
  <c r="AR56" i="40"/>
  <c r="AQ56" i="40"/>
  <c r="AP56" i="40"/>
  <c r="AO56" i="40"/>
  <c r="AN56" i="40"/>
  <c r="AM56" i="40"/>
  <c r="AL56" i="40"/>
  <c r="AK56" i="40"/>
  <c r="AJ56" i="40"/>
  <c r="AI56" i="40"/>
  <c r="AG56" i="40"/>
  <c r="AE56" i="40"/>
  <c r="AD56" i="40"/>
  <c r="AC56" i="40"/>
  <c r="AB56" i="40"/>
  <c r="BJ55" i="40"/>
  <c r="BI55" i="40"/>
  <c r="BH55" i="40"/>
  <c r="BG55" i="40"/>
  <c r="BF55" i="40"/>
  <c r="BE55" i="40"/>
  <c r="BD55" i="40"/>
  <c r="BC55" i="40"/>
  <c r="BB55" i="40"/>
  <c r="BA55" i="40"/>
  <c r="AZ55" i="40"/>
  <c r="AY55" i="40"/>
  <c r="AW55" i="40" a="1"/>
  <c r="AW55" i="40"/>
  <c r="AV55" i="40"/>
  <c r="AT55" i="40"/>
  <c r="AS55" i="40"/>
  <c r="AR55" i="40"/>
  <c r="AQ55" i="40"/>
  <c r="AP55" i="40"/>
  <c r="AO55" i="40"/>
  <c r="AN55" i="40"/>
  <c r="AM55" i="40"/>
  <c r="AL55" i="40"/>
  <c r="AK55" i="40"/>
  <c r="AJ55" i="40"/>
  <c r="AI55" i="40"/>
  <c r="AG55" i="40"/>
  <c r="AE55" i="40"/>
  <c r="AD55" i="40"/>
  <c r="AC55" i="40"/>
  <c r="AB55" i="40"/>
  <c r="BJ54" i="40"/>
  <c r="BI54" i="40"/>
  <c r="BH54" i="40"/>
  <c r="BG54" i="40"/>
  <c r="BF54" i="40"/>
  <c r="BE54" i="40"/>
  <c r="BD54" i="40"/>
  <c r="BC54" i="40"/>
  <c r="BB54" i="40"/>
  <c r="BA54" i="40"/>
  <c r="AZ54" i="40"/>
  <c r="AY54" i="40"/>
  <c r="AW54" i="40" a="1"/>
  <c r="AW54" i="40"/>
  <c r="AV54" i="40"/>
  <c r="AT54" i="40"/>
  <c r="AS54" i="40"/>
  <c r="AR54" i="40"/>
  <c r="AQ54" i="40"/>
  <c r="AP54" i="40"/>
  <c r="AO54" i="40"/>
  <c r="AN54" i="40"/>
  <c r="AM54" i="40"/>
  <c r="AL54" i="40"/>
  <c r="AK54" i="40"/>
  <c r="AJ54" i="40"/>
  <c r="AI54" i="40"/>
  <c r="AG54" i="40"/>
  <c r="AE54" i="40"/>
  <c r="AD54" i="40"/>
  <c r="AC54" i="40"/>
  <c r="AB54" i="40"/>
  <c r="BJ53" i="40"/>
  <c r="BI53" i="40"/>
  <c r="BH53" i="40"/>
  <c r="BG53" i="40"/>
  <c r="BF53" i="40"/>
  <c r="BE53" i="40"/>
  <c r="BD53" i="40"/>
  <c r="BC53" i="40"/>
  <c r="BB53" i="40"/>
  <c r="BA53" i="40"/>
  <c r="AZ53" i="40"/>
  <c r="AY53" i="40"/>
  <c r="AW53" i="40" a="1"/>
  <c r="AW53" i="40"/>
  <c r="AV53" i="40"/>
  <c r="AT53" i="40"/>
  <c r="AS53" i="40"/>
  <c r="AR53" i="40"/>
  <c r="AQ53" i="40"/>
  <c r="AP53" i="40"/>
  <c r="AO53" i="40"/>
  <c r="AN53" i="40"/>
  <c r="AM53" i="40"/>
  <c r="AL53" i="40"/>
  <c r="AK53" i="40"/>
  <c r="AJ53" i="40"/>
  <c r="AI53" i="40"/>
  <c r="AG53" i="40"/>
  <c r="AE53" i="40"/>
  <c r="AD53" i="40"/>
  <c r="AC53" i="40"/>
  <c r="AB53" i="40"/>
  <c r="BJ52" i="40"/>
  <c r="BI52" i="40"/>
  <c r="BH52" i="40"/>
  <c r="BG52" i="40"/>
  <c r="BF52" i="40"/>
  <c r="BE52" i="40"/>
  <c r="BD52" i="40"/>
  <c r="BC52" i="40"/>
  <c r="BB52" i="40"/>
  <c r="BA52" i="40"/>
  <c r="AZ52" i="40"/>
  <c r="AY52" i="40"/>
  <c r="AW52" i="40" a="1"/>
  <c r="AW52" i="40"/>
  <c r="AV52" i="40"/>
  <c r="AT52" i="40"/>
  <c r="AS52" i="40"/>
  <c r="AR52" i="40"/>
  <c r="AQ52" i="40"/>
  <c r="AP52" i="40"/>
  <c r="AO52" i="40"/>
  <c r="AN52" i="40"/>
  <c r="AM52" i="40"/>
  <c r="AL52" i="40"/>
  <c r="AK52" i="40"/>
  <c r="AJ52" i="40"/>
  <c r="AI52" i="40"/>
  <c r="AG52" i="40"/>
  <c r="AE52" i="40"/>
  <c r="AD52" i="40"/>
  <c r="AC52" i="40"/>
  <c r="AB52" i="40"/>
  <c r="BJ51" i="40"/>
  <c r="BI51" i="40"/>
  <c r="BH51" i="40"/>
  <c r="BG51" i="40"/>
  <c r="BF51" i="40"/>
  <c r="BE51" i="40"/>
  <c r="BD51" i="40"/>
  <c r="BC51" i="40"/>
  <c r="BB51" i="40"/>
  <c r="BA51" i="40"/>
  <c r="AZ51" i="40"/>
  <c r="AY51" i="40"/>
  <c r="AW51" i="40" a="1"/>
  <c r="AW51" i="40"/>
  <c r="AV51" i="40"/>
  <c r="AT51" i="40"/>
  <c r="AS51" i="40"/>
  <c r="AR51" i="40"/>
  <c r="AQ51" i="40"/>
  <c r="AP51" i="40"/>
  <c r="AO51" i="40"/>
  <c r="AN51" i="40"/>
  <c r="AM51" i="40"/>
  <c r="AL51" i="40"/>
  <c r="AK51" i="40"/>
  <c r="AJ51" i="40"/>
  <c r="AI51" i="40"/>
  <c r="AG51" i="40"/>
  <c r="AE51" i="40"/>
  <c r="AD51" i="40"/>
  <c r="AC51" i="40"/>
  <c r="AB51" i="40"/>
  <c r="BJ50" i="40"/>
  <c r="BI50" i="40"/>
  <c r="BH50" i="40"/>
  <c r="BG50" i="40"/>
  <c r="BF50" i="40"/>
  <c r="BE50" i="40"/>
  <c r="BD50" i="40"/>
  <c r="BC50" i="40"/>
  <c r="BB50" i="40"/>
  <c r="BA50" i="40"/>
  <c r="AZ50" i="40"/>
  <c r="AY50" i="40"/>
  <c r="AW50" i="40" a="1"/>
  <c r="AW50" i="40"/>
  <c r="AV50" i="40"/>
  <c r="AT50" i="40"/>
  <c r="AS50" i="40"/>
  <c r="AR50" i="40"/>
  <c r="AQ50" i="40"/>
  <c r="AP50" i="40"/>
  <c r="AO50" i="40"/>
  <c r="AN50" i="40"/>
  <c r="AM50" i="40"/>
  <c r="AL50" i="40"/>
  <c r="AK50" i="40"/>
  <c r="AJ50" i="40"/>
  <c r="AI50" i="40"/>
  <c r="AG50" i="40"/>
  <c r="AE50" i="40"/>
  <c r="AD50" i="40"/>
  <c r="AC50" i="40"/>
  <c r="AB50" i="40"/>
  <c r="BJ49" i="40"/>
  <c r="BI49" i="40"/>
  <c r="BH49" i="40"/>
  <c r="BG49" i="40"/>
  <c r="BF49" i="40"/>
  <c r="BE49" i="40"/>
  <c r="BD49" i="40"/>
  <c r="BC49" i="40"/>
  <c r="BB49" i="40"/>
  <c r="BA49" i="40"/>
  <c r="AZ49" i="40"/>
  <c r="AY49" i="40"/>
  <c r="AW49" i="40" a="1"/>
  <c r="AW49" i="40"/>
  <c r="AV49" i="40"/>
  <c r="AT49" i="40"/>
  <c r="AS49" i="40"/>
  <c r="AR49" i="40"/>
  <c r="AQ49" i="40"/>
  <c r="AP49" i="40"/>
  <c r="AO49" i="40"/>
  <c r="AN49" i="40"/>
  <c r="AM49" i="40"/>
  <c r="AL49" i="40"/>
  <c r="AK49" i="40"/>
  <c r="AJ49" i="40"/>
  <c r="AI49" i="40"/>
  <c r="AG49" i="40"/>
  <c r="AE49" i="40"/>
  <c r="AD49" i="40"/>
  <c r="AC49" i="40"/>
  <c r="AB49" i="40"/>
  <c r="BJ48" i="40"/>
  <c r="BI48" i="40"/>
  <c r="BH48" i="40"/>
  <c r="BG48" i="40"/>
  <c r="BF48" i="40"/>
  <c r="BE48" i="40"/>
  <c r="BD48" i="40"/>
  <c r="BC48" i="40"/>
  <c r="BB48" i="40"/>
  <c r="BA48" i="40"/>
  <c r="AZ48" i="40"/>
  <c r="AY48" i="40"/>
  <c r="AW48" i="40" a="1"/>
  <c r="AW48" i="40"/>
  <c r="AV48" i="40"/>
  <c r="AT48" i="40"/>
  <c r="AS48" i="40"/>
  <c r="AR48" i="40"/>
  <c r="AQ48" i="40"/>
  <c r="AP48" i="40"/>
  <c r="AO48" i="40"/>
  <c r="AN48" i="40"/>
  <c r="AM48" i="40"/>
  <c r="AL48" i="40"/>
  <c r="AK48" i="40"/>
  <c r="AJ48" i="40"/>
  <c r="AI48" i="40"/>
  <c r="AG48" i="40"/>
  <c r="AE48" i="40"/>
  <c r="AD48" i="40"/>
  <c r="AC48" i="40"/>
  <c r="AB48" i="40"/>
  <c r="BJ47" i="40"/>
  <c r="BI47" i="40"/>
  <c r="BH47" i="40"/>
  <c r="BG47" i="40"/>
  <c r="BF47" i="40"/>
  <c r="BE47" i="40"/>
  <c r="BD47" i="40"/>
  <c r="BC47" i="40"/>
  <c r="BB47" i="40"/>
  <c r="BA47" i="40"/>
  <c r="AZ47" i="40"/>
  <c r="AY47" i="40"/>
  <c r="AW47" i="40" a="1"/>
  <c r="AW47" i="40"/>
  <c r="AV47" i="40"/>
  <c r="AT47" i="40"/>
  <c r="AS47" i="40"/>
  <c r="AR47" i="40"/>
  <c r="AQ47" i="40"/>
  <c r="AP47" i="40"/>
  <c r="AO47" i="40"/>
  <c r="AN47" i="40"/>
  <c r="AM47" i="40"/>
  <c r="AL47" i="40"/>
  <c r="AK47" i="40"/>
  <c r="AJ47" i="40"/>
  <c r="AI47" i="40"/>
  <c r="AG47" i="40"/>
  <c r="AE47" i="40"/>
  <c r="AD47" i="40"/>
  <c r="AC47" i="40"/>
  <c r="AB47" i="40"/>
  <c r="BJ46" i="40"/>
  <c r="BI46" i="40"/>
  <c r="BH46" i="40"/>
  <c r="BG46" i="40"/>
  <c r="BF46" i="40"/>
  <c r="BE46" i="40"/>
  <c r="BD46" i="40"/>
  <c r="BC46" i="40"/>
  <c r="BB46" i="40"/>
  <c r="BA46" i="40"/>
  <c r="AZ46" i="40"/>
  <c r="AY46" i="40"/>
  <c r="AW46" i="40" a="1"/>
  <c r="AW46" i="40"/>
  <c r="AV46" i="40"/>
  <c r="AT46" i="40"/>
  <c r="AS46" i="40"/>
  <c r="AR46" i="40"/>
  <c r="AQ46" i="40"/>
  <c r="AP46" i="40"/>
  <c r="AO46" i="40"/>
  <c r="AN46" i="40"/>
  <c r="AM46" i="40"/>
  <c r="AL46" i="40"/>
  <c r="AK46" i="40"/>
  <c r="AJ46" i="40"/>
  <c r="AI46" i="40"/>
  <c r="AG46" i="40"/>
  <c r="AE46" i="40"/>
  <c r="AD46" i="40"/>
  <c r="AC46" i="40"/>
  <c r="AB46" i="40"/>
  <c r="BJ45" i="40"/>
  <c r="BI45" i="40"/>
  <c r="BH45" i="40"/>
  <c r="BG45" i="40"/>
  <c r="BF45" i="40"/>
  <c r="BE45" i="40"/>
  <c r="BD45" i="40"/>
  <c r="BC45" i="40"/>
  <c r="BB45" i="40"/>
  <c r="BA45" i="40"/>
  <c r="AZ45" i="40"/>
  <c r="AY45" i="40"/>
  <c r="AW45" i="40" a="1"/>
  <c r="AW45" i="40"/>
  <c r="AV45" i="40"/>
  <c r="AT45" i="40"/>
  <c r="AS45" i="40"/>
  <c r="AR45" i="40"/>
  <c r="AQ45" i="40"/>
  <c r="AP45" i="40"/>
  <c r="AO45" i="40"/>
  <c r="AN45" i="40"/>
  <c r="AM45" i="40"/>
  <c r="AL45" i="40"/>
  <c r="AK45" i="40"/>
  <c r="AJ45" i="40"/>
  <c r="AI45" i="40"/>
  <c r="AG45" i="40"/>
  <c r="AE45" i="40"/>
  <c r="AD45" i="40"/>
  <c r="AC45" i="40"/>
  <c r="AB45" i="40"/>
  <c r="BJ44" i="40"/>
  <c r="BI44" i="40"/>
  <c r="BH44" i="40"/>
  <c r="BG44" i="40"/>
  <c r="BF44" i="40"/>
  <c r="BE44" i="40"/>
  <c r="BD44" i="40"/>
  <c r="BC44" i="40"/>
  <c r="BB44" i="40"/>
  <c r="BA44" i="40"/>
  <c r="AZ44" i="40"/>
  <c r="AY44" i="40"/>
  <c r="AW44" i="40" a="1"/>
  <c r="AW44" i="40"/>
  <c r="AV44" i="40"/>
  <c r="AT44" i="40"/>
  <c r="AS44" i="40"/>
  <c r="AR44" i="40"/>
  <c r="AQ44" i="40"/>
  <c r="AP44" i="40"/>
  <c r="AO44" i="40"/>
  <c r="AN44" i="40"/>
  <c r="AM44" i="40"/>
  <c r="AL44" i="40"/>
  <c r="AK44" i="40"/>
  <c r="AJ44" i="40"/>
  <c r="AI44" i="40"/>
  <c r="AG44" i="40"/>
  <c r="AE44" i="40"/>
  <c r="AD44" i="40"/>
  <c r="AC44" i="40"/>
  <c r="AB44" i="40"/>
  <c r="BJ43" i="40"/>
  <c r="BI43" i="40"/>
  <c r="BH43" i="40"/>
  <c r="BG43" i="40"/>
  <c r="BF43" i="40"/>
  <c r="BE43" i="40"/>
  <c r="BD43" i="40"/>
  <c r="BC43" i="40"/>
  <c r="BB43" i="40"/>
  <c r="BA43" i="40"/>
  <c r="AZ43" i="40"/>
  <c r="AY43" i="40"/>
  <c r="AW43" i="40" a="1"/>
  <c r="AW43" i="40"/>
  <c r="AV43" i="40"/>
  <c r="AT43" i="40"/>
  <c r="AS43" i="40"/>
  <c r="AR43" i="40"/>
  <c r="AQ43" i="40"/>
  <c r="AP43" i="40"/>
  <c r="AO43" i="40"/>
  <c r="AN43" i="40"/>
  <c r="AM43" i="40"/>
  <c r="AL43" i="40"/>
  <c r="AK43" i="40"/>
  <c r="AJ43" i="40"/>
  <c r="AI43" i="40"/>
  <c r="AG43" i="40"/>
  <c r="AE43" i="40"/>
  <c r="AD43" i="40"/>
  <c r="AC43" i="40"/>
  <c r="AB43" i="40"/>
  <c r="BJ42" i="40"/>
  <c r="BI42" i="40"/>
  <c r="BH42" i="40"/>
  <c r="BG42" i="40"/>
  <c r="BF42" i="40"/>
  <c r="BE42" i="40"/>
  <c r="BD42" i="40"/>
  <c r="BC42" i="40"/>
  <c r="BB42" i="40"/>
  <c r="BA42" i="40"/>
  <c r="AZ42" i="40"/>
  <c r="AY42" i="40"/>
  <c r="AW42" i="40" a="1"/>
  <c r="AW42" i="40"/>
  <c r="AV42" i="40"/>
  <c r="AT42" i="40"/>
  <c r="AS42" i="40"/>
  <c r="AR42" i="40"/>
  <c r="AQ42" i="40"/>
  <c r="AP42" i="40"/>
  <c r="AO42" i="40"/>
  <c r="AN42" i="40"/>
  <c r="AM42" i="40"/>
  <c r="AL42" i="40"/>
  <c r="AK42" i="40"/>
  <c r="AJ42" i="40"/>
  <c r="AI42" i="40"/>
  <c r="AG42" i="40"/>
  <c r="AE42" i="40"/>
  <c r="AD42" i="40"/>
  <c r="AC42" i="40"/>
  <c r="AB42" i="40"/>
  <c r="BJ41" i="40"/>
  <c r="BI41" i="40"/>
  <c r="BH41" i="40"/>
  <c r="BG41" i="40"/>
  <c r="BF41" i="40"/>
  <c r="BE41" i="40"/>
  <c r="BD41" i="40"/>
  <c r="BC41" i="40"/>
  <c r="BB41" i="40"/>
  <c r="BA41" i="40"/>
  <c r="AZ41" i="40"/>
  <c r="AY41" i="40"/>
  <c r="AW41" i="40" a="1"/>
  <c r="AW41" i="40"/>
  <c r="AV41" i="40"/>
  <c r="AT41" i="40"/>
  <c r="AS41" i="40"/>
  <c r="AR41" i="40"/>
  <c r="AQ41" i="40"/>
  <c r="AP41" i="40"/>
  <c r="AO41" i="40"/>
  <c r="AN41" i="40"/>
  <c r="AM41" i="40"/>
  <c r="AL41" i="40"/>
  <c r="AK41" i="40"/>
  <c r="AJ41" i="40"/>
  <c r="AI41" i="40"/>
  <c r="AG41" i="40"/>
  <c r="AE41" i="40"/>
  <c r="AD41" i="40"/>
  <c r="AC41" i="40"/>
  <c r="AB41" i="40"/>
  <c r="BJ40" i="40"/>
  <c r="BI40" i="40"/>
  <c r="BH40" i="40"/>
  <c r="BG40" i="40"/>
  <c r="BF40" i="40"/>
  <c r="BE40" i="40"/>
  <c r="BD40" i="40"/>
  <c r="BC40" i="40"/>
  <c r="BB40" i="40"/>
  <c r="BA40" i="40"/>
  <c r="AZ40" i="40"/>
  <c r="AY40" i="40"/>
  <c r="AW40" i="40" a="1"/>
  <c r="AW40" i="40"/>
  <c r="AV40" i="40"/>
  <c r="AT40" i="40"/>
  <c r="AS40" i="40"/>
  <c r="AR40" i="40"/>
  <c r="AQ40" i="40"/>
  <c r="AP40" i="40"/>
  <c r="AO40" i="40"/>
  <c r="AN40" i="40"/>
  <c r="AM40" i="40"/>
  <c r="AL40" i="40"/>
  <c r="AK40" i="40"/>
  <c r="AJ40" i="40"/>
  <c r="AI40" i="40"/>
  <c r="AG40" i="40"/>
  <c r="AE40" i="40"/>
  <c r="AD40" i="40"/>
  <c r="AC40" i="40"/>
  <c r="AB40" i="40"/>
  <c r="BJ39" i="40"/>
  <c r="BI39" i="40"/>
  <c r="BH39" i="40"/>
  <c r="BG39" i="40"/>
  <c r="BF39" i="40"/>
  <c r="BE39" i="40"/>
  <c r="BD39" i="40"/>
  <c r="BC39" i="40"/>
  <c r="BB39" i="40"/>
  <c r="BA39" i="40"/>
  <c r="AZ39" i="40"/>
  <c r="AY39" i="40"/>
  <c r="AW39" i="40" a="1"/>
  <c r="AW39" i="40"/>
  <c r="AV39" i="40"/>
  <c r="AT39" i="40"/>
  <c r="AS39" i="40"/>
  <c r="AR39" i="40"/>
  <c r="AQ39" i="40"/>
  <c r="AP39" i="40"/>
  <c r="AO39" i="40"/>
  <c r="AN39" i="40"/>
  <c r="AM39" i="40"/>
  <c r="AL39" i="40"/>
  <c r="AK39" i="40"/>
  <c r="AJ39" i="40"/>
  <c r="AI39" i="40"/>
  <c r="AG39" i="40"/>
  <c r="AE39" i="40"/>
  <c r="AD39" i="40"/>
  <c r="AC39" i="40"/>
  <c r="AB39" i="40"/>
  <c r="BJ38" i="40"/>
  <c r="BI38" i="40"/>
  <c r="BH38" i="40"/>
  <c r="BG38" i="40"/>
  <c r="BF38" i="40"/>
  <c r="BE38" i="40"/>
  <c r="BD38" i="40"/>
  <c r="BC38" i="40"/>
  <c r="BB38" i="40"/>
  <c r="BA38" i="40"/>
  <c r="AZ38" i="40"/>
  <c r="AY38" i="40"/>
  <c r="AW38" i="40" a="1"/>
  <c r="AW38" i="40"/>
  <c r="AV38" i="40"/>
  <c r="AT38" i="40"/>
  <c r="AS38" i="40"/>
  <c r="AR38" i="40"/>
  <c r="AQ38" i="40"/>
  <c r="AP38" i="40"/>
  <c r="AO38" i="40"/>
  <c r="AN38" i="40"/>
  <c r="AM38" i="40"/>
  <c r="AL38" i="40"/>
  <c r="AK38" i="40"/>
  <c r="AJ38" i="40"/>
  <c r="AI38" i="40"/>
  <c r="AG38" i="40"/>
  <c r="AE38" i="40"/>
  <c r="AD38" i="40"/>
  <c r="AC38" i="40"/>
  <c r="AB38" i="40"/>
  <c r="BJ37" i="40"/>
  <c r="BI37" i="40"/>
  <c r="BH37" i="40"/>
  <c r="BG37" i="40"/>
  <c r="BF37" i="40"/>
  <c r="BE37" i="40"/>
  <c r="BD37" i="40"/>
  <c r="BC37" i="40"/>
  <c r="BB37" i="40"/>
  <c r="BA37" i="40"/>
  <c r="AZ37" i="40"/>
  <c r="AY37" i="40"/>
  <c r="AW37" i="40" a="1"/>
  <c r="AW37" i="40"/>
  <c r="AV37" i="40"/>
  <c r="AT37" i="40"/>
  <c r="AS37" i="40"/>
  <c r="AR37" i="40"/>
  <c r="AQ37" i="40"/>
  <c r="AP37" i="40"/>
  <c r="AO37" i="40"/>
  <c r="AN37" i="40"/>
  <c r="AM37" i="40"/>
  <c r="AL37" i="40"/>
  <c r="AK37" i="40"/>
  <c r="AJ37" i="40"/>
  <c r="AI37" i="40"/>
  <c r="AG37" i="40"/>
  <c r="AE37" i="40"/>
  <c r="AD37" i="40"/>
  <c r="AC37" i="40"/>
  <c r="AB37" i="40"/>
  <c r="BJ36" i="40"/>
  <c r="BI36" i="40"/>
  <c r="BH36" i="40"/>
  <c r="BG36" i="40"/>
  <c r="BF36" i="40"/>
  <c r="BE36" i="40"/>
  <c r="BD36" i="40"/>
  <c r="BC36" i="40"/>
  <c r="BB36" i="40"/>
  <c r="BA36" i="40"/>
  <c r="AZ36" i="40"/>
  <c r="AY36" i="40"/>
  <c r="AW36" i="40" a="1"/>
  <c r="AW36" i="40"/>
  <c r="AV36" i="40"/>
  <c r="AT36" i="40"/>
  <c r="AS36" i="40"/>
  <c r="AR36" i="40"/>
  <c r="AQ36" i="40"/>
  <c r="AP36" i="40"/>
  <c r="AO36" i="40"/>
  <c r="AN36" i="40"/>
  <c r="AM36" i="40"/>
  <c r="AL36" i="40"/>
  <c r="AK36" i="40"/>
  <c r="AJ36" i="40"/>
  <c r="AI36" i="40"/>
  <c r="AG36" i="40"/>
  <c r="AE36" i="40"/>
  <c r="AD36" i="40"/>
  <c r="AC36" i="40"/>
  <c r="AB36" i="40"/>
  <c r="BJ35" i="40"/>
  <c r="BI35" i="40"/>
  <c r="BH35" i="40"/>
  <c r="BG35" i="40"/>
  <c r="BF35" i="40"/>
  <c r="BE35" i="40"/>
  <c r="BD35" i="40"/>
  <c r="BC35" i="40"/>
  <c r="BB35" i="40"/>
  <c r="BA35" i="40"/>
  <c r="AZ35" i="40"/>
  <c r="AY35" i="40"/>
  <c r="AW35" i="40" a="1"/>
  <c r="AW35" i="40"/>
  <c r="AV35" i="40"/>
  <c r="AT35" i="40"/>
  <c r="AS35" i="40"/>
  <c r="AR35" i="40"/>
  <c r="AQ35" i="40"/>
  <c r="AP35" i="40"/>
  <c r="AO35" i="40"/>
  <c r="AN35" i="40"/>
  <c r="AM35" i="40"/>
  <c r="AL35" i="40"/>
  <c r="AK35" i="40"/>
  <c r="AJ35" i="40"/>
  <c r="AI35" i="40"/>
  <c r="AG35" i="40"/>
  <c r="AE35" i="40"/>
  <c r="AD35" i="40"/>
  <c r="AC35" i="40"/>
  <c r="AB35" i="40"/>
  <c r="BJ34" i="40"/>
  <c r="BI34" i="40"/>
  <c r="BH34" i="40"/>
  <c r="BG34" i="40"/>
  <c r="BF34" i="40"/>
  <c r="BE34" i="40"/>
  <c r="BD34" i="40"/>
  <c r="BC34" i="40"/>
  <c r="BB34" i="40"/>
  <c r="BA34" i="40"/>
  <c r="AZ34" i="40"/>
  <c r="AY34" i="40"/>
  <c r="AW34" i="40" a="1"/>
  <c r="AW34" i="40"/>
  <c r="AV34" i="40"/>
  <c r="AT34" i="40"/>
  <c r="AS34" i="40"/>
  <c r="AR34" i="40"/>
  <c r="AQ34" i="40"/>
  <c r="AP34" i="40"/>
  <c r="AO34" i="40"/>
  <c r="AN34" i="40"/>
  <c r="AM34" i="40"/>
  <c r="AL34" i="40"/>
  <c r="AK34" i="40"/>
  <c r="AJ34" i="40"/>
  <c r="AI34" i="40"/>
  <c r="AG34" i="40"/>
  <c r="AE34" i="40"/>
  <c r="AD34" i="40"/>
  <c r="AC34" i="40"/>
  <c r="AB34" i="40"/>
  <c r="BJ33" i="40"/>
  <c r="BI33" i="40"/>
  <c r="BH33" i="40"/>
  <c r="BG33" i="40"/>
  <c r="BF33" i="40"/>
  <c r="BE33" i="40"/>
  <c r="BD33" i="40"/>
  <c r="BC33" i="40"/>
  <c r="BB33" i="40"/>
  <c r="BA33" i="40"/>
  <c r="AZ33" i="40"/>
  <c r="AY33" i="40"/>
  <c r="AW33" i="40" a="1"/>
  <c r="AW33" i="40"/>
  <c r="AV33" i="40"/>
  <c r="AT33" i="40"/>
  <c r="AS33" i="40"/>
  <c r="AR33" i="40"/>
  <c r="AQ33" i="40"/>
  <c r="AP33" i="40"/>
  <c r="AO33" i="40"/>
  <c r="AN33" i="40"/>
  <c r="AM33" i="40"/>
  <c r="AL33" i="40"/>
  <c r="AK33" i="40"/>
  <c r="AJ33" i="40"/>
  <c r="AI33" i="40"/>
  <c r="AG33" i="40"/>
  <c r="AE33" i="40"/>
  <c r="AD33" i="40"/>
  <c r="AC33" i="40"/>
  <c r="AB33" i="40"/>
  <c r="BJ32" i="40"/>
  <c r="BI32" i="40"/>
  <c r="BH32" i="40"/>
  <c r="BG32" i="40"/>
  <c r="BF32" i="40"/>
  <c r="BE32" i="40"/>
  <c r="BD32" i="40"/>
  <c r="BC32" i="40"/>
  <c r="BB32" i="40"/>
  <c r="BA32" i="40"/>
  <c r="AZ32" i="40"/>
  <c r="AY32" i="40"/>
  <c r="AW32" i="40" a="1"/>
  <c r="AW32" i="40"/>
  <c r="AV32" i="40"/>
  <c r="AT32" i="40"/>
  <c r="AS32" i="40"/>
  <c r="AR32" i="40"/>
  <c r="AQ32" i="40"/>
  <c r="AP32" i="40"/>
  <c r="AO32" i="40"/>
  <c r="AN32" i="40"/>
  <c r="AM32" i="40"/>
  <c r="AL32" i="40"/>
  <c r="AK32" i="40"/>
  <c r="AJ32" i="40"/>
  <c r="AI32" i="40"/>
  <c r="AG32" i="40"/>
  <c r="AE32" i="40"/>
  <c r="AD32" i="40"/>
  <c r="AC32" i="40"/>
  <c r="AB32" i="40"/>
  <c r="BJ31" i="40"/>
  <c r="BI31" i="40"/>
  <c r="BH31" i="40"/>
  <c r="BG31" i="40"/>
  <c r="BF31" i="40"/>
  <c r="BE31" i="40"/>
  <c r="BD31" i="40"/>
  <c r="BC31" i="40"/>
  <c r="BB31" i="40"/>
  <c r="BA31" i="40"/>
  <c r="AZ31" i="40"/>
  <c r="AY31" i="40"/>
  <c r="AW31" i="40" a="1"/>
  <c r="AW31" i="40"/>
  <c r="AV31" i="40"/>
  <c r="AT31" i="40"/>
  <c r="AS31" i="40"/>
  <c r="AR31" i="40"/>
  <c r="AQ31" i="40"/>
  <c r="AP31" i="40"/>
  <c r="AO31" i="40"/>
  <c r="AN31" i="40"/>
  <c r="AM31" i="40"/>
  <c r="AL31" i="40"/>
  <c r="AK31" i="40"/>
  <c r="AJ31" i="40"/>
  <c r="AI31" i="40"/>
  <c r="AG31" i="40"/>
  <c r="AE31" i="40"/>
  <c r="AD31" i="40"/>
  <c r="AC31" i="40"/>
  <c r="AB31" i="40"/>
  <c r="BJ30" i="40"/>
  <c r="BI30" i="40"/>
  <c r="BH30" i="40"/>
  <c r="BG30" i="40"/>
  <c r="BF30" i="40"/>
  <c r="BE30" i="40"/>
  <c r="BD30" i="40"/>
  <c r="BC30" i="40"/>
  <c r="BB30" i="40"/>
  <c r="BA30" i="40"/>
  <c r="AZ30" i="40"/>
  <c r="AY30" i="40"/>
  <c r="AW30" i="40" a="1"/>
  <c r="AW30" i="40"/>
  <c r="AV30" i="40"/>
  <c r="AT30" i="40"/>
  <c r="AS30" i="40"/>
  <c r="AR30" i="40"/>
  <c r="AQ30" i="40"/>
  <c r="AP30" i="40"/>
  <c r="AO30" i="40"/>
  <c r="AN30" i="40"/>
  <c r="AM30" i="40"/>
  <c r="AL30" i="40"/>
  <c r="AK30" i="40"/>
  <c r="AJ30" i="40"/>
  <c r="AI30" i="40"/>
  <c r="AG30" i="40"/>
  <c r="AE30" i="40"/>
  <c r="AD30" i="40"/>
  <c r="AC30" i="40"/>
  <c r="AB30" i="40"/>
  <c r="BJ29" i="40"/>
  <c r="BI29" i="40"/>
  <c r="BH29" i="40"/>
  <c r="BG29" i="40"/>
  <c r="BF29" i="40"/>
  <c r="BE29" i="40"/>
  <c r="BD29" i="40"/>
  <c r="BC29" i="40"/>
  <c r="BB29" i="40"/>
  <c r="BA29" i="40"/>
  <c r="AZ29" i="40"/>
  <c r="AY29" i="40"/>
  <c r="AW29" i="40" a="1"/>
  <c r="AW29" i="40"/>
  <c r="AV29" i="40"/>
  <c r="AT29" i="40"/>
  <c r="AS29" i="40"/>
  <c r="AR29" i="40"/>
  <c r="AQ29" i="40"/>
  <c r="AP29" i="40"/>
  <c r="AO29" i="40"/>
  <c r="AN29" i="40"/>
  <c r="AM29" i="40"/>
  <c r="AL29" i="40"/>
  <c r="AK29" i="40"/>
  <c r="AJ29" i="40"/>
  <c r="AI29" i="40"/>
  <c r="AG29" i="40"/>
  <c r="AE29" i="40"/>
  <c r="AD29" i="40"/>
  <c r="AC29" i="40"/>
  <c r="AB29" i="40"/>
  <c r="BJ28" i="40"/>
  <c r="BI28" i="40"/>
  <c r="BH28" i="40"/>
  <c r="BG28" i="40"/>
  <c r="BF28" i="40"/>
  <c r="BE28" i="40"/>
  <c r="BD28" i="40"/>
  <c r="BC28" i="40"/>
  <c r="BB28" i="40"/>
  <c r="BA28" i="40"/>
  <c r="AZ28" i="40"/>
  <c r="AY28" i="40"/>
  <c r="AW28" i="40" a="1"/>
  <c r="AW28" i="40"/>
  <c r="AV28" i="40"/>
  <c r="AT28" i="40"/>
  <c r="AS28" i="40"/>
  <c r="AR28" i="40"/>
  <c r="AQ28" i="40"/>
  <c r="AP28" i="40"/>
  <c r="AO28" i="40"/>
  <c r="AN28" i="40"/>
  <c r="AM28" i="40"/>
  <c r="AL28" i="40"/>
  <c r="AK28" i="40"/>
  <c r="AJ28" i="40"/>
  <c r="AI28" i="40"/>
  <c r="AG28" i="40"/>
  <c r="AE28" i="40"/>
  <c r="AD28" i="40"/>
  <c r="AC28" i="40"/>
  <c r="AB28" i="40"/>
  <c r="BJ27" i="40"/>
  <c r="BI27" i="40"/>
  <c r="BH27" i="40"/>
  <c r="BG27" i="40"/>
  <c r="BF27" i="40"/>
  <c r="BE27" i="40"/>
  <c r="BD27" i="40"/>
  <c r="BC27" i="40"/>
  <c r="BB27" i="40"/>
  <c r="BA27" i="40"/>
  <c r="AZ27" i="40"/>
  <c r="AY27" i="40"/>
  <c r="AW27" i="40" a="1"/>
  <c r="AW27" i="40"/>
  <c r="AV27" i="40"/>
  <c r="AT27" i="40"/>
  <c r="AS27" i="40"/>
  <c r="AR27" i="40"/>
  <c r="AQ27" i="40"/>
  <c r="AP27" i="40"/>
  <c r="AO27" i="40"/>
  <c r="AN27" i="40"/>
  <c r="AM27" i="40"/>
  <c r="AL27" i="40"/>
  <c r="AK27" i="40"/>
  <c r="AJ27" i="40"/>
  <c r="AI27" i="40"/>
  <c r="AG27" i="40"/>
  <c r="AE27" i="40"/>
  <c r="AD27" i="40"/>
  <c r="AC27" i="40"/>
  <c r="AB27" i="40"/>
  <c r="BJ26" i="40"/>
  <c r="BI26" i="40"/>
  <c r="BH26" i="40"/>
  <c r="BG26" i="40"/>
  <c r="BF26" i="40"/>
  <c r="BE26" i="40"/>
  <c r="BD26" i="40"/>
  <c r="BC26" i="40"/>
  <c r="BB26" i="40"/>
  <c r="BA26" i="40"/>
  <c r="AZ26" i="40"/>
  <c r="AY26" i="40"/>
  <c r="AW26" i="40" a="1"/>
  <c r="AW26" i="40"/>
  <c r="AV26" i="40"/>
  <c r="AT26" i="40"/>
  <c r="AS26" i="40"/>
  <c r="AR26" i="40"/>
  <c r="AQ26" i="40"/>
  <c r="AP26" i="40"/>
  <c r="AO26" i="40"/>
  <c r="AN26" i="40"/>
  <c r="AM26" i="40"/>
  <c r="AL26" i="40"/>
  <c r="AK26" i="40"/>
  <c r="AJ26" i="40"/>
  <c r="AI26" i="40"/>
  <c r="AG26" i="40"/>
  <c r="AE26" i="40"/>
  <c r="AD26" i="40"/>
  <c r="AC26" i="40"/>
  <c r="AB26" i="40"/>
  <c r="BJ25" i="40"/>
  <c r="BI25" i="40"/>
  <c r="BH25" i="40"/>
  <c r="BG25" i="40"/>
  <c r="BF25" i="40"/>
  <c r="BE25" i="40"/>
  <c r="BD25" i="40"/>
  <c r="BC25" i="40"/>
  <c r="BB25" i="40"/>
  <c r="BA25" i="40"/>
  <c r="AZ25" i="40"/>
  <c r="AY25" i="40"/>
  <c r="AW25" i="40" a="1"/>
  <c r="AW25" i="40"/>
  <c r="AV25" i="40"/>
  <c r="AT25" i="40"/>
  <c r="AS25" i="40"/>
  <c r="AR25" i="40"/>
  <c r="AQ25" i="40"/>
  <c r="AP25" i="40"/>
  <c r="AO25" i="40"/>
  <c r="AN25" i="40"/>
  <c r="AM25" i="40"/>
  <c r="AL25" i="40"/>
  <c r="AK25" i="40"/>
  <c r="AJ25" i="40"/>
  <c r="AI25" i="40"/>
  <c r="AG25" i="40"/>
  <c r="AE25" i="40"/>
  <c r="AD25" i="40"/>
  <c r="AC25" i="40"/>
  <c r="AB25" i="40"/>
  <c r="BJ24" i="40"/>
  <c r="BI24" i="40"/>
  <c r="BH24" i="40"/>
  <c r="BG24" i="40"/>
  <c r="BF24" i="40"/>
  <c r="BE24" i="40"/>
  <c r="BD24" i="40"/>
  <c r="BC24" i="40"/>
  <c r="BB24" i="40"/>
  <c r="BA24" i="40"/>
  <c r="AZ24" i="40"/>
  <c r="AY24" i="40"/>
  <c r="AW24" i="40" a="1"/>
  <c r="AW24" i="40"/>
  <c r="AV24" i="40"/>
  <c r="AT24" i="40"/>
  <c r="AS24" i="40"/>
  <c r="AR24" i="40"/>
  <c r="AQ24" i="40"/>
  <c r="AP24" i="40"/>
  <c r="AO24" i="40"/>
  <c r="AN24" i="40"/>
  <c r="AM24" i="40"/>
  <c r="AL24" i="40"/>
  <c r="AK24" i="40"/>
  <c r="AJ24" i="40"/>
  <c r="AI24" i="40"/>
  <c r="AG24" i="40"/>
  <c r="AE24" i="40"/>
  <c r="AD24" i="40"/>
  <c r="AC24" i="40"/>
  <c r="AB24" i="40"/>
  <c r="BJ23" i="40"/>
  <c r="BI23" i="40"/>
  <c r="BH23" i="40"/>
  <c r="BG23" i="40"/>
  <c r="BF23" i="40"/>
  <c r="BE23" i="40"/>
  <c r="BD23" i="40"/>
  <c r="BC23" i="40"/>
  <c r="BB23" i="40"/>
  <c r="BA23" i="40"/>
  <c r="AZ23" i="40"/>
  <c r="AY23" i="40"/>
  <c r="AW23" i="40" a="1"/>
  <c r="AW23" i="40"/>
  <c r="AV23" i="40"/>
  <c r="AT23" i="40"/>
  <c r="AS23" i="40"/>
  <c r="AR23" i="40"/>
  <c r="AQ23" i="40"/>
  <c r="AP23" i="40"/>
  <c r="AO23" i="40"/>
  <c r="AN23" i="40"/>
  <c r="AM23" i="40"/>
  <c r="AL23" i="40"/>
  <c r="AK23" i="40"/>
  <c r="AJ23" i="40"/>
  <c r="AI23" i="40"/>
  <c r="AG23" i="40"/>
  <c r="AE23" i="40"/>
  <c r="AD23" i="40"/>
  <c r="AC23" i="40"/>
  <c r="AB23" i="40"/>
  <c r="BJ22" i="40"/>
  <c r="BI22" i="40"/>
  <c r="BH22" i="40"/>
  <c r="BG22" i="40"/>
  <c r="BF22" i="40"/>
  <c r="BE22" i="40"/>
  <c r="BD22" i="40"/>
  <c r="BC22" i="40"/>
  <c r="BB22" i="40"/>
  <c r="BA22" i="40"/>
  <c r="AZ22" i="40"/>
  <c r="AY22" i="40"/>
  <c r="AW22" i="40" a="1"/>
  <c r="AW22" i="40"/>
  <c r="AV22" i="40"/>
  <c r="AT22" i="40"/>
  <c r="AS22" i="40"/>
  <c r="AR22" i="40"/>
  <c r="AQ22" i="40"/>
  <c r="AP22" i="40"/>
  <c r="AO22" i="40"/>
  <c r="AN22" i="40"/>
  <c r="AM22" i="40"/>
  <c r="AL22" i="40"/>
  <c r="AK22" i="40"/>
  <c r="AJ22" i="40"/>
  <c r="AI22" i="40"/>
  <c r="AG22" i="40"/>
  <c r="AE22" i="40"/>
  <c r="AD22" i="40"/>
  <c r="AC22" i="40"/>
  <c r="AB22" i="40"/>
  <c r="BJ21" i="40"/>
  <c r="BI21" i="40"/>
  <c r="BH21" i="40"/>
  <c r="BG21" i="40"/>
  <c r="BF21" i="40"/>
  <c r="BE21" i="40"/>
  <c r="BD21" i="40"/>
  <c r="BC21" i="40"/>
  <c r="BB21" i="40"/>
  <c r="BA21" i="40"/>
  <c r="AZ21" i="40"/>
  <c r="AY21" i="40"/>
  <c r="AW21" i="40" a="1"/>
  <c r="AW21" i="40"/>
  <c r="AV21" i="40"/>
  <c r="AT21" i="40"/>
  <c r="AS21" i="40"/>
  <c r="AR21" i="40"/>
  <c r="AQ21" i="40"/>
  <c r="AP21" i="40"/>
  <c r="AO21" i="40"/>
  <c r="AN21" i="40"/>
  <c r="AM21" i="40"/>
  <c r="AL21" i="40"/>
  <c r="AK21" i="40"/>
  <c r="AJ21" i="40"/>
  <c r="AI21" i="40"/>
  <c r="AG21" i="40"/>
  <c r="AE21" i="40"/>
  <c r="AD21" i="40"/>
  <c r="AC21" i="40"/>
  <c r="AB21" i="40"/>
  <c r="BJ20" i="40"/>
  <c r="BI20" i="40"/>
  <c r="BH20" i="40"/>
  <c r="BG20" i="40"/>
  <c r="BF20" i="40"/>
  <c r="BE20" i="40"/>
  <c r="BD20" i="40"/>
  <c r="BC20" i="40"/>
  <c r="BB20" i="40"/>
  <c r="BA20" i="40"/>
  <c r="AZ20" i="40"/>
  <c r="AY20" i="40"/>
  <c r="AW20" i="40" a="1"/>
  <c r="AW20" i="40"/>
  <c r="AV20" i="40"/>
  <c r="AT20" i="40"/>
  <c r="AS20" i="40"/>
  <c r="AR20" i="40"/>
  <c r="AQ20" i="40"/>
  <c r="AP20" i="40"/>
  <c r="AO20" i="40"/>
  <c r="AN20" i="40"/>
  <c r="AM20" i="40"/>
  <c r="AL20" i="40"/>
  <c r="AK20" i="40"/>
  <c r="AJ20" i="40"/>
  <c r="AI20" i="40"/>
  <c r="AG20" i="40"/>
  <c r="AE20" i="40"/>
  <c r="AD20" i="40"/>
  <c r="AC20" i="40"/>
  <c r="AB20" i="40"/>
  <c r="BJ19" i="40"/>
  <c r="BI19" i="40"/>
  <c r="BH19" i="40"/>
  <c r="BG19" i="40"/>
  <c r="BF19" i="40"/>
  <c r="BE19" i="40"/>
  <c r="BD19" i="40"/>
  <c r="BC19" i="40"/>
  <c r="BB19" i="40"/>
  <c r="BA19" i="40"/>
  <c r="AZ19" i="40"/>
  <c r="AY19" i="40"/>
  <c r="AW19" i="40" a="1"/>
  <c r="AW19" i="40"/>
  <c r="AV19" i="40"/>
  <c r="AT19" i="40"/>
  <c r="AS19" i="40"/>
  <c r="AR19" i="40"/>
  <c r="AQ19" i="40"/>
  <c r="AP19" i="40"/>
  <c r="AO19" i="40"/>
  <c r="AN19" i="40"/>
  <c r="AM19" i="40"/>
  <c r="AL19" i="40"/>
  <c r="AK19" i="40"/>
  <c r="AJ19" i="40"/>
  <c r="AI19" i="40"/>
  <c r="AG19" i="40"/>
  <c r="AE19" i="40"/>
  <c r="AD19" i="40"/>
  <c r="AC19" i="40"/>
  <c r="AB19" i="40"/>
  <c r="BJ18" i="40"/>
  <c r="BI18" i="40"/>
  <c r="BH18" i="40"/>
  <c r="BG18" i="40"/>
  <c r="BF18" i="40"/>
  <c r="BE18" i="40"/>
  <c r="BD18" i="40"/>
  <c r="BC18" i="40"/>
  <c r="BB18" i="40"/>
  <c r="BA18" i="40"/>
  <c r="AZ18" i="40"/>
  <c r="AY18" i="40"/>
  <c r="AW18" i="40" a="1"/>
  <c r="AW18" i="40"/>
  <c r="AV18" i="40"/>
  <c r="AT18" i="40"/>
  <c r="AS18" i="40"/>
  <c r="AR18" i="40"/>
  <c r="AQ18" i="40"/>
  <c r="AP18" i="40"/>
  <c r="AO18" i="40"/>
  <c r="AN18" i="40"/>
  <c r="AM18" i="40"/>
  <c r="AL18" i="40"/>
  <c r="AK18" i="40"/>
  <c r="AJ18" i="40"/>
  <c r="AI18" i="40"/>
  <c r="AG18" i="40"/>
  <c r="AE18" i="40"/>
  <c r="AD18" i="40"/>
  <c r="AC18" i="40"/>
  <c r="AB18" i="40"/>
  <c r="BJ17" i="40"/>
  <c r="BI17" i="40"/>
  <c r="BH17" i="40"/>
  <c r="BG17" i="40"/>
  <c r="BF17" i="40"/>
  <c r="BE17" i="40"/>
  <c r="BD17" i="40"/>
  <c r="BC17" i="40"/>
  <c r="BB17" i="40"/>
  <c r="BA17" i="40"/>
  <c r="AZ17" i="40"/>
  <c r="AY17" i="40"/>
  <c r="AW17" i="40" a="1"/>
  <c r="AW17" i="40"/>
  <c r="AV17" i="40"/>
  <c r="AT17" i="40"/>
  <c r="AS17" i="40"/>
  <c r="AR17" i="40"/>
  <c r="AQ17" i="40"/>
  <c r="AP17" i="40"/>
  <c r="AO17" i="40"/>
  <c r="AN17" i="40"/>
  <c r="AM17" i="40"/>
  <c r="AL17" i="40"/>
  <c r="AK17" i="40"/>
  <c r="AJ17" i="40"/>
  <c r="AI17" i="40"/>
  <c r="AG17" i="40"/>
  <c r="AE17" i="40"/>
  <c r="AD17" i="40"/>
  <c r="AC17" i="40"/>
  <c r="AB17" i="40"/>
  <c r="BJ16" i="40"/>
  <c r="BI16" i="40"/>
  <c r="BH16" i="40"/>
  <c r="BG16" i="40"/>
  <c r="BF16" i="40"/>
  <c r="BE16" i="40"/>
  <c r="BD16" i="40"/>
  <c r="BC16" i="40"/>
  <c r="BB16" i="40"/>
  <c r="BA16" i="40"/>
  <c r="AZ16" i="40"/>
  <c r="AY16" i="40"/>
  <c r="AW16" i="40" a="1"/>
  <c r="AW16" i="40"/>
  <c r="AV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G16" i="40"/>
  <c r="AE16" i="40"/>
  <c r="AD16" i="40"/>
  <c r="AC16" i="40"/>
  <c r="AB16" i="40"/>
  <c r="BJ15" i="40"/>
  <c r="BI15" i="40"/>
  <c r="BH15" i="40"/>
  <c r="BG15" i="40"/>
  <c r="BF15" i="40"/>
  <c r="BE15" i="40"/>
  <c r="BD15" i="40"/>
  <c r="BC15" i="40"/>
  <c r="BB15" i="40"/>
  <c r="BA15" i="40"/>
  <c r="AZ15" i="40"/>
  <c r="AY15" i="40"/>
  <c r="AW15" i="40" a="1"/>
  <c r="AW15" i="40"/>
  <c r="AV15" i="40"/>
  <c r="AT15" i="40"/>
  <c r="AS15" i="40"/>
  <c r="AR15" i="40"/>
  <c r="AQ15" i="40"/>
  <c r="AP15" i="40"/>
  <c r="AO15" i="40"/>
  <c r="AN15" i="40"/>
  <c r="AM15" i="40"/>
  <c r="AL15" i="40"/>
  <c r="AK15" i="40"/>
  <c r="AJ15" i="40"/>
  <c r="AI15" i="40"/>
  <c r="AG15" i="40"/>
  <c r="AE15" i="40"/>
  <c r="AD15" i="40"/>
  <c r="AC15" i="40"/>
  <c r="AB15" i="40"/>
  <c r="BJ14" i="40"/>
  <c r="BI14" i="40"/>
  <c r="BH14" i="40"/>
  <c r="BG14" i="40"/>
  <c r="BF14" i="40"/>
  <c r="BE14" i="40"/>
  <c r="BD14" i="40"/>
  <c r="BC14" i="40"/>
  <c r="BB14" i="40"/>
  <c r="BA14" i="40"/>
  <c r="AZ14" i="40"/>
  <c r="AY14" i="40"/>
  <c r="AW14" i="40" a="1"/>
  <c r="AW14" i="40"/>
  <c r="AV14" i="40"/>
  <c r="AT14" i="40"/>
  <c r="AS14" i="40"/>
  <c r="AR14" i="40"/>
  <c r="AQ14" i="40"/>
  <c r="AP14" i="40"/>
  <c r="AO14" i="40"/>
  <c r="AN14" i="40"/>
  <c r="AM14" i="40"/>
  <c r="AL14" i="40"/>
  <c r="AK14" i="40"/>
  <c r="AJ14" i="40"/>
  <c r="AI14" i="40"/>
  <c r="AG14" i="40"/>
  <c r="AE14" i="40"/>
  <c r="AD14" i="40"/>
  <c r="AC14" i="40"/>
  <c r="AB14" i="40"/>
  <c r="BJ13" i="40"/>
  <c r="BI13" i="40"/>
  <c r="BH13" i="40"/>
  <c r="BG13" i="40"/>
  <c r="BF13" i="40"/>
  <c r="BE13" i="40"/>
  <c r="BD13" i="40"/>
  <c r="BC13" i="40"/>
  <c r="BB13" i="40"/>
  <c r="BA13" i="40"/>
  <c r="AZ13" i="40"/>
  <c r="AY13" i="40"/>
  <c r="AW13" i="40" a="1"/>
  <c r="AW13" i="40"/>
  <c r="AV13" i="40"/>
  <c r="AT13" i="40"/>
  <c r="AS13" i="40"/>
  <c r="AR13" i="40"/>
  <c r="AQ13" i="40"/>
  <c r="AP13" i="40"/>
  <c r="AO13" i="40"/>
  <c r="AN13" i="40"/>
  <c r="AM13" i="40"/>
  <c r="AL13" i="40"/>
  <c r="AK13" i="40"/>
  <c r="AJ13" i="40"/>
  <c r="AI13" i="40"/>
  <c r="AG13" i="40"/>
  <c r="AE13" i="40"/>
  <c r="AD13" i="40"/>
  <c r="AC13" i="40"/>
  <c r="AB13" i="40"/>
  <c r="BJ12" i="40"/>
  <c r="BI12" i="40"/>
  <c r="BH12" i="40"/>
  <c r="BG12" i="40"/>
  <c r="BF12" i="40"/>
  <c r="BE12" i="40"/>
  <c r="BD12" i="40"/>
  <c r="BC12" i="40"/>
  <c r="BB12" i="40"/>
  <c r="BA12" i="40"/>
  <c r="AZ12" i="40"/>
  <c r="AY12" i="40"/>
  <c r="AW12" i="40" a="1"/>
  <c r="AW12" i="40"/>
  <c r="AV12" i="40"/>
  <c r="AT12" i="40"/>
  <c r="AS12" i="40"/>
  <c r="AR12" i="40"/>
  <c r="AQ12" i="40"/>
  <c r="AP12" i="40"/>
  <c r="AO12" i="40"/>
  <c r="AN12" i="40"/>
  <c r="AM12" i="40"/>
  <c r="AL12" i="40"/>
  <c r="AK12" i="40"/>
  <c r="AJ12" i="40"/>
  <c r="AI12" i="40"/>
  <c r="AG12" i="40"/>
  <c r="AE12" i="40"/>
  <c r="AD12" i="40"/>
  <c r="AC12" i="40"/>
  <c r="AB12" i="40"/>
  <c r="BJ11" i="40"/>
  <c r="BI11" i="40"/>
  <c r="BH11" i="40"/>
  <c r="BG11" i="40"/>
  <c r="BF11" i="40"/>
  <c r="BE11" i="40"/>
  <c r="BD11" i="40"/>
  <c r="BC11" i="40"/>
  <c r="BB11" i="40"/>
  <c r="BA11" i="40"/>
  <c r="AZ11" i="40"/>
  <c r="AY11" i="40"/>
  <c r="AW11" i="40" a="1"/>
  <c r="AW11" i="40"/>
  <c r="AV11" i="40"/>
  <c r="AT11" i="40"/>
  <c r="AS11" i="40"/>
  <c r="AR11" i="40"/>
  <c r="AQ11" i="40"/>
  <c r="AP11" i="40"/>
  <c r="AO11" i="40"/>
  <c r="AN11" i="40"/>
  <c r="AM11" i="40"/>
  <c r="AL11" i="40"/>
  <c r="AK11" i="40"/>
  <c r="AJ11" i="40"/>
  <c r="AI11" i="40"/>
  <c r="AG11" i="40"/>
  <c r="AE11" i="40"/>
  <c r="AD11" i="40"/>
  <c r="AC11" i="40"/>
  <c r="AB11" i="40"/>
  <c r="BJ10" i="40"/>
  <c r="BI10" i="40"/>
  <c r="BH10" i="40"/>
  <c r="BG10" i="40"/>
  <c r="BF10" i="40"/>
  <c r="BE10" i="40"/>
  <c r="BD10" i="40"/>
  <c r="BC10" i="40"/>
  <c r="BB10" i="40"/>
  <c r="BA10" i="40"/>
  <c r="AZ10" i="40"/>
  <c r="AY10" i="40"/>
  <c r="AW10" i="40" a="1"/>
  <c r="AW10" i="40"/>
  <c r="AV10" i="40"/>
  <c r="AT10" i="40"/>
  <c r="AS10" i="40"/>
  <c r="AR10" i="40"/>
  <c r="AQ10" i="40"/>
  <c r="AP10" i="40"/>
  <c r="AO10" i="40"/>
  <c r="AN10" i="40"/>
  <c r="AM10" i="40"/>
  <c r="AL10" i="40"/>
  <c r="AK10" i="40"/>
  <c r="AJ10" i="40"/>
  <c r="AI10" i="40"/>
  <c r="AG10" i="40"/>
  <c r="AE10" i="40"/>
  <c r="AD10" i="40"/>
  <c r="AC10" i="40"/>
  <c r="AB10" i="40"/>
  <c r="BJ9" i="40"/>
  <c r="BI9" i="40"/>
  <c r="BH9" i="40"/>
  <c r="BG9" i="40"/>
  <c r="BF9" i="40"/>
  <c r="BE9" i="40"/>
  <c r="BD9" i="40"/>
  <c r="BC9" i="40"/>
  <c r="BB9" i="40"/>
  <c r="BA9" i="40"/>
  <c r="AZ9" i="40"/>
  <c r="AY9" i="40"/>
  <c r="AW9" i="40" a="1"/>
  <c r="AW9" i="40"/>
  <c r="AV9" i="40"/>
  <c r="AT9" i="40"/>
  <c r="AS9" i="40"/>
  <c r="AR9" i="40"/>
  <c r="AQ9" i="40"/>
  <c r="AP9" i="40"/>
  <c r="AO9" i="40"/>
  <c r="AN9" i="40"/>
  <c r="AM9" i="40"/>
  <c r="AL9" i="40"/>
  <c r="AK9" i="40"/>
  <c r="AJ9" i="40"/>
  <c r="AI9" i="40"/>
  <c r="AG9" i="40"/>
  <c r="AE9" i="40"/>
  <c r="AD9" i="40"/>
  <c r="AC9" i="40"/>
  <c r="AB9" i="40"/>
  <c r="BJ8" i="40"/>
  <c r="BI8" i="40"/>
  <c r="BH8" i="40"/>
  <c r="BG8" i="40"/>
  <c r="BF8" i="40"/>
  <c r="BE8" i="40"/>
  <c r="BD8" i="40"/>
  <c r="BC8" i="40"/>
  <c r="BB8" i="40"/>
  <c r="BA8" i="40"/>
  <c r="AZ8" i="40"/>
  <c r="AY8" i="40"/>
  <c r="AW8" i="40" a="1"/>
  <c r="AW8" i="40"/>
  <c r="AV8" i="40"/>
  <c r="AT8" i="40"/>
  <c r="AS8" i="40"/>
  <c r="AR8" i="40"/>
  <c r="AQ8" i="40"/>
  <c r="AP8" i="40"/>
  <c r="AO8" i="40"/>
  <c r="AN8" i="40"/>
  <c r="AM8" i="40"/>
  <c r="AL8" i="40"/>
  <c r="AK8" i="40"/>
  <c r="AJ8" i="40"/>
  <c r="AI8" i="40"/>
  <c r="AG8" i="40"/>
  <c r="AE8" i="40"/>
  <c r="AD8" i="40"/>
  <c r="AC8" i="40"/>
  <c r="AB8" i="40"/>
  <c r="BJ7" i="40"/>
  <c r="BI7" i="40"/>
  <c r="BH7" i="40"/>
  <c r="BG7" i="40"/>
  <c r="BF7" i="40"/>
  <c r="BE7" i="40"/>
  <c r="BD7" i="40"/>
  <c r="BC7" i="40"/>
  <c r="BB7" i="40"/>
  <c r="BA7" i="40"/>
  <c r="AZ7" i="40"/>
  <c r="AY7" i="40"/>
  <c r="AW7" i="40" a="1"/>
  <c r="AW7" i="40"/>
  <c r="AV7" i="40"/>
  <c r="AT7" i="40"/>
  <c r="AS7" i="40"/>
  <c r="AR7" i="40"/>
  <c r="AQ7" i="40"/>
  <c r="AP7" i="40"/>
  <c r="AO7" i="40"/>
  <c r="AN7" i="40"/>
  <c r="AM7" i="40"/>
  <c r="AL7" i="40"/>
  <c r="AK7" i="40"/>
  <c r="AJ7" i="40"/>
  <c r="AI7" i="40"/>
  <c r="AG7" i="40"/>
  <c r="AE7" i="40"/>
  <c r="AD7" i="40"/>
  <c r="AC7" i="40"/>
  <c r="AB7" i="40"/>
  <c r="BJ6" i="40"/>
  <c r="BI6" i="40"/>
  <c r="BH6" i="40"/>
  <c r="BG6" i="40"/>
  <c r="BF6" i="40"/>
  <c r="BE6" i="40"/>
  <c r="BD6" i="40"/>
  <c r="BC6" i="40"/>
  <c r="BB6" i="40"/>
  <c r="BA6" i="40"/>
  <c r="AZ6" i="40"/>
  <c r="AY6" i="40"/>
  <c r="AW6" i="40" a="1"/>
  <c r="AW6" i="40"/>
  <c r="AV6" i="40"/>
  <c r="AT6" i="40"/>
  <c r="AS6" i="40"/>
  <c r="AR6" i="40"/>
  <c r="AQ6" i="40"/>
  <c r="AP6" i="40"/>
  <c r="AO6" i="40"/>
  <c r="AN6" i="40"/>
  <c r="AM6" i="40"/>
  <c r="AL6" i="40"/>
  <c r="AK6" i="40"/>
  <c r="AJ6" i="40"/>
  <c r="AI6" i="40"/>
  <c r="AG6" i="40"/>
  <c r="AE6" i="40"/>
  <c r="AD6" i="40"/>
  <c r="AC6" i="40"/>
  <c r="AB6" i="40"/>
  <c r="BJ5" i="40"/>
  <c r="BI5" i="40"/>
  <c r="BH5" i="40"/>
  <c r="BG5" i="40"/>
  <c r="BF5" i="40"/>
  <c r="BE5" i="40"/>
  <c r="BD5" i="40"/>
  <c r="BC5" i="40"/>
  <c r="BB5" i="40"/>
  <c r="BA5" i="40"/>
  <c r="AZ5" i="40"/>
  <c r="AY5" i="40"/>
  <c r="AW5" i="40" a="1"/>
  <c r="AW5" i="40"/>
  <c r="AV5" i="40"/>
  <c r="AT5" i="40"/>
  <c r="AS5" i="40"/>
  <c r="AR5" i="40"/>
  <c r="AQ5" i="40"/>
  <c r="AP5" i="40"/>
  <c r="AO5" i="40"/>
  <c r="AN5" i="40"/>
  <c r="AM5" i="40"/>
  <c r="AL5" i="40"/>
  <c r="AK5" i="40"/>
  <c r="AJ5" i="40"/>
  <c r="AI5" i="40"/>
  <c r="AG5" i="40"/>
  <c r="AE5" i="40"/>
  <c r="AD5" i="40"/>
  <c r="AC5" i="40"/>
  <c r="AB5" i="40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<sst xmlns="http://schemas.openxmlformats.org/spreadsheetml/2006/main" count="4265" uniqueCount="676">
  <si>
    <t>序号</t>
  </si>
  <si>
    <t>适用牌号</t>
  </si>
  <si>
    <t>厚度mm</t>
  </si>
  <si>
    <t>炼钢牌号</t>
  </si>
  <si>
    <t>钢种类型</t>
  </si>
  <si>
    <t>液相线温度℃</t>
  </si>
  <si>
    <t>终点碳</t>
  </si>
  <si>
    <t>终点锰</t>
  </si>
  <si>
    <t>硅回收率</t>
  </si>
  <si>
    <t>锰回收率</t>
  </si>
  <si>
    <t>钒回收率</t>
  </si>
  <si>
    <t>铌回收率</t>
  </si>
  <si>
    <t>钛回收率</t>
  </si>
  <si>
    <t>铬回收率</t>
  </si>
  <si>
    <t>镍回收率</t>
  </si>
  <si>
    <t>铜回收率</t>
  </si>
  <si>
    <t>钼回收率</t>
  </si>
  <si>
    <t>硼回收率</t>
  </si>
  <si>
    <t>锑回收率</t>
  </si>
  <si>
    <t>磷回收率</t>
  </si>
  <si>
    <t>硫回收率</t>
  </si>
  <si>
    <t>碳回收率</t>
  </si>
  <si>
    <t>Q195</t>
  </si>
  <si>
    <t>01</t>
  </si>
  <si>
    <t>Q195-1</t>
  </si>
  <si>
    <t>A 碳素钢-碳素结构钢-A20 Q195</t>
  </si>
  <si>
    <t>02</t>
  </si>
  <si>
    <t>Q195-2</t>
  </si>
  <si>
    <t>Q235B</t>
  </si>
  <si>
    <t>Q235B-1</t>
  </si>
  <si>
    <t>A 碳素钢-碳素结构钢-A01 Q235B</t>
  </si>
  <si>
    <t>Q235B-2</t>
  </si>
  <si>
    <t>Q235C</t>
  </si>
  <si>
    <t>Q235C-1</t>
  </si>
  <si>
    <t>A 碳素钢-碳素结构钢-A02 Q235C</t>
  </si>
  <si>
    <t>Q235C-2</t>
  </si>
  <si>
    <t>Q235B-WJ</t>
  </si>
  <si>
    <t>Q235B-LX</t>
  </si>
  <si>
    <t>Q235B-HX</t>
  </si>
  <si>
    <t>Q235B-GL</t>
  </si>
  <si>
    <t>Q235B-GL1</t>
  </si>
  <si>
    <t>A 碳素钢-碳素结构钢-A06 Q235B-GL</t>
  </si>
  <si>
    <t>Q235B-GL2</t>
  </si>
  <si>
    <t>Q235B-GC</t>
  </si>
  <si>
    <t>Q235B-GC1</t>
  </si>
  <si>
    <t>A 碳素钢-碳素结构钢-A33 Q235B-GC</t>
  </si>
  <si>
    <t>Q235B-GC2</t>
  </si>
  <si>
    <t>Q235B-SD</t>
  </si>
  <si>
    <t>Q235B-SD1</t>
  </si>
  <si>
    <t>A 碳素钢-碳素结构钢-A22 Q235B-SD</t>
  </si>
  <si>
    <t>Q235B-SD2</t>
  </si>
  <si>
    <t>Q235B-HG</t>
  </si>
  <si>
    <t>A 碳素钢-碳素结构钢-A05 Q235B-HG</t>
  </si>
  <si>
    <t>A36</t>
  </si>
  <si>
    <t>A36-1</t>
  </si>
  <si>
    <t>A 碳素钢-碳素结构钢-A09 A36</t>
  </si>
  <si>
    <t>A36-2</t>
  </si>
  <si>
    <t>A36-DX</t>
  </si>
  <si>
    <t>A36-DX1</t>
  </si>
  <si>
    <t>A 碳素钢-碳素结构钢-A36 A36-DX</t>
  </si>
  <si>
    <t>A36-DX2</t>
  </si>
  <si>
    <t>SS400</t>
  </si>
  <si>
    <t>SS400-1</t>
  </si>
  <si>
    <t>A 碳素钢-碳素结构钢-A18 SS400</t>
  </si>
  <si>
    <t>SS400-2</t>
  </si>
  <si>
    <t>A36-HW</t>
  </si>
  <si>
    <t>Q235-HW</t>
  </si>
  <si>
    <t>E 花纹板-花纹板类钢材-E01 Q235-HW</t>
  </si>
  <si>
    <t>Q355-HW</t>
  </si>
  <si>
    <t>Q355-HW1</t>
  </si>
  <si>
    <t>E 花纹板-花纹板类钢材-E04 Q355-HW</t>
  </si>
  <si>
    <t>Q355-HW2</t>
  </si>
  <si>
    <t>SPHC</t>
  </si>
  <si>
    <t>SPHC-ZT</t>
  </si>
  <si>
    <t>C 热轧低碳钢-冷轧基料-C01 SPHC</t>
  </si>
  <si>
    <t>SPHC-SX</t>
  </si>
  <si>
    <t>SPHC-M</t>
  </si>
  <si>
    <t>C 热轧低碳钢-冷轧基料-C02 SPHC-M</t>
  </si>
  <si>
    <t>SPHC-M(B)</t>
  </si>
  <si>
    <t>C 热轧低碳钢-冷轧基料-C05 SPHC-M(B)</t>
  </si>
  <si>
    <t>MRT2.5</t>
  </si>
  <si>
    <t>C 热轧低碳钢-冷轧基料-C03 MRT2.5</t>
  </si>
  <si>
    <t>YFMRT2.5</t>
  </si>
  <si>
    <t>C 热轧低碳钢-冷轧基料-C07 YFMRT2.5</t>
  </si>
  <si>
    <t>YLMRT3</t>
  </si>
  <si>
    <t>C 热轧低碳钢-冷轧基料-C04 YLMRT3</t>
  </si>
  <si>
    <t>Q355B</t>
  </si>
  <si>
    <t>Q355B-1</t>
  </si>
  <si>
    <t>B 结构钢-低合金高强结构钢-B01 Q355B</t>
  </si>
  <si>
    <t>Q355B-2</t>
  </si>
  <si>
    <t>03</t>
  </si>
  <si>
    <t>Q355B-3B</t>
  </si>
  <si>
    <t>B 低合金钢-低合金高强结构钢-B01 Q355B</t>
  </si>
  <si>
    <t>Q355C</t>
  </si>
  <si>
    <t>Q355C-1</t>
  </si>
  <si>
    <t>B 低合金钢-低合金高强结构钢-B03 Q355C</t>
  </si>
  <si>
    <t>Q355C-2</t>
  </si>
  <si>
    <t>Q355C-3</t>
  </si>
  <si>
    <t>Q355D</t>
  </si>
  <si>
    <t>Q355D-1</t>
  </si>
  <si>
    <t>B 低合金钢-低合金高强结构钢-B04 Q355D</t>
  </si>
  <si>
    <t>Q355D-2</t>
  </si>
  <si>
    <t>Q355D-3</t>
  </si>
  <si>
    <t>Q355B-T</t>
  </si>
  <si>
    <t>Q355B-T1</t>
  </si>
  <si>
    <t>B 低合金钢-低合金高强结构钢-B17 Q355B-T</t>
  </si>
  <si>
    <t>Q355B-T2</t>
  </si>
  <si>
    <t>Q355B-T3</t>
  </si>
  <si>
    <t>Q355ME</t>
  </si>
  <si>
    <t>Q355ME-1</t>
  </si>
  <si>
    <t>B 低合金钢-低合金高强结构钢-B26 Q355ME</t>
  </si>
  <si>
    <t>Q355ME-2</t>
  </si>
  <si>
    <t>Q355ME-3</t>
  </si>
  <si>
    <t>Q355B-S</t>
  </si>
  <si>
    <t>B 低合金钢-低合金高强结构钢-B24 Q355B-S</t>
  </si>
  <si>
    <t>Q355B-SS</t>
  </si>
  <si>
    <t>Q355B-SD</t>
  </si>
  <si>
    <t>Q355B-SD1</t>
  </si>
  <si>
    <t>B 低合金钢-低合金高强结构钢-B46 Q355B-SD</t>
  </si>
  <si>
    <t>Q355B-SD2</t>
  </si>
  <si>
    <t>Q355B-SD3</t>
  </si>
  <si>
    <t>Q355B-DX</t>
  </si>
  <si>
    <t>Q355B-DX1</t>
  </si>
  <si>
    <t>B 低合金钢-低合金高强结构钢-B20 Q355B-DX</t>
  </si>
  <si>
    <t>Q355B-ZW</t>
  </si>
  <si>
    <t>Q355B-ZW3</t>
  </si>
  <si>
    <t>B 低合金钢-低合金高强结构钢-B19 Q355B-ZW</t>
  </si>
  <si>
    <t>Q355B-ZW4</t>
  </si>
  <si>
    <t>Q355B-HL1</t>
  </si>
  <si>
    <t>Q355B-3A</t>
  </si>
  <si>
    <t>Q355B-HL2</t>
  </si>
  <si>
    <t>Q355B-HL3</t>
  </si>
  <si>
    <t>Q355B-HL4</t>
  </si>
  <si>
    <t>Q355C-HL3</t>
  </si>
  <si>
    <t>SS400-M</t>
  </si>
  <si>
    <t>A 碳素钢-碳素结构钢-A43 SS400-M</t>
  </si>
  <si>
    <t>Q390B</t>
  </si>
  <si>
    <t>Q390B-1</t>
  </si>
  <si>
    <t>B 低合金钢-低合金高强结构钢-B16 Q390B</t>
  </si>
  <si>
    <t>Q390B-2</t>
  </si>
  <si>
    <t>Q390B-3</t>
  </si>
  <si>
    <t>Q420B</t>
  </si>
  <si>
    <t>Q420B-1</t>
  </si>
  <si>
    <t>B 低合金钢-低合金高强结构钢-B02 Q420B</t>
  </si>
  <si>
    <t>Q420B-2</t>
  </si>
  <si>
    <t>Q420MB</t>
  </si>
  <si>
    <t>Q420B-HL1</t>
  </si>
  <si>
    <t>Q420B-HL2</t>
  </si>
  <si>
    <t>Q420C</t>
  </si>
  <si>
    <t>Q420C-1</t>
  </si>
  <si>
    <t>B 低合金钢-低合金高强结构钢-B29 Q420C</t>
  </si>
  <si>
    <t>Q420C-2</t>
  </si>
  <si>
    <t>Q420C-HL2</t>
  </si>
  <si>
    <t>Q420MD</t>
  </si>
  <si>
    <t>Q420MD-1</t>
  </si>
  <si>
    <t>B 低合金钢-低合金高强结构钢-B48 Q420MD-HL2</t>
  </si>
  <si>
    <t>Q420MD-2</t>
  </si>
  <si>
    <t>Q420MD-HL1</t>
  </si>
  <si>
    <t>Q420MD-HL2</t>
  </si>
  <si>
    <t>Q420ME</t>
  </si>
  <si>
    <t>Q420ME-1</t>
  </si>
  <si>
    <t>B 低合金钢-低合金高强结构钢-B44 Q420ME</t>
  </si>
  <si>
    <t>Q420ME-2</t>
  </si>
  <si>
    <t>Q460C</t>
  </si>
  <si>
    <t>Q460C-1</t>
  </si>
  <si>
    <t>B 低合金钢-低合金高强结构钢-B22 Q460C</t>
  </si>
  <si>
    <t>Q460C-2</t>
  </si>
  <si>
    <t>Q460MC</t>
  </si>
  <si>
    <t>Q460MC-1</t>
  </si>
  <si>
    <t>B 低合金钢-低合金高强结构钢-B06 Q460MC</t>
  </si>
  <si>
    <t>Q460MC-2</t>
  </si>
  <si>
    <t>Q460MC(YZ)</t>
  </si>
  <si>
    <t>Q460MC(YZ)-2</t>
  </si>
  <si>
    <t>B 低合金钢-低合金高强结构钢-B56 Q460MC(YZ)</t>
  </si>
  <si>
    <t>Q460MD</t>
  </si>
  <si>
    <t>Q460MD-1</t>
  </si>
  <si>
    <t>B 低合金钢-低合金高强结构钢-B07 Q460MD</t>
  </si>
  <si>
    <t>Q460MD-2</t>
  </si>
  <si>
    <t>Q500MC</t>
  </si>
  <si>
    <t>Q500MC-1</t>
  </si>
  <si>
    <t>B 低合金钢-低合金高强结构钢-B49 Q500MC</t>
  </si>
  <si>
    <t>Q500MC-2</t>
  </si>
  <si>
    <t>Q500MD</t>
  </si>
  <si>
    <t>Q500MD-1</t>
  </si>
  <si>
    <t>B 低合金钢-低合金高强结构钢-B50 Q500MD</t>
  </si>
  <si>
    <t>Q500MD-2</t>
  </si>
  <si>
    <t>Q550MD</t>
  </si>
  <si>
    <t>B 低合金钢-低合金高强结构钢-B38 Q550MD</t>
  </si>
  <si>
    <t>Q390GJB</t>
  </si>
  <si>
    <t>Q390GJB-1</t>
  </si>
  <si>
    <t>B 低合金钢-低合金高强结构钢-B40 Q390GJB</t>
  </si>
  <si>
    <t>Q390GJB-2</t>
  </si>
  <si>
    <t>A572Gr50</t>
  </si>
  <si>
    <t>A572Gr50-1</t>
  </si>
  <si>
    <t>B 低合金钢-低合金高强结构钢-B25 A572Gr50</t>
  </si>
  <si>
    <t>A572Gr50-2</t>
  </si>
  <si>
    <t>A572Gr50-3</t>
  </si>
  <si>
    <t>A572Gr50-DX</t>
  </si>
  <si>
    <t>A572Gr50-DX1</t>
  </si>
  <si>
    <t>B 低合金钢-低合金高强结构钢-B55 A572Gr50-DX</t>
  </si>
  <si>
    <t>A572Gr50-DX2</t>
  </si>
  <si>
    <t>A572Gr50-DX3</t>
  </si>
  <si>
    <t>A572GR60</t>
  </si>
  <si>
    <t>A572GR60-1</t>
  </si>
  <si>
    <t>B 低合金钢-低合金高强结构钢-B54 A572GR60</t>
  </si>
  <si>
    <t>A572GR60-2</t>
  </si>
  <si>
    <t>A572GR60-3</t>
  </si>
  <si>
    <t>A572GR65</t>
  </si>
  <si>
    <t>A572GR65-1</t>
  </si>
  <si>
    <t>B 低合金钢-低合金高强结构钢-B37 A572GR65</t>
  </si>
  <si>
    <t>A572GR65-2</t>
  </si>
  <si>
    <t>A572GR65-T</t>
  </si>
  <si>
    <t>A572GR65-T1</t>
  </si>
  <si>
    <t>B 低合金钢-低合金高强结构钢-B30 A572GR65-T</t>
  </si>
  <si>
    <t>A572GR65-T2</t>
  </si>
  <si>
    <t>26MnB5</t>
  </si>
  <si>
    <t>I 合金结构钢-MnB钢-I02 26MnB5</t>
  </si>
  <si>
    <t>SA516 Gr70</t>
  </si>
  <si>
    <t>SA516 Gr70-1</t>
  </si>
  <si>
    <t>F 压力容器用钢-美标-F05 SA516 Gr70</t>
  </si>
  <si>
    <t>S235JR</t>
  </si>
  <si>
    <t>S235JR-1</t>
  </si>
  <si>
    <t>A 碳素钢-碳素结构钢-A17 S235JR</t>
  </si>
  <si>
    <t>S235JR-2</t>
  </si>
  <si>
    <t>S235JR-DX</t>
  </si>
  <si>
    <t>S235JR-DX1</t>
  </si>
  <si>
    <t>A 碳素钢-碳素结构钢-A40 S235JR-DX</t>
  </si>
  <si>
    <t>S235JR-DX2</t>
  </si>
  <si>
    <t>S235J0</t>
  </si>
  <si>
    <t>S235J0-1</t>
  </si>
  <si>
    <t>A 碳素钢-碳素结构钢-A14 S235J0</t>
  </si>
  <si>
    <t>S235J0-2</t>
  </si>
  <si>
    <t>S235J2</t>
  </si>
  <si>
    <t>S235J2-1</t>
  </si>
  <si>
    <t>A 碳素钢-碳素结构钢-A15 S235J2</t>
  </si>
  <si>
    <t>S235J2-2</t>
  </si>
  <si>
    <t>S275JR</t>
  </si>
  <si>
    <t>S275JR-1</t>
  </si>
  <si>
    <t>A 碳素钢-碳素结构钢-A10 S275JR</t>
  </si>
  <si>
    <t>S275JR-2</t>
  </si>
  <si>
    <t>S275JR-3</t>
  </si>
  <si>
    <t>S275JR-DX</t>
  </si>
  <si>
    <t>S275JR-DX1</t>
  </si>
  <si>
    <t>A 碳素钢-碳素结构钢-A38 S275JR-DX</t>
  </si>
  <si>
    <t>S275JR-DX2</t>
  </si>
  <si>
    <t>S275J0</t>
  </si>
  <si>
    <t>S275J0-1</t>
  </si>
  <si>
    <t>A 碳素钢-碳素结构钢-A28 S275J0</t>
  </si>
  <si>
    <t>S275J0-2</t>
  </si>
  <si>
    <t>S275J2</t>
  </si>
  <si>
    <t>S275J2-1</t>
  </si>
  <si>
    <t>A 碳素钢-碳素结构钢-A29 S275J2</t>
  </si>
  <si>
    <t>S275J2-2</t>
  </si>
  <si>
    <t>S355JR</t>
  </si>
  <si>
    <t>S355JR-1</t>
  </si>
  <si>
    <t>A 碳素钢-碳素结构钢-A21 S355JR</t>
  </si>
  <si>
    <t>S355JR-2</t>
  </si>
  <si>
    <t>S355JR-3</t>
  </si>
  <si>
    <t>S355JR-DX</t>
  </si>
  <si>
    <t>S355JR-DX1</t>
  </si>
  <si>
    <t>A 碳素钢-碳素结构钢-A31 S355JR-DX</t>
  </si>
  <si>
    <t>S355JR-DX2</t>
  </si>
  <si>
    <t>S355J0</t>
  </si>
  <si>
    <t>S355J0-1</t>
  </si>
  <si>
    <t>A 碳素钢-碳素结构钢-A26 S355J0</t>
  </si>
  <si>
    <t>S355J0-2</t>
  </si>
  <si>
    <t>S355J0-3</t>
  </si>
  <si>
    <t>S355J0-DX</t>
  </si>
  <si>
    <t>S355J0-DX1</t>
  </si>
  <si>
    <t>A 碳素钢-碳素结构钢-A32 S355J0-DX</t>
  </si>
  <si>
    <t>S355J0-DX2</t>
  </si>
  <si>
    <t>S355J2</t>
  </si>
  <si>
    <t>S355J2-1</t>
  </si>
  <si>
    <t>A 碳素钢-碳素结构钢-A16 S355J2</t>
  </si>
  <si>
    <t>S355J2-2</t>
  </si>
  <si>
    <t>S355J2-3</t>
  </si>
  <si>
    <t>S355M</t>
  </si>
  <si>
    <t>S355M-1</t>
  </si>
  <si>
    <t>A 碳素钢-碳素结构钢-A11 S355M</t>
  </si>
  <si>
    <t>S355M-2</t>
  </si>
  <si>
    <t>S460M</t>
  </si>
  <si>
    <t>S460M-1</t>
  </si>
  <si>
    <t>A 碳素钢-碳素结构钢-A12 S460M</t>
  </si>
  <si>
    <t>S460M-2</t>
  </si>
  <si>
    <t>S420MC</t>
  </si>
  <si>
    <t>S420MC-1</t>
  </si>
  <si>
    <t>B 低合金钢-低合金高强结构钢-B32 S420MC</t>
  </si>
  <si>
    <t>S420MC-2</t>
  </si>
  <si>
    <t>S460MC</t>
  </si>
  <si>
    <t>S460MC-1</t>
  </si>
  <si>
    <t>B 低合金钢-低合金高强结构钢-B53 S460MC</t>
  </si>
  <si>
    <t>S460MC-2</t>
  </si>
  <si>
    <t>S500MC</t>
  </si>
  <si>
    <t>S500MC-1</t>
  </si>
  <si>
    <t>D 汽车用钢-汽车结构钢-D11 S500MC</t>
  </si>
  <si>
    <t>S500MC-2</t>
  </si>
  <si>
    <t>QStE420TM</t>
  </si>
  <si>
    <t>QStE420TM-1</t>
  </si>
  <si>
    <t>D 汽车用钢-汽车结构钢-D17 QStE420TM</t>
  </si>
  <si>
    <t>QStE420TM-2</t>
  </si>
  <si>
    <t>QStE500TM</t>
  </si>
  <si>
    <t>QStE500TM-1</t>
  </si>
  <si>
    <t>D 汽车用钢-汽车结构钢-D12 QStE500TM</t>
  </si>
  <si>
    <t>QStE500TM-2</t>
  </si>
  <si>
    <t>QStE700TM</t>
  </si>
  <si>
    <t>QStE700TM-1</t>
  </si>
  <si>
    <t>D 汽车用钢-汽车结构钢-D19 QStE700TM</t>
  </si>
  <si>
    <t>QStE700TM-2</t>
  </si>
  <si>
    <t>BX700</t>
  </si>
  <si>
    <t>B 低合金钢-保险箱用钢-B45 BX700</t>
  </si>
  <si>
    <t>SR700</t>
  </si>
  <si>
    <t>B 低合金钢-保险箱用钢-B58 SR700</t>
  </si>
  <si>
    <t>C355-5</t>
  </si>
  <si>
    <t>B 低合金钢-低合金高强结构钢-B41 C355-5</t>
  </si>
  <si>
    <t>YFA-1</t>
  </si>
  <si>
    <t>D 汽车用钢-汽车大梁钢-D22 YFA-1</t>
  </si>
  <si>
    <t>Q245R</t>
  </si>
  <si>
    <t>Q245R-1</t>
  </si>
  <si>
    <t>F 压力容器用钢-345级别-F02 Q245R</t>
  </si>
  <si>
    <t>Q245R-2</t>
  </si>
  <si>
    <t>Q345R</t>
  </si>
  <si>
    <t>F 压力容器用钢-345级别-F01 Q345R</t>
  </si>
  <si>
    <t>Q345R-1</t>
  </si>
  <si>
    <t>Q345R-E</t>
  </si>
  <si>
    <t>Q345R-E1</t>
  </si>
  <si>
    <t>F 压力容器用钢-345级别-F06 Q345R-E</t>
  </si>
  <si>
    <t>Q345R-E2</t>
  </si>
  <si>
    <t>Q345qC</t>
  </si>
  <si>
    <t>B 低合金钢-低合金高强结构钢-B36 Q345qC</t>
  </si>
  <si>
    <t>Q345qD</t>
  </si>
  <si>
    <t>B 低合金钢-低合金高强结构钢-B35 Q345qD</t>
  </si>
  <si>
    <t>HP295</t>
  </si>
  <si>
    <t>H 焊接气瓶用钢-295级别-H01 HP295</t>
  </si>
  <si>
    <t>Q235PL</t>
  </si>
  <si>
    <t>Q235PL-1</t>
  </si>
  <si>
    <t>D 汽车用钢-汽车车轮用钢-D04 Q235PL</t>
  </si>
  <si>
    <t>Q235PL-2</t>
  </si>
  <si>
    <t>Q255PL-KP</t>
  </si>
  <si>
    <t>Q255PL-KP1</t>
  </si>
  <si>
    <t>D 汽车用钢-汽车车轮用钢-D27 Q255PL-KP</t>
  </si>
  <si>
    <t>Q255PL-KP2</t>
  </si>
  <si>
    <t>330CL</t>
  </si>
  <si>
    <t>330CL-1</t>
  </si>
  <si>
    <t>D 汽车用钢-汽车车轮用钢-D08 330CL</t>
  </si>
  <si>
    <t>330CL-2</t>
  </si>
  <si>
    <t>380CL</t>
  </si>
  <si>
    <t>380CL-1</t>
  </si>
  <si>
    <t>D 汽车用钢-汽车车轮用钢-D02 380CL</t>
  </si>
  <si>
    <t>380CL-2</t>
  </si>
  <si>
    <t>380CL-QL</t>
  </si>
  <si>
    <t>380CL-QL1</t>
  </si>
  <si>
    <t>D 汽车用钢-汽车车轮用钢-D23 380CL-QL</t>
  </si>
  <si>
    <t>380CL-QL2</t>
  </si>
  <si>
    <t>380CL-JD</t>
  </si>
  <si>
    <t>380CL-JD1</t>
  </si>
  <si>
    <t>D 汽车用钢-汽车车轮用钢-D25 380CL-JD</t>
  </si>
  <si>
    <t>380CL-JD2</t>
  </si>
  <si>
    <t>380CL-JD3</t>
  </si>
  <si>
    <t>420CL</t>
  </si>
  <si>
    <t>420CL-1</t>
  </si>
  <si>
    <t>D 汽车用钢-汽车车轮用钢-D18 420CL</t>
  </si>
  <si>
    <t>420CL-2</t>
  </si>
  <si>
    <t>SL440</t>
  </si>
  <si>
    <t>D 汽车用钢-汽车车轮用钢-D21 SL440</t>
  </si>
  <si>
    <t>590CL</t>
  </si>
  <si>
    <t>590CL-1</t>
  </si>
  <si>
    <t>D 汽车用钢-汽车车轮用钢-D13 590CL</t>
  </si>
  <si>
    <t>590CL-2</t>
  </si>
  <si>
    <t>YFDP600-SY</t>
  </si>
  <si>
    <t>D 汽车用钢-汽车车轮用钢-D15 YFDP600-SY</t>
  </si>
  <si>
    <t>510L</t>
  </si>
  <si>
    <t>510L-1</t>
  </si>
  <si>
    <t>D 汽车用钢-汽车大梁钢-D05 510L</t>
  </si>
  <si>
    <t>510L-2</t>
  </si>
  <si>
    <t>610L</t>
  </si>
  <si>
    <t>610L-1</t>
  </si>
  <si>
    <t>D 汽车用钢-汽车大梁钢-D06 610L</t>
  </si>
  <si>
    <t>610L-2</t>
  </si>
  <si>
    <t>YF700BL</t>
  </si>
  <si>
    <t>YF700BL-1</t>
  </si>
  <si>
    <t>D 汽车用钢-汽车大梁钢-D01 YF700BL</t>
  </si>
  <si>
    <t>YF700BL-2</t>
  </si>
  <si>
    <t>YF700BL-3</t>
  </si>
  <si>
    <t>700L</t>
  </si>
  <si>
    <t>700L-1</t>
  </si>
  <si>
    <t>D 汽车用钢-汽车大梁钢-D07 700L</t>
  </si>
  <si>
    <t>700L-2</t>
  </si>
  <si>
    <t>700L-3</t>
  </si>
  <si>
    <t>700L-S</t>
  </si>
  <si>
    <t>700L-S1</t>
  </si>
  <si>
    <t>D 汽车用钢-汽车大梁钢-D24 700L-S</t>
  </si>
  <si>
    <t>700L-S2</t>
  </si>
  <si>
    <t>700L(HJKJ)</t>
  </si>
  <si>
    <t>D 汽车用钢-汽车大梁钢-D26 700L(HJKJ)</t>
  </si>
  <si>
    <t>750L</t>
  </si>
  <si>
    <t>750L-1</t>
  </si>
  <si>
    <t>D 汽车用钢-汽车大梁钢-D16 750L</t>
  </si>
  <si>
    <t>750L-2</t>
  </si>
  <si>
    <t>800L</t>
  </si>
  <si>
    <t>800L-1</t>
  </si>
  <si>
    <t>D 汽车用钢-汽车大梁钢-D10 800L</t>
  </si>
  <si>
    <t>800L-2</t>
  </si>
  <si>
    <t>800L-AC</t>
  </si>
  <si>
    <t>D 汽车用钢-汽车大梁钢-D09 800L-AC</t>
  </si>
  <si>
    <t>800L-ACH</t>
  </si>
  <si>
    <t>L245</t>
  </si>
  <si>
    <t>L245-1</t>
  </si>
  <si>
    <t>L 管线钢-L360级别-L02 L245</t>
  </si>
  <si>
    <t>L245-2</t>
  </si>
  <si>
    <t>L245M</t>
  </si>
  <si>
    <t>L245M-1</t>
  </si>
  <si>
    <t>L 管线钢-L360级别-L03 L245M</t>
  </si>
  <si>
    <t>L245M-2</t>
  </si>
  <si>
    <t>L290</t>
  </si>
  <si>
    <t>L290-1</t>
  </si>
  <si>
    <t>L 管线钢-L290级别-L12 L290</t>
  </si>
  <si>
    <t>L290-2</t>
  </si>
  <si>
    <t>L290M-HZ</t>
  </si>
  <si>
    <t>L290M-HZ1</t>
  </si>
  <si>
    <t>L 管线钢-L290级别-L16 L290M-HZ</t>
  </si>
  <si>
    <t>L290M-HZ2</t>
  </si>
  <si>
    <t>L360</t>
  </si>
  <si>
    <t>L 管线钢-L360级别-L01 L360</t>
  </si>
  <si>
    <t>L360M</t>
  </si>
  <si>
    <t>L 管线钢-L360级别-L15 L360M</t>
  </si>
  <si>
    <t>L485</t>
  </si>
  <si>
    <t>L485-1</t>
  </si>
  <si>
    <t>L 管线钢-L485级别-L08 L485</t>
  </si>
  <si>
    <t>L485-2</t>
  </si>
  <si>
    <t>X42</t>
  </si>
  <si>
    <t>X42-1</t>
  </si>
  <si>
    <t>L 管线钢-API-L09 X42</t>
  </si>
  <si>
    <t>X42-2</t>
  </si>
  <si>
    <t>X60M</t>
  </si>
  <si>
    <t>X60M-1</t>
  </si>
  <si>
    <t>L 管线钢-API-L11 X60M</t>
  </si>
  <si>
    <t>X60M-2</t>
  </si>
  <si>
    <t xml:space="preserve">PSL1 X65 </t>
  </si>
  <si>
    <t>X65-1</t>
  </si>
  <si>
    <t>L 管线钢-API-L04 API 5L X65</t>
  </si>
  <si>
    <t>X65-2</t>
  </si>
  <si>
    <t>X70</t>
  </si>
  <si>
    <t>X70-1</t>
  </si>
  <si>
    <t>L 管线钢-API-L05 X70</t>
  </si>
  <si>
    <t>X70-2</t>
  </si>
  <si>
    <t>X70M</t>
  </si>
  <si>
    <t>X70M-1</t>
  </si>
  <si>
    <t>L 管线钢-API-L06 X70M</t>
  </si>
  <si>
    <t>X70M-2</t>
  </si>
  <si>
    <t>X80M</t>
  </si>
  <si>
    <t>X80M-1</t>
  </si>
  <si>
    <t>L 管线钢-API-L07 X80M</t>
  </si>
  <si>
    <t>X80M-2</t>
  </si>
  <si>
    <t>Gr.B</t>
  </si>
  <si>
    <t>Gr.B-1</t>
  </si>
  <si>
    <t>L 管线钢-API-L13 Gr.B</t>
  </si>
  <si>
    <t>Gr.B-2</t>
  </si>
  <si>
    <t>JF-RS</t>
  </si>
  <si>
    <t>B 低合金钢-低合金高强结构钢-B27 JF-RS</t>
  </si>
  <si>
    <t>F520JJ</t>
  </si>
  <si>
    <t>B 低合金钢-搅拌车用钢-B18 F520JJ</t>
  </si>
  <si>
    <t>09CrCuSb</t>
  </si>
  <si>
    <t>F 压力容器用钢-耐酸钢-F03 09CrCuSb</t>
  </si>
  <si>
    <t>Q235NH</t>
  </si>
  <si>
    <t>Q235NH-1</t>
  </si>
  <si>
    <t>N 耐候钢-焊接耐候结构钢-N02 Q235NH</t>
  </si>
  <si>
    <t>Q235NH-2</t>
  </si>
  <si>
    <t>A709-50W</t>
  </si>
  <si>
    <t>A709-50W-1</t>
  </si>
  <si>
    <t>N 耐候钢-美标低合金高强钢-N04 A709-50W</t>
  </si>
  <si>
    <t>A709-50W-2</t>
  </si>
  <si>
    <t>A588GR.A</t>
  </si>
  <si>
    <t>A588GR.A-1</t>
  </si>
  <si>
    <t>N 耐候钢-美标低合金高强钢-N01 A588GR.A</t>
  </si>
  <si>
    <t>A588GR.A-2</t>
  </si>
  <si>
    <t>Q450NQR1</t>
  </si>
  <si>
    <t>N 耐候钢-焊接耐候结构钢-N03 Q450NQR1</t>
  </si>
  <si>
    <t>HXN-1</t>
  </si>
  <si>
    <t>HXN-11</t>
  </si>
  <si>
    <t>J 耐磨钢-345级别-J01 HXN-1</t>
  </si>
  <si>
    <t>HXN-12</t>
  </si>
  <si>
    <t>HXN-2</t>
  </si>
  <si>
    <t>J 耐磨钢-345级别-J04 HXN-2</t>
  </si>
  <si>
    <t>HXN-3</t>
  </si>
  <si>
    <t>J 耐磨钢-345级别-J11 HXN-3</t>
  </si>
  <si>
    <t>HXN-4</t>
  </si>
  <si>
    <t>J 耐磨钢-345级别-J12 HXN-4</t>
  </si>
  <si>
    <t>HX750</t>
  </si>
  <si>
    <t>HX750-1</t>
  </si>
  <si>
    <t>J 耐磨钢-750级别-J02 HX750</t>
  </si>
  <si>
    <t>HX750-2</t>
  </si>
  <si>
    <t>NM400</t>
  </si>
  <si>
    <t>NM400-1</t>
  </si>
  <si>
    <t>J 耐磨钢-400级别-J05 NM400</t>
  </si>
  <si>
    <t>NM400-2</t>
  </si>
  <si>
    <t>NM450</t>
  </si>
  <si>
    <t>NM450-1</t>
  </si>
  <si>
    <t>J 耐磨钢-450级别-J06 NM450</t>
  </si>
  <si>
    <t>NM450-2</t>
  </si>
  <si>
    <t>NM500</t>
  </si>
  <si>
    <t>NM500-1</t>
  </si>
  <si>
    <t>J 耐磨钢-500级别-J07 NM500</t>
  </si>
  <si>
    <t>NM500-2</t>
  </si>
  <si>
    <t>NM600</t>
  </si>
  <si>
    <t>NM600-1</t>
  </si>
  <si>
    <t>J 耐磨钢-600级别-J10 NM600</t>
  </si>
  <si>
    <t>NM600-2</t>
  </si>
  <si>
    <t>Q690D</t>
  </si>
  <si>
    <t>Q690D-1</t>
  </si>
  <si>
    <t>Q 高强钢-690系列-Q01 Q690D</t>
  </si>
  <si>
    <t>A</t>
  </si>
  <si>
    <t>G 船舶结构用钢- 一般强度结构钢-G01 A</t>
  </si>
  <si>
    <t>B</t>
  </si>
  <si>
    <t>AH32</t>
  </si>
  <si>
    <t>AH32-1</t>
  </si>
  <si>
    <t>AH32-2</t>
  </si>
  <si>
    <t>AH36</t>
  </si>
  <si>
    <t>AH36-1</t>
  </si>
  <si>
    <t>AH36-2</t>
  </si>
  <si>
    <t>CCSA</t>
  </si>
  <si>
    <t>CCSB</t>
  </si>
  <si>
    <t>CCSAH32</t>
  </si>
  <si>
    <t>CCSAH32-1</t>
  </si>
  <si>
    <t>CCSAH32-2</t>
  </si>
  <si>
    <t>CCSAH36</t>
  </si>
  <si>
    <t>CCSAH36-1</t>
  </si>
  <si>
    <t>CCSAH36-2</t>
  </si>
  <si>
    <t>AB/A</t>
  </si>
  <si>
    <t>AB/B</t>
  </si>
  <si>
    <t>AB/AH32</t>
  </si>
  <si>
    <t>AB/AH32-1</t>
  </si>
  <si>
    <t>AB/AH32-2</t>
  </si>
  <si>
    <t>AB/AH36</t>
  </si>
  <si>
    <t>AB/AH36-1</t>
  </si>
  <si>
    <t>AB/AH36-2</t>
  </si>
  <si>
    <t>BVA</t>
  </si>
  <si>
    <t>BVB</t>
  </si>
  <si>
    <t>BVAH32</t>
  </si>
  <si>
    <t>BVAH32-1</t>
  </si>
  <si>
    <t>BVAH32-2</t>
  </si>
  <si>
    <t>BVAH36</t>
  </si>
  <si>
    <t>BVAH36-1</t>
  </si>
  <si>
    <t>BVAH36-2</t>
  </si>
  <si>
    <t>NV A</t>
  </si>
  <si>
    <t>NV B</t>
  </si>
  <si>
    <t>NV A32</t>
  </si>
  <si>
    <t>NV A32-1</t>
  </si>
  <si>
    <t>NV A32-2</t>
  </si>
  <si>
    <t>NV A36</t>
  </si>
  <si>
    <t>NV A36-1</t>
  </si>
  <si>
    <t>NV A36-2</t>
  </si>
  <si>
    <t>KA</t>
  </si>
  <si>
    <t>KB</t>
  </si>
  <si>
    <t>KA32</t>
  </si>
  <si>
    <t>KA32-1</t>
  </si>
  <si>
    <t>KA32-2</t>
  </si>
  <si>
    <t>KA36</t>
  </si>
  <si>
    <t>KA36-1</t>
  </si>
  <si>
    <t>KA36-2</t>
  </si>
  <si>
    <t>KRA</t>
  </si>
  <si>
    <t>KRB</t>
  </si>
  <si>
    <t>KRA32</t>
  </si>
  <si>
    <t>KRA32-1</t>
  </si>
  <si>
    <t>KRA32-2</t>
  </si>
  <si>
    <t>KRAH36</t>
  </si>
  <si>
    <t>KRAH36-1</t>
  </si>
  <si>
    <t>KRAH36-2</t>
  </si>
  <si>
    <t>LRA</t>
  </si>
  <si>
    <t>LRB</t>
  </si>
  <si>
    <t>LRA32</t>
  </si>
  <si>
    <t>LRA32-1</t>
  </si>
  <si>
    <t>LRA32-2</t>
  </si>
  <si>
    <t>LRA36</t>
  </si>
  <si>
    <t>LRA36-1</t>
  </si>
  <si>
    <t>LRA36-2</t>
  </si>
  <si>
    <t>适用
牌号</t>
  </si>
  <si>
    <t>分类
序号</t>
  </si>
  <si>
    <t>最小厚度mm</t>
  </si>
  <si>
    <t>最大厚度mm</t>
  </si>
  <si>
    <t>炼钢
牌号</t>
  </si>
  <si>
    <t>内控成分目标值/wt%</t>
  </si>
  <si>
    <t>备注</t>
  </si>
  <si>
    <t>硅锰</t>
  </si>
  <si>
    <t>高碳锰铁</t>
  </si>
  <si>
    <t>中碳锰铁</t>
  </si>
  <si>
    <t>低碳锰铁</t>
  </si>
  <si>
    <t>金属锰</t>
  </si>
  <si>
    <t>硅铁合金</t>
  </si>
  <si>
    <t>铝块</t>
  </si>
  <si>
    <t>钒铁</t>
  </si>
  <si>
    <t>铌铁</t>
  </si>
  <si>
    <t>钛铁</t>
  </si>
  <si>
    <t>高碳铬铁</t>
  </si>
  <si>
    <t>低碳铬铁</t>
  </si>
  <si>
    <t>镍板</t>
  </si>
  <si>
    <t>铜板</t>
  </si>
  <si>
    <t>钼铁</t>
  </si>
  <si>
    <t>硼铁</t>
  </si>
  <si>
    <t>锑锭</t>
  </si>
  <si>
    <t>磷铁</t>
  </si>
  <si>
    <t>硫铁</t>
  </si>
  <si>
    <t>稀土合金</t>
  </si>
  <si>
    <t>合金消耗</t>
  </si>
  <si>
    <t>合金成本</t>
  </si>
  <si>
    <t>钢种</t>
  </si>
  <si>
    <t>增碳验证</t>
  </si>
  <si>
    <t>是否
验证</t>
  </si>
  <si>
    <t>更新
日期</t>
  </si>
  <si>
    <t>C</t>
  </si>
  <si>
    <t>Si</t>
  </si>
  <si>
    <t>Mn</t>
  </si>
  <si>
    <t>P</t>
  </si>
  <si>
    <t>S</t>
  </si>
  <si>
    <t>V</t>
  </si>
  <si>
    <t>Nb</t>
  </si>
  <si>
    <t>Ti</t>
  </si>
  <si>
    <t>Als</t>
  </si>
  <si>
    <t>Alt</t>
  </si>
  <si>
    <t>Ca</t>
  </si>
  <si>
    <t>Cr</t>
  </si>
  <si>
    <t>Ni</t>
  </si>
  <si>
    <t>Cu</t>
  </si>
  <si>
    <t>Mo</t>
  </si>
  <si>
    <t>Sb</t>
  </si>
  <si>
    <t>N</t>
  </si>
  <si>
    <t>转炉终点碳</t>
  </si>
  <si>
    <t>增碳余量</t>
  </si>
  <si>
    <t>增碳量</t>
  </si>
  <si>
    <t>预估钢水碳</t>
  </si>
  <si>
    <t>预估-目标</t>
  </si>
  <si>
    <t>合金不含税价格</t>
  </si>
  <si>
    <t/>
  </si>
  <si>
    <t>Q355级别花纹板</t>
  </si>
  <si>
    <t>需控制终点碳含量</t>
  </si>
  <si>
    <t>含硼马口铁</t>
  </si>
  <si>
    <t>供日照昱岚新材料有限公司冷轧用热轧卷板</t>
  </si>
  <si>
    <t>供友富用热轧卷板</t>
  </si>
  <si>
    <t>欧标用</t>
  </si>
  <si>
    <t>控硅S355J0-DX</t>
  </si>
  <si>
    <t>安驰定制</t>
  </si>
  <si>
    <t>齐鲁轮业定制</t>
  </si>
  <si>
    <t>API 5L X70</t>
  </si>
  <si>
    <t>API 5L X70M</t>
  </si>
  <si>
    <t>X80M管线钢</t>
  </si>
  <si>
    <t>G 船舶结构用钢- 高强度结构钢-G14 KRAH36</t>
  </si>
  <si>
    <t>合金</t>
  </si>
  <si>
    <t>单位成分%</t>
  </si>
  <si>
    <t>增碳量%</t>
  </si>
  <si>
    <t>测算顺序</t>
  </si>
  <si>
    <t>计算逻辑</t>
  </si>
  <si>
    <t>测算条件</t>
  </si>
  <si>
    <t>下限</t>
  </si>
  <si>
    <t>上限</t>
  </si>
  <si>
    <t>以高碳锰铁计算增碳余量0.03</t>
  </si>
  <si>
    <t>增碳余量大于0.02</t>
  </si>
  <si>
    <t>增碳余量小等于于0.02</t>
  </si>
  <si>
    <t>硅铁</t>
  </si>
  <si>
    <t>增碳余量0.05</t>
  </si>
  <si>
    <t>目标碳含量</t>
  </si>
  <si>
    <t>终点碳含量</t>
  </si>
  <si>
    <t>目标硅含量</t>
  </si>
  <si>
    <t>增锰含量</t>
  </si>
  <si>
    <t>铬含量</t>
  </si>
  <si>
    <t>项目</t>
  </si>
  <si>
    <t>价格</t>
  </si>
  <si>
    <t>单耗</t>
  </si>
  <si>
    <t>目标成分</t>
  </si>
  <si>
    <t>/</t>
  </si>
  <si>
    <t>残余元素</t>
  </si>
  <si>
    <t>回收率</t>
  </si>
  <si>
    <t>元素名称</t>
  </si>
  <si>
    <t>钢水合金元素残余成分</t>
  </si>
  <si>
    <t>合金元素窄成分影响</t>
  </si>
  <si>
    <t>合金成分含量</t>
  </si>
  <si>
    <t>最优合金成本</t>
  </si>
  <si>
    <t>17.69/65.66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</si>
</sst>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8" formatCode="_([$€-2]* #,##0.00_);_([$€-2]* \(#,##0.00\);_([$€-2]* &quot;-&quot;??_)"/>
    <numFmt numFmtId="179" formatCode="0.00000_ "/>
    <numFmt numFmtId="180" formatCode="#,##0.0000"/>
    <numFmt numFmtId="181" formatCode="0.00_ "/>
    <numFmt numFmtId="182" formatCode="0.0000"/>
    <numFmt numFmtId="183" formatCode="0.0000_ "/>
    <numFmt numFmtId="184" formatCode="0_ "/>
    <numFmt numFmtId="185" formatCode="0.000_ "/>
    <numFmt numFmtId="186" formatCode="0.0000000_ "/>
    <numFmt numFmtId="187" formatCode="0.0_ "/>
  </numFmts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新細明體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楷体"/>
      <family val="3"/>
      <charset val="134"/>
    </font>
    <font>
      <b/>
      <sz val="12"/>
      <color indexed="8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178" fontId="10" fillId="0" borderId="0"/>
  </cellStyleXfs>
  <cellXfs count="11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181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81" fontId="0" fillId="0" borderId="1" xfId="0" applyNumberForma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4" fontId="0" fillId="0" borderId="1" xfId="0" applyNumberFormat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85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183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86" fontId="1" fillId="0" borderId="0" xfId="0" applyNumberFormat="1" applyFont="1">
      <alignment vertical="center"/>
    </xf>
    <xf numFmtId="183" fontId="1" fillId="0" borderId="1" xfId="0" applyNumberFormat="1" applyFont="1" applyBorder="1">
      <alignment vertical="center"/>
    </xf>
    <xf numFmtId="181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5" fontId="0" fillId="0" borderId="1" xfId="0" applyNumberFormat="1" applyBorder="1" applyAlignment="1">
      <alignment horizontal="center" vertical="center"/>
    </xf>
    <xf numFmtId="185" fontId="9" fillId="0" borderId="1" xfId="0" applyNumberFormat="1" applyFont="1" applyBorder="1" applyAlignment="1">
      <alignment vertical="center" wrapText="1"/>
    </xf>
    <xf numFmtId="181" fontId="9" fillId="0" borderId="1" xfId="0" applyNumberFormat="1" applyFont="1" applyBorder="1" applyAlignment="1">
      <alignment vertical="center" wrapText="1"/>
    </xf>
    <xf numFmtId="183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81" fontId="4" fillId="0" borderId="1" xfId="0" applyNumberFormat="1" applyFont="1" applyBorder="1" applyAlignment="1">
      <alignment horizontal="center" vertical="center"/>
    </xf>
    <xf numFmtId="187" fontId="0" fillId="0" borderId="1" xfId="0" applyNumberFormat="1" applyBorder="1" applyAlignment="1">
      <alignment horizontal="center" vertical="center"/>
    </xf>
    <xf numFmtId="185" fontId="0" fillId="0" borderId="2" xfId="0" applyNumberForma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84" fontId="4" fillId="0" borderId="1" xfId="0" applyNumberFormat="1" applyFont="1" applyBorder="1" applyAlignment="1">
      <alignment horizontal="center" vertical="center"/>
    </xf>
    <xf numFmtId="185" fontId="0" fillId="0" borderId="4" xfId="0" applyNumberFormat="1" applyBorder="1" applyAlignment="1">
      <alignment horizontal="center" vertical="center"/>
    </xf>
    <xf numFmtId="184" fontId="1" fillId="0" borderId="0" xfId="0" applyNumberFormat="1" applyFont="1">
      <alignment vertical="center"/>
    </xf>
    <xf numFmtId="0" fontId="1" fillId="0" borderId="1" xfId="0" applyFont="1" applyBorder="1" applyAlignment="1">
      <alignment horizontal="left" vertical="center"/>
    </xf>
    <xf numFmtId="185" fontId="1" fillId="0" borderId="1" xfId="0" applyNumberFormat="1" applyFont="1" applyBorder="1">
      <alignment vertical="center"/>
    </xf>
    <xf numFmtId="181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0" fillId="0" borderId="5" xfId="0" applyBorder="1">
      <alignment vertical="center"/>
    </xf>
    <xf numFmtId="181" fontId="4" fillId="0" borderId="2" xfId="0" applyNumberFormat="1" applyFont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1" fontId="0" fillId="0" borderId="2" xfId="0" applyNumberFormat="1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85" fontId="1" fillId="0" borderId="4" xfId="0" applyNumberFormat="1" applyFont="1" applyBorder="1">
      <alignment vertical="center"/>
    </xf>
    <xf numFmtId="181" fontId="1" fillId="0" borderId="4" xfId="0" applyNumberFormat="1" applyFont="1" applyBorder="1">
      <alignment vertical="center"/>
    </xf>
    <xf numFmtId="183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181" fontId="4" fillId="0" borderId="4" xfId="0" applyNumberFormat="1" applyFont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1" fontId="0" fillId="0" borderId="4" xfId="0" applyNumberFormat="1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85" fontId="4" fillId="0" borderId="1" xfId="0" applyNumberFormat="1" applyFont="1" applyBorder="1">
      <alignment vertical="center"/>
    </xf>
    <xf numFmtId="181" fontId="4" fillId="0" borderId="1" xfId="0" applyNumberFormat="1" applyFont="1" applyBorder="1">
      <alignment vertical="center"/>
    </xf>
    <xf numFmtId="183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85" fontId="4" fillId="0" borderId="1" xfId="0" applyNumberFormat="1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  <xf numFmtId="0" fontId="9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5" fontId="0" fillId="0" borderId="2" xfId="0" applyNumberFormat="1" applyBorder="1" applyAlignment="1">
      <alignment horizontal="center" vertical="center"/>
    </xf>
    <xf numFmtId="185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_ET_STYLE_NoName_00_" xfId="1" xr:uid="{00000000-0005-0000-0000-000032000000}"/>
    <cellStyle name="常规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&#21160;&#21147;&#3709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0903&#24037;&#203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08&#38144;&#21806;&#21488;&#2408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19&#24180;&#24230;/2020&#24180;&#24230;/202004/&#23454;&#38469;&#25104;&#26412;/0903&#21160;&#21147;&#37096;&#25104;&#264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动力部"/>
      <sheetName val="Sheet3"/>
      <sheetName val="动力部 (2)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地税"/>
      <sheetName val="我的工作"/>
      <sheetName val="动力部员工"/>
      <sheetName val="固定资产"/>
      <sheetName val="岗效"/>
      <sheetName val="基本"/>
      <sheetName val="基础资料"/>
      <sheetName val="动力成本"/>
      <sheetName val="制氧成本"/>
      <sheetName val="结算统计表"/>
      <sheetName val="水电"/>
      <sheetName val="气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引用"/>
      <sheetName val="模板"/>
      <sheetName val="东营齐发"/>
      <sheetName val="东营渤海"/>
      <sheetName val="山东盛泰"/>
      <sheetName val="东营鹏远"/>
      <sheetName val="东营照华"/>
      <sheetName val="山东源伟"/>
      <sheetName val="东营东赵"/>
      <sheetName val="东营宏达"/>
      <sheetName val="东营天硕"/>
      <sheetName val="东营固德"/>
      <sheetName val="齐河德鑫"/>
      <sheetName val="济南正盛"/>
      <sheetName val="济南长兴"/>
      <sheetName val="济南万鸿通"/>
      <sheetName val="济南文昊"/>
      <sheetName val="济南盛驰"/>
      <sheetName val="济南金顺和"/>
      <sheetName val="山东清泉"/>
      <sheetName val="山东铭马"/>
      <sheetName val="新矿国贸"/>
      <sheetName val="泰山兴建"/>
      <sheetName val="泰安华鲁"/>
      <sheetName val="泰安金聚缘"/>
      <sheetName val="青州恒丰"/>
      <sheetName val="淄博铸信"/>
      <sheetName val="山东和济"/>
      <sheetName val="和济集团"/>
      <sheetName val="山东金长城集团"/>
      <sheetName val="山东天河源"/>
      <sheetName val="莱芜磊金"/>
      <sheetName val="莱芜吉顺"/>
      <sheetName val="莱芜林通"/>
      <sheetName val="莱芜双峰"/>
      <sheetName val="莱芜合盛"/>
      <sheetName val="莱芜海德"/>
      <sheetName val="莱芜泰岳"/>
      <sheetName val="莱芜金万通"/>
      <sheetName val="莱芜恒聚泰"/>
      <sheetName val="日照昌宏"/>
      <sheetName val="日照昊业"/>
      <sheetName val="济宁金属"/>
      <sheetName val="厦门建发"/>
      <sheetName val="上海亮灿"/>
      <sheetName val="上海西本"/>
      <sheetName val="上海京熹"/>
      <sheetName val="上海屹钢联"/>
      <sheetName val="上海钰翔"/>
      <sheetName val="上海靖本"/>
      <sheetName val="上海宝冶"/>
      <sheetName val="上海瑞钢联"/>
      <sheetName val="上海瑞冶联"/>
      <sheetName val="上海瑞熹联"/>
      <sheetName val="上海鑫火"/>
      <sheetName val="上海莱钢"/>
      <sheetName val="上海信本"/>
      <sheetName val="上海玉朗"/>
      <sheetName val="江苏华厦"/>
      <sheetName val="西本新干线"/>
      <sheetName val="中铁十局集团"/>
      <sheetName val="中铁集团华北公司"/>
      <sheetName val="中铁集团西南公司"/>
      <sheetName val="中铁西南蚌埠"/>
      <sheetName val="中铁二局"/>
      <sheetName val="中铁十八局"/>
      <sheetName val="青岛世纪瑞丰"/>
      <sheetName val="青岛东能电力"/>
      <sheetName val="青岛凯沃"/>
      <sheetName val="青岛江容"/>
      <sheetName val="青岛信莱"/>
      <sheetName val="山东泰宏达"/>
      <sheetName val="威海钢联"/>
      <sheetName val="宏顺聚鑫源"/>
      <sheetName val="济南三鼎"/>
      <sheetName val="济南铁本"/>
      <sheetName val="中交三航局"/>
      <sheetName val="苏州苏杭"/>
      <sheetName val="合肥金强"/>
      <sheetName val="合肥图远"/>
      <sheetName val="上海立钧"/>
      <sheetName val="上海呈钧"/>
      <sheetName val="徐州峪君"/>
      <sheetName val="徐州新惠"/>
      <sheetName val="徐州苏永联盟"/>
      <sheetName val="徐州光环"/>
      <sheetName val="连云港昊达"/>
      <sheetName val="连云港益德"/>
      <sheetName val="石家庄晨光"/>
      <sheetName val="石家庄金正"/>
      <sheetName val="滨州新博大"/>
      <sheetName val="胜利油田"/>
      <sheetName val="安徽中海"/>
      <sheetName val="临沂中和钢材"/>
      <sheetName val="莱芜垚鑫"/>
      <sheetName val="淄川恒胜"/>
      <sheetName val="聊城超业"/>
      <sheetName val="聊城兴旺"/>
      <sheetName val="二十二冶"/>
      <sheetName val="周村金周"/>
      <sheetName val="合肥荣盛"/>
      <sheetName val="德州天宇房地产"/>
      <sheetName val="招远嘉隆"/>
      <sheetName val="齐河税务局"/>
      <sheetName val="山东贝特尔"/>
      <sheetName val="山东宝德实业"/>
      <sheetName val="潍坊汇鑫达"/>
      <sheetName val="鲍德永君"/>
      <sheetName val="山东西王"/>
      <sheetName val="张店钢铁厂"/>
      <sheetName val="莱芜鑫丰源"/>
      <sheetName val="莱芜恒德利"/>
      <sheetName val="莱芜瑞星"/>
      <sheetName val="莱芜甲子"/>
      <sheetName val="德州神马"/>
      <sheetName val="济南鲁澳"/>
      <sheetName val="山东鲁能"/>
      <sheetName val="烟台盛鑫"/>
      <sheetName val="邹平远清"/>
      <sheetName val="禹城盛达"/>
      <sheetName val="齐河永昌"/>
      <sheetName val="天津中天鑫河"/>
      <sheetName val="宁波济钢"/>
      <sheetName val="宁波宁虞"/>
      <sheetName val="宁波济马"/>
      <sheetName val="东营金九"/>
      <sheetName val="山东开泰"/>
      <sheetName val="邹平玉玺"/>
      <sheetName val="福建晋江"/>
      <sheetName val="德州宝林"/>
      <sheetName val="福建新吉福"/>
      <sheetName val="山东正元"/>
      <sheetName val="天津二十冶"/>
      <sheetName val="中国建筑第八工程局"/>
      <sheetName val="山东天齐"/>
      <sheetName val="天津普辰"/>
      <sheetName val="山东金能"/>
      <sheetName val="元氏县鑫旺"/>
      <sheetName val="济南荣翔"/>
      <sheetName val="济南恒信"/>
      <sheetName val="山东诚业"/>
      <sheetName val="济南亿豪"/>
      <sheetName val="孟村回族"/>
      <sheetName val="路桥集团"/>
      <sheetName val="滕州钢盟"/>
      <sheetName val="山东东宇岩土"/>
      <sheetName val="龙口东方"/>
      <sheetName val="滕州蒋庄供应站"/>
      <sheetName val="无锡锦球"/>
      <sheetName val="山东正元1"/>
      <sheetName val="烟台恒邦"/>
      <sheetName val="山东恒邦"/>
      <sheetName val="枣庄新瑞"/>
      <sheetName val="东营亿能"/>
      <sheetName val="鲁工电器"/>
      <sheetName val="江苏国基"/>
      <sheetName val="寿光新龙"/>
      <sheetName val="浙江物产"/>
      <sheetName val="永诚煤电"/>
      <sheetName val="无锡清昕源"/>
      <sheetName val="石家庄祥林"/>
      <sheetName val="武汉武铁"/>
      <sheetName val="厦门拓兴成"/>
      <sheetName val="西安丰宝泰"/>
      <sheetName val="济南诚基"/>
      <sheetName val="晋江南都"/>
      <sheetName val="供应部"/>
      <sheetName val="韩国西汉01"/>
      <sheetName val="韩国西汉02"/>
      <sheetName val="韩国申韩01"/>
      <sheetName val="韩国申韩02"/>
      <sheetName val="韩国大宇"/>
      <sheetName val="韩国LG商社"/>
      <sheetName val="GPLOT2"/>
      <sheetName val="GPLO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动力部"/>
      <sheetName val="动力成本"/>
      <sheetName val="制氧成本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A332"/>
  <sheetViews>
    <sheetView topLeftCell="N1" zoomScale="70" zoomScaleNormal="70" workbookViewId="0">
      <selection activeCell="AE1" sqref="Y1:AE1048576"/>
    </sheetView>
  </sheetViews>
  <sheetFormatPr defaultColWidth="8.69140625" defaultRowHeight="14.15" x14ac:dyDescent="0.3"/>
  <cols>
    <col min="1" max="1" width="7.3828125" style="18" customWidth="1"/>
    <col min="2" max="2" width="12.15234375" style="18" customWidth="1"/>
    <col min="3" max="4" width="8.69140625" style="21" customWidth="1"/>
    <col min="5" max="5" width="7" style="21" customWidth="1"/>
    <col min="6" max="6" width="13.53515625" style="21" customWidth="1"/>
    <col min="7" max="7" width="39.3046875" style="18" customWidth="1"/>
    <col min="8" max="8" width="8.69140625" style="21" customWidth="1"/>
    <col min="9" max="24" width="7.69140625" style="18" customWidth="1"/>
    <col min="25" max="16325" width="18.61328125" style="18"/>
    <col min="16326" max="16326" width="8.69140625" style="18"/>
    <col min="16327" max="16327" width="18.61328125" style="18"/>
    <col min="16328" max="16384" width="8.69140625" style="18"/>
  </cols>
  <sheetData>
    <row r="1" spans="1:27" ht="15" customHeight="1" x14ac:dyDescent="0.3">
      <c r="B1" s="26"/>
      <c r="C1" s="27"/>
      <c r="D1" s="28"/>
      <c r="E1" s="28"/>
      <c r="F1" s="29"/>
      <c r="G1" s="8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7" ht="19" customHeight="1" x14ac:dyDescent="0.3">
      <c r="A2" s="90" t="s">
        <v>0</v>
      </c>
      <c r="B2" s="91" t="s">
        <v>1</v>
      </c>
      <c r="C2" s="91" t="s">
        <v>2</v>
      </c>
      <c r="D2" s="91" t="s">
        <v>2</v>
      </c>
      <c r="E2" s="91" t="s">
        <v>2</v>
      </c>
      <c r="F2" s="91" t="s">
        <v>3</v>
      </c>
      <c r="G2" s="91" t="s">
        <v>4</v>
      </c>
      <c r="H2" s="91" t="s">
        <v>5</v>
      </c>
      <c r="I2" s="93" t="s">
        <v>6</v>
      </c>
      <c r="J2" s="93" t="s">
        <v>7</v>
      </c>
      <c r="K2" s="93" t="s">
        <v>8</v>
      </c>
      <c r="L2" s="93" t="s">
        <v>9</v>
      </c>
      <c r="M2" s="93" t="s">
        <v>10</v>
      </c>
      <c r="N2" s="93" t="s">
        <v>11</v>
      </c>
      <c r="O2" s="93" t="s">
        <v>12</v>
      </c>
      <c r="P2" s="93" t="s">
        <v>13</v>
      </c>
      <c r="Q2" s="93" t="s">
        <v>14</v>
      </c>
      <c r="R2" s="93" t="s">
        <v>15</v>
      </c>
      <c r="S2" s="93" t="s">
        <v>16</v>
      </c>
      <c r="T2" s="93" t="s">
        <v>17</v>
      </c>
      <c r="U2" s="93" t="s">
        <v>18</v>
      </c>
      <c r="V2" s="93" t="s">
        <v>19</v>
      </c>
      <c r="W2" s="93" t="s">
        <v>20</v>
      </c>
      <c r="X2" s="93" t="s">
        <v>21</v>
      </c>
    </row>
    <row r="3" spans="1:27" ht="19" customHeight="1" x14ac:dyDescent="0.3">
      <c r="A3" s="90"/>
      <c r="B3" s="92"/>
      <c r="C3" s="91"/>
      <c r="D3" s="91"/>
      <c r="E3" s="91"/>
      <c r="F3" s="91"/>
      <c r="G3" s="92"/>
      <c r="H3" s="91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</row>
    <row r="4" spans="1:27" ht="18.45" x14ac:dyDescent="0.3">
      <c r="B4" s="83"/>
      <c r="C4" s="82"/>
      <c r="D4" s="82"/>
      <c r="E4" s="82"/>
      <c r="F4" s="82"/>
      <c r="G4" s="84"/>
      <c r="H4" s="3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</row>
    <row r="5" spans="1:27" x14ac:dyDescent="0.3">
      <c r="A5" s="21">
        <v>1</v>
      </c>
      <c r="B5" s="4" t="s">
        <v>22</v>
      </c>
      <c r="C5" s="4" t="s">
        <v>23</v>
      </c>
      <c r="D5" s="4">
        <v>1.5</v>
      </c>
      <c r="E5" s="4">
        <v>12</v>
      </c>
      <c r="F5" s="4" t="s">
        <v>24</v>
      </c>
      <c r="G5" s="50" t="s">
        <v>25</v>
      </c>
      <c r="H5" s="4">
        <v>1527</v>
      </c>
      <c r="I5" s="53">
        <v>4.1666666666666699E-2</v>
      </c>
      <c r="J5" s="53">
        <v>0.10299999999999999</v>
      </c>
      <c r="K5" s="53">
        <v>0.75</v>
      </c>
      <c r="L5" s="2">
        <v>0.98</v>
      </c>
      <c r="M5" s="2">
        <v>0.98</v>
      </c>
      <c r="N5" s="2">
        <v>0.98</v>
      </c>
      <c r="O5" s="2">
        <v>0.7</v>
      </c>
      <c r="P5" s="2">
        <v>0.96</v>
      </c>
      <c r="Q5" s="2">
        <v>0.98</v>
      </c>
      <c r="R5" s="2">
        <v>0.98</v>
      </c>
      <c r="S5" s="2">
        <v>0.98</v>
      </c>
      <c r="T5" s="2">
        <v>0.7</v>
      </c>
      <c r="U5" s="4">
        <v>0.96</v>
      </c>
      <c r="V5" s="4">
        <v>0.96</v>
      </c>
      <c r="W5" s="4">
        <v>0.96</v>
      </c>
      <c r="X5" s="4">
        <v>0.9</v>
      </c>
    </row>
    <row r="6" spans="1:27" x14ac:dyDescent="0.3">
      <c r="A6" s="21">
        <v>2</v>
      </c>
      <c r="B6" s="4" t="s">
        <v>22</v>
      </c>
      <c r="C6" s="4" t="s">
        <v>26</v>
      </c>
      <c r="D6" s="4">
        <v>12.01</v>
      </c>
      <c r="E6" s="4">
        <v>28</v>
      </c>
      <c r="F6" s="4" t="s">
        <v>27</v>
      </c>
      <c r="G6" s="50" t="s">
        <v>25</v>
      </c>
      <c r="H6" s="4">
        <v>1527</v>
      </c>
      <c r="I6" s="85">
        <v>4.1666666666666699E-2</v>
      </c>
      <c r="J6" s="85">
        <v>0.10299999999999999</v>
      </c>
      <c r="K6" s="53">
        <v>0.75</v>
      </c>
      <c r="L6" s="2">
        <v>0.98</v>
      </c>
      <c r="M6" s="2">
        <v>0.98</v>
      </c>
      <c r="N6" s="2">
        <v>0.98</v>
      </c>
      <c r="O6" s="2">
        <v>0.7</v>
      </c>
      <c r="P6" s="2">
        <v>0.96</v>
      </c>
      <c r="Q6" s="2">
        <v>0.98</v>
      </c>
      <c r="R6" s="2">
        <v>0.98</v>
      </c>
      <c r="S6" s="2">
        <v>0.98</v>
      </c>
      <c r="T6" s="2">
        <v>0.7</v>
      </c>
      <c r="U6" s="4">
        <v>0.96</v>
      </c>
      <c r="V6" s="4">
        <v>0.96</v>
      </c>
      <c r="W6" s="4">
        <v>0.96</v>
      </c>
      <c r="X6" s="4">
        <v>0.9</v>
      </c>
      <c r="Y6" s="24"/>
      <c r="Z6" s="24"/>
      <c r="AA6" s="24"/>
    </row>
    <row r="7" spans="1:27" x14ac:dyDescent="0.3">
      <c r="A7" s="21">
        <v>3</v>
      </c>
      <c r="B7" s="4" t="s">
        <v>28</v>
      </c>
      <c r="C7" s="4" t="s">
        <v>23</v>
      </c>
      <c r="D7" s="4">
        <v>1.45</v>
      </c>
      <c r="E7" s="4">
        <v>12</v>
      </c>
      <c r="F7" s="4" t="s">
        <v>29</v>
      </c>
      <c r="G7" s="50" t="s">
        <v>30</v>
      </c>
      <c r="H7" s="4">
        <v>1519</v>
      </c>
      <c r="I7" s="53">
        <v>7.2936669619131894E-2</v>
      </c>
      <c r="J7" s="53">
        <v>0.122292294065545</v>
      </c>
      <c r="K7" s="53">
        <v>0.75</v>
      </c>
      <c r="L7" s="2">
        <v>0.98</v>
      </c>
      <c r="M7" s="2">
        <v>0.98</v>
      </c>
      <c r="N7" s="2">
        <v>0.98</v>
      </c>
      <c r="O7" s="2">
        <v>0.7</v>
      </c>
      <c r="P7" s="2">
        <v>0.96</v>
      </c>
      <c r="Q7" s="2">
        <v>0.98</v>
      </c>
      <c r="R7" s="2">
        <v>0.98</v>
      </c>
      <c r="S7" s="2">
        <v>0.98</v>
      </c>
      <c r="T7" s="2">
        <v>0.7</v>
      </c>
      <c r="U7" s="4">
        <v>0.96</v>
      </c>
      <c r="V7" s="4">
        <v>0.96</v>
      </c>
      <c r="W7" s="4">
        <v>0.96</v>
      </c>
      <c r="X7" s="4">
        <v>0.9</v>
      </c>
    </row>
    <row r="8" spans="1:27" x14ac:dyDescent="0.3">
      <c r="A8" s="21">
        <v>4</v>
      </c>
      <c r="B8" s="4" t="s">
        <v>28</v>
      </c>
      <c r="C8" s="4" t="s">
        <v>26</v>
      </c>
      <c r="D8" s="4">
        <v>12.01</v>
      </c>
      <c r="E8" s="4">
        <v>28</v>
      </c>
      <c r="F8" s="4" t="s">
        <v>31</v>
      </c>
      <c r="G8" s="50" t="s">
        <v>30</v>
      </c>
      <c r="H8" s="4">
        <v>1519</v>
      </c>
      <c r="I8" s="53">
        <v>7.4405857740585904E-2</v>
      </c>
      <c r="J8" s="53">
        <v>0.122644351464435</v>
      </c>
      <c r="K8" s="53">
        <v>0.75</v>
      </c>
      <c r="L8" s="2">
        <v>0.98</v>
      </c>
      <c r="M8" s="2">
        <v>0.98</v>
      </c>
      <c r="N8" s="2">
        <v>0.98</v>
      </c>
      <c r="O8" s="2">
        <v>0.7</v>
      </c>
      <c r="P8" s="2">
        <v>0.96</v>
      </c>
      <c r="Q8" s="2">
        <v>0.98</v>
      </c>
      <c r="R8" s="2">
        <v>0.98</v>
      </c>
      <c r="S8" s="2">
        <v>0.98</v>
      </c>
      <c r="T8" s="2">
        <v>0.7</v>
      </c>
      <c r="U8" s="4">
        <v>0.96</v>
      </c>
      <c r="V8" s="4">
        <v>0.96</v>
      </c>
      <c r="W8" s="4">
        <v>0.96</v>
      </c>
      <c r="X8" s="4">
        <v>0.9</v>
      </c>
    </row>
    <row r="9" spans="1:27" x14ac:dyDescent="0.3">
      <c r="A9" s="21">
        <v>5</v>
      </c>
      <c r="B9" s="4" t="s">
        <v>32</v>
      </c>
      <c r="C9" s="4" t="s">
        <v>23</v>
      </c>
      <c r="D9" s="4">
        <v>1.6</v>
      </c>
      <c r="E9" s="4">
        <v>12</v>
      </c>
      <c r="F9" s="4" t="s">
        <v>33</v>
      </c>
      <c r="G9" s="50" t="s">
        <v>34</v>
      </c>
      <c r="H9" s="4">
        <v>1519</v>
      </c>
      <c r="I9" s="53">
        <v>6.8953488372093003E-2</v>
      </c>
      <c r="J9" s="53">
        <v>0.119093023255814</v>
      </c>
      <c r="K9" s="53">
        <v>0.8</v>
      </c>
      <c r="L9" s="2">
        <v>0.98</v>
      </c>
      <c r="M9" s="2">
        <v>0.98</v>
      </c>
      <c r="N9" s="2">
        <v>0.98</v>
      </c>
      <c r="O9" s="2">
        <v>0.7</v>
      </c>
      <c r="P9" s="2">
        <v>0.96</v>
      </c>
      <c r="Q9" s="2">
        <v>0.98</v>
      </c>
      <c r="R9" s="2">
        <v>0.98</v>
      </c>
      <c r="S9" s="2">
        <v>0.98</v>
      </c>
      <c r="T9" s="2">
        <v>0.7</v>
      </c>
      <c r="U9" s="4">
        <v>0.96</v>
      </c>
      <c r="V9" s="4">
        <v>0.96</v>
      </c>
      <c r="W9" s="4">
        <v>0.96</v>
      </c>
      <c r="X9" s="4">
        <v>0.9</v>
      </c>
    </row>
    <row r="10" spans="1:27" x14ac:dyDescent="0.3">
      <c r="A10" s="21">
        <v>6</v>
      </c>
      <c r="B10" s="4" t="s">
        <v>32</v>
      </c>
      <c r="C10" s="4" t="s">
        <v>26</v>
      </c>
      <c r="D10" s="4">
        <v>12.01</v>
      </c>
      <c r="E10" s="4">
        <v>25.4</v>
      </c>
      <c r="F10" s="4" t="s">
        <v>35</v>
      </c>
      <c r="G10" s="50" t="s">
        <v>34</v>
      </c>
      <c r="H10" s="4">
        <v>1519</v>
      </c>
      <c r="I10" s="53">
        <v>6.25E-2</v>
      </c>
      <c r="J10" s="53">
        <v>0.12889999999999999</v>
      </c>
      <c r="K10" s="53">
        <v>0.8</v>
      </c>
      <c r="L10" s="2">
        <v>0.98</v>
      </c>
      <c r="M10" s="2">
        <v>0.98</v>
      </c>
      <c r="N10" s="2">
        <v>0.98</v>
      </c>
      <c r="O10" s="2">
        <v>0.7</v>
      </c>
      <c r="P10" s="2">
        <v>0.96</v>
      </c>
      <c r="Q10" s="2">
        <v>0.98</v>
      </c>
      <c r="R10" s="2">
        <v>0.98</v>
      </c>
      <c r="S10" s="2">
        <v>0.98</v>
      </c>
      <c r="T10" s="2">
        <v>0.7</v>
      </c>
      <c r="U10" s="4">
        <v>0.96</v>
      </c>
      <c r="V10" s="4">
        <v>0.96</v>
      </c>
      <c r="W10" s="4">
        <v>0.96</v>
      </c>
      <c r="X10" s="4">
        <v>0.9</v>
      </c>
    </row>
    <row r="11" spans="1:27" x14ac:dyDescent="0.3">
      <c r="A11" s="21">
        <v>7</v>
      </c>
      <c r="B11" s="4" t="s">
        <v>36</v>
      </c>
      <c r="C11" s="4" t="s">
        <v>23</v>
      </c>
      <c r="D11" s="4">
        <v>1.45</v>
      </c>
      <c r="E11" s="4">
        <v>12</v>
      </c>
      <c r="F11" s="4" t="s">
        <v>29</v>
      </c>
      <c r="G11" s="50" t="s">
        <v>30</v>
      </c>
      <c r="H11" s="4">
        <v>1519</v>
      </c>
      <c r="I11" s="53">
        <v>7.2936669619131894E-2</v>
      </c>
      <c r="J11" s="53">
        <v>0.122292294065545</v>
      </c>
      <c r="K11" s="53">
        <v>0.75</v>
      </c>
      <c r="L11" s="2">
        <v>0.98</v>
      </c>
      <c r="M11" s="2">
        <v>0.98</v>
      </c>
      <c r="N11" s="2">
        <v>0.98</v>
      </c>
      <c r="O11" s="2">
        <v>0.7</v>
      </c>
      <c r="P11" s="2">
        <v>0.96</v>
      </c>
      <c r="Q11" s="2">
        <v>0.98</v>
      </c>
      <c r="R11" s="2">
        <v>0.98</v>
      </c>
      <c r="S11" s="2">
        <v>0.98</v>
      </c>
      <c r="T11" s="2">
        <v>0.7</v>
      </c>
      <c r="U11" s="4">
        <v>0.96</v>
      </c>
      <c r="V11" s="4">
        <v>0.96</v>
      </c>
      <c r="W11" s="4">
        <v>0.96</v>
      </c>
      <c r="X11" s="4">
        <v>0.9</v>
      </c>
    </row>
    <row r="12" spans="1:27" x14ac:dyDescent="0.3">
      <c r="A12" s="21">
        <v>8</v>
      </c>
      <c r="B12" s="4" t="s">
        <v>36</v>
      </c>
      <c r="C12" s="4" t="s">
        <v>26</v>
      </c>
      <c r="D12" s="4">
        <v>12.01</v>
      </c>
      <c r="E12" s="4">
        <v>28</v>
      </c>
      <c r="F12" s="4" t="s">
        <v>31</v>
      </c>
      <c r="G12" s="50" t="s">
        <v>30</v>
      </c>
      <c r="H12" s="4">
        <v>1519</v>
      </c>
      <c r="I12" s="53">
        <v>7.4405857740585904E-2</v>
      </c>
      <c r="J12" s="53">
        <v>0.122644351464435</v>
      </c>
      <c r="K12" s="53">
        <v>0.75</v>
      </c>
      <c r="L12" s="2">
        <v>0.98</v>
      </c>
      <c r="M12" s="2">
        <v>0.98</v>
      </c>
      <c r="N12" s="2">
        <v>0.98</v>
      </c>
      <c r="O12" s="2">
        <v>0.7</v>
      </c>
      <c r="P12" s="2">
        <v>0.96</v>
      </c>
      <c r="Q12" s="2">
        <v>0.98</v>
      </c>
      <c r="R12" s="2">
        <v>0.98</v>
      </c>
      <c r="S12" s="2">
        <v>0.98</v>
      </c>
      <c r="T12" s="2">
        <v>0.7</v>
      </c>
      <c r="U12" s="4">
        <v>0.96</v>
      </c>
      <c r="V12" s="4">
        <v>0.96</v>
      </c>
      <c r="W12" s="4">
        <v>0.96</v>
      </c>
      <c r="X12" s="4">
        <v>0.9</v>
      </c>
    </row>
    <row r="13" spans="1:27" x14ac:dyDescent="0.3">
      <c r="A13" s="21">
        <v>9</v>
      </c>
      <c r="B13" s="4" t="s">
        <v>37</v>
      </c>
      <c r="C13" s="4" t="s">
        <v>23</v>
      </c>
      <c r="D13" s="4">
        <v>1.45</v>
      </c>
      <c r="E13" s="4">
        <v>12</v>
      </c>
      <c r="F13" s="4" t="s">
        <v>29</v>
      </c>
      <c r="G13" s="50" t="s">
        <v>30</v>
      </c>
      <c r="H13" s="4">
        <v>1519</v>
      </c>
      <c r="I13" s="53">
        <v>7.2936669619131894E-2</v>
      </c>
      <c r="J13" s="53">
        <v>0.122292294065545</v>
      </c>
      <c r="K13" s="53">
        <v>0.75</v>
      </c>
      <c r="L13" s="2">
        <v>0.98</v>
      </c>
      <c r="M13" s="2">
        <v>0.98</v>
      </c>
      <c r="N13" s="2">
        <v>0.98</v>
      </c>
      <c r="O13" s="2">
        <v>0.7</v>
      </c>
      <c r="P13" s="2">
        <v>0.96</v>
      </c>
      <c r="Q13" s="2">
        <v>0.98</v>
      </c>
      <c r="R13" s="2">
        <v>0.98</v>
      </c>
      <c r="S13" s="2">
        <v>0.98</v>
      </c>
      <c r="T13" s="2">
        <v>0.7</v>
      </c>
      <c r="U13" s="4">
        <v>0.96</v>
      </c>
      <c r="V13" s="4">
        <v>0.96</v>
      </c>
      <c r="W13" s="4">
        <v>0.96</v>
      </c>
      <c r="X13" s="4">
        <v>0.9</v>
      </c>
    </row>
    <row r="14" spans="1:27" x14ac:dyDescent="0.3">
      <c r="A14" s="21">
        <v>10</v>
      </c>
      <c r="B14" s="4" t="s">
        <v>37</v>
      </c>
      <c r="C14" s="4" t="s">
        <v>26</v>
      </c>
      <c r="D14" s="4">
        <v>12.01</v>
      </c>
      <c r="E14" s="4">
        <v>28</v>
      </c>
      <c r="F14" s="4" t="s">
        <v>31</v>
      </c>
      <c r="G14" s="50" t="s">
        <v>30</v>
      </c>
      <c r="H14" s="4">
        <v>1519</v>
      </c>
      <c r="I14" s="53">
        <v>7.4405857740585904E-2</v>
      </c>
      <c r="J14" s="53">
        <v>0.122644351464435</v>
      </c>
      <c r="K14" s="53">
        <v>0.75</v>
      </c>
      <c r="L14" s="2">
        <v>0.98</v>
      </c>
      <c r="M14" s="2">
        <v>0.98</v>
      </c>
      <c r="N14" s="2">
        <v>0.98</v>
      </c>
      <c r="O14" s="2">
        <v>0.7</v>
      </c>
      <c r="P14" s="2">
        <v>0.96</v>
      </c>
      <c r="Q14" s="2">
        <v>0.98</v>
      </c>
      <c r="R14" s="2">
        <v>0.98</v>
      </c>
      <c r="S14" s="2">
        <v>0.98</v>
      </c>
      <c r="T14" s="2">
        <v>0.7</v>
      </c>
      <c r="U14" s="4">
        <v>0.96</v>
      </c>
      <c r="V14" s="4">
        <v>0.96</v>
      </c>
      <c r="W14" s="4">
        <v>0.96</v>
      </c>
      <c r="X14" s="4">
        <v>0.9</v>
      </c>
    </row>
    <row r="15" spans="1:27" x14ac:dyDescent="0.3">
      <c r="A15" s="21">
        <v>11</v>
      </c>
      <c r="B15" s="4" t="s">
        <v>38</v>
      </c>
      <c r="C15" s="4" t="s">
        <v>23</v>
      </c>
      <c r="D15" s="4">
        <v>1.45</v>
      </c>
      <c r="E15" s="4">
        <v>12</v>
      </c>
      <c r="F15" s="4" t="s">
        <v>29</v>
      </c>
      <c r="G15" s="50" t="s">
        <v>30</v>
      </c>
      <c r="H15" s="4">
        <v>1519</v>
      </c>
      <c r="I15" s="53">
        <v>7.2936669619131894E-2</v>
      </c>
      <c r="J15" s="53">
        <v>0.122292294065545</v>
      </c>
      <c r="K15" s="53">
        <v>0.75</v>
      </c>
      <c r="L15" s="2">
        <v>0.98</v>
      </c>
      <c r="M15" s="2">
        <v>0.98</v>
      </c>
      <c r="N15" s="2">
        <v>0.98</v>
      </c>
      <c r="O15" s="2">
        <v>0.7</v>
      </c>
      <c r="P15" s="2">
        <v>0.96</v>
      </c>
      <c r="Q15" s="2">
        <v>0.98</v>
      </c>
      <c r="R15" s="2">
        <v>0.98</v>
      </c>
      <c r="S15" s="2">
        <v>0.98</v>
      </c>
      <c r="T15" s="2">
        <v>0.7</v>
      </c>
      <c r="U15" s="4">
        <v>0.96</v>
      </c>
      <c r="V15" s="4">
        <v>0.96</v>
      </c>
      <c r="W15" s="4">
        <v>0.96</v>
      </c>
      <c r="X15" s="4">
        <v>0.9</v>
      </c>
    </row>
    <row r="16" spans="1:27" x14ac:dyDescent="0.3">
      <c r="A16" s="21">
        <v>12</v>
      </c>
      <c r="B16" s="4" t="s">
        <v>38</v>
      </c>
      <c r="C16" s="4" t="s">
        <v>26</v>
      </c>
      <c r="D16" s="4">
        <v>12.01</v>
      </c>
      <c r="E16" s="4">
        <v>28</v>
      </c>
      <c r="F16" s="4" t="s">
        <v>31</v>
      </c>
      <c r="G16" s="50" t="s">
        <v>30</v>
      </c>
      <c r="H16" s="4">
        <v>1519</v>
      </c>
      <c r="I16" s="53">
        <v>7.4405857740585904E-2</v>
      </c>
      <c r="J16" s="53">
        <v>0.122644351464435</v>
      </c>
      <c r="K16" s="53">
        <v>0.75</v>
      </c>
      <c r="L16" s="2">
        <v>0.98</v>
      </c>
      <c r="M16" s="2">
        <v>0.98</v>
      </c>
      <c r="N16" s="2">
        <v>0.98</v>
      </c>
      <c r="O16" s="2">
        <v>0.7</v>
      </c>
      <c r="P16" s="2">
        <v>0.96</v>
      </c>
      <c r="Q16" s="2">
        <v>0.98</v>
      </c>
      <c r="R16" s="2">
        <v>0.98</v>
      </c>
      <c r="S16" s="2">
        <v>0.98</v>
      </c>
      <c r="T16" s="2">
        <v>0.7</v>
      </c>
      <c r="U16" s="4">
        <v>0.96</v>
      </c>
      <c r="V16" s="4">
        <v>0.96</v>
      </c>
      <c r="W16" s="4">
        <v>0.96</v>
      </c>
      <c r="X16" s="4">
        <v>0.9</v>
      </c>
    </row>
    <row r="17" spans="1:24" x14ac:dyDescent="0.3">
      <c r="A17" s="21">
        <v>13</v>
      </c>
      <c r="B17" s="4" t="s">
        <v>39</v>
      </c>
      <c r="C17" s="4" t="s">
        <v>23</v>
      </c>
      <c r="D17" s="4">
        <v>1.6</v>
      </c>
      <c r="E17" s="4">
        <v>5</v>
      </c>
      <c r="F17" s="4" t="s">
        <v>40</v>
      </c>
      <c r="G17" s="50" t="s">
        <v>41</v>
      </c>
      <c r="H17" s="4">
        <v>1520</v>
      </c>
      <c r="I17" s="85">
        <v>7.4405857740585904E-2</v>
      </c>
      <c r="J17" s="85">
        <v>0.122644351464435</v>
      </c>
      <c r="K17" s="53">
        <v>0.8</v>
      </c>
      <c r="L17" s="2">
        <v>0.98</v>
      </c>
      <c r="M17" s="2">
        <v>0.98</v>
      </c>
      <c r="N17" s="2">
        <v>0.98</v>
      </c>
      <c r="O17" s="2">
        <v>0.7</v>
      </c>
      <c r="P17" s="2">
        <v>0.96</v>
      </c>
      <c r="Q17" s="2">
        <v>0.98</v>
      </c>
      <c r="R17" s="2">
        <v>0.98</v>
      </c>
      <c r="S17" s="2">
        <v>0.98</v>
      </c>
      <c r="T17" s="2">
        <v>0.7</v>
      </c>
      <c r="U17" s="4">
        <v>0.96</v>
      </c>
      <c r="V17" s="4">
        <v>0.96</v>
      </c>
      <c r="W17" s="4">
        <v>0.96</v>
      </c>
      <c r="X17" s="4">
        <v>0.9</v>
      </c>
    </row>
    <row r="18" spans="1:24" x14ac:dyDescent="0.3">
      <c r="A18" s="21">
        <v>14</v>
      </c>
      <c r="B18" s="4" t="s">
        <v>39</v>
      </c>
      <c r="C18" s="4" t="s">
        <v>26</v>
      </c>
      <c r="D18" s="4">
        <v>5.01</v>
      </c>
      <c r="E18" s="4">
        <v>14</v>
      </c>
      <c r="F18" s="4" t="s">
        <v>42</v>
      </c>
      <c r="G18" s="50" t="s">
        <v>41</v>
      </c>
      <c r="H18" s="4">
        <v>1520</v>
      </c>
      <c r="I18" s="85">
        <v>7.4405857740585904E-2</v>
      </c>
      <c r="J18" s="85">
        <v>0.122644351464435</v>
      </c>
      <c r="K18" s="53">
        <v>0.8</v>
      </c>
      <c r="L18" s="2">
        <v>0.98</v>
      </c>
      <c r="M18" s="2">
        <v>0.98</v>
      </c>
      <c r="N18" s="2">
        <v>0.98</v>
      </c>
      <c r="O18" s="2">
        <v>0.7</v>
      </c>
      <c r="P18" s="2">
        <v>0.96</v>
      </c>
      <c r="Q18" s="2">
        <v>0.98</v>
      </c>
      <c r="R18" s="2">
        <v>0.98</v>
      </c>
      <c r="S18" s="2">
        <v>0.98</v>
      </c>
      <c r="T18" s="2">
        <v>0.7</v>
      </c>
      <c r="U18" s="4">
        <v>0.96</v>
      </c>
      <c r="V18" s="4">
        <v>0.96</v>
      </c>
      <c r="W18" s="4">
        <v>0.96</v>
      </c>
      <c r="X18" s="4">
        <v>0.9</v>
      </c>
    </row>
    <row r="19" spans="1:24" x14ac:dyDescent="0.3">
      <c r="A19" s="21">
        <v>15</v>
      </c>
      <c r="B19" s="4" t="s">
        <v>43</v>
      </c>
      <c r="C19" s="4" t="s">
        <v>23</v>
      </c>
      <c r="D19" s="4">
        <v>3</v>
      </c>
      <c r="E19" s="4">
        <v>12</v>
      </c>
      <c r="F19" s="4" t="s">
        <v>44</v>
      </c>
      <c r="G19" s="50" t="s">
        <v>45</v>
      </c>
      <c r="H19" s="4">
        <v>1519</v>
      </c>
      <c r="I19" s="53">
        <v>7.3874999999999996E-2</v>
      </c>
      <c r="J19" s="53">
        <v>9.35E-2</v>
      </c>
      <c r="K19" s="53">
        <v>0.75</v>
      </c>
      <c r="L19" s="2">
        <v>0.98</v>
      </c>
      <c r="M19" s="2">
        <v>0.98</v>
      </c>
      <c r="N19" s="2">
        <v>0.98</v>
      </c>
      <c r="O19" s="2">
        <v>0.7</v>
      </c>
      <c r="P19" s="2">
        <v>0.96</v>
      </c>
      <c r="Q19" s="2">
        <v>0.98</v>
      </c>
      <c r="R19" s="2">
        <v>0.98</v>
      </c>
      <c r="S19" s="2">
        <v>0.98</v>
      </c>
      <c r="T19" s="2">
        <v>0.7</v>
      </c>
      <c r="U19" s="4">
        <v>0.96</v>
      </c>
      <c r="V19" s="4">
        <v>0.96</v>
      </c>
      <c r="W19" s="4">
        <v>0.96</v>
      </c>
      <c r="X19" s="4">
        <v>0.9</v>
      </c>
    </row>
    <row r="20" spans="1:24" x14ac:dyDescent="0.3">
      <c r="A20" s="21">
        <v>16</v>
      </c>
      <c r="B20" s="4" t="s">
        <v>43</v>
      </c>
      <c r="C20" s="4" t="s">
        <v>26</v>
      </c>
      <c r="D20" s="4">
        <v>12.01</v>
      </c>
      <c r="E20" s="4">
        <v>25.4</v>
      </c>
      <c r="F20" s="4" t="s">
        <v>46</v>
      </c>
      <c r="G20" s="50" t="s">
        <v>45</v>
      </c>
      <c r="H20" s="4">
        <v>1519</v>
      </c>
      <c r="I20" s="85">
        <v>7.3874999999999996E-2</v>
      </c>
      <c r="J20" s="85">
        <v>9.35E-2</v>
      </c>
      <c r="K20" s="53">
        <v>0.75</v>
      </c>
      <c r="L20" s="2">
        <v>0.98</v>
      </c>
      <c r="M20" s="2">
        <v>0.98</v>
      </c>
      <c r="N20" s="2">
        <v>0.98</v>
      </c>
      <c r="O20" s="2">
        <v>0.7</v>
      </c>
      <c r="P20" s="2">
        <v>0.96</v>
      </c>
      <c r="Q20" s="2">
        <v>0.98</v>
      </c>
      <c r="R20" s="2">
        <v>0.98</v>
      </c>
      <c r="S20" s="2">
        <v>0.98</v>
      </c>
      <c r="T20" s="2">
        <v>0.7</v>
      </c>
      <c r="U20" s="4">
        <v>0.96</v>
      </c>
      <c r="V20" s="4">
        <v>0.96</v>
      </c>
      <c r="W20" s="4">
        <v>0.96</v>
      </c>
      <c r="X20" s="4">
        <v>0.9</v>
      </c>
    </row>
    <row r="21" spans="1:24" x14ac:dyDescent="0.3">
      <c r="A21" s="21">
        <v>17</v>
      </c>
      <c r="B21" s="4" t="s">
        <v>47</v>
      </c>
      <c r="C21" s="4" t="s">
        <v>23</v>
      </c>
      <c r="D21" s="4">
        <v>3</v>
      </c>
      <c r="E21" s="4">
        <v>12</v>
      </c>
      <c r="F21" s="4" t="s">
        <v>48</v>
      </c>
      <c r="G21" s="50" t="s">
        <v>49</v>
      </c>
      <c r="H21" s="4">
        <v>1519</v>
      </c>
      <c r="I21" s="53">
        <v>7.3305084745762694E-2</v>
      </c>
      <c r="J21" s="53">
        <v>0.122593220338983</v>
      </c>
      <c r="K21" s="53">
        <v>0.75</v>
      </c>
      <c r="L21" s="2">
        <v>0.98</v>
      </c>
      <c r="M21" s="2">
        <v>0.98</v>
      </c>
      <c r="N21" s="2">
        <v>0.98</v>
      </c>
      <c r="O21" s="2">
        <v>0.7</v>
      </c>
      <c r="P21" s="2">
        <v>0.96</v>
      </c>
      <c r="Q21" s="2">
        <v>0.98</v>
      </c>
      <c r="R21" s="2">
        <v>0.98</v>
      </c>
      <c r="S21" s="2">
        <v>0.98</v>
      </c>
      <c r="T21" s="2">
        <v>0.7</v>
      </c>
      <c r="U21" s="4">
        <v>0.96</v>
      </c>
      <c r="V21" s="4">
        <v>0.96</v>
      </c>
      <c r="W21" s="4">
        <v>0.96</v>
      </c>
      <c r="X21" s="4">
        <v>0.9</v>
      </c>
    </row>
    <row r="22" spans="1:24" x14ac:dyDescent="0.3">
      <c r="A22" s="21">
        <v>18</v>
      </c>
      <c r="B22" s="4" t="s">
        <v>47</v>
      </c>
      <c r="C22" s="4" t="s">
        <v>26</v>
      </c>
      <c r="D22" s="4">
        <v>12.01</v>
      </c>
      <c r="E22" s="4">
        <v>25.4</v>
      </c>
      <c r="F22" s="4" t="s">
        <v>50</v>
      </c>
      <c r="G22" s="50" t="s">
        <v>49</v>
      </c>
      <c r="H22" s="4">
        <v>1519</v>
      </c>
      <c r="I22" s="53">
        <v>7.3272727272727295E-2</v>
      </c>
      <c r="J22" s="53">
        <v>0.124636363636364</v>
      </c>
      <c r="K22" s="53">
        <v>0.75</v>
      </c>
      <c r="L22" s="2">
        <v>0.98</v>
      </c>
      <c r="M22" s="2">
        <v>0.98</v>
      </c>
      <c r="N22" s="2">
        <v>0.98</v>
      </c>
      <c r="O22" s="2">
        <v>0.7</v>
      </c>
      <c r="P22" s="2">
        <v>0.96</v>
      </c>
      <c r="Q22" s="2">
        <v>0.98</v>
      </c>
      <c r="R22" s="2">
        <v>0.98</v>
      </c>
      <c r="S22" s="2">
        <v>0.98</v>
      </c>
      <c r="T22" s="2">
        <v>0.7</v>
      </c>
      <c r="U22" s="4">
        <v>0.96</v>
      </c>
      <c r="V22" s="4">
        <v>0.96</v>
      </c>
      <c r="W22" s="4">
        <v>0.96</v>
      </c>
      <c r="X22" s="4">
        <v>0.9</v>
      </c>
    </row>
    <row r="23" spans="1:24" x14ac:dyDescent="0.3">
      <c r="A23" s="21">
        <v>19</v>
      </c>
      <c r="B23" s="4" t="s">
        <v>51</v>
      </c>
      <c r="C23" s="4" t="s">
        <v>23</v>
      </c>
      <c r="D23" s="4">
        <v>1.5</v>
      </c>
      <c r="E23" s="4">
        <v>28</v>
      </c>
      <c r="F23" s="4" t="s">
        <v>51</v>
      </c>
      <c r="G23" s="50" t="s">
        <v>52</v>
      </c>
      <c r="H23" s="4">
        <v>1519</v>
      </c>
      <c r="I23" s="53">
        <v>7.5793851717902497E-2</v>
      </c>
      <c r="J23" s="53">
        <v>0.13061844484629301</v>
      </c>
      <c r="K23" s="53">
        <v>0.8</v>
      </c>
      <c r="L23" s="2">
        <v>0.98</v>
      </c>
      <c r="M23" s="2">
        <v>0.98</v>
      </c>
      <c r="N23" s="2">
        <v>0.98</v>
      </c>
      <c r="O23" s="2">
        <v>0.7</v>
      </c>
      <c r="P23" s="2">
        <v>0.96</v>
      </c>
      <c r="Q23" s="2">
        <v>0.98</v>
      </c>
      <c r="R23" s="2">
        <v>0.98</v>
      </c>
      <c r="S23" s="2">
        <v>0.98</v>
      </c>
      <c r="T23" s="2">
        <v>0.7</v>
      </c>
      <c r="U23" s="4">
        <v>0.96</v>
      </c>
      <c r="V23" s="4">
        <v>0.96</v>
      </c>
      <c r="W23" s="4">
        <v>0.96</v>
      </c>
      <c r="X23" s="4">
        <v>0.9</v>
      </c>
    </row>
    <row r="24" spans="1:24" x14ac:dyDescent="0.3">
      <c r="A24" s="21">
        <v>20</v>
      </c>
      <c r="B24" s="4" t="s">
        <v>53</v>
      </c>
      <c r="C24" s="4" t="s">
        <v>23</v>
      </c>
      <c r="D24" s="4">
        <v>1.5</v>
      </c>
      <c r="E24" s="4">
        <v>12</v>
      </c>
      <c r="F24" s="4" t="s">
        <v>54</v>
      </c>
      <c r="G24" s="50" t="s">
        <v>55</v>
      </c>
      <c r="H24" s="4">
        <v>1519</v>
      </c>
      <c r="I24" s="53">
        <v>7.0300925925925906E-2</v>
      </c>
      <c r="J24" s="53">
        <v>0.111680555555556</v>
      </c>
      <c r="K24" s="53">
        <v>0.75</v>
      </c>
      <c r="L24" s="2">
        <v>0.98</v>
      </c>
      <c r="M24" s="2">
        <v>0.98</v>
      </c>
      <c r="N24" s="2">
        <v>0.98</v>
      </c>
      <c r="O24" s="2">
        <v>0.7</v>
      </c>
      <c r="P24" s="2">
        <v>0.96</v>
      </c>
      <c r="Q24" s="2">
        <v>0.98</v>
      </c>
      <c r="R24" s="2">
        <v>0.98</v>
      </c>
      <c r="S24" s="2">
        <v>0.98</v>
      </c>
      <c r="T24" s="2">
        <v>0.7</v>
      </c>
      <c r="U24" s="4">
        <v>0.96</v>
      </c>
      <c r="V24" s="4">
        <v>0.96</v>
      </c>
      <c r="W24" s="4">
        <v>0.96</v>
      </c>
      <c r="X24" s="4">
        <v>0.9</v>
      </c>
    </row>
    <row r="25" spans="1:24" x14ac:dyDescent="0.3">
      <c r="A25" s="21">
        <v>21</v>
      </c>
      <c r="B25" s="4" t="s">
        <v>53</v>
      </c>
      <c r="C25" s="4" t="s">
        <v>26</v>
      </c>
      <c r="D25" s="4">
        <v>12.01</v>
      </c>
      <c r="E25" s="4">
        <v>25</v>
      </c>
      <c r="F25" s="4" t="s">
        <v>56</v>
      </c>
      <c r="G25" s="50" t="s">
        <v>55</v>
      </c>
      <c r="H25" s="4">
        <v>1519</v>
      </c>
      <c r="I25" s="53">
        <v>6.8611111111111095E-2</v>
      </c>
      <c r="J25" s="53">
        <v>0.11275</v>
      </c>
      <c r="K25" s="53">
        <v>0.75</v>
      </c>
      <c r="L25" s="2">
        <v>0.98</v>
      </c>
      <c r="M25" s="2">
        <v>0.98</v>
      </c>
      <c r="N25" s="2">
        <v>0.98</v>
      </c>
      <c r="O25" s="2">
        <v>0.7</v>
      </c>
      <c r="P25" s="2">
        <v>0.96</v>
      </c>
      <c r="Q25" s="2">
        <v>0.98</v>
      </c>
      <c r="R25" s="2">
        <v>0.98</v>
      </c>
      <c r="S25" s="2">
        <v>0.98</v>
      </c>
      <c r="T25" s="2">
        <v>0.7</v>
      </c>
      <c r="U25" s="4">
        <v>0.96</v>
      </c>
      <c r="V25" s="4">
        <v>0.96</v>
      </c>
      <c r="W25" s="4">
        <v>0.96</v>
      </c>
      <c r="X25" s="4">
        <v>0.9</v>
      </c>
    </row>
    <row r="26" spans="1:24" x14ac:dyDescent="0.3">
      <c r="A26" s="21">
        <v>22</v>
      </c>
      <c r="B26" s="4" t="s">
        <v>57</v>
      </c>
      <c r="C26" s="4" t="s">
        <v>23</v>
      </c>
      <c r="D26" s="4">
        <v>1.5</v>
      </c>
      <c r="E26" s="4">
        <v>12</v>
      </c>
      <c r="F26" s="4" t="s">
        <v>58</v>
      </c>
      <c r="G26" s="50" t="s">
        <v>59</v>
      </c>
      <c r="H26" s="4">
        <v>1519</v>
      </c>
      <c r="I26" s="53">
        <v>7.0250000000000007E-2</v>
      </c>
      <c r="J26" s="53">
        <v>0.12091666666666701</v>
      </c>
      <c r="K26" s="53">
        <v>0</v>
      </c>
      <c r="L26" s="2">
        <v>0.98</v>
      </c>
      <c r="M26" s="2">
        <v>0.98</v>
      </c>
      <c r="N26" s="2">
        <v>0.98</v>
      </c>
      <c r="O26" s="2">
        <v>0.7</v>
      </c>
      <c r="P26" s="2">
        <v>0.96</v>
      </c>
      <c r="Q26" s="2">
        <v>0.98</v>
      </c>
      <c r="R26" s="2">
        <v>0.98</v>
      </c>
      <c r="S26" s="2">
        <v>0.98</v>
      </c>
      <c r="T26" s="2">
        <v>0.7</v>
      </c>
      <c r="U26" s="4">
        <v>0.96</v>
      </c>
      <c r="V26" s="4">
        <v>0.96</v>
      </c>
      <c r="W26" s="4">
        <v>0.96</v>
      </c>
      <c r="X26" s="4">
        <v>0.9</v>
      </c>
    </row>
    <row r="27" spans="1:24" x14ac:dyDescent="0.3">
      <c r="A27" s="21">
        <v>23</v>
      </c>
      <c r="B27" s="4" t="s">
        <v>57</v>
      </c>
      <c r="C27" s="4" t="s">
        <v>26</v>
      </c>
      <c r="D27" s="4">
        <v>12.01</v>
      </c>
      <c r="E27" s="4">
        <v>20</v>
      </c>
      <c r="F27" s="4" t="s">
        <v>60</v>
      </c>
      <c r="G27" s="50" t="s">
        <v>59</v>
      </c>
      <c r="H27" s="4">
        <v>1519</v>
      </c>
      <c r="I27" s="53">
        <v>7.9000000000000001E-2</v>
      </c>
      <c r="J27" s="53">
        <v>0.13250000000000001</v>
      </c>
      <c r="K27" s="53">
        <v>0</v>
      </c>
      <c r="L27" s="2">
        <v>0.98</v>
      </c>
      <c r="M27" s="2">
        <v>0.98</v>
      </c>
      <c r="N27" s="2">
        <v>0.98</v>
      </c>
      <c r="O27" s="2">
        <v>0.7</v>
      </c>
      <c r="P27" s="2">
        <v>0.96</v>
      </c>
      <c r="Q27" s="2">
        <v>0.98</v>
      </c>
      <c r="R27" s="2">
        <v>0.98</v>
      </c>
      <c r="S27" s="2">
        <v>0.98</v>
      </c>
      <c r="T27" s="2">
        <v>0.7</v>
      </c>
      <c r="U27" s="4">
        <v>0.96</v>
      </c>
      <c r="V27" s="4">
        <v>0.96</v>
      </c>
      <c r="W27" s="4">
        <v>0.96</v>
      </c>
      <c r="X27" s="4">
        <v>0.9</v>
      </c>
    </row>
    <row r="28" spans="1:24" x14ac:dyDescent="0.3">
      <c r="A28" s="21">
        <v>24</v>
      </c>
      <c r="B28" s="4" t="s">
        <v>61</v>
      </c>
      <c r="C28" s="4" t="s">
        <v>23</v>
      </c>
      <c r="D28" s="4">
        <v>1.6</v>
      </c>
      <c r="E28" s="4">
        <v>12</v>
      </c>
      <c r="F28" s="4" t="s">
        <v>62</v>
      </c>
      <c r="G28" s="50" t="s">
        <v>63</v>
      </c>
      <c r="H28" s="4">
        <v>1519</v>
      </c>
      <c r="I28" s="53">
        <v>7.0962962962963005E-2</v>
      </c>
      <c r="J28" s="53">
        <v>0.11677777777777799</v>
      </c>
      <c r="K28" s="53">
        <v>0.75</v>
      </c>
      <c r="L28" s="2">
        <v>0.98</v>
      </c>
      <c r="M28" s="2">
        <v>0.98</v>
      </c>
      <c r="N28" s="2">
        <v>0.98</v>
      </c>
      <c r="O28" s="2">
        <v>0.7</v>
      </c>
      <c r="P28" s="2">
        <v>0.96</v>
      </c>
      <c r="Q28" s="2">
        <v>0.98</v>
      </c>
      <c r="R28" s="2">
        <v>0.98</v>
      </c>
      <c r="S28" s="2">
        <v>0.98</v>
      </c>
      <c r="T28" s="2">
        <v>0.7</v>
      </c>
      <c r="U28" s="4">
        <v>0.96</v>
      </c>
      <c r="V28" s="4">
        <v>0.96</v>
      </c>
      <c r="W28" s="4">
        <v>0.96</v>
      </c>
      <c r="X28" s="4">
        <v>0.9</v>
      </c>
    </row>
    <row r="29" spans="1:24" x14ac:dyDescent="0.3">
      <c r="A29" s="21">
        <v>25</v>
      </c>
      <c r="B29" s="4" t="s">
        <v>61</v>
      </c>
      <c r="C29" s="4" t="s">
        <v>26</v>
      </c>
      <c r="D29" s="4">
        <v>12.01</v>
      </c>
      <c r="E29" s="4">
        <v>25.4</v>
      </c>
      <c r="F29" s="4" t="s">
        <v>64</v>
      </c>
      <c r="G29" s="50" t="s">
        <v>63</v>
      </c>
      <c r="H29" s="4">
        <v>1519</v>
      </c>
      <c r="I29" s="53">
        <v>7.9833333333333298E-2</v>
      </c>
      <c r="J29" s="53">
        <v>0.115833333333333</v>
      </c>
      <c r="K29" s="53">
        <v>0.75</v>
      </c>
      <c r="L29" s="2">
        <v>0.98</v>
      </c>
      <c r="M29" s="2">
        <v>0.98</v>
      </c>
      <c r="N29" s="2">
        <v>0.98</v>
      </c>
      <c r="O29" s="2">
        <v>0.7</v>
      </c>
      <c r="P29" s="2">
        <v>0.96</v>
      </c>
      <c r="Q29" s="2">
        <v>0.98</v>
      </c>
      <c r="R29" s="2">
        <v>0.98</v>
      </c>
      <c r="S29" s="2">
        <v>0.98</v>
      </c>
      <c r="T29" s="2">
        <v>0.7</v>
      </c>
      <c r="U29" s="4">
        <v>0.96</v>
      </c>
      <c r="V29" s="4">
        <v>0.96</v>
      </c>
      <c r="W29" s="4">
        <v>0.96</v>
      </c>
      <c r="X29" s="4">
        <v>0.9</v>
      </c>
    </row>
    <row r="30" spans="1:24" x14ac:dyDescent="0.3">
      <c r="A30" s="21">
        <v>26</v>
      </c>
      <c r="B30" s="4" t="s">
        <v>65</v>
      </c>
      <c r="C30" s="4" t="s">
        <v>23</v>
      </c>
      <c r="D30" s="4">
        <v>1.5</v>
      </c>
      <c r="E30" s="4">
        <v>12</v>
      </c>
      <c r="F30" s="4" t="s">
        <v>54</v>
      </c>
      <c r="G30" s="50" t="s">
        <v>55</v>
      </c>
      <c r="H30" s="4">
        <v>1519</v>
      </c>
      <c r="I30" s="53">
        <v>7.0300925925925906E-2</v>
      </c>
      <c r="J30" s="53">
        <v>0.111680555555556</v>
      </c>
      <c r="K30" s="53">
        <v>0.75</v>
      </c>
      <c r="L30" s="2">
        <v>0.98</v>
      </c>
      <c r="M30" s="2">
        <v>0.98</v>
      </c>
      <c r="N30" s="2">
        <v>0.98</v>
      </c>
      <c r="O30" s="2">
        <v>0.7</v>
      </c>
      <c r="P30" s="2">
        <v>0.96</v>
      </c>
      <c r="Q30" s="2">
        <v>0.98</v>
      </c>
      <c r="R30" s="2">
        <v>0.98</v>
      </c>
      <c r="S30" s="2">
        <v>0.98</v>
      </c>
      <c r="T30" s="2">
        <v>0.7</v>
      </c>
      <c r="U30" s="4">
        <v>0.96</v>
      </c>
      <c r="V30" s="4">
        <v>0.96</v>
      </c>
      <c r="W30" s="4">
        <v>0.96</v>
      </c>
      <c r="X30" s="4">
        <v>0.9</v>
      </c>
    </row>
    <row r="31" spans="1:24" x14ac:dyDescent="0.3">
      <c r="A31" s="21">
        <v>27</v>
      </c>
      <c r="B31" s="4" t="s">
        <v>66</v>
      </c>
      <c r="C31" s="4" t="s">
        <v>23</v>
      </c>
      <c r="D31" s="4">
        <v>1.5</v>
      </c>
      <c r="E31" s="4">
        <v>16</v>
      </c>
      <c r="F31" s="4" t="s">
        <v>66</v>
      </c>
      <c r="G31" s="50" t="s">
        <v>67</v>
      </c>
      <c r="H31" s="4">
        <v>1519</v>
      </c>
      <c r="I31" s="53">
        <v>7.2801369863013804E-2</v>
      </c>
      <c r="J31" s="53">
        <v>0.12987328767123299</v>
      </c>
      <c r="K31" s="53">
        <v>0.55000000000000004</v>
      </c>
      <c r="L31" s="2">
        <v>0.98</v>
      </c>
      <c r="M31" s="2">
        <v>0.98</v>
      </c>
      <c r="N31" s="2">
        <v>0.98</v>
      </c>
      <c r="O31" s="2">
        <v>0.7</v>
      </c>
      <c r="P31" s="2">
        <v>0.96</v>
      </c>
      <c r="Q31" s="2">
        <v>0.98</v>
      </c>
      <c r="R31" s="2">
        <v>0.98</v>
      </c>
      <c r="S31" s="2">
        <v>0.98</v>
      </c>
      <c r="T31" s="2">
        <v>0.7</v>
      </c>
      <c r="U31" s="4">
        <v>0.96</v>
      </c>
      <c r="V31" s="4">
        <v>0.96</v>
      </c>
      <c r="W31" s="4">
        <v>0.96</v>
      </c>
      <c r="X31" s="4">
        <v>0.9</v>
      </c>
    </row>
    <row r="32" spans="1:24" x14ac:dyDescent="0.3">
      <c r="A32" s="21">
        <v>28</v>
      </c>
      <c r="B32" s="4" t="s">
        <v>68</v>
      </c>
      <c r="C32" s="4" t="s">
        <v>23</v>
      </c>
      <c r="D32" s="4">
        <v>3</v>
      </c>
      <c r="E32" s="4">
        <v>6</v>
      </c>
      <c r="F32" s="4" t="s">
        <v>69</v>
      </c>
      <c r="G32" s="50" t="s">
        <v>70</v>
      </c>
      <c r="H32" s="4">
        <v>1518</v>
      </c>
      <c r="I32" s="53">
        <v>7.0817567567567602E-2</v>
      </c>
      <c r="J32" s="53">
        <v>0.12247702702702699</v>
      </c>
      <c r="K32" s="53">
        <v>0.75</v>
      </c>
      <c r="L32" s="2">
        <v>0.98</v>
      </c>
      <c r="M32" s="2">
        <v>0.98</v>
      </c>
      <c r="N32" s="2">
        <v>0.98</v>
      </c>
      <c r="O32" s="2">
        <v>0.7</v>
      </c>
      <c r="P32" s="2">
        <v>0.96</v>
      </c>
      <c r="Q32" s="2">
        <v>0.98</v>
      </c>
      <c r="R32" s="2">
        <v>0.98</v>
      </c>
      <c r="S32" s="2">
        <v>0.98</v>
      </c>
      <c r="T32" s="2">
        <v>0.7</v>
      </c>
      <c r="U32" s="4">
        <v>0.96</v>
      </c>
      <c r="V32" s="4">
        <v>0.96</v>
      </c>
      <c r="W32" s="4">
        <v>0.96</v>
      </c>
      <c r="X32" s="4">
        <v>0.9</v>
      </c>
    </row>
    <row r="33" spans="1:24" x14ac:dyDescent="0.3">
      <c r="A33" s="21">
        <v>29</v>
      </c>
      <c r="B33" s="4" t="s">
        <v>68</v>
      </c>
      <c r="C33" s="4" t="s">
        <v>26</v>
      </c>
      <c r="D33" s="4">
        <v>6.01</v>
      </c>
      <c r="E33" s="4">
        <v>10</v>
      </c>
      <c r="F33" s="4" t="s">
        <v>71</v>
      </c>
      <c r="G33" s="50" t="s">
        <v>70</v>
      </c>
      <c r="H33" s="4">
        <v>1517</v>
      </c>
      <c r="I33" s="53">
        <v>7.0817567567567602E-2</v>
      </c>
      <c r="J33" s="53">
        <v>0.12247702702702699</v>
      </c>
      <c r="K33" s="53">
        <v>0.75</v>
      </c>
      <c r="L33" s="2">
        <v>0.98</v>
      </c>
      <c r="M33" s="2">
        <v>0.98</v>
      </c>
      <c r="N33" s="2">
        <v>0.98</v>
      </c>
      <c r="O33" s="2">
        <v>0.7</v>
      </c>
      <c r="P33" s="2">
        <v>0.96</v>
      </c>
      <c r="Q33" s="2">
        <v>0.98</v>
      </c>
      <c r="R33" s="2">
        <v>0.98</v>
      </c>
      <c r="S33" s="2">
        <v>0.98</v>
      </c>
      <c r="T33" s="2">
        <v>0.7</v>
      </c>
      <c r="U33" s="4">
        <v>0.96</v>
      </c>
      <c r="V33" s="4">
        <v>0.96</v>
      </c>
      <c r="W33" s="4">
        <v>0.96</v>
      </c>
      <c r="X33" s="4">
        <v>0.9</v>
      </c>
    </row>
    <row r="34" spans="1:24" x14ac:dyDescent="0.3">
      <c r="A34" s="21">
        <v>30</v>
      </c>
      <c r="B34" s="4" t="s">
        <v>72</v>
      </c>
      <c r="C34" s="4" t="s">
        <v>23</v>
      </c>
      <c r="D34" s="4">
        <v>1.6</v>
      </c>
      <c r="E34" s="4">
        <v>8</v>
      </c>
      <c r="F34" s="4" t="s">
        <v>73</v>
      </c>
      <c r="G34" s="50" t="s">
        <v>74</v>
      </c>
      <c r="H34" s="4">
        <v>1531</v>
      </c>
      <c r="I34" s="85">
        <v>0.04</v>
      </c>
      <c r="J34" s="85">
        <v>9.0240000000000001E-2</v>
      </c>
      <c r="K34" s="53">
        <v>0</v>
      </c>
      <c r="L34" s="2">
        <v>0.98</v>
      </c>
      <c r="M34" s="2">
        <v>0.98</v>
      </c>
      <c r="N34" s="2">
        <v>0.98</v>
      </c>
      <c r="O34" s="2">
        <v>0.7</v>
      </c>
      <c r="P34" s="2">
        <v>0.96</v>
      </c>
      <c r="Q34" s="2">
        <v>0.98</v>
      </c>
      <c r="R34" s="2">
        <v>0.98</v>
      </c>
      <c r="S34" s="2">
        <v>0.98</v>
      </c>
      <c r="T34" s="2">
        <v>0.7</v>
      </c>
      <c r="U34" s="4">
        <v>0.96</v>
      </c>
      <c r="V34" s="4">
        <v>0.96</v>
      </c>
      <c r="W34" s="4">
        <v>0.96</v>
      </c>
      <c r="X34" s="4">
        <v>0.9</v>
      </c>
    </row>
    <row r="35" spans="1:24" x14ac:dyDescent="0.3">
      <c r="A35" s="21">
        <v>31</v>
      </c>
      <c r="B35" s="4" t="s">
        <v>72</v>
      </c>
      <c r="C35" s="4" t="s">
        <v>26</v>
      </c>
      <c r="D35" s="4">
        <v>8.01</v>
      </c>
      <c r="E35" s="4">
        <v>16</v>
      </c>
      <c r="F35" s="4" t="s">
        <v>75</v>
      </c>
      <c r="G35" s="50" t="s">
        <v>74</v>
      </c>
      <c r="H35" s="4">
        <v>1531</v>
      </c>
      <c r="I35" s="85">
        <v>0.04</v>
      </c>
      <c r="J35" s="53">
        <v>9.0240000000000001E-2</v>
      </c>
      <c r="K35" s="53">
        <v>0</v>
      </c>
      <c r="L35" s="2">
        <v>0.98</v>
      </c>
      <c r="M35" s="2">
        <v>0.98</v>
      </c>
      <c r="N35" s="2">
        <v>0.98</v>
      </c>
      <c r="O35" s="2">
        <v>0.7</v>
      </c>
      <c r="P35" s="2">
        <v>0.96</v>
      </c>
      <c r="Q35" s="2">
        <v>0.98</v>
      </c>
      <c r="R35" s="2">
        <v>0.98</v>
      </c>
      <c r="S35" s="2">
        <v>0.98</v>
      </c>
      <c r="T35" s="2">
        <v>0.7</v>
      </c>
      <c r="U35" s="4">
        <v>0.96</v>
      </c>
      <c r="V35" s="4">
        <v>0.96</v>
      </c>
      <c r="W35" s="4">
        <v>0.96</v>
      </c>
      <c r="X35" s="4">
        <v>0.9</v>
      </c>
    </row>
    <row r="36" spans="1:24" x14ac:dyDescent="0.3">
      <c r="A36" s="21">
        <v>32</v>
      </c>
      <c r="B36" s="4" t="s">
        <v>72</v>
      </c>
      <c r="C36" s="4" t="s">
        <v>23</v>
      </c>
      <c r="D36" s="4">
        <v>8.01</v>
      </c>
      <c r="E36" s="4">
        <v>16</v>
      </c>
      <c r="F36" s="4" t="s">
        <v>75</v>
      </c>
      <c r="G36" s="50" t="s">
        <v>74</v>
      </c>
      <c r="H36" s="4">
        <v>1531</v>
      </c>
      <c r="I36" s="85">
        <v>0.04</v>
      </c>
      <c r="J36" s="53">
        <v>9.0240000000000001E-2</v>
      </c>
      <c r="K36" s="53">
        <v>0</v>
      </c>
      <c r="L36" s="2">
        <v>0.98</v>
      </c>
      <c r="M36" s="2">
        <v>0.98</v>
      </c>
      <c r="N36" s="2">
        <v>0.98</v>
      </c>
      <c r="O36" s="2">
        <v>0.7</v>
      </c>
      <c r="P36" s="2">
        <v>0.96</v>
      </c>
      <c r="Q36" s="2">
        <v>0.98</v>
      </c>
      <c r="R36" s="2">
        <v>0.98</v>
      </c>
      <c r="S36" s="2">
        <v>0.98</v>
      </c>
      <c r="T36" s="2">
        <v>0.7</v>
      </c>
      <c r="U36" s="4">
        <v>0.96</v>
      </c>
      <c r="V36" s="4">
        <v>0.96</v>
      </c>
      <c r="W36" s="4">
        <v>0.96</v>
      </c>
      <c r="X36" s="4">
        <v>0.9</v>
      </c>
    </row>
    <row r="37" spans="1:24" x14ac:dyDescent="0.3">
      <c r="A37" s="21">
        <v>33</v>
      </c>
      <c r="B37" s="4" t="s">
        <v>76</v>
      </c>
      <c r="C37" s="4" t="s">
        <v>23</v>
      </c>
      <c r="D37" s="4">
        <v>2.5</v>
      </c>
      <c r="E37" s="4">
        <v>5</v>
      </c>
      <c r="F37" s="4" t="s">
        <v>76</v>
      </c>
      <c r="G37" s="50" t="s">
        <v>77</v>
      </c>
      <c r="H37" s="4">
        <v>1531</v>
      </c>
      <c r="I37" s="85">
        <v>0.04</v>
      </c>
      <c r="J37" s="53">
        <v>9.0240000000000001E-2</v>
      </c>
      <c r="K37" s="53">
        <v>0</v>
      </c>
      <c r="L37" s="2">
        <v>0.98</v>
      </c>
      <c r="M37" s="2">
        <v>0.98</v>
      </c>
      <c r="N37" s="2">
        <v>0.98</v>
      </c>
      <c r="O37" s="2">
        <v>0.7</v>
      </c>
      <c r="P37" s="2">
        <v>0.96</v>
      </c>
      <c r="Q37" s="2">
        <v>0.98</v>
      </c>
      <c r="R37" s="2">
        <v>0.98</v>
      </c>
      <c r="S37" s="2">
        <v>0.98</v>
      </c>
      <c r="T37" s="2">
        <v>0.7</v>
      </c>
      <c r="U37" s="4">
        <v>0.96</v>
      </c>
      <c r="V37" s="4">
        <v>0.96</v>
      </c>
      <c r="W37" s="4">
        <v>0.96</v>
      </c>
      <c r="X37" s="4">
        <v>0.9</v>
      </c>
    </row>
    <row r="38" spans="1:24" x14ac:dyDescent="0.3">
      <c r="A38" s="21">
        <v>34</v>
      </c>
      <c r="B38" s="4" t="s">
        <v>78</v>
      </c>
      <c r="C38" s="4" t="s">
        <v>23</v>
      </c>
      <c r="D38" s="4">
        <v>2.5</v>
      </c>
      <c r="E38" s="4">
        <v>6</v>
      </c>
      <c r="F38" s="4" t="s">
        <v>78</v>
      </c>
      <c r="G38" s="50" t="s">
        <v>79</v>
      </c>
      <c r="H38" s="4">
        <v>1531</v>
      </c>
      <c r="I38" s="85">
        <v>0.04</v>
      </c>
      <c r="J38" s="53">
        <v>0.10625</v>
      </c>
      <c r="K38" s="53">
        <v>0</v>
      </c>
      <c r="L38" s="2">
        <v>0.98</v>
      </c>
      <c r="M38" s="2">
        <v>0.98</v>
      </c>
      <c r="N38" s="2">
        <v>0.98</v>
      </c>
      <c r="O38" s="2">
        <v>0.7</v>
      </c>
      <c r="P38" s="2">
        <v>0.96</v>
      </c>
      <c r="Q38" s="2">
        <v>0.98</v>
      </c>
      <c r="R38" s="2">
        <v>0.98</v>
      </c>
      <c r="S38" s="2">
        <v>0.98</v>
      </c>
      <c r="T38" s="2">
        <v>0.7</v>
      </c>
      <c r="U38" s="4">
        <v>0.96</v>
      </c>
      <c r="V38" s="4">
        <v>0.96</v>
      </c>
      <c r="W38" s="4">
        <v>0.96</v>
      </c>
      <c r="X38" s="4">
        <v>0.9</v>
      </c>
    </row>
    <row r="39" spans="1:24" x14ac:dyDescent="0.3">
      <c r="A39" s="21">
        <v>35</v>
      </c>
      <c r="B39" s="4" t="s">
        <v>80</v>
      </c>
      <c r="C39" s="4" t="s">
        <v>23</v>
      </c>
      <c r="D39" s="4">
        <v>2.5</v>
      </c>
      <c r="E39" s="4">
        <v>6</v>
      </c>
      <c r="F39" s="4" t="s">
        <v>80</v>
      </c>
      <c r="G39" s="50" t="s">
        <v>81</v>
      </c>
      <c r="H39" s="4">
        <v>1529</v>
      </c>
      <c r="I39" s="86">
        <v>0.04</v>
      </c>
      <c r="J39" s="4">
        <v>0.1454</v>
      </c>
      <c r="K39" s="53">
        <v>0</v>
      </c>
      <c r="L39" s="2">
        <v>0.98</v>
      </c>
      <c r="M39" s="2">
        <v>0.98</v>
      </c>
      <c r="N39" s="2">
        <v>0.98</v>
      </c>
      <c r="O39" s="2">
        <v>0.7</v>
      </c>
      <c r="P39" s="2">
        <v>0.96</v>
      </c>
      <c r="Q39" s="2">
        <v>0.98</v>
      </c>
      <c r="R39" s="2">
        <v>0.98</v>
      </c>
      <c r="S39" s="2">
        <v>0.98</v>
      </c>
      <c r="T39" s="2">
        <v>0.7</v>
      </c>
      <c r="U39" s="4">
        <v>0.96</v>
      </c>
      <c r="V39" s="4">
        <v>0.96</v>
      </c>
      <c r="W39" s="4">
        <v>0.96</v>
      </c>
      <c r="X39" s="4">
        <v>0.9</v>
      </c>
    </row>
    <row r="40" spans="1:24" x14ac:dyDescent="0.3">
      <c r="A40" s="21">
        <v>36</v>
      </c>
      <c r="B40" s="4" t="s">
        <v>82</v>
      </c>
      <c r="C40" s="4" t="s">
        <v>23</v>
      </c>
      <c r="D40" s="4">
        <v>2.5</v>
      </c>
      <c r="E40" s="4">
        <v>6</v>
      </c>
      <c r="F40" s="4" t="s">
        <v>82</v>
      </c>
      <c r="G40" s="50" t="s">
        <v>83</v>
      </c>
      <c r="H40" s="4">
        <v>1529</v>
      </c>
      <c r="I40" s="85">
        <v>0.04</v>
      </c>
      <c r="J40" s="53">
        <v>9.8500000000000004E-2</v>
      </c>
      <c r="K40" s="53">
        <v>0</v>
      </c>
      <c r="L40" s="2">
        <v>0.98</v>
      </c>
      <c r="M40" s="2">
        <v>0.98</v>
      </c>
      <c r="N40" s="2">
        <v>0.98</v>
      </c>
      <c r="O40" s="2">
        <v>0.7</v>
      </c>
      <c r="P40" s="2">
        <v>0.96</v>
      </c>
      <c r="Q40" s="2">
        <v>0.98</v>
      </c>
      <c r="R40" s="2">
        <v>0.98</v>
      </c>
      <c r="S40" s="2">
        <v>0.98</v>
      </c>
      <c r="T40" s="2">
        <v>0.7</v>
      </c>
      <c r="U40" s="4">
        <v>0.96</v>
      </c>
      <c r="V40" s="4">
        <v>0.96</v>
      </c>
      <c r="W40" s="4">
        <v>0.96</v>
      </c>
      <c r="X40" s="4">
        <v>0.9</v>
      </c>
    </row>
    <row r="41" spans="1:24" x14ac:dyDescent="0.3">
      <c r="A41" s="21">
        <v>37</v>
      </c>
      <c r="B41" s="4" t="s">
        <v>84</v>
      </c>
      <c r="C41" s="4" t="s">
        <v>23</v>
      </c>
      <c r="D41" s="4">
        <v>2.5</v>
      </c>
      <c r="E41" s="4">
        <v>3.5</v>
      </c>
      <c r="F41" s="4" t="s">
        <v>84</v>
      </c>
      <c r="G41" s="50" t="s">
        <v>85</v>
      </c>
      <c r="H41" s="4">
        <v>1528</v>
      </c>
      <c r="I41" s="85">
        <v>0.04</v>
      </c>
      <c r="J41" s="53">
        <v>9.8500000000000004E-2</v>
      </c>
      <c r="K41" s="53">
        <v>0</v>
      </c>
      <c r="L41" s="2">
        <v>0.98</v>
      </c>
      <c r="M41" s="2">
        <v>0.98</v>
      </c>
      <c r="N41" s="2">
        <v>0.98</v>
      </c>
      <c r="O41" s="2">
        <v>0.7</v>
      </c>
      <c r="P41" s="2">
        <v>0.96</v>
      </c>
      <c r="Q41" s="2">
        <v>0.98</v>
      </c>
      <c r="R41" s="2">
        <v>0.98</v>
      </c>
      <c r="S41" s="2">
        <v>0.98</v>
      </c>
      <c r="T41" s="2">
        <v>0.7</v>
      </c>
      <c r="U41" s="4">
        <v>0.96</v>
      </c>
      <c r="V41" s="4">
        <v>0.96</v>
      </c>
      <c r="W41" s="4">
        <v>0.96</v>
      </c>
      <c r="X41" s="4">
        <v>0.9</v>
      </c>
    </row>
    <row r="42" spans="1:24" x14ac:dyDescent="0.3">
      <c r="A42" s="21">
        <v>38</v>
      </c>
      <c r="B42" s="4" t="s">
        <v>86</v>
      </c>
      <c r="C42" s="4" t="s">
        <v>26</v>
      </c>
      <c r="D42" s="4">
        <v>0.1</v>
      </c>
      <c r="E42" s="4">
        <v>5.99</v>
      </c>
      <c r="F42" s="4" t="s">
        <v>87</v>
      </c>
      <c r="G42" s="50" t="s">
        <v>88</v>
      </c>
      <c r="H42" s="4">
        <v>1518</v>
      </c>
      <c r="I42" s="53">
        <v>7.0817567567567602E-2</v>
      </c>
      <c r="J42" s="53">
        <v>0.12247702702702699</v>
      </c>
      <c r="K42" s="53">
        <v>0.8</v>
      </c>
      <c r="L42" s="2">
        <v>0.98</v>
      </c>
      <c r="M42" s="2">
        <v>0.98</v>
      </c>
      <c r="N42" s="2">
        <v>0.98</v>
      </c>
      <c r="O42" s="2">
        <v>0.7</v>
      </c>
      <c r="P42" s="2">
        <v>0.96</v>
      </c>
      <c r="Q42" s="2">
        <v>0.98</v>
      </c>
      <c r="R42" s="2">
        <v>0.98</v>
      </c>
      <c r="S42" s="2">
        <v>0.98</v>
      </c>
      <c r="T42" s="2">
        <v>0.7</v>
      </c>
      <c r="U42" s="4">
        <v>0.96</v>
      </c>
      <c r="V42" s="4">
        <v>0.96</v>
      </c>
      <c r="W42" s="4">
        <v>0.96</v>
      </c>
      <c r="X42" s="4">
        <v>0.9</v>
      </c>
    </row>
    <row r="43" spans="1:24" x14ac:dyDescent="0.3">
      <c r="A43" s="21">
        <v>39</v>
      </c>
      <c r="B43" s="4" t="s">
        <v>86</v>
      </c>
      <c r="C43" s="4" t="s">
        <v>23</v>
      </c>
      <c r="D43" s="4">
        <v>6</v>
      </c>
      <c r="E43" s="4">
        <v>15.99</v>
      </c>
      <c r="F43" s="4" t="s">
        <v>89</v>
      </c>
      <c r="G43" s="50" t="s">
        <v>88</v>
      </c>
      <c r="H43" s="4">
        <v>1517</v>
      </c>
      <c r="I43" s="53">
        <v>7.4004318322023602E-2</v>
      </c>
      <c r="J43" s="53">
        <v>0.121203886489821</v>
      </c>
      <c r="K43" s="53">
        <v>0.8</v>
      </c>
      <c r="L43" s="2">
        <v>0.98</v>
      </c>
      <c r="M43" s="2">
        <v>0.98</v>
      </c>
      <c r="N43" s="2">
        <v>0.98</v>
      </c>
      <c r="O43" s="2">
        <v>0.7</v>
      </c>
      <c r="P43" s="2">
        <v>0.96</v>
      </c>
      <c r="Q43" s="2">
        <v>0.98</v>
      </c>
      <c r="R43" s="2">
        <v>0.98</v>
      </c>
      <c r="S43" s="2">
        <v>0.98</v>
      </c>
      <c r="T43" s="2">
        <v>0.7</v>
      </c>
      <c r="U43" s="4">
        <v>0.96</v>
      </c>
      <c r="V43" s="4">
        <v>0.96</v>
      </c>
      <c r="W43" s="4">
        <v>0.96</v>
      </c>
      <c r="X43" s="4">
        <v>0.9</v>
      </c>
    </row>
    <row r="44" spans="1:24" x14ac:dyDescent="0.3">
      <c r="A44" s="21">
        <v>40</v>
      </c>
      <c r="B44" s="4" t="s">
        <v>86</v>
      </c>
      <c r="C44" s="4" t="s">
        <v>90</v>
      </c>
      <c r="D44" s="4">
        <v>16</v>
      </c>
      <c r="E44" s="4">
        <v>28</v>
      </c>
      <c r="F44" s="4" t="s">
        <v>91</v>
      </c>
      <c r="G44" s="50" t="s">
        <v>92</v>
      </c>
      <c r="H44" s="4">
        <v>1514</v>
      </c>
      <c r="I44" s="53">
        <v>7.4124444444444396E-2</v>
      </c>
      <c r="J44" s="53">
        <v>0.113951111111111</v>
      </c>
      <c r="K44" s="53">
        <v>0.8</v>
      </c>
      <c r="L44" s="2">
        <v>0.98</v>
      </c>
      <c r="M44" s="2">
        <v>0.98</v>
      </c>
      <c r="N44" s="2">
        <v>0.98</v>
      </c>
      <c r="O44" s="2">
        <v>0.7</v>
      </c>
      <c r="P44" s="2">
        <v>0.96</v>
      </c>
      <c r="Q44" s="2">
        <v>0.98</v>
      </c>
      <c r="R44" s="2">
        <v>0.98</v>
      </c>
      <c r="S44" s="2">
        <v>0.98</v>
      </c>
      <c r="T44" s="2">
        <v>0.7</v>
      </c>
      <c r="U44" s="4">
        <v>0.96</v>
      </c>
      <c r="V44" s="4">
        <v>0.96</v>
      </c>
      <c r="W44" s="4">
        <v>0.96</v>
      </c>
      <c r="X44" s="4">
        <v>0.9</v>
      </c>
    </row>
    <row r="45" spans="1:24" x14ac:dyDescent="0.3">
      <c r="A45" s="21">
        <v>41</v>
      </c>
      <c r="B45" s="4" t="s">
        <v>93</v>
      </c>
      <c r="C45" s="4" t="s">
        <v>23</v>
      </c>
      <c r="D45" s="4">
        <v>2</v>
      </c>
      <c r="E45" s="4">
        <v>12</v>
      </c>
      <c r="F45" s="4" t="s">
        <v>94</v>
      </c>
      <c r="G45" s="4" t="s">
        <v>95</v>
      </c>
      <c r="H45" s="4">
        <v>1517</v>
      </c>
      <c r="I45" s="53">
        <v>7.0999999999999994E-2</v>
      </c>
      <c r="J45" s="53">
        <v>0.112</v>
      </c>
      <c r="K45" s="53">
        <v>0.8</v>
      </c>
      <c r="L45" s="2">
        <v>0.98</v>
      </c>
      <c r="M45" s="2">
        <v>0.98</v>
      </c>
      <c r="N45" s="2">
        <v>0.98</v>
      </c>
      <c r="O45" s="2">
        <v>0.7</v>
      </c>
      <c r="P45" s="2">
        <v>0.96</v>
      </c>
      <c r="Q45" s="2">
        <v>0.98</v>
      </c>
      <c r="R45" s="2">
        <v>0.98</v>
      </c>
      <c r="S45" s="2">
        <v>0.98</v>
      </c>
      <c r="T45" s="2">
        <v>0.7</v>
      </c>
      <c r="U45" s="4">
        <v>0.96</v>
      </c>
      <c r="V45" s="4">
        <v>0.96</v>
      </c>
      <c r="W45" s="4">
        <v>0.96</v>
      </c>
      <c r="X45" s="4">
        <v>0.9</v>
      </c>
    </row>
    <row r="46" spans="1:24" x14ac:dyDescent="0.3">
      <c r="A46" s="21">
        <v>42</v>
      </c>
      <c r="B46" s="4" t="s">
        <v>93</v>
      </c>
      <c r="C46" s="4" t="s">
        <v>26</v>
      </c>
      <c r="D46" s="4">
        <v>12.01</v>
      </c>
      <c r="E46" s="4">
        <v>19</v>
      </c>
      <c r="F46" s="4" t="s">
        <v>96</v>
      </c>
      <c r="G46" s="4" t="s">
        <v>95</v>
      </c>
      <c r="H46" s="4">
        <v>1517</v>
      </c>
      <c r="I46" s="53">
        <v>6.2065217391304398E-2</v>
      </c>
      <c r="J46" s="53">
        <v>0.113173913043478</v>
      </c>
      <c r="K46" s="53">
        <v>0.8</v>
      </c>
      <c r="L46" s="2">
        <v>0.98</v>
      </c>
      <c r="M46" s="2">
        <v>0.98</v>
      </c>
      <c r="N46" s="2">
        <v>0.98</v>
      </c>
      <c r="O46" s="2">
        <v>0.7</v>
      </c>
      <c r="P46" s="2">
        <v>0.96</v>
      </c>
      <c r="Q46" s="2">
        <v>0.98</v>
      </c>
      <c r="R46" s="2">
        <v>0.98</v>
      </c>
      <c r="S46" s="2">
        <v>0.98</v>
      </c>
      <c r="T46" s="2">
        <v>0.7</v>
      </c>
      <c r="U46" s="4">
        <v>0.96</v>
      </c>
      <c r="V46" s="4">
        <v>0.96</v>
      </c>
      <c r="W46" s="4">
        <v>0.96</v>
      </c>
      <c r="X46" s="4">
        <v>0.9</v>
      </c>
    </row>
    <row r="47" spans="1:24" x14ac:dyDescent="0.3">
      <c r="A47" s="21">
        <v>43</v>
      </c>
      <c r="B47" s="4" t="s">
        <v>93</v>
      </c>
      <c r="C47" s="4" t="s">
        <v>90</v>
      </c>
      <c r="D47" s="4">
        <v>19.010000000000002</v>
      </c>
      <c r="E47" s="4">
        <v>29</v>
      </c>
      <c r="F47" s="4" t="s">
        <v>97</v>
      </c>
      <c r="G47" s="4" t="s">
        <v>95</v>
      </c>
      <c r="H47" s="4">
        <v>1517</v>
      </c>
      <c r="I47" s="53">
        <v>6.7671052631579007E-2</v>
      </c>
      <c r="J47" s="53">
        <v>0.109171052631579</v>
      </c>
      <c r="K47" s="53">
        <v>0.8</v>
      </c>
      <c r="L47" s="2">
        <v>0.98</v>
      </c>
      <c r="M47" s="2">
        <v>0.98</v>
      </c>
      <c r="N47" s="2">
        <v>0.98</v>
      </c>
      <c r="O47" s="2">
        <v>0.7</v>
      </c>
      <c r="P47" s="2">
        <v>0.96</v>
      </c>
      <c r="Q47" s="2">
        <v>0.98</v>
      </c>
      <c r="R47" s="2">
        <v>0.98</v>
      </c>
      <c r="S47" s="2">
        <v>0.98</v>
      </c>
      <c r="T47" s="2">
        <v>0.7</v>
      </c>
      <c r="U47" s="4">
        <v>0.96</v>
      </c>
      <c r="V47" s="4">
        <v>0.96</v>
      </c>
      <c r="W47" s="4">
        <v>0.96</v>
      </c>
      <c r="X47" s="4">
        <v>0.9</v>
      </c>
    </row>
    <row r="48" spans="1:24" x14ac:dyDescent="0.3">
      <c r="A48" s="21">
        <v>44</v>
      </c>
      <c r="B48" s="4" t="s">
        <v>98</v>
      </c>
      <c r="C48" s="4" t="s">
        <v>23</v>
      </c>
      <c r="D48" s="4">
        <v>2</v>
      </c>
      <c r="E48" s="4">
        <v>12</v>
      </c>
      <c r="F48" s="4" t="s">
        <v>99</v>
      </c>
      <c r="G48" s="50" t="s">
        <v>100</v>
      </c>
      <c r="H48" s="4">
        <v>1517</v>
      </c>
      <c r="I48" s="53">
        <v>7.0258620689655202E-2</v>
      </c>
      <c r="J48" s="53">
        <v>0.116155172413793</v>
      </c>
      <c r="K48" s="53">
        <v>0.8</v>
      </c>
      <c r="L48" s="2">
        <v>0.98</v>
      </c>
      <c r="M48" s="2">
        <v>0.98</v>
      </c>
      <c r="N48" s="2">
        <v>0.98</v>
      </c>
      <c r="O48" s="2">
        <v>0.7</v>
      </c>
      <c r="P48" s="2">
        <v>0.96</v>
      </c>
      <c r="Q48" s="2">
        <v>0.98</v>
      </c>
      <c r="R48" s="2">
        <v>0.98</v>
      </c>
      <c r="S48" s="2">
        <v>0.98</v>
      </c>
      <c r="T48" s="2">
        <v>0.7</v>
      </c>
      <c r="U48" s="4">
        <v>0.96</v>
      </c>
      <c r="V48" s="4">
        <v>0.96</v>
      </c>
      <c r="W48" s="4">
        <v>0.96</v>
      </c>
      <c r="X48" s="4">
        <v>0.9</v>
      </c>
    </row>
    <row r="49" spans="1:24" x14ac:dyDescent="0.3">
      <c r="A49" s="21">
        <v>45</v>
      </c>
      <c r="B49" s="4" t="s">
        <v>98</v>
      </c>
      <c r="C49" s="4" t="s">
        <v>26</v>
      </c>
      <c r="D49" s="4">
        <v>12.01</v>
      </c>
      <c r="E49" s="4">
        <v>19</v>
      </c>
      <c r="F49" s="4" t="s">
        <v>101</v>
      </c>
      <c r="G49" s="50" t="s">
        <v>100</v>
      </c>
      <c r="H49" s="4">
        <v>1521</v>
      </c>
      <c r="I49" s="53">
        <v>5.6923076923077E-2</v>
      </c>
      <c r="J49" s="53">
        <v>9.9230769230769206E-2</v>
      </c>
      <c r="K49" s="53">
        <v>0.8</v>
      </c>
      <c r="L49" s="2">
        <v>0.98</v>
      </c>
      <c r="M49" s="2">
        <v>0.98</v>
      </c>
      <c r="N49" s="2">
        <v>0.98</v>
      </c>
      <c r="O49" s="2">
        <v>0.7</v>
      </c>
      <c r="P49" s="2">
        <v>0.96</v>
      </c>
      <c r="Q49" s="2">
        <v>0.98</v>
      </c>
      <c r="R49" s="2">
        <v>0.98</v>
      </c>
      <c r="S49" s="2">
        <v>0.98</v>
      </c>
      <c r="T49" s="2">
        <v>0.7</v>
      </c>
      <c r="U49" s="4">
        <v>0.96</v>
      </c>
      <c r="V49" s="4">
        <v>0.96</v>
      </c>
      <c r="W49" s="4">
        <v>0.96</v>
      </c>
      <c r="X49" s="4">
        <v>0.9</v>
      </c>
    </row>
    <row r="50" spans="1:24" x14ac:dyDescent="0.3">
      <c r="A50" s="21">
        <v>46</v>
      </c>
      <c r="B50" s="4" t="s">
        <v>98</v>
      </c>
      <c r="C50" s="4" t="s">
        <v>90</v>
      </c>
      <c r="D50" s="4">
        <v>19.010000000000002</v>
      </c>
      <c r="E50" s="4">
        <v>29</v>
      </c>
      <c r="F50" s="4" t="s">
        <v>102</v>
      </c>
      <c r="G50" s="50" t="s">
        <v>100</v>
      </c>
      <c r="H50" s="4">
        <v>1521</v>
      </c>
      <c r="I50" s="53">
        <v>6.7000000000000004E-2</v>
      </c>
      <c r="J50" s="53">
        <v>0.1105</v>
      </c>
      <c r="K50" s="53">
        <v>0.8</v>
      </c>
      <c r="L50" s="2">
        <v>0.98</v>
      </c>
      <c r="M50" s="2">
        <v>0.98</v>
      </c>
      <c r="N50" s="2">
        <v>0.98</v>
      </c>
      <c r="O50" s="2">
        <v>0.7</v>
      </c>
      <c r="P50" s="2">
        <v>0.96</v>
      </c>
      <c r="Q50" s="2">
        <v>0.98</v>
      </c>
      <c r="R50" s="2">
        <v>0.98</v>
      </c>
      <c r="S50" s="2">
        <v>0.98</v>
      </c>
      <c r="T50" s="2">
        <v>0.7</v>
      </c>
      <c r="U50" s="4">
        <v>0.96</v>
      </c>
      <c r="V50" s="4">
        <v>0.96</v>
      </c>
      <c r="W50" s="4">
        <v>0.96</v>
      </c>
      <c r="X50" s="4">
        <v>0.9</v>
      </c>
    </row>
    <row r="51" spans="1:24" x14ac:dyDescent="0.3">
      <c r="A51" s="21">
        <v>47</v>
      </c>
      <c r="B51" s="4" t="s">
        <v>103</v>
      </c>
      <c r="C51" s="4" t="s">
        <v>23</v>
      </c>
      <c r="D51" s="4">
        <v>2</v>
      </c>
      <c r="E51" s="4">
        <v>7.55</v>
      </c>
      <c r="F51" s="4" t="s">
        <v>104</v>
      </c>
      <c r="G51" s="50" t="s">
        <v>105</v>
      </c>
      <c r="H51" s="4">
        <v>1514</v>
      </c>
      <c r="I51" s="53">
        <v>6.2857142857142903E-2</v>
      </c>
      <c r="J51" s="53">
        <v>0.114285714285714</v>
      </c>
      <c r="K51" s="53">
        <v>0.8</v>
      </c>
      <c r="L51" s="2">
        <v>0.98</v>
      </c>
      <c r="M51" s="2">
        <v>0.98</v>
      </c>
      <c r="N51" s="2">
        <v>0.98</v>
      </c>
      <c r="O51" s="2">
        <v>0.7</v>
      </c>
      <c r="P51" s="2">
        <v>0.96</v>
      </c>
      <c r="Q51" s="2">
        <v>0.98</v>
      </c>
      <c r="R51" s="2">
        <v>0.98</v>
      </c>
      <c r="S51" s="2">
        <v>0.98</v>
      </c>
      <c r="T51" s="2">
        <v>0.7</v>
      </c>
      <c r="U51" s="4">
        <v>0.96</v>
      </c>
      <c r="V51" s="4">
        <v>0.96</v>
      </c>
      <c r="W51" s="4">
        <v>0.96</v>
      </c>
      <c r="X51" s="4">
        <v>0.9</v>
      </c>
    </row>
    <row r="52" spans="1:24" x14ac:dyDescent="0.3">
      <c r="A52" s="21">
        <v>48</v>
      </c>
      <c r="B52" s="4" t="s">
        <v>103</v>
      </c>
      <c r="C52" s="4" t="s">
        <v>26</v>
      </c>
      <c r="D52" s="4">
        <v>7.56</v>
      </c>
      <c r="E52" s="4">
        <v>16</v>
      </c>
      <c r="F52" s="4" t="s">
        <v>106</v>
      </c>
      <c r="G52" s="50" t="s">
        <v>105</v>
      </c>
      <c r="H52" s="4">
        <v>1514</v>
      </c>
      <c r="I52" s="53">
        <v>6.8264705882353005E-2</v>
      </c>
      <c r="J52" s="53">
        <v>0.120852941176471</v>
      </c>
      <c r="K52" s="53">
        <v>0.8</v>
      </c>
      <c r="L52" s="2">
        <v>0.98</v>
      </c>
      <c r="M52" s="2">
        <v>0.98</v>
      </c>
      <c r="N52" s="2">
        <v>0.98</v>
      </c>
      <c r="O52" s="2">
        <v>0.7</v>
      </c>
      <c r="P52" s="2">
        <v>0.96</v>
      </c>
      <c r="Q52" s="2">
        <v>0.98</v>
      </c>
      <c r="R52" s="2">
        <v>0.98</v>
      </c>
      <c r="S52" s="2">
        <v>0.98</v>
      </c>
      <c r="T52" s="2">
        <v>0.7</v>
      </c>
      <c r="U52" s="4">
        <v>0.96</v>
      </c>
      <c r="V52" s="4">
        <v>0.96</v>
      </c>
      <c r="W52" s="4">
        <v>0.96</v>
      </c>
      <c r="X52" s="4">
        <v>0.9</v>
      </c>
    </row>
    <row r="53" spans="1:24" x14ac:dyDescent="0.3">
      <c r="A53" s="21">
        <v>49</v>
      </c>
      <c r="B53" s="4" t="s">
        <v>103</v>
      </c>
      <c r="C53" s="4" t="s">
        <v>90</v>
      </c>
      <c r="D53" s="4">
        <v>16.010000000000002</v>
      </c>
      <c r="E53" s="4">
        <v>28</v>
      </c>
      <c r="F53" s="4" t="s">
        <v>107</v>
      </c>
      <c r="G53" s="50" t="s">
        <v>105</v>
      </c>
      <c r="H53" s="4">
        <v>1514</v>
      </c>
      <c r="I53" s="53">
        <v>7.5800000000000006E-2</v>
      </c>
      <c r="J53" s="53">
        <v>0.12139999999999999</v>
      </c>
      <c r="K53" s="53">
        <v>0.8</v>
      </c>
      <c r="L53" s="2">
        <v>0.98</v>
      </c>
      <c r="M53" s="2">
        <v>0.98</v>
      </c>
      <c r="N53" s="2">
        <v>0.98</v>
      </c>
      <c r="O53" s="2">
        <v>0.7</v>
      </c>
      <c r="P53" s="2">
        <v>0.96</v>
      </c>
      <c r="Q53" s="2">
        <v>0.98</v>
      </c>
      <c r="R53" s="2">
        <v>0.98</v>
      </c>
      <c r="S53" s="2">
        <v>0.98</v>
      </c>
      <c r="T53" s="2">
        <v>0.7</v>
      </c>
      <c r="U53" s="4">
        <v>0.96</v>
      </c>
      <c r="V53" s="4">
        <v>0.96</v>
      </c>
      <c r="W53" s="4">
        <v>0.96</v>
      </c>
      <c r="X53" s="4">
        <v>0.9</v>
      </c>
    </row>
    <row r="54" spans="1:24" x14ac:dyDescent="0.3">
      <c r="A54" s="21">
        <v>50</v>
      </c>
      <c r="B54" s="4" t="s">
        <v>108</v>
      </c>
      <c r="C54" s="4" t="s">
        <v>26</v>
      </c>
      <c r="D54" s="4">
        <v>2</v>
      </c>
      <c r="E54" s="4">
        <v>5</v>
      </c>
      <c r="F54" s="4" t="s">
        <v>109</v>
      </c>
      <c r="G54" s="50" t="s">
        <v>110</v>
      </c>
      <c r="H54" s="4">
        <v>1522</v>
      </c>
      <c r="I54" s="85">
        <v>4.2733333333333297E-2</v>
      </c>
      <c r="J54" s="85">
        <v>0.102066666666667</v>
      </c>
      <c r="K54" s="53">
        <v>0.8</v>
      </c>
      <c r="L54" s="2">
        <v>0.98</v>
      </c>
      <c r="M54" s="2">
        <v>0.98</v>
      </c>
      <c r="N54" s="2">
        <v>0.98</v>
      </c>
      <c r="O54" s="2">
        <v>0.7</v>
      </c>
      <c r="P54" s="2">
        <v>0.96</v>
      </c>
      <c r="Q54" s="2">
        <v>0.98</v>
      </c>
      <c r="R54" s="2">
        <v>0.98</v>
      </c>
      <c r="S54" s="2">
        <v>0.98</v>
      </c>
      <c r="T54" s="2">
        <v>0.7</v>
      </c>
      <c r="U54" s="4">
        <v>0.96</v>
      </c>
      <c r="V54" s="4">
        <v>0.96</v>
      </c>
      <c r="W54" s="4">
        <v>0.96</v>
      </c>
      <c r="X54" s="4">
        <v>0.9</v>
      </c>
    </row>
    <row r="55" spans="1:24" x14ac:dyDescent="0.3">
      <c r="A55" s="21">
        <v>51</v>
      </c>
      <c r="B55" s="4" t="s">
        <v>108</v>
      </c>
      <c r="C55" s="4" t="s">
        <v>23</v>
      </c>
      <c r="D55" s="4">
        <v>5.01</v>
      </c>
      <c r="E55" s="4">
        <v>12</v>
      </c>
      <c r="F55" s="4" t="s">
        <v>111</v>
      </c>
      <c r="G55" s="50" t="s">
        <v>110</v>
      </c>
      <c r="H55" s="4">
        <v>1522</v>
      </c>
      <c r="I55" s="85">
        <v>4.2733333333333297E-2</v>
      </c>
      <c r="J55" s="85">
        <v>0.102066666666667</v>
      </c>
      <c r="K55" s="53">
        <v>0.8</v>
      </c>
      <c r="L55" s="2">
        <v>0.98</v>
      </c>
      <c r="M55" s="2">
        <v>0.98</v>
      </c>
      <c r="N55" s="2">
        <v>0.98</v>
      </c>
      <c r="O55" s="2">
        <v>0.7</v>
      </c>
      <c r="P55" s="2">
        <v>0.96</v>
      </c>
      <c r="Q55" s="2">
        <v>0.98</v>
      </c>
      <c r="R55" s="2">
        <v>0.98</v>
      </c>
      <c r="S55" s="2">
        <v>0.98</v>
      </c>
      <c r="T55" s="2">
        <v>0.7</v>
      </c>
      <c r="U55" s="4">
        <v>0.96</v>
      </c>
      <c r="V55" s="4">
        <v>0.96</v>
      </c>
      <c r="W55" s="4">
        <v>0.96</v>
      </c>
      <c r="X55" s="4">
        <v>0.9</v>
      </c>
    </row>
    <row r="56" spans="1:24" x14ac:dyDescent="0.3">
      <c r="A56" s="21">
        <v>52</v>
      </c>
      <c r="B56" s="4" t="s">
        <v>108</v>
      </c>
      <c r="C56" s="4" t="s">
        <v>90</v>
      </c>
      <c r="D56" s="4">
        <v>12.01</v>
      </c>
      <c r="E56" s="4">
        <v>25.4</v>
      </c>
      <c r="F56" s="4" t="s">
        <v>112</v>
      </c>
      <c r="G56" s="50" t="s">
        <v>110</v>
      </c>
      <c r="H56" s="4">
        <v>1522</v>
      </c>
      <c r="I56" s="53">
        <v>4.2733333333333297E-2</v>
      </c>
      <c r="J56" s="53">
        <v>0.102066666666667</v>
      </c>
      <c r="K56" s="53">
        <v>0.8</v>
      </c>
      <c r="L56" s="2">
        <v>0.98</v>
      </c>
      <c r="M56" s="2">
        <v>0.98</v>
      </c>
      <c r="N56" s="2">
        <v>0.98</v>
      </c>
      <c r="O56" s="2">
        <v>0.7</v>
      </c>
      <c r="P56" s="2">
        <v>0.96</v>
      </c>
      <c r="Q56" s="2">
        <v>0.98</v>
      </c>
      <c r="R56" s="2">
        <v>0.98</v>
      </c>
      <c r="S56" s="2">
        <v>0.98</v>
      </c>
      <c r="T56" s="2">
        <v>0.7</v>
      </c>
      <c r="U56" s="4">
        <v>0.96</v>
      </c>
      <c r="V56" s="4">
        <v>0.96</v>
      </c>
      <c r="W56" s="4">
        <v>0.96</v>
      </c>
      <c r="X56" s="4">
        <v>0.9</v>
      </c>
    </row>
    <row r="57" spans="1:24" x14ac:dyDescent="0.3">
      <c r="A57" s="21">
        <v>53</v>
      </c>
      <c r="B57" s="4" t="s">
        <v>113</v>
      </c>
      <c r="C57" s="4" t="s">
        <v>23</v>
      </c>
      <c r="D57" s="4">
        <v>1.8</v>
      </c>
      <c r="E57" s="4">
        <v>5.99</v>
      </c>
      <c r="F57" s="4" t="s">
        <v>113</v>
      </c>
      <c r="G57" s="50" t="s">
        <v>114</v>
      </c>
      <c r="H57" s="4">
        <v>1525</v>
      </c>
      <c r="I57" s="53">
        <v>4.3999999999999997E-2</v>
      </c>
      <c r="J57" s="53">
        <v>0.105333333333333</v>
      </c>
      <c r="K57" s="53">
        <v>0.8</v>
      </c>
      <c r="L57" s="2">
        <v>0.98</v>
      </c>
      <c r="M57" s="2">
        <v>0.98</v>
      </c>
      <c r="N57" s="2">
        <v>0.98</v>
      </c>
      <c r="O57" s="2">
        <v>0.7</v>
      </c>
      <c r="P57" s="2">
        <v>0.96</v>
      </c>
      <c r="Q57" s="2">
        <v>0.98</v>
      </c>
      <c r="R57" s="2">
        <v>0.98</v>
      </c>
      <c r="S57" s="2">
        <v>0.98</v>
      </c>
      <c r="T57" s="2">
        <v>0.7</v>
      </c>
      <c r="U57" s="4">
        <v>0.96</v>
      </c>
      <c r="V57" s="4">
        <v>0.96</v>
      </c>
      <c r="W57" s="4">
        <v>0.96</v>
      </c>
      <c r="X57" s="4">
        <v>0.9</v>
      </c>
    </row>
    <row r="58" spans="1:24" x14ac:dyDescent="0.3">
      <c r="A58" s="21">
        <v>54</v>
      </c>
      <c r="B58" s="4" t="s">
        <v>115</v>
      </c>
      <c r="C58" s="4" t="s">
        <v>26</v>
      </c>
      <c r="D58" s="4">
        <v>0.1</v>
      </c>
      <c r="E58" s="4">
        <v>5.99</v>
      </c>
      <c r="F58" s="4" t="s">
        <v>87</v>
      </c>
      <c r="G58" s="50" t="s">
        <v>88</v>
      </c>
      <c r="H58" s="4">
        <v>1518</v>
      </c>
      <c r="I58" s="53">
        <v>7.0817567567567602E-2</v>
      </c>
      <c r="J58" s="53">
        <v>0.12247702702702699</v>
      </c>
      <c r="K58" s="53">
        <v>0.8</v>
      </c>
      <c r="L58" s="2">
        <v>0.98</v>
      </c>
      <c r="M58" s="2">
        <v>0.98</v>
      </c>
      <c r="N58" s="2">
        <v>0.98</v>
      </c>
      <c r="O58" s="2">
        <v>0.7</v>
      </c>
      <c r="P58" s="2">
        <v>0.96</v>
      </c>
      <c r="Q58" s="2">
        <v>0.98</v>
      </c>
      <c r="R58" s="2">
        <v>0.98</v>
      </c>
      <c r="S58" s="2">
        <v>0.98</v>
      </c>
      <c r="T58" s="2">
        <v>0.7</v>
      </c>
      <c r="U58" s="4">
        <v>0.96</v>
      </c>
      <c r="V58" s="4">
        <v>0.96</v>
      </c>
      <c r="W58" s="4">
        <v>0.96</v>
      </c>
      <c r="X58" s="4">
        <v>0.9</v>
      </c>
    </row>
    <row r="59" spans="1:24" x14ac:dyDescent="0.3">
      <c r="A59" s="21">
        <v>55</v>
      </c>
      <c r="B59" s="4" t="s">
        <v>115</v>
      </c>
      <c r="C59" s="4" t="s">
        <v>23</v>
      </c>
      <c r="D59" s="4">
        <v>6</v>
      </c>
      <c r="E59" s="4">
        <v>15.99</v>
      </c>
      <c r="F59" s="4" t="s">
        <v>89</v>
      </c>
      <c r="G59" s="50" t="s">
        <v>88</v>
      </c>
      <c r="H59" s="4">
        <v>1517</v>
      </c>
      <c r="I59" s="53">
        <v>7.4004318322023602E-2</v>
      </c>
      <c r="J59" s="53">
        <v>0.121203886489821</v>
      </c>
      <c r="K59" s="53">
        <v>0.8</v>
      </c>
      <c r="L59" s="2">
        <v>0.98</v>
      </c>
      <c r="M59" s="2">
        <v>0.98</v>
      </c>
      <c r="N59" s="2">
        <v>0.98</v>
      </c>
      <c r="O59" s="2">
        <v>0.7</v>
      </c>
      <c r="P59" s="2">
        <v>0.96</v>
      </c>
      <c r="Q59" s="2">
        <v>0.98</v>
      </c>
      <c r="R59" s="2">
        <v>0.98</v>
      </c>
      <c r="S59" s="2">
        <v>0.98</v>
      </c>
      <c r="T59" s="2">
        <v>0.7</v>
      </c>
      <c r="U59" s="4">
        <v>0.96</v>
      </c>
      <c r="V59" s="4">
        <v>0.96</v>
      </c>
      <c r="W59" s="4">
        <v>0.96</v>
      </c>
      <c r="X59" s="4">
        <v>0.9</v>
      </c>
    </row>
    <row r="60" spans="1:24" x14ac:dyDescent="0.3">
      <c r="A60" s="21">
        <v>56</v>
      </c>
      <c r="B60" s="4" t="s">
        <v>115</v>
      </c>
      <c r="C60" s="4" t="s">
        <v>90</v>
      </c>
      <c r="D60" s="4">
        <v>16</v>
      </c>
      <c r="E60" s="4">
        <v>28</v>
      </c>
      <c r="F60" s="4" t="s">
        <v>91</v>
      </c>
      <c r="G60" s="50" t="s">
        <v>92</v>
      </c>
      <c r="H60" s="4">
        <v>1514</v>
      </c>
      <c r="I60" s="53">
        <v>7.4124444444444396E-2</v>
      </c>
      <c r="J60" s="53">
        <v>0.113951111111111</v>
      </c>
      <c r="K60" s="53">
        <v>0.8</v>
      </c>
      <c r="L60" s="2">
        <v>0.98</v>
      </c>
      <c r="M60" s="2">
        <v>0.98</v>
      </c>
      <c r="N60" s="2">
        <v>0.98</v>
      </c>
      <c r="O60" s="2">
        <v>0.7</v>
      </c>
      <c r="P60" s="2">
        <v>0.96</v>
      </c>
      <c r="Q60" s="2">
        <v>0.98</v>
      </c>
      <c r="R60" s="2">
        <v>0.98</v>
      </c>
      <c r="S60" s="2">
        <v>0.98</v>
      </c>
      <c r="T60" s="2">
        <v>0.7</v>
      </c>
      <c r="U60" s="4">
        <v>0.96</v>
      </c>
      <c r="V60" s="4">
        <v>0.96</v>
      </c>
      <c r="W60" s="4">
        <v>0.96</v>
      </c>
      <c r="X60" s="4">
        <v>0.9</v>
      </c>
    </row>
    <row r="61" spans="1:24" x14ac:dyDescent="0.3">
      <c r="A61" s="21">
        <v>57</v>
      </c>
      <c r="B61" s="4" t="s">
        <v>116</v>
      </c>
      <c r="C61" s="4" t="s">
        <v>23</v>
      </c>
      <c r="D61" s="4">
        <v>1.5</v>
      </c>
      <c r="E61" s="4">
        <v>5.99</v>
      </c>
      <c r="F61" s="4" t="s">
        <v>117</v>
      </c>
      <c r="G61" s="50" t="s">
        <v>118</v>
      </c>
      <c r="H61" s="4">
        <v>1517</v>
      </c>
      <c r="I61" s="85">
        <v>6.4666666666666706E-2</v>
      </c>
      <c r="J61" s="85">
        <v>9.4666666666666704E-2</v>
      </c>
      <c r="K61" s="53">
        <v>0.8</v>
      </c>
      <c r="L61" s="2">
        <v>0.98</v>
      </c>
      <c r="M61" s="2">
        <v>0.98</v>
      </c>
      <c r="N61" s="2">
        <v>0.98</v>
      </c>
      <c r="O61" s="2">
        <v>0.7</v>
      </c>
      <c r="P61" s="2">
        <v>0.96</v>
      </c>
      <c r="Q61" s="2">
        <v>0.98</v>
      </c>
      <c r="R61" s="2">
        <v>0.98</v>
      </c>
      <c r="S61" s="2">
        <v>0.98</v>
      </c>
      <c r="T61" s="2">
        <v>0.7</v>
      </c>
      <c r="U61" s="4">
        <v>0.96</v>
      </c>
      <c r="V61" s="4">
        <v>0.96</v>
      </c>
      <c r="W61" s="4">
        <v>0.96</v>
      </c>
      <c r="X61" s="4">
        <v>0.9</v>
      </c>
    </row>
    <row r="62" spans="1:24" x14ac:dyDescent="0.3">
      <c r="A62" s="21">
        <v>58</v>
      </c>
      <c r="B62" s="4" t="s">
        <v>116</v>
      </c>
      <c r="C62" s="4" t="s">
        <v>26</v>
      </c>
      <c r="D62" s="4">
        <v>6</v>
      </c>
      <c r="E62" s="4">
        <v>15.99</v>
      </c>
      <c r="F62" s="4" t="s">
        <v>119</v>
      </c>
      <c r="G62" s="50" t="s">
        <v>118</v>
      </c>
      <c r="H62" s="4">
        <v>1517</v>
      </c>
      <c r="I62" s="53">
        <v>6.4666666666666706E-2</v>
      </c>
      <c r="J62" s="53">
        <v>9.4666666666666704E-2</v>
      </c>
      <c r="K62" s="53">
        <v>0.8</v>
      </c>
      <c r="L62" s="2">
        <v>0.98</v>
      </c>
      <c r="M62" s="2">
        <v>0.98</v>
      </c>
      <c r="N62" s="2">
        <v>0.98</v>
      </c>
      <c r="O62" s="2">
        <v>0.7</v>
      </c>
      <c r="P62" s="2">
        <v>0.96</v>
      </c>
      <c r="Q62" s="2">
        <v>0.98</v>
      </c>
      <c r="R62" s="2">
        <v>0.98</v>
      </c>
      <c r="S62" s="2">
        <v>0.98</v>
      </c>
      <c r="T62" s="2">
        <v>0.7</v>
      </c>
      <c r="U62" s="4">
        <v>0.96</v>
      </c>
      <c r="V62" s="4">
        <v>0.96</v>
      </c>
      <c r="W62" s="4">
        <v>0.96</v>
      </c>
      <c r="X62" s="4">
        <v>0.9</v>
      </c>
    </row>
    <row r="63" spans="1:24" x14ac:dyDescent="0.3">
      <c r="A63" s="21">
        <v>59</v>
      </c>
      <c r="B63" s="4" t="s">
        <v>116</v>
      </c>
      <c r="C63" s="4" t="s">
        <v>90</v>
      </c>
      <c r="D63" s="4">
        <v>16</v>
      </c>
      <c r="E63" s="4">
        <v>28</v>
      </c>
      <c r="F63" s="4" t="s">
        <v>120</v>
      </c>
      <c r="G63" s="50" t="s">
        <v>118</v>
      </c>
      <c r="H63" s="4">
        <v>1514</v>
      </c>
      <c r="I63" s="85">
        <v>6.4666666666666706E-2</v>
      </c>
      <c r="J63" s="85">
        <v>9.4666666666666704E-2</v>
      </c>
      <c r="K63" s="53">
        <v>0.8</v>
      </c>
      <c r="L63" s="2">
        <v>0.98</v>
      </c>
      <c r="M63" s="2">
        <v>0.98</v>
      </c>
      <c r="N63" s="2">
        <v>0.98</v>
      </c>
      <c r="O63" s="2">
        <v>0.7</v>
      </c>
      <c r="P63" s="2">
        <v>0.96</v>
      </c>
      <c r="Q63" s="2">
        <v>0.98</v>
      </c>
      <c r="R63" s="2">
        <v>0.98</v>
      </c>
      <c r="S63" s="2">
        <v>0.98</v>
      </c>
      <c r="T63" s="2">
        <v>0.7</v>
      </c>
      <c r="U63" s="4">
        <v>0.96</v>
      </c>
      <c r="V63" s="4">
        <v>0.96</v>
      </c>
      <c r="W63" s="4">
        <v>0.96</v>
      </c>
      <c r="X63" s="4">
        <v>0.9</v>
      </c>
    </row>
    <row r="64" spans="1:24" x14ac:dyDescent="0.3">
      <c r="A64" s="21">
        <v>60</v>
      </c>
      <c r="B64" s="4" t="s">
        <v>121</v>
      </c>
      <c r="C64" s="4" t="s">
        <v>23</v>
      </c>
      <c r="D64" s="4">
        <v>1.5</v>
      </c>
      <c r="E64" s="4">
        <v>8</v>
      </c>
      <c r="F64" s="4" t="s">
        <v>122</v>
      </c>
      <c r="G64" s="50" t="s">
        <v>123</v>
      </c>
      <c r="H64" s="4">
        <v>1518</v>
      </c>
      <c r="I64" s="53">
        <v>5.5100000000000003E-2</v>
      </c>
      <c r="J64" s="53">
        <v>8.1699999999999995E-2</v>
      </c>
      <c r="K64" s="53">
        <v>0</v>
      </c>
      <c r="L64" s="2">
        <v>0.98</v>
      </c>
      <c r="M64" s="2">
        <v>0.98</v>
      </c>
      <c r="N64" s="2">
        <v>0.98</v>
      </c>
      <c r="O64" s="2">
        <v>0.7</v>
      </c>
      <c r="P64" s="2">
        <v>0.96</v>
      </c>
      <c r="Q64" s="2">
        <v>0.98</v>
      </c>
      <c r="R64" s="2">
        <v>0.98</v>
      </c>
      <c r="S64" s="2">
        <v>0.98</v>
      </c>
      <c r="T64" s="2">
        <v>0.7</v>
      </c>
      <c r="U64" s="4">
        <v>0.96</v>
      </c>
      <c r="V64" s="4">
        <v>0.96</v>
      </c>
      <c r="W64" s="4">
        <v>0.96</v>
      </c>
      <c r="X64" s="4">
        <v>0.9</v>
      </c>
    </row>
    <row r="65" spans="1:24" x14ac:dyDescent="0.3">
      <c r="A65" s="21">
        <v>61</v>
      </c>
      <c r="B65" s="4" t="s">
        <v>124</v>
      </c>
      <c r="C65" s="4" t="s">
        <v>23</v>
      </c>
      <c r="D65" s="4">
        <v>12</v>
      </c>
      <c r="E65" s="4">
        <v>19</v>
      </c>
      <c r="F65" s="4" t="s">
        <v>125</v>
      </c>
      <c r="G65" s="50" t="s">
        <v>126</v>
      </c>
      <c r="H65" s="4">
        <v>1516</v>
      </c>
      <c r="I65" s="85">
        <v>5.5100000000000003E-2</v>
      </c>
      <c r="J65" s="85">
        <v>8.1699999999999995E-2</v>
      </c>
      <c r="K65" s="53">
        <v>0.8</v>
      </c>
      <c r="L65" s="2">
        <v>0.98</v>
      </c>
      <c r="M65" s="2">
        <v>0.98</v>
      </c>
      <c r="N65" s="2">
        <v>0.98</v>
      </c>
      <c r="O65" s="2">
        <v>0.7</v>
      </c>
      <c r="P65" s="2">
        <v>0.96</v>
      </c>
      <c r="Q65" s="2">
        <v>0.98</v>
      </c>
      <c r="R65" s="2">
        <v>0.98</v>
      </c>
      <c r="S65" s="2">
        <v>0.98</v>
      </c>
      <c r="T65" s="2">
        <v>0.7</v>
      </c>
      <c r="U65" s="4">
        <v>0.96</v>
      </c>
      <c r="V65" s="4">
        <v>0.96</v>
      </c>
      <c r="W65" s="4">
        <v>0.96</v>
      </c>
      <c r="X65" s="4">
        <v>0.9</v>
      </c>
    </row>
    <row r="66" spans="1:24" x14ac:dyDescent="0.3">
      <c r="A66" s="21">
        <v>62</v>
      </c>
      <c r="B66" s="4" t="s">
        <v>124</v>
      </c>
      <c r="C66" s="4" t="s">
        <v>26</v>
      </c>
      <c r="D66" s="4">
        <v>19.010000000000002</v>
      </c>
      <c r="E66" s="4">
        <v>28</v>
      </c>
      <c r="F66" s="4" t="s">
        <v>127</v>
      </c>
      <c r="G66" s="50" t="s">
        <v>126</v>
      </c>
      <c r="H66" s="4">
        <v>1516</v>
      </c>
      <c r="I66" s="85">
        <v>5.5100000000000003E-2</v>
      </c>
      <c r="J66" s="85">
        <v>8.1699999999999995E-2</v>
      </c>
      <c r="K66" s="53">
        <v>0.8</v>
      </c>
      <c r="L66" s="2">
        <v>0.98</v>
      </c>
      <c r="M66" s="2">
        <v>0.98</v>
      </c>
      <c r="N66" s="2">
        <v>0.98</v>
      </c>
      <c r="O66" s="2">
        <v>0.7</v>
      </c>
      <c r="P66" s="2">
        <v>0.96</v>
      </c>
      <c r="Q66" s="2">
        <v>0.98</v>
      </c>
      <c r="R66" s="2">
        <v>0.98</v>
      </c>
      <c r="S66" s="2">
        <v>0.98</v>
      </c>
      <c r="T66" s="2">
        <v>0.7</v>
      </c>
      <c r="U66" s="4">
        <v>0.96</v>
      </c>
      <c r="V66" s="4">
        <v>0.96</v>
      </c>
      <c r="W66" s="4">
        <v>0.96</v>
      </c>
      <c r="X66" s="4">
        <v>0.9</v>
      </c>
    </row>
    <row r="67" spans="1:24" x14ac:dyDescent="0.3">
      <c r="A67" s="21">
        <v>63</v>
      </c>
      <c r="B67" s="4" t="s">
        <v>128</v>
      </c>
      <c r="C67" s="4" t="s">
        <v>90</v>
      </c>
      <c r="D67" s="4">
        <v>0.1</v>
      </c>
      <c r="E67" s="4">
        <v>6</v>
      </c>
      <c r="F67" s="4" t="s">
        <v>87</v>
      </c>
      <c r="G67" s="50" t="s">
        <v>88</v>
      </c>
      <c r="H67" s="4">
        <v>1518</v>
      </c>
      <c r="I67" s="53">
        <v>7.0817567567567602E-2</v>
      </c>
      <c r="J67" s="53">
        <v>0.12247702702702699</v>
      </c>
      <c r="K67" s="53">
        <v>0.8</v>
      </c>
      <c r="L67" s="2">
        <v>0.98</v>
      </c>
      <c r="M67" s="2">
        <v>0.98</v>
      </c>
      <c r="N67" s="2">
        <v>0.98</v>
      </c>
      <c r="O67" s="2">
        <v>0.7</v>
      </c>
      <c r="P67" s="2">
        <v>0.96</v>
      </c>
      <c r="Q67" s="2">
        <v>0.98</v>
      </c>
      <c r="R67" s="2">
        <v>0.98</v>
      </c>
      <c r="S67" s="2">
        <v>0.98</v>
      </c>
      <c r="T67" s="2">
        <v>0.7</v>
      </c>
      <c r="U67" s="4">
        <v>0.96</v>
      </c>
      <c r="V67" s="4">
        <v>0.96</v>
      </c>
      <c r="W67" s="4">
        <v>0.96</v>
      </c>
      <c r="X67" s="4">
        <v>0.9</v>
      </c>
    </row>
    <row r="68" spans="1:24" x14ac:dyDescent="0.3">
      <c r="A68" s="21">
        <v>64</v>
      </c>
      <c r="B68" s="4" t="s">
        <v>128</v>
      </c>
      <c r="C68" s="4" t="s">
        <v>23</v>
      </c>
      <c r="D68" s="4">
        <v>6.01</v>
      </c>
      <c r="E68" s="4">
        <v>16.440000000000001</v>
      </c>
      <c r="F68" s="4" t="s">
        <v>89</v>
      </c>
      <c r="G68" s="50" t="s">
        <v>88</v>
      </c>
      <c r="H68" s="4">
        <v>1517</v>
      </c>
      <c r="I68" s="53">
        <v>7.4004318322023602E-2</v>
      </c>
      <c r="J68" s="53">
        <v>0.121203886489821</v>
      </c>
      <c r="K68" s="53">
        <v>0.8</v>
      </c>
      <c r="L68" s="2">
        <v>0.98</v>
      </c>
      <c r="M68" s="2">
        <v>0.98</v>
      </c>
      <c r="N68" s="2">
        <v>0.98</v>
      </c>
      <c r="O68" s="2">
        <v>0.7</v>
      </c>
      <c r="P68" s="2">
        <v>0.96</v>
      </c>
      <c r="Q68" s="2">
        <v>0.98</v>
      </c>
      <c r="R68" s="2">
        <v>0.98</v>
      </c>
      <c r="S68" s="2">
        <v>0.98</v>
      </c>
      <c r="T68" s="2">
        <v>0.7</v>
      </c>
      <c r="U68" s="4">
        <v>0.96</v>
      </c>
      <c r="V68" s="4">
        <v>0.96</v>
      </c>
      <c r="W68" s="4">
        <v>0.96</v>
      </c>
      <c r="X68" s="4">
        <v>0.9</v>
      </c>
    </row>
    <row r="69" spans="1:24" x14ac:dyDescent="0.3">
      <c r="A69" s="21">
        <v>65</v>
      </c>
      <c r="B69" s="4" t="s">
        <v>128</v>
      </c>
      <c r="C69" s="4" t="s">
        <v>26</v>
      </c>
      <c r="D69" s="4">
        <v>16.45</v>
      </c>
      <c r="E69" s="4">
        <v>30</v>
      </c>
      <c r="F69" s="4" t="s">
        <v>129</v>
      </c>
      <c r="G69" s="50" t="s">
        <v>92</v>
      </c>
      <c r="H69" s="4">
        <v>1515</v>
      </c>
      <c r="I69" s="53">
        <v>7.2048951048951093E-2</v>
      </c>
      <c r="J69" s="53">
        <v>0.122745920745921</v>
      </c>
      <c r="K69" s="53">
        <v>0.8</v>
      </c>
      <c r="L69" s="2">
        <v>0.98</v>
      </c>
      <c r="M69" s="2">
        <v>0.98</v>
      </c>
      <c r="N69" s="2">
        <v>0.98</v>
      </c>
      <c r="O69" s="2">
        <v>0.7</v>
      </c>
      <c r="P69" s="2">
        <v>0.96</v>
      </c>
      <c r="Q69" s="2">
        <v>0.98</v>
      </c>
      <c r="R69" s="2">
        <v>0.98</v>
      </c>
      <c r="S69" s="2">
        <v>0.98</v>
      </c>
      <c r="T69" s="2">
        <v>0.7</v>
      </c>
      <c r="U69" s="4">
        <v>0.96</v>
      </c>
      <c r="V69" s="4">
        <v>0.96</v>
      </c>
      <c r="W69" s="4">
        <v>0.96</v>
      </c>
      <c r="X69" s="4">
        <v>0.9</v>
      </c>
    </row>
    <row r="70" spans="1:24" x14ac:dyDescent="0.3">
      <c r="A70" s="21">
        <v>66</v>
      </c>
      <c r="B70" s="4" t="s">
        <v>130</v>
      </c>
      <c r="C70" s="4" t="s">
        <v>23</v>
      </c>
      <c r="D70" s="4">
        <v>0.1</v>
      </c>
      <c r="E70" s="4">
        <v>6</v>
      </c>
      <c r="F70" s="4" t="s">
        <v>87</v>
      </c>
      <c r="G70" s="50" t="s">
        <v>88</v>
      </c>
      <c r="H70" s="4">
        <v>1518</v>
      </c>
      <c r="I70" s="53">
        <v>7.0817567567567602E-2</v>
      </c>
      <c r="J70" s="53">
        <v>0.12247702702702699</v>
      </c>
      <c r="K70" s="53">
        <v>0.8</v>
      </c>
      <c r="L70" s="2">
        <v>0.98</v>
      </c>
      <c r="M70" s="2">
        <v>0.98</v>
      </c>
      <c r="N70" s="2">
        <v>0.98</v>
      </c>
      <c r="O70" s="2">
        <v>0.7</v>
      </c>
      <c r="P70" s="2">
        <v>0.96</v>
      </c>
      <c r="Q70" s="2">
        <v>0.98</v>
      </c>
      <c r="R70" s="2">
        <v>0.98</v>
      </c>
      <c r="S70" s="2">
        <v>0.98</v>
      </c>
      <c r="T70" s="2">
        <v>0.7</v>
      </c>
      <c r="U70" s="4">
        <v>0.96</v>
      </c>
      <c r="V70" s="4">
        <v>0.96</v>
      </c>
      <c r="W70" s="4">
        <v>0.96</v>
      </c>
      <c r="X70" s="4">
        <v>0.9</v>
      </c>
    </row>
    <row r="71" spans="1:24" x14ac:dyDescent="0.3">
      <c r="A71" s="21">
        <v>67</v>
      </c>
      <c r="B71" s="4" t="s">
        <v>130</v>
      </c>
      <c r="C71" s="4" t="s">
        <v>26</v>
      </c>
      <c r="D71" s="4">
        <v>6.01</v>
      </c>
      <c r="E71" s="4">
        <v>16.29</v>
      </c>
      <c r="F71" s="4" t="s">
        <v>89</v>
      </c>
      <c r="G71" s="50" t="s">
        <v>88</v>
      </c>
      <c r="H71" s="4">
        <v>1517</v>
      </c>
      <c r="I71" s="53">
        <v>7.4004318322023602E-2</v>
      </c>
      <c r="J71" s="53">
        <v>0.121203886489821</v>
      </c>
      <c r="K71" s="53">
        <v>0.8</v>
      </c>
      <c r="L71" s="2">
        <v>0.98</v>
      </c>
      <c r="M71" s="2">
        <v>0.98</v>
      </c>
      <c r="N71" s="2">
        <v>0.98</v>
      </c>
      <c r="O71" s="2">
        <v>0.7</v>
      </c>
      <c r="P71" s="2">
        <v>0.96</v>
      </c>
      <c r="Q71" s="2">
        <v>0.98</v>
      </c>
      <c r="R71" s="2">
        <v>0.98</v>
      </c>
      <c r="S71" s="2">
        <v>0.98</v>
      </c>
      <c r="T71" s="2">
        <v>0.7</v>
      </c>
      <c r="U71" s="4">
        <v>0.96</v>
      </c>
      <c r="V71" s="4">
        <v>0.96</v>
      </c>
      <c r="W71" s="4">
        <v>0.96</v>
      </c>
      <c r="X71" s="4">
        <v>0.9</v>
      </c>
    </row>
    <row r="72" spans="1:24" x14ac:dyDescent="0.3">
      <c r="A72" s="21">
        <v>68</v>
      </c>
      <c r="B72" s="4" t="s">
        <v>130</v>
      </c>
      <c r="C72" s="4" t="s">
        <v>90</v>
      </c>
      <c r="D72" s="4">
        <v>16.3</v>
      </c>
      <c r="E72" s="4">
        <v>30</v>
      </c>
      <c r="F72" s="4" t="s">
        <v>129</v>
      </c>
      <c r="G72" s="50" t="s">
        <v>92</v>
      </c>
      <c r="H72" s="4">
        <v>1515</v>
      </c>
      <c r="I72" s="53">
        <v>7.2048951048951093E-2</v>
      </c>
      <c r="J72" s="53">
        <v>0.122745920745921</v>
      </c>
      <c r="K72" s="53">
        <v>0.8</v>
      </c>
      <c r="L72" s="2">
        <v>0.98</v>
      </c>
      <c r="M72" s="2">
        <v>0.98</v>
      </c>
      <c r="N72" s="2">
        <v>0.98</v>
      </c>
      <c r="O72" s="2">
        <v>0.7</v>
      </c>
      <c r="P72" s="2">
        <v>0.96</v>
      </c>
      <c r="Q72" s="2">
        <v>0.98</v>
      </c>
      <c r="R72" s="2">
        <v>0.98</v>
      </c>
      <c r="S72" s="2">
        <v>0.98</v>
      </c>
      <c r="T72" s="2">
        <v>0.7</v>
      </c>
      <c r="U72" s="4">
        <v>0.96</v>
      </c>
      <c r="V72" s="4">
        <v>0.96</v>
      </c>
      <c r="W72" s="4">
        <v>0.96</v>
      </c>
      <c r="X72" s="4">
        <v>0.9</v>
      </c>
    </row>
    <row r="73" spans="1:24" x14ac:dyDescent="0.3">
      <c r="A73" s="21">
        <v>69</v>
      </c>
      <c r="B73" s="4" t="s">
        <v>131</v>
      </c>
      <c r="C73" s="4" t="s">
        <v>90</v>
      </c>
      <c r="D73" s="4">
        <v>0.1</v>
      </c>
      <c r="E73" s="4">
        <v>6</v>
      </c>
      <c r="F73" s="4" t="s">
        <v>87</v>
      </c>
      <c r="G73" s="50" t="s">
        <v>88</v>
      </c>
      <c r="H73" s="4">
        <v>1518</v>
      </c>
      <c r="I73" s="53">
        <v>7.0817567567567602E-2</v>
      </c>
      <c r="J73" s="53">
        <v>0.12247702702702699</v>
      </c>
      <c r="K73" s="53">
        <v>0.8</v>
      </c>
      <c r="L73" s="2">
        <v>0.98</v>
      </c>
      <c r="M73" s="2">
        <v>0.98</v>
      </c>
      <c r="N73" s="2">
        <v>0.98</v>
      </c>
      <c r="O73" s="2">
        <v>0.7</v>
      </c>
      <c r="P73" s="2">
        <v>0.96</v>
      </c>
      <c r="Q73" s="2">
        <v>0.98</v>
      </c>
      <c r="R73" s="2">
        <v>0.98</v>
      </c>
      <c r="S73" s="2">
        <v>0.98</v>
      </c>
      <c r="T73" s="2">
        <v>0.7</v>
      </c>
      <c r="U73" s="4">
        <v>0.96</v>
      </c>
      <c r="V73" s="4">
        <v>0.96</v>
      </c>
      <c r="W73" s="4">
        <v>0.96</v>
      </c>
      <c r="X73" s="4">
        <v>0.9</v>
      </c>
    </row>
    <row r="74" spans="1:24" x14ac:dyDescent="0.3">
      <c r="A74" s="21">
        <v>70</v>
      </c>
      <c r="B74" s="4" t="s">
        <v>131</v>
      </c>
      <c r="C74" s="4" t="s">
        <v>26</v>
      </c>
      <c r="D74" s="4">
        <v>6.01</v>
      </c>
      <c r="E74" s="4">
        <v>16.239999999999998</v>
      </c>
      <c r="F74" s="4" t="s">
        <v>89</v>
      </c>
      <c r="G74" s="50" t="s">
        <v>88</v>
      </c>
      <c r="H74" s="4">
        <v>1517</v>
      </c>
      <c r="I74" s="53">
        <v>7.4004318322023602E-2</v>
      </c>
      <c r="J74" s="53">
        <v>0.121203886489821</v>
      </c>
      <c r="K74" s="53">
        <v>0.8</v>
      </c>
      <c r="L74" s="2">
        <v>0.98</v>
      </c>
      <c r="M74" s="2">
        <v>0.98</v>
      </c>
      <c r="N74" s="2">
        <v>0.98</v>
      </c>
      <c r="O74" s="2">
        <v>0.7</v>
      </c>
      <c r="P74" s="2">
        <v>0.96</v>
      </c>
      <c r="Q74" s="2">
        <v>0.98</v>
      </c>
      <c r="R74" s="2">
        <v>0.98</v>
      </c>
      <c r="S74" s="2">
        <v>0.98</v>
      </c>
      <c r="T74" s="2">
        <v>0.7</v>
      </c>
      <c r="U74" s="4">
        <v>0.96</v>
      </c>
      <c r="V74" s="4">
        <v>0.96</v>
      </c>
      <c r="W74" s="4">
        <v>0.96</v>
      </c>
      <c r="X74" s="4">
        <v>0.9</v>
      </c>
    </row>
    <row r="75" spans="1:24" x14ac:dyDescent="0.3">
      <c r="A75" s="21">
        <v>71</v>
      </c>
      <c r="B75" s="4" t="s">
        <v>131</v>
      </c>
      <c r="C75" s="4" t="s">
        <v>23</v>
      </c>
      <c r="D75" s="4">
        <v>16.25</v>
      </c>
      <c r="E75" s="4">
        <v>30</v>
      </c>
      <c r="F75" s="4" t="s">
        <v>129</v>
      </c>
      <c r="G75" s="50" t="s">
        <v>92</v>
      </c>
      <c r="H75" s="4">
        <v>1515</v>
      </c>
      <c r="I75" s="53">
        <v>7.2048951048951093E-2</v>
      </c>
      <c r="J75" s="53">
        <v>0.122745920745921</v>
      </c>
      <c r="K75" s="53">
        <v>0.8</v>
      </c>
      <c r="L75" s="2">
        <v>0.98</v>
      </c>
      <c r="M75" s="2">
        <v>0.98</v>
      </c>
      <c r="N75" s="2">
        <v>0.98</v>
      </c>
      <c r="O75" s="2">
        <v>0.7</v>
      </c>
      <c r="P75" s="2">
        <v>0.96</v>
      </c>
      <c r="Q75" s="2">
        <v>0.98</v>
      </c>
      <c r="R75" s="2">
        <v>0.98</v>
      </c>
      <c r="S75" s="2">
        <v>0.98</v>
      </c>
      <c r="T75" s="2">
        <v>0.7</v>
      </c>
      <c r="U75" s="4">
        <v>0.96</v>
      </c>
      <c r="V75" s="4">
        <v>0.96</v>
      </c>
      <c r="W75" s="4">
        <v>0.96</v>
      </c>
      <c r="X75" s="4">
        <v>0.9</v>
      </c>
    </row>
    <row r="76" spans="1:24" x14ac:dyDescent="0.3">
      <c r="A76" s="21">
        <v>72</v>
      </c>
      <c r="B76" s="4" t="s">
        <v>132</v>
      </c>
      <c r="C76" s="4" t="s">
        <v>23</v>
      </c>
      <c r="D76" s="4">
        <v>0.1</v>
      </c>
      <c r="E76" s="4">
        <v>6</v>
      </c>
      <c r="F76" s="4" t="s">
        <v>87</v>
      </c>
      <c r="G76" s="50" t="s">
        <v>88</v>
      </c>
      <c r="H76" s="4">
        <v>1518</v>
      </c>
      <c r="I76" s="53">
        <v>7.0817567567567602E-2</v>
      </c>
      <c r="J76" s="53">
        <v>0.12247702702702699</v>
      </c>
      <c r="K76" s="53">
        <v>0.8</v>
      </c>
      <c r="L76" s="2">
        <v>0.98</v>
      </c>
      <c r="M76" s="2">
        <v>0.98</v>
      </c>
      <c r="N76" s="2">
        <v>0.98</v>
      </c>
      <c r="O76" s="2">
        <v>0.7</v>
      </c>
      <c r="P76" s="2">
        <v>0.96</v>
      </c>
      <c r="Q76" s="2">
        <v>0.98</v>
      </c>
      <c r="R76" s="2">
        <v>0.98</v>
      </c>
      <c r="S76" s="2">
        <v>0.98</v>
      </c>
      <c r="T76" s="2">
        <v>0.7</v>
      </c>
      <c r="U76" s="4">
        <v>0.96</v>
      </c>
      <c r="V76" s="4">
        <v>0.96</v>
      </c>
      <c r="W76" s="4">
        <v>0.96</v>
      </c>
      <c r="X76" s="4">
        <v>0.9</v>
      </c>
    </row>
    <row r="77" spans="1:24" x14ac:dyDescent="0.3">
      <c r="A77" s="21">
        <v>73</v>
      </c>
      <c r="B77" s="4" t="s">
        <v>132</v>
      </c>
      <c r="C77" s="4" t="s">
        <v>90</v>
      </c>
      <c r="D77" s="4">
        <v>6.01</v>
      </c>
      <c r="E77" s="4">
        <v>15.99</v>
      </c>
      <c r="F77" s="4" t="s">
        <v>89</v>
      </c>
      <c r="G77" s="50" t="s">
        <v>88</v>
      </c>
      <c r="H77" s="4">
        <v>1517</v>
      </c>
      <c r="I77" s="53">
        <v>7.4004318322023602E-2</v>
      </c>
      <c r="J77" s="53">
        <v>0.121203886489821</v>
      </c>
      <c r="K77" s="53">
        <v>0.8</v>
      </c>
      <c r="L77" s="2">
        <v>0.98</v>
      </c>
      <c r="M77" s="2">
        <v>0.98</v>
      </c>
      <c r="N77" s="2">
        <v>0.98</v>
      </c>
      <c r="O77" s="2">
        <v>0.7</v>
      </c>
      <c r="P77" s="2">
        <v>0.96</v>
      </c>
      <c r="Q77" s="2">
        <v>0.98</v>
      </c>
      <c r="R77" s="2">
        <v>0.98</v>
      </c>
      <c r="S77" s="2">
        <v>0.98</v>
      </c>
      <c r="T77" s="2">
        <v>0.7</v>
      </c>
      <c r="U77" s="4">
        <v>0.96</v>
      </c>
      <c r="V77" s="4">
        <v>0.96</v>
      </c>
      <c r="W77" s="4">
        <v>0.96</v>
      </c>
      <c r="X77" s="4">
        <v>0.9</v>
      </c>
    </row>
    <row r="78" spans="1:24" x14ac:dyDescent="0.3">
      <c r="A78" s="21">
        <v>74</v>
      </c>
      <c r="B78" s="4" t="s">
        <v>132</v>
      </c>
      <c r="C78" s="4" t="s">
        <v>26</v>
      </c>
      <c r="D78" s="4">
        <v>16</v>
      </c>
      <c r="E78" s="4">
        <v>30</v>
      </c>
      <c r="F78" s="4" t="s">
        <v>129</v>
      </c>
      <c r="G78" s="50" t="s">
        <v>92</v>
      </c>
      <c r="H78" s="4">
        <v>1515</v>
      </c>
      <c r="I78" s="53">
        <v>7.2048951048951093E-2</v>
      </c>
      <c r="J78" s="53">
        <v>0.122745920745921</v>
      </c>
      <c r="K78" s="53">
        <v>0.8</v>
      </c>
      <c r="L78" s="2">
        <v>0.98</v>
      </c>
      <c r="M78" s="2">
        <v>0.98</v>
      </c>
      <c r="N78" s="2">
        <v>0.98</v>
      </c>
      <c r="O78" s="2">
        <v>0.7</v>
      </c>
      <c r="P78" s="2">
        <v>0.96</v>
      </c>
      <c r="Q78" s="2">
        <v>0.98</v>
      </c>
      <c r="R78" s="2">
        <v>0.98</v>
      </c>
      <c r="S78" s="2">
        <v>0.98</v>
      </c>
      <c r="T78" s="2">
        <v>0.7</v>
      </c>
      <c r="U78" s="4">
        <v>0.96</v>
      </c>
      <c r="V78" s="4">
        <v>0.96</v>
      </c>
      <c r="W78" s="4">
        <v>0.96</v>
      </c>
      <c r="X78" s="4">
        <v>0.9</v>
      </c>
    </row>
    <row r="79" spans="1:24" x14ac:dyDescent="0.3">
      <c r="A79" s="21">
        <v>75</v>
      </c>
      <c r="B79" s="4" t="s">
        <v>133</v>
      </c>
      <c r="C79" s="4" t="s">
        <v>23</v>
      </c>
      <c r="D79" s="4">
        <v>2</v>
      </c>
      <c r="E79" s="4">
        <v>12</v>
      </c>
      <c r="F79" s="4" t="s">
        <v>94</v>
      </c>
      <c r="G79" s="4" t="s">
        <v>95</v>
      </c>
      <c r="H79" s="4">
        <v>1517</v>
      </c>
      <c r="I79" s="53">
        <v>7.0999999999999994E-2</v>
      </c>
      <c r="J79" s="53">
        <v>0.112</v>
      </c>
      <c r="K79" s="53">
        <v>0.8</v>
      </c>
      <c r="L79" s="2">
        <v>0.98</v>
      </c>
      <c r="M79" s="2">
        <v>0.98</v>
      </c>
      <c r="N79" s="2">
        <v>0.98</v>
      </c>
      <c r="O79" s="2">
        <v>0.7</v>
      </c>
      <c r="P79" s="2">
        <v>0.96</v>
      </c>
      <c r="Q79" s="2">
        <v>0.98</v>
      </c>
      <c r="R79" s="2">
        <v>0.98</v>
      </c>
      <c r="S79" s="2">
        <v>0.98</v>
      </c>
      <c r="T79" s="2">
        <v>0.7</v>
      </c>
      <c r="U79" s="4">
        <v>0.96</v>
      </c>
      <c r="V79" s="4">
        <v>0.96</v>
      </c>
      <c r="W79" s="4">
        <v>0.96</v>
      </c>
      <c r="X79" s="4">
        <v>0.9</v>
      </c>
    </row>
    <row r="80" spans="1:24" x14ac:dyDescent="0.3">
      <c r="A80" s="21">
        <v>76</v>
      </c>
      <c r="B80" s="4" t="s">
        <v>133</v>
      </c>
      <c r="C80" s="4" t="s">
        <v>26</v>
      </c>
      <c r="D80" s="4">
        <v>12.01</v>
      </c>
      <c r="E80" s="4">
        <v>19</v>
      </c>
      <c r="F80" s="4" t="s">
        <v>96</v>
      </c>
      <c r="G80" s="4" t="s">
        <v>95</v>
      </c>
      <c r="H80" s="4">
        <v>1517</v>
      </c>
      <c r="I80" s="53">
        <v>6.2065217391304398E-2</v>
      </c>
      <c r="J80" s="53">
        <v>0.113173913043478</v>
      </c>
      <c r="K80" s="53">
        <v>0.8</v>
      </c>
      <c r="L80" s="2">
        <v>0.98</v>
      </c>
      <c r="M80" s="2">
        <v>0.98</v>
      </c>
      <c r="N80" s="2">
        <v>0.98</v>
      </c>
      <c r="O80" s="2">
        <v>0.7</v>
      </c>
      <c r="P80" s="2">
        <v>0.96</v>
      </c>
      <c r="Q80" s="2">
        <v>0.98</v>
      </c>
      <c r="R80" s="2">
        <v>0.98</v>
      </c>
      <c r="S80" s="2">
        <v>0.98</v>
      </c>
      <c r="T80" s="2">
        <v>0.7</v>
      </c>
      <c r="U80" s="4">
        <v>0.96</v>
      </c>
      <c r="V80" s="4">
        <v>0.96</v>
      </c>
      <c r="W80" s="4">
        <v>0.96</v>
      </c>
      <c r="X80" s="4">
        <v>0.9</v>
      </c>
    </row>
    <row r="81" spans="1:24" x14ac:dyDescent="0.3">
      <c r="A81" s="21">
        <v>77</v>
      </c>
      <c r="B81" s="4" t="s">
        <v>133</v>
      </c>
      <c r="C81" s="4" t="s">
        <v>90</v>
      </c>
      <c r="D81" s="4">
        <v>19.010000000000002</v>
      </c>
      <c r="E81" s="4">
        <v>29</v>
      </c>
      <c r="F81" s="4" t="s">
        <v>97</v>
      </c>
      <c r="G81" s="4" t="s">
        <v>95</v>
      </c>
      <c r="H81" s="4">
        <v>1517</v>
      </c>
      <c r="I81" s="53">
        <v>6.7671052631579007E-2</v>
      </c>
      <c r="J81" s="53">
        <v>0.109171052631579</v>
      </c>
      <c r="K81" s="53">
        <v>0.8</v>
      </c>
      <c r="L81" s="2">
        <v>0.98</v>
      </c>
      <c r="M81" s="2">
        <v>0.98</v>
      </c>
      <c r="N81" s="2">
        <v>0.98</v>
      </c>
      <c r="O81" s="2">
        <v>0.7</v>
      </c>
      <c r="P81" s="2">
        <v>0.96</v>
      </c>
      <c r="Q81" s="2">
        <v>0.98</v>
      </c>
      <c r="R81" s="2">
        <v>0.98</v>
      </c>
      <c r="S81" s="2">
        <v>0.98</v>
      </c>
      <c r="T81" s="2">
        <v>0.7</v>
      </c>
      <c r="U81" s="4">
        <v>0.96</v>
      </c>
      <c r="V81" s="4">
        <v>0.96</v>
      </c>
      <c r="W81" s="4">
        <v>0.96</v>
      </c>
      <c r="X81" s="4">
        <v>0.9</v>
      </c>
    </row>
    <row r="82" spans="1:24" x14ac:dyDescent="0.3">
      <c r="A82" s="21">
        <v>78</v>
      </c>
      <c r="B82" s="4" t="s">
        <v>134</v>
      </c>
      <c r="C82" s="4" t="s">
        <v>23</v>
      </c>
      <c r="D82" s="4">
        <v>3</v>
      </c>
      <c r="E82" s="4">
        <v>5</v>
      </c>
      <c r="F82" s="4" t="s">
        <v>134</v>
      </c>
      <c r="G82" s="4" t="s">
        <v>135</v>
      </c>
      <c r="H82" s="4">
        <v>1515</v>
      </c>
      <c r="I82" s="53">
        <v>4.6666666666666697E-2</v>
      </c>
      <c r="J82" s="53">
        <v>0.11133333333333301</v>
      </c>
      <c r="K82" s="53">
        <v>0.8</v>
      </c>
      <c r="L82" s="2">
        <v>0.98</v>
      </c>
      <c r="M82" s="2">
        <v>0.98</v>
      </c>
      <c r="N82" s="2">
        <v>0.98</v>
      </c>
      <c r="O82" s="2">
        <v>0.7</v>
      </c>
      <c r="P82" s="2">
        <v>0.96</v>
      </c>
      <c r="Q82" s="2">
        <v>0.98</v>
      </c>
      <c r="R82" s="2">
        <v>0.98</v>
      </c>
      <c r="S82" s="2">
        <v>0.98</v>
      </c>
      <c r="T82" s="2">
        <v>0.7</v>
      </c>
      <c r="U82" s="4">
        <v>0.96</v>
      </c>
      <c r="V82" s="4">
        <v>0.96</v>
      </c>
      <c r="W82" s="4">
        <v>0.96</v>
      </c>
      <c r="X82" s="4">
        <v>0.9</v>
      </c>
    </row>
    <row r="83" spans="1:24" x14ac:dyDescent="0.3">
      <c r="A83" s="21">
        <v>79</v>
      </c>
      <c r="B83" s="4" t="s">
        <v>136</v>
      </c>
      <c r="C83" s="4" t="s">
        <v>26</v>
      </c>
      <c r="D83" s="4">
        <v>3</v>
      </c>
      <c r="E83" s="4">
        <v>10</v>
      </c>
      <c r="F83" s="4" t="s">
        <v>137</v>
      </c>
      <c r="G83" s="50" t="s">
        <v>138</v>
      </c>
      <c r="H83" s="4">
        <v>1515</v>
      </c>
      <c r="I83" s="53">
        <v>6.0666666666666702E-2</v>
      </c>
      <c r="J83" s="53">
        <v>0.109666666666667</v>
      </c>
      <c r="K83" s="53">
        <v>0.8</v>
      </c>
      <c r="L83" s="2">
        <v>0.98</v>
      </c>
      <c r="M83" s="2">
        <v>0.98</v>
      </c>
      <c r="N83" s="2">
        <v>0.98</v>
      </c>
      <c r="O83" s="2">
        <v>0.7</v>
      </c>
      <c r="P83" s="2">
        <v>0.96</v>
      </c>
      <c r="Q83" s="2">
        <v>0.98</v>
      </c>
      <c r="R83" s="2">
        <v>0.98</v>
      </c>
      <c r="S83" s="2">
        <v>0.98</v>
      </c>
      <c r="T83" s="2">
        <v>0.7</v>
      </c>
      <c r="U83" s="4">
        <v>0.96</v>
      </c>
      <c r="V83" s="4">
        <v>0.96</v>
      </c>
      <c r="W83" s="4">
        <v>0.96</v>
      </c>
      <c r="X83" s="4">
        <v>0.9</v>
      </c>
    </row>
    <row r="84" spans="1:24" x14ac:dyDescent="0.3">
      <c r="A84" s="21">
        <v>80</v>
      </c>
      <c r="B84" s="60" t="s">
        <v>136</v>
      </c>
      <c r="C84" s="60" t="s">
        <v>90</v>
      </c>
      <c r="D84" s="60">
        <v>10.01</v>
      </c>
      <c r="E84" s="60">
        <v>16.5</v>
      </c>
      <c r="F84" s="60" t="s">
        <v>139</v>
      </c>
      <c r="G84" s="61" t="s">
        <v>138</v>
      </c>
      <c r="H84" s="60">
        <v>1515</v>
      </c>
      <c r="I84" s="53">
        <v>6.4823529411764697E-2</v>
      </c>
      <c r="J84" s="53">
        <v>0.113882352941176</v>
      </c>
      <c r="K84" s="53">
        <v>0.8</v>
      </c>
      <c r="L84" s="2">
        <v>0.98</v>
      </c>
      <c r="M84" s="2">
        <v>0.98</v>
      </c>
      <c r="N84" s="2">
        <v>0.98</v>
      </c>
      <c r="O84" s="2">
        <v>0.7</v>
      </c>
      <c r="P84" s="2">
        <v>0.96</v>
      </c>
      <c r="Q84" s="2">
        <v>0.98</v>
      </c>
      <c r="R84" s="2">
        <v>0.98</v>
      </c>
      <c r="S84" s="2">
        <v>0.98</v>
      </c>
      <c r="T84" s="2">
        <v>0.7</v>
      </c>
      <c r="U84" s="4">
        <v>0.96</v>
      </c>
      <c r="V84" s="4">
        <v>0.96</v>
      </c>
      <c r="W84" s="4">
        <v>0.96</v>
      </c>
      <c r="X84" s="4">
        <v>0.9</v>
      </c>
    </row>
    <row r="85" spans="1:24" x14ac:dyDescent="0.3">
      <c r="A85" s="21">
        <v>81</v>
      </c>
      <c r="B85" s="4" t="s">
        <v>136</v>
      </c>
      <c r="C85" s="4" t="s">
        <v>23</v>
      </c>
      <c r="D85" s="4">
        <v>16.510000000000002</v>
      </c>
      <c r="E85" s="4">
        <v>28</v>
      </c>
      <c r="F85" s="4" t="s">
        <v>140</v>
      </c>
      <c r="G85" s="50" t="s">
        <v>138</v>
      </c>
      <c r="H85" s="4">
        <v>1515</v>
      </c>
      <c r="I85" s="53">
        <v>7.0193548387096794E-2</v>
      </c>
      <c r="J85" s="53">
        <v>0.120806451612903</v>
      </c>
      <c r="K85" s="53">
        <v>0.8</v>
      </c>
      <c r="L85" s="2">
        <v>0.98</v>
      </c>
      <c r="M85" s="2">
        <v>0.98</v>
      </c>
      <c r="N85" s="2">
        <v>0.98</v>
      </c>
      <c r="O85" s="2">
        <v>0.7</v>
      </c>
      <c r="P85" s="2">
        <v>0.96</v>
      </c>
      <c r="Q85" s="2">
        <v>0.98</v>
      </c>
      <c r="R85" s="2">
        <v>0.98</v>
      </c>
      <c r="S85" s="2">
        <v>0.98</v>
      </c>
      <c r="T85" s="2">
        <v>0.7</v>
      </c>
      <c r="U85" s="4">
        <v>0.96</v>
      </c>
      <c r="V85" s="4">
        <v>0.96</v>
      </c>
      <c r="W85" s="4">
        <v>0.96</v>
      </c>
      <c r="X85" s="4">
        <v>0.9</v>
      </c>
    </row>
    <row r="86" spans="1:24" x14ac:dyDescent="0.3">
      <c r="A86" s="21">
        <v>82</v>
      </c>
      <c r="B86" s="4" t="s">
        <v>141</v>
      </c>
      <c r="C86" s="4" t="s">
        <v>23</v>
      </c>
      <c r="D86" s="4">
        <v>3</v>
      </c>
      <c r="E86" s="4">
        <v>10</v>
      </c>
      <c r="F86" s="4" t="s">
        <v>142</v>
      </c>
      <c r="G86" s="50" t="s">
        <v>143</v>
      </c>
      <c r="H86" s="4">
        <v>1516</v>
      </c>
      <c r="I86" s="53">
        <v>6.38461538461539E-2</v>
      </c>
      <c r="J86" s="53">
        <v>0.111538461538462</v>
      </c>
      <c r="K86" s="53">
        <v>0.8</v>
      </c>
      <c r="L86" s="2">
        <v>0.98</v>
      </c>
      <c r="M86" s="2">
        <v>0.98</v>
      </c>
      <c r="N86" s="2">
        <v>0.98</v>
      </c>
      <c r="O86" s="2">
        <v>0.7</v>
      </c>
      <c r="P86" s="2">
        <v>0.96</v>
      </c>
      <c r="Q86" s="2">
        <v>0.98</v>
      </c>
      <c r="R86" s="2">
        <v>0.98</v>
      </c>
      <c r="S86" s="2">
        <v>0.98</v>
      </c>
      <c r="T86" s="2">
        <v>0.7</v>
      </c>
      <c r="U86" s="4">
        <v>0.96</v>
      </c>
      <c r="V86" s="4">
        <v>0.96</v>
      </c>
      <c r="W86" s="4">
        <v>0.96</v>
      </c>
      <c r="X86" s="4">
        <v>0.9</v>
      </c>
    </row>
    <row r="87" spans="1:24" x14ac:dyDescent="0.3">
      <c r="A87" s="21">
        <v>83</v>
      </c>
      <c r="B87" s="4" t="s">
        <v>141</v>
      </c>
      <c r="C87" s="4" t="s">
        <v>26</v>
      </c>
      <c r="D87" s="4">
        <v>10.01</v>
      </c>
      <c r="E87" s="4">
        <v>25</v>
      </c>
      <c r="F87" s="4" t="s">
        <v>144</v>
      </c>
      <c r="G87" s="50" t="s">
        <v>143</v>
      </c>
      <c r="H87" s="4">
        <v>1516</v>
      </c>
      <c r="I87" s="53">
        <v>5.9184782608695599E-2</v>
      </c>
      <c r="J87" s="53">
        <v>0.112532608695652</v>
      </c>
      <c r="K87" s="53">
        <v>0.8</v>
      </c>
      <c r="L87" s="2">
        <v>0.98</v>
      </c>
      <c r="M87" s="2">
        <v>0.98</v>
      </c>
      <c r="N87" s="2">
        <v>0.98</v>
      </c>
      <c r="O87" s="2">
        <v>0.7</v>
      </c>
      <c r="P87" s="2">
        <v>0.96</v>
      </c>
      <c r="Q87" s="2">
        <v>0.98</v>
      </c>
      <c r="R87" s="2">
        <v>0.98</v>
      </c>
      <c r="S87" s="2">
        <v>0.98</v>
      </c>
      <c r="T87" s="2">
        <v>0.7</v>
      </c>
      <c r="U87" s="4">
        <v>0.96</v>
      </c>
      <c r="V87" s="4">
        <v>0.96</v>
      </c>
      <c r="W87" s="4">
        <v>0.96</v>
      </c>
      <c r="X87" s="4">
        <v>0.9</v>
      </c>
    </row>
    <row r="88" spans="1:24" x14ac:dyDescent="0.3">
      <c r="A88" s="21">
        <v>84</v>
      </c>
      <c r="B88" s="4" t="s">
        <v>145</v>
      </c>
      <c r="C88" s="4" t="s">
        <v>23</v>
      </c>
      <c r="D88" s="4">
        <v>3</v>
      </c>
      <c r="E88" s="4">
        <v>10</v>
      </c>
      <c r="F88" s="4" t="s">
        <v>142</v>
      </c>
      <c r="G88" s="50" t="s">
        <v>143</v>
      </c>
      <c r="H88" s="4">
        <v>1516</v>
      </c>
      <c r="I88" s="53">
        <v>6.38461538461539E-2</v>
      </c>
      <c r="J88" s="53">
        <v>0.111538461538462</v>
      </c>
      <c r="K88" s="53">
        <v>0.8</v>
      </c>
      <c r="L88" s="2">
        <v>0.98</v>
      </c>
      <c r="M88" s="2">
        <v>0.98</v>
      </c>
      <c r="N88" s="2">
        <v>0.98</v>
      </c>
      <c r="O88" s="2">
        <v>0.7</v>
      </c>
      <c r="P88" s="2">
        <v>0.96</v>
      </c>
      <c r="Q88" s="2">
        <v>0.98</v>
      </c>
      <c r="R88" s="2">
        <v>0.98</v>
      </c>
      <c r="S88" s="2">
        <v>0.98</v>
      </c>
      <c r="T88" s="2">
        <v>0.7</v>
      </c>
      <c r="U88" s="4">
        <v>0.96</v>
      </c>
      <c r="V88" s="4">
        <v>0.96</v>
      </c>
      <c r="W88" s="4">
        <v>0.96</v>
      </c>
      <c r="X88" s="4">
        <v>0.9</v>
      </c>
    </row>
    <row r="89" spans="1:24" x14ac:dyDescent="0.3">
      <c r="A89" s="21">
        <v>85</v>
      </c>
      <c r="B89" s="4" t="s">
        <v>145</v>
      </c>
      <c r="C89" s="4" t="s">
        <v>26</v>
      </c>
      <c r="D89" s="4">
        <v>10.01</v>
      </c>
      <c r="E89" s="4">
        <v>25</v>
      </c>
      <c r="F89" s="4" t="s">
        <v>144</v>
      </c>
      <c r="G89" s="50" t="s">
        <v>143</v>
      </c>
      <c r="H89" s="4">
        <v>1516</v>
      </c>
      <c r="I89" s="53">
        <v>5.9184782608695599E-2</v>
      </c>
      <c r="J89" s="53">
        <v>0.112532608695652</v>
      </c>
      <c r="K89" s="53">
        <v>0.8</v>
      </c>
      <c r="L89" s="2">
        <v>0.98</v>
      </c>
      <c r="M89" s="2">
        <v>0.98</v>
      </c>
      <c r="N89" s="2">
        <v>0.98</v>
      </c>
      <c r="O89" s="2">
        <v>0.7</v>
      </c>
      <c r="P89" s="2">
        <v>0.96</v>
      </c>
      <c r="Q89" s="2">
        <v>0.98</v>
      </c>
      <c r="R89" s="2">
        <v>0.98</v>
      </c>
      <c r="S89" s="2">
        <v>0.98</v>
      </c>
      <c r="T89" s="2">
        <v>0.7</v>
      </c>
      <c r="U89" s="4">
        <v>0.96</v>
      </c>
      <c r="V89" s="4">
        <v>0.96</v>
      </c>
      <c r="W89" s="4">
        <v>0.96</v>
      </c>
      <c r="X89" s="4">
        <v>0.9</v>
      </c>
    </row>
    <row r="90" spans="1:24" x14ac:dyDescent="0.3">
      <c r="A90" s="21">
        <v>86</v>
      </c>
      <c r="B90" s="4" t="s">
        <v>146</v>
      </c>
      <c r="C90" s="4" t="s">
        <v>23</v>
      </c>
      <c r="D90" s="4">
        <v>3</v>
      </c>
      <c r="E90" s="4">
        <v>10</v>
      </c>
      <c r="F90" s="4" t="s">
        <v>142</v>
      </c>
      <c r="G90" s="50" t="s">
        <v>143</v>
      </c>
      <c r="H90" s="4">
        <v>1516</v>
      </c>
      <c r="I90" s="53">
        <v>6.38461538461539E-2</v>
      </c>
      <c r="J90" s="53">
        <v>0.111538461538462</v>
      </c>
      <c r="K90" s="53">
        <v>0.8</v>
      </c>
      <c r="L90" s="2">
        <v>0.98</v>
      </c>
      <c r="M90" s="2">
        <v>0.98</v>
      </c>
      <c r="N90" s="2">
        <v>0.98</v>
      </c>
      <c r="O90" s="2">
        <v>0.7</v>
      </c>
      <c r="P90" s="2">
        <v>0.96</v>
      </c>
      <c r="Q90" s="2">
        <v>0.98</v>
      </c>
      <c r="R90" s="2">
        <v>0.98</v>
      </c>
      <c r="S90" s="2">
        <v>0.98</v>
      </c>
      <c r="T90" s="2">
        <v>0.7</v>
      </c>
      <c r="U90" s="4">
        <v>0.96</v>
      </c>
      <c r="V90" s="4">
        <v>0.96</v>
      </c>
      <c r="W90" s="4">
        <v>0.96</v>
      </c>
      <c r="X90" s="4">
        <v>0.9</v>
      </c>
    </row>
    <row r="91" spans="1:24" x14ac:dyDescent="0.3">
      <c r="A91" s="21">
        <v>87</v>
      </c>
      <c r="B91" s="4" t="s">
        <v>146</v>
      </c>
      <c r="C91" s="4" t="s">
        <v>26</v>
      </c>
      <c r="D91" s="4">
        <v>10.01</v>
      </c>
      <c r="E91" s="4">
        <v>25</v>
      </c>
      <c r="F91" s="4" t="s">
        <v>144</v>
      </c>
      <c r="G91" s="50" t="s">
        <v>143</v>
      </c>
      <c r="H91" s="4">
        <v>1516</v>
      </c>
      <c r="I91" s="53">
        <v>5.9184782608695599E-2</v>
      </c>
      <c r="J91" s="53">
        <v>0.112532608695652</v>
      </c>
      <c r="K91" s="53">
        <v>0.8</v>
      </c>
      <c r="L91" s="2">
        <v>0.98</v>
      </c>
      <c r="M91" s="2">
        <v>0.98</v>
      </c>
      <c r="N91" s="2">
        <v>0.98</v>
      </c>
      <c r="O91" s="2">
        <v>0.7</v>
      </c>
      <c r="P91" s="2">
        <v>0.96</v>
      </c>
      <c r="Q91" s="2">
        <v>0.98</v>
      </c>
      <c r="R91" s="2">
        <v>0.98</v>
      </c>
      <c r="S91" s="2">
        <v>0.98</v>
      </c>
      <c r="T91" s="2">
        <v>0.7</v>
      </c>
      <c r="U91" s="4">
        <v>0.96</v>
      </c>
      <c r="V91" s="4">
        <v>0.96</v>
      </c>
      <c r="W91" s="4">
        <v>0.96</v>
      </c>
      <c r="X91" s="4">
        <v>0.9</v>
      </c>
    </row>
    <row r="92" spans="1:24" x14ac:dyDescent="0.3">
      <c r="A92" s="21">
        <v>88</v>
      </c>
      <c r="B92" s="4" t="s">
        <v>147</v>
      </c>
      <c r="C92" s="4" t="s">
        <v>23</v>
      </c>
      <c r="D92" s="4">
        <v>3</v>
      </c>
      <c r="E92" s="4">
        <v>10</v>
      </c>
      <c r="F92" s="4" t="s">
        <v>142</v>
      </c>
      <c r="G92" s="50" t="s">
        <v>143</v>
      </c>
      <c r="H92" s="4">
        <v>1516</v>
      </c>
      <c r="I92" s="53">
        <v>6.38461538461539E-2</v>
      </c>
      <c r="J92" s="53">
        <v>0.111538461538462</v>
      </c>
      <c r="K92" s="53">
        <v>0.8</v>
      </c>
      <c r="L92" s="2">
        <v>0.98</v>
      </c>
      <c r="M92" s="2">
        <v>0.98</v>
      </c>
      <c r="N92" s="2">
        <v>0.98</v>
      </c>
      <c r="O92" s="2">
        <v>0.7</v>
      </c>
      <c r="P92" s="2">
        <v>0.96</v>
      </c>
      <c r="Q92" s="2">
        <v>0.98</v>
      </c>
      <c r="R92" s="2">
        <v>0.98</v>
      </c>
      <c r="S92" s="2">
        <v>0.98</v>
      </c>
      <c r="T92" s="2">
        <v>0.7</v>
      </c>
      <c r="U92" s="4">
        <v>0.96</v>
      </c>
      <c r="V92" s="4">
        <v>0.96</v>
      </c>
      <c r="W92" s="4">
        <v>0.96</v>
      </c>
      <c r="X92" s="4">
        <v>0.9</v>
      </c>
    </row>
    <row r="93" spans="1:24" x14ac:dyDescent="0.3">
      <c r="A93" s="21">
        <v>89</v>
      </c>
      <c r="B93" s="4" t="s">
        <v>147</v>
      </c>
      <c r="C93" s="4" t="s">
        <v>26</v>
      </c>
      <c r="D93" s="4">
        <v>10.01</v>
      </c>
      <c r="E93" s="4">
        <v>25</v>
      </c>
      <c r="F93" s="4" t="s">
        <v>144</v>
      </c>
      <c r="G93" s="50" t="s">
        <v>143</v>
      </c>
      <c r="H93" s="4">
        <v>1516</v>
      </c>
      <c r="I93" s="53">
        <v>5.9184782608695599E-2</v>
      </c>
      <c r="J93" s="53">
        <v>0.112532608695652</v>
      </c>
      <c r="K93" s="53">
        <v>0.8</v>
      </c>
      <c r="L93" s="2">
        <v>0.98</v>
      </c>
      <c r="M93" s="2">
        <v>0.98</v>
      </c>
      <c r="N93" s="2">
        <v>0.98</v>
      </c>
      <c r="O93" s="2">
        <v>0.7</v>
      </c>
      <c r="P93" s="2">
        <v>0.96</v>
      </c>
      <c r="Q93" s="2">
        <v>0.98</v>
      </c>
      <c r="R93" s="2">
        <v>0.98</v>
      </c>
      <c r="S93" s="2">
        <v>0.98</v>
      </c>
      <c r="T93" s="2">
        <v>0.7</v>
      </c>
      <c r="U93" s="4">
        <v>0.96</v>
      </c>
      <c r="V93" s="4">
        <v>0.96</v>
      </c>
      <c r="W93" s="4">
        <v>0.96</v>
      </c>
      <c r="X93" s="4">
        <v>0.9</v>
      </c>
    </row>
    <row r="94" spans="1:24" x14ac:dyDescent="0.3">
      <c r="A94" s="21">
        <v>90</v>
      </c>
      <c r="B94" s="4" t="s">
        <v>148</v>
      </c>
      <c r="C94" s="4" t="s">
        <v>23</v>
      </c>
      <c r="D94" s="4">
        <v>3</v>
      </c>
      <c r="E94" s="4">
        <v>10</v>
      </c>
      <c r="F94" s="4" t="s">
        <v>149</v>
      </c>
      <c r="G94" s="50" t="s">
        <v>150</v>
      </c>
      <c r="H94" s="4">
        <v>1516</v>
      </c>
      <c r="I94" s="53">
        <v>7.0999999999999994E-2</v>
      </c>
      <c r="J94" s="53">
        <v>0.129</v>
      </c>
      <c r="K94" s="53">
        <v>0.8</v>
      </c>
      <c r="L94" s="2">
        <v>0.98</v>
      </c>
      <c r="M94" s="2">
        <v>0.98</v>
      </c>
      <c r="N94" s="2">
        <v>0.98</v>
      </c>
      <c r="O94" s="2">
        <v>0.7</v>
      </c>
      <c r="P94" s="2">
        <v>0.96</v>
      </c>
      <c r="Q94" s="2">
        <v>0.98</v>
      </c>
      <c r="R94" s="2">
        <v>0.98</v>
      </c>
      <c r="S94" s="2">
        <v>0.98</v>
      </c>
      <c r="T94" s="2">
        <v>0.7</v>
      </c>
      <c r="U94" s="4">
        <v>0.96</v>
      </c>
      <c r="V94" s="4">
        <v>0.96</v>
      </c>
      <c r="W94" s="4">
        <v>0.96</v>
      </c>
      <c r="X94" s="4">
        <v>0.9</v>
      </c>
    </row>
    <row r="95" spans="1:24" x14ac:dyDescent="0.3">
      <c r="A95" s="21">
        <v>91</v>
      </c>
      <c r="B95" s="4" t="s">
        <v>148</v>
      </c>
      <c r="C95" s="4" t="s">
        <v>26</v>
      </c>
      <c r="D95" s="4">
        <v>10.01</v>
      </c>
      <c r="E95" s="4">
        <v>24</v>
      </c>
      <c r="F95" s="4" t="s">
        <v>151</v>
      </c>
      <c r="G95" s="50" t="s">
        <v>150</v>
      </c>
      <c r="H95" s="4">
        <v>1516</v>
      </c>
      <c r="I95" s="53">
        <v>7.9666666666666705E-2</v>
      </c>
      <c r="J95" s="53">
        <v>0.132333333333333</v>
      </c>
      <c r="K95" s="53">
        <v>0.8</v>
      </c>
      <c r="L95" s="2">
        <v>0.98</v>
      </c>
      <c r="M95" s="2">
        <v>0.98</v>
      </c>
      <c r="N95" s="2">
        <v>0.98</v>
      </c>
      <c r="O95" s="2">
        <v>0.7</v>
      </c>
      <c r="P95" s="2">
        <v>0.96</v>
      </c>
      <c r="Q95" s="2">
        <v>0.98</v>
      </c>
      <c r="R95" s="2">
        <v>0.98</v>
      </c>
      <c r="S95" s="2">
        <v>0.98</v>
      </c>
      <c r="T95" s="2">
        <v>0.7</v>
      </c>
      <c r="U95" s="4">
        <v>0.96</v>
      </c>
      <c r="V95" s="4">
        <v>0.96</v>
      </c>
      <c r="W95" s="4">
        <v>0.96</v>
      </c>
      <c r="X95" s="4">
        <v>0.9</v>
      </c>
    </row>
    <row r="96" spans="1:24" x14ac:dyDescent="0.3">
      <c r="A96" s="21">
        <v>92</v>
      </c>
      <c r="B96" s="4" t="s">
        <v>152</v>
      </c>
      <c r="C96" s="4" t="s">
        <v>23</v>
      </c>
      <c r="D96" s="4">
        <v>3</v>
      </c>
      <c r="E96" s="4">
        <v>10</v>
      </c>
      <c r="F96" s="4" t="s">
        <v>149</v>
      </c>
      <c r="G96" s="4" t="s">
        <v>150</v>
      </c>
      <c r="H96" s="4">
        <v>1516</v>
      </c>
      <c r="I96" s="53">
        <v>7.0999999999999994E-2</v>
      </c>
      <c r="J96" s="53">
        <v>0.129</v>
      </c>
      <c r="K96" s="53">
        <v>0.8</v>
      </c>
      <c r="L96" s="2">
        <v>0.98</v>
      </c>
      <c r="M96" s="2">
        <v>0.98</v>
      </c>
      <c r="N96" s="2">
        <v>0.98</v>
      </c>
      <c r="O96" s="2">
        <v>0.7</v>
      </c>
      <c r="P96" s="2">
        <v>0.96</v>
      </c>
      <c r="Q96" s="2">
        <v>0.98</v>
      </c>
      <c r="R96" s="2">
        <v>0.98</v>
      </c>
      <c r="S96" s="2">
        <v>0.98</v>
      </c>
      <c r="T96" s="2">
        <v>0.7</v>
      </c>
      <c r="U96" s="4">
        <v>0.96</v>
      </c>
      <c r="V96" s="4">
        <v>0.96</v>
      </c>
      <c r="W96" s="4">
        <v>0.96</v>
      </c>
      <c r="X96" s="4">
        <v>0.9</v>
      </c>
    </row>
    <row r="97" spans="1:24" x14ac:dyDescent="0.3">
      <c r="A97" s="21">
        <v>93</v>
      </c>
      <c r="B97" s="4" t="s">
        <v>152</v>
      </c>
      <c r="C97" s="4" t="s">
        <v>26</v>
      </c>
      <c r="D97" s="4">
        <v>10.01</v>
      </c>
      <c r="E97" s="4">
        <v>24</v>
      </c>
      <c r="F97" s="4" t="s">
        <v>151</v>
      </c>
      <c r="G97" s="4" t="s">
        <v>150</v>
      </c>
      <c r="H97" s="4">
        <v>1516</v>
      </c>
      <c r="I97" s="53">
        <v>7.9666666666666705E-2</v>
      </c>
      <c r="J97" s="53">
        <v>0.132333333333333</v>
      </c>
      <c r="K97" s="53">
        <v>0.8</v>
      </c>
      <c r="L97" s="2">
        <v>0.98</v>
      </c>
      <c r="M97" s="2">
        <v>0.98</v>
      </c>
      <c r="N97" s="2">
        <v>0.98</v>
      </c>
      <c r="O97" s="2">
        <v>0.7</v>
      </c>
      <c r="P97" s="2">
        <v>0.96</v>
      </c>
      <c r="Q97" s="2">
        <v>0.98</v>
      </c>
      <c r="R97" s="2">
        <v>0.98</v>
      </c>
      <c r="S97" s="2">
        <v>0.98</v>
      </c>
      <c r="T97" s="2">
        <v>0.7</v>
      </c>
      <c r="U97" s="4">
        <v>0.96</v>
      </c>
      <c r="V97" s="4">
        <v>0.96</v>
      </c>
      <c r="W97" s="4">
        <v>0.96</v>
      </c>
      <c r="X97" s="4">
        <v>0.9</v>
      </c>
    </row>
    <row r="98" spans="1:24" x14ac:dyDescent="0.3">
      <c r="A98" s="21">
        <v>94</v>
      </c>
      <c r="B98" s="4" t="s">
        <v>153</v>
      </c>
      <c r="C98" s="4" t="s">
        <v>23</v>
      </c>
      <c r="D98" s="4">
        <v>3</v>
      </c>
      <c r="E98" s="4">
        <v>10</v>
      </c>
      <c r="F98" s="4" t="s">
        <v>154</v>
      </c>
      <c r="G98" s="50" t="s">
        <v>155</v>
      </c>
      <c r="H98" s="4">
        <v>1516</v>
      </c>
      <c r="I98" s="53">
        <v>4.8500000000000001E-2</v>
      </c>
      <c r="J98" s="53">
        <v>8.7499999999999994E-2</v>
      </c>
      <c r="K98" s="53">
        <v>0.8</v>
      </c>
      <c r="L98" s="2">
        <v>0.98</v>
      </c>
      <c r="M98" s="2">
        <v>0.98</v>
      </c>
      <c r="N98" s="2">
        <v>0.98</v>
      </c>
      <c r="O98" s="2">
        <v>0.7</v>
      </c>
      <c r="P98" s="2">
        <v>0.96</v>
      </c>
      <c r="Q98" s="2">
        <v>0.98</v>
      </c>
      <c r="R98" s="2">
        <v>0.98</v>
      </c>
      <c r="S98" s="2">
        <v>0.98</v>
      </c>
      <c r="T98" s="2">
        <v>0.7</v>
      </c>
      <c r="U98" s="4">
        <v>0.96</v>
      </c>
      <c r="V98" s="4">
        <v>0.96</v>
      </c>
      <c r="W98" s="4">
        <v>0.96</v>
      </c>
      <c r="X98" s="4">
        <v>0.9</v>
      </c>
    </row>
    <row r="99" spans="1:24" x14ac:dyDescent="0.3">
      <c r="A99" s="21">
        <v>95</v>
      </c>
      <c r="B99" s="4" t="s">
        <v>153</v>
      </c>
      <c r="C99" s="4" t="s">
        <v>26</v>
      </c>
      <c r="D99" s="4">
        <v>10.01</v>
      </c>
      <c r="E99" s="4">
        <v>25</v>
      </c>
      <c r="F99" s="4" t="s">
        <v>156</v>
      </c>
      <c r="G99" s="50" t="s">
        <v>155</v>
      </c>
      <c r="H99" s="4">
        <v>1516</v>
      </c>
      <c r="I99" s="53">
        <v>5.7000000000000002E-2</v>
      </c>
      <c r="J99" s="53">
        <v>9.6500000000000002E-2</v>
      </c>
      <c r="K99" s="53">
        <v>0.8</v>
      </c>
      <c r="L99" s="2">
        <v>0.98</v>
      </c>
      <c r="M99" s="2">
        <v>0.98</v>
      </c>
      <c r="N99" s="2">
        <v>0.98</v>
      </c>
      <c r="O99" s="2">
        <v>0.7</v>
      </c>
      <c r="P99" s="2">
        <v>0.96</v>
      </c>
      <c r="Q99" s="2">
        <v>0.98</v>
      </c>
      <c r="R99" s="2">
        <v>0.98</v>
      </c>
      <c r="S99" s="2">
        <v>0.98</v>
      </c>
      <c r="T99" s="2">
        <v>0.7</v>
      </c>
      <c r="U99" s="4">
        <v>0.96</v>
      </c>
      <c r="V99" s="4">
        <v>0.96</v>
      </c>
      <c r="W99" s="4">
        <v>0.96</v>
      </c>
      <c r="X99" s="4">
        <v>0.9</v>
      </c>
    </row>
    <row r="100" spans="1:24" x14ac:dyDescent="0.3">
      <c r="A100" s="21">
        <v>96</v>
      </c>
      <c r="B100" s="4" t="s">
        <v>157</v>
      </c>
      <c r="C100" s="4" t="s">
        <v>23</v>
      </c>
      <c r="D100" s="4">
        <v>3</v>
      </c>
      <c r="E100" s="4">
        <v>10</v>
      </c>
      <c r="F100" s="4" t="s">
        <v>154</v>
      </c>
      <c r="G100" s="50" t="s">
        <v>155</v>
      </c>
      <c r="H100" s="4">
        <v>1516</v>
      </c>
      <c r="I100" s="53">
        <v>4.8500000000000001E-2</v>
      </c>
      <c r="J100" s="53">
        <v>8.7499999999999994E-2</v>
      </c>
      <c r="K100" s="53">
        <v>0.8</v>
      </c>
      <c r="L100" s="2">
        <v>0.98</v>
      </c>
      <c r="M100" s="2">
        <v>0.98</v>
      </c>
      <c r="N100" s="2">
        <v>0.98</v>
      </c>
      <c r="O100" s="2">
        <v>0.7</v>
      </c>
      <c r="P100" s="2">
        <v>0.96</v>
      </c>
      <c r="Q100" s="2">
        <v>0.98</v>
      </c>
      <c r="R100" s="2">
        <v>0.98</v>
      </c>
      <c r="S100" s="2">
        <v>0.98</v>
      </c>
      <c r="T100" s="2">
        <v>0.7</v>
      </c>
      <c r="U100" s="4">
        <v>0.96</v>
      </c>
      <c r="V100" s="4">
        <v>0.96</v>
      </c>
      <c r="W100" s="4">
        <v>0.96</v>
      </c>
      <c r="X100" s="4">
        <v>0.9</v>
      </c>
    </row>
    <row r="101" spans="1:24" x14ac:dyDescent="0.3">
      <c r="A101" s="21">
        <v>97</v>
      </c>
      <c r="B101" s="4" t="s">
        <v>157</v>
      </c>
      <c r="C101" s="4" t="s">
        <v>26</v>
      </c>
      <c r="D101" s="4">
        <v>10.01</v>
      </c>
      <c r="E101" s="4">
        <v>25</v>
      </c>
      <c r="F101" s="4" t="s">
        <v>156</v>
      </c>
      <c r="G101" s="50" t="s">
        <v>155</v>
      </c>
      <c r="H101" s="4">
        <v>1516</v>
      </c>
      <c r="I101" s="53">
        <v>5.7000000000000002E-2</v>
      </c>
      <c r="J101" s="53">
        <v>9.6500000000000002E-2</v>
      </c>
      <c r="K101" s="53">
        <v>0.8</v>
      </c>
      <c r="L101" s="2">
        <v>0.98</v>
      </c>
      <c r="M101" s="2">
        <v>0.98</v>
      </c>
      <c r="N101" s="2">
        <v>0.98</v>
      </c>
      <c r="O101" s="2">
        <v>0.7</v>
      </c>
      <c r="P101" s="2">
        <v>0.96</v>
      </c>
      <c r="Q101" s="2">
        <v>0.98</v>
      </c>
      <c r="R101" s="2">
        <v>0.98</v>
      </c>
      <c r="S101" s="2">
        <v>0.98</v>
      </c>
      <c r="T101" s="2">
        <v>0.7</v>
      </c>
      <c r="U101" s="4">
        <v>0.96</v>
      </c>
      <c r="V101" s="4">
        <v>0.96</v>
      </c>
      <c r="W101" s="4">
        <v>0.96</v>
      </c>
      <c r="X101" s="4">
        <v>0.9</v>
      </c>
    </row>
    <row r="102" spans="1:24" x14ac:dyDescent="0.3">
      <c r="A102" s="21">
        <v>98</v>
      </c>
      <c r="B102" s="4" t="s">
        <v>158</v>
      </c>
      <c r="C102" s="4" t="s">
        <v>23</v>
      </c>
      <c r="D102" s="4">
        <v>3</v>
      </c>
      <c r="E102" s="4">
        <v>10</v>
      </c>
      <c r="F102" s="4" t="s">
        <v>154</v>
      </c>
      <c r="G102" s="50" t="s">
        <v>155</v>
      </c>
      <c r="H102" s="4">
        <v>1516</v>
      </c>
      <c r="I102" s="53">
        <v>4.8500000000000001E-2</v>
      </c>
      <c r="J102" s="53">
        <v>8.7499999999999994E-2</v>
      </c>
      <c r="K102" s="53">
        <v>0.8</v>
      </c>
      <c r="L102" s="2">
        <v>0.98</v>
      </c>
      <c r="M102" s="2">
        <v>0.98</v>
      </c>
      <c r="N102" s="2">
        <v>0.98</v>
      </c>
      <c r="O102" s="2">
        <v>0.7</v>
      </c>
      <c r="P102" s="2">
        <v>0.96</v>
      </c>
      <c r="Q102" s="2">
        <v>0.98</v>
      </c>
      <c r="R102" s="2">
        <v>0.98</v>
      </c>
      <c r="S102" s="2">
        <v>0.98</v>
      </c>
      <c r="T102" s="2">
        <v>0.7</v>
      </c>
      <c r="U102" s="4">
        <v>0.96</v>
      </c>
      <c r="V102" s="4">
        <v>0.96</v>
      </c>
      <c r="W102" s="4">
        <v>0.96</v>
      </c>
      <c r="X102" s="4">
        <v>0.9</v>
      </c>
    </row>
    <row r="103" spans="1:24" x14ac:dyDescent="0.3">
      <c r="A103" s="21">
        <v>99</v>
      </c>
      <c r="B103" s="4" t="s">
        <v>158</v>
      </c>
      <c r="C103" s="4" t="s">
        <v>26</v>
      </c>
      <c r="D103" s="4">
        <v>10.01</v>
      </c>
      <c r="E103" s="4">
        <v>25</v>
      </c>
      <c r="F103" s="4" t="s">
        <v>156</v>
      </c>
      <c r="G103" s="50" t="s">
        <v>155</v>
      </c>
      <c r="H103" s="4">
        <v>1516</v>
      </c>
      <c r="I103" s="53">
        <v>5.7000000000000002E-2</v>
      </c>
      <c r="J103" s="53">
        <v>9.6500000000000002E-2</v>
      </c>
      <c r="K103" s="53">
        <v>0.8</v>
      </c>
      <c r="L103" s="2">
        <v>0.98</v>
      </c>
      <c r="M103" s="2">
        <v>0.98</v>
      </c>
      <c r="N103" s="2">
        <v>0.98</v>
      </c>
      <c r="O103" s="2">
        <v>0.7</v>
      </c>
      <c r="P103" s="2">
        <v>0.96</v>
      </c>
      <c r="Q103" s="2">
        <v>0.98</v>
      </c>
      <c r="R103" s="2">
        <v>0.98</v>
      </c>
      <c r="S103" s="2">
        <v>0.98</v>
      </c>
      <c r="T103" s="2">
        <v>0.7</v>
      </c>
      <c r="U103" s="4">
        <v>0.96</v>
      </c>
      <c r="V103" s="4">
        <v>0.96</v>
      </c>
      <c r="W103" s="4">
        <v>0.96</v>
      </c>
      <c r="X103" s="4">
        <v>0.9</v>
      </c>
    </row>
    <row r="104" spans="1:24" x14ac:dyDescent="0.3">
      <c r="A104" s="21">
        <v>100</v>
      </c>
      <c r="B104" s="4" t="s">
        <v>159</v>
      </c>
      <c r="C104" s="4" t="s">
        <v>23</v>
      </c>
      <c r="D104" s="4">
        <v>3</v>
      </c>
      <c r="E104" s="4">
        <v>10.49</v>
      </c>
      <c r="F104" s="4" t="s">
        <v>160</v>
      </c>
      <c r="G104" s="50" t="s">
        <v>161</v>
      </c>
      <c r="H104" s="4">
        <v>1516</v>
      </c>
      <c r="I104" s="53">
        <v>4.4999999999999998E-2</v>
      </c>
      <c r="J104" s="53">
        <v>9.2999999999999999E-2</v>
      </c>
      <c r="K104" s="53">
        <v>0.8</v>
      </c>
      <c r="L104" s="2">
        <v>0.98</v>
      </c>
      <c r="M104" s="2">
        <v>0.98</v>
      </c>
      <c r="N104" s="2">
        <v>0.98</v>
      </c>
      <c r="O104" s="2">
        <v>0.7</v>
      </c>
      <c r="P104" s="2">
        <v>0.96</v>
      </c>
      <c r="Q104" s="2">
        <v>0.98</v>
      </c>
      <c r="R104" s="2">
        <v>0.98</v>
      </c>
      <c r="S104" s="2">
        <v>0.98</v>
      </c>
      <c r="T104" s="2">
        <v>0.7</v>
      </c>
      <c r="U104" s="4">
        <v>0.96</v>
      </c>
      <c r="V104" s="4">
        <v>0.96</v>
      </c>
      <c r="W104" s="4">
        <v>0.96</v>
      </c>
      <c r="X104" s="4">
        <v>0.9</v>
      </c>
    </row>
    <row r="105" spans="1:24" x14ac:dyDescent="0.3">
      <c r="A105" s="21">
        <v>101</v>
      </c>
      <c r="B105" s="4" t="s">
        <v>159</v>
      </c>
      <c r="C105" s="4" t="s">
        <v>26</v>
      </c>
      <c r="D105" s="4">
        <v>10.5</v>
      </c>
      <c r="E105" s="4">
        <v>20</v>
      </c>
      <c r="F105" s="4" t="s">
        <v>162</v>
      </c>
      <c r="G105" s="50" t="s">
        <v>161</v>
      </c>
      <c r="H105" s="4">
        <v>1516</v>
      </c>
      <c r="I105" s="85">
        <v>0.05</v>
      </c>
      <c r="J105" s="85">
        <v>9.2999999999999999E-2</v>
      </c>
      <c r="K105" s="53">
        <v>0.8</v>
      </c>
      <c r="L105" s="2">
        <v>0.98</v>
      </c>
      <c r="M105" s="2">
        <v>0.98</v>
      </c>
      <c r="N105" s="2">
        <v>0.98</v>
      </c>
      <c r="O105" s="2">
        <v>0.7</v>
      </c>
      <c r="P105" s="2">
        <v>0.96</v>
      </c>
      <c r="Q105" s="2">
        <v>0.98</v>
      </c>
      <c r="R105" s="2">
        <v>0.98</v>
      </c>
      <c r="S105" s="2">
        <v>0.98</v>
      </c>
      <c r="T105" s="2">
        <v>0.7</v>
      </c>
      <c r="U105" s="4">
        <v>0.96</v>
      </c>
      <c r="V105" s="4">
        <v>0.96</v>
      </c>
      <c r="W105" s="4">
        <v>0.96</v>
      </c>
      <c r="X105" s="4">
        <v>0.9</v>
      </c>
    </row>
    <row r="106" spans="1:24" x14ac:dyDescent="0.3">
      <c r="A106" s="21">
        <v>102</v>
      </c>
      <c r="B106" s="4" t="s">
        <v>163</v>
      </c>
      <c r="C106" s="4" t="s">
        <v>23</v>
      </c>
      <c r="D106" s="4">
        <v>3</v>
      </c>
      <c r="E106" s="4">
        <v>10.3</v>
      </c>
      <c r="F106" s="4" t="s">
        <v>164</v>
      </c>
      <c r="G106" s="50" t="s">
        <v>165</v>
      </c>
      <c r="H106" s="4">
        <v>1520</v>
      </c>
      <c r="I106" s="85">
        <v>0.05</v>
      </c>
      <c r="J106" s="85">
        <v>9.2999999999999999E-2</v>
      </c>
      <c r="K106" s="53">
        <v>0.8</v>
      </c>
      <c r="L106" s="2">
        <v>0.98</v>
      </c>
      <c r="M106" s="2">
        <v>0.98</v>
      </c>
      <c r="N106" s="2">
        <v>0.98</v>
      </c>
      <c r="O106" s="2">
        <v>0.7</v>
      </c>
      <c r="P106" s="2">
        <v>0.96</v>
      </c>
      <c r="Q106" s="2">
        <v>0.98</v>
      </c>
      <c r="R106" s="2">
        <v>0.98</v>
      </c>
      <c r="S106" s="2">
        <v>0.98</v>
      </c>
      <c r="T106" s="2">
        <v>0.7</v>
      </c>
      <c r="U106" s="4">
        <v>0.96</v>
      </c>
      <c r="V106" s="4">
        <v>0.96</v>
      </c>
      <c r="W106" s="4">
        <v>0.96</v>
      </c>
      <c r="X106" s="4">
        <v>0.9</v>
      </c>
    </row>
    <row r="107" spans="1:24" x14ac:dyDescent="0.3">
      <c r="A107" s="21">
        <v>103</v>
      </c>
      <c r="B107" s="4" t="s">
        <v>163</v>
      </c>
      <c r="C107" s="4" t="s">
        <v>26</v>
      </c>
      <c r="D107" s="4">
        <v>10.31</v>
      </c>
      <c r="E107" s="4">
        <v>16.5</v>
      </c>
      <c r="F107" s="4" t="s">
        <v>166</v>
      </c>
      <c r="G107" s="50" t="s">
        <v>165</v>
      </c>
      <c r="H107" s="4">
        <v>1520</v>
      </c>
      <c r="I107" s="53">
        <v>0.05</v>
      </c>
      <c r="J107" s="53">
        <v>0.103333333333333</v>
      </c>
      <c r="K107" s="53">
        <v>0.8</v>
      </c>
      <c r="L107" s="2">
        <v>0.98</v>
      </c>
      <c r="M107" s="2">
        <v>0.98</v>
      </c>
      <c r="N107" s="2">
        <v>0.98</v>
      </c>
      <c r="O107" s="2">
        <v>0.7</v>
      </c>
      <c r="P107" s="2">
        <v>0.96</v>
      </c>
      <c r="Q107" s="2">
        <v>0.98</v>
      </c>
      <c r="R107" s="2">
        <v>0.98</v>
      </c>
      <c r="S107" s="2">
        <v>0.98</v>
      </c>
      <c r="T107" s="2">
        <v>0.7</v>
      </c>
      <c r="U107" s="4">
        <v>0.96</v>
      </c>
      <c r="V107" s="4">
        <v>0.96</v>
      </c>
      <c r="W107" s="4">
        <v>0.96</v>
      </c>
      <c r="X107" s="4">
        <v>0.9</v>
      </c>
    </row>
    <row r="108" spans="1:24" x14ac:dyDescent="0.3">
      <c r="A108" s="21">
        <v>104</v>
      </c>
      <c r="B108" s="4" t="s">
        <v>167</v>
      </c>
      <c r="C108" s="4" t="s">
        <v>23</v>
      </c>
      <c r="D108" s="4">
        <v>1.5</v>
      </c>
      <c r="E108" s="4">
        <v>10.3</v>
      </c>
      <c r="F108" s="4" t="s">
        <v>168</v>
      </c>
      <c r="G108" s="50" t="s">
        <v>169</v>
      </c>
      <c r="H108" s="4">
        <v>1520</v>
      </c>
      <c r="I108" s="53">
        <v>4.9000000000000002E-2</v>
      </c>
      <c r="J108" s="53">
        <v>0.109</v>
      </c>
      <c r="K108" s="53">
        <v>0.8</v>
      </c>
      <c r="L108" s="2">
        <v>0.98</v>
      </c>
      <c r="M108" s="2">
        <v>0.98</v>
      </c>
      <c r="N108" s="2">
        <v>0.98</v>
      </c>
      <c r="O108" s="2">
        <v>0.7</v>
      </c>
      <c r="P108" s="2">
        <v>0.96</v>
      </c>
      <c r="Q108" s="2">
        <v>0.98</v>
      </c>
      <c r="R108" s="2">
        <v>0.98</v>
      </c>
      <c r="S108" s="2">
        <v>0.98</v>
      </c>
      <c r="T108" s="2">
        <v>0.7</v>
      </c>
      <c r="U108" s="4">
        <v>0.96</v>
      </c>
      <c r="V108" s="4">
        <v>0.96</v>
      </c>
      <c r="W108" s="4">
        <v>0.96</v>
      </c>
      <c r="X108" s="4">
        <v>0.9</v>
      </c>
    </row>
    <row r="109" spans="1:24" x14ac:dyDescent="0.3">
      <c r="A109" s="21">
        <v>105</v>
      </c>
      <c r="B109" s="4" t="s">
        <v>167</v>
      </c>
      <c r="C109" s="4" t="s">
        <v>26</v>
      </c>
      <c r="D109" s="4">
        <v>10.31</v>
      </c>
      <c r="E109" s="4">
        <v>16.5</v>
      </c>
      <c r="F109" s="4" t="s">
        <v>170</v>
      </c>
      <c r="G109" s="50" t="s">
        <v>169</v>
      </c>
      <c r="H109" s="4">
        <v>1520</v>
      </c>
      <c r="I109" s="53">
        <v>4.6333333333333303E-2</v>
      </c>
      <c r="J109" s="53">
        <v>0.128</v>
      </c>
      <c r="K109" s="53">
        <v>0.8</v>
      </c>
      <c r="L109" s="2">
        <v>0.98</v>
      </c>
      <c r="M109" s="2">
        <v>0.98</v>
      </c>
      <c r="N109" s="2">
        <v>0.98</v>
      </c>
      <c r="O109" s="2">
        <v>0.7</v>
      </c>
      <c r="P109" s="2">
        <v>0.96</v>
      </c>
      <c r="Q109" s="2">
        <v>0.98</v>
      </c>
      <c r="R109" s="2">
        <v>0.98</v>
      </c>
      <c r="S109" s="2">
        <v>0.98</v>
      </c>
      <c r="T109" s="2">
        <v>0.7</v>
      </c>
      <c r="U109" s="4">
        <v>0.96</v>
      </c>
      <c r="V109" s="4">
        <v>0.96</v>
      </c>
      <c r="W109" s="4">
        <v>0.96</v>
      </c>
      <c r="X109" s="4">
        <v>0.9</v>
      </c>
    </row>
    <row r="110" spans="1:24" x14ac:dyDescent="0.3">
      <c r="A110" s="21">
        <v>106</v>
      </c>
      <c r="B110" s="4" t="s">
        <v>171</v>
      </c>
      <c r="C110" s="4" t="s">
        <v>23</v>
      </c>
      <c r="D110" s="4">
        <v>16.010000000000002</v>
      </c>
      <c r="E110" s="4">
        <v>25.4</v>
      </c>
      <c r="F110" s="4" t="s">
        <v>172</v>
      </c>
      <c r="G110" s="4" t="s">
        <v>173</v>
      </c>
      <c r="H110" s="4">
        <v>1520</v>
      </c>
      <c r="I110" s="53">
        <v>4.3400000000000001E-2</v>
      </c>
      <c r="J110" s="53">
        <v>0.1096</v>
      </c>
      <c r="K110" s="53">
        <v>0.8</v>
      </c>
      <c r="L110" s="2">
        <v>0.98</v>
      </c>
      <c r="M110" s="2">
        <v>0.98</v>
      </c>
      <c r="N110" s="2">
        <v>0.98</v>
      </c>
      <c r="O110" s="2">
        <v>0.7</v>
      </c>
      <c r="P110" s="2">
        <v>0.96</v>
      </c>
      <c r="Q110" s="2">
        <v>0.98</v>
      </c>
      <c r="R110" s="2">
        <v>0.98</v>
      </c>
      <c r="S110" s="2">
        <v>0.98</v>
      </c>
      <c r="T110" s="2">
        <v>0.7</v>
      </c>
      <c r="U110" s="4">
        <v>0.96</v>
      </c>
      <c r="V110" s="4">
        <v>0.96</v>
      </c>
      <c r="W110" s="4">
        <v>0.96</v>
      </c>
      <c r="X110" s="4">
        <v>0.9</v>
      </c>
    </row>
    <row r="111" spans="1:24" x14ac:dyDescent="0.3">
      <c r="A111" s="21">
        <v>107</v>
      </c>
      <c r="B111" s="4" t="s">
        <v>174</v>
      </c>
      <c r="C111" s="4" t="s">
        <v>23</v>
      </c>
      <c r="D111" s="4">
        <v>3</v>
      </c>
      <c r="E111" s="4">
        <v>10.3</v>
      </c>
      <c r="F111" s="4" t="s">
        <v>175</v>
      </c>
      <c r="G111" s="50" t="s">
        <v>176</v>
      </c>
      <c r="H111" s="4">
        <v>1520</v>
      </c>
      <c r="I111" s="53">
        <v>4.3400000000000001E-2</v>
      </c>
      <c r="J111" s="53">
        <v>0.1096</v>
      </c>
      <c r="K111" s="53">
        <v>0.8</v>
      </c>
      <c r="L111" s="2">
        <v>0.98</v>
      </c>
      <c r="M111" s="2">
        <v>0.98</v>
      </c>
      <c r="N111" s="2">
        <v>0.98</v>
      </c>
      <c r="O111" s="2">
        <v>0.7</v>
      </c>
      <c r="P111" s="2">
        <v>0.96</v>
      </c>
      <c r="Q111" s="2">
        <v>0.98</v>
      </c>
      <c r="R111" s="2">
        <v>0.98</v>
      </c>
      <c r="S111" s="2">
        <v>0.98</v>
      </c>
      <c r="T111" s="2">
        <v>0.7</v>
      </c>
      <c r="U111" s="4">
        <v>0.96</v>
      </c>
      <c r="V111" s="4">
        <v>0.96</v>
      </c>
      <c r="W111" s="4">
        <v>0.96</v>
      </c>
      <c r="X111" s="4">
        <v>0.9</v>
      </c>
    </row>
    <row r="112" spans="1:24" x14ac:dyDescent="0.3">
      <c r="A112" s="21">
        <v>108</v>
      </c>
      <c r="B112" s="4" t="s">
        <v>174</v>
      </c>
      <c r="C112" s="4" t="s">
        <v>26</v>
      </c>
      <c r="D112" s="4">
        <v>10.31</v>
      </c>
      <c r="E112" s="4">
        <v>16.5</v>
      </c>
      <c r="F112" s="4" t="s">
        <v>177</v>
      </c>
      <c r="G112" s="50" t="s">
        <v>176</v>
      </c>
      <c r="H112" s="4">
        <v>1520</v>
      </c>
      <c r="I112" s="53">
        <v>4.3400000000000001E-2</v>
      </c>
      <c r="J112" s="53">
        <v>0.1096</v>
      </c>
      <c r="K112" s="53">
        <v>0.8</v>
      </c>
      <c r="L112" s="2">
        <v>0.98</v>
      </c>
      <c r="M112" s="2">
        <v>0.98</v>
      </c>
      <c r="N112" s="2">
        <v>0.98</v>
      </c>
      <c r="O112" s="2">
        <v>0.7</v>
      </c>
      <c r="P112" s="2">
        <v>0.96</v>
      </c>
      <c r="Q112" s="2">
        <v>0.98</v>
      </c>
      <c r="R112" s="2">
        <v>0.98</v>
      </c>
      <c r="S112" s="2">
        <v>0.98</v>
      </c>
      <c r="T112" s="2">
        <v>0.7</v>
      </c>
      <c r="U112" s="4">
        <v>0.96</v>
      </c>
      <c r="V112" s="4">
        <v>0.96</v>
      </c>
      <c r="W112" s="4">
        <v>0.96</v>
      </c>
      <c r="X112" s="4">
        <v>0.9</v>
      </c>
    </row>
    <row r="113" spans="1:24" x14ac:dyDescent="0.3">
      <c r="A113" s="21">
        <v>109</v>
      </c>
      <c r="B113" s="4" t="s">
        <v>178</v>
      </c>
      <c r="C113" s="4" t="s">
        <v>23</v>
      </c>
      <c r="D113" s="4">
        <v>3</v>
      </c>
      <c r="E113" s="4">
        <v>10.3</v>
      </c>
      <c r="F113" s="4" t="s">
        <v>179</v>
      </c>
      <c r="G113" s="50" t="s">
        <v>180</v>
      </c>
      <c r="H113" s="4">
        <v>1521</v>
      </c>
      <c r="I113" s="53">
        <v>4.3400000000000001E-2</v>
      </c>
      <c r="J113" s="53">
        <v>0.1096</v>
      </c>
      <c r="K113" s="53">
        <v>0.8</v>
      </c>
      <c r="L113" s="2">
        <v>0.98</v>
      </c>
      <c r="M113" s="2">
        <v>0.98</v>
      </c>
      <c r="N113" s="2">
        <v>0.98</v>
      </c>
      <c r="O113" s="2">
        <v>0.7</v>
      </c>
      <c r="P113" s="2">
        <v>0.96</v>
      </c>
      <c r="Q113" s="2">
        <v>0.98</v>
      </c>
      <c r="R113" s="2">
        <v>0.98</v>
      </c>
      <c r="S113" s="2">
        <v>0.98</v>
      </c>
      <c r="T113" s="2">
        <v>0.7</v>
      </c>
      <c r="U113" s="4">
        <v>0.96</v>
      </c>
      <c r="V113" s="4">
        <v>0.96</v>
      </c>
      <c r="W113" s="4">
        <v>0.96</v>
      </c>
      <c r="X113" s="4">
        <v>0.9</v>
      </c>
    </row>
    <row r="114" spans="1:24" x14ac:dyDescent="0.3">
      <c r="A114" s="21">
        <v>110</v>
      </c>
      <c r="B114" s="4" t="s">
        <v>178</v>
      </c>
      <c r="C114" s="4" t="s">
        <v>26</v>
      </c>
      <c r="D114" s="4">
        <v>10.31</v>
      </c>
      <c r="E114" s="4">
        <v>16.5</v>
      </c>
      <c r="F114" s="4" t="s">
        <v>181</v>
      </c>
      <c r="G114" s="50" t="s">
        <v>180</v>
      </c>
      <c r="H114" s="4">
        <v>1521</v>
      </c>
      <c r="I114" s="53">
        <v>3.5000000000000003E-2</v>
      </c>
      <c r="J114" s="53">
        <v>9.0499999999999997E-2</v>
      </c>
      <c r="K114" s="53">
        <v>0.8</v>
      </c>
      <c r="L114" s="2">
        <v>0.98</v>
      </c>
      <c r="M114" s="2">
        <v>0.98</v>
      </c>
      <c r="N114" s="2">
        <v>0.98</v>
      </c>
      <c r="O114" s="2">
        <v>0.7</v>
      </c>
      <c r="P114" s="2">
        <v>0.96</v>
      </c>
      <c r="Q114" s="2">
        <v>0.98</v>
      </c>
      <c r="R114" s="2">
        <v>0.98</v>
      </c>
      <c r="S114" s="2">
        <v>0.98</v>
      </c>
      <c r="T114" s="2">
        <v>0.7</v>
      </c>
      <c r="U114" s="4">
        <v>0.96</v>
      </c>
      <c r="V114" s="4">
        <v>0.96</v>
      </c>
      <c r="W114" s="4">
        <v>0.96</v>
      </c>
      <c r="X114" s="4">
        <v>0.9</v>
      </c>
    </row>
    <row r="115" spans="1:24" x14ac:dyDescent="0.3">
      <c r="A115" s="21">
        <v>111</v>
      </c>
      <c r="B115" s="4" t="s">
        <v>182</v>
      </c>
      <c r="C115" s="4" t="s">
        <v>23</v>
      </c>
      <c r="D115" s="4">
        <v>3</v>
      </c>
      <c r="E115" s="4">
        <v>10.3</v>
      </c>
      <c r="F115" s="4" t="s">
        <v>183</v>
      </c>
      <c r="G115" s="50" t="s">
        <v>184</v>
      </c>
      <c r="H115" s="4">
        <v>1521</v>
      </c>
      <c r="I115" s="85">
        <v>3.5000000000000003E-2</v>
      </c>
      <c r="J115" s="85">
        <v>9.0499999999999997E-2</v>
      </c>
      <c r="K115" s="53">
        <v>0.8</v>
      </c>
      <c r="L115" s="2">
        <v>0.98</v>
      </c>
      <c r="M115" s="2">
        <v>0.98</v>
      </c>
      <c r="N115" s="2">
        <v>0.98</v>
      </c>
      <c r="O115" s="2">
        <v>0.7</v>
      </c>
      <c r="P115" s="2">
        <v>0.96</v>
      </c>
      <c r="Q115" s="2">
        <v>0.98</v>
      </c>
      <c r="R115" s="2">
        <v>0.98</v>
      </c>
      <c r="S115" s="2">
        <v>0.98</v>
      </c>
      <c r="T115" s="2">
        <v>0.7</v>
      </c>
      <c r="U115" s="4">
        <v>0.96</v>
      </c>
      <c r="V115" s="4">
        <v>0.96</v>
      </c>
      <c r="W115" s="4">
        <v>0.96</v>
      </c>
      <c r="X115" s="4">
        <v>0.9</v>
      </c>
    </row>
    <row r="116" spans="1:24" x14ac:dyDescent="0.3">
      <c r="A116" s="21">
        <v>112</v>
      </c>
      <c r="B116" s="4" t="s">
        <v>182</v>
      </c>
      <c r="C116" s="4" t="s">
        <v>26</v>
      </c>
      <c r="D116" s="4">
        <v>10.31</v>
      </c>
      <c r="E116" s="4">
        <v>16.5</v>
      </c>
      <c r="F116" s="4" t="s">
        <v>185</v>
      </c>
      <c r="G116" s="50" t="s">
        <v>184</v>
      </c>
      <c r="H116" s="4">
        <v>1521</v>
      </c>
      <c r="I116" s="85">
        <v>3.5000000000000003E-2</v>
      </c>
      <c r="J116" s="85">
        <v>9.0499999999999997E-2</v>
      </c>
      <c r="K116" s="53">
        <v>0.8</v>
      </c>
      <c r="L116" s="2">
        <v>0.98</v>
      </c>
      <c r="M116" s="2">
        <v>0.98</v>
      </c>
      <c r="N116" s="2">
        <v>0.98</v>
      </c>
      <c r="O116" s="2">
        <v>0.7</v>
      </c>
      <c r="P116" s="2">
        <v>0.96</v>
      </c>
      <c r="Q116" s="2">
        <v>0.98</v>
      </c>
      <c r="R116" s="2">
        <v>0.98</v>
      </c>
      <c r="S116" s="2">
        <v>0.98</v>
      </c>
      <c r="T116" s="2">
        <v>0.7</v>
      </c>
      <c r="U116" s="4">
        <v>0.96</v>
      </c>
      <c r="V116" s="4">
        <v>0.96</v>
      </c>
      <c r="W116" s="4">
        <v>0.96</v>
      </c>
      <c r="X116" s="4">
        <v>0.9</v>
      </c>
    </row>
    <row r="117" spans="1:24" x14ac:dyDescent="0.3">
      <c r="A117" s="21">
        <v>113</v>
      </c>
      <c r="B117" s="4" t="s">
        <v>186</v>
      </c>
      <c r="C117" s="4" t="s">
        <v>23</v>
      </c>
      <c r="D117" s="4">
        <v>3</v>
      </c>
      <c r="E117" s="4">
        <v>12</v>
      </c>
      <c r="F117" s="4" t="s">
        <v>186</v>
      </c>
      <c r="G117" s="50" t="s">
        <v>187</v>
      </c>
      <c r="H117" s="4">
        <v>1520</v>
      </c>
      <c r="I117" s="85">
        <v>3.5000000000000003E-2</v>
      </c>
      <c r="J117" s="85">
        <v>9.0499999999999997E-2</v>
      </c>
      <c r="K117" s="53">
        <v>0.8</v>
      </c>
      <c r="L117" s="2">
        <v>0.98</v>
      </c>
      <c r="M117" s="2">
        <v>0.98</v>
      </c>
      <c r="N117" s="2">
        <v>0.98</v>
      </c>
      <c r="O117" s="2">
        <v>0.7</v>
      </c>
      <c r="P117" s="2">
        <v>0.96</v>
      </c>
      <c r="Q117" s="2">
        <v>0.98</v>
      </c>
      <c r="R117" s="2">
        <v>0.98</v>
      </c>
      <c r="S117" s="2">
        <v>0.98</v>
      </c>
      <c r="T117" s="2">
        <v>0.7</v>
      </c>
      <c r="U117" s="4">
        <v>0.96</v>
      </c>
      <c r="V117" s="4">
        <v>0.96</v>
      </c>
      <c r="W117" s="4">
        <v>0.96</v>
      </c>
      <c r="X117" s="4">
        <v>0.9</v>
      </c>
    </row>
    <row r="118" spans="1:24" x14ac:dyDescent="0.3">
      <c r="A118" s="21">
        <v>114</v>
      </c>
      <c r="B118" s="4" t="s">
        <v>188</v>
      </c>
      <c r="C118" s="4" t="s">
        <v>23</v>
      </c>
      <c r="D118" s="4">
        <v>3</v>
      </c>
      <c r="E118" s="4">
        <v>10</v>
      </c>
      <c r="F118" s="4" t="s">
        <v>189</v>
      </c>
      <c r="G118" s="50" t="s">
        <v>190</v>
      </c>
      <c r="H118" s="4">
        <v>1514</v>
      </c>
      <c r="I118" s="53">
        <v>5.5E-2</v>
      </c>
      <c r="J118" s="53">
        <v>0.1055</v>
      </c>
      <c r="K118" s="53">
        <v>0.8</v>
      </c>
      <c r="L118" s="2">
        <v>0.98</v>
      </c>
      <c r="M118" s="2">
        <v>0.98</v>
      </c>
      <c r="N118" s="2">
        <v>0.98</v>
      </c>
      <c r="O118" s="2">
        <v>0.7</v>
      </c>
      <c r="P118" s="2">
        <v>0.96</v>
      </c>
      <c r="Q118" s="2">
        <v>0.98</v>
      </c>
      <c r="R118" s="2">
        <v>0.98</v>
      </c>
      <c r="S118" s="2">
        <v>0.98</v>
      </c>
      <c r="T118" s="2">
        <v>0.7</v>
      </c>
      <c r="U118" s="4">
        <v>0.96</v>
      </c>
      <c r="V118" s="4">
        <v>0.96</v>
      </c>
      <c r="W118" s="4">
        <v>0.96</v>
      </c>
      <c r="X118" s="4">
        <v>0.9</v>
      </c>
    </row>
    <row r="119" spans="1:24" x14ac:dyDescent="0.3">
      <c r="A119" s="21">
        <v>115</v>
      </c>
      <c r="B119" s="4" t="s">
        <v>188</v>
      </c>
      <c r="C119" s="4" t="s">
        <v>26</v>
      </c>
      <c r="D119" s="4">
        <v>10.01</v>
      </c>
      <c r="E119" s="4">
        <v>25.4</v>
      </c>
      <c r="F119" s="4" t="s">
        <v>191</v>
      </c>
      <c r="G119" s="50" t="s">
        <v>190</v>
      </c>
      <c r="H119" s="4">
        <v>1514</v>
      </c>
      <c r="I119" s="53">
        <v>5.5457142857142899E-2</v>
      </c>
      <c r="J119" s="53">
        <v>0.100057142857143</v>
      </c>
      <c r="K119" s="53">
        <v>0.8</v>
      </c>
      <c r="L119" s="2">
        <v>0.98</v>
      </c>
      <c r="M119" s="2">
        <v>0.98</v>
      </c>
      <c r="N119" s="2">
        <v>0.98</v>
      </c>
      <c r="O119" s="2">
        <v>0.7</v>
      </c>
      <c r="P119" s="2">
        <v>0.96</v>
      </c>
      <c r="Q119" s="2">
        <v>0.98</v>
      </c>
      <c r="R119" s="2">
        <v>0.98</v>
      </c>
      <c r="S119" s="2">
        <v>0.98</v>
      </c>
      <c r="T119" s="2">
        <v>0.7</v>
      </c>
      <c r="U119" s="4">
        <v>0.96</v>
      </c>
      <c r="V119" s="4">
        <v>0.96</v>
      </c>
      <c r="W119" s="4">
        <v>0.96</v>
      </c>
      <c r="X119" s="4">
        <v>0.9</v>
      </c>
    </row>
    <row r="120" spans="1:24" x14ac:dyDescent="0.3">
      <c r="A120" s="21">
        <v>116</v>
      </c>
      <c r="B120" s="4" t="s">
        <v>192</v>
      </c>
      <c r="C120" s="4" t="s">
        <v>26</v>
      </c>
      <c r="D120" s="4">
        <v>2</v>
      </c>
      <c r="E120" s="4">
        <v>9.99</v>
      </c>
      <c r="F120" s="4" t="s">
        <v>193</v>
      </c>
      <c r="G120" s="50" t="s">
        <v>194</v>
      </c>
      <c r="H120" s="4">
        <v>1517</v>
      </c>
      <c r="I120" s="53">
        <v>7.2219780219780205E-2</v>
      </c>
      <c r="J120" s="53">
        <v>0.11582417582417601</v>
      </c>
      <c r="K120" s="53">
        <v>0.8</v>
      </c>
      <c r="L120" s="2">
        <v>0.98</v>
      </c>
      <c r="M120" s="2">
        <v>0.98</v>
      </c>
      <c r="N120" s="2">
        <v>0.98</v>
      </c>
      <c r="O120" s="2">
        <v>0.7</v>
      </c>
      <c r="P120" s="2">
        <v>0.96</v>
      </c>
      <c r="Q120" s="2">
        <v>0.98</v>
      </c>
      <c r="R120" s="2">
        <v>0.98</v>
      </c>
      <c r="S120" s="2">
        <v>0.98</v>
      </c>
      <c r="T120" s="2">
        <v>0.7</v>
      </c>
      <c r="U120" s="4">
        <v>0.96</v>
      </c>
      <c r="V120" s="4">
        <v>0.96</v>
      </c>
      <c r="W120" s="4">
        <v>0.96</v>
      </c>
      <c r="X120" s="4">
        <v>0.9</v>
      </c>
    </row>
    <row r="121" spans="1:24" x14ac:dyDescent="0.3">
      <c r="A121" s="21">
        <v>117</v>
      </c>
      <c r="B121" s="4" t="s">
        <v>192</v>
      </c>
      <c r="C121" s="4" t="s">
        <v>23</v>
      </c>
      <c r="D121" s="4">
        <v>10</v>
      </c>
      <c r="E121" s="4">
        <v>15.99</v>
      </c>
      <c r="F121" s="4" t="s">
        <v>195</v>
      </c>
      <c r="G121" s="50" t="s">
        <v>194</v>
      </c>
      <c r="H121" s="4">
        <v>1516</v>
      </c>
      <c r="I121" s="53">
        <v>6.8746268656716403E-2</v>
      </c>
      <c r="J121" s="53">
        <v>0.117044776119403</v>
      </c>
      <c r="K121" s="53">
        <v>0.8</v>
      </c>
      <c r="L121" s="2">
        <v>0.98</v>
      </c>
      <c r="M121" s="2">
        <v>0.98</v>
      </c>
      <c r="N121" s="2">
        <v>0.98</v>
      </c>
      <c r="O121" s="2">
        <v>0.7</v>
      </c>
      <c r="P121" s="2">
        <v>0.96</v>
      </c>
      <c r="Q121" s="2">
        <v>0.98</v>
      </c>
      <c r="R121" s="2">
        <v>0.98</v>
      </c>
      <c r="S121" s="2">
        <v>0.98</v>
      </c>
      <c r="T121" s="2">
        <v>0.7</v>
      </c>
      <c r="U121" s="4">
        <v>0.96</v>
      </c>
      <c r="V121" s="4">
        <v>0.96</v>
      </c>
      <c r="W121" s="4">
        <v>0.96</v>
      </c>
      <c r="X121" s="4">
        <v>0.9</v>
      </c>
    </row>
    <row r="122" spans="1:24" x14ac:dyDescent="0.3">
      <c r="A122" s="21">
        <v>118</v>
      </c>
      <c r="B122" s="4" t="s">
        <v>192</v>
      </c>
      <c r="C122" s="4" t="s">
        <v>90</v>
      </c>
      <c r="D122" s="4">
        <v>16</v>
      </c>
      <c r="E122" s="4">
        <v>28</v>
      </c>
      <c r="F122" s="4" t="s">
        <v>196</v>
      </c>
      <c r="G122" s="50" t="s">
        <v>194</v>
      </c>
      <c r="H122" s="4">
        <v>1515</v>
      </c>
      <c r="I122" s="53">
        <v>7.6913043478260903E-2</v>
      </c>
      <c r="J122" s="53">
        <v>0.12882608695652201</v>
      </c>
      <c r="K122" s="53">
        <v>0.8</v>
      </c>
      <c r="L122" s="2">
        <v>0.98</v>
      </c>
      <c r="M122" s="2">
        <v>0.98</v>
      </c>
      <c r="N122" s="2">
        <v>0.98</v>
      </c>
      <c r="O122" s="2">
        <v>0.7</v>
      </c>
      <c r="P122" s="2">
        <v>0.96</v>
      </c>
      <c r="Q122" s="2">
        <v>0.98</v>
      </c>
      <c r="R122" s="2">
        <v>0.98</v>
      </c>
      <c r="S122" s="2">
        <v>0.98</v>
      </c>
      <c r="T122" s="2">
        <v>0.7</v>
      </c>
      <c r="U122" s="4">
        <v>0.96</v>
      </c>
      <c r="V122" s="4">
        <v>0.96</v>
      </c>
      <c r="W122" s="4">
        <v>0.96</v>
      </c>
      <c r="X122" s="4">
        <v>0.9</v>
      </c>
    </row>
    <row r="123" spans="1:24" x14ac:dyDescent="0.3">
      <c r="A123" s="21">
        <v>119</v>
      </c>
      <c r="B123" s="4" t="s">
        <v>197</v>
      </c>
      <c r="C123" s="4" t="s">
        <v>26</v>
      </c>
      <c r="D123" s="4">
        <v>2</v>
      </c>
      <c r="E123" s="4">
        <v>9.99</v>
      </c>
      <c r="F123" s="4" t="s">
        <v>198</v>
      </c>
      <c r="G123" s="50" t="s">
        <v>199</v>
      </c>
      <c r="H123" s="4">
        <v>1517</v>
      </c>
      <c r="I123" s="53">
        <v>6.93333333333334E-2</v>
      </c>
      <c r="J123" s="53">
        <v>0.10666666666666701</v>
      </c>
      <c r="K123" s="87">
        <v>0</v>
      </c>
      <c r="L123" s="2">
        <v>0.98</v>
      </c>
      <c r="M123" s="2">
        <v>0.98</v>
      </c>
      <c r="N123" s="2">
        <v>0.98</v>
      </c>
      <c r="O123" s="2">
        <v>0.7</v>
      </c>
      <c r="P123" s="2">
        <v>0.96</v>
      </c>
      <c r="Q123" s="2">
        <v>0.98</v>
      </c>
      <c r="R123" s="2">
        <v>0.98</v>
      </c>
      <c r="S123" s="2">
        <v>0.98</v>
      </c>
      <c r="T123" s="2">
        <v>0.7</v>
      </c>
      <c r="U123" s="4">
        <v>0.96</v>
      </c>
      <c r="V123" s="4">
        <v>0.96</v>
      </c>
      <c r="W123" s="4">
        <v>0.96</v>
      </c>
      <c r="X123" s="4">
        <v>0.9</v>
      </c>
    </row>
    <row r="124" spans="1:24" x14ac:dyDescent="0.3">
      <c r="A124" s="21">
        <v>120</v>
      </c>
      <c r="B124" s="4" t="s">
        <v>197</v>
      </c>
      <c r="C124" s="4" t="s">
        <v>23</v>
      </c>
      <c r="D124" s="4">
        <v>10</v>
      </c>
      <c r="E124" s="4">
        <v>15.99</v>
      </c>
      <c r="F124" s="4" t="s">
        <v>200</v>
      </c>
      <c r="G124" s="50" t="s">
        <v>199</v>
      </c>
      <c r="H124" s="4">
        <v>1516</v>
      </c>
      <c r="I124" s="85">
        <v>6.93333333333334E-2</v>
      </c>
      <c r="J124" s="85">
        <v>0.10666666666666701</v>
      </c>
      <c r="K124" s="87">
        <v>0</v>
      </c>
      <c r="L124" s="2">
        <v>0.98</v>
      </c>
      <c r="M124" s="2">
        <v>0.98</v>
      </c>
      <c r="N124" s="2">
        <v>0.98</v>
      </c>
      <c r="O124" s="2">
        <v>0.7</v>
      </c>
      <c r="P124" s="2">
        <v>0.96</v>
      </c>
      <c r="Q124" s="2">
        <v>0.98</v>
      </c>
      <c r="R124" s="2">
        <v>0.98</v>
      </c>
      <c r="S124" s="2">
        <v>0.98</v>
      </c>
      <c r="T124" s="2">
        <v>0.7</v>
      </c>
      <c r="U124" s="4">
        <v>0.96</v>
      </c>
      <c r="V124" s="4">
        <v>0.96</v>
      </c>
      <c r="W124" s="4">
        <v>0.96</v>
      </c>
      <c r="X124" s="4">
        <v>0.9</v>
      </c>
    </row>
    <row r="125" spans="1:24" x14ac:dyDescent="0.3">
      <c r="A125" s="21">
        <v>121</v>
      </c>
      <c r="B125" s="4" t="s">
        <v>197</v>
      </c>
      <c r="C125" s="4" t="s">
        <v>90</v>
      </c>
      <c r="D125" s="4">
        <v>16</v>
      </c>
      <c r="E125" s="4">
        <v>28</v>
      </c>
      <c r="F125" s="4" t="s">
        <v>201</v>
      </c>
      <c r="G125" s="50" t="s">
        <v>199</v>
      </c>
      <c r="H125" s="4">
        <v>1515</v>
      </c>
      <c r="I125" s="85">
        <v>6.93333333333334E-2</v>
      </c>
      <c r="J125" s="85">
        <v>0.10666666666666701</v>
      </c>
      <c r="K125" s="87">
        <v>0</v>
      </c>
      <c r="L125" s="2">
        <v>0.98</v>
      </c>
      <c r="M125" s="2">
        <v>0.98</v>
      </c>
      <c r="N125" s="2">
        <v>0.98</v>
      </c>
      <c r="O125" s="2">
        <v>0.7</v>
      </c>
      <c r="P125" s="2">
        <v>0.96</v>
      </c>
      <c r="Q125" s="2">
        <v>0.98</v>
      </c>
      <c r="R125" s="2">
        <v>0.98</v>
      </c>
      <c r="S125" s="2">
        <v>0.98</v>
      </c>
      <c r="T125" s="2">
        <v>0.7</v>
      </c>
      <c r="U125" s="4">
        <v>0.96</v>
      </c>
      <c r="V125" s="4">
        <v>0.96</v>
      </c>
      <c r="W125" s="4">
        <v>0.96</v>
      </c>
      <c r="X125" s="4">
        <v>0.9</v>
      </c>
    </row>
    <row r="126" spans="1:24" x14ac:dyDescent="0.3">
      <c r="A126" s="21">
        <v>122</v>
      </c>
      <c r="B126" s="4" t="s">
        <v>202</v>
      </c>
      <c r="C126" s="4" t="s">
        <v>23</v>
      </c>
      <c r="D126" s="4">
        <v>2</v>
      </c>
      <c r="E126" s="4">
        <v>9.99</v>
      </c>
      <c r="F126" s="4" t="s">
        <v>203</v>
      </c>
      <c r="G126" s="50" t="s">
        <v>204</v>
      </c>
      <c r="H126" s="4">
        <v>1515</v>
      </c>
      <c r="I126" s="85">
        <v>6.93333333333334E-2</v>
      </c>
      <c r="J126" s="85">
        <v>0.10666666666666701</v>
      </c>
      <c r="K126" s="87">
        <v>0.8</v>
      </c>
      <c r="L126" s="2">
        <v>0.98</v>
      </c>
      <c r="M126" s="2">
        <v>0.98</v>
      </c>
      <c r="N126" s="2">
        <v>0.98</v>
      </c>
      <c r="O126" s="2">
        <v>0.7</v>
      </c>
      <c r="P126" s="2">
        <v>0.96</v>
      </c>
      <c r="Q126" s="2">
        <v>0.98</v>
      </c>
      <c r="R126" s="2">
        <v>0.98</v>
      </c>
      <c r="S126" s="2">
        <v>0.98</v>
      </c>
      <c r="T126" s="2">
        <v>0.7</v>
      </c>
      <c r="U126" s="4">
        <v>0.96</v>
      </c>
      <c r="V126" s="4">
        <v>0.96</v>
      </c>
      <c r="W126" s="4">
        <v>0.96</v>
      </c>
      <c r="X126" s="4">
        <v>0.9</v>
      </c>
    </row>
    <row r="127" spans="1:24" x14ac:dyDescent="0.3">
      <c r="A127" s="21">
        <v>123</v>
      </c>
      <c r="B127" s="4" t="s">
        <v>202</v>
      </c>
      <c r="C127" s="4" t="s">
        <v>26</v>
      </c>
      <c r="D127" s="4">
        <v>10</v>
      </c>
      <c r="E127" s="4">
        <v>15.99</v>
      </c>
      <c r="F127" s="4" t="s">
        <v>205</v>
      </c>
      <c r="G127" s="50" t="s">
        <v>204</v>
      </c>
      <c r="H127" s="4">
        <v>1515</v>
      </c>
      <c r="I127" s="53">
        <v>4.2000000000000003E-2</v>
      </c>
      <c r="J127" s="53">
        <v>0.107</v>
      </c>
      <c r="K127" s="87">
        <v>0.8</v>
      </c>
      <c r="L127" s="2">
        <v>0.98</v>
      </c>
      <c r="M127" s="2">
        <v>0.98</v>
      </c>
      <c r="N127" s="2">
        <v>0.98</v>
      </c>
      <c r="O127" s="2">
        <v>0.7</v>
      </c>
      <c r="P127" s="2">
        <v>0.96</v>
      </c>
      <c r="Q127" s="2">
        <v>0.98</v>
      </c>
      <c r="R127" s="2">
        <v>0.98</v>
      </c>
      <c r="S127" s="2">
        <v>0.98</v>
      </c>
      <c r="T127" s="2">
        <v>0.7</v>
      </c>
      <c r="U127" s="4">
        <v>0.96</v>
      </c>
      <c r="V127" s="4">
        <v>0.96</v>
      </c>
      <c r="W127" s="4">
        <v>0.96</v>
      </c>
      <c r="X127" s="4">
        <v>0.9</v>
      </c>
    </row>
    <row r="128" spans="1:24" x14ac:dyDescent="0.3">
      <c r="A128" s="21">
        <v>124</v>
      </c>
      <c r="B128" s="4" t="s">
        <v>202</v>
      </c>
      <c r="C128" s="4" t="s">
        <v>90</v>
      </c>
      <c r="D128" s="4">
        <v>16</v>
      </c>
      <c r="E128" s="4">
        <v>28</v>
      </c>
      <c r="F128" s="4" t="s">
        <v>206</v>
      </c>
      <c r="G128" s="50" t="s">
        <v>204</v>
      </c>
      <c r="H128" s="4">
        <v>1515</v>
      </c>
      <c r="I128" s="53">
        <v>4.2000000000000003E-2</v>
      </c>
      <c r="J128" s="53">
        <v>0.107</v>
      </c>
      <c r="K128" s="87">
        <v>0.8</v>
      </c>
      <c r="L128" s="2">
        <v>0.98</v>
      </c>
      <c r="M128" s="2">
        <v>0.98</v>
      </c>
      <c r="N128" s="2">
        <v>0.98</v>
      </c>
      <c r="O128" s="2">
        <v>0.7</v>
      </c>
      <c r="P128" s="2">
        <v>0.96</v>
      </c>
      <c r="Q128" s="2">
        <v>0.98</v>
      </c>
      <c r="R128" s="2">
        <v>0.98</v>
      </c>
      <c r="S128" s="2">
        <v>0.98</v>
      </c>
      <c r="T128" s="2">
        <v>0.7</v>
      </c>
      <c r="U128" s="4">
        <v>0.96</v>
      </c>
      <c r="V128" s="4">
        <v>0.96</v>
      </c>
      <c r="W128" s="4">
        <v>0.96</v>
      </c>
      <c r="X128" s="4">
        <v>0.9</v>
      </c>
    </row>
    <row r="129" spans="1:24" x14ac:dyDescent="0.3">
      <c r="A129" s="21">
        <v>125</v>
      </c>
      <c r="B129" s="71" t="s">
        <v>207</v>
      </c>
      <c r="C129" s="71" t="s">
        <v>23</v>
      </c>
      <c r="D129" s="71">
        <v>3</v>
      </c>
      <c r="E129" s="71">
        <v>9.99</v>
      </c>
      <c r="F129" s="71" t="s">
        <v>208</v>
      </c>
      <c r="G129" s="72" t="s">
        <v>209</v>
      </c>
      <c r="H129" s="71">
        <v>1516</v>
      </c>
      <c r="I129" s="53">
        <v>7.0250000000000007E-2</v>
      </c>
      <c r="J129" s="53">
        <v>9.2749999999999999E-2</v>
      </c>
      <c r="K129" s="53">
        <v>0.8</v>
      </c>
      <c r="L129" s="2">
        <v>0.98</v>
      </c>
      <c r="M129" s="2">
        <v>0.98</v>
      </c>
      <c r="N129" s="2">
        <v>0.98</v>
      </c>
      <c r="O129" s="2">
        <v>0.7</v>
      </c>
      <c r="P129" s="2">
        <v>0.96</v>
      </c>
      <c r="Q129" s="2">
        <v>0.98</v>
      </c>
      <c r="R129" s="2">
        <v>0.98</v>
      </c>
      <c r="S129" s="2">
        <v>0.98</v>
      </c>
      <c r="T129" s="2">
        <v>0.7</v>
      </c>
      <c r="U129" s="4">
        <v>0.96</v>
      </c>
      <c r="V129" s="4">
        <v>0.96</v>
      </c>
      <c r="W129" s="4">
        <v>0.96</v>
      </c>
      <c r="X129" s="4">
        <v>0.9</v>
      </c>
    </row>
    <row r="130" spans="1:24" x14ac:dyDescent="0.3">
      <c r="A130" s="21">
        <v>126</v>
      </c>
      <c r="B130" s="4" t="s">
        <v>207</v>
      </c>
      <c r="C130" s="4" t="s">
        <v>26</v>
      </c>
      <c r="D130" s="4">
        <v>10</v>
      </c>
      <c r="E130" s="4">
        <v>20</v>
      </c>
      <c r="F130" s="4" t="s">
        <v>210</v>
      </c>
      <c r="G130" s="50" t="s">
        <v>209</v>
      </c>
      <c r="H130" s="4">
        <v>1515</v>
      </c>
      <c r="I130" s="53">
        <v>7.1619047619047596E-2</v>
      </c>
      <c r="J130" s="53">
        <v>0.104571428571429</v>
      </c>
      <c r="K130" s="53">
        <v>0.8</v>
      </c>
      <c r="L130" s="2">
        <v>0.98</v>
      </c>
      <c r="M130" s="2">
        <v>0.98</v>
      </c>
      <c r="N130" s="2">
        <v>0.98</v>
      </c>
      <c r="O130" s="2">
        <v>0.7</v>
      </c>
      <c r="P130" s="2">
        <v>0.96</v>
      </c>
      <c r="Q130" s="2">
        <v>0.98</v>
      </c>
      <c r="R130" s="2">
        <v>0.98</v>
      </c>
      <c r="S130" s="2">
        <v>0.98</v>
      </c>
      <c r="T130" s="2">
        <v>0.7</v>
      </c>
      <c r="U130" s="4">
        <v>0.96</v>
      </c>
      <c r="V130" s="4">
        <v>0.96</v>
      </c>
      <c r="W130" s="4">
        <v>0.96</v>
      </c>
      <c r="X130" s="4">
        <v>0.9</v>
      </c>
    </row>
    <row r="131" spans="1:24" x14ac:dyDescent="0.3">
      <c r="A131" s="21">
        <v>127</v>
      </c>
      <c r="B131" s="4" t="s">
        <v>211</v>
      </c>
      <c r="C131" s="4" t="s">
        <v>23</v>
      </c>
      <c r="D131" s="4">
        <v>3</v>
      </c>
      <c r="E131" s="4">
        <v>9.99</v>
      </c>
      <c r="F131" s="4" t="s">
        <v>212</v>
      </c>
      <c r="G131" s="50" t="s">
        <v>213</v>
      </c>
      <c r="H131" s="4">
        <v>1516</v>
      </c>
      <c r="I131" s="53">
        <v>5.1999999999999998E-2</v>
      </c>
      <c r="J131" s="53">
        <v>0.11849999999999999</v>
      </c>
      <c r="K131" s="53">
        <v>0</v>
      </c>
      <c r="L131" s="2">
        <v>0.98</v>
      </c>
      <c r="M131" s="2">
        <v>0.98</v>
      </c>
      <c r="N131" s="2">
        <v>0.98</v>
      </c>
      <c r="O131" s="2">
        <v>0.7</v>
      </c>
      <c r="P131" s="2">
        <v>0.96</v>
      </c>
      <c r="Q131" s="2">
        <v>0.98</v>
      </c>
      <c r="R131" s="2">
        <v>0.98</v>
      </c>
      <c r="S131" s="2">
        <v>0.98</v>
      </c>
      <c r="T131" s="2">
        <v>0.7</v>
      </c>
      <c r="U131" s="4">
        <v>0.96</v>
      </c>
      <c r="V131" s="4">
        <v>0.96</v>
      </c>
      <c r="W131" s="4">
        <v>0.96</v>
      </c>
      <c r="X131" s="4">
        <v>0.9</v>
      </c>
    </row>
    <row r="132" spans="1:24" x14ac:dyDescent="0.3">
      <c r="A132" s="21">
        <v>128</v>
      </c>
      <c r="B132" s="4" t="s">
        <v>211</v>
      </c>
      <c r="C132" s="4" t="s">
        <v>26</v>
      </c>
      <c r="D132" s="4">
        <v>10</v>
      </c>
      <c r="E132" s="4">
        <v>20</v>
      </c>
      <c r="F132" s="4" t="s">
        <v>214</v>
      </c>
      <c r="G132" s="50" t="s">
        <v>213</v>
      </c>
      <c r="H132" s="4">
        <v>1515</v>
      </c>
      <c r="I132" s="53">
        <v>5.9499999999999997E-2</v>
      </c>
      <c r="J132" s="53">
        <v>0.14299999999999999</v>
      </c>
      <c r="K132" s="53">
        <v>0</v>
      </c>
      <c r="L132" s="2">
        <v>0.98</v>
      </c>
      <c r="M132" s="2">
        <v>0.98</v>
      </c>
      <c r="N132" s="2">
        <v>0.98</v>
      </c>
      <c r="O132" s="2">
        <v>0.7</v>
      </c>
      <c r="P132" s="2">
        <v>0.96</v>
      </c>
      <c r="Q132" s="2">
        <v>0.98</v>
      </c>
      <c r="R132" s="2">
        <v>0.98</v>
      </c>
      <c r="S132" s="2">
        <v>0.98</v>
      </c>
      <c r="T132" s="2">
        <v>0.7</v>
      </c>
      <c r="U132" s="4">
        <v>0.96</v>
      </c>
      <c r="V132" s="4">
        <v>0.96</v>
      </c>
      <c r="W132" s="4">
        <v>0.96</v>
      </c>
      <c r="X132" s="4">
        <v>0.9</v>
      </c>
    </row>
    <row r="133" spans="1:24" x14ac:dyDescent="0.3">
      <c r="A133" s="21">
        <v>129</v>
      </c>
      <c r="B133" s="4" t="s">
        <v>215</v>
      </c>
      <c r="C133" s="4" t="s">
        <v>23</v>
      </c>
      <c r="D133" s="4">
        <v>3</v>
      </c>
      <c r="E133" s="4">
        <v>10</v>
      </c>
      <c r="F133" s="4" t="s">
        <v>215</v>
      </c>
      <c r="G133" s="4" t="s">
        <v>216</v>
      </c>
      <c r="H133" s="4">
        <v>1504</v>
      </c>
      <c r="I133" s="53">
        <v>0.13500000000000001</v>
      </c>
      <c r="J133" s="53">
        <v>0.159</v>
      </c>
      <c r="K133" s="53">
        <v>0.8</v>
      </c>
      <c r="L133" s="2">
        <v>0.98</v>
      </c>
      <c r="M133" s="2">
        <v>0.98</v>
      </c>
      <c r="N133" s="2">
        <v>0.98</v>
      </c>
      <c r="O133" s="2">
        <v>0.7</v>
      </c>
      <c r="P133" s="2">
        <v>0.96</v>
      </c>
      <c r="Q133" s="2">
        <v>0.98</v>
      </c>
      <c r="R133" s="2">
        <v>0.98</v>
      </c>
      <c r="S133" s="2">
        <v>0.98</v>
      </c>
      <c r="T133" s="2">
        <v>0.7</v>
      </c>
      <c r="U133" s="4">
        <v>0.96</v>
      </c>
      <c r="V133" s="4">
        <v>0.96</v>
      </c>
      <c r="W133" s="4">
        <v>0.96</v>
      </c>
      <c r="X133" s="4">
        <v>0.9</v>
      </c>
    </row>
    <row r="134" spans="1:24" x14ac:dyDescent="0.3">
      <c r="A134" s="21">
        <v>130</v>
      </c>
      <c r="B134" s="4" t="s">
        <v>217</v>
      </c>
      <c r="C134" s="89" t="s">
        <v>23</v>
      </c>
      <c r="D134" s="4">
        <v>3</v>
      </c>
      <c r="E134" s="4">
        <v>12.5</v>
      </c>
      <c r="F134" s="4" t="s">
        <v>218</v>
      </c>
      <c r="G134" s="50" t="s">
        <v>219</v>
      </c>
      <c r="H134" s="4">
        <v>1514</v>
      </c>
      <c r="I134" s="53">
        <v>5.1999999999999998E-2</v>
      </c>
      <c r="J134" s="53">
        <v>0.11849999999999999</v>
      </c>
      <c r="K134" s="87">
        <v>0.8</v>
      </c>
      <c r="L134" s="2">
        <v>0.98</v>
      </c>
      <c r="M134" s="2">
        <v>0.98</v>
      </c>
      <c r="N134" s="2">
        <v>0.98</v>
      </c>
      <c r="O134" s="2">
        <v>0.7</v>
      </c>
      <c r="P134" s="2">
        <v>0.96</v>
      </c>
      <c r="Q134" s="2">
        <v>0.98</v>
      </c>
      <c r="R134" s="2">
        <v>0.98</v>
      </c>
      <c r="S134" s="2">
        <v>0.98</v>
      </c>
      <c r="T134" s="2">
        <v>0.7</v>
      </c>
      <c r="U134" s="4">
        <v>0.96</v>
      </c>
      <c r="V134" s="4">
        <v>0.96</v>
      </c>
      <c r="W134" s="4">
        <v>0.96</v>
      </c>
      <c r="X134" s="4">
        <v>0.9</v>
      </c>
    </row>
    <row r="135" spans="1:24" x14ac:dyDescent="0.3">
      <c r="A135" s="21">
        <v>131</v>
      </c>
      <c r="B135" s="4" t="s">
        <v>220</v>
      </c>
      <c r="C135" s="4" t="s">
        <v>23</v>
      </c>
      <c r="D135" s="4">
        <v>1.5</v>
      </c>
      <c r="E135" s="4">
        <v>12</v>
      </c>
      <c r="F135" s="4" t="s">
        <v>221</v>
      </c>
      <c r="G135" s="50" t="s">
        <v>222</v>
      </c>
      <c r="H135" s="4">
        <v>1520</v>
      </c>
      <c r="I135" s="53">
        <v>7.2042105263157893E-2</v>
      </c>
      <c r="J135" s="53">
        <v>0.123989473684211</v>
      </c>
      <c r="K135" s="53">
        <v>0.8</v>
      </c>
      <c r="L135" s="2">
        <v>0.98</v>
      </c>
      <c r="M135" s="2">
        <v>0.98</v>
      </c>
      <c r="N135" s="2">
        <v>0.98</v>
      </c>
      <c r="O135" s="2">
        <v>0.7</v>
      </c>
      <c r="P135" s="2">
        <v>0.96</v>
      </c>
      <c r="Q135" s="2">
        <v>0.98</v>
      </c>
      <c r="R135" s="2">
        <v>0.98</v>
      </c>
      <c r="S135" s="2">
        <v>0.98</v>
      </c>
      <c r="T135" s="2">
        <v>0.7</v>
      </c>
      <c r="U135" s="4">
        <v>0.96</v>
      </c>
      <c r="V135" s="4">
        <v>0.96</v>
      </c>
      <c r="W135" s="4">
        <v>0.96</v>
      </c>
      <c r="X135" s="4">
        <v>0.9</v>
      </c>
    </row>
    <row r="136" spans="1:24" x14ac:dyDescent="0.3">
      <c r="A136" s="21">
        <v>132</v>
      </c>
      <c r="B136" s="4" t="s">
        <v>220</v>
      </c>
      <c r="C136" s="4" t="s">
        <v>26</v>
      </c>
      <c r="D136" s="4">
        <v>12.01</v>
      </c>
      <c r="E136" s="4">
        <v>25.4</v>
      </c>
      <c r="F136" s="4" t="s">
        <v>223</v>
      </c>
      <c r="G136" s="50" t="s">
        <v>222</v>
      </c>
      <c r="H136" s="4">
        <v>1521</v>
      </c>
      <c r="I136" s="53">
        <v>7.6249999999999998E-2</v>
      </c>
      <c r="J136" s="53">
        <v>0.14803125</v>
      </c>
      <c r="K136" s="53">
        <v>0.8</v>
      </c>
      <c r="L136" s="2">
        <v>0.98</v>
      </c>
      <c r="M136" s="2">
        <v>0.98</v>
      </c>
      <c r="N136" s="2">
        <v>0.98</v>
      </c>
      <c r="O136" s="2">
        <v>0.7</v>
      </c>
      <c r="P136" s="2">
        <v>0.96</v>
      </c>
      <c r="Q136" s="2">
        <v>0.98</v>
      </c>
      <c r="R136" s="2">
        <v>0.98</v>
      </c>
      <c r="S136" s="2">
        <v>0.98</v>
      </c>
      <c r="T136" s="2">
        <v>0.7</v>
      </c>
      <c r="U136" s="4">
        <v>0.96</v>
      </c>
      <c r="V136" s="4">
        <v>0.96</v>
      </c>
      <c r="W136" s="4">
        <v>0.96</v>
      </c>
      <c r="X136" s="4">
        <v>0.9</v>
      </c>
    </row>
    <row r="137" spans="1:24" x14ac:dyDescent="0.3">
      <c r="A137" s="21">
        <v>133</v>
      </c>
      <c r="B137" s="4" t="s">
        <v>224</v>
      </c>
      <c r="C137" s="4" t="s">
        <v>23</v>
      </c>
      <c r="D137" s="4">
        <v>1.5</v>
      </c>
      <c r="E137" s="4">
        <v>12</v>
      </c>
      <c r="F137" s="4" t="s">
        <v>225</v>
      </c>
      <c r="G137" s="50" t="s">
        <v>226</v>
      </c>
      <c r="H137" s="4">
        <v>1521</v>
      </c>
      <c r="I137" s="53">
        <v>9.8000000000000004E-2</v>
      </c>
      <c r="J137" s="53">
        <v>0.13775000000000001</v>
      </c>
      <c r="K137" s="53">
        <v>0</v>
      </c>
      <c r="L137" s="2">
        <v>0.98</v>
      </c>
      <c r="M137" s="2">
        <v>0.98</v>
      </c>
      <c r="N137" s="2">
        <v>0.98</v>
      </c>
      <c r="O137" s="2">
        <v>0.7</v>
      </c>
      <c r="P137" s="2">
        <v>0.96</v>
      </c>
      <c r="Q137" s="2">
        <v>0.98</v>
      </c>
      <c r="R137" s="2">
        <v>0.98</v>
      </c>
      <c r="S137" s="2">
        <v>0.98</v>
      </c>
      <c r="T137" s="2">
        <v>0.7</v>
      </c>
      <c r="U137" s="4">
        <v>0.96</v>
      </c>
      <c r="V137" s="4">
        <v>0.96</v>
      </c>
      <c r="W137" s="4">
        <v>0.96</v>
      </c>
      <c r="X137" s="4">
        <v>0.9</v>
      </c>
    </row>
    <row r="138" spans="1:24" x14ac:dyDescent="0.3">
      <c r="A138" s="21">
        <v>134</v>
      </c>
      <c r="B138" s="4" t="s">
        <v>224</v>
      </c>
      <c r="C138" s="4" t="s">
        <v>26</v>
      </c>
      <c r="D138" s="4">
        <v>12.01</v>
      </c>
      <c r="E138" s="4">
        <v>25.4</v>
      </c>
      <c r="F138" s="4" t="s">
        <v>227</v>
      </c>
      <c r="G138" s="50" t="s">
        <v>226</v>
      </c>
      <c r="H138" s="4">
        <v>1521</v>
      </c>
      <c r="I138" s="85">
        <v>9.8000000000000004E-2</v>
      </c>
      <c r="J138" s="85">
        <v>0.13775000000000001</v>
      </c>
      <c r="K138" s="53">
        <v>0</v>
      </c>
      <c r="L138" s="2">
        <v>0.98</v>
      </c>
      <c r="M138" s="2">
        <v>0.98</v>
      </c>
      <c r="N138" s="2">
        <v>0.98</v>
      </c>
      <c r="O138" s="2">
        <v>0.7</v>
      </c>
      <c r="P138" s="2">
        <v>0.96</v>
      </c>
      <c r="Q138" s="2">
        <v>0.98</v>
      </c>
      <c r="R138" s="2">
        <v>0.98</v>
      </c>
      <c r="S138" s="2">
        <v>0.98</v>
      </c>
      <c r="T138" s="2">
        <v>0.7</v>
      </c>
      <c r="U138" s="4">
        <v>0.96</v>
      </c>
      <c r="V138" s="4">
        <v>0.96</v>
      </c>
      <c r="W138" s="4">
        <v>0.96</v>
      </c>
      <c r="X138" s="4">
        <v>0.9</v>
      </c>
    </row>
    <row r="139" spans="1:24" x14ac:dyDescent="0.3">
      <c r="A139" s="21">
        <v>135</v>
      </c>
      <c r="B139" s="4" t="s">
        <v>228</v>
      </c>
      <c r="C139" s="4" t="s">
        <v>23</v>
      </c>
      <c r="D139" s="4">
        <v>1.5</v>
      </c>
      <c r="E139" s="4">
        <v>12</v>
      </c>
      <c r="F139" s="4" t="s">
        <v>229</v>
      </c>
      <c r="G139" s="50" t="s">
        <v>230</v>
      </c>
      <c r="H139" s="4">
        <v>1520</v>
      </c>
      <c r="I139" s="85">
        <v>9.8000000000000004E-2</v>
      </c>
      <c r="J139" s="85">
        <v>0.13775000000000001</v>
      </c>
      <c r="K139" s="53">
        <v>0.8</v>
      </c>
      <c r="L139" s="2">
        <v>0.98</v>
      </c>
      <c r="M139" s="2">
        <v>0.98</v>
      </c>
      <c r="N139" s="2">
        <v>0.98</v>
      </c>
      <c r="O139" s="2">
        <v>0.7</v>
      </c>
      <c r="P139" s="2">
        <v>0.96</v>
      </c>
      <c r="Q139" s="2">
        <v>0.98</v>
      </c>
      <c r="R139" s="2">
        <v>0.98</v>
      </c>
      <c r="S139" s="2">
        <v>0.98</v>
      </c>
      <c r="T139" s="2">
        <v>0.7</v>
      </c>
      <c r="U139" s="4">
        <v>0.96</v>
      </c>
      <c r="V139" s="4">
        <v>0.96</v>
      </c>
      <c r="W139" s="4">
        <v>0.96</v>
      </c>
      <c r="X139" s="4">
        <v>0.9</v>
      </c>
    </row>
    <row r="140" spans="1:24" x14ac:dyDescent="0.3">
      <c r="A140" s="21">
        <v>136</v>
      </c>
      <c r="B140" s="4" t="s">
        <v>228</v>
      </c>
      <c r="C140" s="4" t="s">
        <v>26</v>
      </c>
      <c r="D140" s="4">
        <v>12.01</v>
      </c>
      <c r="E140" s="4">
        <v>25.4</v>
      </c>
      <c r="F140" s="4" t="s">
        <v>231</v>
      </c>
      <c r="G140" s="50" t="s">
        <v>230</v>
      </c>
      <c r="H140" s="4">
        <v>1520</v>
      </c>
      <c r="I140" s="85">
        <v>9.8000000000000004E-2</v>
      </c>
      <c r="J140" s="85">
        <v>0.13775000000000001</v>
      </c>
      <c r="K140" s="53">
        <v>0.8</v>
      </c>
      <c r="L140" s="2">
        <v>0.98</v>
      </c>
      <c r="M140" s="2">
        <v>0.98</v>
      </c>
      <c r="N140" s="2">
        <v>0.98</v>
      </c>
      <c r="O140" s="2">
        <v>0.7</v>
      </c>
      <c r="P140" s="2">
        <v>0.96</v>
      </c>
      <c r="Q140" s="2">
        <v>0.98</v>
      </c>
      <c r="R140" s="2">
        <v>0.98</v>
      </c>
      <c r="S140" s="2">
        <v>0.98</v>
      </c>
      <c r="T140" s="2">
        <v>0.7</v>
      </c>
      <c r="U140" s="4">
        <v>0.96</v>
      </c>
      <c r="V140" s="4">
        <v>0.96</v>
      </c>
      <c r="W140" s="4">
        <v>0.96</v>
      </c>
      <c r="X140" s="4">
        <v>0.9</v>
      </c>
    </row>
    <row r="141" spans="1:24" x14ac:dyDescent="0.3">
      <c r="A141" s="21">
        <v>137</v>
      </c>
      <c r="B141" s="4" t="s">
        <v>232</v>
      </c>
      <c r="C141" s="4" t="s">
        <v>23</v>
      </c>
      <c r="D141" s="4">
        <v>1.5</v>
      </c>
      <c r="E141" s="4">
        <v>12</v>
      </c>
      <c r="F141" s="4" t="s">
        <v>233</v>
      </c>
      <c r="G141" s="50" t="s">
        <v>234</v>
      </c>
      <c r="H141" s="4">
        <v>1520</v>
      </c>
      <c r="I141" s="85">
        <v>9.8000000000000004E-2</v>
      </c>
      <c r="J141" s="85">
        <v>0.13775000000000001</v>
      </c>
      <c r="K141" s="53">
        <v>0.8</v>
      </c>
      <c r="L141" s="2">
        <v>0.98</v>
      </c>
      <c r="M141" s="2">
        <v>0.98</v>
      </c>
      <c r="N141" s="2">
        <v>0.98</v>
      </c>
      <c r="O141" s="2">
        <v>0.7</v>
      </c>
      <c r="P141" s="2">
        <v>0.96</v>
      </c>
      <c r="Q141" s="2">
        <v>0.98</v>
      </c>
      <c r="R141" s="2">
        <v>0.98</v>
      </c>
      <c r="S141" s="2">
        <v>0.98</v>
      </c>
      <c r="T141" s="2">
        <v>0.7</v>
      </c>
      <c r="U141" s="4">
        <v>0.96</v>
      </c>
      <c r="V141" s="4">
        <v>0.96</v>
      </c>
      <c r="W141" s="4">
        <v>0.96</v>
      </c>
      <c r="X141" s="4">
        <v>0.9</v>
      </c>
    </row>
    <row r="142" spans="1:24" x14ac:dyDescent="0.3">
      <c r="A142" s="21">
        <v>138</v>
      </c>
      <c r="B142" s="4" t="s">
        <v>232</v>
      </c>
      <c r="C142" s="4" t="s">
        <v>26</v>
      </c>
      <c r="D142" s="4">
        <v>12.01</v>
      </c>
      <c r="E142" s="4">
        <v>25.4</v>
      </c>
      <c r="F142" s="4" t="s">
        <v>235</v>
      </c>
      <c r="G142" s="50" t="s">
        <v>234</v>
      </c>
      <c r="H142" s="4">
        <v>1520</v>
      </c>
      <c r="I142" s="85">
        <v>9.8000000000000004E-2</v>
      </c>
      <c r="J142" s="85">
        <v>0.13775000000000001</v>
      </c>
      <c r="K142" s="53">
        <v>0.8</v>
      </c>
      <c r="L142" s="2">
        <v>0.98</v>
      </c>
      <c r="M142" s="2">
        <v>0.98</v>
      </c>
      <c r="N142" s="2">
        <v>0.98</v>
      </c>
      <c r="O142" s="2">
        <v>0.7</v>
      </c>
      <c r="P142" s="2">
        <v>0.96</v>
      </c>
      <c r="Q142" s="2">
        <v>0.98</v>
      </c>
      <c r="R142" s="2">
        <v>0.98</v>
      </c>
      <c r="S142" s="2">
        <v>0.98</v>
      </c>
      <c r="T142" s="2">
        <v>0.7</v>
      </c>
      <c r="U142" s="4">
        <v>0.96</v>
      </c>
      <c r="V142" s="4">
        <v>0.96</v>
      </c>
      <c r="W142" s="4">
        <v>0.96</v>
      </c>
      <c r="X142" s="4">
        <v>0.9</v>
      </c>
    </row>
    <row r="143" spans="1:24" x14ac:dyDescent="0.3">
      <c r="A143" s="21">
        <v>139</v>
      </c>
      <c r="B143" s="4" t="s">
        <v>236</v>
      </c>
      <c r="C143" s="4" t="s">
        <v>23</v>
      </c>
      <c r="D143" s="4">
        <v>1.5</v>
      </c>
      <c r="E143" s="4">
        <v>12</v>
      </c>
      <c r="F143" s="4" t="s">
        <v>237</v>
      </c>
      <c r="G143" s="50" t="s">
        <v>238</v>
      </c>
      <c r="H143" s="4">
        <v>1519</v>
      </c>
      <c r="I143" s="53">
        <v>9.2280000000000001E-2</v>
      </c>
      <c r="J143" s="53">
        <v>0.12296</v>
      </c>
      <c r="K143" s="53">
        <v>0.8</v>
      </c>
      <c r="L143" s="2">
        <v>0.98</v>
      </c>
      <c r="M143" s="2">
        <v>0.98</v>
      </c>
      <c r="N143" s="2">
        <v>0.98</v>
      </c>
      <c r="O143" s="2">
        <v>0.7</v>
      </c>
      <c r="P143" s="2">
        <v>0.96</v>
      </c>
      <c r="Q143" s="2">
        <v>0.98</v>
      </c>
      <c r="R143" s="2">
        <v>0.98</v>
      </c>
      <c r="S143" s="2">
        <v>0.98</v>
      </c>
      <c r="T143" s="2">
        <v>0.7</v>
      </c>
      <c r="U143" s="4">
        <v>0.96</v>
      </c>
      <c r="V143" s="4">
        <v>0.96</v>
      </c>
      <c r="W143" s="4">
        <v>0.96</v>
      </c>
      <c r="X143" s="4">
        <v>0.9</v>
      </c>
    </row>
    <row r="144" spans="1:24" x14ac:dyDescent="0.3">
      <c r="A144" s="21">
        <v>140</v>
      </c>
      <c r="B144" s="4" t="s">
        <v>236</v>
      </c>
      <c r="C144" s="4" t="s">
        <v>26</v>
      </c>
      <c r="D144" s="4">
        <v>12.01</v>
      </c>
      <c r="E144" s="4">
        <v>16</v>
      </c>
      <c r="F144" s="4" t="s">
        <v>239</v>
      </c>
      <c r="G144" s="50" t="s">
        <v>238</v>
      </c>
      <c r="H144" s="4">
        <v>1519</v>
      </c>
      <c r="I144" s="53">
        <v>7.6285714285714304E-2</v>
      </c>
      <c r="J144" s="53">
        <v>0.121</v>
      </c>
      <c r="K144" s="53">
        <v>0.8</v>
      </c>
      <c r="L144" s="2">
        <v>0.98</v>
      </c>
      <c r="M144" s="2">
        <v>0.98</v>
      </c>
      <c r="N144" s="2">
        <v>0.98</v>
      </c>
      <c r="O144" s="2">
        <v>0.7</v>
      </c>
      <c r="P144" s="2">
        <v>0.96</v>
      </c>
      <c r="Q144" s="2">
        <v>0.98</v>
      </c>
      <c r="R144" s="2">
        <v>0.98</v>
      </c>
      <c r="S144" s="2">
        <v>0.98</v>
      </c>
      <c r="T144" s="2">
        <v>0.7</v>
      </c>
      <c r="U144" s="4">
        <v>0.96</v>
      </c>
      <c r="V144" s="4">
        <v>0.96</v>
      </c>
      <c r="W144" s="4">
        <v>0.96</v>
      </c>
      <c r="X144" s="4">
        <v>0.9</v>
      </c>
    </row>
    <row r="145" spans="1:24" x14ac:dyDescent="0.3">
      <c r="A145" s="21">
        <v>141</v>
      </c>
      <c r="B145" s="4" t="s">
        <v>236</v>
      </c>
      <c r="C145" s="4" t="s">
        <v>90</v>
      </c>
      <c r="D145" s="4">
        <v>16.010000000000002</v>
      </c>
      <c r="E145" s="4">
        <v>25.4</v>
      </c>
      <c r="F145" s="4" t="s">
        <v>240</v>
      </c>
      <c r="G145" s="50" t="s">
        <v>238</v>
      </c>
      <c r="H145" s="4">
        <v>1519</v>
      </c>
      <c r="I145" s="53">
        <v>6.63333333333333E-2</v>
      </c>
      <c r="J145" s="53">
        <v>0.111666666666667</v>
      </c>
      <c r="K145" s="87">
        <v>0.8</v>
      </c>
      <c r="L145" s="2">
        <v>0.98</v>
      </c>
      <c r="M145" s="2">
        <v>0.98</v>
      </c>
      <c r="N145" s="2">
        <v>0.98</v>
      </c>
      <c r="O145" s="2">
        <v>0.7</v>
      </c>
      <c r="P145" s="2">
        <v>0.96</v>
      </c>
      <c r="Q145" s="2">
        <v>0.98</v>
      </c>
      <c r="R145" s="2">
        <v>0.98</v>
      </c>
      <c r="S145" s="2">
        <v>0.98</v>
      </c>
      <c r="T145" s="2">
        <v>0.7</v>
      </c>
      <c r="U145" s="4">
        <v>0.96</v>
      </c>
      <c r="V145" s="4">
        <v>0.96</v>
      </c>
      <c r="W145" s="4">
        <v>0.96</v>
      </c>
      <c r="X145" s="4">
        <v>0.9</v>
      </c>
    </row>
    <row r="146" spans="1:24" x14ac:dyDescent="0.3">
      <c r="A146" s="21">
        <v>142</v>
      </c>
      <c r="B146" s="4" t="s">
        <v>241</v>
      </c>
      <c r="C146" s="4" t="s">
        <v>23</v>
      </c>
      <c r="D146" s="4">
        <v>1.5</v>
      </c>
      <c r="E146" s="4">
        <v>12</v>
      </c>
      <c r="F146" s="4" t="s">
        <v>242</v>
      </c>
      <c r="G146" s="50" t="s">
        <v>243</v>
      </c>
      <c r="H146" s="4">
        <v>1519</v>
      </c>
      <c r="I146" s="53">
        <v>7.2666666666666699E-2</v>
      </c>
      <c r="J146" s="53">
        <v>0.118333333333333</v>
      </c>
      <c r="K146" s="53">
        <v>0</v>
      </c>
      <c r="L146" s="2">
        <v>0.98</v>
      </c>
      <c r="M146" s="2">
        <v>0.98</v>
      </c>
      <c r="N146" s="2">
        <v>0.98</v>
      </c>
      <c r="O146" s="2">
        <v>0.7</v>
      </c>
      <c r="P146" s="2">
        <v>0.96</v>
      </c>
      <c r="Q146" s="2">
        <v>0.98</v>
      </c>
      <c r="R146" s="2">
        <v>0.98</v>
      </c>
      <c r="S146" s="2">
        <v>0.98</v>
      </c>
      <c r="T146" s="2">
        <v>0.7</v>
      </c>
      <c r="U146" s="4">
        <v>0.96</v>
      </c>
      <c r="V146" s="4">
        <v>0.96</v>
      </c>
      <c r="W146" s="4">
        <v>0.96</v>
      </c>
      <c r="X146" s="4">
        <v>0.9</v>
      </c>
    </row>
    <row r="147" spans="1:24" x14ac:dyDescent="0.3">
      <c r="A147" s="21">
        <v>143</v>
      </c>
      <c r="B147" s="4" t="s">
        <v>241</v>
      </c>
      <c r="C147" s="4" t="s">
        <v>26</v>
      </c>
      <c r="D147" s="4">
        <v>12.01</v>
      </c>
      <c r="E147" s="4">
        <v>25.4</v>
      </c>
      <c r="F147" s="4" t="s">
        <v>244</v>
      </c>
      <c r="G147" s="50" t="s">
        <v>243</v>
      </c>
      <c r="H147" s="4">
        <v>1519</v>
      </c>
      <c r="I147" s="53">
        <v>7.2666666666666699E-2</v>
      </c>
      <c r="J147" s="53">
        <v>0.118333333333333</v>
      </c>
      <c r="K147" s="53">
        <v>0</v>
      </c>
      <c r="L147" s="2">
        <v>0.98</v>
      </c>
      <c r="M147" s="2">
        <v>0.98</v>
      </c>
      <c r="N147" s="2">
        <v>0.98</v>
      </c>
      <c r="O147" s="2">
        <v>0.7</v>
      </c>
      <c r="P147" s="2">
        <v>0.96</v>
      </c>
      <c r="Q147" s="2">
        <v>0.98</v>
      </c>
      <c r="R147" s="2">
        <v>0.98</v>
      </c>
      <c r="S147" s="2">
        <v>0.98</v>
      </c>
      <c r="T147" s="2">
        <v>0.7</v>
      </c>
      <c r="U147" s="4">
        <v>0.96</v>
      </c>
      <c r="V147" s="4">
        <v>0.96</v>
      </c>
      <c r="W147" s="4">
        <v>0.96</v>
      </c>
      <c r="X147" s="4">
        <v>0.9</v>
      </c>
    </row>
    <row r="148" spans="1:24" x14ac:dyDescent="0.3">
      <c r="A148" s="21">
        <v>144</v>
      </c>
      <c r="B148" s="4" t="s">
        <v>245</v>
      </c>
      <c r="C148" s="4" t="s">
        <v>23</v>
      </c>
      <c r="D148" s="4">
        <v>2</v>
      </c>
      <c r="E148" s="4">
        <v>12</v>
      </c>
      <c r="F148" s="4" t="s">
        <v>246</v>
      </c>
      <c r="G148" s="50" t="s">
        <v>247</v>
      </c>
      <c r="H148" s="4">
        <v>1520</v>
      </c>
      <c r="I148" s="53">
        <v>7.2666666666666699E-2</v>
      </c>
      <c r="J148" s="53">
        <v>0.118333333333333</v>
      </c>
      <c r="K148" s="53">
        <v>0.8</v>
      </c>
      <c r="L148" s="2">
        <v>0.98</v>
      </c>
      <c r="M148" s="2">
        <v>0.98</v>
      </c>
      <c r="N148" s="2">
        <v>0.98</v>
      </c>
      <c r="O148" s="2">
        <v>0.7</v>
      </c>
      <c r="P148" s="2">
        <v>0.96</v>
      </c>
      <c r="Q148" s="2">
        <v>0.98</v>
      </c>
      <c r="R148" s="2">
        <v>0.98</v>
      </c>
      <c r="S148" s="2">
        <v>0.98</v>
      </c>
      <c r="T148" s="2">
        <v>0.7</v>
      </c>
      <c r="U148" s="4">
        <v>0.96</v>
      </c>
      <c r="V148" s="4">
        <v>0.96</v>
      </c>
      <c r="W148" s="4">
        <v>0.96</v>
      </c>
      <c r="X148" s="4">
        <v>0.9</v>
      </c>
    </row>
    <row r="149" spans="1:24" x14ac:dyDescent="0.3">
      <c r="A149" s="21">
        <v>145</v>
      </c>
      <c r="B149" s="4" t="s">
        <v>245</v>
      </c>
      <c r="C149" s="4" t="s">
        <v>26</v>
      </c>
      <c r="D149" s="4">
        <v>12.01</v>
      </c>
      <c r="E149" s="4">
        <v>25.4</v>
      </c>
      <c r="F149" s="4" t="s">
        <v>248</v>
      </c>
      <c r="G149" s="50" t="s">
        <v>247</v>
      </c>
      <c r="H149" s="4">
        <v>1520</v>
      </c>
      <c r="I149" s="53">
        <v>7.2666666666666699E-2</v>
      </c>
      <c r="J149" s="53">
        <v>0.118333333333333</v>
      </c>
      <c r="K149" s="53">
        <v>0.8</v>
      </c>
      <c r="L149" s="2">
        <v>0.98</v>
      </c>
      <c r="M149" s="2">
        <v>0.98</v>
      </c>
      <c r="N149" s="2">
        <v>0.98</v>
      </c>
      <c r="O149" s="2">
        <v>0.7</v>
      </c>
      <c r="P149" s="2">
        <v>0.96</v>
      </c>
      <c r="Q149" s="2">
        <v>0.98</v>
      </c>
      <c r="R149" s="2">
        <v>0.98</v>
      </c>
      <c r="S149" s="2">
        <v>0.98</v>
      </c>
      <c r="T149" s="2">
        <v>0.7</v>
      </c>
      <c r="U149" s="4">
        <v>0.96</v>
      </c>
      <c r="V149" s="4">
        <v>0.96</v>
      </c>
      <c r="W149" s="4">
        <v>0.96</v>
      </c>
      <c r="X149" s="4">
        <v>0.9</v>
      </c>
    </row>
    <row r="150" spans="1:24" x14ac:dyDescent="0.3">
      <c r="A150" s="21">
        <v>146</v>
      </c>
      <c r="B150" s="4" t="s">
        <v>249</v>
      </c>
      <c r="C150" s="4" t="s">
        <v>23</v>
      </c>
      <c r="D150" s="4">
        <v>1.5</v>
      </c>
      <c r="E150" s="4">
        <v>12</v>
      </c>
      <c r="F150" s="4" t="s">
        <v>250</v>
      </c>
      <c r="G150" s="50" t="s">
        <v>251</v>
      </c>
      <c r="H150" s="4">
        <v>1520</v>
      </c>
      <c r="I150" s="53">
        <v>7.2666666666666699E-2</v>
      </c>
      <c r="J150" s="53">
        <v>0.118333333333333</v>
      </c>
      <c r="K150" s="53">
        <v>0.8</v>
      </c>
      <c r="L150" s="2">
        <v>0.98</v>
      </c>
      <c r="M150" s="2">
        <v>0.98</v>
      </c>
      <c r="N150" s="2">
        <v>0.98</v>
      </c>
      <c r="O150" s="2">
        <v>0.7</v>
      </c>
      <c r="P150" s="2">
        <v>0.96</v>
      </c>
      <c r="Q150" s="2">
        <v>0.98</v>
      </c>
      <c r="R150" s="2">
        <v>0.98</v>
      </c>
      <c r="S150" s="2">
        <v>0.98</v>
      </c>
      <c r="T150" s="2">
        <v>0.7</v>
      </c>
      <c r="U150" s="4">
        <v>0.96</v>
      </c>
      <c r="V150" s="4">
        <v>0.96</v>
      </c>
      <c r="W150" s="4">
        <v>0.96</v>
      </c>
      <c r="X150" s="4">
        <v>0.9</v>
      </c>
    </row>
    <row r="151" spans="1:24" x14ac:dyDescent="0.3">
      <c r="A151" s="21">
        <v>147</v>
      </c>
      <c r="B151" s="4" t="s">
        <v>249</v>
      </c>
      <c r="C151" s="4" t="s">
        <v>26</v>
      </c>
      <c r="D151" s="4">
        <v>12.01</v>
      </c>
      <c r="E151" s="4">
        <v>25.4</v>
      </c>
      <c r="F151" s="4" t="s">
        <v>252</v>
      </c>
      <c r="G151" s="50" t="s">
        <v>251</v>
      </c>
      <c r="H151" s="4">
        <v>1520</v>
      </c>
      <c r="I151" s="53">
        <v>7.2666666666666699E-2</v>
      </c>
      <c r="J151" s="53">
        <v>0.118333333333333</v>
      </c>
      <c r="K151" s="53">
        <v>0.8</v>
      </c>
      <c r="L151" s="2">
        <v>0.98</v>
      </c>
      <c r="M151" s="2">
        <v>0.98</v>
      </c>
      <c r="N151" s="2">
        <v>0.98</v>
      </c>
      <c r="O151" s="2">
        <v>0.7</v>
      </c>
      <c r="P151" s="2">
        <v>0.96</v>
      </c>
      <c r="Q151" s="2">
        <v>0.98</v>
      </c>
      <c r="R151" s="2">
        <v>0.98</v>
      </c>
      <c r="S151" s="2">
        <v>0.98</v>
      </c>
      <c r="T151" s="2">
        <v>0.7</v>
      </c>
      <c r="U151" s="4">
        <v>0.96</v>
      </c>
      <c r="V151" s="4">
        <v>0.96</v>
      </c>
      <c r="W151" s="4">
        <v>0.96</v>
      </c>
      <c r="X151" s="4">
        <v>0.9</v>
      </c>
    </row>
    <row r="152" spans="1:24" x14ac:dyDescent="0.3">
      <c r="A152" s="21">
        <v>148</v>
      </c>
      <c r="B152" s="4" t="s">
        <v>253</v>
      </c>
      <c r="C152" s="4" t="s">
        <v>26</v>
      </c>
      <c r="D152" s="4">
        <v>1.5</v>
      </c>
      <c r="E152" s="4">
        <v>12</v>
      </c>
      <c r="F152" s="4" t="s">
        <v>254</v>
      </c>
      <c r="G152" s="50" t="s">
        <v>255</v>
      </c>
      <c r="H152" s="4">
        <v>1518</v>
      </c>
      <c r="I152" s="53">
        <v>6.9357512953367895E-2</v>
      </c>
      <c r="J152" s="53">
        <v>0.11442487046632099</v>
      </c>
      <c r="K152" s="53">
        <v>0.8</v>
      </c>
      <c r="L152" s="2">
        <v>0.98</v>
      </c>
      <c r="M152" s="2">
        <v>0.98</v>
      </c>
      <c r="N152" s="2">
        <v>0.98</v>
      </c>
      <c r="O152" s="2">
        <v>0.7</v>
      </c>
      <c r="P152" s="2">
        <v>0.96</v>
      </c>
      <c r="Q152" s="2">
        <v>0.98</v>
      </c>
      <c r="R152" s="2">
        <v>0.98</v>
      </c>
      <c r="S152" s="2">
        <v>0.98</v>
      </c>
      <c r="T152" s="2">
        <v>0.7</v>
      </c>
      <c r="U152" s="4">
        <v>0.96</v>
      </c>
      <c r="V152" s="4">
        <v>0.96</v>
      </c>
      <c r="W152" s="4">
        <v>0.96</v>
      </c>
      <c r="X152" s="4">
        <v>0.9</v>
      </c>
    </row>
    <row r="153" spans="1:24" x14ac:dyDescent="0.3">
      <c r="A153" s="21">
        <v>149</v>
      </c>
      <c r="B153" s="4" t="s">
        <v>253</v>
      </c>
      <c r="C153" s="4" t="s">
        <v>23</v>
      </c>
      <c r="D153" s="4">
        <v>12.01</v>
      </c>
      <c r="E153" s="4">
        <v>19</v>
      </c>
      <c r="F153" s="4" t="s">
        <v>256</v>
      </c>
      <c r="G153" s="50" t="s">
        <v>255</v>
      </c>
      <c r="H153" s="4">
        <v>1518</v>
      </c>
      <c r="I153" s="53">
        <v>7.2134615384615394E-2</v>
      </c>
      <c r="J153" s="53">
        <v>0.12644230769230799</v>
      </c>
      <c r="K153" s="53">
        <v>0.8</v>
      </c>
      <c r="L153" s="2">
        <v>0.98</v>
      </c>
      <c r="M153" s="2">
        <v>0.98</v>
      </c>
      <c r="N153" s="2">
        <v>0.98</v>
      </c>
      <c r="O153" s="2">
        <v>0.7</v>
      </c>
      <c r="P153" s="2">
        <v>0.96</v>
      </c>
      <c r="Q153" s="2">
        <v>0.98</v>
      </c>
      <c r="R153" s="2">
        <v>0.98</v>
      </c>
      <c r="S153" s="2">
        <v>0.98</v>
      </c>
      <c r="T153" s="2">
        <v>0.7</v>
      </c>
      <c r="U153" s="4">
        <v>0.96</v>
      </c>
      <c r="V153" s="4">
        <v>0.96</v>
      </c>
      <c r="W153" s="4">
        <v>0.96</v>
      </c>
      <c r="X153" s="4">
        <v>0.9</v>
      </c>
    </row>
    <row r="154" spans="1:24" x14ac:dyDescent="0.3">
      <c r="A154" s="21">
        <v>150</v>
      </c>
      <c r="B154" s="4" t="s">
        <v>253</v>
      </c>
      <c r="C154" s="4" t="s">
        <v>90</v>
      </c>
      <c r="D154" s="4">
        <v>19.010000000000002</v>
      </c>
      <c r="E154" s="4">
        <v>25.4</v>
      </c>
      <c r="F154" s="4" t="s">
        <v>257</v>
      </c>
      <c r="G154" s="50" t="s">
        <v>255</v>
      </c>
      <c r="H154" s="4">
        <v>1518</v>
      </c>
      <c r="I154" s="53">
        <v>8.2166666666666693E-2</v>
      </c>
      <c r="J154" s="53">
        <v>0.107833333333333</v>
      </c>
      <c r="K154" s="87">
        <v>0.8</v>
      </c>
      <c r="L154" s="2">
        <v>0.98</v>
      </c>
      <c r="M154" s="2">
        <v>0.98</v>
      </c>
      <c r="N154" s="2">
        <v>0.98</v>
      </c>
      <c r="O154" s="2">
        <v>0.7</v>
      </c>
      <c r="P154" s="2">
        <v>0.96</v>
      </c>
      <c r="Q154" s="2">
        <v>0.98</v>
      </c>
      <c r="R154" s="2">
        <v>0.98</v>
      </c>
      <c r="S154" s="2">
        <v>0.98</v>
      </c>
      <c r="T154" s="2">
        <v>0.7</v>
      </c>
      <c r="U154" s="4">
        <v>0.96</v>
      </c>
      <c r="V154" s="4">
        <v>0.96</v>
      </c>
      <c r="W154" s="4">
        <v>0.96</v>
      </c>
      <c r="X154" s="4">
        <v>0.9</v>
      </c>
    </row>
    <row r="155" spans="1:24" x14ac:dyDescent="0.3">
      <c r="A155" s="21">
        <v>151</v>
      </c>
      <c r="B155" s="4" t="s">
        <v>258</v>
      </c>
      <c r="C155" s="4" t="s">
        <v>23</v>
      </c>
      <c r="D155" s="4">
        <v>2</v>
      </c>
      <c r="E155" s="4">
        <v>12</v>
      </c>
      <c r="F155" s="4" t="s">
        <v>259</v>
      </c>
      <c r="G155" s="50" t="s">
        <v>260</v>
      </c>
      <c r="H155" s="4">
        <v>1518</v>
      </c>
      <c r="I155" s="53">
        <v>7.1642857142857203E-2</v>
      </c>
      <c r="J155" s="53">
        <v>0.10299999999999999</v>
      </c>
      <c r="K155" s="53">
        <v>0</v>
      </c>
      <c r="L155" s="2">
        <v>0.98</v>
      </c>
      <c r="M155" s="2">
        <v>0.98</v>
      </c>
      <c r="N155" s="2">
        <v>0.98</v>
      </c>
      <c r="O155" s="2">
        <v>0.7</v>
      </c>
      <c r="P155" s="2">
        <v>0.96</v>
      </c>
      <c r="Q155" s="2">
        <v>0.98</v>
      </c>
      <c r="R155" s="2">
        <v>0.98</v>
      </c>
      <c r="S155" s="2">
        <v>0.98</v>
      </c>
      <c r="T155" s="2">
        <v>0.7</v>
      </c>
      <c r="U155" s="4">
        <v>0.96</v>
      </c>
      <c r="V155" s="4">
        <v>0.96</v>
      </c>
      <c r="W155" s="4">
        <v>0.96</v>
      </c>
      <c r="X155" s="4">
        <v>0.9</v>
      </c>
    </row>
    <row r="156" spans="1:24" x14ac:dyDescent="0.3">
      <c r="A156" s="21">
        <v>152</v>
      </c>
      <c r="B156" s="4" t="s">
        <v>258</v>
      </c>
      <c r="C156" s="4" t="s">
        <v>26</v>
      </c>
      <c r="D156" s="4">
        <v>12.01</v>
      </c>
      <c r="E156" s="4">
        <v>25.4</v>
      </c>
      <c r="F156" s="4" t="s">
        <v>261</v>
      </c>
      <c r="G156" s="50" t="s">
        <v>260</v>
      </c>
      <c r="H156" s="4">
        <v>1518</v>
      </c>
      <c r="I156" s="85">
        <v>7.1642857142857203E-2</v>
      </c>
      <c r="J156" s="85">
        <v>0.10299999999999999</v>
      </c>
      <c r="K156" s="53">
        <v>0</v>
      </c>
      <c r="L156" s="2">
        <v>0.98</v>
      </c>
      <c r="M156" s="2">
        <v>0.98</v>
      </c>
      <c r="N156" s="2">
        <v>0.98</v>
      </c>
      <c r="O156" s="2">
        <v>0.7</v>
      </c>
      <c r="P156" s="2">
        <v>0.96</v>
      </c>
      <c r="Q156" s="2">
        <v>0.98</v>
      </c>
      <c r="R156" s="2">
        <v>0.98</v>
      </c>
      <c r="S156" s="2">
        <v>0.98</v>
      </c>
      <c r="T156" s="2">
        <v>0.7</v>
      </c>
      <c r="U156" s="4">
        <v>0.96</v>
      </c>
      <c r="V156" s="4">
        <v>0.96</v>
      </c>
      <c r="W156" s="4">
        <v>0.96</v>
      </c>
      <c r="X156" s="4">
        <v>0.9</v>
      </c>
    </row>
    <row r="157" spans="1:24" x14ac:dyDescent="0.3">
      <c r="A157" s="21">
        <v>153</v>
      </c>
      <c r="B157" s="4" t="s">
        <v>262</v>
      </c>
      <c r="C157" s="4" t="s">
        <v>26</v>
      </c>
      <c r="D157" s="4">
        <v>1.5</v>
      </c>
      <c r="E157" s="4">
        <v>12</v>
      </c>
      <c r="F157" s="4" t="s">
        <v>263</v>
      </c>
      <c r="G157" s="50" t="s">
        <v>264</v>
      </c>
      <c r="H157" s="4">
        <v>1518</v>
      </c>
      <c r="I157" s="53">
        <v>8.3500000000000005E-2</v>
      </c>
      <c r="J157" s="53">
        <v>0.14699999999999999</v>
      </c>
      <c r="K157" s="53">
        <v>0.8</v>
      </c>
      <c r="L157" s="2">
        <v>0.98</v>
      </c>
      <c r="M157" s="2">
        <v>0.98</v>
      </c>
      <c r="N157" s="2">
        <v>0.98</v>
      </c>
      <c r="O157" s="2">
        <v>0.7</v>
      </c>
      <c r="P157" s="2">
        <v>0.96</v>
      </c>
      <c r="Q157" s="2">
        <v>0.98</v>
      </c>
      <c r="R157" s="2">
        <v>0.98</v>
      </c>
      <c r="S157" s="2">
        <v>0.98</v>
      </c>
      <c r="T157" s="2">
        <v>0.7</v>
      </c>
      <c r="U157" s="4">
        <v>0.96</v>
      </c>
      <c r="V157" s="4">
        <v>0.96</v>
      </c>
      <c r="W157" s="4">
        <v>0.96</v>
      </c>
      <c r="X157" s="4">
        <v>0.9</v>
      </c>
    </row>
    <row r="158" spans="1:24" x14ac:dyDescent="0.3">
      <c r="A158" s="21">
        <v>154</v>
      </c>
      <c r="B158" s="4" t="s">
        <v>262</v>
      </c>
      <c r="C158" s="4" t="s">
        <v>23</v>
      </c>
      <c r="D158" s="4">
        <v>12.01</v>
      </c>
      <c r="E158" s="4">
        <v>19</v>
      </c>
      <c r="F158" s="4" t="s">
        <v>265</v>
      </c>
      <c r="G158" s="50" t="s">
        <v>264</v>
      </c>
      <c r="H158" s="4">
        <v>1518</v>
      </c>
      <c r="I158" s="53">
        <v>8.0827586206896604E-2</v>
      </c>
      <c r="J158" s="53">
        <v>0.10786206896551701</v>
      </c>
      <c r="K158" s="53">
        <v>0.8</v>
      </c>
      <c r="L158" s="2">
        <v>0.98</v>
      </c>
      <c r="M158" s="2">
        <v>0.98</v>
      </c>
      <c r="N158" s="2">
        <v>0.98</v>
      </c>
      <c r="O158" s="2">
        <v>0.7</v>
      </c>
      <c r="P158" s="2">
        <v>0.96</v>
      </c>
      <c r="Q158" s="2">
        <v>0.98</v>
      </c>
      <c r="R158" s="2">
        <v>0.98</v>
      </c>
      <c r="S158" s="2">
        <v>0.98</v>
      </c>
      <c r="T158" s="2">
        <v>0.7</v>
      </c>
      <c r="U158" s="4">
        <v>0.96</v>
      </c>
      <c r="V158" s="4">
        <v>0.96</v>
      </c>
      <c r="W158" s="4">
        <v>0.96</v>
      </c>
      <c r="X158" s="4">
        <v>0.9</v>
      </c>
    </row>
    <row r="159" spans="1:24" x14ac:dyDescent="0.3">
      <c r="A159" s="21">
        <v>155</v>
      </c>
      <c r="B159" s="71" t="s">
        <v>262</v>
      </c>
      <c r="C159" s="71" t="s">
        <v>90</v>
      </c>
      <c r="D159" s="71">
        <v>19.010000000000002</v>
      </c>
      <c r="E159" s="71">
        <v>25.4</v>
      </c>
      <c r="F159" s="71" t="s">
        <v>266</v>
      </c>
      <c r="G159" s="72" t="s">
        <v>264</v>
      </c>
      <c r="H159" s="71">
        <v>1518</v>
      </c>
      <c r="I159" s="53">
        <v>7.1999999999999995E-2</v>
      </c>
      <c r="J159" s="53">
        <v>0.1137</v>
      </c>
      <c r="K159" s="87">
        <v>0.8</v>
      </c>
      <c r="L159" s="2">
        <v>0.98</v>
      </c>
      <c r="M159" s="2">
        <v>0.98</v>
      </c>
      <c r="N159" s="2">
        <v>0.98</v>
      </c>
      <c r="O159" s="2">
        <v>0.7</v>
      </c>
      <c r="P159" s="2">
        <v>0.96</v>
      </c>
      <c r="Q159" s="2">
        <v>0.98</v>
      </c>
      <c r="R159" s="2">
        <v>0.98</v>
      </c>
      <c r="S159" s="2">
        <v>0.98</v>
      </c>
      <c r="T159" s="2">
        <v>0.7</v>
      </c>
      <c r="U159" s="4">
        <v>0.96</v>
      </c>
      <c r="V159" s="4">
        <v>0.96</v>
      </c>
      <c r="W159" s="4">
        <v>0.96</v>
      </c>
      <c r="X159" s="4">
        <v>0.9</v>
      </c>
    </row>
    <row r="160" spans="1:24" x14ac:dyDescent="0.3">
      <c r="A160" s="21">
        <v>156</v>
      </c>
      <c r="B160" s="4" t="s">
        <v>267</v>
      </c>
      <c r="C160" s="4" t="s">
        <v>23</v>
      </c>
      <c r="D160" s="4">
        <v>1.2</v>
      </c>
      <c r="E160" s="4">
        <v>12</v>
      </c>
      <c r="F160" s="4" t="s">
        <v>268</v>
      </c>
      <c r="G160" s="50" t="s">
        <v>269</v>
      </c>
      <c r="H160" s="4">
        <v>1518</v>
      </c>
      <c r="I160" s="85">
        <v>7.1999999999999995E-2</v>
      </c>
      <c r="J160" s="85">
        <v>0.1137</v>
      </c>
      <c r="K160" s="53">
        <v>0</v>
      </c>
      <c r="L160" s="2">
        <v>0.98</v>
      </c>
      <c r="M160" s="2">
        <v>0.98</v>
      </c>
      <c r="N160" s="2">
        <v>0.98</v>
      </c>
      <c r="O160" s="2">
        <v>0.7</v>
      </c>
      <c r="P160" s="2">
        <v>0.96</v>
      </c>
      <c r="Q160" s="2">
        <v>0.98</v>
      </c>
      <c r="R160" s="2">
        <v>0.98</v>
      </c>
      <c r="S160" s="2">
        <v>0.98</v>
      </c>
      <c r="T160" s="2">
        <v>0.7</v>
      </c>
      <c r="U160" s="4">
        <v>0.96</v>
      </c>
      <c r="V160" s="4">
        <v>0.96</v>
      </c>
      <c r="W160" s="4">
        <v>0.96</v>
      </c>
      <c r="X160" s="4">
        <v>0.9</v>
      </c>
    </row>
    <row r="161" spans="1:24" x14ac:dyDescent="0.3">
      <c r="A161" s="21">
        <v>157</v>
      </c>
      <c r="B161" s="4" t="s">
        <v>267</v>
      </c>
      <c r="C161" s="4" t="s">
        <v>26</v>
      </c>
      <c r="D161" s="4">
        <v>12.01</v>
      </c>
      <c r="E161" s="4">
        <v>25.4</v>
      </c>
      <c r="F161" s="4" t="s">
        <v>270</v>
      </c>
      <c r="G161" s="50" t="s">
        <v>269</v>
      </c>
      <c r="H161" s="4">
        <v>1518</v>
      </c>
      <c r="I161" s="85">
        <v>7.1999999999999995E-2</v>
      </c>
      <c r="J161" s="85">
        <v>0.1137</v>
      </c>
      <c r="K161" s="53">
        <v>0</v>
      </c>
      <c r="L161" s="2">
        <v>0.98</v>
      </c>
      <c r="M161" s="2">
        <v>0.98</v>
      </c>
      <c r="N161" s="2">
        <v>0.98</v>
      </c>
      <c r="O161" s="2">
        <v>0.7</v>
      </c>
      <c r="P161" s="2">
        <v>0.96</v>
      </c>
      <c r="Q161" s="2">
        <v>0.98</v>
      </c>
      <c r="R161" s="2">
        <v>0.98</v>
      </c>
      <c r="S161" s="2">
        <v>0.98</v>
      </c>
      <c r="T161" s="2">
        <v>0.7</v>
      </c>
      <c r="U161" s="4">
        <v>0.96</v>
      </c>
      <c r="V161" s="4">
        <v>0.96</v>
      </c>
      <c r="W161" s="4">
        <v>0.96</v>
      </c>
      <c r="X161" s="4">
        <v>0.9</v>
      </c>
    </row>
    <row r="162" spans="1:24" x14ac:dyDescent="0.3">
      <c r="A162" s="21">
        <v>158</v>
      </c>
      <c r="B162" s="4" t="s">
        <v>271</v>
      </c>
      <c r="C162" s="4" t="s">
        <v>23</v>
      </c>
      <c r="D162" s="4">
        <v>1.5</v>
      </c>
      <c r="E162" s="4">
        <v>12</v>
      </c>
      <c r="F162" s="4" t="s">
        <v>272</v>
      </c>
      <c r="G162" s="50" t="s">
        <v>273</v>
      </c>
      <c r="H162" s="4">
        <v>1513</v>
      </c>
      <c r="I162" s="53">
        <v>6.6714285714285698E-2</v>
      </c>
      <c r="J162" s="53">
        <v>0.112</v>
      </c>
      <c r="K162" s="53">
        <v>0.8</v>
      </c>
      <c r="L162" s="2">
        <v>0.98</v>
      </c>
      <c r="M162" s="2">
        <v>0.98</v>
      </c>
      <c r="N162" s="2">
        <v>0.98</v>
      </c>
      <c r="O162" s="2">
        <v>0.7</v>
      </c>
      <c r="P162" s="2">
        <v>0.96</v>
      </c>
      <c r="Q162" s="2">
        <v>0.98</v>
      </c>
      <c r="R162" s="2">
        <v>0.98</v>
      </c>
      <c r="S162" s="2">
        <v>0.98</v>
      </c>
      <c r="T162" s="2">
        <v>0.7</v>
      </c>
      <c r="U162" s="4">
        <v>0.96</v>
      </c>
      <c r="V162" s="4">
        <v>0.96</v>
      </c>
      <c r="W162" s="4">
        <v>0.96</v>
      </c>
      <c r="X162" s="4">
        <v>0.9</v>
      </c>
    </row>
    <row r="163" spans="1:24" x14ac:dyDescent="0.3">
      <c r="A163" s="21">
        <v>159</v>
      </c>
      <c r="B163" s="4" t="s">
        <v>271</v>
      </c>
      <c r="C163" s="4" t="s">
        <v>26</v>
      </c>
      <c r="D163" s="4">
        <v>12.01</v>
      </c>
      <c r="E163" s="4">
        <v>19</v>
      </c>
      <c r="F163" s="4" t="s">
        <v>274</v>
      </c>
      <c r="G163" s="50" t="s">
        <v>273</v>
      </c>
      <c r="H163" s="4">
        <v>1518</v>
      </c>
      <c r="I163" s="53">
        <v>6.5000000000000002E-2</v>
      </c>
      <c r="J163" s="53">
        <v>9.1999999999999998E-2</v>
      </c>
      <c r="K163" s="53">
        <v>0.8</v>
      </c>
      <c r="L163" s="2">
        <v>0.98</v>
      </c>
      <c r="M163" s="2">
        <v>0.98</v>
      </c>
      <c r="N163" s="2">
        <v>0.98</v>
      </c>
      <c r="O163" s="2">
        <v>0.7</v>
      </c>
      <c r="P163" s="2">
        <v>0.96</v>
      </c>
      <c r="Q163" s="2">
        <v>0.98</v>
      </c>
      <c r="R163" s="2">
        <v>0.98</v>
      </c>
      <c r="S163" s="2">
        <v>0.98</v>
      </c>
      <c r="T163" s="2">
        <v>0.7</v>
      </c>
      <c r="U163" s="4">
        <v>0.96</v>
      </c>
      <c r="V163" s="4">
        <v>0.96</v>
      </c>
      <c r="W163" s="4">
        <v>0.96</v>
      </c>
      <c r="X163" s="4">
        <v>0.9</v>
      </c>
    </row>
    <row r="164" spans="1:24" x14ac:dyDescent="0.3">
      <c r="A164" s="21">
        <v>160</v>
      </c>
      <c r="B164" s="4" t="s">
        <v>271</v>
      </c>
      <c r="C164" s="4" t="s">
        <v>90</v>
      </c>
      <c r="D164" s="4">
        <v>19.010000000000002</v>
      </c>
      <c r="E164" s="4">
        <v>25.4</v>
      </c>
      <c r="F164" s="4" t="s">
        <v>275</v>
      </c>
      <c r="G164" s="50" t="s">
        <v>273</v>
      </c>
      <c r="H164" s="4">
        <v>1518</v>
      </c>
      <c r="I164" s="53">
        <v>7.2999999999999995E-2</v>
      </c>
      <c r="J164" s="53">
        <v>0.115</v>
      </c>
      <c r="K164" s="53">
        <v>0.8</v>
      </c>
      <c r="L164" s="2">
        <v>0.98</v>
      </c>
      <c r="M164" s="2">
        <v>0.98</v>
      </c>
      <c r="N164" s="2">
        <v>0.98</v>
      </c>
      <c r="O164" s="2">
        <v>0.7</v>
      </c>
      <c r="P164" s="2">
        <v>0.96</v>
      </c>
      <c r="Q164" s="2">
        <v>0.98</v>
      </c>
      <c r="R164" s="2">
        <v>0.98</v>
      </c>
      <c r="S164" s="2">
        <v>0.98</v>
      </c>
      <c r="T164" s="2">
        <v>0.7</v>
      </c>
      <c r="U164" s="4">
        <v>0.96</v>
      </c>
      <c r="V164" s="4">
        <v>0.96</v>
      </c>
      <c r="W164" s="4">
        <v>0.96</v>
      </c>
      <c r="X164" s="4">
        <v>0.9</v>
      </c>
    </row>
    <row r="165" spans="1:24" x14ac:dyDescent="0.3">
      <c r="A165" s="21">
        <v>161</v>
      </c>
      <c r="B165" s="4" t="s">
        <v>276</v>
      </c>
      <c r="C165" s="4" t="s">
        <v>26</v>
      </c>
      <c r="D165" s="4">
        <v>4</v>
      </c>
      <c r="E165" s="4">
        <v>12</v>
      </c>
      <c r="F165" s="4" t="s">
        <v>277</v>
      </c>
      <c r="G165" s="50" t="s">
        <v>278</v>
      </c>
      <c r="H165" s="4">
        <v>1524</v>
      </c>
      <c r="I165" s="85">
        <v>0.05</v>
      </c>
      <c r="J165" s="85">
        <v>0.08</v>
      </c>
      <c r="K165" s="53">
        <v>0.8</v>
      </c>
      <c r="L165" s="2">
        <v>0.98</v>
      </c>
      <c r="M165" s="2">
        <v>0.98</v>
      </c>
      <c r="N165" s="2">
        <v>0.98</v>
      </c>
      <c r="O165" s="2">
        <v>0.7</v>
      </c>
      <c r="P165" s="2">
        <v>0.96</v>
      </c>
      <c r="Q165" s="2">
        <v>0.98</v>
      </c>
      <c r="R165" s="2">
        <v>0.98</v>
      </c>
      <c r="S165" s="2">
        <v>0.98</v>
      </c>
      <c r="T165" s="2">
        <v>0.7</v>
      </c>
      <c r="U165" s="4">
        <v>0.96</v>
      </c>
      <c r="V165" s="4">
        <v>0.96</v>
      </c>
      <c r="W165" s="4">
        <v>0.96</v>
      </c>
      <c r="X165" s="4">
        <v>0.9</v>
      </c>
    </row>
    <row r="166" spans="1:24" x14ac:dyDescent="0.3">
      <c r="A166" s="21">
        <v>162</v>
      </c>
      <c r="B166" s="4" t="s">
        <v>276</v>
      </c>
      <c r="C166" s="4" t="s">
        <v>23</v>
      </c>
      <c r="D166" s="4">
        <v>12.01</v>
      </c>
      <c r="E166" s="4">
        <v>19</v>
      </c>
      <c r="F166" s="4" t="s">
        <v>279</v>
      </c>
      <c r="G166" s="50" t="s">
        <v>278</v>
      </c>
      <c r="H166" s="4">
        <v>1524</v>
      </c>
      <c r="I166" s="85">
        <v>0.05</v>
      </c>
      <c r="J166" s="85">
        <v>0.08</v>
      </c>
      <c r="K166" s="53">
        <v>0.8</v>
      </c>
      <c r="L166" s="2">
        <v>0.98</v>
      </c>
      <c r="M166" s="2">
        <v>0.98</v>
      </c>
      <c r="N166" s="2">
        <v>0.98</v>
      </c>
      <c r="O166" s="2">
        <v>0.7</v>
      </c>
      <c r="P166" s="2">
        <v>0.96</v>
      </c>
      <c r="Q166" s="2">
        <v>0.98</v>
      </c>
      <c r="R166" s="2">
        <v>0.98</v>
      </c>
      <c r="S166" s="2">
        <v>0.98</v>
      </c>
      <c r="T166" s="2">
        <v>0.7</v>
      </c>
      <c r="U166" s="4">
        <v>0.96</v>
      </c>
      <c r="V166" s="4">
        <v>0.96</v>
      </c>
      <c r="W166" s="4">
        <v>0.96</v>
      </c>
      <c r="X166" s="4">
        <v>0.9</v>
      </c>
    </row>
    <row r="167" spans="1:24" x14ac:dyDescent="0.3">
      <c r="A167" s="21">
        <v>163</v>
      </c>
      <c r="B167" s="4" t="s">
        <v>280</v>
      </c>
      <c r="C167" s="4" t="s">
        <v>26</v>
      </c>
      <c r="D167" s="4">
        <v>5</v>
      </c>
      <c r="E167" s="4">
        <v>12</v>
      </c>
      <c r="F167" s="4" t="s">
        <v>281</v>
      </c>
      <c r="G167" s="50" t="s">
        <v>282</v>
      </c>
      <c r="H167" s="4">
        <v>1524</v>
      </c>
      <c r="I167" s="85">
        <v>0.05</v>
      </c>
      <c r="J167" s="85">
        <v>0.08</v>
      </c>
      <c r="K167" s="53">
        <v>0.8</v>
      </c>
      <c r="L167" s="2">
        <v>0.98</v>
      </c>
      <c r="M167" s="2">
        <v>0.98</v>
      </c>
      <c r="N167" s="2">
        <v>0.98</v>
      </c>
      <c r="O167" s="2">
        <v>0.7</v>
      </c>
      <c r="P167" s="2">
        <v>0.96</v>
      </c>
      <c r="Q167" s="2">
        <v>0.98</v>
      </c>
      <c r="R167" s="2">
        <v>0.98</v>
      </c>
      <c r="S167" s="2">
        <v>0.98</v>
      </c>
      <c r="T167" s="2">
        <v>0.7</v>
      </c>
      <c r="U167" s="4">
        <v>0.96</v>
      </c>
      <c r="V167" s="4">
        <v>0.96</v>
      </c>
      <c r="W167" s="4">
        <v>0.96</v>
      </c>
      <c r="X167" s="4">
        <v>0.9</v>
      </c>
    </row>
    <row r="168" spans="1:24" x14ac:dyDescent="0.3">
      <c r="A168" s="21">
        <v>164</v>
      </c>
      <c r="B168" s="4" t="s">
        <v>280</v>
      </c>
      <c r="C168" s="4" t="s">
        <v>23</v>
      </c>
      <c r="D168" s="4">
        <v>12.01</v>
      </c>
      <c r="E168" s="4">
        <v>20</v>
      </c>
      <c r="F168" s="4" t="s">
        <v>283</v>
      </c>
      <c r="G168" s="50" t="s">
        <v>282</v>
      </c>
      <c r="H168" s="4">
        <v>1524</v>
      </c>
      <c r="I168" s="85">
        <v>0.05</v>
      </c>
      <c r="J168" s="85">
        <v>0.08</v>
      </c>
      <c r="K168" s="53">
        <v>0.8</v>
      </c>
      <c r="L168" s="2">
        <v>0.98</v>
      </c>
      <c r="M168" s="2">
        <v>0.98</v>
      </c>
      <c r="N168" s="2">
        <v>0.98</v>
      </c>
      <c r="O168" s="2">
        <v>0.7</v>
      </c>
      <c r="P168" s="2">
        <v>0.96</v>
      </c>
      <c r="Q168" s="2">
        <v>0.98</v>
      </c>
      <c r="R168" s="2">
        <v>0.98</v>
      </c>
      <c r="S168" s="2">
        <v>0.98</v>
      </c>
      <c r="T168" s="2">
        <v>0.7</v>
      </c>
      <c r="U168" s="4">
        <v>0.96</v>
      </c>
      <c r="V168" s="4">
        <v>0.96</v>
      </c>
      <c r="W168" s="4">
        <v>0.96</v>
      </c>
      <c r="X168" s="4">
        <v>0.9</v>
      </c>
    </row>
    <row r="169" spans="1:24" x14ac:dyDescent="0.3">
      <c r="A169" s="21">
        <v>165</v>
      </c>
      <c r="B169" s="4" t="s">
        <v>284</v>
      </c>
      <c r="C169" s="4" t="s">
        <v>23</v>
      </c>
      <c r="D169" s="4">
        <v>2</v>
      </c>
      <c r="E169" s="4">
        <v>5.99</v>
      </c>
      <c r="F169" s="4" t="s">
        <v>285</v>
      </c>
      <c r="G169" s="50" t="s">
        <v>286</v>
      </c>
      <c r="H169" s="4">
        <v>1524</v>
      </c>
      <c r="I169" s="53">
        <v>3.54285714285714E-2</v>
      </c>
      <c r="J169" s="53">
        <v>7.1428571428571397E-2</v>
      </c>
      <c r="K169" s="53">
        <v>0.8</v>
      </c>
      <c r="L169" s="2">
        <v>0.98</v>
      </c>
      <c r="M169" s="2">
        <v>0.98</v>
      </c>
      <c r="N169" s="2">
        <v>0.98</v>
      </c>
      <c r="O169" s="2">
        <v>0.7</v>
      </c>
      <c r="P169" s="2">
        <v>0.96</v>
      </c>
      <c r="Q169" s="2">
        <v>0.98</v>
      </c>
      <c r="R169" s="2">
        <v>0.98</v>
      </c>
      <c r="S169" s="2">
        <v>0.98</v>
      </c>
      <c r="T169" s="2">
        <v>0.7</v>
      </c>
      <c r="U169" s="4">
        <v>0.96</v>
      </c>
      <c r="V169" s="4">
        <v>0.96</v>
      </c>
      <c r="W169" s="4">
        <v>0.96</v>
      </c>
      <c r="X169" s="4">
        <v>0.9</v>
      </c>
    </row>
    <row r="170" spans="1:24" x14ac:dyDescent="0.3">
      <c r="A170" s="21">
        <v>166</v>
      </c>
      <c r="B170" s="4" t="s">
        <v>284</v>
      </c>
      <c r="C170" s="4" t="s">
        <v>26</v>
      </c>
      <c r="D170" s="4">
        <v>6</v>
      </c>
      <c r="E170" s="4">
        <v>16</v>
      </c>
      <c r="F170" s="4" t="s">
        <v>287</v>
      </c>
      <c r="G170" s="50" t="s">
        <v>286</v>
      </c>
      <c r="H170" s="4">
        <v>1524</v>
      </c>
      <c r="I170" s="53">
        <v>3.54285714285714E-2</v>
      </c>
      <c r="J170" s="53">
        <v>7.1428571428571397E-2</v>
      </c>
      <c r="K170" s="53">
        <v>0.8</v>
      </c>
      <c r="L170" s="2">
        <v>0.98</v>
      </c>
      <c r="M170" s="2">
        <v>0.98</v>
      </c>
      <c r="N170" s="2">
        <v>0.98</v>
      </c>
      <c r="O170" s="2">
        <v>0.7</v>
      </c>
      <c r="P170" s="2">
        <v>0.96</v>
      </c>
      <c r="Q170" s="2">
        <v>0.98</v>
      </c>
      <c r="R170" s="2">
        <v>0.98</v>
      </c>
      <c r="S170" s="2">
        <v>0.98</v>
      </c>
      <c r="T170" s="2">
        <v>0.7</v>
      </c>
      <c r="U170" s="4">
        <v>0.96</v>
      </c>
      <c r="V170" s="4">
        <v>0.96</v>
      </c>
      <c r="W170" s="4">
        <v>0.96</v>
      </c>
      <c r="X170" s="4">
        <v>0.9</v>
      </c>
    </row>
    <row r="171" spans="1:24" x14ac:dyDescent="0.3">
      <c r="A171" s="21">
        <v>167</v>
      </c>
      <c r="B171" s="4" t="s">
        <v>288</v>
      </c>
      <c r="C171" s="4" t="s">
        <v>23</v>
      </c>
      <c r="D171" s="4">
        <v>2</v>
      </c>
      <c r="E171" s="4">
        <v>5.99</v>
      </c>
      <c r="F171" s="4" t="s">
        <v>289</v>
      </c>
      <c r="G171" s="50" t="s">
        <v>290</v>
      </c>
      <c r="H171" s="4">
        <v>1524</v>
      </c>
      <c r="I171" s="85">
        <v>4.725E-2</v>
      </c>
      <c r="J171" s="85">
        <v>7.5749999999999998E-2</v>
      </c>
      <c r="K171" s="53">
        <v>0.8</v>
      </c>
      <c r="L171" s="2">
        <v>0.98</v>
      </c>
      <c r="M171" s="2">
        <v>0.98</v>
      </c>
      <c r="N171" s="2">
        <v>0.98</v>
      </c>
      <c r="O171" s="2">
        <v>0.7</v>
      </c>
      <c r="P171" s="2">
        <v>0.96</v>
      </c>
      <c r="Q171" s="2">
        <v>0.98</v>
      </c>
      <c r="R171" s="2">
        <v>0.98</v>
      </c>
      <c r="S171" s="2">
        <v>0.98</v>
      </c>
      <c r="T171" s="2">
        <v>0.7</v>
      </c>
      <c r="U171" s="4">
        <v>0.96</v>
      </c>
      <c r="V171" s="4">
        <v>0.96</v>
      </c>
      <c r="W171" s="4">
        <v>0.96</v>
      </c>
      <c r="X171" s="4">
        <v>0.9</v>
      </c>
    </row>
    <row r="172" spans="1:24" x14ac:dyDescent="0.3">
      <c r="A172" s="21">
        <v>168</v>
      </c>
      <c r="B172" s="4" t="s">
        <v>288</v>
      </c>
      <c r="C172" s="4" t="s">
        <v>26</v>
      </c>
      <c r="D172" s="4">
        <v>6</v>
      </c>
      <c r="E172" s="4">
        <v>20</v>
      </c>
      <c r="F172" s="4" t="s">
        <v>291</v>
      </c>
      <c r="G172" s="50" t="s">
        <v>290</v>
      </c>
      <c r="H172" s="4">
        <v>1524</v>
      </c>
      <c r="I172" s="53">
        <v>4.725E-2</v>
      </c>
      <c r="J172" s="53">
        <v>7.5749999999999998E-2</v>
      </c>
      <c r="K172" s="53">
        <v>0.8</v>
      </c>
      <c r="L172" s="2">
        <v>0.98</v>
      </c>
      <c r="M172" s="2">
        <v>0.98</v>
      </c>
      <c r="N172" s="2">
        <v>0.98</v>
      </c>
      <c r="O172" s="2">
        <v>0.7</v>
      </c>
      <c r="P172" s="2">
        <v>0.96</v>
      </c>
      <c r="Q172" s="2">
        <v>0.98</v>
      </c>
      <c r="R172" s="2">
        <v>0.98</v>
      </c>
      <c r="S172" s="2">
        <v>0.98</v>
      </c>
      <c r="T172" s="2">
        <v>0.7</v>
      </c>
      <c r="U172" s="4">
        <v>0.96</v>
      </c>
      <c r="V172" s="4">
        <v>0.96</v>
      </c>
      <c r="W172" s="4">
        <v>0.96</v>
      </c>
      <c r="X172" s="4">
        <v>0.9</v>
      </c>
    </row>
    <row r="173" spans="1:24" x14ac:dyDescent="0.3">
      <c r="A173" s="21">
        <v>169</v>
      </c>
      <c r="B173" s="4" t="s">
        <v>292</v>
      </c>
      <c r="C173" s="4" t="s">
        <v>23</v>
      </c>
      <c r="D173" s="4">
        <v>2</v>
      </c>
      <c r="E173" s="4">
        <v>5.99</v>
      </c>
      <c r="F173" s="4" t="s">
        <v>293</v>
      </c>
      <c r="G173" s="50" t="s">
        <v>294</v>
      </c>
      <c r="H173" s="4">
        <v>1523</v>
      </c>
      <c r="I173" s="85">
        <v>4.2095238095238102E-2</v>
      </c>
      <c r="J173" s="85">
        <v>8.1285714285714294E-2</v>
      </c>
      <c r="K173" s="53">
        <v>0.8</v>
      </c>
      <c r="L173" s="2">
        <v>0.98</v>
      </c>
      <c r="M173" s="2">
        <v>0.98</v>
      </c>
      <c r="N173" s="2">
        <v>0.98</v>
      </c>
      <c r="O173" s="2">
        <v>0.7</v>
      </c>
      <c r="P173" s="2">
        <v>0.96</v>
      </c>
      <c r="Q173" s="2">
        <v>0.98</v>
      </c>
      <c r="R173" s="2">
        <v>0.98</v>
      </c>
      <c r="S173" s="2">
        <v>0.98</v>
      </c>
      <c r="T173" s="2">
        <v>0.7</v>
      </c>
      <c r="U173" s="4">
        <v>0.96</v>
      </c>
      <c r="V173" s="4">
        <v>0.96</v>
      </c>
      <c r="W173" s="4">
        <v>0.96</v>
      </c>
      <c r="X173" s="4">
        <v>0.9</v>
      </c>
    </row>
    <row r="174" spans="1:24" x14ac:dyDescent="0.3">
      <c r="A174" s="21">
        <v>170</v>
      </c>
      <c r="B174" s="4" t="s">
        <v>292</v>
      </c>
      <c r="C174" s="4" t="s">
        <v>26</v>
      </c>
      <c r="D174" s="4">
        <v>6</v>
      </c>
      <c r="E174" s="4">
        <v>14</v>
      </c>
      <c r="F174" s="4" t="s">
        <v>295</v>
      </c>
      <c r="G174" s="50" t="s">
        <v>294</v>
      </c>
      <c r="H174" s="4">
        <v>1523</v>
      </c>
      <c r="I174" s="85">
        <v>4.2095238095238102E-2</v>
      </c>
      <c r="J174" s="85">
        <v>8.1285714285714294E-2</v>
      </c>
      <c r="K174" s="53">
        <v>0.8</v>
      </c>
      <c r="L174" s="2">
        <v>0.98</v>
      </c>
      <c r="M174" s="2">
        <v>0.98</v>
      </c>
      <c r="N174" s="2">
        <v>0.98</v>
      </c>
      <c r="O174" s="2">
        <v>0.7</v>
      </c>
      <c r="P174" s="2">
        <v>0.96</v>
      </c>
      <c r="Q174" s="2">
        <v>0.98</v>
      </c>
      <c r="R174" s="2">
        <v>0.98</v>
      </c>
      <c r="S174" s="2">
        <v>0.98</v>
      </c>
      <c r="T174" s="2">
        <v>0.7</v>
      </c>
      <c r="U174" s="4">
        <v>0.96</v>
      </c>
      <c r="V174" s="4">
        <v>0.96</v>
      </c>
      <c r="W174" s="4">
        <v>0.96</v>
      </c>
      <c r="X174" s="4">
        <v>0.9</v>
      </c>
    </row>
    <row r="175" spans="1:24" x14ac:dyDescent="0.3">
      <c r="A175" s="21">
        <v>171</v>
      </c>
      <c r="B175" s="4" t="s">
        <v>296</v>
      </c>
      <c r="C175" s="4" t="s">
        <v>23</v>
      </c>
      <c r="D175" s="4">
        <v>2</v>
      </c>
      <c r="E175" s="4">
        <v>5.99</v>
      </c>
      <c r="F175" s="4" t="s">
        <v>297</v>
      </c>
      <c r="G175" s="50" t="s">
        <v>298</v>
      </c>
      <c r="H175" s="4">
        <v>1524</v>
      </c>
      <c r="I175" s="85">
        <v>4.8000000000000001E-2</v>
      </c>
      <c r="J175" s="85">
        <v>7.1999999999999995E-2</v>
      </c>
      <c r="K175" s="53">
        <v>0.8</v>
      </c>
      <c r="L175" s="2">
        <v>0.98</v>
      </c>
      <c r="M175" s="2">
        <v>0.98</v>
      </c>
      <c r="N175" s="2">
        <v>0.98</v>
      </c>
      <c r="O175" s="2">
        <v>0.7</v>
      </c>
      <c r="P175" s="2">
        <v>0.96</v>
      </c>
      <c r="Q175" s="2">
        <v>0.98</v>
      </c>
      <c r="R175" s="2">
        <v>0.98</v>
      </c>
      <c r="S175" s="2">
        <v>0.98</v>
      </c>
      <c r="T175" s="2">
        <v>0.7</v>
      </c>
      <c r="U175" s="4">
        <v>0.96</v>
      </c>
      <c r="V175" s="4">
        <v>0.96</v>
      </c>
      <c r="W175" s="4">
        <v>0.96</v>
      </c>
      <c r="X175" s="4">
        <v>0.9</v>
      </c>
    </row>
    <row r="176" spans="1:24" x14ac:dyDescent="0.3">
      <c r="A176" s="21">
        <v>172</v>
      </c>
      <c r="B176" s="4" t="s">
        <v>296</v>
      </c>
      <c r="C176" s="4" t="s">
        <v>26</v>
      </c>
      <c r="D176" s="4">
        <v>6</v>
      </c>
      <c r="E176" s="4">
        <v>12</v>
      </c>
      <c r="F176" s="4" t="s">
        <v>299</v>
      </c>
      <c r="G176" s="50" t="s">
        <v>298</v>
      </c>
      <c r="H176" s="4">
        <v>1524</v>
      </c>
      <c r="I176" s="53">
        <v>4.8000000000000001E-2</v>
      </c>
      <c r="J176" s="53">
        <v>7.1999999999999995E-2</v>
      </c>
      <c r="K176" s="53">
        <v>0.8</v>
      </c>
      <c r="L176" s="2">
        <v>0.98</v>
      </c>
      <c r="M176" s="2">
        <v>0.98</v>
      </c>
      <c r="N176" s="2">
        <v>0.98</v>
      </c>
      <c r="O176" s="2">
        <v>0.7</v>
      </c>
      <c r="P176" s="2">
        <v>0.96</v>
      </c>
      <c r="Q176" s="2">
        <v>0.98</v>
      </c>
      <c r="R176" s="2">
        <v>0.98</v>
      </c>
      <c r="S176" s="2">
        <v>0.98</v>
      </c>
      <c r="T176" s="2">
        <v>0.7</v>
      </c>
      <c r="U176" s="4">
        <v>0.96</v>
      </c>
      <c r="V176" s="4">
        <v>0.96</v>
      </c>
      <c r="W176" s="4">
        <v>0.96</v>
      </c>
      <c r="X176" s="4">
        <v>0.9</v>
      </c>
    </row>
    <row r="177" spans="1:24" x14ac:dyDescent="0.3">
      <c r="A177" s="21">
        <v>173</v>
      </c>
      <c r="B177" s="4" t="s">
        <v>300</v>
      </c>
      <c r="C177" s="4" t="s">
        <v>23</v>
      </c>
      <c r="D177" s="4">
        <v>2</v>
      </c>
      <c r="E177" s="4">
        <v>5.99</v>
      </c>
      <c r="F177" s="4" t="s">
        <v>301</v>
      </c>
      <c r="G177" s="50" t="s">
        <v>302</v>
      </c>
      <c r="H177" s="4">
        <v>1523</v>
      </c>
      <c r="I177" s="53">
        <v>4.2095238095238102E-2</v>
      </c>
      <c r="J177" s="53">
        <v>8.1285714285714294E-2</v>
      </c>
      <c r="K177" s="53">
        <v>0.8</v>
      </c>
      <c r="L177" s="2">
        <v>0.98</v>
      </c>
      <c r="M177" s="2">
        <v>0.98</v>
      </c>
      <c r="N177" s="2">
        <v>0.98</v>
      </c>
      <c r="O177" s="2">
        <v>0.7</v>
      </c>
      <c r="P177" s="2">
        <v>0.96</v>
      </c>
      <c r="Q177" s="2">
        <v>0.98</v>
      </c>
      <c r="R177" s="2">
        <v>0.98</v>
      </c>
      <c r="S177" s="2">
        <v>0.98</v>
      </c>
      <c r="T177" s="2">
        <v>0.7</v>
      </c>
      <c r="U177" s="4">
        <v>0.96</v>
      </c>
      <c r="V177" s="4">
        <v>0.96</v>
      </c>
      <c r="W177" s="4">
        <v>0.96</v>
      </c>
      <c r="X177" s="4">
        <v>0.9</v>
      </c>
    </row>
    <row r="178" spans="1:24" x14ac:dyDescent="0.3">
      <c r="A178" s="21">
        <v>174</v>
      </c>
      <c r="B178" s="4" t="s">
        <v>300</v>
      </c>
      <c r="C178" s="4" t="s">
        <v>26</v>
      </c>
      <c r="D178" s="4">
        <v>6</v>
      </c>
      <c r="E178" s="4">
        <v>14</v>
      </c>
      <c r="F178" s="4" t="s">
        <v>303</v>
      </c>
      <c r="G178" s="50" t="s">
        <v>302</v>
      </c>
      <c r="H178" s="4">
        <v>1523</v>
      </c>
      <c r="I178" s="85">
        <v>4.2095238095238102E-2</v>
      </c>
      <c r="J178" s="85">
        <v>8.1285714285714294E-2</v>
      </c>
      <c r="K178" s="53">
        <v>0.8</v>
      </c>
      <c r="L178" s="2">
        <v>0.98</v>
      </c>
      <c r="M178" s="2">
        <v>0.98</v>
      </c>
      <c r="N178" s="2">
        <v>0.98</v>
      </c>
      <c r="O178" s="2">
        <v>0.7</v>
      </c>
      <c r="P178" s="2">
        <v>0.96</v>
      </c>
      <c r="Q178" s="2">
        <v>0.98</v>
      </c>
      <c r="R178" s="2">
        <v>0.98</v>
      </c>
      <c r="S178" s="2">
        <v>0.98</v>
      </c>
      <c r="T178" s="2">
        <v>0.7</v>
      </c>
      <c r="U178" s="4">
        <v>0.96</v>
      </c>
      <c r="V178" s="4">
        <v>0.96</v>
      </c>
      <c r="W178" s="4">
        <v>0.96</v>
      </c>
      <c r="X178" s="4">
        <v>0.9</v>
      </c>
    </row>
    <row r="179" spans="1:24" x14ac:dyDescent="0.3">
      <c r="A179" s="21">
        <v>175</v>
      </c>
      <c r="B179" s="4" t="s">
        <v>304</v>
      </c>
      <c r="C179" s="4" t="s">
        <v>23</v>
      </c>
      <c r="D179" s="4">
        <v>2.5</v>
      </c>
      <c r="E179" s="4">
        <v>5.99</v>
      </c>
      <c r="F179" s="4" t="s">
        <v>305</v>
      </c>
      <c r="G179" s="50" t="s">
        <v>306</v>
      </c>
      <c r="H179" s="4">
        <v>1516</v>
      </c>
      <c r="I179" s="53">
        <v>4.2111111111111099E-2</v>
      </c>
      <c r="J179" s="53">
        <v>9.3666666666666704E-2</v>
      </c>
      <c r="K179" s="53">
        <v>0.8</v>
      </c>
      <c r="L179" s="2">
        <v>0.98</v>
      </c>
      <c r="M179" s="2">
        <v>0.98</v>
      </c>
      <c r="N179" s="2">
        <v>0.98</v>
      </c>
      <c r="O179" s="2">
        <v>0.7</v>
      </c>
      <c r="P179" s="2">
        <v>0.96</v>
      </c>
      <c r="Q179" s="2">
        <v>0.98</v>
      </c>
      <c r="R179" s="2">
        <v>0.98</v>
      </c>
      <c r="S179" s="2">
        <v>0.98</v>
      </c>
      <c r="T179" s="2">
        <v>0.7</v>
      </c>
      <c r="U179" s="4">
        <v>0.96</v>
      </c>
      <c r="V179" s="4">
        <v>0.96</v>
      </c>
      <c r="W179" s="4">
        <v>0.96</v>
      </c>
      <c r="X179" s="4">
        <v>0.9</v>
      </c>
    </row>
    <row r="180" spans="1:24" x14ac:dyDescent="0.3">
      <c r="A180" s="21">
        <v>176</v>
      </c>
      <c r="B180" s="4" t="s">
        <v>304</v>
      </c>
      <c r="C180" s="4" t="s">
        <v>26</v>
      </c>
      <c r="D180" s="4">
        <v>6</v>
      </c>
      <c r="E180" s="4">
        <v>14</v>
      </c>
      <c r="F180" s="4" t="s">
        <v>307</v>
      </c>
      <c r="G180" s="50" t="s">
        <v>306</v>
      </c>
      <c r="H180" s="4">
        <v>1516</v>
      </c>
      <c r="I180" s="53">
        <v>4.2500000000000003E-2</v>
      </c>
      <c r="J180" s="53">
        <v>8.5750000000000007E-2</v>
      </c>
      <c r="K180" s="53">
        <v>0.8</v>
      </c>
      <c r="L180" s="2">
        <v>0.98</v>
      </c>
      <c r="M180" s="2">
        <v>0.98</v>
      </c>
      <c r="N180" s="2">
        <v>0.98</v>
      </c>
      <c r="O180" s="2">
        <v>0.7</v>
      </c>
      <c r="P180" s="2">
        <v>0.96</v>
      </c>
      <c r="Q180" s="2">
        <v>0.98</v>
      </c>
      <c r="R180" s="2">
        <v>0.98</v>
      </c>
      <c r="S180" s="2">
        <v>0.98</v>
      </c>
      <c r="T180" s="2">
        <v>0.7</v>
      </c>
      <c r="U180" s="4">
        <v>0.96</v>
      </c>
      <c r="V180" s="4">
        <v>0.96</v>
      </c>
      <c r="W180" s="4">
        <v>0.96</v>
      </c>
      <c r="X180" s="4">
        <v>0.9</v>
      </c>
    </row>
    <row r="181" spans="1:24" x14ac:dyDescent="0.3">
      <c r="A181" s="21">
        <v>177</v>
      </c>
      <c r="B181" s="4" t="s">
        <v>308</v>
      </c>
      <c r="C181" s="4" t="s">
        <v>23</v>
      </c>
      <c r="D181" s="4">
        <v>8</v>
      </c>
      <c r="E181" s="4">
        <v>14</v>
      </c>
      <c r="F181" s="4" t="s">
        <v>308</v>
      </c>
      <c r="G181" s="50" t="s">
        <v>309</v>
      </c>
      <c r="H181" s="4">
        <v>1516</v>
      </c>
      <c r="I181" s="53">
        <v>3.7499999999999999E-2</v>
      </c>
      <c r="J181" s="53">
        <v>0.09</v>
      </c>
      <c r="K181" s="53">
        <v>0.8</v>
      </c>
      <c r="L181" s="2">
        <v>0.98</v>
      </c>
      <c r="M181" s="2">
        <v>0.98</v>
      </c>
      <c r="N181" s="2">
        <v>0.98</v>
      </c>
      <c r="O181" s="2">
        <v>0.7</v>
      </c>
      <c r="P181" s="2">
        <v>0.96</v>
      </c>
      <c r="Q181" s="2">
        <v>0.98</v>
      </c>
      <c r="R181" s="2">
        <v>0.98</v>
      </c>
      <c r="S181" s="2">
        <v>0.98</v>
      </c>
      <c r="T181" s="2">
        <v>0.7</v>
      </c>
      <c r="U181" s="4">
        <v>0.96</v>
      </c>
      <c r="V181" s="4">
        <v>0.96</v>
      </c>
      <c r="W181" s="4">
        <v>0.96</v>
      </c>
      <c r="X181" s="4">
        <v>0.9</v>
      </c>
    </row>
    <row r="182" spans="1:24" x14ac:dyDescent="0.3">
      <c r="A182" s="21">
        <v>178</v>
      </c>
      <c r="B182" s="4" t="s">
        <v>310</v>
      </c>
      <c r="C182" s="4" t="s">
        <v>23</v>
      </c>
      <c r="D182" s="4">
        <v>8</v>
      </c>
      <c r="E182" s="4">
        <v>14</v>
      </c>
      <c r="F182" s="4" t="s">
        <v>310</v>
      </c>
      <c r="G182" s="4" t="s">
        <v>311</v>
      </c>
      <c r="H182" s="4">
        <v>1516</v>
      </c>
      <c r="I182" s="53">
        <v>4.1000000000000002E-2</v>
      </c>
      <c r="J182" s="53">
        <v>0.106</v>
      </c>
      <c r="K182" s="53">
        <v>0.8</v>
      </c>
      <c r="L182" s="2">
        <v>0.98</v>
      </c>
      <c r="M182" s="2">
        <v>0.98</v>
      </c>
      <c r="N182" s="2">
        <v>0.98</v>
      </c>
      <c r="O182" s="2">
        <v>0.7</v>
      </c>
      <c r="P182" s="2">
        <v>0.96</v>
      </c>
      <c r="Q182" s="2">
        <v>0.98</v>
      </c>
      <c r="R182" s="2">
        <v>0.98</v>
      </c>
      <c r="S182" s="2">
        <v>0.98</v>
      </c>
      <c r="T182" s="2">
        <v>0.7</v>
      </c>
      <c r="U182" s="4">
        <v>0.96</v>
      </c>
      <c r="V182" s="4">
        <v>0.96</v>
      </c>
      <c r="W182" s="4">
        <v>0.96</v>
      </c>
      <c r="X182" s="4">
        <v>0.9</v>
      </c>
    </row>
    <row r="183" spans="1:24" x14ac:dyDescent="0.3">
      <c r="A183" s="21">
        <v>179</v>
      </c>
      <c r="B183" s="4" t="s">
        <v>312</v>
      </c>
      <c r="C183" s="4" t="s">
        <v>23</v>
      </c>
      <c r="D183" s="4">
        <v>3</v>
      </c>
      <c r="E183" s="4">
        <v>12</v>
      </c>
      <c r="F183" s="4" t="s">
        <v>312</v>
      </c>
      <c r="G183" s="50" t="s">
        <v>313</v>
      </c>
      <c r="H183" s="4">
        <v>1520</v>
      </c>
      <c r="I183" s="53">
        <v>5.5333333333333297E-2</v>
      </c>
      <c r="J183" s="53">
        <v>0.118333333333333</v>
      </c>
      <c r="K183" s="53">
        <v>0.8</v>
      </c>
      <c r="L183" s="2">
        <v>0.98</v>
      </c>
      <c r="M183" s="2">
        <v>0.98</v>
      </c>
      <c r="N183" s="2">
        <v>0.98</v>
      </c>
      <c r="O183" s="2">
        <v>0.7</v>
      </c>
      <c r="P183" s="2">
        <v>0.96</v>
      </c>
      <c r="Q183" s="2">
        <v>0.98</v>
      </c>
      <c r="R183" s="2">
        <v>0.98</v>
      </c>
      <c r="S183" s="2">
        <v>0.98</v>
      </c>
      <c r="T183" s="2">
        <v>0.7</v>
      </c>
      <c r="U183" s="4">
        <v>0.96</v>
      </c>
      <c r="V183" s="4">
        <v>0.96</v>
      </c>
      <c r="W183" s="4">
        <v>0.96</v>
      </c>
      <c r="X183" s="4">
        <v>0.9</v>
      </c>
    </row>
    <row r="184" spans="1:24" x14ac:dyDescent="0.3">
      <c r="A184" s="21">
        <v>180</v>
      </c>
      <c r="B184" s="4" t="s">
        <v>314</v>
      </c>
      <c r="C184" s="4" t="s">
        <v>23</v>
      </c>
      <c r="D184" s="4">
        <v>2.5</v>
      </c>
      <c r="E184" s="4">
        <v>8</v>
      </c>
      <c r="F184" s="4" t="s">
        <v>314</v>
      </c>
      <c r="G184" s="50" t="s">
        <v>315</v>
      </c>
      <c r="H184" s="4">
        <v>1514</v>
      </c>
      <c r="I184" s="85">
        <v>5.5333333333333297E-2</v>
      </c>
      <c r="J184" s="85">
        <v>0.118333333333333</v>
      </c>
      <c r="K184" s="53">
        <v>0.8</v>
      </c>
      <c r="L184" s="2">
        <v>0.98</v>
      </c>
      <c r="M184" s="2">
        <v>0.98</v>
      </c>
      <c r="N184" s="2">
        <v>0.98</v>
      </c>
      <c r="O184" s="2">
        <v>0.7</v>
      </c>
      <c r="P184" s="2">
        <v>0.96</v>
      </c>
      <c r="Q184" s="2">
        <v>0.98</v>
      </c>
      <c r="R184" s="2">
        <v>0.98</v>
      </c>
      <c r="S184" s="2">
        <v>0.98</v>
      </c>
      <c r="T184" s="2">
        <v>0.7</v>
      </c>
      <c r="U184" s="4">
        <v>0.96</v>
      </c>
      <c r="V184" s="4">
        <v>0.96</v>
      </c>
      <c r="W184" s="4">
        <v>0.96</v>
      </c>
      <c r="X184" s="4">
        <v>0.9</v>
      </c>
    </row>
    <row r="185" spans="1:24" x14ac:dyDescent="0.3">
      <c r="A185" s="21">
        <v>181</v>
      </c>
      <c r="B185" s="4" t="s">
        <v>316</v>
      </c>
      <c r="C185" s="4" t="s">
        <v>23</v>
      </c>
      <c r="D185" s="4">
        <v>3</v>
      </c>
      <c r="E185" s="4">
        <v>14</v>
      </c>
      <c r="F185" s="4" t="s">
        <v>317</v>
      </c>
      <c r="G185" s="50" t="s">
        <v>318</v>
      </c>
      <c r="H185" s="4">
        <v>1518</v>
      </c>
      <c r="I185" s="53">
        <v>6.7636363636363606E-2</v>
      </c>
      <c r="J185" s="53">
        <v>0.111704545454545</v>
      </c>
      <c r="K185" s="53">
        <v>0.8</v>
      </c>
      <c r="L185" s="2">
        <v>0.98</v>
      </c>
      <c r="M185" s="2">
        <v>0.98</v>
      </c>
      <c r="N185" s="2">
        <v>0.98</v>
      </c>
      <c r="O185" s="2">
        <v>0.7</v>
      </c>
      <c r="P185" s="2">
        <v>0.96</v>
      </c>
      <c r="Q185" s="2">
        <v>0.98</v>
      </c>
      <c r="R185" s="2">
        <v>0.98</v>
      </c>
      <c r="S185" s="2">
        <v>0.98</v>
      </c>
      <c r="T185" s="2">
        <v>0.7</v>
      </c>
      <c r="U185" s="4">
        <v>0.96</v>
      </c>
      <c r="V185" s="4">
        <v>0.96</v>
      </c>
      <c r="W185" s="4">
        <v>0.96</v>
      </c>
      <c r="X185" s="4">
        <v>0.9</v>
      </c>
    </row>
    <row r="186" spans="1:24" x14ac:dyDescent="0.3">
      <c r="A186" s="21">
        <v>182</v>
      </c>
      <c r="B186" s="4" t="s">
        <v>316</v>
      </c>
      <c r="C186" s="4" t="s">
        <v>26</v>
      </c>
      <c r="D186" s="4">
        <v>14.01</v>
      </c>
      <c r="E186" s="4">
        <v>25.4</v>
      </c>
      <c r="F186" s="4" t="s">
        <v>319</v>
      </c>
      <c r="G186" s="50" t="s">
        <v>318</v>
      </c>
      <c r="H186" s="4">
        <v>1518</v>
      </c>
      <c r="I186" s="53">
        <v>5.5777777777777801E-2</v>
      </c>
      <c r="J186" s="53">
        <v>9.4555555555555601E-2</v>
      </c>
      <c r="K186" s="53">
        <v>0.8</v>
      </c>
      <c r="L186" s="2">
        <v>0.98</v>
      </c>
      <c r="M186" s="2">
        <v>0.98</v>
      </c>
      <c r="N186" s="2">
        <v>0.98</v>
      </c>
      <c r="O186" s="2">
        <v>0.7</v>
      </c>
      <c r="P186" s="2">
        <v>0.96</v>
      </c>
      <c r="Q186" s="2">
        <v>0.98</v>
      </c>
      <c r="R186" s="2">
        <v>0.98</v>
      </c>
      <c r="S186" s="2">
        <v>0.98</v>
      </c>
      <c r="T186" s="2">
        <v>0.7</v>
      </c>
      <c r="U186" s="4">
        <v>0.96</v>
      </c>
      <c r="V186" s="4">
        <v>0.96</v>
      </c>
      <c r="W186" s="4">
        <v>0.96</v>
      </c>
      <c r="X186" s="4">
        <v>0.9</v>
      </c>
    </row>
    <row r="187" spans="1:24" x14ac:dyDescent="0.3">
      <c r="A187" s="21">
        <v>183</v>
      </c>
      <c r="B187" s="4" t="s">
        <v>320</v>
      </c>
      <c r="C187" s="4" t="s">
        <v>23</v>
      </c>
      <c r="D187" s="4">
        <v>3</v>
      </c>
      <c r="E187" s="4">
        <v>14</v>
      </c>
      <c r="F187" s="4" t="s">
        <v>320</v>
      </c>
      <c r="G187" s="50" t="s">
        <v>321</v>
      </c>
      <c r="H187" s="4">
        <v>1513</v>
      </c>
      <c r="I187" s="53">
        <v>6.2247011952191199E-2</v>
      </c>
      <c r="J187" s="53">
        <v>0.10449402390438201</v>
      </c>
      <c r="K187" s="53">
        <v>0.8</v>
      </c>
      <c r="L187" s="2">
        <v>0.98</v>
      </c>
      <c r="M187" s="2">
        <v>0.98</v>
      </c>
      <c r="N187" s="2">
        <v>0.98</v>
      </c>
      <c r="O187" s="2">
        <v>0.7</v>
      </c>
      <c r="P187" s="2">
        <v>0.96</v>
      </c>
      <c r="Q187" s="2">
        <v>0.98</v>
      </c>
      <c r="R187" s="2">
        <v>0.98</v>
      </c>
      <c r="S187" s="2">
        <v>0.98</v>
      </c>
      <c r="T187" s="2">
        <v>0.7</v>
      </c>
      <c r="U187" s="4">
        <v>0.96</v>
      </c>
      <c r="V187" s="4">
        <v>0.96</v>
      </c>
      <c r="W187" s="4">
        <v>0.96</v>
      </c>
      <c r="X187" s="4">
        <v>0.9</v>
      </c>
    </row>
    <row r="188" spans="1:24" x14ac:dyDescent="0.3">
      <c r="A188" s="21">
        <v>184</v>
      </c>
      <c r="B188" s="4" t="s">
        <v>320</v>
      </c>
      <c r="C188" s="4" t="s">
        <v>26</v>
      </c>
      <c r="D188" s="4">
        <v>14.01</v>
      </c>
      <c r="E188" s="4">
        <v>28</v>
      </c>
      <c r="F188" s="4" t="s">
        <v>322</v>
      </c>
      <c r="G188" s="50" t="s">
        <v>321</v>
      </c>
      <c r="H188" s="4">
        <v>1513</v>
      </c>
      <c r="I188" s="53">
        <v>6.2656249999999997E-2</v>
      </c>
      <c r="J188" s="53">
        <v>0.10896875</v>
      </c>
      <c r="K188" s="53">
        <v>0.8</v>
      </c>
      <c r="L188" s="2">
        <v>0.98</v>
      </c>
      <c r="M188" s="2">
        <v>0.98</v>
      </c>
      <c r="N188" s="2">
        <v>0.98</v>
      </c>
      <c r="O188" s="2">
        <v>0.7</v>
      </c>
      <c r="P188" s="2">
        <v>0.96</v>
      </c>
      <c r="Q188" s="2">
        <v>0.98</v>
      </c>
      <c r="R188" s="2">
        <v>0.98</v>
      </c>
      <c r="S188" s="2">
        <v>0.98</v>
      </c>
      <c r="T188" s="2">
        <v>0.7</v>
      </c>
      <c r="U188" s="4">
        <v>0.96</v>
      </c>
      <c r="V188" s="4">
        <v>0.96</v>
      </c>
      <c r="W188" s="4">
        <v>0.96</v>
      </c>
      <c r="X188" s="4">
        <v>0.9</v>
      </c>
    </row>
    <row r="189" spans="1:24" x14ac:dyDescent="0.3">
      <c r="A189" s="21">
        <v>185</v>
      </c>
      <c r="B189" s="4" t="s">
        <v>323</v>
      </c>
      <c r="C189" s="4" t="s">
        <v>23</v>
      </c>
      <c r="D189" s="4">
        <v>3</v>
      </c>
      <c r="E189" s="4">
        <v>14</v>
      </c>
      <c r="F189" s="4" t="s">
        <v>324</v>
      </c>
      <c r="G189" s="50" t="s">
        <v>325</v>
      </c>
      <c r="H189" s="4">
        <v>1513</v>
      </c>
      <c r="I189" s="4">
        <v>6.2656249999999997E-2</v>
      </c>
      <c r="J189" s="4">
        <v>0.10896875</v>
      </c>
      <c r="K189" s="53">
        <v>0.8</v>
      </c>
      <c r="L189" s="2">
        <v>0.98</v>
      </c>
      <c r="M189" s="2">
        <v>0.98</v>
      </c>
      <c r="N189" s="2">
        <v>0.98</v>
      </c>
      <c r="O189" s="2">
        <v>0.7</v>
      </c>
      <c r="P189" s="2">
        <v>0.96</v>
      </c>
      <c r="Q189" s="2">
        <v>0.98</v>
      </c>
      <c r="R189" s="2">
        <v>0.98</v>
      </c>
      <c r="S189" s="2">
        <v>0.98</v>
      </c>
      <c r="T189" s="2">
        <v>0.7</v>
      </c>
      <c r="U189" s="4">
        <v>0.96</v>
      </c>
      <c r="V189" s="4">
        <v>0.96</v>
      </c>
      <c r="W189" s="4">
        <v>0.96</v>
      </c>
      <c r="X189" s="4">
        <v>0.9</v>
      </c>
    </row>
    <row r="190" spans="1:24" x14ac:dyDescent="0.3">
      <c r="A190" s="21">
        <v>186</v>
      </c>
      <c r="B190" s="4" t="s">
        <v>323</v>
      </c>
      <c r="C190" s="4" t="s">
        <v>26</v>
      </c>
      <c r="D190" s="4">
        <v>14.01</v>
      </c>
      <c r="E190" s="4">
        <v>25</v>
      </c>
      <c r="F190" s="4" t="s">
        <v>326</v>
      </c>
      <c r="G190" s="50" t="s">
        <v>325</v>
      </c>
      <c r="H190" s="4">
        <v>1513</v>
      </c>
      <c r="I190" s="4">
        <v>6.2656249999999997E-2</v>
      </c>
      <c r="J190" s="4">
        <v>0.10896875</v>
      </c>
      <c r="K190" s="53">
        <v>0.8</v>
      </c>
      <c r="L190" s="2">
        <v>0.98</v>
      </c>
      <c r="M190" s="2">
        <v>0.98</v>
      </c>
      <c r="N190" s="2">
        <v>0.98</v>
      </c>
      <c r="O190" s="2">
        <v>0.7</v>
      </c>
      <c r="P190" s="2">
        <v>0.96</v>
      </c>
      <c r="Q190" s="2">
        <v>0.98</v>
      </c>
      <c r="R190" s="2">
        <v>0.98</v>
      </c>
      <c r="S190" s="2">
        <v>0.98</v>
      </c>
      <c r="T190" s="2">
        <v>0.7</v>
      </c>
      <c r="U190" s="4">
        <v>0.96</v>
      </c>
      <c r="V190" s="4">
        <v>0.96</v>
      </c>
      <c r="W190" s="4">
        <v>0.96</v>
      </c>
      <c r="X190" s="4">
        <v>0.9</v>
      </c>
    </row>
    <row r="191" spans="1:24" x14ac:dyDescent="0.3">
      <c r="A191" s="21">
        <v>187</v>
      </c>
      <c r="B191" s="4" t="s">
        <v>217</v>
      </c>
      <c r="C191" s="4" t="s">
        <v>23</v>
      </c>
      <c r="D191" s="4">
        <v>3</v>
      </c>
      <c r="E191" s="4">
        <v>12.5</v>
      </c>
      <c r="F191" s="4" t="s">
        <v>218</v>
      </c>
      <c r="G191" s="50" t="s">
        <v>219</v>
      </c>
      <c r="H191" s="4">
        <v>1514</v>
      </c>
      <c r="I191" s="53">
        <v>6.2656249999999997E-2</v>
      </c>
      <c r="J191" s="53">
        <v>0.10896875</v>
      </c>
      <c r="K191" s="53">
        <v>0.8</v>
      </c>
      <c r="L191" s="2">
        <v>0.98</v>
      </c>
      <c r="M191" s="2">
        <v>0.98</v>
      </c>
      <c r="N191" s="2">
        <v>0.98</v>
      </c>
      <c r="O191" s="2">
        <v>0.7</v>
      </c>
      <c r="P191" s="2">
        <v>0.96</v>
      </c>
      <c r="Q191" s="2">
        <v>0.98</v>
      </c>
      <c r="R191" s="2">
        <v>0.98</v>
      </c>
      <c r="S191" s="2">
        <v>0.98</v>
      </c>
      <c r="T191" s="2">
        <v>0.7</v>
      </c>
      <c r="U191" s="4">
        <v>0.96</v>
      </c>
      <c r="V191" s="4">
        <v>0.96</v>
      </c>
      <c r="W191" s="4">
        <v>0.96</v>
      </c>
      <c r="X191" s="4">
        <v>0.9</v>
      </c>
    </row>
    <row r="192" spans="1:24" x14ac:dyDescent="0.3">
      <c r="A192" s="21">
        <v>188</v>
      </c>
      <c r="B192" s="4" t="s">
        <v>327</v>
      </c>
      <c r="C192" s="4" t="s">
        <v>23</v>
      </c>
      <c r="D192" s="4">
        <v>4</v>
      </c>
      <c r="E192" s="4">
        <v>16</v>
      </c>
      <c r="F192" s="4" t="s">
        <v>327</v>
      </c>
      <c r="G192" s="50" t="s">
        <v>328</v>
      </c>
      <c r="H192" s="4">
        <v>1522</v>
      </c>
      <c r="I192" s="85">
        <v>4.8083333333333297E-2</v>
      </c>
      <c r="J192" s="85">
        <v>0.111</v>
      </c>
      <c r="K192" s="53">
        <v>0.8</v>
      </c>
      <c r="L192" s="2">
        <v>0.98</v>
      </c>
      <c r="M192" s="2">
        <v>0.98</v>
      </c>
      <c r="N192" s="2">
        <v>0.98</v>
      </c>
      <c r="O192" s="2">
        <v>0.7</v>
      </c>
      <c r="P192" s="2">
        <v>0.96</v>
      </c>
      <c r="Q192" s="2">
        <v>0.98</v>
      </c>
      <c r="R192" s="2">
        <v>0.98</v>
      </c>
      <c r="S192" s="2">
        <v>0.98</v>
      </c>
      <c r="T192" s="2">
        <v>0.7</v>
      </c>
      <c r="U192" s="4">
        <v>0.96</v>
      </c>
      <c r="V192" s="4">
        <v>0.96</v>
      </c>
      <c r="W192" s="4">
        <v>0.96</v>
      </c>
      <c r="X192" s="4">
        <v>0.9</v>
      </c>
    </row>
    <row r="193" spans="1:24" x14ac:dyDescent="0.3">
      <c r="A193" s="21">
        <v>189</v>
      </c>
      <c r="B193" s="4" t="s">
        <v>329</v>
      </c>
      <c r="C193" s="4" t="s">
        <v>23</v>
      </c>
      <c r="D193" s="4">
        <v>4</v>
      </c>
      <c r="E193" s="4">
        <v>16</v>
      </c>
      <c r="F193" s="4" t="s">
        <v>329</v>
      </c>
      <c r="G193" s="50" t="s">
        <v>330</v>
      </c>
      <c r="H193" s="4">
        <v>1522</v>
      </c>
      <c r="I193" s="53">
        <v>4.8083333333333297E-2</v>
      </c>
      <c r="J193" s="53">
        <v>0.111</v>
      </c>
      <c r="K193" s="53">
        <v>0.8</v>
      </c>
      <c r="L193" s="2">
        <v>0.98</v>
      </c>
      <c r="M193" s="2">
        <v>0.98</v>
      </c>
      <c r="N193" s="2">
        <v>0.98</v>
      </c>
      <c r="O193" s="2">
        <v>0.7</v>
      </c>
      <c r="P193" s="2">
        <v>0.96</v>
      </c>
      <c r="Q193" s="2">
        <v>0.98</v>
      </c>
      <c r="R193" s="2">
        <v>0.98</v>
      </c>
      <c r="S193" s="2">
        <v>0.98</v>
      </c>
      <c r="T193" s="2">
        <v>0.7</v>
      </c>
      <c r="U193" s="4">
        <v>0.96</v>
      </c>
      <c r="V193" s="4">
        <v>0.96</v>
      </c>
      <c r="W193" s="4">
        <v>0.96</v>
      </c>
      <c r="X193" s="4">
        <v>0.9</v>
      </c>
    </row>
    <row r="194" spans="1:24" x14ac:dyDescent="0.3">
      <c r="A194" s="21">
        <v>190</v>
      </c>
      <c r="B194" s="4" t="s">
        <v>331</v>
      </c>
      <c r="C194" s="4" t="s">
        <v>23</v>
      </c>
      <c r="D194" s="4">
        <v>2</v>
      </c>
      <c r="E194" s="4">
        <v>6</v>
      </c>
      <c r="F194" s="4" t="s">
        <v>331</v>
      </c>
      <c r="G194" s="50" t="s">
        <v>332</v>
      </c>
      <c r="H194" s="4">
        <v>1518</v>
      </c>
      <c r="I194" s="53">
        <v>6.5392857142857197E-2</v>
      </c>
      <c r="J194" s="53">
        <v>0.105428571428571</v>
      </c>
      <c r="K194" s="53">
        <v>0</v>
      </c>
      <c r="L194" s="2">
        <v>0.98</v>
      </c>
      <c r="M194" s="2">
        <v>0.98</v>
      </c>
      <c r="N194" s="2">
        <v>0.98</v>
      </c>
      <c r="O194" s="2">
        <v>0.7</v>
      </c>
      <c r="P194" s="2">
        <v>0.96</v>
      </c>
      <c r="Q194" s="2">
        <v>0.98</v>
      </c>
      <c r="R194" s="2">
        <v>0.98</v>
      </c>
      <c r="S194" s="2">
        <v>0.98</v>
      </c>
      <c r="T194" s="2">
        <v>0.7</v>
      </c>
      <c r="U194" s="4">
        <v>0.96</v>
      </c>
      <c r="V194" s="4">
        <v>0.96</v>
      </c>
      <c r="W194" s="4">
        <v>0.96</v>
      </c>
      <c r="X194" s="4">
        <v>0.9</v>
      </c>
    </row>
    <row r="195" spans="1:24" x14ac:dyDescent="0.3">
      <c r="A195" s="21">
        <v>191</v>
      </c>
      <c r="B195" s="4" t="s">
        <v>333</v>
      </c>
      <c r="C195" s="4" t="s">
        <v>23</v>
      </c>
      <c r="D195" s="4">
        <v>2</v>
      </c>
      <c r="E195" s="4">
        <v>7.55</v>
      </c>
      <c r="F195" s="4" t="s">
        <v>334</v>
      </c>
      <c r="G195" s="50" t="s">
        <v>335</v>
      </c>
      <c r="H195" s="4">
        <v>1519</v>
      </c>
      <c r="I195" s="53">
        <v>7.33178294573643E-2</v>
      </c>
      <c r="J195" s="53">
        <v>0.123240310077519</v>
      </c>
      <c r="K195" s="53">
        <v>0.75</v>
      </c>
      <c r="L195" s="2">
        <v>0.98</v>
      </c>
      <c r="M195" s="2">
        <v>0.98</v>
      </c>
      <c r="N195" s="2">
        <v>0.98</v>
      </c>
      <c r="O195" s="2">
        <v>0.7</v>
      </c>
      <c r="P195" s="2">
        <v>0.96</v>
      </c>
      <c r="Q195" s="2">
        <v>0.98</v>
      </c>
      <c r="R195" s="2">
        <v>0.98</v>
      </c>
      <c r="S195" s="2">
        <v>0.98</v>
      </c>
      <c r="T195" s="2">
        <v>0.7</v>
      </c>
      <c r="U195" s="4">
        <v>0.96</v>
      </c>
      <c r="V195" s="4">
        <v>0.96</v>
      </c>
      <c r="W195" s="4">
        <v>0.96</v>
      </c>
      <c r="X195" s="4">
        <v>0.9</v>
      </c>
    </row>
    <row r="196" spans="1:24" x14ac:dyDescent="0.3">
      <c r="A196" s="21">
        <v>192</v>
      </c>
      <c r="B196" s="4" t="s">
        <v>333</v>
      </c>
      <c r="C196" s="4" t="s">
        <v>26</v>
      </c>
      <c r="D196" s="4">
        <v>7.56</v>
      </c>
      <c r="E196" s="4">
        <v>18</v>
      </c>
      <c r="F196" s="4" t="s">
        <v>336</v>
      </c>
      <c r="G196" s="50" t="s">
        <v>335</v>
      </c>
      <c r="H196" s="4">
        <v>1519</v>
      </c>
      <c r="I196" s="53">
        <v>7.6057894736842102E-2</v>
      </c>
      <c r="J196" s="53">
        <v>0.12388947368421099</v>
      </c>
      <c r="K196" s="53">
        <v>0.75</v>
      </c>
      <c r="L196" s="2">
        <v>0.98</v>
      </c>
      <c r="M196" s="2">
        <v>0.98</v>
      </c>
      <c r="N196" s="2">
        <v>0.98</v>
      </c>
      <c r="O196" s="2">
        <v>0.7</v>
      </c>
      <c r="P196" s="2">
        <v>0.96</v>
      </c>
      <c r="Q196" s="2">
        <v>0.98</v>
      </c>
      <c r="R196" s="2">
        <v>0.98</v>
      </c>
      <c r="S196" s="2">
        <v>0.98</v>
      </c>
      <c r="T196" s="2">
        <v>0.7</v>
      </c>
      <c r="U196" s="4">
        <v>0.96</v>
      </c>
      <c r="V196" s="4">
        <v>0.96</v>
      </c>
      <c r="W196" s="4">
        <v>0.96</v>
      </c>
      <c r="X196" s="4">
        <v>0.9</v>
      </c>
    </row>
    <row r="197" spans="1:24" x14ac:dyDescent="0.3">
      <c r="A197" s="21"/>
      <c r="B197" s="50" t="s">
        <v>337</v>
      </c>
      <c r="C197" s="50" t="s">
        <v>23</v>
      </c>
      <c r="D197" s="50">
        <v>3</v>
      </c>
      <c r="E197" s="50">
        <v>7.55</v>
      </c>
      <c r="F197" s="50" t="s">
        <v>338</v>
      </c>
      <c r="G197" s="18" t="s">
        <v>339</v>
      </c>
      <c r="H197" s="4"/>
      <c r="I197" s="85">
        <v>7.33178294573643E-2</v>
      </c>
      <c r="J197" s="85">
        <v>0.123240310077519</v>
      </c>
      <c r="K197" s="53">
        <v>0.75</v>
      </c>
      <c r="L197" s="2">
        <v>0.98</v>
      </c>
      <c r="M197" s="2">
        <v>0.98</v>
      </c>
      <c r="N197" s="2">
        <v>0.98</v>
      </c>
      <c r="O197" s="2">
        <v>0.7</v>
      </c>
      <c r="P197" s="2">
        <v>0.96</v>
      </c>
      <c r="Q197" s="2">
        <v>0.98</v>
      </c>
      <c r="R197" s="2">
        <v>0.98</v>
      </c>
      <c r="S197" s="2">
        <v>0.98</v>
      </c>
      <c r="T197" s="2">
        <v>0.7</v>
      </c>
      <c r="U197" s="4">
        <v>0.96</v>
      </c>
      <c r="V197" s="4">
        <v>0.96</v>
      </c>
      <c r="W197" s="4">
        <v>0.96</v>
      </c>
      <c r="X197" s="4">
        <v>0.9</v>
      </c>
    </row>
    <row r="198" spans="1:24" x14ac:dyDescent="0.3">
      <c r="A198" s="21"/>
      <c r="B198" s="50" t="s">
        <v>337</v>
      </c>
      <c r="C198" s="50" t="s">
        <v>26</v>
      </c>
      <c r="D198" s="50">
        <v>7.56</v>
      </c>
      <c r="E198" s="50">
        <v>20</v>
      </c>
      <c r="F198" s="50" t="s">
        <v>340</v>
      </c>
      <c r="G198" s="18" t="s">
        <v>339</v>
      </c>
      <c r="H198" s="4"/>
      <c r="I198" s="85">
        <v>7.6057894736842102E-2</v>
      </c>
      <c r="J198" s="85">
        <v>0.12388947368421099</v>
      </c>
      <c r="K198" s="53">
        <v>0.75</v>
      </c>
      <c r="L198" s="2">
        <v>0.98</v>
      </c>
      <c r="M198" s="2">
        <v>0.98</v>
      </c>
      <c r="N198" s="2">
        <v>0.98</v>
      </c>
      <c r="O198" s="2">
        <v>0.7</v>
      </c>
      <c r="P198" s="2">
        <v>0.96</v>
      </c>
      <c r="Q198" s="2">
        <v>0.98</v>
      </c>
      <c r="R198" s="2">
        <v>0.98</v>
      </c>
      <c r="S198" s="2">
        <v>0.98</v>
      </c>
      <c r="T198" s="2">
        <v>0.7</v>
      </c>
      <c r="U198" s="4">
        <v>0.96</v>
      </c>
      <c r="V198" s="4">
        <v>0.96</v>
      </c>
      <c r="W198" s="4">
        <v>0.96</v>
      </c>
      <c r="X198" s="4">
        <v>0.9</v>
      </c>
    </row>
    <row r="199" spans="1:24" x14ac:dyDescent="0.3">
      <c r="A199" s="21">
        <v>193</v>
      </c>
      <c r="B199" s="4" t="s">
        <v>341</v>
      </c>
      <c r="C199" s="4" t="s">
        <v>23</v>
      </c>
      <c r="D199" s="4">
        <v>2</v>
      </c>
      <c r="E199" s="4">
        <v>10.49</v>
      </c>
      <c r="F199" s="4" t="s">
        <v>342</v>
      </c>
      <c r="G199" s="50" t="s">
        <v>343</v>
      </c>
      <c r="H199" s="4">
        <v>1529</v>
      </c>
      <c r="I199" s="53">
        <v>5.3999999999999999E-2</v>
      </c>
      <c r="J199" s="53">
        <v>9.5333333333333298E-2</v>
      </c>
      <c r="K199" s="53">
        <v>0</v>
      </c>
      <c r="L199" s="2">
        <v>0.98</v>
      </c>
      <c r="M199" s="2">
        <v>0.98</v>
      </c>
      <c r="N199" s="2">
        <v>0.98</v>
      </c>
      <c r="O199" s="2">
        <v>0.7</v>
      </c>
      <c r="P199" s="2">
        <v>0.96</v>
      </c>
      <c r="Q199" s="2">
        <v>0.98</v>
      </c>
      <c r="R199" s="2">
        <v>0.98</v>
      </c>
      <c r="S199" s="2">
        <v>0.98</v>
      </c>
      <c r="T199" s="2">
        <v>0.7</v>
      </c>
      <c r="U199" s="4">
        <v>0.96</v>
      </c>
      <c r="V199" s="4">
        <v>0.96</v>
      </c>
      <c r="W199" s="4">
        <v>0.96</v>
      </c>
      <c r="X199" s="4">
        <v>0.9</v>
      </c>
    </row>
    <row r="200" spans="1:24" x14ac:dyDescent="0.3">
      <c r="A200" s="21">
        <v>194</v>
      </c>
      <c r="B200" s="4" t="s">
        <v>341</v>
      </c>
      <c r="C200" s="4" t="s">
        <v>26</v>
      </c>
      <c r="D200" s="4">
        <v>10.5</v>
      </c>
      <c r="E200" s="4">
        <v>14</v>
      </c>
      <c r="F200" s="4" t="s">
        <v>344</v>
      </c>
      <c r="G200" s="50" t="s">
        <v>343</v>
      </c>
      <c r="H200" s="4">
        <v>1527</v>
      </c>
      <c r="I200" s="53">
        <v>5.2999999999999999E-2</v>
      </c>
      <c r="J200" s="53">
        <v>0.119166666666667</v>
      </c>
      <c r="K200" s="53">
        <v>0</v>
      </c>
      <c r="L200" s="2">
        <v>0.98</v>
      </c>
      <c r="M200" s="2">
        <v>0.98</v>
      </c>
      <c r="N200" s="2">
        <v>0.98</v>
      </c>
      <c r="O200" s="2">
        <v>0.7</v>
      </c>
      <c r="P200" s="2">
        <v>0.96</v>
      </c>
      <c r="Q200" s="2">
        <v>0.98</v>
      </c>
      <c r="R200" s="2">
        <v>0.98</v>
      </c>
      <c r="S200" s="2">
        <v>0.98</v>
      </c>
      <c r="T200" s="2">
        <v>0.7</v>
      </c>
      <c r="U200" s="4">
        <v>0.96</v>
      </c>
      <c r="V200" s="4">
        <v>0.96</v>
      </c>
      <c r="W200" s="4">
        <v>0.96</v>
      </c>
      <c r="X200" s="4">
        <v>0.9</v>
      </c>
    </row>
    <row r="201" spans="1:24" x14ac:dyDescent="0.3">
      <c r="A201" s="21">
        <v>195</v>
      </c>
      <c r="B201" s="4" t="s">
        <v>345</v>
      </c>
      <c r="C201" s="4" t="s">
        <v>23</v>
      </c>
      <c r="D201" s="4">
        <v>2</v>
      </c>
      <c r="E201" s="4">
        <v>4.99</v>
      </c>
      <c r="F201" s="4" t="s">
        <v>346</v>
      </c>
      <c r="G201" s="50" t="s">
        <v>347</v>
      </c>
      <c r="H201" s="4">
        <v>1525</v>
      </c>
      <c r="I201" s="85">
        <v>4.48E-2</v>
      </c>
      <c r="J201" s="85">
        <v>0.10580000000000001</v>
      </c>
      <c r="K201" s="53">
        <v>0</v>
      </c>
      <c r="L201" s="2">
        <v>0.98</v>
      </c>
      <c r="M201" s="2">
        <v>0.98</v>
      </c>
      <c r="N201" s="2">
        <v>0.98</v>
      </c>
      <c r="O201" s="2">
        <v>0.7</v>
      </c>
      <c r="P201" s="2">
        <v>0.96</v>
      </c>
      <c r="Q201" s="2">
        <v>0.98</v>
      </c>
      <c r="R201" s="2">
        <v>0.98</v>
      </c>
      <c r="S201" s="2">
        <v>0.98</v>
      </c>
      <c r="T201" s="2">
        <v>0.7</v>
      </c>
      <c r="U201" s="4">
        <v>0.96</v>
      </c>
      <c r="V201" s="4">
        <v>0.96</v>
      </c>
      <c r="W201" s="4">
        <v>0.96</v>
      </c>
      <c r="X201" s="4">
        <v>0.9</v>
      </c>
    </row>
    <row r="202" spans="1:24" x14ac:dyDescent="0.3">
      <c r="A202" s="21">
        <v>196</v>
      </c>
      <c r="B202" s="4" t="s">
        <v>345</v>
      </c>
      <c r="C202" s="4" t="s">
        <v>26</v>
      </c>
      <c r="D202" s="4">
        <v>5</v>
      </c>
      <c r="E202" s="4">
        <v>18</v>
      </c>
      <c r="F202" s="4" t="s">
        <v>348</v>
      </c>
      <c r="G202" s="50" t="s">
        <v>347</v>
      </c>
      <c r="H202" s="4">
        <v>1524</v>
      </c>
      <c r="I202" s="53">
        <v>4.48E-2</v>
      </c>
      <c r="J202" s="53">
        <v>0.10580000000000001</v>
      </c>
      <c r="K202" s="53">
        <v>0.8</v>
      </c>
      <c r="L202" s="2">
        <v>0.98</v>
      </c>
      <c r="M202" s="2">
        <v>0.98</v>
      </c>
      <c r="N202" s="2">
        <v>0.98</v>
      </c>
      <c r="O202" s="2">
        <v>0.7</v>
      </c>
      <c r="P202" s="2">
        <v>0.96</v>
      </c>
      <c r="Q202" s="2">
        <v>0.98</v>
      </c>
      <c r="R202" s="2">
        <v>0.98</v>
      </c>
      <c r="S202" s="2">
        <v>0.98</v>
      </c>
      <c r="T202" s="2">
        <v>0.7</v>
      </c>
      <c r="U202" s="4">
        <v>0.96</v>
      </c>
      <c r="V202" s="4">
        <v>0.96</v>
      </c>
      <c r="W202" s="4">
        <v>0.96</v>
      </c>
      <c r="X202" s="4">
        <v>0.9</v>
      </c>
    </row>
    <row r="203" spans="1:24" x14ac:dyDescent="0.3">
      <c r="A203" s="21">
        <v>197</v>
      </c>
      <c r="B203" s="4" t="s">
        <v>349</v>
      </c>
      <c r="C203" s="4" t="s">
        <v>23</v>
      </c>
      <c r="D203" s="4">
        <v>2</v>
      </c>
      <c r="E203" s="4">
        <v>4.99</v>
      </c>
      <c r="F203" s="4" t="s">
        <v>350</v>
      </c>
      <c r="G203" s="50" t="s">
        <v>351</v>
      </c>
      <c r="H203" s="4">
        <v>1525</v>
      </c>
      <c r="I203" s="85">
        <v>4.1125000000000002E-2</v>
      </c>
      <c r="J203" s="85">
        <v>9.2249999999999999E-2</v>
      </c>
      <c r="K203" s="53">
        <v>0</v>
      </c>
      <c r="L203" s="2">
        <v>0.98</v>
      </c>
      <c r="M203" s="2">
        <v>0.98</v>
      </c>
      <c r="N203" s="2">
        <v>0.98</v>
      </c>
      <c r="O203" s="2">
        <v>0.7</v>
      </c>
      <c r="P203" s="2">
        <v>0.96</v>
      </c>
      <c r="Q203" s="2">
        <v>0.98</v>
      </c>
      <c r="R203" s="2">
        <v>0.98</v>
      </c>
      <c r="S203" s="2">
        <v>0.98</v>
      </c>
      <c r="T203" s="2">
        <v>0.7</v>
      </c>
      <c r="U203" s="4">
        <v>0.96</v>
      </c>
      <c r="V203" s="4">
        <v>0.96</v>
      </c>
      <c r="W203" s="4">
        <v>0.96</v>
      </c>
      <c r="X203" s="4">
        <v>0.9</v>
      </c>
    </row>
    <row r="204" spans="1:24" x14ac:dyDescent="0.3">
      <c r="A204" s="21">
        <v>198</v>
      </c>
      <c r="B204" s="4" t="s">
        <v>349</v>
      </c>
      <c r="C204" s="4" t="s">
        <v>26</v>
      </c>
      <c r="D204" s="4">
        <v>5</v>
      </c>
      <c r="E204" s="4">
        <v>18</v>
      </c>
      <c r="F204" s="4" t="s">
        <v>352</v>
      </c>
      <c r="G204" s="50" t="s">
        <v>351</v>
      </c>
      <c r="H204" s="4">
        <v>1524</v>
      </c>
      <c r="I204" s="53">
        <v>4.1125000000000002E-2</v>
      </c>
      <c r="J204" s="53">
        <v>9.2249999999999999E-2</v>
      </c>
      <c r="K204" s="53">
        <v>0.8</v>
      </c>
      <c r="L204" s="2">
        <v>0.98</v>
      </c>
      <c r="M204" s="2">
        <v>0.98</v>
      </c>
      <c r="N204" s="2">
        <v>0.98</v>
      </c>
      <c r="O204" s="2">
        <v>0.7</v>
      </c>
      <c r="P204" s="2">
        <v>0.96</v>
      </c>
      <c r="Q204" s="2">
        <v>0.98</v>
      </c>
      <c r="R204" s="2">
        <v>0.98</v>
      </c>
      <c r="S204" s="2">
        <v>0.98</v>
      </c>
      <c r="T204" s="2">
        <v>0.7</v>
      </c>
      <c r="U204" s="4">
        <v>0.96</v>
      </c>
      <c r="V204" s="4">
        <v>0.96</v>
      </c>
      <c r="W204" s="4">
        <v>0.96</v>
      </c>
      <c r="X204" s="4">
        <v>0.9</v>
      </c>
    </row>
    <row r="205" spans="1:24" x14ac:dyDescent="0.3">
      <c r="A205" s="21">
        <v>199</v>
      </c>
      <c r="B205" s="4" t="s">
        <v>353</v>
      </c>
      <c r="C205" s="4" t="s">
        <v>23</v>
      </c>
      <c r="D205" s="4">
        <v>4</v>
      </c>
      <c r="E205" s="4">
        <v>6</v>
      </c>
      <c r="F205" s="4" t="s">
        <v>354</v>
      </c>
      <c r="G205" s="4" t="s">
        <v>355</v>
      </c>
      <c r="H205" s="4">
        <v>1523.8</v>
      </c>
      <c r="I205" s="85">
        <v>4.1125000000000002E-2</v>
      </c>
      <c r="J205" s="85">
        <v>9.2249999999999999E-2</v>
      </c>
      <c r="K205" s="53">
        <v>0.8</v>
      </c>
      <c r="L205" s="2">
        <v>0.98</v>
      </c>
      <c r="M205" s="2">
        <v>0.98</v>
      </c>
      <c r="N205" s="2">
        <v>0.98</v>
      </c>
      <c r="O205" s="2">
        <v>0.7</v>
      </c>
      <c r="P205" s="2">
        <v>0.96</v>
      </c>
      <c r="Q205" s="2">
        <v>0.98</v>
      </c>
      <c r="R205" s="2">
        <v>0.98</v>
      </c>
      <c r="S205" s="2">
        <v>0.98</v>
      </c>
      <c r="T205" s="2">
        <v>0.7</v>
      </c>
      <c r="U205" s="4">
        <v>0.96</v>
      </c>
      <c r="V205" s="4">
        <v>0.96</v>
      </c>
      <c r="W205" s="4">
        <v>0.96</v>
      </c>
      <c r="X205" s="4">
        <v>0.9</v>
      </c>
    </row>
    <row r="206" spans="1:24" x14ac:dyDescent="0.3">
      <c r="A206" s="21">
        <v>200</v>
      </c>
      <c r="B206" s="4" t="s">
        <v>353</v>
      </c>
      <c r="C206" s="4" t="s">
        <v>26</v>
      </c>
      <c r="D206" s="4">
        <v>6.01</v>
      </c>
      <c r="E206" s="4">
        <v>12</v>
      </c>
      <c r="F206" s="4" t="s">
        <v>356</v>
      </c>
      <c r="G206" s="4" t="s">
        <v>355</v>
      </c>
      <c r="H206" s="4">
        <v>1522.9</v>
      </c>
      <c r="I206" s="85">
        <v>4.1125000000000002E-2</v>
      </c>
      <c r="J206" s="85">
        <v>9.2249999999999999E-2</v>
      </c>
      <c r="K206" s="53">
        <v>0.8</v>
      </c>
      <c r="L206" s="2">
        <v>0.98</v>
      </c>
      <c r="M206" s="2">
        <v>0.98</v>
      </c>
      <c r="N206" s="2">
        <v>0.98</v>
      </c>
      <c r="O206" s="2">
        <v>0.7</v>
      </c>
      <c r="P206" s="2">
        <v>0.96</v>
      </c>
      <c r="Q206" s="2">
        <v>0.98</v>
      </c>
      <c r="R206" s="2">
        <v>0.98</v>
      </c>
      <c r="S206" s="2">
        <v>0.98</v>
      </c>
      <c r="T206" s="2">
        <v>0.7</v>
      </c>
      <c r="U206" s="4">
        <v>0.96</v>
      </c>
      <c r="V206" s="4">
        <v>0.96</v>
      </c>
      <c r="W206" s="4">
        <v>0.96</v>
      </c>
      <c r="X206" s="4">
        <v>0.9</v>
      </c>
    </row>
    <row r="207" spans="1:24" x14ac:dyDescent="0.3">
      <c r="A207" s="21">
        <v>201</v>
      </c>
      <c r="B207" s="4" t="s">
        <v>353</v>
      </c>
      <c r="C207" s="4" t="s">
        <v>90</v>
      </c>
      <c r="D207" s="4">
        <v>12.01</v>
      </c>
      <c r="E207" s="4">
        <v>20</v>
      </c>
      <c r="F207" s="4" t="s">
        <v>357</v>
      </c>
      <c r="G207" s="4" t="s">
        <v>355</v>
      </c>
      <c r="H207" s="4">
        <v>1522.9</v>
      </c>
      <c r="I207" s="85">
        <v>4.1125000000000002E-2</v>
      </c>
      <c r="J207" s="85">
        <v>9.2249999999999999E-2</v>
      </c>
      <c r="K207" s="53">
        <v>0.8</v>
      </c>
      <c r="L207" s="2">
        <v>0.98</v>
      </c>
      <c r="M207" s="2">
        <v>0.98</v>
      </c>
      <c r="N207" s="2">
        <v>0.98</v>
      </c>
      <c r="O207" s="2">
        <v>0.7</v>
      </c>
      <c r="P207" s="2">
        <v>0.96</v>
      </c>
      <c r="Q207" s="2">
        <v>0.98</v>
      </c>
      <c r="R207" s="2">
        <v>0.98</v>
      </c>
      <c r="S207" s="2">
        <v>0.98</v>
      </c>
      <c r="T207" s="2">
        <v>0.7</v>
      </c>
      <c r="U207" s="4">
        <v>0.96</v>
      </c>
      <c r="V207" s="4">
        <v>0.96</v>
      </c>
      <c r="W207" s="4">
        <v>0.96</v>
      </c>
      <c r="X207" s="4">
        <v>0.9</v>
      </c>
    </row>
    <row r="208" spans="1:24" x14ac:dyDescent="0.3">
      <c r="A208" s="21">
        <v>202</v>
      </c>
      <c r="B208" s="4" t="s">
        <v>358</v>
      </c>
      <c r="C208" s="4" t="s">
        <v>23</v>
      </c>
      <c r="D208" s="4">
        <v>2</v>
      </c>
      <c r="E208" s="4">
        <v>5.99</v>
      </c>
      <c r="F208" s="4" t="s">
        <v>359</v>
      </c>
      <c r="G208" s="50" t="s">
        <v>360</v>
      </c>
      <c r="H208" s="4">
        <v>1525</v>
      </c>
      <c r="I208" s="53">
        <v>4.2999999999999997E-2</v>
      </c>
      <c r="J208" s="53">
        <v>8.0833333333333299E-2</v>
      </c>
      <c r="K208" s="53">
        <v>0.8</v>
      </c>
      <c r="L208" s="2">
        <v>0.98</v>
      </c>
      <c r="M208" s="2">
        <v>0.98</v>
      </c>
      <c r="N208" s="2">
        <v>0.98</v>
      </c>
      <c r="O208" s="2">
        <v>0.7</v>
      </c>
      <c r="P208" s="2">
        <v>0.96</v>
      </c>
      <c r="Q208" s="2">
        <v>0.98</v>
      </c>
      <c r="R208" s="2">
        <v>0.98</v>
      </c>
      <c r="S208" s="2">
        <v>0.98</v>
      </c>
      <c r="T208" s="2">
        <v>0.7</v>
      </c>
      <c r="U208" s="4">
        <v>0.96</v>
      </c>
      <c r="V208" s="4">
        <v>0.96</v>
      </c>
      <c r="W208" s="4">
        <v>0.96</v>
      </c>
      <c r="X208" s="4">
        <v>0.9</v>
      </c>
    </row>
    <row r="209" spans="1:24" x14ac:dyDescent="0.3">
      <c r="A209" s="21">
        <v>203</v>
      </c>
      <c r="B209" s="4" t="s">
        <v>358</v>
      </c>
      <c r="C209" s="4" t="s">
        <v>26</v>
      </c>
      <c r="D209" s="4">
        <v>6</v>
      </c>
      <c r="E209" s="4">
        <v>14</v>
      </c>
      <c r="F209" s="4" t="s">
        <v>361</v>
      </c>
      <c r="G209" s="50" t="s">
        <v>360</v>
      </c>
      <c r="H209" s="4">
        <v>1525</v>
      </c>
      <c r="I209" s="85">
        <v>4.2999999999999997E-2</v>
      </c>
      <c r="J209" s="85">
        <v>8.0833333333333299E-2</v>
      </c>
      <c r="K209" s="53">
        <v>0.8</v>
      </c>
      <c r="L209" s="2">
        <v>0.98</v>
      </c>
      <c r="M209" s="2">
        <v>0.98</v>
      </c>
      <c r="N209" s="2">
        <v>0.98</v>
      </c>
      <c r="O209" s="2">
        <v>0.7</v>
      </c>
      <c r="P209" s="2">
        <v>0.96</v>
      </c>
      <c r="Q209" s="2">
        <v>0.98</v>
      </c>
      <c r="R209" s="2">
        <v>0.98</v>
      </c>
      <c r="S209" s="2">
        <v>0.98</v>
      </c>
      <c r="T209" s="2">
        <v>0.7</v>
      </c>
      <c r="U209" s="4">
        <v>0.96</v>
      </c>
      <c r="V209" s="4">
        <v>0.96</v>
      </c>
      <c r="W209" s="4">
        <v>0.96</v>
      </c>
      <c r="X209" s="4">
        <v>0.9</v>
      </c>
    </row>
    <row r="210" spans="1:24" x14ac:dyDescent="0.3">
      <c r="A210" s="21">
        <v>204</v>
      </c>
      <c r="B210" s="4" t="s">
        <v>362</v>
      </c>
      <c r="C210" s="4" t="s">
        <v>23</v>
      </c>
      <c r="D210" s="4">
        <v>20</v>
      </c>
      <c r="E210" s="4">
        <v>26</v>
      </c>
      <c r="F210" s="4" t="s">
        <v>362</v>
      </c>
      <c r="G210" s="50" t="s">
        <v>363</v>
      </c>
      <c r="H210" s="4">
        <v>1522</v>
      </c>
      <c r="I210" s="53">
        <v>4.8333333333333298E-2</v>
      </c>
      <c r="J210" s="53">
        <v>8.2000000000000003E-2</v>
      </c>
      <c r="K210" s="53">
        <v>0.8</v>
      </c>
      <c r="L210" s="2">
        <v>0.98</v>
      </c>
      <c r="M210" s="2">
        <v>0.98</v>
      </c>
      <c r="N210" s="2">
        <v>0.98</v>
      </c>
      <c r="O210" s="2">
        <v>0.7</v>
      </c>
      <c r="P210" s="2">
        <v>0.96</v>
      </c>
      <c r="Q210" s="2">
        <v>0.98</v>
      </c>
      <c r="R210" s="2">
        <v>0.98</v>
      </c>
      <c r="S210" s="2">
        <v>0.98</v>
      </c>
      <c r="T210" s="2">
        <v>0.7</v>
      </c>
      <c r="U210" s="4">
        <v>0.96</v>
      </c>
      <c r="V210" s="4">
        <v>0.96</v>
      </c>
      <c r="W210" s="4">
        <v>0.96</v>
      </c>
      <c r="X210" s="4">
        <v>0.9</v>
      </c>
    </row>
    <row r="211" spans="1:24" x14ac:dyDescent="0.3">
      <c r="A211" s="21">
        <v>205</v>
      </c>
      <c r="B211" s="4" t="s">
        <v>364</v>
      </c>
      <c r="C211" s="4" t="s">
        <v>23</v>
      </c>
      <c r="D211" s="4">
        <v>3</v>
      </c>
      <c r="E211" s="4">
        <v>5.99</v>
      </c>
      <c r="F211" s="4" t="s">
        <v>365</v>
      </c>
      <c r="G211" s="50" t="s">
        <v>366</v>
      </c>
      <c r="H211" s="4">
        <v>1520</v>
      </c>
      <c r="I211" s="53">
        <v>4.9500000000000002E-2</v>
      </c>
      <c r="J211" s="53">
        <v>0.10199999999999999</v>
      </c>
      <c r="K211" s="53">
        <v>0.8</v>
      </c>
      <c r="L211" s="2">
        <v>0.98</v>
      </c>
      <c r="M211" s="2">
        <v>0.98</v>
      </c>
      <c r="N211" s="2">
        <v>0.98</v>
      </c>
      <c r="O211" s="2">
        <v>0.7</v>
      </c>
      <c r="P211" s="2">
        <v>0.96</v>
      </c>
      <c r="Q211" s="2">
        <v>0.98</v>
      </c>
      <c r="R211" s="2">
        <v>0.98</v>
      </c>
      <c r="S211" s="2">
        <v>0.98</v>
      </c>
      <c r="T211" s="2">
        <v>0.7</v>
      </c>
      <c r="U211" s="4">
        <v>0.96</v>
      </c>
      <c r="V211" s="4">
        <v>0.96</v>
      </c>
      <c r="W211" s="4">
        <v>0.96</v>
      </c>
      <c r="X211" s="4">
        <v>0.9</v>
      </c>
    </row>
    <row r="212" spans="1:24" x14ac:dyDescent="0.3">
      <c r="A212" s="21">
        <v>206</v>
      </c>
      <c r="B212" s="4" t="s">
        <v>364</v>
      </c>
      <c r="C212" s="4" t="s">
        <v>26</v>
      </c>
      <c r="D212" s="4">
        <v>6</v>
      </c>
      <c r="E212" s="4">
        <v>12</v>
      </c>
      <c r="F212" s="4" t="s">
        <v>367</v>
      </c>
      <c r="G212" s="50" t="s">
        <v>366</v>
      </c>
      <c r="H212" s="4">
        <v>1520</v>
      </c>
      <c r="I212" s="53">
        <v>4.9500000000000002E-2</v>
      </c>
      <c r="J212" s="53">
        <v>0.10199999999999999</v>
      </c>
      <c r="K212" s="53">
        <v>0.8</v>
      </c>
      <c r="L212" s="2">
        <v>0.98</v>
      </c>
      <c r="M212" s="2">
        <v>0.98</v>
      </c>
      <c r="N212" s="2">
        <v>0.98</v>
      </c>
      <c r="O212" s="2">
        <v>0.7</v>
      </c>
      <c r="P212" s="2">
        <v>0.96</v>
      </c>
      <c r="Q212" s="2">
        <v>0.98</v>
      </c>
      <c r="R212" s="2">
        <v>0.98</v>
      </c>
      <c r="S212" s="2">
        <v>0.98</v>
      </c>
      <c r="T212" s="2">
        <v>0.7</v>
      </c>
      <c r="U212" s="4">
        <v>0.96</v>
      </c>
      <c r="V212" s="4">
        <v>0.96</v>
      </c>
      <c r="W212" s="4">
        <v>0.96</v>
      </c>
      <c r="X212" s="4">
        <v>0.9</v>
      </c>
    </row>
    <row r="213" spans="1:24" x14ac:dyDescent="0.3">
      <c r="A213" s="21">
        <v>207</v>
      </c>
      <c r="B213" s="4" t="s">
        <v>368</v>
      </c>
      <c r="C213" s="4" t="s">
        <v>23</v>
      </c>
      <c r="D213" s="4">
        <v>3</v>
      </c>
      <c r="E213" s="4">
        <v>5.99</v>
      </c>
      <c r="F213" s="4" t="s">
        <v>368</v>
      </c>
      <c r="G213" s="50" t="s">
        <v>369</v>
      </c>
      <c r="H213" s="4">
        <v>1520</v>
      </c>
      <c r="I213" s="53">
        <v>4.9500000000000002E-2</v>
      </c>
      <c r="J213" s="53">
        <v>0.10199999999999999</v>
      </c>
      <c r="K213" s="53">
        <v>0.8</v>
      </c>
      <c r="L213" s="2">
        <v>0.98</v>
      </c>
      <c r="M213" s="2">
        <v>0.98</v>
      </c>
      <c r="N213" s="2">
        <v>0.98</v>
      </c>
      <c r="O213" s="2">
        <v>0.7</v>
      </c>
      <c r="P213" s="2">
        <v>0.96</v>
      </c>
      <c r="Q213" s="2">
        <v>0.98</v>
      </c>
      <c r="R213" s="2">
        <v>0.98</v>
      </c>
      <c r="S213" s="2">
        <v>0.98</v>
      </c>
      <c r="T213" s="2">
        <v>0.7</v>
      </c>
      <c r="U213" s="4">
        <v>0.96</v>
      </c>
      <c r="V213" s="4">
        <v>0.96</v>
      </c>
      <c r="W213" s="4">
        <v>0.96</v>
      </c>
      <c r="X213" s="4">
        <v>0.9</v>
      </c>
    </row>
    <row r="214" spans="1:24" x14ac:dyDescent="0.3">
      <c r="A214" s="21">
        <v>208</v>
      </c>
      <c r="B214" s="4" t="s">
        <v>370</v>
      </c>
      <c r="C214" s="4" t="s">
        <v>23</v>
      </c>
      <c r="D214" s="4">
        <v>2</v>
      </c>
      <c r="E214" s="4">
        <v>5.99</v>
      </c>
      <c r="F214" s="4" t="s">
        <v>371</v>
      </c>
      <c r="G214" s="50" t="s">
        <v>372</v>
      </c>
      <c r="H214" s="4">
        <v>1523</v>
      </c>
      <c r="I214" s="53">
        <v>4.3193798449612401E-2</v>
      </c>
      <c r="J214" s="53">
        <v>9.2255813953488405E-2</v>
      </c>
      <c r="K214" s="53">
        <v>0.8</v>
      </c>
      <c r="L214" s="2">
        <v>0.98</v>
      </c>
      <c r="M214" s="2">
        <v>0.98</v>
      </c>
      <c r="N214" s="2">
        <v>0.98</v>
      </c>
      <c r="O214" s="2">
        <v>0.7</v>
      </c>
      <c r="P214" s="2">
        <v>0.96</v>
      </c>
      <c r="Q214" s="2">
        <v>0.98</v>
      </c>
      <c r="R214" s="2">
        <v>0.98</v>
      </c>
      <c r="S214" s="2">
        <v>0.98</v>
      </c>
      <c r="T214" s="2">
        <v>0.7</v>
      </c>
      <c r="U214" s="4">
        <v>0.96</v>
      </c>
      <c r="V214" s="4">
        <v>0.96</v>
      </c>
      <c r="W214" s="4">
        <v>0.96</v>
      </c>
      <c r="X214" s="4">
        <v>0.9</v>
      </c>
    </row>
    <row r="215" spans="1:24" x14ac:dyDescent="0.3">
      <c r="A215" s="21">
        <v>209</v>
      </c>
      <c r="B215" s="4" t="s">
        <v>370</v>
      </c>
      <c r="C215" s="4" t="s">
        <v>26</v>
      </c>
      <c r="D215" s="4">
        <v>6</v>
      </c>
      <c r="E215" s="4">
        <v>14</v>
      </c>
      <c r="F215" s="4" t="s">
        <v>373</v>
      </c>
      <c r="G215" s="50" t="s">
        <v>372</v>
      </c>
      <c r="H215" s="4">
        <v>1523</v>
      </c>
      <c r="I215" s="53">
        <v>4.4036363636363603E-2</v>
      </c>
      <c r="J215" s="53">
        <v>9.3618181818181795E-2</v>
      </c>
      <c r="K215" s="53">
        <v>0.8</v>
      </c>
      <c r="L215" s="2">
        <v>0.98</v>
      </c>
      <c r="M215" s="2">
        <v>0.98</v>
      </c>
      <c r="N215" s="2">
        <v>0.98</v>
      </c>
      <c r="O215" s="2">
        <v>0.7</v>
      </c>
      <c r="P215" s="2">
        <v>0.96</v>
      </c>
      <c r="Q215" s="2">
        <v>0.98</v>
      </c>
      <c r="R215" s="2">
        <v>0.98</v>
      </c>
      <c r="S215" s="2">
        <v>0.98</v>
      </c>
      <c r="T215" s="2">
        <v>0.7</v>
      </c>
      <c r="U215" s="4">
        <v>0.96</v>
      </c>
      <c r="V215" s="4">
        <v>0.96</v>
      </c>
      <c r="W215" s="4">
        <v>0.96</v>
      </c>
      <c r="X215" s="4">
        <v>0.9</v>
      </c>
    </row>
    <row r="216" spans="1:24" x14ac:dyDescent="0.3">
      <c r="A216" s="21">
        <v>210</v>
      </c>
      <c r="B216" s="4" t="s">
        <v>374</v>
      </c>
      <c r="C216" s="4" t="s">
        <v>23</v>
      </c>
      <c r="D216" s="4">
        <v>2</v>
      </c>
      <c r="E216" s="4">
        <v>5.99</v>
      </c>
      <c r="F216" s="4" t="s">
        <v>375</v>
      </c>
      <c r="G216" s="50" t="s">
        <v>376</v>
      </c>
      <c r="H216" s="4">
        <v>1521</v>
      </c>
      <c r="I216" s="53">
        <v>4.6154929577464802E-2</v>
      </c>
      <c r="J216" s="53">
        <v>9.2253521126760593E-2</v>
      </c>
      <c r="K216" s="53">
        <v>0.8</v>
      </c>
      <c r="L216" s="2">
        <v>0.98</v>
      </c>
      <c r="M216" s="2">
        <v>0.98</v>
      </c>
      <c r="N216" s="2">
        <v>0.98</v>
      </c>
      <c r="O216" s="2">
        <v>0.7</v>
      </c>
      <c r="P216" s="2">
        <v>0.96</v>
      </c>
      <c r="Q216" s="2">
        <v>0.98</v>
      </c>
      <c r="R216" s="2">
        <v>0.98</v>
      </c>
      <c r="S216" s="2">
        <v>0.98</v>
      </c>
      <c r="T216" s="2">
        <v>0.7</v>
      </c>
      <c r="U216" s="4">
        <v>0.96</v>
      </c>
      <c r="V216" s="4">
        <v>0.96</v>
      </c>
      <c r="W216" s="4">
        <v>0.96</v>
      </c>
      <c r="X216" s="4">
        <v>0.9</v>
      </c>
    </row>
    <row r="217" spans="1:24" x14ac:dyDescent="0.3">
      <c r="A217" s="21">
        <v>211</v>
      </c>
      <c r="B217" s="4" t="s">
        <v>374</v>
      </c>
      <c r="C217" s="4" t="s">
        <v>26</v>
      </c>
      <c r="D217" s="4">
        <v>6</v>
      </c>
      <c r="E217" s="4">
        <v>14</v>
      </c>
      <c r="F217" s="4" t="s">
        <v>377</v>
      </c>
      <c r="G217" s="50" t="s">
        <v>376</v>
      </c>
      <c r="H217" s="4">
        <v>1521</v>
      </c>
      <c r="I217" s="53">
        <v>4.5162790697674399E-2</v>
      </c>
      <c r="J217" s="53">
        <v>9.6372093023255806E-2</v>
      </c>
      <c r="K217" s="53">
        <v>0.8</v>
      </c>
      <c r="L217" s="2">
        <v>0.98</v>
      </c>
      <c r="M217" s="2">
        <v>0.98</v>
      </c>
      <c r="N217" s="2">
        <v>0.98</v>
      </c>
      <c r="O217" s="2">
        <v>0.7</v>
      </c>
      <c r="P217" s="2">
        <v>0.96</v>
      </c>
      <c r="Q217" s="2">
        <v>0.98</v>
      </c>
      <c r="R217" s="2">
        <v>0.98</v>
      </c>
      <c r="S217" s="2">
        <v>0.98</v>
      </c>
      <c r="T217" s="2">
        <v>0.7</v>
      </c>
      <c r="U217" s="4">
        <v>0.96</v>
      </c>
      <c r="V217" s="4">
        <v>0.96</v>
      </c>
      <c r="W217" s="4">
        <v>0.96</v>
      </c>
      <c r="X217" s="4">
        <v>0.9</v>
      </c>
    </row>
    <row r="218" spans="1:24" x14ac:dyDescent="0.3">
      <c r="A218" s="21">
        <v>212</v>
      </c>
      <c r="B218" s="4" t="s">
        <v>378</v>
      </c>
      <c r="C218" s="4" t="s">
        <v>23</v>
      </c>
      <c r="D218" s="4">
        <v>2</v>
      </c>
      <c r="E218" s="4">
        <v>4</v>
      </c>
      <c r="F218" s="4" t="s">
        <v>379</v>
      </c>
      <c r="G218" s="50" t="s">
        <v>380</v>
      </c>
      <c r="H218" s="4">
        <v>1521</v>
      </c>
      <c r="I218" s="53">
        <v>3.6608695652173902E-2</v>
      </c>
      <c r="J218" s="53">
        <v>8.6304347826086994E-2</v>
      </c>
      <c r="K218" s="53">
        <v>0.8</v>
      </c>
      <c r="L218" s="2">
        <v>0.98</v>
      </c>
      <c r="M218" s="2">
        <v>0.98</v>
      </c>
      <c r="N218" s="2">
        <v>0.98</v>
      </c>
      <c r="O218" s="2">
        <v>0.7</v>
      </c>
      <c r="P218" s="2">
        <v>0.96</v>
      </c>
      <c r="Q218" s="2">
        <v>0.98</v>
      </c>
      <c r="R218" s="2">
        <v>0.98</v>
      </c>
      <c r="S218" s="2">
        <v>0.98</v>
      </c>
      <c r="T218" s="2">
        <v>0.7</v>
      </c>
      <c r="U218" s="4">
        <v>0.96</v>
      </c>
      <c r="V218" s="4">
        <v>0.96</v>
      </c>
      <c r="W218" s="4">
        <v>0.96</v>
      </c>
      <c r="X218" s="4">
        <v>0.9</v>
      </c>
    </row>
    <row r="219" spans="1:24" x14ac:dyDescent="0.3">
      <c r="A219" s="21">
        <v>213</v>
      </c>
      <c r="B219" s="4" t="s">
        <v>378</v>
      </c>
      <c r="C219" s="4" t="s">
        <v>26</v>
      </c>
      <c r="D219" s="4">
        <v>4.01</v>
      </c>
      <c r="E219" s="4">
        <v>6</v>
      </c>
      <c r="F219" s="4" t="s">
        <v>381</v>
      </c>
      <c r="G219" s="50" t="s">
        <v>380</v>
      </c>
      <c r="H219" s="4">
        <v>1521</v>
      </c>
      <c r="I219" s="53">
        <v>3.8944444444444497E-2</v>
      </c>
      <c r="J219" s="53">
        <v>9.2749999999999999E-2</v>
      </c>
      <c r="K219" s="53">
        <v>0.8</v>
      </c>
      <c r="L219" s="2">
        <v>0.98</v>
      </c>
      <c r="M219" s="2">
        <v>0.98</v>
      </c>
      <c r="N219" s="2">
        <v>0.98</v>
      </c>
      <c r="O219" s="2">
        <v>0.7</v>
      </c>
      <c r="P219" s="2">
        <v>0.96</v>
      </c>
      <c r="Q219" s="2">
        <v>0.98</v>
      </c>
      <c r="R219" s="2">
        <v>0.98</v>
      </c>
      <c r="S219" s="2">
        <v>0.98</v>
      </c>
      <c r="T219" s="2">
        <v>0.7</v>
      </c>
      <c r="U219" s="4">
        <v>0.96</v>
      </c>
      <c r="V219" s="4">
        <v>0.96</v>
      </c>
      <c r="W219" s="4">
        <v>0.96</v>
      </c>
      <c r="X219" s="4">
        <v>0.9</v>
      </c>
    </row>
    <row r="220" spans="1:24" x14ac:dyDescent="0.3">
      <c r="A220" s="21">
        <v>214</v>
      </c>
      <c r="B220" s="4" t="s">
        <v>378</v>
      </c>
      <c r="C220" s="4" t="s">
        <v>90</v>
      </c>
      <c r="D220" s="4">
        <v>6.01</v>
      </c>
      <c r="E220" s="4">
        <v>14</v>
      </c>
      <c r="F220" s="4" t="s">
        <v>382</v>
      </c>
      <c r="G220" s="50" t="s">
        <v>380</v>
      </c>
      <c r="H220" s="4">
        <v>1521</v>
      </c>
      <c r="I220" s="53">
        <v>3.9833333333333297E-2</v>
      </c>
      <c r="J220" s="53">
        <v>8.5166666666666696E-2</v>
      </c>
      <c r="K220" s="53">
        <v>0.8</v>
      </c>
      <c r="L220" s="2">
        <v>0.98</v>
      </c>
      <c r="M220" s="2">
        <v>0.98</v>
      </c>
      <c r="N220" s="2">
        <v>0.98</v>
      </c>
      <c r="O220" s="2">
        <v>0.7</v>
      </c>
      <c r="P220" s="2">
        <v>0.96</v>
      </c>
      <c r="Q220" s="2">
        <v>0.98</v>
      </c>
      <c r="R220" s="2">
        <v>0.98</v>
      </c>
      <c r="S220" s="2">
        <v>0.98</v>
      </c>
      <c r="T220" s="2">
        <v>0.7</v>
      </c>
      <c r="U220" s="4">
        <v>0.96</v>
      </c>
      <c r="V220" s="4">
        <v>0.96</v>
      </c>
      <c r="W220" s="4">
        <v>0.96</v>
      </c>
      <c r="X220" s="4">
        <v>0.9</v>
      </c>
    </row>
    <row r="221" spans="1:24" x14ac:dyDescent="0.3">
      <c r="A221" s="21">
        <v>215</v>
      </c>
      <c r="B221" s="4" t="s">
        <v>383</v>
      </c>
      <c r="C221" s="4" t="s">
        <v>23</v>
      </c>
      <c r="D221" s="4">
        <v>2</v>
      </c>
      <c r="E221" s="4">
        <v>6</v>
      </c>
      <c r="F221" s="4" t="s">
        <v>384</v>
      </c>
      <c r="G221" s="50" t="s">
        <v>385</v>
      </c>
      <c r="H221" s="4">
        <v>1521</v>
      </c>
      <c r="I221" s="53">
        <v>4.1030303030303E-2</v>
      </c>
      <c r="J221" s="53">
        <v>9.6030303030303105E-2</v>
      </c>
      <c r="K221" s="53">
        <v>0.8</v>
      </c>
      <c r="L221" s="2">
        <v>0.98</v>
      </c>
      <c r="M221" s="2">
        <v>0.98</v>
      </c>
      <c r="N221" s="2">
        <v>0.98</v>
      </c>
      <c r="O221" s="2">
        <v>0.7</v>
      </c>
      <c r="P221" s="2">
        <v>0.96</v>
      </c>
      <c r="Q221" s="2">
        <v>0.98</v>
      </c>
      <c r="R221" s="2">
        <v>0.98</v>
      </c>
      <c r="S221" s="2">
        <v>0.98</v>
      </c>
      <c r="T221" s="2">
        <v>0.7</v>
      </c>
      <c r="U221" s="4">
        <v>0.96</v>
      </c>
      <c r="V221" s="4">
        <v>0.96</v>
      </c>
      <c r="W221" s="4">
        <v>0.96</v>
      </c>
      <c r="X221" s="4">
        <v>0.9</v>
      </c>
    </row>
    <row r="222" spans="1:24" x14ac:dyDescent="0.3">
      <c r="A222" s="21">
        <v>216</v>
      </c>
      <c r="B222" s="4" t="s">
        <v>383</v>
      </c>
      <c r="C222" s="4" t="s">
        <v>26</v>
      </c>
      <c r="D222" s="4">
        <v>6.01</v>
      </c>
      <c r="E222" s="4">
        <v>10</v>
      </c>
      <c r="F222" s="4" t="s">
        <v>386</v>
      </c>
      <c r="G222" s="50" t="s">
        <v>385</v>
      </c>
      <c r="H222" s="4">
        <v>1521</v>
      </c>
      <c r="I222" s="53">
        <v>4.3124999999999997E-2</v>
      </c>
      <c r="J222" s="53">
        <v>9.9525000000000002E-2</v>
      </c>
      <c r="K222" s="53">
        <v>0.8</v>
      </c>
      <c r="L222" s="2">
        <v>0.98</v>
      </c>
      <c r="M222" s="2">
        <v>0.98</v>
      </c>
      <c r="N222" s="2">
        <v>0.98</v>
      </c>
      <c r="O222" s="2">
        <v>0.7</v>
      </c>
      <c r="P222" s="2">
        <v>0.96</v>
      </c>
      <c r="Q222" s="2">
        <v>0.98</v>
      </c>
      <c r="R222" s="2">
        <v>0.98</v>
      </c>
      <c r="S222" s="2">
        <v>0.98</v>
      </c>
      <c r="T222" s="2">
        <v>0.7</v>
      </c>
      <c r="U222" s="4">
        <v>0.96</v>
      </c>
      <c r="V222" s="4">
        <v>0.96</v>
      </c>
      <c r="W222" s="4">
        <v>0.96</v>
      </c>
      <c r="X222" s="4">
        <v>0.9</v>
      </c>
    </row>
    <row r="223" spans="1:24" x14ac:dyDescent="0.3">
      <c r="A223" s="21">
        <v>217</v>
      </c>
      <c r="B223" s="4" t="s">
        <v>383</v>
      </c>
      <c r="C223" s="4" t="s">
        <v>90</v>
      </c>
      <c r="D223" s="4">
        <v>10.01</v>
      </c>
      <c r="E223" s="4">
        <v>14</v>
      </c>
      <c r="F223" s="4" t="s">
        <v>387</v>
      </c>
      <c r="G223" s="50" t="s">
        <v>385</v>
      </c>
      <c r="H223" s="4">
        <v>1518.7</v>
      </c>
      <c r="I223" s="85">
        <v>0.04</v>
      </c>
      <c r="J223" s="85">
        <v>0.08</v>
      </c>
      <c r="K223" s="53">
        <v>0.8</v>
      </c>
      <c r="L223" s="2">
        <v>0.98</v>
      </c>
      <c r="M223" s="2">
        <v>0.98</v>
      </c>
      <c r="N223" s="2">
        <v>0.98</v>
      </c>
      <c r="O223" s="2">
        <v>0.7</v>
      </c>
      <c r="P223" s="2">
        <v>0.96</v>
      </c>
      <c r="Q223" s="2">
        <v>0.98</v>
      </c>
      <c r="R223" s="2">
        <v>0.98</v>
      </c>
      <c r="S223" s="2">
        <v>0.98</v>
      </c>
      <c r="T223" s="2">
        <v>0.7</v>
      </c>
      <c r="U223" s="4">
        <v>0.96</v>
      </c>
      <c r="V223" s="4">
        <v>0.96</v>
      </c>
      <c r="W223" s="4">
        <v>0.96</v>
      </c>
      <c r="X223" s="4">
        <v>0.9</v>
      </c>
    </row>
    <row r="224" spans="1:24" x14ac:dyDescent="0.3">
      <c r="A224" s="21">
        <v>218</v>
      </c>
      <c r="B224" s="4" t="s">
        <v>388</v>
      </c>
      <c r="C224" s="4" t="s">
        <v>23</v>
      </c>
      <c r="D224" s="4">
        <v>3</v>
      </c>
      <c r="E224" s="4">
        <v>8</v>
      </c>
      <c r="F224" s="4" t="s">
        <v>389</v>
      </c>
      <c r="G224" s="4" t="s">
        <v>390</v>
      </c>
      <c r="H224" s="4">
        <v>1519.3</v>
      </c>
      <c r="I224" s="86">
        <v>0.04</v>
      </c>
      <c r="J224" s="86">
        <v>0.08</v>
      </c>
      <c r="K224" s="53">
        <v>0.8</v>
      </c>
      <c r="L224" s="2">
        <v>0.98</v>
      </c>
      <c r="M224" s="2">
        <v>0.98</v>
      </c>
      <c r="N224" s="2">
        <v>0.98</v>
      </c>
      <c r="O224" s="2">
        <v>0.7</v>
      </c>
      <c r="P224" s="2">
        <v>0.96</v>
      </c>
      <c r="Q224" s="2">
        <v>0.98</v>
      </c>
      <c r="R224" s="2">
        <v>0.98</v>
      </c>
      <c r="S224" s="2">
        <v>0.98</v>
      </c>
      <c r="T224" s="2">
        <v>0.7</v>
      </c>
      <c r="U224" s="4">
        <v>0.96</v>
      </c>
      <c r="V224" s="4">
        <v>0.96</v>
      </c>
      <c r="W224" s="4">
        <v>0.96</v>
      </c>
      <c r="X224" s="4">
        <v>0.9</v>
      </c>
    </row>
    <row r="225" spans="1:24" x14ac:dyDescent="0.3">
      <c r="A225" s="21">
        <v>219</v>
      </c>
      <c r="B225" s="4" t="s">
        <v>388</v>
      </c>
      <c r="C225" s="4" t="s">
        <v>26</v>
      </c>
      <c r="D225" s="4">
        <v>8.01</v>
      </c>
      <c r="E225" s="4">
        <v>12</v>
      </c>
      <c r="F225" s="4" t="s">
        <v>391</v>
      </c>
      <c r="G225" s="4" t="s">
        <v>390</v>
      </c>
      <c r="H225" s="4">
        <v>1518</v>
      </c>
      <c r="I225" s="86">
        <v>0.04</v>
      </c>
      <c r="J225" s="86">
        <v>0.08</v>
      </c>
      <c r="K225" s="53">
        <v>0.8</v>
      </c>
      <c r="L225" s="2">
        <v>0.98</v>
      </c>
      <c r="M225" s="2">
        <v>0.98</v>
      </c>
      <c r="N225" s="2">
        <v>0.98</v>
      </c>
      <c r="O225" s="2">
        <v>0.7</v>
      </c>
      <c r="P225" s="2">
        <v>0.96</v>
      </c>
      <c r="Q225" s="2">
        <v>0.98</v>
      </c>
      <c r="R225" s="2">
        <v>0.98</v>
      </c>
      <c r="S225" s="2">
        <v>0.98</v>
      </c>
      <c r="T225" s="2">
        <v>0.7</v>
      </c>
      <c r="U225" s="4">
        <v>0.96</v>
      </c>
      <c r="V225" s="4">
        <v>0.96</v>
      </c>
      <c r="W225" s="4">
        <v>0.96</v>
      </c>
      <c r="X225" s="4">
        <v>0.9</v>
      </c>
    </row>
    <row r="226" spans="1:24" s="80" customFormat="1" x14ac:dyDescent="0.3">
      <c r="A226" s="21">
        <v>220</v>
      </c>
      <c r="B226" s="4" t="s">
        <v>392</v>
      </c>
      <c r="C226" s="4" t="s">
        <v>23</v>
      </c>
      <c r="D226" s="4">
        <v>6</v>
      </c>
      <c r="E226" s="4">
        <v>12</v>
      </c>
      <c r="F226" s="4" t="s">
        <v>392</v>
      </c>
      <c r="G226" s="4" t="s">
        <v>393</v>
      </c>
      <c r="H226" s="4">
        <v>1515</v>
      </c>
      <c r="I226" s="88">
        <v>0.05</v>
      </c>
      <c r="J226" s="88">
        <v>0.08</v>
      </c>
      <c r="K226" s="53">
        <v>0.8</v>
      </c>
      <c r="L226" s="2">
        <v>0.98</v>
      </c>
      <c r="M226" s="2">
        <v>0.98</v>
      </c>
      <c r="N226" s="2">
        <v>0.98</v>
      </c>
      <c r="O226" s="2">
        <v>0.7</v>
      </c>
      <c r="P226" s="2">
        <v>0.96</v>
      </c>
      <c r="Q226" s="2">
        <v>0.98</v>
      </c>
      <c r="R226" s="2">
        <v>0.98</v>
      </c>
      <c r="S226" s="2">
        <v>0.98</v>
      </c>
      <c r="T226" s="2">
        <v>0.7</v>
      </c>
      <c r="U226" s="4">
        <v>0.96</v>
      </c>
      <c r="V226" s="4">
        <v>0.96</v>
      </c>
      <c r="W226" s="4">
        <v>0.96</v>
      </c>
      <c r="X226" s="4">
        <v>0.9</v>
      </c>
    </row>
    <row r="227" spans="1:24" x14ac:dyDescent="0.3">
      <c r="A227" s="21">
        <v>221</v>
      </c>
      <c r="B227" s="4" t="s">
        <v>394</v>
      </c>
      <c r="C227" s="4" t="s">
        <v>23</v>
      </c>
      <c r="D227" s="4">
        <v>4</v>
      </c>
      <c r="E227" s="4">
        <v>5.99</v>
      </c>
      <c r="F227" s="4" t="s">
        <v>395</v>
      </c>
      <c r="G227" s="50" t="s">
        <v>396</v>
      </c>
      <c r="H227" s="4">
        <v>1516</v>
      </c>
      <c r="I227" s="85">
        <v>4.3495495495495501E-2</v>
      </c>
      <c r="J227" s="85">
        <v>9.9891891891891904E-2</v>
      </c>
      <c r="K227" s="53">
        <v>0.8</v>
      </c>
      <c r="L227" s="2">
        <v>0.98</v>
      </c>
      <c r="M227" s="2">
        <v>0.98</v>
      </c>
      <c r="N227" s="2">
        <v>0.98</v>
      </c>
      <c r="O227" s="2">
        <v>0.7</v>
      </c>
      <c r="P227" s="2">
        <v>0.96</v>
      </c>
      <c r="Q227" s="2">
        <v>0.98</v>
      </c>
      <c r="R227" s="2">
        <v>0.98</v>
      </c>
      <c r="S227" s="2">
        <v>0.98</v>
      </c>
      <c r="T227" s="2">
        <v>0.7</v>
      </c>
      <c r="U227" s="4">
        <v>0.96</v>
      </c>
      <c r="V227" s="4">
        <v>0.96</v>
      </c>
      <c r="W227" s="4">
        <v>0.96</v>
      </c>
      <c r="X227" s="4">
        <v>0.9</v>
      </c>
    </row>
    <row r="228" spans="1:24" x14ac:dyDescent="0.3">
      <c r="A228" s="21">
        <v>222</v>
      </c>
      <c r="B228" s="4" t="s">
        <v>394</v>
      </c>
      <c r="C228" s="4" t="s">
        <v>26</v>
      </c>
      <c r="D228" s="4">
        <v>6</v>
      </c>
      <c r="E228" s="4">
        <v>14</v>
      </c>
      <c r="F228" s="4" t="s">
        <v>397</v>
      </c>
      <c r="G228" s="50" t="s">
        <v>396</v>
      </c>
      <c r="H228" s="4">
        <v>1516</v>
      </c>
      <c r="I228" s="53">
        <v>4.8666666666666698E-2</v>
      </c>
      <c r="J228" s="53">
        <v>0.114</v>
      </c>
      <c r="K228" s="53">
        <v>0.8</v>
      </c>
      <c r="L228" s="2">
        <v>0.98</v>
      </c>
      <c r="M228" s="2">
        <v>0.98</v>
      </c>
      <c r="N228" s="2">
        <v>0.98</v>
      </c>
      <c r="O228" s="2">
        <v>0.7</v>
      </c>
      <c r="P228" s="2">
        <v>0.96</v>
      </c>
      <c r="Q228" s="2">
        <v>0.98</v>
      </c>
      <c r="R228" s="2">
        <v>0.98</v>
      </c>
      <c r="S228" s="2">
        <v>0.98</v>
      </c>
      <c r="T228" s="2">
        <v>0.7</v>
      </c>
      <c r="U228" s="4">
        <v>0.96</v>
      </c>
      <c r="V228" s="4">
        <v>0.96</v>
      </c>
      <c r="W228" s="4">
        <v>0.96</v>
      </c>
      <c r="X228" s="4">
        <v>0.9</v>
      </c>
    </row>
    <row r="229" spans="1:24" x14ac:dyDescent="0.3">
      <c r="A229" s="21">
        <v>223</v>
      </c>
      <c r="B229" s="4" t="s">
        <v>398</v>
      </c>
      <c r="C229" s="4" t="s">
        <v>23</v>
      </c>
      <c r="D229" s="4">
        <v>3</v>
      </c>
      <c r="E229" s="4">
        <v>8</v>
      </c>
      <c r="F229" s="4" t="s">
        <v>399</v>
      </c>
      <c r="G229" s="4" t="s">
        <v>400</v>
      </c>
      <c r="H229" s="4">
        <v>1515</v>
      </c>
      <c r="I229" s="53">
        <v>4.1368421052631603E-2</v>
      </c>
      <c r="J229" s="53">
        <v>8.6263157894736806E-2</v>
      </c>
      <c r="K229" s="53">
        <v>0.8</v>
      </c>
      <c r="L229" s="2">
        <v>0.98</v>
      </c>
      <c r="M229" s="2">
        <v>0.98</v>
      </c>
      <c r="N229" s="2">
        <v>0.98</v>
      </c>
      <c r="O229" s="2">
        <v>0.7</v>
      </c>
      <c r="P229" s="2">
        <v>0.96</v>
      </c>
      <c r="Q229" s="2">
        <v>0.98</v>
      </c>
      <c r="R229" s="2">
        <v>0.98</v>
      </c>
      <c r="S229" s="2">
        <v>0.98</v>
      </c>
      <c r="T229" s="2">
        <v>0.7</v>
      </c>
      <c r="U229" s="4">
        <v>0.96</v>
      </c>
      <c r="V229" s="4">
        <v>0.96</v>
      </c>
      <c r="W229" s="4">
        <v>0.96</v>
      </c>
      <c r="X229" s="4">
        <v>0.9</v>
      </c>
    </row>
    <row r="230" spans="1:24" x14ac:dyDescent="0.3">
      <c r="A230" s="21">
        <v>224</v>
      </c>
      <c r="B230" s="4" t="s">
        <v>398</v>
      </c>
      <c r="C230" s="4" t="s">
        <v>26</v>
      </c>
      <c r="D230" s="4">
        <v>8.01</v>
      </c>
      <c r="E230" s="4">
        <v>14</v>
      </c>
      <c r="F230" s="4" t="s">
        <v>401</v>
      </c>
      <c r="G230" s="4" t="s">
        <v>400</v>
      </c>
      <c r="H230" s="4">
        <v>1515</v>
      </c>
      <c r="I230" s="53">
        <v>3.9399999999999998E-2</v>
      </c>
      <c r="J230" s="53">
        <v>8.3400000000000002E-2</v>
      </c>
      <c r="K230" s="53">
        <v>0.8</v>
      </c>
      <c r="L230" s="2">
        <v>0.98</v>
      </c>
      <c r="M230" s="2">
        <v>0.98</v>
      </c>
      <c r="N230" s="2">
        <v>0.98</v>
      </c>
      <c r="O230" s="2">
        <v>0.7</v>
      </c>
      <c r="P230" s="2">
        <v>0.96</v>
      </c>
      <c r="Q230" s="2">
        <v>0.98</v>
      </c>
      <c r="R230" s="2">
        <v>0.98</v>
      </c>
      <c r="S230" s="2">
        <v>0.98</v>
      </c>
      <c r="T230" s="2">
        <v>0.7</v>
      </c>
      <c r="U230" s="4">
        <v>0.96</v>
      </c>
      <c r="V230" s="4">
        <v>0.96</v>
      </c>
      <c r="W230" s="4">
        <v>0.96</v>
      </c>
      <c r="X230" s="4">
        <v>0.9</v>
      </c>
    </row>
    <row r="231" spans="1:24" x14ac:dyDescent="0.3">
      <c r="A231" s="21">
        <v>225</v>
      </c>
      <c r="B231" s="4" t="s">
        <v>402</v>
      </c>
      <c r="C231" s="4" t="s">
        <v>23</v>
      </c>
      <c r="D231" s="4">
        <v>3</v>
      </c>
      <c r="E231" s="4">
        <v>9.99</v>
      </c>
      <c r="F231" s="4" t="s">
        <v>402</v>
      </c>
      <c r="G231" s="4" t="s">
        <v>403</v>
      </c>
      <c r="H231" s="4">
        <v>1518</v>
      </c>
      <c r="I231" s="53">
        <v>4.1368421052631603E-2</v>
      </c>
      <c r="J231" s="53">
        <v>8.6263157894736806E-2</v>
      </c>
      <c r="K231" s="53">
        <v>0.8</v>
      </c>
      <c r="L231" s="2">
        <v>0.98</v>
      </c>
      <c r="M231" s="2">
        <v>0.98</v>
      </c>
      <c r="N231" s="2">
        <v>0.98</v>
      </c>
      <c r="O231" s="2">
        <v>0.7</v>
      </c>
      <c r="P231" s="2">
        <v>0.96</v>
      </c>
      <c r="Q231" s="2">
        <v>0.98</v>
      </c>
      <c r="R231" s="2">
        <v>0.98</v>
      </c>
      <c r="S231" s="2">
        <v>0.98</v>
      </c>
      <c r="T231" s="2">
        <v>0.7</v>
      </c>
      <c r="U231" s="4">
        <v>0.96</v>
      </c>
      <c r="V231" s="4">
        <v>0.96</v>
      </c>
      <c r="W231" s="4">
        <v>0.96</v>
      </c>
      <c r="X231" s="4">
        <v>0.9</v>
      </c>
    </row>
    <row r="232" spans="1:24" x14ac:dyDescent="0.3">
      <c r="A232" s="21">
        <v>226</v>
      </c>
      <c r="B232" s="4" t="s">
        <v>402</v>
      </c>
      <c r="C232" s="4" t="s">
        <v>26</v>
      </c>
      <c r="D232" s="4">
        <v>10</v>
      </c>
      <c r="E232" s="4">
        <v>14</v>
      </c>
      <c r="F232" s="4" t="s">
        <v>404</v>
      </c>
      <c r="G232" s="4" t="s">
        <v>403</v>
      </c>
      <c r="H232" s="4">
        <v>1518</v>
      </c>
      <c r="I232" s="53">
        <v>3.9399999999999998E-2</v>
      </c>
      <c r="J232" s="53">
        <v>8.3400000000000002E-2</v>
      </c>
      <c r="K232" s="53">
        <v>0.8</v>
      </c>
      <c r="L232" s="2">
        <v>0.98</v>
      </c>
      <c r="M232" s="2">
        <v>0.98</v>
      </c>
      <c r="N232" s="2">
        <v>0.98</v>
      </c>
      <c r="O232" s="2">
        <v>0.7</v>
      </c>
      <c r="P232" s="2">
        <v>0.96</v>
      </c>
      <c r="Q232" s="2">
        <v>0.98</v>
      </c>
      <c r="R232" s="2">
        <v>0.98</v>
      </c>
      <c r="S232" s="2">
        <v>0.98</v>
      </c>
      <c r="T232" s="2">
        <v>0.7</v>
      </c>
      <c r="U232" s="4">
        <v>0.96</v>
      </c>
      <c r="V232" s="4">
        <v>0.96</v>
      </c>
      <c r="W232" s="4">
        <v>0.96</v>
      </c>
      <c r="X232" s="4">
        <v>0.9</v>
      </c>
    </row>
    <row r="233" spans="1:24" x14ac:dyDescent="0.3">
      <c r="A233" s="21">
        <v>227</v>
      </c>
      <c r="B233" s="4" t="s">
        <v>405</v>
      </c>
      <c r="C233" s="4" t="s">
        <v>23</v>
      </c>
      <c r="D233" s="4">
        <v>3</v>
      </c>
      <c r="E233" s="4">
        <v>12</v>
      </c>
      <c r="F233" s="4" t="s">
        <v>406</v>
      </c>
      <c r="G233" s="50" t="s">
        <v>407</v>
      </c>
      <c r="H233" s="4">
        <v>1519</v>
      </c>
      <c r="I233" s="53">
        <v>6.7647058823529393E-2</v>
      </c>
      <c r="J233" s="53">
        <v>0.114823529411765</v>
      </c>
      <c r="K233" s="53">
        <v>0.8</v>
      </c>
      <c r="L233" s="2">
        <v>0.98</v>
      </c>
      <c r="M233" s="2">
        <v>0.98</v>
      </c>
      <c r="N233" s="2">
        <v>0.98</v>
      </c>
      <c r="O233" s="2">
        <v>0.7</v>
      </c>
      <c r="P233" s="2">
        <v>0.96</v>
      </c>
      <c r="Q233" s="2">
        <v>0.98</v>
      </c>
      <c r="R233" s="2">
        <v>0.98</v>
      </c>
      <c r="S233" s="2">
        <v>0.98</v>
      </c>
      <c r="T233" s="2">
        <v>0.7</v>
      </c>
      <c r="U233" s="4">
        <v>0.96</v>
      </c>
      <c r="V233" s="4">
        <v>0.96</v>
      </c>
      <c r="W233" s="4">
        <v>0.96</v>
      </c>
      <c r="X233" s="4">
        <v>0.9</v>
      </c>
    </row>
    <row r="234" spans="1:24" x14ac:dyDescent="0.3">
      <c r="A234" s="21">
        <v>228</v>
      </c>
      <c r="B234" s="4" t="s">
        <v>405</v>
      </c>
      <c r="C234" s="4" t="s">
        <v>26</v>
      </c>
      <c r="D234" s="4">
        <v>12.01</v>
      </c>
      <c r="E234" s="4">
        <v>28</v>
      </c>
      <c r="F234" s="4" t="s">
        <v>408</v>
      </c>
      <c r="G234" s="50" t="s">
        <v>407</v>
      </c>
      <c r="H234" s="4">
        <v>1519</v>
      </c>
      <c r="I234" s="53">
        <v>7.0900000000000005E-2</v>
      </c>
      <c r="J234" s="53">
        <v>0.10580000000000001</v>
      </c>
      <c r="K234" s="53">
        <v>0.8</v>
      </c>
      <c r="L234" s="2">
        <v>0.98</v>
      </c>
      <c r="M234" s="2">
        <v>0.98</v>
      </c>
      <c r="N234" s="2">
        <v>0.98</v>
      </c>
      <c r="O234" s="2">
        <v>0.7</v>
      </c>
      <c r="P234" s="2">
        <v>0.96</v>
      </c>
      <c r="Q234" s="2">
        <v>0.98</v>
      </c>
      <c r="R234" s="2">
        <v>0.98</v>
      </c>
      <c r="S234" s="2">
        <v>0.98</v>
      </c>
      <c r="T234" s="2">
        <v>0.7</v>
      </c>
      <c r="U234" s="4">
        <v>0.96</v>
      </c>
      <c r="V234" s="4">
        <v>0.96</v>
      </c>
      <c r="W234" s="4">
        <v>0.96</v>
      </c>
      <c r="X234" s="4">
        <v>0.9</v>
      </c>
    </row>
    <row r="235" spans="1:24" x14ac:dyDescent="0.3">
      <c r="A235" s="21">
        <v>229</v>
      </c>
      <c r="B235" s="4" t="s">
        <v>409</v>
      </c>
      <c r="C235" s="4" t="s">
        <v>23</v>
      </c>
      <c r="D235" s="4">
        <v>3</v>
      </c>
      <c r="E235" s="4">
        <v>12</v>
      </c>
      <c r="F235" s="4" t="s">
        <v>410</v>
      </c>
      <c r="G235" s="50" t="s">
        <v>411</v>
      </c>
      <c r="H235" s="4">
        <v>1519</v>
      </c>
      <c r="I235" s="53">
        <v>6.2E-2</v>
      </c>
      <c r="J235" s="53">
        <v>9.6500000000000002E-2</v>
      </c>
      <c r="K235" s="53">
        <v>0.8</v>
      </c>
      <c r="L235" s="2">
        <v>0.98</v>
      </c>
      <c r="M235" s="2">
        <v>0.98</v>
      </c>
      <c r="N235" s="2">
        <v>0.98</v>
      </c>
      <c r="O235" s="2">
        <v>0.7</v>
      </c>
      <c r="P235" s="2">
        <v>0.96</v>
      </c>
      <c r="Q235" s="2">
        <v>0.98</v>
      </c>
      <c r="R235" s="2">
        <v>0.98</v>
      </c>
      <c r="S235" s="2">
        <v>0.98</v>
      </c>
      <c r="T235" s="2">
        <v>0.7</v>
      </c>
      <c r="U235" s="4">
        <v>0.96</v>
      </c>
      <c r="V235" s="4">
        <v>0.96</v>
      </c>
      <c r="W235" s="4">
        <v>0.96</v>
      </c>
      <c r="X235" s="4">
        <v>0.9</v>
      </c>
    </row>
    <row r="236" spans="1:24" x14ac:dyDescent="0.3">
      <c r="A236" s="21">
        <v>230</v>
      </c>
      <c r="B236" s="4" t="s">
        <v>409</v>
      </c>
      <c r="C236" s="4" t="s">
        <v>26</v>
      </c>
      <c r="D236" s="4">
        <v>12.01</v>
      </c>
      <c r="E236" s="4">
        <v>28</v>
      </c>
      <c r="F236" s="4" t="s">
        <v>412</v>
      </c>
      <c r="G236" s="50" t="s">
        <v>411</v>
      </c>
      <c r="H236" s="4">
        <v>1519</v>
      </c>
      <c r="I236" s="53">
        <v>7.0749999999999993E-2</v>
      </c>
      <c r="J236" s="53">
        <v>0.1045</v>
      </c>
      <c r="K236" s="53">
        <v>0.8</v>
      </c>
      <c r="L236" s="2">
        <v>0.98</v>
      </c>
      <c r="M236" s="2">
        <v>0.98</v>
      </c>
      <c r="N236" s="2">
        <v>0.98</v>
      </c>
      <c r="O236" s="2">
        <v>0.7</v>
      </c>
      <c r="P236" s="2">
        <v>0.96</v>
      </c>
      <c r="Q236" s="2">
        <v>0.98</v>
      </c>
      <c r="R236" s="2">
        <v>0.98</v>
      </c>
      <c r="S236" s="2">
        <v>0.98</v>
      </c>
      <c r="T236" s="2">
        <v>0.7</v>
      </c>
      <c r="U236" s="4">
        <v>0.96</v>
      </c>
      <c r="V236" s="4">
        <v>0.96</v>
      </c>
      <c r="W236" s="4">
        <v>0.96</v>
      </c>
      <c r="X236" s="4">
        <v>0.9</v>
      </c>
    </row>
    <row r="237" spans="1:24" x14ac:dyDescent="0.3">
      <c r="A237" s="21">
        <v>231</v>
      </c>
      <c r="B237" s="4" t="s">
        <v>413</v>
      </c>
      <c r="C237" s="4" t="s">
        <v>23</v>
      </c>
      <c r="D237" s="4">
        <v>3</v>
      </c>
      <c r="E237" s="4">
        <v>12</v>
      </c>
      <c r="F237" s="4" t="s">
        <v>414</v>
      </c>
      <c r="G237" s="50" t="s">
        <v>415</v>
      </c>
      <c r="H237" s="4">
        <v>1517</v>
      </c>
      <c r="I237" s="85">
        <v>7.0499999999999993E-2</v>
      </c>
      <c r="J237" s="85">
        <v>0.11600000000000001</v>
      </c>
      <c r="K237" s="53">
        <v>0.8</v>
      </c>
      <c r="L237" s="2">
        <v>0.98</v>
      </c>
      <c r="M237" s="2">
        <v>0.98</v>
      </c>
      <c r="N237" s="2">
        <v>0.98</v>
      </c>
      <c r="O237" s="2">
        <v>0.7</v>
      </c>
      <c r="P237" s="2">
        <v>0.96</v>
      </c>
      <c r="Q237" s="2">
        <v>0.98</v>
      </c>
      <c r="R237" s="2">
        <v>0.98</v>
      </c>
      <c r="S237" s="2">
        <v>0.98</v>
      </c>
      <c r="T237" s="2">
        <v>0.7</v>
      </c>
      <c r="U237" s="4">
        <v>0.96</v>
      </c>
      <c r="V237" s="4">
        <v>0.96</v>
      </c>
      <c r="W237" s="4">
        <v>0.96</v>
      </c>
      <c r="X237" s="4">
        <v>0.9</v>
      </c>
    </row>
    <row r="238" spans="1:24" x14ac:dyDescent="0.3">
      <c r="A238" s="21">
        <v>232</v>
      </c>
      <c r="B238" s="4" t="s">
        <v>413</v>
      </c>
      <c r="C238" s="4" t="s">
        <v>26</v>
      </c>
      <c r="D238" s="4">
        <v>12.01</v>
      </c>
      <c r="E238" s="4">
        <v>28</v>
      </c>
      <c r="F238" s="4" t="s">
        <v>416</v>
      </c>
      <c r="G238" s="50" t="s">
        <v>415</v>
      </c>
      <c r="H238" s="4">
        <v>1517</v>
      </c>
      <c r="I238" s="85">
        <v>7.0499999999999993E-2</v>
      </c>
      <c r="J238" s="85">
        <v>0.11600000000000001</v>
      </c>
      <c r="K238" s="53">
        <v>0.8</v>
      </c>
      <c r="L238" s="2">
        <v>0.98</v>
      </c>
      <c r="M238" s="2">
        <v>0.98</v>
      </c>
      <c r="N238" s="2">
        <v>0.98</v>
      </c>
      <c r="O238" s="2">
        <v>0.7</v>
      </c>
      <c r="P238" s="2">
        <v>0.96</v>
      </c>
      <c r="Q238" s="2">
        <v>0.98</v>
      </c>
      <c r="R238" s="2">
        <v>0.98</v>
      </c>
      <c r="S238" s="2">
        <v>0.98</v>
      </c>
      <c r="T238" s="2">
        <v>0.7</v>
      </c>
      <c r="U238" s="4">
        <v>0.96</v>
      </c>
      <c r="V238" s="4">
        <v>0.96</v>
      </c>
      <c r="W238" s="4">
        <v>0.96</v>
      </c>
      <c r="X238" s="4">
        <v>0.9</v>
      </c>
    </row>
    <row r="239" spans="1:24" x14ac:dyDescent="0.3">
      <c r="A239" s="21">
        <v>233</v>
      </c>
      <c r="B239" s="21" t="s">
        <v>417</v>
      </c>
      <c r="C239" s="21" t="s">
        <v>23</v>
      </c>
      <c r="D239" s="21">
        <v>3</v>
      </c>
      <c r="E239" s="21">
        <v>12</v>
      </c>
      <c r="F239" s="21" t="s">
        <v>418</v>
      </c>
      <c r="G239" s="21" t="s">
        <v>419</v>
      </c>
      <c r="H239" s="21">
        <v>1518</v>
      </c>
      <c r="I239" s="85">
        <v>7.0499999999999993E-2</v>
      </c>
      <c r="J239" s="85">
        <v>0.11600000000000001</v>
      </c>
      <c r="K239" s="53">
        <v>0.8</v>
      </c>
      <c r="L239" s="2">
        <v>0.98</v>
      </c>
      <c r="M239" s="2">
        <v>0.98</v>
      </c>
      <c r="N239" s="2">
        <v>0.98</v>
      </c>
      <c r="O239" s="2">
        <v>0.7</v>
      </c>
      <c r="P239" s="2">
        <v>0.96</v>
      </c>
      <c r="Q239" s="2">
        <v>0.98</v>
      </c>
      <c r="R239" s="2">
        <v>0.98</v>
      </c>
      <c r="S239" s="2">
        <v>0.98</v>
      </c>
      <c r="T239" s="2">
        <v>0.7</v>
      </c>
      <c r="U239" s="4">
        <v>0.96</v>
      </c>
      <c r="V239" s="4">
        <v>0.96</v>
      </c>
      <c r="W239" s="4">
        <v>0.96</v>
      </c>
      <c r="X239" s="4">
        <v>0.9</v>
      </c>
    </row>
    <row r="240" spans="1:24" x14ac:dyDescent="0.3">
      <c r="A240" s="21">
        <v>234</v>
      </c>
      <c r="B240" s="21" t="s">
        <v>417</v>
      </c>
      <c r="C240" s="21" t="s">
        <v>26</v>
      </c>
      <c r="D240" s="21">
        <v>12.01</v>
      </c>
      <c r="E240" s="21">
        <v>25.4</v>
      </c>
      <c r="F240" s="21" t="s">
        <v>420</v>
      </c>
      <c r="G240" s="21" t="s">
        <v>419</v>
      </c>
      <c r="H240" s="21">
        <v>1518</v>
      </c>
      <c r="I240" s="85">
        <v>7.0499999999999993E-2</v>
      </c>
      <c r="J240" s="85">
        <v>0.11600000000000001</v>
      </c>
      <c r="K240" s="53">
        <v>0.8</v>
      </c>
      <c r="L240" s="2">
        <v>0.98</v>
      </c>
      <c r="M240" s="2">
        <v>0.98</v>
      </c>
      <c r="N240" s="2">
        <v>0.98</v>
      </c>
      <c r="O240" s="2">
        <v>0.7</v>
      </c>
      <c r="P240" s="2">
        <v>0.96</v>
      </c>
      <c r="Q240" s="2">
        <v>0.98</v>
      </c>
      <c r="R240" s="2">
        <v>0.98</v>
      </c>
      <c r="S240" s="2">
        <v>0.98</v>
      </c>
      <c r="T240" s="2">
        <v>0.7</v>
      </c>
      <c r="U240" s="4">
        <v>0.96</v>
      </c>
      <c r="V240" s="4">
        <v>0.96</v>
      </c>
      <c r="W240" s="4">
        <v>0.96</v>
      </c>
      <c r="X240" s="4">
        <v>0.9</v>
      </c>
    </row>
    <row r="241" spans="1:24" x14ac:dyDescent="0.3">
      <c r="A241" s="21">
        <v>235</v>
      </c>
      <c r="B241" s="4" t="s">
        <v>421</v>
      </c>
      <c r="C241" s="4" t="s">
        <v>23</v>
      </c>
      <c r="D241" s="4">
        <v>4</v>
      </c>
      <c r="E241" s="4">
        <v>25.4</v>
      </c>
      <c r="F241" s="4" t="s">
        <v>421</v>
      </c>
      <c r="G241" s="50" t="s">
        <v>422</v>
      </c>
      <c r="H241" s="4">
        <v>1521</v>
      </c>
      <c r="I241" s="53">
        <v>4.2230240549828199E-2</v>
      </c>
      <c r="J241" s="53">
        <v>0.104893470790378</v>
      </c>
      <c r="K241" s="53">
        <v>0.8</v>
      </c>
      <c r="L241" s="2">
        <v>0.98</v>
      </c>
      <c r="M241" s="2">
        <v>0.98</v>
      </c>
      <c r="N241" s="2">
        <v>0.98</v>
      </c>
      <c r="O241" s="2">
        <v>0.7</v>
      </c>
      <c r="P241" s="2">
        <v>0.96</v>
      </c>
      <c r="Q241" s="2">
        <v>0.98</v>
      </c>
      <c r="R241" s="2">
        <v>0.98</v>
      </c>
      <c r="S241" s="2">
        <v>0.98</v>
      </c>
      <c r="T241" s="2">
        <v>0.7</v>
      </c>
      <c r="U241" s="4">
        <v>0.96</v>
      </c>
      <c r="V241" s="4">
        <v>0.96</v>
      </c>
      <c r="W241" s="4">
        <v>0.96</v>
      </c>
      <c r="X241" s="4">
        <v>0.9</v>
      </c>
    </row>
    <row r="242" spans="1:24" x14ac:dyDescent="0.3">
      <c r="A242" s="21">
        <v>236</v>
      </c>
      <c r="B242" s="4" t="s">
        <v>423</v>
      </c>
      <c r="C242" s="4" t="s">
        <v>23</v>
      </c>
      <c r="D242" s="4">
        <v>4</v>
      </c>
      <c r="E242" s="4">
        <v>25.4</v>
      </c>
      <c r="F242" s="4" t="s">
        <v>423</v>
      </c>
      <c r="G242" s="4" t="s">
        <v>424</v>
      </c>
      <c r="H242" s="4">
        <v>1521</v>
      </c>
      <c r="I242" s="53">
        <v>4.2230240549828199E-2</v>
      </c>
      <c r="J242" s="53">
        <v>0.104893470790378</v>
      </c>
      <c r="K242" s="53">
        <v>0.8</v>
      </c>
      <c r="L242" s="2">
        <v>0.98</v>
      </c>
      <c r="M242" s="2">
        <v>0.98</v>
      </c>
      <c r="N242" s="2">
        <v>0.98</v>
      </c>
      <c r="O242" s="2">
        <v>0.7</v>
      </c>
      <c r="P242" s="2">
        <v>0.96</v>
      </c>
      <c r="Q242" s="2">
        <v>0.98</v>
      </c>
      <c r="R242" s="2">
        <v>0.98</v>
      </c>
      <c r="S242" s="2">
        <v>0.98</v>
      </c>
      <c r="T242" s="2">
        <v>0.7</v>
      </c>
      <c r="U242" s="4">
        <v>0.96</v>
      </c>
      <c r="V242" s="4">
        <v>0.96</v>
      </c>
      <c r="W242" s="4">
        <v>0.96</v>
      </c>
      <c r="X242" s="4">
        <v>0.9</v>
      </c>
    </row>
    <row r="243" spans="1:24" x14ac:dyDescent="0.3">
      <c r="A243" s="21">
        <v>237</v>
      </c>
      <c r="B243" s="4" t="s">
        <v>425</v>
      </c>
      <c r="C243" s="4" t="s">
        <v>23</v>
      </c>
      <c r="D243" s="4">
        <v>6</v>
      </c>
      <c r="E243" s="4">
        <v>16</v>
      </c>
      <c r="F243" s="4" t="s">
        <v>426</v>
      </c>
      <c r="G243" s="50" t="s">
        <v>427</v>
      </c>
      <c r="H243" s="4">
        <v>1518</v>
      </c>
      <c r="I243" s="85">
        <v>3.7999999999999999E-2</v>
      </c>
      <c r="J243" s="85">
        <v>9.35E-2</v>
      </c>
      <c r="K243" s="53">
        <v>0.8</v>
      </c>
      <c r="L243" s="2">
        <v>0.98</v>
      </c>
      <c r="M243" s="2">
        <v>0.98</v>
      </c>
      <c r="N243" s="2">
        <v>0.98</v>
      </c>
      <c r="O243" s="2">
        <v>0.7</v>
      </c>
      <c r="P243" s="2">
        <v>0.96</v>
      </c>
      <c r="Q243" s="2">
        <v>0.98</v>
      </c>
      <c r="R243" s="2">
        <v>0.98</v>
      </c>
      <c r="S243" s="2">
        <v>0.98</v>
      </c>
      <c r="T243" s="2">
        <v>0.7</v>
      </c>
      <c r="U243" s="4">
        <v>0.96</v>
      </c>
      <c r="V243" s="4">
        <v>0.96</v>
      </c>
      <c r="W243" s="4">
        <v>0.96</v>
      </c>
      <c r="X243" s="4">
        <v>0.9</v>
      </c>
    </row>
    <row r="244" spans="1:24" x14ac:dyDescent="0.3">
      <c r="A244" s="21">
        <v>238</v>
      </c>
      <c r="B244" s="4" t="s">
        <v>425</v>
      </c>
      <c r="C244" s="4" t="s">
        <v>26</v>
      </c>
      <c r="D244" s="4">
        <v>16.010000000000002</v>
      </c>
      <c r="E244" s="4">
        <v>22</v>
      </c>
      <c r="F244" s="4" t="s">
        <v>428</v>
      </c>
      <c r="G244" s="50" t="s">
        <v>427</v>
      </c>
      <c r="H244" s="4">
        <v>1518</v>
      </c>
      <c r="I244" s="53">
        <v>3.7999999999999999E-2</v>
      </c>
      <c r="J244" s="53">
        <v>9.35E-2</v>
      </c>
      <c r="K244" s="53">
        <v>0.8</v>
      </c>
      <c r="L244" s="2">
        <v>0.98</v>
      </c>
      <c r="M244" s="2">
        <v>0.98</v>
      </c>
      <c r="N244" s="2">
        <v>0.98</v>
      </c>
      <c r="O244" s="2">
        <v>0.7</v>
      </c>
      <c r="P244" s="2">
        <v>0.96</v>
      </c>
      <c r="Q244" s="2">
        <v>0.98</v>
      </c>
      <c r="R244" s="2">
        <v>0.98</v>
      </c>
      <c r="S244" s="2">
        <v>0.98</v>
      </c>
      <c r="T244" s="2">
        <v>0.7</v>
      </c>
      <c r="U244" s="4">
        <v>0.96</v>
      </c>
      <c r="V244" s="4">
        <v>0.96</v>
      </c>
      <c r="W244" s="4">
        <v>0.96</v>
      </c>
      <c r="X244" s="4">
        <v>0.9</v>
      </c>
    </row>
    <row r="245" spans="1:24" x14ac:dyDescent="0.3">
      <c r="A245" s="21">
        <v>239</v>
      </c>
      <c r="B245" s="4" t="s">
        <v>429</v>
      </c>
      <c r="C245" s="4" t="s">
        <v>23</v>
      </c>
      <c r="D245" s="4">
        <v>3</v>
      </c>
      <c r="E245" s="4">
        <v>12</v>
      </c>
      <c r="F245" s="4" t="s">
        <v>430</v>
      </c>
      <c r="G245" s="50" t="s">
        <v>431</v>
      </c>
      <c r="H245" s="4">
        <v>1517</v>
      </c>
      <c r="I245" s="53">
        <v>7.0499999999999993E-2</v>
      </c>
      <c r="J245" s="53">
        <v>0.11600000000000001</v>
      </c>
      <c r="K245" s="53">
        <v>0.8</v>
      </c>
      <c r="L245" s="2">
        <v>0.98</v>
      </c>
      <c r="M245" s="2">
        <v>0.98</v>
      </c>
      <c r="N245" s="2">
        <v>0.98</v>
      </c>
      <c r="O245" s="2">
        <v>0.7</v>
      </c>
      <c r="P245" s="2">
        <v>0.96</v>
      </c>
      <c r="Q245" s="2">
        <v>0.98</v>
      </c>
      <c r="R245" s="2">
        <v>0.98</v>
      </c>
      <c r="S245" s="2">
        <v>0.98</v>
      </c>
      <c r="T245" s="2">
        <v>0.7</v>
      </c>
      <c r="U245" s="4">
        <v>0.96</v>
      </c>
      <c r="V245" s="4">
        <v>0.96</v>
      </c>
      <c r="W245" s="4">
        <v>0.96</v>
      </c>
      <c r="X245" s="4">
        <v>0.9</v>
      </c>
    </row>
    <row r="246" spans="1:24" x14ac:dyDescent="0.3">
      <c r="A246" s="21">
        <v>240</v>
      </c>
      <c r="B246" s="4" t="s">
        <v>429</v>
      </c>
      <c r="C246" s="4" t="s">
        <v>26</v>
      </c>
      <c r="D246" s="4">
        <v>12.01</v>
      </c>
      <c r="E246" s="4">
        <v>28</v>
      </c>
      <c r="F246" s="4" t="s">
        <v>432</v>
      </c>
      <c r="G246" s="50" t="s">
        <v>431</v>
      </c>
      <c r="H246" s="4">
        <v>1517</v>
      </c>
      <c r="I246" s="85">
        <v>7.0499999999999993E-2</v>
      </c>
      <c r="J246" s="85">
        <v>0.11600000000000001</v>
      </c>
      <c r="K246" s="53">
        <v>0.8</v>
      </c>
      <c r="L246" s="2">
        <v>0.98</v>
      </c>
      <c r="M246" s="2">
        <v>0.98</v>
      </c>
      <c r="N246" s="2">
        <v>0.98</v>
      </c>
      <c r="O246" s="2">
        <v>0.7</v>
      </c>
      <c r="P246" s="2">
        <v>0.96</v>
      </c>
      <c r="Q246" s="2">
        <v>0.98</v>
      </c>
      <c r="R246" s="2">
        <v>0.98</v>
      </c>
      <c r="S246" s="2">
        <v>0.98</v>
      </c>
      <c r="T246" s="2">
        <v>0.7</v>
      </c>
      <c r="U246" s="4">
        <v>0.96</v>
      </c>
      <c r="V246" s="4">
        <v>0.96</v>
      </c>
      <c r="W246" s="4">
        <v>0.96</v>
      </c>
      <c r="X246" s="4">
        <v>0.9</v>
      </c>
    </row>
    <row r="247" spans="1:24" x14ac:dyDescent="0.3">
      <c r="A247" s="21">
        <v>241</v>
      </c>
      <c r="B247" s="4" t="s">
        <v>433</v>
      </c>
      <c r="C247" s="4" t="s">
        <v>23</v>
      </c>
      <c r="D247" s="4">
        <v>6</v>
      </c>
      <c r="E247" s="4">
        <v>16</v>
      </c>
      <c r="F247" s="4" t="s">
        <v>434</v>
      </c>
      <c r="G247" s="50" t="s">
        <v>435</v>
      </c>
      <c r="H247" s="4">
        <v>1520</v>
      </c>
      <c r="I247" s="85">
        <v>4.725E-2</v>
      </c>
      <c r="J247" s="85">
        <v>7.8750000000000001E-2</v>
      </c>
      <c r="K247" s="53">
        <v>0.8</v>
      </c>
      <c r="L247" s="2">
        <v>0.98</v>
      </c>
      <c r="M247" s="2">
        <v>0.98</v>
      </c>
      <c r="N247" s="2">
        <v>0.98</v>
      </c>
      <c r="O247" s="2">
        <v>0.7</v>
      </c>
      <c r="P247" s="2">
        <v>0.96</v>
      </c>
      <c r="Q247" s="2">
        <v>0.98</v>
      </c>
      <c r="R247" s="2">
        <v>0.98</v>
      </c>
      <c r="S247" s="2">
        <v>0.98</v>
      </c>
      <c r="T247" s="2">
        <v>0.7</v>
      </c>
      <c r="U247" s="4">
        <v>0.96</v>
      </c>
      <c r="V247" s="4">
        <v>0.96</v>
      </c>
      <c r="W247" s="4">
        <v>0.96</v>
      </c>
      <c r="X247" s="4">
        <v>0.9</v>
      </c>
    </row>
    <row r="248" spans="1:24" x14ac:dyDescent="0.3">
      <c r="A248" s="21">
        <v>242</v>
      </c>
      <c r="B248" s="4" t="s">
        <v>433</v>
      </c>
      <c r="C248" s="4" t="s">
        <v>26</v>
      </c>
      <c r="D248" s="4">
        <v>16.010000000000002</v>
      </c>
      <c r="E248" s="4">
        <v>25.4</v>
      </c>
      <c r="F248" s="4" t="s">
        <v>436</v>
      </c>
      <c r="G248" s="50" t="s">
        <v>435</v>
      </c>
      <c r="H248" s="4">
        <v>1520</v>
      </c>
      <c r="I248" s="53">
        <v>4.725E-2</v>
      </c>
      <c r="J248" s="53">
        <v>7.8750000000000001E-2</v>
      </c>
      <c r="K248" s="53">
        <v>0.8</v>
      </c>
      <c r="L248" s="2">
        <v>0.98</v>
      </c>
      <c r="M248" s="2">
        <v>0.98</v>
      </c>
      <c r="N248" s="2">
        <v>0.98</v>
      </c>
      <c r="O248" s="2">
        <v>0.7</v>
      </c>
      <c r="P248" s="2">
        <v>0.96</v>
      </c>
      <c r="Q248" s="2">
        <v>0.98</v>
      </c>
      <c r="R248" s="2">
        <v>0.98</v>
      </c>
      <c r="S248" s="2">
        <v>0.98</v>
      </c>
      <c r="T248" s="2">
        <v>0.7</v>
      </c>
      <c r="U248" s="4">
        <v>0.96</v>
      </c>
      <c r="V248" s="4">
        <v>0.96</v>
      </c>
      <c r="W248" s="4">
        <v>0.96</v>
      </c>
      <c r="X248" s="4">
        <v>0.9</v>
      </c>
    </row>
    <row r="249" spans="1:24" x14ac:dyDescent="0.3">
      <c r="A249" s="21">
        <v>243</v>
      </c>
      <c r="B249" s="4" t="s">
        <v>437</v>
      </c>
      <c r="C249" s="4" t="s">
        <v>23</v>
      </c>
      <c r="D249" s="4">
        <v>6</v>
      </c>
      <c r="E249" s="4">
        <v>16</v>
      </c>
      <c r="F249" s="4" t="s">
        <v>438</v>
      </c>
      <c r="G249" s="50" t="s">
        <v>439</v>
      </c>
      <c r="H249" s="4">
        <v>1520</v>
      </c>
      <c r="I249" s="85">
        <v>4.725E-2</v>
      </c>
      <c r="J249" s="85">
        <v>7.8750000000000001E-2</v>
      </c>
      <c r="K249" s="53">
        <v>0.8</v>
      </c>
      <c r="L249" s="2">
        <v>0.98</v>
      </c>
      <c r="M249" s="2">
        <v>0.98</v>
      </c>
      <c r="N249" s="2">
        <v>0.98</v>
      </c>
      <c r="O249" s="2">
        <v>0.7</v>
      </c>
      <c r="P249" s="2">
        <v>0.96</v>
      </c>
      <c r="Q249" s="2">
        <v>0.98</v>
      </c>
      <c r="R249" s="2">
        <v>0.98</v>
      </c>
      <c r="S249" s="2">
        <v>0.98</v>
      </c>
      <c r="T249" s="2">
        <v>0.7</v>
      </c>
      <c r="U249" s="4">
        <v>0.96</v>
      </c>
      <c r="V249" s="4">
        <v>0.96</v>
      </c>
      <c r="W249" s="4">
        <v>0.96</v>
      </c>
      <c r="X249" s="4">
        <v>0.9</v>
      </c>
    </row>
    <row r="250" spans="1:24" x14ac:dyDescent="0.3">
      <c r="A250" s="21">
        <v>244</v>
      </c>
      <c r="B250" s="4" t="s">
        <v>437</v>
      </c>
      <c r="C250" s="4" t="s">
        <v>26</v>
      </c>
      <c r="D250" s="4">
        <v>16.010000000000002</v>
      </c>
      <c r="E250" s="4">
        <v>25</v>
      </c>
      <c r="F250" s="4" t="s">
        <v>440</v>
      </c>
      <c r="G250" s="50" t="s">
        <v>439</v>
      </c>
      <c r="H250" s="4">
        <v>1520</v>
      </c>
      <c r="I250" s="53">
        <v>4.6583333333333303E-2</v>
      </c>
      <c r="J250" s="53">
        <v>9.4666666666666704E-2</v>
      </c>
      <c r="K250" s="53">
        <v>0.8</v>
      </c>
      <c r="L250" s="2">
        <v>0.98</v>
      </c>
      <c r="M250" s="2">
        <v>0.98</v>
      </c>
      <c r="N250" s="2">
        <v>0.98</v>
      </c>
      <c r="O250" s="2">
        <v>0.7</v>
      </c>
      <c r="P250" s="2">
        <v>0.96</v>
      </c>
      <c r="Q250" s="2">
        <v>0.98</v>
      </c>
      <c r="R250" s="2">
        <v>0.98</v>
      </c>
      <c r="S250" s="2">
        <v>0.98</v>
      </c>
      <c r="T250" s="2">
        <v>0.7</v>
      </c>
      <c r="U250" s="4">
        <v>0.96</v>
      </c>
      <c r="V250" s="4">
        <v>0.96</v>
      </c>
      <c r="W250" s="4">
        <v>0.96</v>
      </c>
      <c r="X250" s="4">
        <v>0.9</v>
      </c>
    </row>
    <row r="251" spans="1:24" x14ac:dyDescent="0.3">
      <c r="A251" s="21">
        <v>245</v>
      </c>
      <c r="B251" s="4" t="s">
        <v>441</v>
      </c>
      <c r="C251" s="4" t="s">
        <v>23</v>
      </c>
      <c r="D251" s="4">
        <v>6</v>
      </c>
      <c r="E251" s="4">
        <v>14</v>
      </c>
      <c r="F251" s="4" t="s">
        <v>442</v>
      </c>
      <c r="G251" s="50" t="s">
        <v>443</v>
      </c>
      <c r="H251" s="4">
        <v>1520</v>
      </c>
      <c r="I251" s="53">
        <v>4.0500000000000001E-2</v>
      </c>
      <c r="J251" s="53">
        <v>6.5000000000000002E-2</v>
      </c>
      <c r="K251" s="53">
        <v>0.8</v>
      </c>
      <c r="L251" s="2">
        <v>0.98</v>
      </c>
      <c r="M251" s="2">
        <v>0.98</v>
      </c>
      <c r="N251" s="2">
        <v>0.98</v>
      </c>
      <c r="O251" s="2">
        <v>0.7</v>
      </c>
      <c r="P251" s="2">
        <v>0.96</v>
      </c>
      <c r="Q251" s="2">
        <v>0.98</v>
      </c>
      <c r="R251" s="2">
        <v>0.98</v>
      </c>
      <c r="S251" s="2">
        <v>0.98</v>
      </c>
      <c r="T251" s="2">
        <v>0.7</v>
      </c>
      <c r="U251" s="4">
        <v>0.96</v>
      </c>
      <c r="V251" s="4">
        <v>0.96</v>
      </c>
      <c r="W251" s="4">
        <v>0.96</v>
      </c>
      <c r="X251" s="4">
        <v>0.9</v>
      </c>
    </row>
    <row r="252" spans="1:24" x14ac:dyDescent="0.3">
      <c r="A252" s="21">
        <v>246</v>
      </c>
      <c r="B252" s="4" t="s">
        <v>441</v>
      </c>
      <c r="C252" s="4" t="s">
        <v>26</v>
      </c>
      <c r="D252" s="4">
        <v>14.01</v>
      </c>
      <c r="E252" s="4">
        <v>19</v>
      </c>
      <c r="F252" s="4" t="s">
        <v>444</v>
      </c>
      <c r="G252" s="50" t="s">
        <v>443</v>
      </c>
      <c r="H252" s="4">
        <v>1520</v>
      </c>
      <c r="I252" s="85">
        <v>4.0500000000000001E-2</v>
      </c>
      <c r="J252" s="85">
        <v>6.5000000000000002E-2</v>
      </c>
      <c r="K252" s="53">
        <v>0.8</v>
      </c>
      <c r="L252" s="2">
        <v>0.98</v>
      </c>
      <c r="M252" s="2">
        <v>0.98</v>
      </c>
      <c r="N252" s="2">
        <v>0.98</v>
      </c>
      <c r="O252" s="2">
        <v>0.7</v>
      </c>
      <c r="P252" s="2">
        <v>0.96</v>
      </c>
      <c r="Q252" s="2">
        <v>0.98</v>
      </c>
      <c r="R252" s="2">
        <v>0.98</v>
      </c>
      <c r="S252" s="2">
        <v>0.98</v>
      </c>
      <c r="T252" s="2">
        <v>0.7</v>
      </c>
      <c r="U252" s="4">
        <v>0.96</v>
      </c>
      <c r="V252" s="4">
        <v>0.96</v>
      </c>
      <c r="W252" s="4">
        <v>0.96</v>
      </c>
      <c r="X252" s="4">
        <v>0.9</v>
      </c>
    </row>
    <row r="253" spans="1:24" x14ac:dyDescent="0.3">
      <c r="A253" s="21">
        <v>247</v>
      </c>
      <c r="B253" s="4" t="s">
        <v>445</v>
      </c>
      <c r="C253" s="4" t="s">
        <v>23</v>
      </c>
      <c r="D253" s="4">
        <v>6</v>
      </c>
      <c r="E253" s="4">
        <v>14</v>
      </c>
      <c r="F253" s="4" t="s">
        <v>446</v>
      </c>
      <c r="G253" s="50" t="s">
        <v>447</v>
      </c>
      <c r="H253" s="4">
        <v>1520</v>
      </c>
      <c r="I253" s="85">
        <v>4.0500000000000001E-2</v>
      </c>
      <c r="J253" s="85">
        <v>6.5000000000000002E-2</v>
      </c>
      <c r="K253" s="53">
        <v>0.8</v>
      </c>
      <c r="L253" s="2">
        <v>0.98</v>
      </c>
      <c r="M253" s="2">
        <v>0.98</v>
      </c>
      <c r="N253" s="2">
        <v>0.98</v>
      </c>
      <c r="O253" s="2">
        <v>0.7</v>
      </c>
      <c r="P253" s="2">
        <v>0.96</v>
      </c>
      <c r="Q253" s="2">
        <v>0.98</v>
      </c>
      <c r="R253" s="2">
        <v>0.98</v>
      </c>
      <c r="S253" s="2">
        <v>0.98</v>
      </c>
      <c r="T253" s="2">
        <v>0.7</v>
      </c>
      <c r="U253" s="4">
        <v>0.96</v>
      </c>
      <c r="V253" s="4">
        <v>0.96</v>
      </c>
      <c r="W253" s="4">
        <v>0.96</v>
      </c>
      <c r="X253" s="4">
        <v>0.9</v>
      </c>
    </row>
    <row r="254" spans="1:24" x14ac:dyDescent="0.3">
      <c r="A254" s="21">
        <v>248</v>
      </c>
      <c r="B254" s="4" t="s">
        <v>445</v>
      </c>
      <c r="C254" s="4" t="s">
        <v>26</v>
      </c>
      <c r="D254" s="4">
        <v>14.01</v>
      </c>
      <c r="E254" s="4">
        <v>24</v>
      </c>
      <c r="F254" s="4" t="s">
        <v>448</v>
      </c>
      <c r="G254" s="50" t="s">
        <v>447</v>
      </c>
      <c r="H254" s="4">
        <v>1520</v>
      </c>
      <c r="I254" s="85">
        <v>4.0500000000000001E-2</v>
      </c>
      <c r="J254" s="85">
        <v>6.5000000000000002E-2</v>
      </c>
      <c r="K254" s="53">
        <v>0.8</v>
      </c>
      <c r="L254" s="2">
        <v>0.98</v>
      </c>
      <c r="M254" s="2">
        <v>0.98</v>
      </c>
      <c r="N254" s="2">
        <v>0.98</v>
      </c>
      <c r="O254" s="2">
        <v>0.7</v>
      </c>
      <c r="P254" s="2">
        <v>0.96</v>
      </c>
      <c r="Q254" s="2">
        <v>0.98</v>
      </c>
      <c r="R254" s="2">
        <v>0.98</v>
      </c>
      <c r="S254" s="2">
        <v>0.98</v>
      </c>
      <c r="T254" s="2">
        <v>0.7</v>
      </c>
      <c r="U254" s="4">
        <v>0.96</v>
      </c>
      <c r="V254" s="4">
        <v>0.96</v>
      </c>
      <c r="W254" s="4">
        <v>0.96</v>
      </c>
      <c r="X254" s="4">
        <v>0.9</v>
      </c>
    </row>
    <row r="255" spans="1:24" x14ac:dyDescent="0.3">
      <c r="A255" s="21">
        <v>249</v>
      </c>
      <c r="B255" s="4" t="s">
        <v>449</v>
      </c>
      <c r="C255" s="4" t="s">
        <v>23</v>
      </c>
      <c r="D255" s="4">
        <v>6</v>
      </c>
      <c r="E255" s="4">
        <v>16</v>
      </c>
      <c r="F255" s="4" t="s">
        <v>450</v>
      </c>
      <c r="G255" s="50" t="s">
        <v>451</v>
      </c>
      <c r="H255" s="4">
        <v>1520</v>
      </c>
      <c r="I255" s="53">
        <v>0.03</v>
      </c>
      <c r="J255" s="53">
        <v>4.2999999999999997E-2</v>
      </c>
      <c r="K255" s="53">
        <v>0.8</v>
      </c>
      <c r="L255" s="2">
        <v>0.98</v>
      </c>
      <c r="M255" s="2">
        <v>0.98</v>
      </c>
      <c r="N255" s="2">
        <v>0.98</v>
      </c>
      <c r="O255" s="2">
        <v>0.7</v>
      </c>
      <c r="P255" s="2">
        <v>0.96</v>
      </c>
      <c r="Q255" s="2">
        <v>0.98</v>
      </c>
      <c r="R255" s="2">
        <v>0.98</v>
      </c>
      <c r="S255" s="2">
        <v>0.98</v>
      </c>
      <c r="T255" s="2">
        <v>0.7</v>
      </c>
      <c r="U255" s="4">
        <v>0.96</v>
      </c>
      <c r="V255" s="4">
        <v>0.96</v>
      </c>
      <c r="W255" s="4">
        <v>0.96</v>
      </c>
      <c r="X255" s="4">
        <v>0.9</v>
      </c>
    </row>
    <row r="256" spans="1:24" x14ac:dyDescent="0.3">
      <c r="A256" s="21">
        <v>250</v>
      </c>
      <c r="B256" s="4" t="s">
        <v>449</v>
      </c>
      <c r="C256" s="4" t="s">
        <v>26</v>
      </c>
      <c r="D256" s="4">
        <v>16.010000000000002</v>
      </c>
      <c r="E256" s="4">
        <v>19</v>
      </c>
      <c r="F256" s="4" t="s">
        <v>452</v>
      </c>
      <c r="G256" s="50" t="s">
        <v>451</v>
      </c>
      <c r="H256" s="4">
        <v>1520</v>
      </c>
      <c r="I256" s="85">
        <v>0.03</v>
      </c>
      <c r="J256" s="85">
        <v>4.2999999999999997E-2</v>
      </c>
      <c r="K256" s="53">
        <v>0.8</v>
      </c>
      <c r="L256" s="2">
        <v>0.98</v>
      </c>
      <c r="M256" s="2">
        <v>0.98</v>
      </c>
      <c r="N256" s="2">
        <v>0.98</v>
      </c>
      <c r="O256" s="2">
        <v>0.7</v>
      </c>
      <c r="P256" s="2">
        <v>0.96</v>
      </c>
      <c r="Q256" s="2">
        <v>0.98</v>
      </c>
      <c r="R256" s="2">
        <v>0.98</v>
      </c>
      <c r="S256" s="2">
        <v>0.98</v>
      </c>
      <c r="T256" s="2">
        <v>0.7</v>
      </c>
      <c r="U256" s="4">
        <v>0.96</v>
      </c>
      <c r="V256" s="4">
        <v>0.96</v>
      </c>
      <c r="W256" s="4">
        <v>0.96</v>
      </c>
      <c r="X256" s="4">
        <v>0.9</v>
      </c>
    </row>
    <row r="257" spans="1:24" x14ac:dyDescent="0.3">
      <c r="A257" s="21">
        <v>251</v>
      </c>
      <c r="B257" s="4" t="s">
        <v>453</v>
      </c>
      <c r="C257" s="4" t="s">
        <v>23</v>
      </c>
      <c r="D257" s="4">
        <v>1.2</v>
      </c>
      <c r="E257" s="4">
        <v>12</v>
      </c>
      <c r="F257" s="4" t="s">
        <v>454</v>
      </c>
      <c r="G257" s="50" t="s">
        <v>455</v>
      </c>
      <c r="H257" s="4">
        <v>1519</v>
      </c>
      <c r="I257" s="85">
        <v>5.8999999999999997E-2</v>
      </c>
      <c r="J257" s="85">
        <v>0.1022</v>
      </c>
      <c r="K257" s="53">
        <v>0.8</v>
      </c>
      <c r="L257" s="2">
        <v>0.98</v>
      </c>
      <c r="M257" s="2">
        <v>0.98</v>
      </c>
      <c r="N257" s="2">
        <v>0.98</v>
      </c>
      <c r="O257" s="2">
        <v>0.7</v>
      </c>
      <c r="P257" s="2">
        <v>0.96</v>
      </c>
      <c r="Q257" s="2">
        <v>0.98</v>
      </c>
      <c r="R257" s="2">
        <v>0.98</v>
      </c>
      <c r="S257" s="2">
        <v>0.98</v>
      </c>
      <c r="T257" s="2">
        <v>0.7</v>
      </c>
      <c r="U257" s="4">
        <v>0.96</v>
      </c>
      <c r="V257" s="4">
        <v>0.96</v>
      </c>
      <c r="W257" s="4">
        <v>0.96</v>
      </c>
      <c r="X257" s="4">
        <v>0.9</v>
      </c>
    </row>
    <row r="258" spans="1:24" x14ac:dyDescent="0.3">
      <c r="A258" s="21">
        <v>252</v>
      </c>
      <c r="B258" s="4" t="s">
        <v>453</v>
      </c>
      <c r="C258" s="4" t="s">
        <v>26</v>
      </c>
      <c r="D258" s="4">
        <v>12.01</v>
      </c>
      <c r="E258" s="4">
        <v>25.4</v>
      </c>
      <c r="F258" s="4" t="s">
        <v>456</v>
      </c>
      <c r="G258" s="50" t="s">
        <v>455</v>
      </c>
      <c r="H258" s="4">
        <v>1519</v>
      </c>
      <c r="I258" s="85">
        <v>5.8999999999999997E-2</v>
      </c>
      <c r="J258" s="85">
        <v>0.1022</v>
      </c>
      <c r="K258" s="53">
        <v>0.8</v>
      </c>
      <c r="L258" s="2">
        <v>0.98</v>
      </c>
      <c r="M258" s="2">
        <v>0.98</v>
      </c>
      <c r="N258" s="2">
        <v>0.98</v>
      </c>
      <c r="O258" s="2">
        <v>0.7</v>
      </c>
      <c r="P258" s="2">
        <v>0.96</v>
      </c>
      <c r="Q258" s="2">
        <v>0.98</v>
      </c>
      <c r="R258" s="2">
        <v>0.98</v>
      </c>
      <c r="S258" s="2">
        <v>0.98</v>
      </c>
      <c r="T258" s="2">
        <v>0.7</v>
      </c>
      <c r="U258" s="4">
        <v>0.96</v>
      </c>
      <c r="V258" s="4">
        <v>0.96</v>
      </c>
      <c r="W258" s="4">
        <v>0.96</v>
      </c>
      <c r="X258" s="4">
        <v>0.9</v>
      </c>
    </row>
    <row r="259" spans="1:24" x14ac:dyDescent="0.3">
      <c r="A259" s="21">
        <v>253</v>
      </c>
      <c r="B259" s="4" t="s">
        <v>457</v>
      </c>
      <c r="C259" s="4" t="s">
        <v>23</v>
      </c>
      <c r="D259" s="4">
        <v>2.5</v>
      </c>
      <c r="E259" s="4">
        <v>10</v>
      </c>
      <c r="F259" s="4" t="s">
        <v>457</v>
      </c>
      <c r="G259" s="50" t="s">
        <v>458</v>
      </c>
      <c r="H259" s="4">
        <v>1512</v>
      </c>
      <c r="I259" s="85">
        <v>5.8999999999999997E-2</v>
      </c>
      <c r="J259" s="85">
        <v>0.1022</v>
      </c>
      <c r="K259" s="53">
        <v>0.8</v>
      </c>
      <c r="L259" s="2">
        <v>0.98</v>
      </c>
      <c r="M259" s="2">
        <v>0.98</v>
      </c>
      <c r="N259" s="2">
        <v>0.98</v>
      </c>
      <c r="O259" s="2">
        <v>0.7</v>
      </c>
      <c r="P259" s="2">
        <v>0.96</v>
      </c>
      <c r="Q259" s="2">
        <v>0.98</v>
      </c>
      <c r="R259" s="2">
        <v>0.98</v>
      </c>
      <c r="S259" s="2">
        <v>0.98</v>
      </c>
      <c r="T259" s="2">
        <v>0.7</v>
      </c>
      <c r="U259" s="4">
        <v>0.96</v>
      </c>
      <c r="V259" s="4">
        <v>0.96</v>
      </c>
      <c r="W259" s="4">
        <v>0.96</v>
      </c>
      <c r="X259" s="4">
        <v>0.9</v>
      </c>
    </row>
    <row r="260" spans="1:24" x14ac:dyDescent="0.3">
      <c r="A260" s="21">
        <v>254</v>
      </c>
      <c r="B260" s="4" t="s">
        <v>459</v>
      </c>
      <c r="C260" s="4" t="s">
        <v>23</v>
      </c>
      <c r="D260" s="4">
        <v>3</v>
      </c>
      <c r="E260" s="4">
        <v>10</v>
      </c>
      <c r="F260" s="4" t="s">
        <v>459</v>
      </c>
      <c r="G260" s="50" t="s">
        <v>460</v>
      </c>
      <c r="H260" s="4">
        <v>1512</v>
      </c>
      <c r="I260" s="53">
        <v>5.8999999999999997E-2</v>
      </c>
      <c r="J260" s="53">
        <v>0.1022</v>
      </c>
      <c r="K260" s="53">
        <v>0.8</v>
      </c>
      <c r="L260" s="2">
        <v>0.98</v>
      </c>
      <c r="M260" s="2">
        <v>0.98</v>
      </c>
      <c r="N260" s="2">
        <v>0.98</v>
      </c>
      <c r="O260" s="2">
        <v>0.7</v>
      </c>
      <c r="P260" s="2">
        <v>0.96</v>
      </c>
      <c r="Q260" s="2">
        <v>0.98</v>
      </c>
      <c r="R260" s="2">
        <v>0.98</v>
      </c>
      <c r="S260" s="2">
        <v>0.98</v>
      </c>
      <c r="T260" s="2">
        <v>0.7</v>
      </c>
      <c r="U260" s="4">
        <v>0.96</v>
      </c>
      <c r="V260" s="4">
        <v>0.96</v>
      </c>
      <c r="W260" s="4">
        <v>0.96</v>
      </c>
      <c r="X260" s="4">
        <v>0.9</v>
      </c>
    </row>
    <row r="261" spans="1:24" x14ac:dyDescent="0.3">
      <c r="A261" s="21">
        <v>255</v>
      </c>
      <c r="B261" s="4" t="s">
        <v>461</v>
      </c>
      <c r="C261" s="4" t="s">
        <v>23</v>
      </c>
      <c r="D261" s="4">
        <v>3</v>
      </c>
      <c r="E261" s="4">
        <v>10</v>
      </c>
      <c r="F261" s="4" t="s">
        <v>461</v>
      </c>
      <c r="G261" s="50" t="s">
        <v>462</v>
      </c>
      <c r="H261" s="4">
        <v>1523</v>
      </c>
      <c r="I261" s="53">
        <v>3.1E-2</v>
      </c>
      <c r="J261" s="53">
        <v>7.1999999999999995E-2</v>
      </c>
      <c r="K261" s="53">
        <v>0.8</v>
      </c>
      <c r="L261" s="2">
        <v>0.98</v>
      </c>
      <c r="M261" s="2">
        <v>0.98</v>
      </c>
      <c r="N261" s="2">
        <v>0.98</v>
      </c>
      <c r="O261" s="2">
        <v>0.7</v>
      </c>
      <c r="P261" s="2">
        <v>0.96</v>
      </c>
      <c r="Q261" s="2">
        <v>0.98</v>
      </c>
      <c r="R261" s="2">
        <v>0.98</v>
      </c>
      <c r="S261" s="2">
        <v>0.98</v>
      </c>
      <c r="T261" s="2">
        <v>0.7</v>
      </c>
      <c r="U261" s="4">
        <v>0.96</v>
      </c>
      <c r="V261" s="4">
        <v>0.96</v>
      </c>
      <c r="W261" s="4">
        <v>0.96</v>
      </c>
      <c r="X261" s="4">
        <v>0.9</v>
      </c>
    </row>
    <row r="262" spans="1:24" x14ac:dyDescent="0.3">
      <c r="A262" s="21">
        <v>256</v>
      </c>
      <c r="B262" s="4" t="s">
        <v>463</v>
      </c>
      <c r="C262" s="4" t="s">
        <v>23</v>
      </c>
      <c r="D262" s="4">
        <v>3</v>
      </c>
      <c r="E262" s="4">
        <v>9.99</v>
      </c>
      <c r="F262" s="4" t="s">
        <v>464</v>
      </c>
      <c r="G262" s="50" t="s">
        <v>465</v>
      </c>
      <c r="H262" s="4">
        <v>1522</v>
      </c>
      <c r="I262" s="85">
        <v>3.6999999999999998E-2</v>
      </c>
      <c r="J262" s="85">
        <v>7.6999999999999999E-2</v>
      </c>
      <c r="K262" s="53">
        <v>0.8</v>
      </c>
      <c r="L262" s="2">
        <v>0.98</v>
      </c>
      <c r="M262" s="2">
        <v>0.98</v>
      </c>
      <c r="N262" s="2">
        <v>0.98</v>
      </c>
      <c r="O262" s="2">
        <v>0.7</v>
      </c>
      <c r="P262" s="2">
        <v>0.96</v>
      </c>
      <c r="Q262" s="2">
        <v>0.98</v>
      </c>
      <c r="R262" s="2">
        <v>0.98</v>
      </c>
      <c r="S262" s="2">
        <v>0.98</v>
      </c>
      <c r="T262" s="2">
        <v>0.7</v>
      </c>
      <c r="U262" s="4">
        <v>0.96</v>
      </c>
      <c r="V262" s="4">
        <v>0.96</v>
      </c>
      <c r="W262" s="4">
        <v>0.96</v>
      </c>
      <c r="X262" s="4">
        <v>0.9</v>
      </c>
    </row>
    <row r="263" spans="1:24" x14ac:dyDescent="0.3">
      <c r="A263" s="21">
        <v>257</v>
      </c>
      <c r="B263" s="4" t="s">
        <v>463</v>
      </c>
      <c r="C263" s="4" t="s">
        <v>26</v>
      </c>
      <c r="D263" s="4">
        <v>10</v>
      </c>
      <c r="E263" s="4">
        <v>20</v>
      </c>
      <c r="F263" s="4" t="s">
        <v>466</v>
      </c>
      <c r="G263" s="50" t="s">
        <v>465</v>
      </c>
      <c r="H263" s="4">
        <v>1522</v>
      </c>
      <c r="I263" s="85">
        <v>3.6999999999999998E-2</v>
      </c>
      <c r="J263" s="85">
        <v>7.6999999999999999E-2</v>
      </c>
      <c r="K263" s="53">
        <v>0.8</v>
      </c>
      <c r="L263" s="2">
        <v>0.98</v>
      </c>
      <c r="M263" s="2">
        <v>0.98</v>
      </c>
      <c r="N263" s="2">
        <v>0.98</v>
      </c>
      <c r="O263" s="2">
        <v>0.7</v>
      </c>
      <c r="P263" s="2">
        <v>0.96</v>
      </c>
      <c r="Q263" s="2">
        <v>0.98</v>
      </c>
      <c r="R263" s="2">
        <v>0.98</v>
      </c>
      <c r="S263" s="2">
        <v>0.98</v>
      </c>
      <c r="T263" s="2">
        <v>0.7</v>
      </c>
      <c r="U263" s="4">
        <v>0.96</v>
      </c>
      <c r="V263" s="4">
        <v>0.96</v>
      </c>
      <c r="W263" s="4">
        <v>0.96</v>
      </c>
      <c r="X263" s="4">
        <v>0.9</v>
      </c>
    </row>
    <row r="264" spans="1:24" x14ac:dyDescent="0.3">
      <c r="A264" s="21">
        <v>258</v>
      </c>
      <c r="B264" s="4" t="s">
        <v>467</v>
      </c>
      <c r="C264" s="4" t="s">
        <v>23</v>
      </c>
      <c r="D264" s="4">
        <v>3</v>
      </c>
      <c r="E264" s="4">
        <v>10</v>
      </c>
      <c r="F264" s="4" t="s">
        <v>468</v>
      </c>
      <c r="G264" s="50" t="s">
        <v>469</v>
      </c>
      <c r="H264" s="4">
        <v>1518</v>
      </c>
      <c r="I264" s="53">
        <v>3.6999999999999998E-2</v>
      </c>
      <c r="J264" s="53">
        <v>7.6999999999999999E-2</v>
      </c>
      <c r="K264" s="53">
        <v>0.8</v>
      </c>
      <c r="L264" s="2">
        <v>0.98</v>
      </c>
      <c r="M264" s="2">
        <v>0.98</v>
      </c>
      <c r="N264" s="2">
        <v>0.98</v>
      </c>
      <c r="O264" s="2">
        <v>0.7</v>
      </c>
      <c r="P264" s="2">
        <v>0.96</v>
      </c>
      <c r="Q264" s="2">
        <v>0.98</v>
      </c>
      <c r="R264" s="2">
        <v>0.98</v>
      </c>
      <c r="S264" s="2">
        <v>0.98</v>
      </c>
      <c r="T264" s="2">
        <v>0.7</v>
      </c>
      <c r="U264" s="4">
        <v>0.96</v>
      </c>
      <c r="V264" s="4">
        <v>0.96</v>
      </c>
      <c r="W264" s="4">
        <v>0.96</v>
      </c>
      <c r="X264" s="4">
        <v>0.9</v>
      </c>
    </row>
    <row r="265" spans="1:24" x14ac:dyDescent="0.3">
      <c r="A265" s="21">
        <v>259</v>
      </c>
      <c r="B265" s="4" t="s">
        <v>467</v>
      </c>
      <c r="C265" s="4" t="s">
        <v>26</v>
      </c>
      <c r="D265" s="4">
        <v>10.01</v>
      </c>
      <c r="E265" s="4">
        <v>20</v>
      </c>
      <c r="F265" s="4" t="s">
        <v>470</v>
      </c>
      <c r="G265" s="50" t="s">
        <v>469</v>
      </c>
      <c r="H265" s="4">
        <v>1518</v>
      </c>
      <c r="I265" s="85">
        <v>3.6999999999999998E-2</v>
      </c>
      <c r="J265" s="85">
        <v>7.6999999999999999E-2</v>
      </c>
      <c r="K265" s="53">
        <v>0.8</v>
      </c>
      <c r="L265" s="2">
        <v>0.98</v>
      </c>
      <c r="M265" s="2">
        <v>0.98</v>
      </c>
      <c r="N265" s="2">
        <v>0.98</v>
      </c>
      <c r="O265" s="2">
        <v>0.7</v>
      </c>
      <c r="P265" s="2">
        <v>0.96</v>
      </c>
      <c r="Q265" s="2">
        <v>0.98</v>
      </c>
      <c r="R265" s="2">
        <v>0.98</v>
      </c>
      <c r="S265" s="2">
        <v>0.98</v>
      </c>
      <c r="T265" s="2">
        <v>0.7</v>
      </c>
      <c r="U265" s="4">
        <v>0.96</v>
      </c>
      <c r="V265" s="4">
        <v>0.96</v>
      </c>
      <c r="W265" s="4">
        <v>0.96</v>
      </c>
      <c r="X265" s="4">
        <v>0.9</v>
      </c>
    </row>
    <row r="266" spans="1:24" x14ac:dyDescent="0.3">
      <c r="A266" s="21">
        <v>260</v>
      </c>
      <c r="B266" s="4" t="s">
        <v>471</v>
      </c>
      <c r="C266" s="4" t="s">
        <v>23</v>
      </c>
      <c r="D266" s="4">
        <v>3</v>
      </c>
      <c r="E266" s="4">
        <v>9.99</v>
      </c>
      <c r="F266" s="4" t="s">
        <v>472</v>
      </c>
      <c r="G266" s="50" t="s">
        <v>473</v>
      </c>
      <c r="H266" s="4">
        <v>1518</v>
      </c>
      <c r="I266" s="85">
        <v>3.6999999999999998E-2</v>
      </c>
      <c r="J266" s="85">
        <v>7.6999999999999999E-2</v>
      </c>
      <c r="K266" s="53">
        <v>0.8</v>
      </c>
      <c r="L266" s="2">
        <v>0.98</v>
      </c>
      <c r="M266" s="2">
        <v>0.98</v>
      </c>
      <c r="N266" s="2">
        <v>0.98</v>
      </c>
      <c r="O266" s="2">
        <v>0.7</v>
      </c>
      <c r="P266" s="2">
        <v>0.96</v>
      </c>
      <c r="Q266" s="2">
        <v>0.98</v>
      </c>
      <c r="R266" s="2">
        <v>0.98</v>
      </c>
      <c r="S266" s="2">
        <v>0.98</v>
      </c>
      <c r="T266" s="2">
        <v>0.7</v>
      </c>
      <c r="U266" s="4">
        <v>0.96</v>
      </c>
      <c r="V266" s="4">
        <v>0.96</v>
      </c>
      <c r="W266" s="4">
        <v>0.96</v>
      </c>
      <c r="X266" s="4">
        <v>0.9</v>
      </c>
    </row>
    <row r="267" spans="1:24" x14ac:dyDescent="0.3">
      <c r="A267" s="21">
        <v>261</v>
      </c>
      <c r="B267" s="4" t="s">
        <v>471</v>
      </c>
      <c r="C267" s="4" t="s">
        <v>26</v>
      </c>
      <c r="D267" s="4">
        <v>10</v>
      </c>
      <c r="E267" s="4">
        <v>20</v>
      </c>
      <c r="F267" s="4" t="s">
        <v>474</v>
      </c>
      <c r="G267" s="50" t="s">
        <v>473</v>
      </c>
      <c r="H267" s="4">
        <v>1518</v>
      </c>
      <c r="I267" s="85">
        <v>3.6999999999999998E-2</v>
      </c>
      <c r="J267" s="85">
        <v>7.6999999999999999E-2</v>
      </c>
      <c r="K267" s="53">
        <v>0.8</v>
      </c>
      <c r="L267" s="2">
        <v>0.98</v>
      </c>
      <c r="M267" s="2">
        <v>0.98</v>
      </c>
      <c r="N267" s="2">
        <v>0.98</v>
      </c>
      <c r="O267" s="2">
        <v>0.7</v>
      </c>
      <c r="P267" s="2">
        <v>0.96</v>
      </c>
      <c r="Q267" s="2">
        <v>0.98</v>
      </c>
      <c r="R267" s="2">
        <v>0.98</v>
      </c>
      <c r="S267" s="2">
        <v>0.98</v>
      </c>
      <c r="T267" s="2">
        <v>0.7</v>
      </c>
      <c r="U267" s="4">
        <v>0.96</v>
      </c>
      <c r="V267" s="4">
        <v>0.96</v>
      </c>
      <c r="W267" s="4">
        <v>0.96</v>
      </c>
      <c r="X267" s="4">
        <v>0.9</v>
      </c>
    </row>
    <row r="268" spans="1:24" x14ac:dyDescent="0.3">
      <c r="A268" s="21">
        <v>262</v>
      </c>
      <c r="B268" s="4" t="s">
        <v>475</v>
      </c>
      <c r="C268" s="4" t="s">
        <v>23</v>
      </c>
      <c r="D268" s="4">
        <v>4</v>
      </c>
      <c r="E268" s="4">
        <v>14</v>
      </c>
      <c r="F268" s="4" t="s">
        <v>475</v>
      </c>
      <c r="G268" s="50" t="s">
        <v>476</v>
      </c>
      <c r="H268" s="4">
        <v>1519</v>
      </c>
      <c r="I268" s="53">
        <v>4.3999999999999997E-2</v>
      </c>
      <c r="J268" s="53">
        <v>8.4000000000000005E-2</v>
      </c>
      <c r="K268" s="53">
        <v>0.8</v>
      </c>
      <c r="L268" s="2">
        <v>0.98</v>
      </c>
      <c r="M268" s="2">
        <v>0.98</v>
      </c>
      <c r="N268" s="2">
        <v>0.98</v>
      </c>
      <c r="O268" s="2">
        <v>0.7</v>
      </c>
      <c r="P268" s="2">
        <v>0.96</v>
      </c>
      <c r="Q268" s="2">
        <v>0.98</v>
      </c>
      <c r="R268" s="2">
        <v>0.98</v>
      </c>
      <c r="S268" s="2">
        <v>0.98</v>
      </c>
      <c r="T268" s="2">
        <v>0.7</v>
      </c>
      <c r="U268" s="4">
        <v>0.96</v>
      </c>
      <c r="V268" s="4">
        <v>0.96</v>
      </c>
      <c r="W268" s="4">
        <v>0.96</v>
      </c>
      <c r="X268" s="4">
        <v>0.9</v>
      </c>
    </row>
    <row r="269" spans="1:24" x14ac:dyDescent="0.3">
      <c r="A269" s="21">
        <v>263</v>
      </c>
      <c r="B269" s="4" t="s">
        <v>477</v>
      </c>
      <c r="C269" s="4" t="s">
        <v>23</v>
      </c>
      <c r="D269" s="4">
        <v>2</v>
      </c>
      <c r="E269" s="4">
        <v>9.99</v>
      </c>
      <c r="F269" s="4" t="s">
        <v>478</v>
      </c>
      <c r="G269" s="50" t="s">
        <v>479</v>
      </c>
      <c r="H269" s="4">
        <v>1502</v>
      </c>
      <c r="I269" s="53">
        <v>5.7625000000000003E-2</v>
      </c>
      <c r="J269" s="53">
        <v>0.10975</v>
      </c>
      <c r="K269" s="53">
        <v>0.8</v>
      </c>
      <c r="L269" s="2">
        <v>0.98</v>
      </c>
      <c r="M269" s="2">
        <v>0.98</v>
      </c>
      <c r="N269" s="2">
        <v>0.98</v>
      </c>
      <c r="O269" s="2">
        <v>0.7</v>
      </c>
      <c r="P269" s="2">
        <v>0.96</v>
      </c>
      <c r="Q269" s="2">
        <v>0.98</v>
      </c>
      <c r="R269" s="2">
        <v>0.98</v>
      </c>
      <c r="S269" s="2">
        <v>0.98</v>
      </c>
      <c r="T269" s="2">
        <v>0.7</v>
      </c>
      <c r="U269" s="4">
        <v>0.96</v>
      </c>
      <c r="V269" s="4">
        <v>0.96</v>
      </c>
      <c r="W269" s="4">
        <v>0.96</v>
      </c>
      <c r="X269" s="4">
        <v>0.9</v>
      </c>
    </row>
    <row r="270" spans="1:24" x14ac:dyDescent="0.3">
      <c r="A270" s="21">
        <v>264</v>
      </c>
      <c r="B270" s="4" t="s">
        <v>477</v>
      </c>
      <c r="C270" s="4" t="s">
        <v>26</v>
      </c>
      <c r="D270" s="4">
        <v>10</v>
      </c>
      <c r="E270" s="4">
        <v>20</v>
      </c>
      <c r="F270" s="4" t="s">
        <v>480</v>
      </c>
      <c r="G270" s="50" t="s">
        <v>479</v>
      </c>
      <c r="H270" s="4">
        <v>1502</v>
      </c>
      <c r="I270" s="53">
        <v>5.7625000000000003E-2</v>
      </c>
      <c r="J270" s="53">
        <v>0.10975</v>
      </c>
      <c r="K270" s="53">
        <v>0.8</v>
      </c>
      <c r="L270" s="2">
        <v>0.98</v>
      </c>
      <c r="M270" s="2">
        <v>0.98</v>
      </c>
      <c r="N270" s="2">
        <v>0.98</v>
      </c>
      <c r="O270" s="2">
        <v>0.7</v>
      </c>
      <c r="P270" s="2">
        <v>0.96</v>
      </c>
      <c r="Q270" s="2">
        <v>0.98</v>
      </c>
      <c r="R270" s="2">
        <v>0.98</v>
      </c>
      <c r="S270" s="2">
        <v>0.98</v>
      </c>
      <c r="T270" s="2">
        <v>0.7</v>
      </c>
      <c r="U270" s="4">
        <v>0.96</v>
      </c>
      <c r="V270" s="4">
        <v>0.96</v>
      </c>
      <c r="W270" s="4">
        <v>0.96</v>
      </c>
      <c r="X270" s="4">
        <v>0.9</v>
      </c>
    </row>
    <row r="271" spans="1:24" x14ac:dyDescent="0.3">
      <c r="A271" s="21">
        <v>265</v>
      </c>
      <c r="B271" s="71" t="s">
        <v>481</v>
      </c>
      <c r="C271" s="71" t="s">
        <v>23</v>
      </c>
      <c r="D271" s="71">
        <v>3</v>
      </c>
      <c r="E271" s="71">
        <v>16</v>
      </c>
      <c r="F271" s="71" t="s">
        <v>481</v>
      </c>
      <c r="G271" s="72" t="s">
        <v>482</v>
      </c>
      <c r="H271" s="71">
        <v>1511</v>
      </c>
      <c r="I271" s="53">
        <v>4.2500000000000003E-2</v>
      </c>
      <c r="J271" s="53">
        <v>0.10100000000000001</v>
      </c>
      <c r="K271" s="53">
        <v>0.8</v>
      </c>
      <c r="L271" s="2">
        <v>0.98</v>
      </c>
      <c r="M271" s="2">
        <v>0.98</v>
      </c>
      <c r="N271" s="2">
        <v>0.98</v>
      </c>
      <c r="O271" s="2">
        <v>0.7</v>
      </c>
      <c r="P271" s="2">
        <v>0.96</v>
      </c>
      <c r="Q271" s="2">
        <v>0.98</v>
      </c>
      <c r="R271" s="2">
        <v>0.98</v>
      </c>
      <c r="S271" s="2">
        <v>0.98</v>
      </c>
      <c r="T271" s="2">
        <v>0.7</v>
      </c>
      <c r="U271" s="4">
        <v>0.96</v>
      </c>
      <c r="V271" s="4">
        <v>0.96</v>
      </c>
      <c r="W271" s="4">
        <v>0.96</v>
      </c>
      <c r="X271" s="4">
        <v>0.9</v>
      </c>
    </row>
    <row r="272" spans="1:24" x14ac:dyDescent="0.3">
      <c r="A272" s="21">
        <v>266</v>
      </c>
      <c r="B272" s="4" t="s">
        <v>483</v>
      </c>
      <c r="C272" s="4" t="s">
        <v>23</v>
      </c>
      <c r="D272" s="4">
        <v>3</v>
      </c>
      <c r="E272" s="4">
        <v>16</v>
      </c>
      <c r="F272" s="4" t="s">
        <v>483</v>
      </c>
      <c r="G272" s="4" t="s">
        <v>484</v>
      </c>
      <c r="H272" s="4">
        <v>1511</v>
      </c>
      <c r="I272" s="53">
        <v>4.2500000000000003E-2</v>
      </c>
      <c r="J272" s="53">
        <v>0.10100000000000001</v>
      </c>
      <c r="K272" s="53">
        <v>0.8</v>
      </c>
      <c r="L272" s="2">
        <v>0.98</v>
      </c>
      <c r="M272" s="2">
        <v>0.98</v>
      </c>
      <c r="N272" s="2">
        <v>0.98</v>
      </c>
      <c r="O272" s="2">
        <v>0.7</v>
      </c>
      <c r="P272" s="2">
        <v>0.96</v>
      </c>
      <c r="Q272" s="2">
        <v>0.98</v>
      </c>
      <c r="R272" s="2">
        <v>0.98</v>
      </c>
      <c r="S272" s="2">
        <v>0.98</v>
      </c>
      <c r="T272" s="2">
        <v>0.7</v>
      </c>
      <c r="U272" s="4">
        <v>0.96</v>
      </c>
      <c r="V272" s="4">
        <v>0.96</v>
      </c>
      <c r="W272" s="4">
        <v>0.96</v>
      </c>
      <c r="X272" s="4">
        <v>0.9</v>
      </c>
    </row>
    <row r="273" spans="1:25" x14ac:dyDescent="0.3">
      <c r="A273" s="21">
        <v>267</v>
      </c>
      <c r="B273" s="4" t="s">
        <v>485</v>
      </c>
      <c r="C273" s="4" t="s">
        <v>23</v>
      </c>
      <c r="D273" s="4">
        <v>3</v>
      </c>
      <c r="E273" s="4">
        <v>16</v>
      </c>
      <c r="F273" s="4" t="s">
        <v>485</v>
      </c>
      <c r="G273" s="4" t="s">
        <v>486</v>
      </c>
      <c r="H273" s="4">
        <v>1511</v>
      </c>
      <c r="I273" s="53">
        <v>4.2500000000000003E-2</v>
      </c>
      <c r="J273" s="53">
        <v>0.10100000000000001</v>
      </c>
      <c r="K273" s="53">
        <v>0.8</v>
      </c>
      <c r="L273" s="2">
        <v>0.98</v>
      </c>
      <c r="M273" s="2">
        <v>0.98</v>
      </c>
      <c r="N273" s="2">
        <v>0.98</v>
      </c>
      <c r="O273" s="2">
        <v>0.7</v>
      </c>
      <c r="P273" s="2">
        <v>0.96</v>
      </c>
      <c r="Q273" s="2">
        <v>0.98</v>
      </c>
      <c r="R273" s="2">
        <v>0.98</v>
      </c>
      <c r="S273" s="2">
        <v>0.98</v>
      </c>
      <c r="T273" s="2">
        <v>0.7</v>
      </c>
      <c r="U273" s="4">
        <v>0.96</v>
      </c>
      <c r="V273" s="4">
        <v>0.96</v>
      </c>
      <c r="W273" s="4">
        <v>0.96</v>
      </c>
      <c r="X273" s="4">
        <v>0.9</v>
      </c>
    </row>
    <row r="274" spans="1:25" x14ac:dyDescent="0.3">
      <c r="A274" s="21">
        <v>268</v>
      </c>
      <c r="B274" s="71" t="s">
        <v>487</v>
      </c>
      <c r="C274" s="71" t="s">
        <v>23</v>
      </c>
      <c r="D274" s="71">
        <v>3</v>
      </c>
      <c r="E274" s="71">
        <v>5.99</v>
      </c>
      <c r="F274" s="71" t="s">
        <v>488</v>
      </c>
      <c r="G274" s="72" t="s">
        <v>489</v>
      </c>
      <c r="H274" s="71">
        <v>1516</v>
      </c>
      <c r="I274" s="53">
        <v>4.2999999999999997E-2</v>
      </c>
      <c r="J274" s="53">
        <v>8.6499999999999994E-2</v>
      </c>
      <c r="K274" s="53">
        <v>0.8</v>
      </c>
      <c r="L274" s="2">
        <v>0.98</v>
      </c>
      <c r="M274" s="2">
        <v>0.98</v>
      </c>
      <c r="N274" s="2">
        <v>0.98</v>
      </c>
      <c r="O274" s="2">
        <v>0.7</v>
      </c>
      <c r="P274" s="2">
        <v>0.96</v>
      </c>
      <c r="Q274" s="2">
        <v>0.98</v>
      </c>
      <c r="R274" s="2">
        <v>0.98</v>
      </c>
      <c r="S274" s="2">
        <v>0.98</v>
      </c>
      <c r="T274" s="2">
        <v>0.7</v>
      </c>
      <c r="U274" s="4">
        <v>0.96</v>
      </c>
      <c r="V274" s="4">
        <v>0.96</v>
      </c>
      <c r="W274" s="4">
        <v>0.96</v>
      </c>
      <c r="X274" s="4">
        <v>0.9</v>
      </c>
    </row>
    <row r="275" spans="1:25" x14ac:dyDescent="0.3">
      <c r="A275" s="21">
        <v>269</v>
      </c>
      <c r="B275" s="71" t="s">
        <v>487</v>
      </c>
      <c r="C275" s="71" t="s">
        <v>26</v>
      </c>
      <c r="D275" s="71">
        <v>6</v>
      </c>
      <c r="E275" s="71">
        <v>12</v>
      </c>
      <c r="F275" s="71" t="s">
        <v>490</v>
      </c>
      <c r="G275" s="72" t="s">
        <v>489</v>
      </c>
      <c r="H275" s="71">
        <v>1516</v>
      </c>
      <c r="I275" s="53">
        <v>4.2999999999999997E-2</v>
      </c>
      <c r="J275" s="53">
        <v>8.6499999999999994E-2</v>
      </c>
      <c r="K275" s="53">
        <v>0.8</v>
      </c>
      <c r="L275" s="2">
        <v>0.98</v>
      </c>
      <c r="M275" s="2">
        <v>0.98</v>
      </c>
      <c r="N275" s="2">
        <v>0.98</v>
      </c>
      <c r="O275" s="2">
        <v>0.7</v>
      </c>
      <c r="P275" s="2">
        <v>0.96</v>
      </c>
      <c r="Q275" s="2">
        <v>0.98</v>
      </c>
      <c r="R275" s="2">
        <v>0.98</v>
      </c>
      <c r="S275" s="2">
        <v>0.98</v>
      </c>
      <c r="T275" s="2">
        <v>0.7</v>
      </c>
      <c r="U275" s="4">
        <v>0.96</v>
      </c>
      <c r="V275" s="4">
        <v>0.96</v>
      </c>
      <c r="W275" s="4">
        <v>0.96</v>
      </c>
      <c r="X275" s="4">
        <v>0.9</v>
      </c>
    </row>
    <row r="276" spans="1:25" x14ac:dyDescent="0.3">
      <c r="A276" s="21">
        <v>270</v>
      </c>
      <c r="B276" s="4" t="s">
        <v>491</v>
      </c>
      <c r="C276" s="4" t="s">
        <v>23</v>
      </c>
      <c r="D276" s="4">
        <v>6</v>
      </c>
      <c r="E276" s="4">
        <v>15.99</v>
      </c>
      <c r="F276" s="4" t="s">
        <v>492</v>
      </c>
      <c r="G276" s="50" t="s">
        <v>493</v>
      </c>
      <c r="H276" s="4">
        <v>1513</v>
      </c>
      <c r="I276" s="4">
        <v>6.2214285714285701E-2</v>
      </c>
      <c r="J276" s="4">
        <v>0.11664285714285701</v>
      </c>
      <c r="K276" s="53">
        <v>0.8</v>
      </c>
      <c r="L276" s="2">
        <v>0.98</v>
      </c>
      <c r="M276" s="2">
        <v>0.98</v>
      </c>
      <c r="N276" s="2">
        <v>0.98</v>
      </c>
      <c r="O276" s="2">
        <v>0.7</v>
      </c>
      <c r="P276" s="2">
        <v>0.96</v>
      </c>
      <c r="Q276" s="2">
        <v>0.98</v>
      </c>
      <c r="R276" s="2">
        <v>0.98</v>
      </c>
      <c r="S276" s="2">
        <v>0.98</v>
      </c>
      <c r="T276" s="2">
        <v>0.7</v>
      </c>
      <c r="U276" s="4">
        <v>0.96</v>
      </c>
      <c r="V276" s="4">
        <v>0.96</v>
      </c>
      <c r="W276" s="4">
        <v>0.96</v>
      </c>
      <c r="X276" s="4">
        <v>0.9</v>
      </c>
    </row>
    <row r="277" spans="1:25" x14ac:dyDescent="0.3">
      <c r="A277" s="21">
        <v>271</v>
      </c>
      <c r="B277" s="4" t="s">
        <v>491</v>
      </c>
      <c r="C277" s="4" t="s">
        <v>26</v>
      </c>
      <c r="D277" s="4">
        <v>16</v>
      </c>
      <c r="E277" s="4">
        <v>28</v>
      </c>
      <c r="F277" s="4" t="s">
        <v>494</v>
      </c>
      <c r="G277" s="50" t="s">
        <v>493</v>
      </c>
      <c r="H277" s="4">
        <v>1513</v>
      </c>
      <c r="I277" s="4">
        <v>6.7217391304347798E-2</v>
      </c>
      <c r="J277" s="4">
        <v>0.122913043478261</v>
      </c>
      <c r="K277" s="53">
        <v>0.8</v>
      </c>
      <c r="L277" s="2">
        <v>0.98</v>
      </c>
      <c r="M277" s="2">
        <v>0.98</v>
      </c>
      <c r="N277" s="2">
        <v>0.98</v>
      </c>
      <c r="O277" s="2">
        <v>0.7</v>
      </c>
      <c r="P277" s="2">
        <v>0.96</v>
      </c>
      <c r="Q277" s="2">
        <v>0.98</v>
      </c>
      <c r="R277" s="2">
        <v>0.98</v>
      </c>
      <c r="S277" s="2">
        <v>0.98</v>
      </c>
      <c r="T277" s="2">
        <v>0.7</v>
      </c>
      <c r="U277" s="4">
        <v>0.96</v>
      </c>
      <c r="V277" s="4">
        <v>0.96</v>
      </c>
      <c r="W277" s="4">
        <v>0.96</v>
      </c>
      <c r="X277" s="4">
        <v>0.9</v>
      </c>
    </row>
    <row r="278" spans="1:25" x14ac:dyDescent="0.3">
      <c r="A278" s="21">
        <v>272</v>
      </c>
      <c r="B278" s="4" t="s">
        <v>495</v>
      </c>
      <c r="C278" s="4" t="s">
        <v>23</v>
      </c>
      <c r="D278" s="4">
        <v>6</v>
      </c>
      <c r="E278" s="4">
        <v>15.99</v>
      </c>
      <c r="F278" s="4" t="s">
        <v>496</v>
      </c>
      <c r="G278" s="50" t="s">
        <v>497</v>
      </c>
      <c r="H278" s="4">
        <v>1508</v>
      </c>
      <c r="I278" s="4">
        <v>5.1999999999999998E-2</v>
      </c>
      <c r="J278" s="4">
        <v>0.113666666666667</v>
      </c>
      <c r="K278" s="53">
        <v>0.8</v>
      </c>
      <c r="L278" s="2">
        <v>0.98</v>
      </c>
      <c r="M278" s="2">
        <v>0.98</v>
      </c>
      <c r="N278" s="2">
        <v>0.98</v>
      </c>
      <c r="O278" s="2">
        <v>0.7</v>
      </c>
      <c r="P278" s="2">
        <v>0.96</v>
      </c>
      <c r="Q278" s="2">
        <v>0.98</v>
      </c>
      <c r="R278" s="2">
        <v>0.98</v>
      </c>
      <c r="S278" s="2">
        <v>0.98</v>
      </c>
      <c r="T278" s="2">
        <v>0.7</v>
      </c>
      <c r="U278" s="4">
        <v>0.96</v>
      </c>
      <c r="V278" s="4">
        <v>0.96</v>
      </c>
      <c r="W278" s="4">
        <v>0.96</v>
      </c>
      <c r="X278" s="4">
        <v>0.9</v>
      </c>
    </row>
    <row r="279" spans="1:25" x14ac:dyDescent="0.3">
      <c r="A279" s="21">
        <v>273</v>
      </c>
      <c r="B279" s="4" t="s">
        <v>495</v>
      </c>
      <c r="C279" s="4" t="s">
        <v>26</v>
      </c>
      <c r="D279" s="4">
        <v>16</v>
      </c>
      <c r="E279" s="4">
        <v>28</v>
      </c>
      <c r="F279" s="4" t="s">
        <v>498</v>
      </c>
      <c r="G279" s="50" t="s">
        <v>497</v>
      </c>
      <c r="H279" s="4">
        <v>1508</v>
      </c>
      <c r="I279" s="4">
        <v>6.0749999999999998E-2</v>
      </c>
      <c r="J279" s="4">
        <v>0.114375</v>
      </c>
      <c r="K279" s="53">
        <v>0.8</v>
      </c>
      <c r="L279" s="2">
        <v>0.98</v>
      </c>
      <c r="M279" s="2">
        <v>0.98</v>
      </c>
      <c r="N279" s="2">
        <v>0.98</v>
      </c>
      <c r="O279" s="2">
        <v>0.7</v>
      </c>
      <c r="P279" s="2">
        <v>0.96</v>
      </c>
      <c r="Q279" s="2">
        <v>0.98</v>
      </c>
      <c r="R279" s="2">
        <v>0.98</v>
      </c>
      <c r="S279" s="2">
        <v>0.98</v>
      </c>
      <c r="T279" s="2">
        <v>0.7</v>
      </c>
      <c r="U279" s="4">
        <v>0.96</v>
      </c>
      <c r="V279" s="4">
        <v>0.96</v>
      </c>
      <c r="W279" s="4">
        <v>0.96</v>
      </c>
      <c r="X279" s="4">
        <v>0.9</v>
      </c>
      <c r="Y279" s="18">
        <v>6.5326633165829102E-3</v>
      </c>
    </row>
    <row r="280" spans="1:25" x14ac:dyDescent="0.3">
      <c r="A280" s="21">
        <v>274</v>
      </c>
      <c r="B280" s="4" t="s">
        <v>499</v>
      </c>
      <c r="C280" s="4" t="s">
        <v>23</v>
      </c>
      <c r="D280" s="4">
        <v>6</v>
      </c>
      <c r="E280" s="4">
        <v>15.99</v>
      </c>
      <c r="F280" s="4" t="s">
        <v>500</v>
      </c>
      <c r="G280" s="50" t="s">
        <v>501</v>
      </c>
      <c r="H280" s="4">
        <v>1504</v>
      </c>
      <c r="I280" s="4">
        <v>0.05</v>
      </c>
      <c r="J280" s="4">
        <v>0.11</v>
      </c>
      <c r="K280" s="53">
        <v>0.8</v>
      </c>
      <c r="L280" s="2">
        <v>0.98</v>
      </c>
      <c r="M280" s="2">
        <v>0.98</v>
      </c>
      <c r="N280" s="2">
        <v>0.98</v>
      </c>
      <c r="O280" s="2">
        <v>0.7</v>
      </c>
      <c r="P280" s="2">
        <v>0.96</v>
      </c>
      <c r="Q280" s="2">
        <v>0.98</v>
      </c>
      <c r="R280" s="2">
        <v>0.98</v>
      </c>
      <c r="S280" s="2">
        <v>0.98</v>
      </c>
      <c r="T280" s="2">
        <v>0.7</v>
      </c>
      <c r="U280" s="4">
        <v>0.96</v>
      </c>
      <c r="V280" s="4">
        <v>0.96</v>
      </c>
      <c r="W280" s="4">
        <v>0.96</v>
      </c>
      <c r="X280" s="4">
        <v>0.9</v>
      </c>
    </row>
    <row r="281" spans="1:25" x14ac:dyDescent="0.3">
      <c r="A281" s="21">
        <v>275</v>
      </c>
      <c r="B281" s="4" t="s">
        <v>499</v>
      </c>
      <c r="C281" s="4" t="s">
        <v>26</v>
      </c>
      <c r="D281" s="4">
        <v>16</v>
      </c>
      <c r="E281" s="4">
        <v>28</v>
      </c>
      <c r="F281" s="4" t="s">
        <v>502</v>
      </c>
      <c r="G281" s="50" t="s">
        <v>501</v>
      </c>
      <c r="H281" s="4">
        <v>1504</v>
      </c>
      <c r="I281" s="4">
        <v>0.05</v>
      </c>
      <c r="J281" s="4">
        <v>0.11</v>
      </c>
      <c r="K281" s="53">
        <v>0.8</v>
      </c>
      <c r="L281" s="2">
        <v>0.98</v>
      </c>
      <c r="M281" s="2">
        <v>0.98</v>
      </c>
      <c r="N281" s="2">
        <v>0.98</v>
      </c>
      <c r="O281" s="2">
        <v>0.7</v>
      </c>
      <c r="P281" s="2">
        <v>0.96</v>
      </c>
      <c r="Q281" s="2">
        <v>0.98</v>
      </c>
      <c r="R281" s="2">
        <v>0.98</v>
      </c>
      <c r="S281" s="2">
        <v>0.98</v>
      </c>
      <c r="T281" s="2">
        <v>0.7</v>
      </c>
      <c r="U281" s="4">
        <v>0.96</v>
      </c>
      <c r="V281" s="4">
        <v>0.96</v>
      </c>
      <c r="W281" s="4">
        <v>0.96</v>
      </c>
      <c r="X281" s="4">
        <v>0.9</v>
      </c>
    </row>
    <row r="282" spans="1:25" s="80" customFormat="1" x14ac:dyDescent="0.3">
      <c r="A282" s="21">
        <v>276</v>
      </c>
      <c r="B282" s="4" t="s">
        <v>503</v>
      </c>
      <c r="C282" s="4" t="s">
        <v>23</v>
      </c>
      <c r="D282" s="4">
        <v>6</v>
      </c>
      <c r="E282" s="4">
        <v>15.99</v>
      </c>
      <c r="F282" s="4" t="s">
        <v>504</v>
      </c>
      <c r="G282" s="50" t="s">
        <v>505</v>
      </c>
      <c r="H282" s="4">
        <v>1492</v>
      </c>
      <c r="I282" s="4">
        <v>0.05</v>
      </c>
      <c r="J282" s="4">
        <v>0.11</v>
      </c>
      <c r="K282" s="53">
        <v>0.8</v>
      </c>
      <c r="L282" s="2">
        <v>0.98</v>
      </c>
      <c r="M282" s="2">
        <v>0.98</v>
      </c>
      <c r="N282" s="2">
        <v>0.98</v>
      </c>
      <c r="O282" s="2">
        <v>0.7</v>
      </c>
      <c r="P282" s="2">
        <v>0.96</v>
      </c>
      <c r="Q282" s="2">
        <v>0.98</v>
      </c>
      <c r="R282" s="2">
        <v>0.98</v>
      </c>
      <c r="S282" s="2">
        <v>0.98</v>
      </c>
      <c r="T282" s="2">
        <v>0.7</v>
      </c>
      <c r="U282" s="4">
        <v>0.96</v>
      </c>
      <c r="V282" s="4">
        <v>0.96</v>
      </c>
      <c r="W282" s="4">
        <v>0.96</v>
      </c>
      <c r="X282" s="4">
        <v>0.9</v>
      </c>
    </row>
    <row r="283" spans="1:25" s="80" customFormat="1" x14ac:dyDescent="0.3">
      <c r="A283" s="21">
        <v>277</v>
      </c>
      <c r="B283" s="4" t="s">
        <v>503</v>
      </c>
      <c r="C283" s="4" t="s">
        <v>26</v>
      </c>
      <c r="D283" s="4">
        <v>16</v>
      </c>
      <c r="E283" s="4">
        <v>25.4</v>
      </c>
      <c r="F283" s="4" t="s">
        <v>506</v>
      </c>
      <c r="G283" s="50" t="s">
        <v>505</v>
      </c>
      <c r="H283" s="4">
        <v>1492</v>
      </c>
      <c r="I283" s="4">
        <v>0.05</v>
      </c>
      <c r="J283" s="4">
        <v>0.11</v>
      </c>
      <c r="K283" s="53">
        <v>0.8</v>
      </c>
      <c r="L283" s="2">
        <v>0.98</v>
      </c>
      <c r="M283" s="2">
        <v>0.98</v>
      </c>
      <c r="N283" s="2">
        <v>0.98</v>
      </c>
      <c r="O283" s="2">
        <v>0.7</v>
      </c>
      <c r="P283" s="2">
        <v>0.96</v>
      </c>
      <c r="Q283" s="2">
        <v>0.98</v>
      </c>
      <c r="R283" s="2">
        <v>0.98</v>
      </c>
      <c r="S283" s="2">
        <v>0.98</v>
      </c>
      <c r="T283" s="2">
        <v>0.7</v>
      </c>
      <c r="U283" s="4">
        <v>0.96</v>
      </c>
      <c r="V283" s="4">
        <v>0.96</v>
      </c>
      <c r="W283" s="4">
        <v>0.96</v>
      </c>
      <c r="X283" s="4">
        <v>0.9</v>
      </c>
    </row>
    <row r="284" spans="1:25" s="80" customFormat="1" x14ac:dyDescent="0.3">
      <c r="A284" s="21">
        <v>278</v>
      </c>
      <c r="B284" s="21" t="s">
        <v>507</v>
      </c>
      <c r="C284" s="21" t="s">
        <v>23</v>
      </c>
      <c r="D284" s="21">
        <v>3</v>
      </c>
      <c r="E284" s="21">
        <v>20</v>
      </c>
      <c r="F284" s="21" t="s">
        <v>508</v>
      </c>
      <c r="G284" s="22" t="s">
        <v>509</v>
      </c>
      <c r="H284" s="21">
        <v>1514</v>
      </c>
      <c r="I284" s="4">
        <v>5.6500000000000002E-2</v>
      </c>
      <c r="J284" s="4">
        <v>0.1145</v>
      </c>
      <c r="K284" s="53">
        <v>0.8</v>
      </c>
      <c r="L284" s="2">
        <v>0.98</v>
      </c>
      <c r="M284" s="2">
        <v>0.98</v>
      </c>
      <c r="N284" s="2">
        <v>0.98</v>
      </c>
      <c r="O284" s="2">
        <v>0.7</v>
      </c>
      <c r="P284" s="2">
        <v>0.96</v>
      </c>
      <c r="Q284" s="2">
        <v>0.98</v>
      </c>
      <c r="R284" s="2">
        <v>0.98</v>
      </c>
      <c r="S284" s="2">
        <v>0.98</v>
      </c>
      <c r="T284" s="2">
        <v>0.7</v>
      </c>
      <c r="U284" s="4">
        <v>0.96</v>
      </c>
      <c r="V284" s="4">
        <v>0.96</v>
      </c>
      <c r="W284" s="4">
        <v>0.96</v>
      </c>
      <c r="X284" s="4">
        <v>0.9</v>
      </c>
    </row>
    <row r="285" spans="1:25" x14ac:dyDescent="0.3">
      <c r="A285" s="21">
        <v>279</v>
      </c>
      <c r="B285" s="4" t="s">
        <v>510</v>
      </c>
      <c r="C285" s="4" t="s">
        <v>23</v>
      </c>
      <c r="D285" s="4">
        <v>3.5</v>
      </c>
      <c r="E285" s="4">
        <v>25.4</v>
      </c>
      <c r="F285" s="4" t="s">
        <v>510</v>
      </c>
      <c r="G285" s="50" t="s">
        <v>511</v>
      </c>
      <c r="H285" s="4">
        <v>1519</v>
      </c>
      <c r="I285" s="53">
        <v>7.4291718170581098E-2</v>
      </c>
      <c r="J285" s="53">
        <v>0.12718788627935701</v>
      </c>
      <c r="K285" s="53">
        <v>0.8</v>
      </c>
      <c r="L285" s="2">
        <v>0.98</v>
      </c>
      <c r="M285" s="2">
        <v>0.98</v>
      </c>
      <c r="N285" s="2">
        <v>0.98</v>
      </c>
      <c r="O285" s="2">
        <v>0.7</v>
      </c>
      <c r="P285" s="2">
        <v>0.96</v>
      </c>
      <c r="Q285" s="2">
        <v>0.98</v>
      </c>
      <c r="R285" s="2">
        <v>0.98</v>
      </c>
      <c r="S285" s="2">
        <v>0.98</v>
      </c>
      <c r="T285" s="2">
        <v>0.7</v>
      </c>
      <c r="U285" s="4">
        <v>0.96</v>
      </c>
      <c r="V285" s="4">
        <v>0.96</v>
      </c>
      <c r="W285" s="4">
        <v>0.96</v>
      </c>
      <c r="X285" s="4">
        <v>0.9</v>
      </c>
    </row>
    <row r="286" spans="1:25" x14ac:dyDescent="0.3">
      <c r="A286" s="21">
        <v>280</v>
      </c>
      <c r="B286" s="4" t="s">
        <v>512</v>
      </c>
      <c r="C286" s="4" t="s">
        <v>23</v>
      </c>
      <c r="D286" s="4">
        <v>4</v>
      </c>
      <c r="E286" s="4">
        <v>25.4</v>
      </c>
      <c r="F286" s="4" t="s">
        <v>512</v>
      </c>
      <c r="G286" s="50" t="s">
        <v>511</v>
      </c>
      <c r="H286" s="4">
        <v>1519</v>
      </c>
      <c r="I286" s="53">
        <v>7.3384615384615395E-2</v>
      </c>
      <c r="J286" s="53">
        <v>0.12594871794871801</v>
      </c>
      <c r="K286" s="53">
        <v>0.8</v>
      </c>
      <c r="L286" s="2">
        <v>0.98</v>
      </c>
      <c r="M286" s="2">
        <v>0.98</v>
      </c>
      <c r="N286" s="2">
        <v>0.98</v>
      </c>
      <c r="O286" s="2">
        <v>0.7</v>
      </c>
      <c r="P286" s="2">
        <v>0.96</v>
      </c>
      <c r="Q286" s="2">
        <v>0.98</v>
      </c>
      <c r="R286" s="2">
        <v>0.98</v>
      </c>
      <c r="S286" s="2">
        <v>0.98</v>
      </c>
      <c r="T286" s="2">
        <v>0.7</v>
      </c>
      <c r="U286" s="4">
        <v>0.96</v>
      </c>
      <c r="V286" s="4">
        <v>0.96</v>
      </c>
      <c r="W286" s="4">
        <v>0.96</v>
      </c>
      <c r="X286" s="4">
        <v>0.9</v>
      </c>
    </row>
    <row r="287" spans="1:25" x14ac:dyDescent="0.3">
      <c r="A287" s="21">
        <v>281</v>
      </c>
      <c r="B287" s="4" t="s">
        <v>513</v>
      </c>
      <c r="C287" s="4" t="s">
        <v>23</v>
      </c>
      <c r="D287" s="4">
        <v>4</v>
      </c>
      <c r="E287" s="4">
        <v>12.5</v>
      </c>
      <c r="F287" s="4" t="s">
        <v>514</v>
      </c>
      <c r="G287" s="50" t="s">
        <v>511</v>
      </c>
      <c r="H287" s="4">
        <v>1521</v>
      </c>
      <c r="I287" s="53">
        <v>0.04</v>
      </c>
      <c r="J287" s="53">
        <v>9.4833333333333297E-2</v>
      </c>
      <c r="K287" s="53">
        <v>0.8</v>
      </c>
      <c r="L287" s="2">
        <v>0.98</v>
      </c>
      <c r="M287" s="2">
        <v>0.98</v>
      </c>
      <c r="N287" s="2">
        <v>0.98</v>
      </c>
      <c r="O287" s="2">
        <v>0.7</v>
      </c>
      <c r="P287" s="2">
        <v>0.96</v>
      </c>
      <c r="Q287" s="2">
        <v>0.98</v>
      </c>
      <c r="R287" s="2">
        <v>0.98</v>
      </c>
      <c r="S287" s="2">
        <v>0.98</v>
      </c>
      <c r="T287" s="2">
        <v>0.7</v>
      </c>
      <c r="U287" s="4">
        <v>0.96</v>
      </c>
      <c r="V287" s="4">
        <v>0.96</v>
      </c>
      <c r="W287" s="4">
        <v>0.96</v>
      </c>
      <c r="X287" s="4">
        <v>0.9</v>
      </c>
    </row>
    <row r="288" spans="1:25" x14ac:dyDescent="0.3">
      <c r="A288" s="21">
        <v>282</v>
      </c>
      <c r="B288" s="4" t="s">
        <v>513</v>
      </c>
      <c r="C288" s="4" t="s">
        <v>26</v>
      </c>
      <c r="D288" s="4">
        <v>12.51</v>
      </c>
      <c r="E288" s="4">
        <v>25</v>
      </c>
      <c r="F288" s="4" t="s">
        <v>515</v>
      </c>
      <c r="G288" s="50" t="s">
        <v>511</v>
      </c>
      <c r="H288" s="4">
        <v>1521</v>
      </c>
      <c r="I288" s="53">
        <v>4.3999999999999997E-2</v>
      </c>
      <c r="J288" s="53">
        <v>9.5000000000000001E-2</v>
      </c>
      <c r="K288" s="53">
        <v>0.8</v>
      </c>
      <c r="L288" s="2">
        <v>0.98</v>
      </c>
      <c r="M288" s="2">
        <v>0.98</v>
      </c>
      <c r="N288" s="2">
        <v>0.98</v>
      </c>
      <c r="O288" s="2">
        <v>0.7</v>
      </c>
      <c r="P288" s="2">
        <v>0.96</v>
      </c>
      <c r="Q288" s="2">
        <v>0.98</v>
      </c>
      <c r="R288" s="2">
        <v>0.98</v>
      </c>
      <c r="S288" s="2">
        <v>0.98</v>
      </c>
      <c r="T288" s="2">
        <v>0.7</v>
      </c>
      <c r="U288" s="4">
        <v>0.96</v>
      </c>
      <c r="V288" s="4">
        <v>0.96</v>
      </c>
      <c r="W288" s="4">
        <v>0.96</v>
      </c>
      <c r="X288" s="4">
        <v>0.9</v>
      </c>
    </row>
    <row r="289" spans="1:24" x14ac:dyDescent="0.3">
      <c r="A289" s="21">
        <v>283</v>
      </c>
      <c r="B289" s="4" t="s">
        <v>516</v>
      </c>
      <c r="C289" s="4" t="s">
        <v>23</v>
      </c>
      <c r="D289" s="4">
        <v>4</v>
      </c>
      <c r="E289" s="4">
        <v>12.5</v>
      </c>
      <c r="F289" s="4" t="s">
        <v>517</v>
      </c>
      <c r="G289" s="50" t="s">
        <v>511</v>
      </c>
      <c r="H289" s="4">
        <v>1521</v>
      </c>
      <c r="I289" s="53">
        <v>4.2963636363636398E-2</v>
      </c>
      <c r="J289" s="53">
        <v>8.9363636363636395E-2</v>
      </c>
      <c r="K289" s="53">
        <v>0.8</v>
      </c>
      <c r="L289" s="2">
        <v>0.98</v>
      </c>
      <c r="M289" s="2">
        <v>0.98</v>
      </c>
      <c r="N289" s="2">
        <v>0.98</v>
      </c>
      <c r="O289" s="2">
        <v>0.7</v>
      </c>
      <c r="P289" s="2">
        <v>0.96</v>
      </c>
      <c r="Q289" s="2">
        <v>0.98</v>
      </c>
      <c r="R289" s="2">
        <v>0.98</v>
      </c>
      <c r="S289" s="2">
        <v>0.98</v>
      </c>
      <c r="T289" s="2">
        <v>0.7</v>
      </c>
      <c r="U289" s="4">
        <v>0.96</v>
      </c>
      <c r="V289" s="4">
        <v>0.96</v>
      </c>
      <c r="W289" s="4">
        <v>0.96</v>
      </c>
      <c r="X289" s="4">
        <v>0.9</v>
      </c>
    </row>
    <row r="290" spans="1:24" x14ac:dyDescent="0.3">
      <c r="A290" s="21">
        <v>284</v>
      </c>
      <c r="B290" s="4" t="s">
        <v>516</v>
      </c>
      <c r="C290" s="4" t="s">
        <v>26</v>
      </c>
      <c r="D290" s="4">
        <v>12.51</v>
      </c>
      <c r="E290" s="4">
        <v>25</v>
      </c>
      <c r="F290" s="4" t="s">
        <v>518</v>
      </c>
      <c r="G290" s="50" t="s">
        <v>511</v>
      </c>
      <c r="H290" s="4">
        <v>1522</v>
      </c>
      <c r="I290" s="53">
        <v>4.1595744680851102E-2</v>
      </c>
      <c r="J290" s="53">
        <v>8.9234042553191506E-2</v>
      </c>
      <c r="K290" s="53">
        <v>0.8</v>
      </c>
      <c r="L290" s="2">
        <v>0.98</v>
      </c>
      <c r="M290" s="2">
        <v>0.98</v>
      </c>
      <c r="N290" s="2">
        <v>0.98</v>
      </c>
      <c r="O290" s="2">
        <v>0.7</v>
      </c>
      <c r="P290" s="2">
        <v>0.96</v>
      </c>
      <c r="Q290" s="2">
        <v>0.98</v>
      </c>
      <c r="R290" s="2">
        <v>0.98</v>
      </c>
      <c r="S290" s="2">
        <v>0.98</v>
      </c>
      <c r="T290" s="2">
        <v>0.7</v>
      </c>
      <c r="U290" s="4">
        <v>0.96</v>
      </c>
      <c r="V290" s="4">
        <v>0.96</v>
      </c>
      <c r="W290" s="4">
        <v>0.96</v>
      </c>
      <c r="X290" s="4">
        <v>0.9</v>
      </c>
    </row>
    <row r="291" spans="1:24" x14ac:dyDescent="0.3">
      <c r="A291" s="21">
        <v>285</v>
      </c>
      <c r="B291" s="4" t="s">
        <v>519</v>
      </c>
      <c r="C291" s="4" t="s">
        <v>23</v>
      </c>
      <c r="D291" s="4">
        <v>3.5</v>
      </c>
      <c r="E291" s="4">
        <v>25.4</v>
      </c>
      <c r="F291" s="4" t="s">
        <v>519</v>
      </c>
      <c r="G291" s="50" t="s">
        <v>511</v>
      </c>
      <c r="H291" s="4">
        <v>1519</v>
      </c>
      <c r="I291" s="86">
        <v>7.4291718170581098E-2</v>
      </c>
      <c r="J291" s="86">
        <v>0.12718788627935701</v>
      </c>
      <c r="K291" s="53">
        <v>0.8</v>
      </c>
      <c r="L291" s="2">
        <v>0.98</v>
      </c>
      <c r="M291" s="2">
        <v>0.98</v>
      </c>
      <c r="N291" s="2">
        <v>0.98</v>
      </c>
      <c r="O291" s="2">
        <v>0.7</v>
      </c>
      <c r="P291" s="2">
        <v>0.96</v>
      </c>
      <c r="Q291" s="2">
        <v>0.98</v>
      </c>
      <c r="R291" s="2">
        <v>0.98</v>
      </c>
      <c r="S291" s="2">
        <v>0.98</v>
      </c>
      <c r="T291" s="2">
        <v>0.7</v>
      </c>
      <c r="U291" s="4">
        <v>0.96</v>
      </c>
      <c r="V291" s="4">
        <v>0.96</v>
      </c>
      <c r="W291" s="4">
        <v>0.96</v>
      </c>
      <c r="X291" s="4">
        <v>0.9</v>
      </c>
    </row>
    <row r="292" spans="1:24" x14ac:dyDescent="0.3">
      <c r="A292" s="21">
        <v>286</v>
      </c>
      <c r="B292" s="4" t="s">
        <v>520</v>
      </c>
      <c r="C292" s="4" t="s">
        <v>23</v>
      </c>
      <c r="D292" s="4">
        <v>4</v>
      </c>
      <c r="E292" s="4">
        <v>25.4</v>
      </c>
      <c r="F292" s="4" t="s">
        <v>520</v>
      </c>
      <c r="G292" s="50" t="s">
        <v>511</v>
      </c>
      <c r="H292" s="4">
        <v>1519</v>
      </c>
      <c r="I292" s="86">
        <v>7.3384615384615395E-2</v>
      </c>
      <c r="J292" s="86">
        <v>0.12594871794871801</v>
      </c>
      <c r="K292" s="53">
        <v>0.8</v>
      </c>
      <c r="L292" s="2">
        <v>0.98</v>
      </c>
      <c r="M292" s="2">
        <v>0.98</v>
      </c>
      <c r="N292" s="2">
        <v>0.98</v>
      </c>
      <c r="O292" s="2">
        <v>0.7</v>
      </c>
      <c r="P292" s="2">
        <v>0.96</v>
      </c>
      <c r="Q292" s="2">
        <v>0.98</v>
      </c>
      <c r="R292" s="2">
        <v>0.98</v>
      </c>
      <c r="S292" s="2">
        <v>0.98</v>
      </c>
      <c r="T292" s="2">
        <v>0.7</v>
      </c>
      <c r="U292" s="4">
        <v>0.96</v>
      </c>
      <c r="V292" s="4">
        <v>0.96</v>
      </c>
      <c r="W292" s="4">
        <v>0.96</v>
      </c>
      <c r="X292" s="4">
        <v>0.9</v>
      </c>
    </row>
    <row r="293" spans="1:24" x14ac:dyDescent="0.3">
      <c r="A293" s="21">
        <v>287</v>
      </c>
      <c r="B293" s="4" t="s">
        <v>521</v>
      </c>
      <c r="C293" s="4" t="s">
        <v>23</v>
      </c>
      <c r="D293" s="4">
        <v>4</v>
      </c>
      <c r="E293" s="4">
        <v>12.5</v>
      </c>
      <c r="F293" s="4" t="s">
        <v>522</v>
      </c>
      <c r="G293" s="50" t="s">
        <v>511</v>
      </c>
      <c r="H293" s="4">
        <v>1521</v>
      </c>
      <c r="I293" s="86">
        <v>0.04</v>
      </c>
      <c r="J293" s="86">
        <v>9.4833333333333297E-2</v>
      </c>
      <c r="K293" s="53">
        <v>0.8</v>
      </c>
      <c r="L293" s="2">
        <v>0.98</v>
      </c>
      <c r="M293" s="2">
        <v>0.98</v>
      </c>
      <c r="N293" s="2">
        <v>0.98</v>
      </c>
      <c r="O293" s="2">
        <v>0.7</v>
      </c>
      <c r="P293" s="2">
        <v>0.96</v>
      </c>
      <c r="Q293" s="2">
        <v>0.98</v>
      </c>
      <c r="R293" s="2">
        <v>0.98</v>
      </c>
      <c r="S293" s="2">
        <v>0.98</v>
      </c>
      <c r="T293" s="2">
        <v>0.7</v>
      </c>
      <c r="U293" s="4">
        <v>0.96</v>
      </c>
      <c r="V293" s="4">
        <v>0.96</v>
      </c>
      <c r="W293" s="4">
        <v>0.96</v>
      </c>
      <c r="X293" s="4">
        <v>0.9</v>
      </c>
    </row>
    <row r="294" spans="1:24" x14ac:dyDescent="0.3">
      <c r="A294" s="21">
        <v>288</v>
      </c>
      <c r="B294" s="4" t="s">
        <v>521</v>
      </c>
      <c r="C294" s="4" t="s">
        <v>26</v>
      </c>
      <c r="D294" s="4">
        <v>12.51</v>
      </c>
      <c r="E294" s="4">
        <v>25</v>
      </c>
      <c r="F294" s="4" t="s">
        <v>523</v>
      </c>
      <c r="G294" s="50" t="s">
        <v>511</v>
      </c>
      <c r="H294" s="4">
        <v>1521</v>
      </c>
      <c r="I294" s="86">
        <v>4.3999999999999997E-2</v>
      </c>
      <c r="J294" s="86">
        <v>9.5000000000000001E-2</v>
      </c>
      <c r="K294" s="53">
        <v>0.8</v>
      </c>
      <c r="L294" s="2">
        <v>0.98</v>
      </c>
      <c r="M294" s="2">
        <v>0.98</v>
      </c>
      <c r="N294" s="2">
        <v>0.98</v>
      </c>
      <c r="O294" s="2">
        <v>0.7</v>
      </c>
      <c r="P294" s="2">
        <v>0.96</v>
      </c>
      <c r="Q294" s="2">
        <v>0.98</v>
      </c>
      <c r="R294" s="2">
        <v>0.98</v>
      </c>
      <c r="S294" s="2">
        <v>0.98</v>
      </c>
      <c r="T294" s="2">
        <v>0.7</v>
      </c>
      <c r="U294" s="4">
        <v>0.96</v>
      </c>
      <c r="V294" s="4">
        <v>0.96</v>
      </c>
      <c r="W294" s="4">
        <v>0.96</v>
      </c>
      <c r="X294" s="4">
        <v>0.9</v>
      </c>
    </row>
    <row r="295" spans="1:24" x14ac:dyDescent="0.3">
      <c r="A295" s="21">
        <v>289</v>
      </c>
      <c r="B295" s="4" t="s">
        <v>524</v>
      </c>
      <c r="C295" s="4" t="s">
        <v>23</v>
      </c>
      <c r="D295" s="4">
        <v>4</v>
      </c>
      <c r="E295" s="4">
        <v>12.5</v>
      </c>
      <c r="F295" s="4" t="s">
        <v>525</v>
      </c>
      <c r="G295" s="50" t="s">
        <v>511</v>
      </c>
      <c r="H295" s="4">
        <v>1521</v>
      </c>
      <c r="I295" s="86">
        <v>4.2963636363636398E-2</v>
      </c>
      <c r="J295" s="86">
        <v>8.9363636363636395E-2</v>
      </c>
      <c r="K295" s="53">
        <v>0.8</v>
      </c>
      <c r="L295" s="2">
        <v>0.98</v>
      </c>
      <c r="M295" s="2">
        <v>0.98</v>
      </c>
      <c r="N295" s="2">
        <v>0.98</v>
      </c>
      <c r="O295" s="2">
        <v>0.7</v>
      </c>
      <c r="P295" s="2">
        <v>0.96</v>
      </c>
      <c r="Q295" s="2">
        <v>0.98</v>
      </c>
      <c r="R295" s="2">
        <v>0.98</v>
      </c>
      <c r="S295" s="2">
        <v>0.98</v>
      </c>
      <c r="T295" s="2">
        <v>0.7</v>
      </c>
      <c r="U295" s="4">
        <v>0.96</v>
      </c>
      <c r="V295" s="4">
        <v>0.96</v>
      </c>
      <c r="W295" s="4">
        <v>0.96</v>
      </c>
      <c r="X295" s="4">
        <v>0.9</v>
      </c>
    </row>
    <row r="296" spans="1:24" x14ac:dyDescent="0.3">
      <c r="A296" s="21">
        <v>290</v>
      </c>
      <c r="B296" s="4" t="s">
        <v>524</v>
      </c>
      <c r="C296" s="4" t="s">
        <v>26</v>
      </c>
      <c r="D296" s="4">
        <v>12.51</v>
      </c>
      <c r="E296" s="4">
        <v>25</v>
      </c>
      <c r="F296" s="4" t="s">
        <v>526</v>
      </c>
      <c r="G296" s="50" t="s">
        <v>511</v>
      </c>
      <c r="H296" s="4">
        <v>1522</v>
      </c>
      <c r="I296" s="86">
        <v>4.1595744680851102E-2</v>
      </c>
      <c r="J296" s="86">
        <v>8.9234042553191506E-2</v>
      </c>
      <c r="K296" s="53">
        <v>0.8</v>
      </c>
      <c r="L296" s="2">
        <v>0.98</v>
      </c>
      <c r="M296" s="2">
        <v>0.98</v>
      </c>
      <c r="N296" s="2">
        <v>0.98</v>
      </c>
      <c r="O296" s="2">
        <v>0.7</v>
      </c>
      <c r="P296" s="2">
        <v>0.96</v>
      </c>
      <c r="Q296" s="2">
        <v>0.98</v>
      </c>
      <c r="R296" s="2">
        <v>0.98</v>
      </c>
      <c r="S296" s="2">
        <v>0.98</v>
      </c>
      <c r="T296" s="2">
        <v>0.7</v>
      </c>
      <c r="U296" s="4">
        <v>0.96</v>
      </c>
      <c r="V296" s="4">
        <v>0.96</v>
      </c>
      <c r="W296" s="4">
        <v>0.96</v>
      </c>
      <c r="X296" s="4">
        <v>0.9</v>
      </c>
    </row>
    <row r="297" spans="1:24" x14ac:dyDescent="0.3">
      <c r="A297" s="21">
        <v>291</v>
      </c>
      <c r="B297" s="4" t="s">
        <v>527</v>
      </c>
      <c r="C297" s="4" t="s">
        <v>23</v>
      </c>
      <c r="D297" s="4">
        <v>3.5</v>
      </c>
      <c r="E297" s="4">
        <v>25.4</v>
      </c>
      <c r="F297" s="4" t="s">
        <v>527</v>
      </c>
      <c r="G297" s="50" t="s">
        <v>511</v>
      </c>
      <c r="H297" s="4">
        <v>1519</v>
      </c>
      <c r="I297" s="86">
        <v>7.4291718170581098E-2</v>
      </c>
      <c r="J297" s="86">
        <v>0.12718788627935701</v>
      </c>
      <c r="K297" s="53">
        <v>0.8</v>
      </c>
      <c r="L297" s="2">
        <v>0.98</v>
      </c>
      <c r="M297" s="2">
        <v>0.98</v>
      </c>
      <c r="N297" s="2">
        <v>0.98</v>
      </c>
      <c r="O297" s="2">
        <v>0.7</v>
      </c>
      <c r="P297" s="2">
        <v>0.96</v>
      </c>
      <c r="Q297" s="2">
        <v>0.98</v>
      </c>
      <c r="R297" s="2">
        <v>0.98</v>
      </c>
      <c r="S297" s="2">
        <v>0.98</v>
      </c>
      <c r="T297" s="2">
        <v>0.7</v>
      </c>
      <c r="U297" s="4">
        <v>0.96</v>
      </c>
      <c r="V297" s="4">
        <v>0.96</v>
      </c>
      <c r="W297" s="4">
        <v>0.96</v>
      </c>
      <c r="X297" s="4">
        <v>0.9</v>
      </c>
    </row>
    <row r="298" spans="1:24" x14ac:dyDescent="0.3">
      <c r="A298" s="21">
        <v>292</v>
      </c>
      <c r="B298" s="4" t="s">
        <v>528</v>
      </c>
      <c r="C298" s="4" t="s">
        <v>23</v>
      </c>
      <c r="D298" s="4">
        <v>4</v>
      </c>
      <c r="E298" s="4">
        <v>25.4</v>
      </c>
      <c r="F298" s="4" t="s">
        <v>528</v>
      </c>
      <c r="G298" s="50" t="s">
        <v>511</v>
      </c>
      <c r="H298" s="4">
        <v>1519</v>
      </c>
      <c r="I298" s="86">
        <v>7.3384615384615395E-2</v>
      </c>
      <c r="J298" s="86">
        <v>0.12594871794871801</v>
      </c>
      <c r="K298" s="53">
        <v>0.8</v>
      </c>
      <c r="L298" s="2">
        <v>0.98</v>
      </c>
      <c r="M298" s="2">
        <v>0.98</v>
      </c>
      <c r="N298" s="2">
        <v>0.98</v>
      </c>
      <c r="O298" s="2">
        <v>0.7</v>
      </c>
      <c r="P298" s="2">
        <v>0.96</v>
      </c>
      <c r="Q298" s="2">
        <v>0.98</v>
      </c>
      <c r="R298" s="2">
        <v>0.98</v>
      </c>
      <c r="S298" s="2">
        <v>0.98</v>
      </c>
      <c r="T298" s="2">
        <v>0.7</v>
      </c>
      <c r="U298" s="4">
        <v>0.96</v>
      </c>
      <c r="V298" s="4">
        <v>0.96</v>
      </c>
      <c r="W298" s="4">
        <v>0.96</v>
      </c>
      <c r="X298" s="4">
        <v>0.9</v>
      </c>
    </row>
    <row r="299" spans="1:24" x14ac:dyDescent="0.3">
      <c r="A299" s="21">
        <v>293</v>
      </c>
      <c r="B299" s="4" t="s">
        <v>529</v>
      </c>
      <c r="C299" s="4" t="s">
        <v>23</v>
      </c>
      <c r="D299" s="4">
        <v>4</v>
      </c>
      <c r="E299" s="4">
        <v>12.5</v>
      </c>
      <c r="F299" s="4" t="s">
        <v>530</v>
      </c>
      <c r="G299" s="50" t="s">
        <v>511</v>
      </c>
      <c r="H299" s="4">
        <v>1521</v>
      </c>
      <c r="I299" s="86">
        <v>0.04</v>
      </c>
      <c r="J299" s="86">
        <v>9.4833333333333297E-2</v>
      </c>
      <c r="K299" s="53">
        <v>0.8</v>
      </c>
      <c r="L299" s="2">
        <v>0.98</v>
      </c>
      <c r="M299" s="2">
        <v>0.98</v>
      </c>
      <c r="N299" s="2">
        <v>0.98</v>
      </c>
      <c r="O299" s="2">
        <v>0.7</v>
      </c>
      <c r="P299" s="2">
        <v>0.96</v>
      </c>
      <c r="Q299" s="2">
        <v>0.98</v>
      </c>
      <c r="R299" s="2">
        <v>0.98</v>
      </c>
      <c r="S299" s="2">
        <v>0.98</v>
      </c>
      <c r="T299" s="2">
        <v>0.7</v>
      </c>
      <c r="U299" s="4">
        <v>0.96</v>
      </c>
      <c r="V299" s="4">
        <v>0.96</v>
      </c>
      <c r="W299" s="4">
        <v>0.96</v>
      </c>
      <c r="X299" s="4">
        <v>0.9</v>
      </c>
    </row>
    <row r="300" spans="1:24" x14ac:dyDescent="0.3">
      <c r="A300" s="21">
        <v>294</v>
      </c>
      <c r="B300" s="4" t="s">
        <v>529</v>
      </c>
      <c r="C300" s="4" t="s">
        <v>26</v>
      </c>
      <c r="D300" s="4">
        <v>12.51</v>
      </c>
      <c r="E300" s="4">
        <v>25</v>
      </c>
      <c r="F300" s="4" t="s">
        <v>531</v>
      </c>
      <c r="G300" s="50" t="s">
        <v>511</v>
      </c>
      <c r="H300" s="4">
        <v>1521</v>
      </c>
      <c r="I300" s="86">
        <v>4.3999999999999997E-2</v>
      </c>
      <c r="J300" s="86">
        <v>9.5000000000000001E-2</v>
      </c>
      <c r="K300" s="53">
        <v>0.8</v>
      </c>
      <c r="L300" s="2">
        <v>0.98</v>
      </c>
      <c r="M300" s="2">
        <v>0.98</v>
      </c>
      <c r="N300" s="2">
        <v>0.98</v>
      </c>
      <c r="O300" s="2">
        <v>0.7</v>
      </c>
      <c r="P300" s="2">
        <v>0.96</v>
      </c>
      <c r="Q300" s="2">
        <v>0.98</v>
      </c>
      <c r="R300" s="2">
        <v>0.98</v>
      </c>
      <c r="S300" s="2">
        <v>0.98</v>
      </c>
      <c r="T300" s="2">
        <v>0.7</v>
      </c>
      <c r="U300" s="4">
        <v>0.96</v>
      </c>
      <c r="V300" s="4">
        <v>0.96</v>
      </c>
      <c r="W300" s="4">
        <v>0.96</v>
      </c>
      <c r="X300" s="4">
        <v>0.9</v>
      </c>
    </row>
    <row r="301" spans="1:24" x14ac:dyDescent="0.3">
      <c r="A301" s="21">
        <v>295</v>
      </c>
      <c r="B301" s="4" t="s">
        <v>532</v>
      </c>
      <c r="C301" s="4" t="s">
        <v>23</v>
      </c>
      <c r="D301" s="4">
        <v>4</v>
      </c>
      <c r="E301" s="4">
        <v>12.5</v>
      </c>
      <c r="F301" s="4" t="s">
        <v>533</v>
      </c>
      <c r="G301" s="50" t="s">
        <v>511</v>
      </c>
      <c r="H301" s="4">
        <v>1521</v>
      </c>
      <c r="I301" s="86">
        <v>4.2963636363636398E-2</v>
      </c>
      <c r="J301" s="86">
        <v>8.9363636363636395E-2</v>
      </c>
      <c r="K301" s="53">
        <v>0.8</v>
      </c>
      <c r="L301" s="2">
        <v>0.98</v>
      </c>
      <c r="M301" s="2">
        <v>0.98</v>
      </c>
      <c r="N301" s="2">
        <v>0.98</v>
      </c>
      <c r="O301" s="2">
        <v>0.7</v>
      </c>
      <c r="P301" s="2">
        <v>0.96</v>
      </c>
      <c r="Q301" s="2">
        <v>0.98</v>
      </c>
      <c r="R301" s="2">
        <v>0.98</v>
      </c>
      <c r="S301" s="2">
        <v>0.98</v>
      </c>
      <c r="T301" s="2">
        <v>0.7</v>
      </c>
      <c r="U301" s="4">
        <v>0.96</v>
      </c>
      <c r="V301" s="4">
        <v>0.96</v>
      </c>
      <c r="W301" s="4">
        <v>0.96</v>
      </c>
      <c r="X301" s="4">
        <v>0.9</v>
      </c>
    </row>
    <row r="302" spans="1:24" x14ac:dyDescent="0.3">
      <c r="A302" s="21">
        <v>296</v>
      </c>
      <c r="B302" s="4" t="s">
        <v>532</v>
      </c>
      <c r="C302" s="4" t="s">
        <v>26</v>
      </c>
      <c r="D302" s="4">
        <v>12.51</v>
      </c>
      <c r="E302" s="4">
        <v>25</v>
      </c>
      <c r="F302" s="4" t="s">
        <v>534</v>
      </c>
      <c r="G302" s="50" t="s">
        <v>511</v>
      </c>
      <c r="H302" s="4">
        <v>1522</v>
      </c>
      <c r="I302" s="86">
        <v>4.1595744680851102E-2</v>
      </c>
      <c r="J302" s="86">
        <v>8.9234042553191506E-2</v>
      </c>
      <c r="K302" s="53">
        <v>0.8</v>
      </c>
      <c r="L302" s="2">
        <v>0.98</v>
      </c>
      <c r="M302" s="2">
        <v>0.98</v>
      </c>
      <c r="N302" s="2">
        <v>0.98</v>
      </c>
      <c r="O302" s="2">
        <v>0.7</v>
      </c>
      <c r="P302" s="2">
        <v>0.96</v>
      </c>
      <c r="Q302" s="2">
        <v>0.98</v>
      </c>
      <c r="R302" s="2">
        <v>0.98</v>
      </c>
      <c r="S302" s="2">
        <v>0.98</v>
      </c>
      <c r="T302" s="2">
        <v>0.7</v>
      </c>
      <c r="U302" s="4">
        <v>0.96</v>
      </c>
      <c r="V302" s="4">
        <v>0.96</v>
      </c>
      <c r="W302" s="4">
        <v>0.96</v>
      </c>
      <c r="X302" s="4">
        <v>0.9</v>
      </c>
    </row>
    <row r="303" spans="1:24" x14ac:dyDescent="0.3">
      <c r="A303" s="21">
        <v>297</v>
      </c>
      <c r="B303" s="4" t="s">
        <v>535</v>
      </c>
      <c r="C303" s="4" t="s">
        <v>23</v>
      </c>
      <c r="D303" s="4">
        <v>3.5</v>
      </c>
      <c r="E303" s="4">
        <v>25.4</v>
      </c>
      <c r="F303" s="4" t="s">
        <v>535</v>
      </c>
      <c r="G303" s="50" t="s">
        <v>511</v>
      </c>
      <c r="H303" s="4">
        <v>1519</v>
      </c>
      <c r="I303" s="86">
        <v>7.4291718170581098E-2</v>
      </c>
      <c r="J303" s="86">
        <v>0.12718788627935701</v>
      </c>
      <c r="K303" s="53">
        <v>0.8</v>
      </c>
      <c r="L303" s="2">
        <v>0.98</v>
      </c>
      <c r="M303" s="2">
        <v>0.98</v>
      </c>
      <c r="N303" s="2">
        <v>0.98</v>
      </c>
      <c r="O303" s="2">
        <v>0.7</v>
      </c>
      <c r="P303" s="2">
        <v>0.96</v>
      </c>
      <c r="Q303" s="2">
        <v>0.98</v>
      </c>
      <c r="R303" s="2">
        <v>0.98</v>
      </c>
      <c r="S303" s="2">
        <v>0.98</v>
      </c>
      <c r="T303" s="2">
        <v>0.7</v>
      </c>
      <c r="U303" s="4">
        <v>0.96</v>
      </c>
      <c r="V303" s="4">
        <v>0.96</v>
      </c>
      <c r="W303" s="4">
        <v>0.96</v>
      </c>
      <c r="X303" s="4">
        <v>0.9</v>
      </c>
    </row>
    <row r="304" spans="1:24" x14ac:dyDescent="0.3">
      <c r="A304" s="21">
        <v>298</v>
      </c>
      <c r="B304" s="4" t="s">
        <v>536</v>
      </c>
      <c r="C304" s="4" t="s">
        <v>23</v>
      </c>
      <c r="D304" s="4">
        <v>4</v>
      </c>
      <c r="E304" s="4">
        <v>25.4</v>
      </c>
      <c r="F304" s="4" t="s">
        <v>536</v>
      </c>
      <c r="G304" s="50" t="s">
        <v>511</v>
      </c>
      <c r="H304" s="4">
        <v>1519</v>
      </c>
      <c r="I304" s="86">
        <v>7.3384615384615395E-2</v>
      </c>
      <c r="J304" s="86">
        <v>0.12594871794871801</v>
      </c>
      <c r="K304" s="53">
        <v>0.8</v>
      </c>
      <c r="L304" s="2">
        <v>0.98</v>
      </c>
      <c r="M304" s="2">
        <v>0.98</v>
      </c>
      <c r="N304" s="2">
        <v>0.98</v>
      </c>
      <c r="O304" s="2">
        <v>0.7</v>
      </c>
      <c r="P304" s="2">
        <v>0.96</v>
      </c>
      <c r="Q304" s="2">
        <v>0.98</v>
      </c>
      <c r="R304" s="2">
        <v>0.98</v>
      </c>
      <c r="S304" s="2">
        <v>0.98</v>
      </c>
      <c r="T304" s="2">
        <v>0.7</v>
      </c>
      <c r="U304" s="4">
        <v>0.96</v>
      </c>
      <c r="V304" s="4">
        <v>0.96</v>
      </c>
      <c r="W304" s="4">
        <v>0.96</v>
      </c>
      <c r="X304" s="4">
        <v>0.9</v>
      </c>
    </row>
    <row r="305" spans="1:24" x14ac:dyDescent="0.3">
      <c r="A305" s="21">
        <v>299</v>
      </c>
      <c r="B305" s="4" t="s">
        <v>537</v>
      </c>
      <c r="C305" s="4" t="s">
        <v>23</v>
      </c>
      <c r="D305" s="4">
        <v>4</v>
      </c>
      <c r="E305" s="4">
        <v>12.5</v>
      </c>
      <c r="F305" s="4" t="s">
        <v>538</v>
      </c>
      <c r="G305" s="50" t="s">
        <v>511</v>
      </c>
      <c r="H305" s="4">
        <v>1521</v>
      </c>
      <c r="I305" s="86">
        <v>0.04</v>
      </c>
      <c r="J305" s="86">
        <v>9.4833333333333297E-2</v>
      </c>
      <c r="K305" s="53">
        <v>0.8</v>
      </c>
      <c r="L305" s="2">
        <v>0.98</v>
      </c>
      <c r="M305" s="2">
        <v>0.98</v>
      </c>
      <c r="N305" s="2">
        <v>0.98</v>
      </c>
      <c r="O305" s="2">
        <v>0.7</v>
      </c>
      <c r="P305" s="2">
        <v>0.96</v>
      </c>
      <c r="Q305" s="2">
        <v>0.98</v>
      </c>
      <c r="R305" s="2">
        <v>0.98</v>
      </c>
      <c r="S305" s="2">
        <v>0.98</v>
      </c>
      <c r="T305" s="2">
        <v>0.7</v>
      </c>
      <c r="U305" s="4">
        <v>0.96</v>
      </c>
      <c r="V305" s="4">
        <v>0.96</v>
      </c>
      <c r="W305" s="4">
        <v>0.96</v>
      </c>
      <c r="X305" s="4">
        <v>0.9</v>
      </c>
    </row>
    <row r="306" spans="1:24" x14ac:dyDescent="0.3">
      <c r="A306" s="21">
        <v>300</v>
      </c>
      <c r="B306" s="4" t="s">
        <v>537</v>
      </c>
      <c r="C306" s="4" t="s">
        <v>26</v>
      </c>
      <c r="D306" s="4">
        <v>12.51</v>
      </c>
      <c r="E306" s="4">
        <v>25</v>
      </c>
      <c r="F306" s="4" t="s">
        <v>539</v>
      </c>
      <c r="G306" s="50" t="s">
        <v>511</v>
      </c>
      <c r="H306" s="4">
        <v>1521</v>
      </c>
      <c r="I306" s="86">
        <v>4.3999999999999997E-2</v>
      </c>
      <c r="J306" s="86">
        <v>9.5000000000000001E-2</v>
      </c>
      <c r="K306" s="53">
        <v>0.8</v>
      </c>
      <c r="L306" s="2">
        <v>0.98</v>
      </c>
      <c r="M306" s="2">
        <v>0.98</v>
      </c>
      <c r="N306" s="2">
        <v>0.98</v>
      </c>
      <c r="O306" s="2">
        <v>0.7</v>
      </c>
      <c r="P306" s="2">
        <v>0.96</v>
      </c>
      <c r="Q306" s="2">
        <v>0.98</v>
      </c>
      <c r="R306" s="2">
        <v>0.98</v>
      </c>
      <c r="S306" s="2">
        <v>0.98</v>
      </c>
      <c r="T306" s="2">
        <v>0.7</v>
      </c>
      <c r="U306" s="4">
        <v>0.96</v>
      </c>
      <c r="V306" s="4">
        <v>0.96</v>
      </c>
      <c r="W306" s="4">
        <v>0.96</v>
      </c>
      <c r="X306" s="4">
        <v>0.9</v>
      </c>
    </row>
    <row r="307" spans="1:24" x14ac:dyDescent="0.3">
      <c r="A307" s="21">
        <v>301</v>
      </c>
      <c r="B307" s="4" t="s">
        <v>540</v>
      </c>
      <c r="C307" s="4" t="s">
        <v>23</v>
      </c>
      <c r="D307" s="4">
        <v>4</v>
      </c>
      <c r="E307" s="4">
        <v>12.5</v>
      </c>
      <c r="F307" s="4" t="s">
        <v>541</v>
      </c>
      <c r="G307" s="50" t="s">
        <v>511</v>
      </c>
      <c r="H307" s="4">
        <v>1521</v>
      </c>
      <c r="I307" s="86">
        <v>4.2963636363636398E-2</v>
      </c>
      <c r="J307" s="86">
        <v>8.9363636363636395E-2</v>
      </c>
      <c r="K307" s="53">
        <v>0.8</v>
      </c>
      <c r="L307" s="2">
        <v>0.98</v>
      </c>
      <c r="M307" s="2">
        <v>0.98</v>
      </c>
      <c r="N307" s="2">
        <v>0.98</v>
      </c>
      <c r="O307" s="2">
        <v>0.7</v>
      </c>
      <c r="P307" s="2">
        <v>0.96</v>
      </c>
      <c r="Q307" s="2">
        <v>0.98</v>
      </c>
      <c r="R307" s="2">
        <v>0.98</v>
      </c>
      <c r="S307" s="2">
        <v>0.98</v>
      </c>
      <c r="T307" s="2">
        <v>0.7</v>
      </c>
      <c r="U307" s="4">
        <v>0.96</v>
      </c>
      <c r="V307" s="4">
        <v>0.96</v>
      </c>
      <c r="W307" s="4">
        <v>0.96</v>
      </c>
      <c r="X307" s="4">
        <v>0.9</v>
      </c>
    </row>
    <row r="308" spans="1:24" x14ac:dyDescent="0.3">
      <c r="A308" s="21">
        <v>302</v>
      </c>
      <c r="B308" s="4" t="s">
        <v>540</v>
      </c>
      <c r="C308" s="4" t="s">
        <v>26</v>
      </c>
      <c r="D308" s="4">
        <v>12.51</v>
      </c>
      <c r="E308" s="4">
        <v>25</v>
      </c>
      <c r="F308" s="4" t="s">
        <v>542</v>
      </c>
      <c r="G308" s="50" t="s">
        <v>511</v>
      </c>
      <c r="H308" s="4">
        <v>1522</v>
      </c>
      <c r="I308" s="86">
        <v>4.1595744680851102E-2</v>
      </c>
      <c r="J308" s="86">
        <v>8.9234042553191506E-2</v>
      </c>
      <c r="K308" s="53">
        <v>0.8</v>
      </c>
      <c r="L308" s="2">
        <v>0.98</v>
      </c>
      <c r="M308" s="2">
        <v>0.98</v>
      </c>
      <c r="N308" s="2">
        <v>0.98</v>
      </c>
      <c r="O308" s="2">
        <v>0.7</v>
      </c>
      <c r="P308" s="2">
        <v>0.96</v>
      </c>
      <c r="Q308" s="2">
        <v>0.98</v>
      </c>
      <c r="R308" s="2">
        <v>0.98</v>
      </c>
      <c r="S308" s="2">
        <v>0.98</v>
      </c>
      <c r="T308" s="2">
        <v>0.7</v>
      </c>
      <c r="U308" s="4">
        <v>0.96</v>
      </c>
      <c r="V308" s="4">
        <v>0.96</v>
      </c>
      <c r="W308" s="4">
        <v>0.96</v>
      </c>
      <c r="X308" s="4">
        <v>0.9</v>
      </c>
    </row>
    <row r="309" spans="1:24" x14ac:dyDescent="0.3">
      <c r="A309" s="21">
        <v>303</v>
      </c>
      <c r="B309" s="4" t="s">
        <v>543</v>
      </c>
      <c r="C309" s="4" t="s">
        <v>23</v>
      </c>
      <c r="D309" s="4">
        <v>3.5</v>
      </c>
      <c r="E309" s="4">
        <v>25.4</v>
      </c>
      <c r="F309" s="4" t="s">
        <v>543</v>
      </c>
      <c r="G309" s="50" t="s">
        <v>511</v>
      </c>
      <c r="H309" s="4">
        <v>1519</v>
      </c>
      <c r="I309" s="86">
        <v>7.4291718170581098E-2</v>
      </c>
      <c r="J309" s="86">
        <v>0.12718788627935701</v>
      </c>
      <c r="K309" s="53">
        <v>0.8</v>
      </c>
      <c r="L309" s="2">
        <v>0.98</v>
      </c>
      <c r="M309" s="2">
        <v>0.98</v>
      </c>
      <c r="N309" s="2">
        <v>0.98</v>
      </c>
      <c r="O309" s="2">
        <v>0.7</v>
      </c>
      <c r="P309" s="2">
        <v>0.96</v>
      </c>
      <c r="Q309" s="2">
        <v>0.98</v>
      </c>
      <c r="R309" s="2">
        <v>0.98</v>
      </c>
      <c r="S309" s="2">
        <v>0.98</v>
      </c>
      <c r="T309" s="2">
        <v>0.7</v>
      </c>
      <c r="U309" s="4">
        <v>0.96</v>
      </c>
      <c r="V309" s="4">
        <v>0.96</v>
      </c>
      <c r="W309" s="4">
        <v>0.96</v>
      </c>
      <c r="X309" s="4">
        <v>0.9</v>
      </c>
    </row>
    <row r="310" spans="1:24" x14ac:dyDescent="0.3">
      <c r="A310" s="21">
        <v>304</v>
      </c>
      <c r="B310" s="4" t="s">
        <v>544</v>
      </c>
      <c r="C310" s="4" t="s">
        <v>23</v>
      </c>
      <c r="D310" s="4">
        <v>4</v>
      </c>
      <c r="E310" s="4">
        <v>25.4</v>
      </c>
      <c r="F310" s="4" t="s">
        <v>544</v>
      </c>
      <c r="G310" s="50" t="s">
        <v>511</v>
      </c>
      <c r="H310" s="4">
        <v>1519</v>
      </c>
      <c r="I310" s="86">
        <v>7.3384615384615395E-2</v>
      </c>
      <c r="J310" s="86">
        <v>0.12594871794871801</v>
      </c>
      <c r="K310" s="53">
        <v>0.8</v>
      </c>
      <c r="L310" s="2">
        <v>0.98</v>
      </c>
      <c r="M310" s="2">
        <v>0.98</v>
      </c>
      <c r="N310" s="2">
        <v>0.98</v>
      </c>
      <c r="O310" s="2">
        <v>0.7</v>
      </c>
      <c r="P310" s="2">
        <v>0.96</v>
      </c>
      <c r="Q310" s="2">
        <v>0.98</v>
      </c>
      <c r="R310" s="2">
        <v>0.98</v>
      </c>
      <c r="S310" s="2">
        <v>0.98</v>
      </c>
      <c r="T310" s="2">
        <v>0.7</v>
      </c>
      <c r="U310" s="4">
        <v>0.96</v>
      </c>
      <c r="V310" s="4">
        <v>0.96</v>
      </c>
      <c r="W310" s="4">
        <v>0.96</v>
      </c>
      <c r="X310" s="4">
        <v>0.9</v>
      </c>
    </row>
    <row r="311" spans="1:24" x14ac:dyDescent="0.3">
      <c r="A311" s="21">
        <v>305</v>
      </c>
      <c r="B311" s="4" t="s">
        <v>545</v>
      </c>
      <c r="C311" s="4" t="s">
        <v>23</v>
      </c>
      <c r="D311" s="4">
        <v>4</v>
      </c>
      <c r="E311" s="4">
        <v>12.5</v>
      </c>
      <c r="F311" s="4" t="s">
        <v>546</v>
      </c>
      <c r="G311" s="50" t="s">
        <v>511</v>
      </c>
      <c r="H311" s="4">
        <v>1521</v>
      </c>
      <c r="I311" s="86">
        <v>0.04</v>
      </c>
      <c r="J311" s="86">
        <v>9.4833333333333297E-2</v>
      </c>
      <c r="K311" s="53">
        <v>0.8</v>
      </c>
      <c r="L311" s="2">
        <v>0.98</v>
      </c>
      <c r="M311" s="2">
        <v>0.98</v>
      </c>
      <c r="N311" s="2">
        <v>0.98</v>
      </c>
      <c r="O311" s="2">
        <v>0.7</v>
      </c>
      <c r="P311" s="2">
        <v>0.96</v>
      </c>
      <c r="Q311" s="2">
        <v>0.98</v>
      </c>
      <c r="R311" s="2">
        <v>0.98</v>
      </c>
      <c r="S311" s="2">
        <v>0.98</v>
      </c>
      <c r="T311" s="2">
        <v>0.7</v>
      </c>
      <c r="U311" s="4">
        <v>0.96</v>
      </c>
      <c r="V311" s="4">
        <v>0.96</v>
      </c>
      <c r="W311" s="4">
        <v>0.96</v>
      </c>
      <c r="X311" s="4">
        <v>0.9</v>
      </c>
    </row>
    <row r="312" spans="1:24" x14ac:dyDescent="0.3">
      <c r="A312" s="21">
        <v>306</v>
      </c>
      <c r="B312" s="4" t="s">
        <v>545</v>
      </c>
      <c r="C312" s="4" t="s">
        <v>26</v>
      </c>
      <c r="D312" s="4">
        <v>12.51</v>
      </c>
      <c r="E312" s="4">
        <v>25</v>
      </c>
      <c r="F312" s="4" t="s">
        <v>547</v>
      </c>
      <c r="G312" s="50" t="s">
        <v>511</v>
      </c>
      <c r="H312" s="4">
        <v>1521</v>
      </c>
      <c r="I312" s="86">
        <v>4.3999999999999997E-2</v>
      </c>
      <c r="J312" s="86">
        <v>9.5000000000000001E-2</v>
      </c>
      <c r="K312" s="53">
        <v>0.8</v>
      </c>
      <c r="L312" s="2">
        <v>0.98</v>
      </c>
      <c r="M312" s="2">
        <v>0.98</v>
      </c>
      <c r="N312" s="2">
        <v>0.98</v>
      </c>
      <c r="O312" s="2">
        <v>0.7</v>
      </c>
      <c r="P312" s="2">
        <v>0.96</v>
      </c>
      <c r="Q312" s="2">
        <v>0.98</v>
      </c>
      <c r="R312" s="2">
        <v>0.98</v>
      </c>
      <c r="S312" s="2">
        <v>0.98</v>
      </c>
      <c r="T312" s="2">
        <v>0.7</v>
      </c>
      <c r="U312" s="4">
        <v>0.96</v>
      </c>
      <c r="V312" s="4">
        <v>0.96</v>
      </c>
      <c r="W312" s="4">
        <v>0.96</v>
      </c>
      <c r="X312" s="4">
        <v>0.9</v>
      </c>
    </row>
    <row r="313" spans="1:24" x14ac:dyDescent="0.3">
      <c r="A313" s="21">
        <v>307</v>
      </c>
      <c r="B313" s="4" t="s">
        <v>548</v>
      </c>
      <c r="C313" s="4" t="s">
        <v>23</v>
      </c>
      <c r="D313" s="4">
        <v>4</v>
      </c>
      <c r="E313" s="4">
        <v>12.5</v>
      </c>
      <c r="F313" s="4" t="s">
        <v>549</v>
      </c>
      <c r="G313" s="50" t="s">
        <v>511</v>
      </c>
      <c r="H313" s="4">
        <v>1521</v>
      </c>
      <c r="I313" s="86">
        <v>4.2963636363636398E-2</v>
      </c>
      <c r="J313" s="86">
        <v>8.9363636363636395E-2</v>
      </c>
      <c r="K313" s="53">
        <v>0.8</v>
      </c>
      <c r="L313" s="2">
        <v>0.98</v>
      </c>
      <c r="M313" s="2">
        <v>0.98</v>
      </c>
      <c r="N313" s="2">
        <v>0.98</v>
      </c>
      <c r="O313" s="2">
        <v>0.7</v>
      </c>
      <c r="P313" s="2">
        <v>0.96</v>
      </c>
      <c r="Q313" s="2">
        <v>0.98</v>
      </c>
      <c r="R313" s="2">
        <v>0.98</v>
      </c>
      <c r="S313" s="2">
        <v>0.98</v>
      </c>
      <c r="T313" s="2">
        <v>0.7</v>
      </c>
      <c r="U313" s="4">
        <v>0.96</v>
      </c>
      <c r="V313" s="4">
        <v>0.96</v>
      </c>
      <c r="W313" s="4">
        <v>0.96</v>
      </c>
      <c r="X313" s="4">
        <v>0.9</v>
      </c>
    </row>
    <row r="314" spans="1:24" x14ac:dyDescent="0.3">
      <c r="A314" s="21">
        <v>308</v>
      </c>
      <c r="B314" s="4" t="s">
        <v>548</v>
      </c>
      <c r="C314" s="4" t="s">
        <v>26</v>
      </c>
      <c r="D314" s="4">
        <v>12.51</v>
      </c>
      <c r="E314" s="4">
        <v>25</v>
      </c>
      <c r="F314" s="4" t="s">
        <v>550</v>
      </c>
      <c r="G314" s="50" t="s">
        <v>511</v>
      </c>
      <c r="H314" s="4">
        <v>1522</v>
      </c>
      <c r="I314" s="86">
        <v>4.1595744680851102E-2</v>
      </c>
      <c r="J314" s="86">
        <v>8.9234042553191506E-2</v>
      </c>
      <c r="K314" s="53">
        <v>0.8</v>
      </c>
      <c r="L314" s="2">
        <v>0.98</v>
      </c>
      <c r="M314" s="2">
        <v>0.98</v>
      </c>
      <c r="N314" s="2">
        <v>0.98</v>
      </c>
      <c r="O314" s="2">
        <v>0.7</v>
      </c>
      <c r="P314" s="2">
        <v>0.96</v>
      </c>
      <c r="Q314" s="2">
        <v>0.98</v>
      </c>
      <c r="R314" s="2">
        <v>0.98</v>
      </c>
      <c r="S314" s="2">
        <v>0.98</v>
      </c>
      <c r="T314" s="2">
        <v>0.7</v>
      </c>
      <c r="U314" s="4">
        <v>0.96</v>
      </c>
      <c r="V314" s="4">
        <v>0.96</v>
      </c>
      <c r="W314" s="4">
        <v>0.96</v>
      </c>
      <c r="X314" s="4">
        <v>0.9</v>
      </c>
    </row>
    <row r="315" spans="1:24" x14ac:dyDescent="0.3">
      <c r="A315" s="21">
        <v>309</v>
      </c>
      <c r="B315" s="4" t="s">
        <v>551</v>
      </c>
      <c r="C315" s="4" t="s">
        <v>23</v>
      </c>
      <c r="D315" s="4">
        <v>3.5</v>
      </c>
      <c r="E315" s="4">
        <v>25.4</v>
      </c>
      <c r="F315" s="4" t="s">
        <v>551</v>
      </c>
      <c r="G315" s="50" t="s">
        <v>511</v>
      </c>
      <c r="H315" s="4">
        <v>1519</v>
      </c>
      <c r="I315" s="86">
        <v>7.4291718170581098E-2</v>
      </c>
      <c r="J315" s="86">
        <v>0.12718788627935701</v>
      </c>
      <c r="K315" s="53">
        <v>0.8</v>
      </c>
      <c r="L315" s="2">
        <v>0.98</v>
      </c>
      <c r="M315" s="2">
        <v>0.98</v>
      </c>
      <c r="N315" s="2">
        <v>0.98</v>
      </c>
      <c r="O315" s="2">
        <v>0.7</v>
      </c>
      <c r="P315" s="2">
        <v>0.96</v>
      </c>
      <c r="Q315" s="2">
        <v>0.98</v>
      </c>
      <c r="R315" s="2">
        <v>0.98</v>
      </c>
      <c r="S315" s="2">
        <v>0.98</v>
      </c>
      <c r="T315" s="2">
        <v>0.7</v>
      </c>
      <c r="U315" s="4">
        <v>0.96</v>
      </c>
      <c r="V315" s="4">
        <v>0.96</v>
      </c>
      <c r="W315" s="4">
        <v>0.96</v>
      </c>
      <c r="X315" s="4">
        <v>0.9</v>
      </c>
    </row>
    <row r="316" spans="1:24" x14ac:dyDescent="0.3">
      <c r="A316" s="21">
        <v>310</v>
      </c>
      <c r="B316" s="4" t="s">
        <v>552</v>
      </c>
      <c r="C316" s="4" t="s">
        <v>23</v>
      </c>
      <c r="D316" s="4">
        <v>4</v>
      </c>
      <c r="E316" s="4">
        <v>25.4</v>
      </c>
      <c r="F316" s="4" t="s">
        <v>552</v>
      </c>
      <c r="G316" s="50" t="s">
        <v>511</v>
      </c>
      <c r="H316" s="4">
        <v>1519</v>
      </c>
      <c r="I316" s="86">
        <v>7.3384615384615395E-2</v>
      </c>
      <c r="J316" s="86">
        <v>0.12594871794871801</v>
      </c>
      <c r="K316" s="53">
        <v>0.8</v>
      </c>
      <c r="L316" s="2">
        <v>0.98</v>
      </c>
      <c r="M316" s="2">
        <v>0.98</v>
      </c>
      <c r="N316" s="2">
        <v>0.98</v>
      </c>
      <c r="O316" s="2">
        <v>0.7</v>
      </c>
      <c r="P316" s="2">
        <v>0.96</v>
      </c>
      <c r="Q316" s="2">
        <v>0.98</v>
      </c>
      <c r="R316" s="2">
        <v>0.98</v>
      </c>
      <c r="S316" s="2">
        <v>0.98</v>
      </c>
      <c r="T316" s="2">
        <v>0.7</v>
      </c>
      <c r="U316" s="4">
        <v>0.96</v>
      </c>
      <c r="V316" s="4">
        <v>0.96</v>
      </c>
      <c r="W316" s="4">
        <v>0.96</v>
      </c>
      <c r="X316" s="4">
        <v>0.9</v>
      </c>
    </row>
    <row r="317" spans="1:24" x14ac:dyDescent="0.3">
      <c r="A317" s="21">
        <v>311</v>
      </c>
      <c r="B317" s="4" t="s">
        <v>553</v>
      </c>
      <c r="C317" s="4" t="s">
        <v>23</v>
      </c>
      <c r="D317" s="4">
        <v>4</v>
      </c>
      <c r="E317" s="4">
        <v>12.5</v>
      </c>
      <c r="F317" s="4" t="s">
        <v>554</v>
      </c>
      <c r="G317" s="50" t="s">
        <v>511</v>
      </c>
      <c r="H317" s="4">
        <v>1521</v>
      </c>
      <c r="I317" s="86">
        <v>0.04</v>
      </c>
      <c r="J317" s="86">
        <v>9.4833333333333297E-2</v>
      </c>
      <c r="K317" s="53">
        <v>0.8</v>
      </c>
      <c r="L317" s="2">
        <v>0.98</v>
      </c>
      <c r="M317" s="2">
        <v>0.98</v>
      </c>
      <c r="N317" s="2">
        <v>0.98</v>
      </c>
      <c r="O317" s="2">
        <v>0.7</v>
      </c>
      <c r="P317" s="2">
        <v>0.96</v>
      </c>
      <c r="Q317" s="2">
        <v>0.98</v>
      </c>
      <c r="R317" s="2">
        <v>0.98</v>
      </c>
      <c r="S317" s="2">
        <v>0.98</v>
      </c>
      <c r="T317" s="2">
        <v>0.7</v>
      </c>
      <c r="U317" s="4">
        <v>0.96</v>
      </c>
      <c r="V317" s="4">
        <v>0.96</v>
      </c>
      <c r="W317" s="4">
        <v>0.96</v>
      </c>
      <c r="X317" s="4">
        <v>0.9</v>
      </c>
    </row>
    <row r="318" spans="1:24" x14ac:dyDescent="0.3">
      <c r="A318" s="21">
        <v>312</v>
      </c>
      <c r="B318" s="4" t="s">
        <v>553</v>
      </c>
      <c r="C318" s="4" t="s">
        <v>26</v>
      </c>
      <c r="D318" s="4">
        <v>12.51</v>
      </c>
      <c r="E318" s="4">
        <v>25</v>
      </c>
      <c r="F318" s="4" t="s">
        <v>555</v>
      </c>
      <c r="G318" s="50" t="s">
        <v>511</v>
      </c>
      <c r="H318" s="4">
        <v>1521</v>
      </c>
      <c r="I318" s="86">
        <v>4.3999999999999997E-2</v>
      </c>
      <c r="J318" s="86">
        <v>9.5000000000000001E-2</v>
      </c>
      <c r="K318" s="53">
        <v>0.8</v>
      </c>
      <c r="L318" s="2">
        <v>0.98</v>
      </c>
      <c r="M318" s="2">
        <v>0.98</v>
      </c>
      <c r="N318" s="2">
        <v>0.98</v>
      </c>
      <c r="O318" s="2">
        <v>0.7</v>
      </c>
      <c r="P318" s="2">
        <v>0.96</v>
      </c>
      <c r="Q318" s="2">
        <v>0.98</v>
      </c>
      <c r="R318" s="2">
        <v>0.98</v>
      </c>
      <c r="S318" s="2">
        <v>0.98</v>
      </c>
      <c r="T318" s="2">
        <v>0.7</v>
      </c>
      <c r="U318" s="4">
        <v>0.96</v>
      </c>
      <c r="V318" s="4">
        <v>0.96</v>
      </c>
      <c r="W318" s="4">
        <v>0.96</v>
      </c>
      <c r="X318" s="4">
        <v>0.9</v>
      </c>
    </row>
    <row r="319" spans="1:24" x14ac:dyDescent="0.3">
      <c r="A319" s="21">
        <v>313</v>
      </c>
      <c r="B319" s="4" t="s">
        <v>556</v>
      </c>
      <c r="C319" s="4" t="s">
        <v>23</v>
      </c>
      <c r="D319" s="4">
        <v>4</v>
      </c>
      <c r="E319" s="4">
        <v>12.5</v>
      </c>
      <c r="F319" s="4" t="s">
        <v>557</v>
      </c>
      <c r="G319" s="50" t="s">
        <v>511</v>
      </c>
      <c r="H319" s="4">
        <v>1521</v>
      </c>
      <c r="I319" s="86">
        <v>4.2963636363636398E-2</v>
      </c>
      <c r="J319" s="86">
        <v>8.9363636363636395E-2</v>
      </c>
      <c r="K319" s="53">
        <v>0.8</v>
      </c>
      <c r="L319" s="2">
        <v>0.98</v>
      </c>
      <c r="M319" s="2">
        <v>0.98</v>
      </c>
      <c r="N319" s="2">
        <v>0.98</v>
      </c>
      <c r="O319" s="2">
        <v>0.7</v>
      </c>
      <c r="P319" s="2">
        <v>0.96</v>
      </c>
      <c r="Q319" s="2">
        <v>0.98</v>
      </c>
      <c r="R319" s="2">
        <v>0.98</v>
      </c>
      <c r="S319" s="2">
        <v>0.98</v>
      </c>
      <c r="T319" s="2">
        <v>0.7</v>
      </c>
      <c r="U319" s="4">
        <v>0.96</v>
      </c>
      <c r="V319" s="4">
        <v>0.96</v>
      </c>
      <c r="W319" s="4">
        <v>0.96</v>
      </c>
      <c r="X319" s="4">
        <v>0.9</v>
      </c>
    </row>
    <row r="320" spans="1:24" x14ac:dyDescent="0.3">
      <c r="A320" s="21">
        <v>314</v>
      </c>
      <c r="B320" s="4" t="s">
        <v>556</v>
      </c>
      <c r="C320" s="4" t="s">
        <v>26</v>
      </c>
      <c r="D320" s="4">
        <v>12.51</v>
      </c>
      <c r="E320" s="4">
        <v>25</v>
      </c>
      <c r="F320" s="4" t="s">
        <v>558</v>
      </c>
      <c r="G320" s="50" t="s">
        <v>511</v>
      </c>
      <c r="H320" s="4">
        <v>1522</v>
      </c>
      <c r="I320" s="86">
        <v>4.1595744680851102E-2</v>
      </c>
      <c r="J320" s="86">
        <v>8.9234042553191506E-2</v>
      </c>
      <c r="K320" s="53">
        <v>0.8</v>
      </c>
      <c r="L320" s="2">
        <v>0.98</v>
      </c>
      <c r="M320" s="2">
        <v>0.98</v>
      </c>
      <c r="N320" s="2">
        <v>0.98</v>
      </c>
      <c r="O320" s="2">
        <v>0.7</v>
      </c>
      <c r="P320" s="2">
        <v>0.96</v>
      </c>
      <c r="Q320" s="2">
        <v>0.98</v>
      </c>
      <c r="R320" s="2">
        <v>0.98</v>
      </c>
      <c r="S320" s="2">
        <v>0.98</v>
      </c>
      <c r="T320" s="2">
        <v>0.7</v>
      </c>
      <c r="U320" s="4">
        <v>0.96</v>
      </c>
      <c r="V320" s="4">
        <v>0.96</v>
      </c>
      <c r="W320" s="4">
        <v>0.96</v>
      </c>
      <c r="X320" s="4">
        <v>0.9</v>
      </c>
    </row>
    <row r="321" spans="1:24" x14ac:dyDescent="0.3">
      <c r="A321" s="21">
        <v>315</v>
      </c>
      <c r="B321" s="4" t="s">
        <v>559</v>
      </c>
      <c r="C321" s="4" t="s">
        <v>23</v>
      </c>
      <c r="D321" s="4">
        <v>3.5</v>
      </c>
      <c r="E321" s="4">
        <v>25.4</v>
      </c>
      <c r="F321" s="4" t="s">
        <v>559</v>
      </c>
      <c r="G321" s="50" t="s">
        <v>511</v>
      </c>
      <c r="H321" s="4">
        <v>1519</v>
      </c>
      <c r="I321" s="86">
        <v>7.4291718170581098E-2</v>
      </c>
      <c r="J321" s="86">
        <v>0.12718788627935701</v>
      </c>
      <c r="K321" s="53">
        <v>0.8</v>
      </c>
      <c r="L321" s="2">
        <v>0.98</v>
      </c>
      <c r="M321" s="2">
        <v>0.98</v>
      </c>
      <c r="N321" s="2">
        <v>0.98</v>
      </c>
      <c r="O321" s="2">
        <v>0.7</v>
      </c>
      <c r="P321" s="2">
        <v>0.96</v>
      </c>
      <c r="Q321" s="2">
        <v>0.98</v>
      </c>
      <c r="R321" s="2">
        <v>0.98</v>
      </c>
      <c r="S321" s="2">
        <v>0.98</v>
      </c>
      <c r="T321" s="2">
        <v>0.7</v>
      </c>
      <c r="U321" s="4">
        <v>0.96</v>
      </c>
      <c r="V321" s="4">
        <v>0.96</v>
      </c>
      <c r="W321" s="4">
        <v>0.96</v>
      </c>
      <c r="X321" s="4">
        <v>0.9</v>
      </c>
    </row>
    <row r="322" spans="1:24" x14ac:dyDescent="0.3">
      <c r="A322" s="21">
        <v>316</v>
      </c>
      <c r="B322" s="4" t="s">
        <v>560</v>
      </c>
      <c r="C322" s="4" t="s">
        <v>23</v>
      </c>
      <c r="D322" s="4">
        <v>4</v>
      </c>
      <c r="E322" s="4">
        <v>25.4</v>
      </c>
      <c r="F322" s="4" t="s">
        <v>560</v>
      </c>
      <c r="G322" s="50" t="s">
        <v>511</v>
      </c>
      <c r="H322" s="4">
        <v>1519</v>
      </c>
      <c r="I322" s="86">
        <v>7.3384615384615395E-2</v>
      </c>
      <c r="J322" s="86">
        <v>0.12594871794871801</v>
      </c>
      <c r="K322" s="53">
        <v>0.8</v>
      </c>
      <c r="L322" s="2">
        <v>0.98</v>
      </c>
      <c r="M322" s="2">
        <v>0.98</v>
      </c>
      <c r="N322" s="2">
        <v>0.98</v>
      </c>
      <c r="O322" s="2">
        <v>0.7</v>
      </c>
      <c r="P322" s="2">
        <v>0.96</v>
      </c>
      <c r="Q322" s="2">
        <v>0.98</v>
      </c>
      <c r="R322" s="2">
        <v>0.98</v>
      </c>
      <c r="S322" s="2">
        <v>0.98</v>
      </c>
      <c r="T322" s="2">
        <v>0.7</v>
      </c>
      <c r="U322" s="4">
        <v>0.96</v>
      </c>
      <c r="V322" s="4">
        <v>0.96</v>
      </c>
      <c r="W322" s="4">
        <v>0.96</v>
      </c>
      <c r="X322" s="4">
        <v>0.9</v>
      </c>
    </row>
    <row r="323" spans="1:24" x14ac:dyDescent="0.3">
      <c r="A323" s="21">
        <v>317</v>
      </c>
      <c r="B323" s="4" t="s">
        <v>561</v>
      </c>
      <c r="C323" s="4" t="s">
        <v>23</v>
      </c>
      <c r="D323" s="4">
        <v>4</v>
      </c>
      <c r="E323" s="4">
        <v>12.5</v>
      </c>
      <c r="F323" s="4" t="s">
        <v>562</v>
      </c>
      <c r="G323" s="50" t="s">
        <v>511</v>
      </c>
      <c r="H323" s="4">
        <v>1521</v>
      </c>
      <c r="I323" s="86">
        <v>0.04</v>
      </c>
      <c r="J323" s="86">
        <v>9.4833333333333297E-2</v>
      </c>
      <c r="K323" s="53">
        <v>0.8</v>
      </c>
      <c r="L323" s="2">
        <v>0.98</v>
      </c>
      <c r="M323" s="2">
        <v>0.98</v>
      </c>
      <c r="N323" s="2">
        <v>0.98</v>
      </c>
      <c r="O323" s="2">
        <v>0.7</v>
      </c>
      <c r="P323" s="2">
        <v>0.96</v>
      </c>
      <c r="Q323" s="2">
        <v>0.98</v>
      </c>
      <c r="R323" s="2">
        <v>0.98</v>
      </c>
      <c r="S323" s="2">
        <v>0.98</v>
      </c>
      <c r="T323" s="2">
        <v>0.7</v>
      </c>
      <c r="U323" s="4">
        <v>0.96</v>
      </c>
      <c r="V323" s="4">
        <v>0.96</v>
      </c>
      <c r="W323" s="4">
        <v>0.96</v>
      </c>
      <c r="X323" s="4">
        <v>0.9</v>
      </c>
    </row>
    <row r="324" spans="1:24" x14ac:dyDescent="0.3">
      <c r="A324" s="21">
        <v>318</v>
      </c>
      <c r="B324" s="4" t="s">
        <v>561</v>
      </c>
      <c r="C324" s="4" t="s">
        <v>26</v>
      </c>
      <c r="D324" s="4">
        <v>12.51</v>
      </c>
      <c r="E324" s="4">
        <v>25</v>
      </c>
      <c r="F324" s="4" t="s">
        <v>563</v>
      </c>
      <c r="G324" s="50" t="s">
        <v>511</v>
      </c>
      <c r="H324" s="4">
        <v>1521</v>
      </c>
      <c r="I324" s="86">
        <v>4.3999999999999997E-2</v>
      </c>
      <c r="J324" s="86">
        <v>9.5000000000000001E-2</v>
      </c>
      <c r="K324" s="53">
        <v>0.8</v>
      </c>
      <c r="L324" s="2">
        <v>0.98</v>
      </c>
      <c r="M324" s="2">
        <v>0.98</v>
      </c>
      <c r="N324" s="2">
        <v>0.98</v>
      </c>
      <c r="O324" s="2">
        <v>0.7</v>
      </c>
      <c r="P324" s="2">
        <v>0.96</v>
      </c>
      <c r="Q324" s="2">
        <v>0.98</v>
      </c>
      <c r="R324" s="2">
        <v>0.98</v>
      </c>
      <c r="S324" s="2">
        <v>0.98</v>
      </c>
      <c r="T324" s="2">
        <v>0.7</v>
      </c>
      <c r="U324" s="4">
        <v>0.96</v>
      </c>
      <c r="V324" s="4">
        <v>0.96</v>
      </c>
      <c r="W324" s="4">
        <v>0.96</v>
      </c>
      <c r="X324" s="4">
        <v>0.9</v>
      </c>
    </row>
    <row r="325" spans="1:24" x14ac:dyDescent="0.3">
      <c r="A325" s="21">
        <v>319</v>
      </c>
      <c r="B325" s="4" t="s">
        <v>564</v>
      </c>
      <c r="C325" s="4" t="s">
        <v>23</v>
      </c>
      <c r="D325" s="4">
        <v>4</v>
      </c>
      <c r="E325" s="4">
        <v>12.5</v>
      </c>
      <c r="F325" s="4" t="s">
        <v>565</v>
      </c>
      <c r="G325" s="50" t="s">
        <v>511</v>
      </c>
      <c r="H325" s="4">
        <v>1521</v>
      </c>
      <c r="I325" s="86">
        <v>4.2963636363636398E-2</v>
      </c>
      <c r="J325" s="86">
        <v>8.9363636363636395E-2</v>
      </c>
      <c r="K325" s="53">
        <v>0.8</v>
      </c>
      <c r="L325" s="2">
        <v>0.98</v>
      </c>
      <c r="M325" s="2">
        <v>0.98</v>
      </c>
      <c r="N325" s="2">
        <v>0.98</v>
      </c>
      <c r="O325" s="2">
        <v>0.7</v>
      </c>
      <c r="P325" s="2">
        <v>0.96</v>
      </c>
      <c r="Q325" s="2">
        <v>0.98</v>
      </c>
      <c r="R325" s="2">
        <v>0.98</v>
      </c>
      <c r="S325" s="2">
        <v>0.98</v>
      </c>
      <c r="T325" s="2">
        <v>0.7</v>
      </c>
      <c r="U325" s="4">
        <v>0.96</v>
      </c>
      <c r="V325" s="4">
        <v>0.96</v>
      </c>
      <c r="W325" s="4">
        <v>0.96</v>
      </c>
      <c r="X325" s="4">
        <v>0.9</v>
      </c>
    </row>
    <row r="326" spans="1:24" x14ac:dyDescent="0.3">
      <c r="A326" s="21">
        <v>320</v>
      </c>
      <c r="B326" s="4" t="s">
        <v>564</v>
      </c>
      <c r="C326" s="4" t="s">
        <v>26</v>
      </c>
      <c r="D326" s="4">
        <v>12.51</v>
      </c>
      <c r="E326" s="4">
        <v>25</v>
      </c>
      <c r="F326" s="4" t="s">
        <v>566</v>
      </c>
      <c r="G326" s="50" t="s">
        <v>511</v>
      </c>
      <c r="H326" s="4">
        <v>1522</v>
      </c>
      <c r="I326" s="86">
        <v>4.1595744680851102E-2</v>
      </c>
      <c r="J326" s="86">
        <v>8.9234042553191506E-2</v>
      </c>
      <c r="K326" s="53">
        <v>0.8</v>
      </c>
      <c r="L326" s="2">
        <v>0.98</v>
      </c>
      <c r="M326" s="2">
        <v>0.98</v>
      </c>
      <c r="N326" s="2">
        <v>0.98</v>
      </c>
      <c r="O326" s="2">
        <v>0.7</v>
      </c>
      <c r="P326" s="2">
        <v>0.96</v>
      </c>
      <c r="Q326" s="2">
        <v>0.98</v>
      </c>
      <c r="R326" s="2">
        <v>0.98</v>
      </c>
      <c r="S326" s="2">
        <v>0.98</v>
      </c>
      <c r="T326" s="2">
        <v>0.7</v>
      </c>
      <c r="U326" s="4">
        <v>0.96</v>
      </c>
      <c r="V326" s="4">
        <v>0.96</v>
      </c>
      <c r="W326" s="4">
        <v>0.96</v>
      </c>
      <c r="X326" s="4">
        <v>0.9</v>
      </c>
    </row>
    <row r="327" spans="1:24" x14ac:dyDescent="0.3">
      <c r="A327" s="21">
        <v>321</v>
      </c>
      <c r="B327" s="4" t="s">
        <v>567</v>
      </c>
      <c r="C327" s="4" t="s">
        <v>23</v>
      </c>
      <c r="D327" s="4">
        <v>3.5</v>
      </c>
      <c r="E327" s="4">
        <v>25.4</v>
      </c>
      <c r="F327" s="4" t="s">
        <v>567</v>
      </c>
      <c r="G327" s="50" t="s">
        <v>511</v>
      </c>
      <c r="H327" s="4">
        <v>1519</v>
      </c>
      <c r="I327" s="86">
        <v>7.4291718170581098E-2</v>
      </c>
      <c r="J327" s="86">
        <v>0.12718788627935701</v>
      </c>
      <c r="K327" s="53">
        <v>0.8</v>
      </c>
      <c r="L327" s="2">
        <v>0.98</v>
      </c>
      <c r="M327" s="2">
        <v>0.98</v>
      </c>
      <c r="N327" s="2">
        <v>0.98</v>
      </c>
      <c r="O327" s="2">
        <v>0.7</v>
      </c>
      <c r="P327" s="2">
        <v>0.96</v>
      </c>
      <c r="Q327" s="2">
        <v>0.98</v>
      </c>
      <c r="R327" s="2">
        <v>0.98</v>
      </c>
      <c r="S327" s="2">
        <v>0.98</v>
      </c>
      <c r="T327" s="2">
        <v>0.7</v>
      </c>
      <c r="U327" s="4">
        <v>0.96</v>
      </c>
      <c r="V327" s="4">
        <v>0.96</v>
      </c>
      <c r="W327" s="4">
        <v>0.96</v>
      </c>
      <c r="X327" s="4">
        <v>0.9</v>
      </c>
    </row>
    <row r="328" spans="1:24" x14ac:dyDescent="0.3">
      <c r="A328" s="21">
        <v>322</v>
      </c>
      <c r="B328" s="4" t="s">
        <v>568</v>
      </c>
      <c r="C328" s="4" t="s">
        <v>23</v>
      </c>
      <c r="D328" s="4">
        <v>4</v>
      </c>
      <c r="E328" s="4">
        <v>25.4</v>
      </c>
      <c r="F328" s="4" t="s">
        <v>568</v>
      </c>
      <c r="G328" s="50" t="s">
        <v>511</v>
      </c>
      <c r="H328" s="4">
        <v>1519</v>
      </c>
      <c r="I328" s="86">
        <v>7.3384615384615395E-2</v>
      </c>
      <c r="J328" s="86">
        <v>0.12594871794871801</v>
      </c>
      <c r="K328" s="53">
        <v>0.8</v>
      </c>
      <c r="L328" s="2">
        <v>0.98</v>
      </c>
      <c r="M328" s="2">
        <v>0.98</v>
      </c>
      <c r="N328" s="2">
        <v>0.98</v>
      </c>
      <c r="O328" s="2">
        <v>0.7</v>
      </c>
      <c r="P328" s="2">
        <v>0.96</v>
      </c>
      <c r="Q328" s="2">
        <v>0.98</v>
      </c>
      <c r="R328" s="2">
        <v>0.98</v>
      </c>
      <c r="S328" s="2">
        <v>0.98</v>
      </c>
      <c r="T328" s="2">
        <v>0.7</v>
      </c>
      <c r="U328" s="4">
        <v>0.96</v>
      </c>
      <c r="V328" s="4">
        <v>0.96</v>
      </c>
      <c r="W328" s="4">
        <v>0.96</v>
      </c>
      <c r="X328" s="4">
        <v>0.9</v>
      </c>
    </row>
    <row r="329" spans="1:24" x14ac:dyDescent="0.3">
      <c r="A329" s="21">
        <v>323</v>
      </c>
      <c r="B329" s="4" t="s">
        <v>569</v>
      </c>
      <c r="C329" s="4" t="s">
        <v>23</v>
      </c>
      <c r="D329" s="4">
        <v>4</v>
      </c>
      <c r="E329" s="4">
        <v>12.5</v>
      </c>
      <c r="F329" s="4" t="s">
        <v>570</v>
      </c>
      <c r="G329" s="50" t="s">
        <v>511</v>
      </c>
      <c r="H329" s="4">
        <v>1521</v>
      </c>
      <c r="I329" s="86">
        <v>0.04</v>
      </c>
      <c r="J329" s="86">
        <v>9.4833333333333297E-2</v>
      </c>
      <c r="K329" s="53">
        <v>0.8</v>
      </c>
      <c r="L329" s="2">
        <v>0.98</v>
      </c>
      <c r="M329" s="2">
        <v>0.98</v>
      </c>
      <c r="N329" s="2">
        <v>0.98</v>
      </c>
      <c r="O329" s="2">
        <v>0.7</v>
      </c>
      <c r="P329" s="2">
        <v>0.96</v>
      </c>
      <c r="Q329" s="2">
        <v>0.98</v>
      </c>
      <c r="R329" s="2">
        <v>0.98</v>
      </c>
      <c r="S329" s="2">
        <v>0.98</v>
      </c>
      <c r="T329" s="2">
        <v>0.7</v>
      </c>
      <c r="U329" s="4">
        <v>0.96</v>
      </c>
      <c r="V329" s="4">
        <v>0.96</v>
      </c>
      <c r="W329" s="4">
        <v>0.96</v>
      </c>
      <c r="X329" s="4">
        <v>0.9</v>
      </c>
    </row>
    <row r="330" spans="1:24" x14ac:dyDescent="0.3">
      <c r="A330" s="21">
        <v>324</v>
      </c>
      <c r="B330" s="4" t="s">
        <v>569</v>
      </c>
      <c r="C330" s="4" t="s">
        <v>26</v>
      </c>
      <c r="D330" s="4">
        <v>12.51</v>
      </c>
      <c r="E330" s="4">
        <v>25</v>
      </c>
      <c r="F330" s="4" t="s">
        <v>571</v>
      </c>
      <c r="G330" s="50" t="s">
        <v>511</v>
      </c>
      <c r="H330" s="4">
        <v>1521</v>
      </c>
      <c r="I330" s="86">
        <v>4.3999999999999997E-2</v>
      </c>
      <c r="J330" s="86">
        <v>9.5000000000000001E-2</v>
      </c>
      <c r="K330" s="53">
        <v>0.8</v>
      </c>
      <c r="L330" s="2">
        <v>0.98</v>
      </c>
      <c r="M330" s="2">
        <v>0.98</v>
      </c>
      <c r="N330" s="2">
        <v>0.98</v>
      </c>
      <c r="O330" s="2">
        <v>0.7</v>
      </c>
      <c r="P330" s="2">
        <v>0.96</v>
      </c>
      <c r="Q330" s="2">
        <v>0.98</v>
      </c>
      <c r="R330" s="2">
        <v>0.98</v>
      </c>
      <c r="S330" s="2">
        <v>0.98</v>
      </c>
      <c r="T330" s="2">
        <v>0.7</v>
      </c>
      <c r="U330" s="4">
        <v>0.96</v>
      </c>
      <c r="V330" s="4">
        <v>0.96</v>
      </c>
      <c r="W330" s="4">
        <v>0.96</v>
      </c>
      <c r="X330" s="4">
        <v>0.9</v>
      </c>
    </row>
    <row r="331" spans="1:24" x14ac:dyDescent="0.3">
      <c r="A331" s="21">
        <v>325</v>
      </c>
      <c r="B331" s="4" t="s">
        <v>572</v>
      </c>
      <c r="C331" s="4" t="s">
        <v>23</v>
      </c>
      <c r="D331" s="4">
        <v>4</v>
      </c>
      <c r="E331" s="4">
        <v>12.5</v>
      </c>
      <c r="F331" s="4" t="s">
        <v>573</v>
      </c>
      <c r="G331" s="50" t="s">
        <v>511</v>
      </c>
      <c r="H331" s="4">
        <v>1521</v>
      </c>
      <c r="I331" s="86">
        <v>4.2963636363636398E-2</v>
      </c>
      <c r="J331" s="86">
        <v>8.9363636363636395E-2</v>
      </c>
      <c r="K331" s="53">
        <v>0.8</v>
      </c>
      <c r="L331" s="2">
        <v>0.98</v>
      </c>
      <c r="M331" s="2">
        <v>0.98</v>
      </c>
      <c r="N331" s="2">
        <v>0.98</v>
      </c>
      <c r="O331" s="2">
        <v>0.7</v>
      </c>
      <c r="P331" s="2">
        <v>0.96</v>
      </c>
      <c r="Q331" s="2">
        <v>0.98</v>
      </c>
      <c r="R331" s="2">
        <v>0.98</v>
      </c>
      <c r="S331" s="2">
        <v>0.98</v>
      </c>
      <c r="T331" s="2">
        <v>0.7</v>
      </c>
      <c r="U331" s="4">
        <v>0.96</v>
      </c>
      <c r="V331" s="4">
        <v>0.96</v>
      </c>
      <c r="W331" s="4">
        <v>0.96</v>
      </c>
      <c r="X331" s="4">
        <v>0.9</v>
      </c>
    </row>
    <row r="332" spans="1:24" x14ac:dyDescent="0.3">
      <c r="A332" s="21">
        <v>326</v>
      </c>
      <c r="B332" s="4" t="s">
        <v>572</v>
      </c>
      <c r="C332" s="4" t="s">
        <v>26</v>
      </c>
      <c r="D332" s="4">
        <v>12.51</v>
      </c>
      <c r="E332" s="4">
        <v>25</v>
      </c>
      <c r="F332" s="4" t="s">
        <v>574</v>
      </c>
      <c r="G332" s="50" t="s">
        <v>511</v>
      </c>
      <c r="H332" s="4">
        <v>1522</v>
      </c>
      <c r="I332" s="86">
        <v>4.1595744680851102E-2</v>
      </c>
      <c r="J332" s="86">
        <v>8.9234042553191506E-2</v>
      </c>
      <c r="K332" s="53">
        <v>0.8</v>
      </c>
      <c r="L332" s="2">
        <v>0.98</v>
      </c>
      <c r="M332" s="2">
        <v>0.98</v>
      </c>
      <c r="N332" s="2">
        <v>0.98</v>
      </c>
      <c r="O332" s="2">
        <v>0.7</v>
      </c>
      <c r="P332" s="2">
        <v>0.96</v>
      </c>
      <c r="Q332" s="2">
        <v>0.98</v>
      </c>
      <c r="R332" s="2">
        <v>0.98</v>
      </c>
      <c r="S332" s="2">
        <v>0.98</v>
      </c>
      <c r="T332" s="2">
        <v>0.7</v>
      </c>
      <c r="U332" s="4">
        <v>0.96</v>
      </c>
      <c r="V332" s="4">
        <v>0.96</v>
      </c>
      <c r="W332" s="4">
        <v>0.96</v>
      </c>
      <c r="X332" s="4">
        <v>0.9</v>
      </c>
    </row>
  </sheetData>
  <autoFilter ref="F1:F332" xr:uid="{00000000-0009-0000-0000-000000000000}"/>
  <mergeCells count="24">
    <mergeCell ref="U2:U3"/>
    <mergeCell ref="V2:V3"/>
    <mergeCell ref="W2:W3"/>
    <mergeCell ref="X2:X3"/>
    <mergeCell ref="P2:P3"/>
    <mergeCell ref="Q2:Q3"/>
    <mergeCell ref="R2:R3"/>
    <mergeCell ref="S2:S3"/>
    <mergeCell ref="T2:T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Q337"/>
  <sheetViews>
    <sheetView tabSelected="1" topLeftCell="AE1" zoomScale="70" zoomScaleNormal="70" workbookViewId="0">
      <selection activeCell="BJ5" sqref="BJ5"/>
    </sheetView>
  </sheetViews>
  <sheetFormatPr defaultColWidth="8.69140625" defaultRowHeight="14.15" x14ac:dyDescent="0.3"/>
  <cols>
    <col min="1" max="1" width="8.69140625" style="18"/>
    <col min="2" max="2" width="12.15234375" style="18" customWidth="1"/>
    <col min="3" max="5" width="8.69140625" style="21" customWidth="1"/>
    <col min="6" max="6" width="13.53515625" style="21" customWidth="1"/>
    <col min="7" max="7" width="41.15234375" style="22" customWidth="1"/>
    <col min="8" max="8" width="8.69140625" style="21" customWidth="1"/>
    <col min="9" max="9" width="8.69140625" style="23" customWidth="1"/>
    <col min="10" max="11" width="8.69140625" style="24" customWidth="1"/>
    <col min="12" max="17" width="8.69140625" style="23" customWidth="1"/>
    <col min="18" max="18" width="8.69140625" style="23" hidden="1" customWidth="1"/>
    <col min="19" max="19" width="19.4609375" style="25" hidden="1" customWidth="1"/>
    <col min="20" max="23" width="8.69140625" style="24" hidden="1" customWidth="1"/>
    <col min="24" max="24" width="8.69140625" style="25" hidden="1" customWidth="1"/>
    <col min="25" max="25" width="8.69140625" style="18" hidden="1" customWidth="1"/>
    <col min="26" max="26" width="8.69140625" style="21" customWidth="1"/>
    <col min="27" max="27" width="12" style="18" customWidth="1"/>
    <col min="28" max="28" width="16.765625" style="20" customWidth="1"/>
    <col min="29" max="33" width="10.53515625" style="18" customWidth="1"/>
    <col min="34" max="34" width="10.53515625" style="24" customWidth="1"/>
    <col min="35" max="39" width="9.4609375" style="18" customWidth="1"/>
    <col min="40" max="47" width="8.69140625" style="18" customWidth="1"/>
    <col min="48" max="49" width="9.84375" style="21" customWidth="1"/>
    <col min="50" max="50" width="6.4609375" style="18" customWidth="1"/>
    <col min="51" max="51" width="17.3828125" style="18" customWidth="1"/>
    <col min="52" max="62" width="11.15234375" style="18" customWidth="1"/>
    <col min="63" max="63" width="7.23046875" style="18" customWidth="1"/>
    <col min="64" max="64" width="7.53515625" style="18" customWidth="1"/>
    <col min="65" max="16370" width="18.61328125" style="18"/>
    <col min="16371" max="16371" width="8.69140625" style="18"/>
    <col min="16372" max="16372" width="18.61328125" style="18"/>
    <col min="16373" max="16384" width="8.69140625" style="18"/>
  </cols>
  <sheetData>
    <row r="1" spans="1:65" s="18" customFormat="1" ht="17.05" customHeight="1" x14ac:dyDescent="0.3">
      <c r="B1" s="26"/>
      <c r="C1" s="27"/>
      <c r="D1" s="28"/>
      <c r="E1" s="28"/>
      <c r="F1" s="29"/>
      <c r="G1" s="30"/>
      <c r="H1" s="21"/>
      <c r="I1" s="23"/>
      <c r="J1" s="24"/>
      <c r="K1" s="24"/>
      <c r="L1" s="23"/>
      <c r="M1" s="23"/>
      <c r="N1" s="23"/>
      <c r="O1" s="31"/>
      <c r="P1" s="23"/>
      <c r="Q1" s="23"/>
      <c r="R1" s="23"/>
      <c r="S1" s="32"/>
      <c r="T1" s="23"/>
      <c r="U1" s="24"/>
      <c r="V1" s="24"/>
      <c r="W1" s="24"/>
      <c r="X1" s="25"/>
      <c r="Z1" s="21"/>
      <c r="AB1" s="20"/>
      <c r="AH1" s="24"/>
      <c r="AV1" s="21"/>
      <c r="AW1" s="21"/>
    </row>
    <row r="2" spans="1:65" s="18" customFormat="1" ht="19" customHeight="1" x14ac:dyDescent="0.3">
      <c r="A2" s="100" t="s">
        <v>0</v>
      </c>
      <c r="B2" s="101" t="s">
        <v>575</v>
      </c>
      <c r="C2" s="101" t="s">
        <v>576</v>
      </c>
      <c r="D2" s="101" t="s">
        <v>577</v>
      </c>
      <c r="E2" s="101" t="s">
        <v>578</v>
      </c>
      <c r="F2" s="101" t="s">
        <v>579</v>
      </c>
      <c r="G2" s="103" t="s">
        <v>4</v>
      </c>
      <c r="H2" s="101" t="s">
        <v>5</v>
      </c>
      <c r="I2" s="95" t="s">
        <v>580</v>
      </c>
      <c r="J2" s="96"/>
      <c r="K2" s="96"/>
      <c r="L2" s="95"/>
      <c r="M2" s="95"/>
      <c r="N2" s="95"/>
      <c r="O2" s="95"/>
      <c r="P2" s="95"/>
      <c r="Q2" s="95"/>
      <c r="R2" s="95"/>
      <c r="S2" s="97"/>
      <c r="T2" s="96"/>
      <c r="U2" s="96"/>
      <c r="V2" s="96"/>
      <c r="W2" s="96"/>
      <c r="X2" s="97"/>
      <c r="Y2" s="90"/>
      <c r="Z2" s="90"/>
      <c r="AA2" s="91" t="s">
        <v>581</v>
      </c>
      <c r="AB2" s="35" t="s">
        <v>582</v>
      </c>
      <c r="AC2" s="36" t="s">
        <v>583</v>
      </c>
      <c r="AD2" s="36" t="s">
        <v>584</v>
      </c>
      <c r="AE2" s="36" t="s">
        <v>585</v>
      </c>
      <c r="AF2" s="36" t="s">
        <v>586</v>
      </c>
      <c r="AG2" s="36" t="s">
        <v>587</v>
      </c>
      <c r="AH2" s="33" t="s">
        <v>588</v>
      </c>
      <c r="AI2" s="8" t="s">
        <v>589</v>
      </c>
      <c r="AJ2" s="8" t="s">
        <v>590</v>
      </c>
      <c r="AK2" s="8" t="s">
        <v>591</v>
      </c>
      <c r="AL2" s="36" t="s">
        <v>592</v>
      </c>
      <c r="AM2" s="36" t="s">
        <v>593</v>
      </c>
      <c r="AN2" s="36" t="s">
        <v>594</v>
      </c>
      <c r="AO2" s="8" t="s">
        <v>595</v>
      </c>
      <c r="AP2" s="35" t="s">
        <v>596</v>
      </c>
      <c r="AQ2" s="8" t="s">
        <v>597</v>
      </c>
      <c r="AR2" s="8" t="s">
        <v>598</v>
      </c>
      <c r="AS2" s="8" t="s">
        <v>599</v>
      </c>
      <c r="AT2" s="8" t="s">
        <v>600</v>
      </c>
      <c r="AU2" s="8" t="s">
        <v>601</v>
      </c>
      <c r="AV2" s="105" t="s">
        <v>602</v>
      </c>
      <c r="AW2" s="105" t="s">
        <v>603</v>
      </c>
      <c r="AX2" s="11"/>
      <c r="AY2" s="98" t="s">
        <v>604</v>
      </c>
      <c r="AZ2" s="98" t="s">
        <v>605</v>
      </c>
      <c r="BA2" s="98"/>
      <c r="BB2" s="98"/>
      <c r="BC2" s="98"/>
      <c r="BD2" s="98"/>
      <c r="BE2" s="98"/>
      <c r="BF2" s="98"/>
      <c r="BG2" s="98"/>
      <c r="BH2" s="98"/>
      <c r="BI2" s="98"/>
      <c r="BJ2" s="99"/>
      <c r="BK2" s="110" t="s">
        <v>606</v>
      </c>
      <c r="BL2" s="112" t="s">
        <v>607</v>
      </c>
      <c r="BM2" s="24"/>
    </row>
    <row r="3" spans="1:65" s="18" customFormat="1" ht="18.45" x14ac:dyDescent="0.3">
      <c r="A3" s="100"/>
      <c r="B3" s="102"/>
      <c r="C3" s="101"/>
      <c r="D3" s="101"/>
      <c r="E3" s="101"/>
      <c r="F3" s="101"/>
      <c r="G3" s="103"/>
      <c r="H3" s="101"/>
      <c r="I3" s="38" t="s">
        <v>608</v>
      </c>
      <c r="J3" s="39" t="s">
        <v>609</v>
      </c>
      <c r="K3" s="39" t="s">
        <v>610</v>
      </c>
      <c r="L3" s="38" t="s">
        <v>611</v>
      </c>
      <c r="M3" s="38" t="s">
        <v>612</v>
      </c>
      <c r="N3" s="38" t="s">
        <v>613</v>
      </c>
      <c r="O3" s="38" t="s">
        <v>614</v>
      </c>
      <c r="P3" s="38" t="s">
        <v>615</v>
      </c>
      <c r="Q3" s="38" t="s">
        <v>616</v>
      </c>
      <c r="R3" s="38" t="s">
        <v>617</v>
      </c>
      <c r="S3" s="40" t="s">
        <v>618</v>
      </c>
      <c r="T3" s="39" t="s">
        <v>619</v>
      </c>
      <c r="U3" s="39" t="s">
        <v>620</v>
      </c>
      <c r="V3" s="39" t="s">
        <v>621</v>
      </c>
      <c r="W3" s="39" t="s">
        <v>622</v>
      </c>
      <c r="X3" s="40" t="s">
        <v>512</v>
      </c>
      <c r="Y3" s="41" t="s">
        <v>623</v>
      </c>
      <c r="Z3" s="34" t="s">
        <v>624</v>
      </c>
      <c r="AA3" s="92"/>
      <c r="AB3" s="42" t="s">
        <v>675</v>
      </c>
      <c r="AC3" s="8">
        <v>74.599999999999994</v>
      </c>
      <c r="AD3" s="8">
        <v>78.540000000000006</v>
      </c>
      <c r="AE3" s="8">
        <v>81.19</v>
      </c>
      <c r="AF3" s="8">
        <v>90</v>
      </c>
      <c r="AG3" s="8">
        <v>72.23</v>
      </c>
      <c r="AH3" s="33">
        <v>99</v>
      </c>
      <c r="AI3" s="8">
        <v>51.17</v>
      </c>
      <c r="AJ3" s="8">
        <v>65.040000000000006</v>
      </c>
      <c r="AK3" s="8">
        <v>71.58</v>
      </c>
      <c r="AL3" s="8">
        <v>52</v>
      </c>
      <c r="AM3" s="8">
        <v>59.44</v>
      </c>
      <c r="AN3" s="8">
        <v>99</v>
      </c>
      <c r="AO3" s="8">
        <v>99</v>
      </c>
      <c r="AP3" s="42">
        <v>57.7</v>
      </c>
      <c r="AQ3" s="8">
        <v>18</v>
      </c>
      <c r="AR3" s="43">
        <v>99.5</v>
      </c>
      <c r="AS3" s="8">
        <v>23.94</v>
      </c>
      <c r="AT3" s="8">
        <v>29</v>
      </c>
      <c r="AU3" s="8"/>
      <c r="AV3" s="105"/>
      <c r="AW3" s="105"/>
      <c r="AX3" s="11"/>
      <c r="AY3" s="98"/>
      <c r="AZ3" s="106" t="s">
        <v>625</v>
      </c>
      <c r="BA3" s="106" t="s">
        <v>626</v>
      </c>
      <c r="BB3" s="2" t="s">
        <v>582</v>
      </c>
      <c r="BC3" s="2" t="s">
        <v>583</v>
      </c>
      <c r="BD3" s="2" t="s">
        <v>584</v>
      </c>
      <c r="BE3" s="2" t="s">
        <v>585</v>
      </c>
      <c r="BF3" s="2" t="s">
        <v>592</v>
      </c>
      <c r="BG3" s="2" t="s">
        <v>593</v>
      </c>
      <c r="BH3" s="106" t="s">
        <v>627</v>
      </c>
      <c r="BI3" s="108" t="s">
        <v>628</v>
      </c>
      <c r="BJ3" s="108" t="s">
        <v>629</v>
      </c>
      <c r="BK3" s="110"/>
      <c r="BL3" s="112"/>
      <c r="BM3" s="24"/>
    </row>
    <row r="4" spans="1:65" s="18" customFormat="1" ht="30" x14ac:dyDescent="0.3">
      <c r="B4" s="45" t="s">
        <v>630</v>
      </c>
      <c r="C4" s="34"/>
      <c r="D4" s="34"/>
      <c r="E4" s="34"/>
      <c r="F4" s="34"/>
      <c r="G4" s="46"/>
      <c r="H4" s="34"/>
      <c r="I4" s="38"/>
      <c r="J4" s="39"/>
      <c r="K4" s="39"/>
      <c r="L4" s="38"/>
      <c r="M4" s="38"/>
      <c r="N4" s="38"/>
      <c r="O4" s="38"/>
      <c r="P4" s="38"/>
      <c r="Q4" s="38"/>
      <c r="R4" s="38"/>
      <c r="S4" s="40"/>
      <c r="T4" s="39"/>
      <c r="U4" s="39"/>
      <c r="V4" s="39"/>
      <c r="W4" s="39"/>
      <c r="X4" s="40"/>
      <c r="Y4" s="41"/>
      <c r="Z4" s="34"/>
      <c r="AA4" s="41"/>
      <c r="AB4" s="47">
        <v>5424.7787610619498</v>
      </c>
      <c r="AC4" s="17">
        <v>6044.2477876106204</v>
      </c>
      <c r="AD4" s="17">
        <v>7730.0884955752199</v>
      </c>
      <c r="AE4" s="17">
        <v>8407.0796460177007</v>
      </c>
      <c r="AF4" s="17">
        <v>16725.663716814201</v>
      </c>
      <c r="AG4" s="17">
        <v>5185.8407079646004</v>
      </c>
      <c r="AH4" s="8">
        <v>22337.168141592902</v>
      </c>
      <c r="AI4" s="17">
        <v>85398.230088495606</v>
      </c>
      <c r="AJ4" s="17">
        <v>215376.10619468999</v>
      </c>
      <c r="AK4" s="17">
        <v>24070.796460177</v>
      </c>
      <c r="AL4" s="17">
        <v>7778.7610619468996</v>
      </c>
      <c r="AM4" s="17">
        <v>14407.079646017701</v>
      </c>
      <c r="AN4" s="17">
        <v>137787.61061946899</v>
      </c>
      <c r="AO4" s="17">
        <v>95982.300884955795</v>
      </c>
      <c r="AP4" s="17">
        <v>272566.371681416</v>
      </c>
      <c r="AQ4" s="17">
        <v>24070.796460177</v>
      </c>
      <c r="AR4" s="17">
        <v>176106.11</v>
      </c>
      <c r="AS4" s="17">
        <v>3443.64</v>
      </c>
      <c r="AT4" s="17">
        <v>3000</v>
      </c>
      <c r="AU4" s="17">
        <v>0</v>
      </c>
      <c r="AV4" s="105"/>
      <c r="AW4" s="105"/>
      <c r="AX4" s="11"/>
      <c r="AY4" s="98"/>
      <c r="AZ4" s="107"/>
      <c r="BA4" s="107"/>
      <c r="BB4" s="4">
        <v>1.72</v>
      </c>
      <c r="BC4" s="4">
        <v>6.69</v>
      </c>
      <c r="BD4" s="4">
        <v>1.5</v>
      </c>
      <c r="BE4" s="5">
        <v>0.64</v>
      </c>
      <c r="BF4" s="2">
        <v>10</v>
      </c>
      <c r="BG4" s="9">
        <v>0.12</v>
      </c>
      <c r="BH4" s="107"/>
      <c r="BI4" s="109"/>
      <c r="BJ4" s="109"/>
      <c r="BK4" s="111"/>
      <c r="BL4" s="112"/>
      <c r="BM4" s="49"/>
    </row>
    <row r="5" spans="1:65" s="18" customFormat="1" x14ac:dyDescent="0.3">
      <c r="A5" s="21">
        <v>1</v>
      </c>
      <c r="B5" s="4" t="s">
        <v>22</v>
      </c>
      <c r="C5" s="4" t="s">
        <v>23</v>
      </c>
      <c r="D5" s="4">
        <v>1.5</v>
      </c>
      <c r="E5" s="4">
        <v>12</v>
      </c>
      <c r="F5" s="4" t="s">
        <v>24</v>
      </c>
      <c r="G5" s="50" t="s">
        <v>25</v>
      </c>
      <c r="H5" s="4">
        <v>1527</v>
      </c>
      <c r="I5" s="51">
        <v>7.0000000000000007E-2</v>
      </c>
      <c r="J5" s="52">
        <v>0.15</v>
      </c>
      <c r="K5" s="52">
        <v>0.25</v>
      </c>
      <c r="L5" s="51">
        <v>0.02</v>
      </c>
      <c r="M5" s="51">
        <v>1.4999999999999999E-2</v>
      </c>
      <c r="N5" s="51"/>
      <c r="O5" s="51"/>
      <c r="P5" s="51">
        <v>0.01</v>
      </c>
      <c r="Q5" s="51">
        <v>0.01</v>
      </c>
      <c r="R5" s="51"/>
      <c r="S5" s="32"/>
      <c r="T5" s="52"/>
      <c r="U5" s="52"/>
      <c r="V5" s="52"/>
      <c r="W5" s="52"/>
      <c r="X5" s="32"/>
      <c r="Y5" s="53"/>
      <c r="Z5" s="4">
        <v>60</v>
      </c>
      <c r="AA5" s="53"/>
      <c r="AB5" s="42">
        <f>IF(J5&lt;=0.04,0,IF((BA5-AL5*BF$4*炼钢参数表!$X$5/1000-AM5*BG$4*炼钢参数表!$X$5/1000)&lt;=0.03,0,IF((J5/100/0.1769/炼钢参数表!K5*1000)&gt;(K5-炼钢参数表!J5)/100/0.6566/炼钢参数表!L5*1000,IF(K5&lt;1.6,(K5-炼钢参数表!J5)/100/0.6566/炼钢参数表!L5*1000,(K5-0.08-炼钢参数表!J5)/100/0.6566/炼钢参数表!L5*1000),IF(K5&lt;1.6,J5/100/0.1769/炼钢参数表!K5*1000,(J5-0.08)/100/0.1769/炼钢参数表!K5*1000))))</f>
        <v>0</v>
      </c>
      <c r="AC5" s="8">
        <f>IF((BA5-AB5*$BB$4*0.9/1000-AL5*BF$4*炼钢参数表!$X$5/1000-AM5*BG$4*炼钢参数表!$X$5/1000)&lt;(K5-炼钢参数表!J5-AB5*0.6566*炼钢参数表!L5/10)*0.082,0,(K5-炼钢参数表!J5-AB5*0.6566*炼钢参数表!L5/10)/100/($AC$3/100)/炼钢参数表!L5*1000)</f>
        <v>2.0107238605898101</v>
      </c>
      <c r="AD5" s="8">
        <f>IF((BA5-AB5*$BB$4*0.9/1000-AC5*$BC$4*0.9/1000-AL5*BF$4*炼钢参数表!$X$5/1000-AM5*BG$4*炼钢参数表!$X$5/1000)&lt;=(K5-炼钢参数表!J5-AB5*0.6566*炼钢参数表!L5/10-AC5*($AC$3/100)*炼钢参数表!L5/10)*0.02,0,((K5-炼钢参数表!J5-AB5*0.6566*炼钢参数表!L5/10-AC5*($AC$3/100)*炼钢参数表!L5/10)/100/($AD$3/100)/炼钢参数表!L5*1000))</f>
        <v>0</v>
      </c>
      <c r="AE5" s="8">
        <f>(K5-炼钢参数表!J5-AB5*0.6566*炼钢参数表!L5/10-AC5*($AC$3/100)*炼钢参数表!L5/10-AD5*($AD$3/100)*炼钢参数表!L5/10)/100/($AE$3/100)/炼钢参数表!L5*1000</f>
        <v>0</v>
      </c>
      <c r="AF5" s="8">
        <v>0</v>
      </c>
      <c r="AG5" s="8">
        <f>IF(J5&lt;=0.04,0,((J5-(AB5*0.1769*炼钢参数表!K5/1000*100))/100/炼钢参数表!K5/($AG$3/100)*1000))</f>
        <v>2.7689325764917601</v>
      </c>
      <c r="AH5" s="8">
        <v>1.45</v>
      </c>
      <c r="AI5" s="8">
        <f>IF(N5="",0,IF(N5&lt;=0.002,0,((N5)/100)/($AI$3/100)/炼钢参数表!M5*1000))</f>
        <v>0</v>
      </c>
      <c r="AJ5" s="8">
        <f>IF(O5="",0,IF(O5&lt;=0.002,0,((O5)/100)/($AJ$3/100)/炼钢参数表!N5*1000))</f>
        <v>0</v>
      </c>
      <c r="AK5" s="8">
        <f>IF(P5="",0,IF(P5&lt;=0.002,0,((P5+0.005)/100)/($AK$3/100)/炼钢参数表!O5*1000))</f>
        <v>0.29936534546760901</v>
      </c>
      <c r="AL5" s="8">
        <f>IF((BA5-J5*0.00003-K5*0.00024)&lt;=0.05,0,IF(T5="",0,IF(T5&lt;=0.03,0,IF(((BA5-J5*0.00003-K5*0.00024)-0.05)/0.18/100/($AL$3/100)/炼钢参数表!P5*1000&lt;=T5/100/($AL$3/100)/炼钢参数表!P5*1000,((BA5-J5*0.00003-K5*0.00024)-0.05)/0.18/100/($AL$3/100)/炼钢参数表!P5*1000,T5/100/($AL$3/100)/炼钢参数表!P5*1000))))</f>
        <v>0</v>
      </c>
      <c r="AM5" s="8">
        <f>IF(T5="",0,IF(T5&lt;=0.03,0,((T5-AL5*($AL$3/100)*炼钢参数表!P5/10)/100/($AM$3/100)/炼钢参数表!P5*1000)))</f>
        <v>0</v>
      </c>
      <c r="AN5" s="8">
        <f>IF(U5="",0,IF(U5&lt;=0.02,0,(U5/100)/($AN$3/100)/炼钢参数表!Q5*1000))</f>
        <v>0</v>
      </c>
      <c r="AO5" s="8">
        <f>IF(V5="",0,IF(V5&lt;=0.02,0,(V5/100)/($AO$3/100)/炼钢参数表!R5*1000))</f>
        <v>0</v>
      </c>
      <c r="AP5" s="8">
        <f>IF(W5="",0,IF(W5&lt;=0.02,0,(W5/100)/($AP$3/100)/炼钢参数表!S5*1000))</f>
        <v>0</v>
      </c>
      <c r="AQ5" s="8">
        <f>IF(X5="",0,IF(X5&lt;=0.0002,0,(X5/100)/($AQ$3/100)/炼钢参数表!T5*1000))</f>
        <v>0</v>
      </c>
      <c r="AR5" s="8">
        <f>IF(Y5="",0,IF(Y5&lt;=0.02,0,(Y5/100)/($AR$3/100)/炼钢参数表!U5*1000))</f>
        <v>0</v>
      </c>
      <c r="AS5" s="8">
        <f>IF(L5&lt;=0.04,0,((L5-0.04)/100)/($AS$3/100)/炼钢参数表!V5*1000)</f>
        <v>0</v>
      </c>
      <c r="AT5" s="8">
        <f>IF(M5&lt;=0.03,0,((M5-0.03)/100)/($AT$3/100)/炼钢参数表!W5*1000)</f>
        <v>0</v>
      </c>
      <c r="AU5" s="6"/>
      <c r="AV5" s="8">
        <f>SUM(AB5:AU5)</f>
        <v>6.5290217825491803</v>
      </c>
      <c r="AW5" s="8" cm="1">
        <f t="array" ref="AW5">SUMPRODUCT($AB$4:$AU$4,AB5:AU5)/1000</f>
        <v>66.1074126219372</v>
      </c>
      <c r="AX5" s="11"/>
      <c r="AY5" s="2" t="str">
        <f>F5</f>
        <v>Q195-1</v>
      </c>
      <c r="AZ5" s="37">
        <f>VLOOKUP(AY5,炼钢参数表!$F$5:$J$1027,4,0)</f>
        <v>4.1666666666666699E-2</v>
      </c>
      <c r="BA5" s="37">
        <f>I5-AZ5</f>
        <v>2.8333333333333301E-2</v>
      </c>
      <c r="BB5" s="37">
        <f>AB5*$BB$4*炼钢参数表!$X$5/1000</f>
        <v>0</v>
      </c>
      <c r="BC5" s="37">
        <f>AC5*$BC$4*炼钢参数表!$X$5/1000</f>
        <v>1.2106568364611299E-2</v>
      </c>
      <c r="BD5" s="37">
        <f>AD5*$BD$4*炼钢参数表!$X$5/1000</f>
        <v>0</v>
      </c>
      <c r="BE5" s="37">
        <f>AE5*$BE$4*炼钢参数表!$X$5/1000</f>
        <v>0</v>
      </c>
      <c r="BF5" s="37">
        <f>AL5*$BF$4*炼钢参数表!$X$5/1000</f>
        <v>0</v>
      </c>
      <c r="BG5" s="37">
        <f>AM5*$BG$4*炼钢参数表!$X$5/1000</f>
        <v>0</v>
      </c>
      <c r="BH5" s="37">
        <f>SUM(BB5:BG5)</f>
        <v>1.2106568364611299E-2</v>
      </c>
      <c r="BI5" s="37">
        <f>AZ5+BH5</f>
        <v>5.3773235031277997E-2</v>
      </c>
      <c r="BJ5" s="37">
        <f>BI5-I5</f>
        <v>-1.6226764968722E-2</v>
      </c>
      <c r="BK5" s="54"/>
      <c r="BL5" s="7"/>
    </row>
    <row r="6" spans="1:65" s="18" customFormat="1" x14ac:dyDescent="0.3">
      <c r="A6" s="21">
        <v>2</v>
      </c>
      <c r="B6" s="4" t="s">
        <v>22</v>
      </c>
      <c r="C6" s="4" t="s">
        <v>26</v>
      </c>
      <c r="D6" s="4">
        <v>12.01</v>
      </c>
      <c r="E6" s="4">
        <v>28</v>
      </c>
      <c r="F6" s="4" t="s">
        <v>27</v>
      </c>
      <c r="G6" s="50" t="s">
        <v>25</v>
      </c>
      <c r="H6" s="4">
        <v>1527</v>
      </c>
      <c r="I6" s="51">
        <v>7.0000000000000007E-2</v>
      </c>
      <c r="J6" s="52">
        <v>0.15</v>
      </c>
      <c r="K6" s="52">
        <v>0.32</v>
      </c>
      <c r="L6" s="51">
        <v>0.02</v>
      </c>
      <c r="M6" s="51">
        <v>1.4999999999999999E-2</v>
      </c>
      <c r="N6" s="51"/>
      <c r="O6" s="51" t="s">
        <v>631</v>
      </c>
      <c r="P6" s="51" t="s">
        <v>631</v>
      </c>
      <c r="Q6" s="51">
        <v>0.01</v>
      </c>
      <c r="R6" s="51" t="s">
        <v>631</v>
      </c>
      <c r="S6" s="32"/>
      <c r="T6" s="52"/>
      <c r="U6" s="52"/>
      <c r="V6" s="52"/>
      <c r="W6" s="52" t="s">
        <v>631</v>
      </c>
      <c r="X6" s="32" t="s">
        <v>631</v>
      </c>
      <c r="Y6" s="53" t="s">
        <v>631</v>
      </c>
      <c r="Z6" s="4">
        <v>60</v>
      </c>
      <c r="AA6" s="53"/>
      <c r="AB6" s="42">
        <f>IF(J6&lt;=0.04,0,IF((BA6-AL6*BF$4*炼钢参数表!$X$5/1000-AM6*BG$4*炼钢参数表!$X$5/1000)&lt;=0.03,0,IF((J6/100/0.1769/炼钢参数表!K6*1000)&gt;(K6-炼钢参数表!J6)/100/0.6566/炼钢参数表!L6*1000,IF(K6&lt;1.6,(K6-炼钢参数表!J6)/100/0.6566/炼钢参数表!L6*1000,(K6-0.08-炼钢参数表!J6)/100/0.6566/炼钢参数表!L6*1000),IF(K6&lt;1.6,J6/100/0.1769/炼钢参数表!K6*1000,(J6-0.08)/100/0.1769/炼钢参数表!K6*1000))))</f>
        <v>0</v>
      </c>
      <c r="AC6" s="8">
        <f>IF((BA6-AB6*$BB$4*0.9/1000-AL6*BF$4*炼钢参数表!$X$5/1000-AM6*BG$4*炼钢参数表!$X$5/1000)&lt;(K6-炼钢参数表!J6-AB6*0.6566*炼钢参数表!L6/10)*0.082,0,(K6-炼钢参数表!J6-AB6*0.6566*炼钢参数表!L6/10)/100/($AC$3/100)/炼钢参数表!L6*1000)</f>
        <v>2.96821141325163</v>
      </c>
      <c r="AD6" s="8">
        <f>IF((BA6-AB6*$BB$4*0.9/1000-AC6*$BC$4*0.9/1000-AL6*BF$4*炼钢参数表!$X$5/1000-AM6*BG$4*炼钢参数表!$X$5/1000)&lt;=(K6-炼钢参数表!J6-AB6*0.6566*炼钢参数表!L6/10-AC6*($AC$3/100)*炼钢参数表!L6/10)*0.02,0,((K6-炼钢参数表!J6-AB6*0.6566*炼钢参数表!L6/10-AC6*($AC$3/100)*炼钢参数表!L6/10)/100/($AD$3/100)/炼钢参数表!L6*1000))</f>
        <v>0</v>
      </c>
      <c r="AE6" s="8">
        <f>(K6-炼钢参数表!J6-AB6*0.6566*炼钢参数表!L6/10-AC6*($AC$3/100)*炼钢参数表!L6/10-AD6*($AD$3/100)*炼钢参数表!L6/10)/100/($AE$3/100)/炼钢参数表!L6*1000</f>
        <v>0</v>
      </c>
      <c r="AF6" s="8">
        <v>0</v>
      </c>
      <c r="AG6" s="8">
        <f>IF(J6&lt;=0.04,0,((J6-(AB6*0.1769*炼钢参数表!K6/1000*100))/100/炼钢参数表!K6/($AG$3/100)*1000))</f>
        <v>2.7689325764917601</v>
      </c>
      <c r="AH6" s="8">
        <v>1.45</v>
      </c>
      <c r="AI6" s="8">
        <f>IF(N6="",0,IF(N6&lt;=0.002,0,((N6)/100)/($AI$3/100)/炼钢参数表!M6*1000))</f>
        <v>0</v>
      </c>
      <c r="AJ6" s="8">
        <f>IF(O6="",0,IF(O6&lt;=0.002,0,((O6)/100)/($AJ$3/100)/炼钢参数表!N6*1000))</f>
        <v>0</v>
      </c>
      <c r="AK6" s="8">
        <f>IF(P6="",0,IF(P6&lt;=0.002,0,((P6+0.005)/100)/($AK$3/100)/炼钢参数表!O6*1000))</f>
        <v>0</v>
      </c>
      <c r="AL6" s="8">
        <f>IF((BA6-J6*0.00003-K6*0.00024)&lt;=0.05,0,IF(T6="",0,IF(T6&lt;=0.03,0,IF(((BA6-J6*0.00003-K6*0.00024)-0.05)/0.18/100/($AL$3/100)/炼钢参数表!P6*1000&lt;=T6/100/($AL$3/100)/炼钢参数表!P6*1000,((BA6-J6*0.00003-K6*0.00024)-0.05)/0.18/100/($AL$3/100)/炼钢参数表!P6*1000,T6/100/($AL$3/100)/炼钢参数表!P6*1000))))</f>
        <v>0</v>
      </c>
      <c r="AM6" s="8">
        <f>IF(T6="",0,IF(T6&lt;=0.03,0,((T6-AL6*($AL$3/100)*炼钢参数表!P6/10)/100/($AM$3/100)/炼钢参数表!P6*1000)))</f>
        <v>0</v>
      </c>
      <c r="AN6" s="8">
        <f>IF(U6="",0,IF(U6&lt;=0.02,0,(U6/100)/($AN$3/100)/炼钢参数表!Q6*1000))</f>
        <v>0</v>
      </c>
      <c r="AO6" s="8">
        <f>IF(V6="",0,IF(V6&lt;=0.02,0,(V6/100)/($AO$3/100)/炼钢参数表!R6*1000))</f>
        <v>0</v>
      </c>
      <c r="AP6" s="8">
        <f>IF(W6="",0,IF(W6&lt;=0.02,0,(W6/100)/($AP$3/100)/炼钢参数表!S6*1000))</f>
        <v>0</v>
      </c>
      <c r="AQ6" s="8">
        <f>IF(X6="",0,IF(X6&lt;=0.0002,0,(X6/100)/($AQ$3/100)/炼钢参数表!T6*1000))</f>
        <v>0</v>
      </c>
      <c r="AR6" s="8">
        <f>IF(Y6="",0,IF(Y6&lt;=0.02,0,(Y6/100)/($AR$3/100)/炼钢参数表!U6*1000))</f>
        <v>0</v>
      </c>
      <c r="AS6" s="8">
        <f>IF(L6&lt;=0.04,0,((L6-0.04)/100)/($AS$3/100)/炼钢参数表!V6*1000)</f>
        <v>0</v>
      </c>
      <c r="AT6" s="8">
        <f>IF(M6&lt;=0.03,0,((M6-0.03)/100)/($AT$3/100)/炼钢参数表!W6*1000)</f>
        <v>0</v>
      </c>
      <c r="AU6" s="6"/>
      <c r="AV6" s="8">
        <f t="shared" ref="AV6:AV69" si="0">SUM(AB6:AU6)</f>
        <v>7.1871439897433902</v>
      </c>
      <c r="AW6" s="8" cm="1">
        <f t="array" ref="AW6">SUMPRODUCT($AB$4:$AU$4,AB6:AU6)/1000</f>
        <v>64.688742345796697</v>
      </c>
      <c r="AX6" s="11"/>
      <c r="AY6" s="2" t="str">
        <f t="shared" ref="AY6:AY69" si="1">F6</f>
        <v>Q195-2</v>
      </c>
      <c r="AZ6" s="37">
        <f>VLOOKUP(AY6,炼钢参数表!$F$5:$J$1027,4,0)</f>
        <v>4.1666666666666699E-2</v>
      </c>
      <c r="BA6" s="37">
        <f t="shared" ref="BA6:BA69" si="2">I6-AZ6</f>
        <v>2.8333333333333301E-2</v>
      </c>
      <c r="BB6" s="37">
        <f>AB6*$BB$4*炼钢参数表!$X$5/1000</f>
        <v>0</v>
      </c>
      <c r="BC6" s="37">
        <f>AC6*$BC$4*炼钢参数表!$X$5/1000</f>
        <v>1.7871600919188001E-2</v>
      </c>
      <c r="BD6" s="37">
        <f>AD6*$BD$4*炼钢参数表!$X$5/1000</f>
        <v>0</v>
      </c>
      <c r="BE6" s="37">
        <f>AE6*$BE$4*炼钢参数表!$X$5/1000</f>
        <v>0</v>
      </c>
      <c r="BF6" s="37">
        <f>AL6*$BF$4*炼钢参数表!$X$5/1000</f>
        <v>0</v>
      </c>
      <c r="BG6" s="37">
        <f>AM6*$BG$4*炼钢参数表!$X$5/1000</f>
        <v>0</v>
      </c>
      <c r="BH6" s="37">
        <f t="shared" ref="BH6:BH69" si="3">SUM(BB6:BG6)</f>
        <v>1.7871600919188001E-2</v>
      </c>
      <c r="BI6" s="37">
        <f t="shared" ref="BI6:BI69" si="4">AZ6+BH6</f>
        <v>5.9538267585854697E-2</v>
      </c>
      <c r="BJ6" s="37">
        <f t="shared" ref="BJ6:BJ69" si="5">BI6-I6</f>
        <v>-1.0461732414145299E-2</v>
      </c>
      <c r="BK6" s="54"/>
      <c r="BL6" s="7"/>
    </row>
    <row r="7" spans="1:65" s="18" customFormat="1" x14ac:dyDescent="0.3">
      <c r="A7" s="21">
        <v>3</v>
      </c>
      <c r="B7" s="4" t="s">
        <v>28</v>
      </c>
      <c r="C7" s="4" t="s">
        <v>23</v>
      </c>
      <c r="D7" s="4">
        <v>1.45</v>
      </c>
      <c r="E7" s="4">
        <v>12</v>
      </c>
      <c r="F7" s="4" t="s">
        <v>29</v>
      </c>
      <c r="G7" s="50" t="s">
        <v>30</v>
      </c>
      <c r="H7" s="4">
        <v>1519</v>
      </c>
      <c r="I7" s="51">
        <v>0.16</v>
      </c>
      <c r="J7" s="52">
        <v>0.08</v>
      </c>
      <c r="K7" s="52">
        <v>0.23</v>
      </c>
      <c r="L7" s="51">
        <v>2.5000000000000001E-2</v>
      </c>
      <c r="M7" s="51">
        <v>0.02</v>
      </c>
      <c r="N7" s="51"/>
      <c r="O7" s="51" t="s">
        <v>631</v>
      </c>
      <c r="P7" s="51" t="s">
        <v>631</v>
      </c>
      <c r="Q7" s="51">
        <v>0.01</v>
      </c>
      <c r="R7" s="51" t="s">
        <v>631</v>
      </c>
      <c r="S7" s="32" t="s">
        <v>631</v>
      </c>
      <c r="T7" s="52"/>
      <c r="U7" s="52"/>
      <c r="V7" s="52"/>
      <c r="W7" s="52" t="s">
        <v>631</v>
      </c>
      <c r="X7" s="32" t="s">
        <v>631</v>
      </c>
      <c r="Y7" s="53" t="s">
        <v>631</v>
      </c>
      <c r="Z7" s="4" t="s">
        <v>631</v>
      </c>
      <c r="AA7" s="53"/>
      <c r="AB7" s="42">
        <f>IF(J7&lt;=0.04,0,IF((BA7-AL7*BF$4*炼钢参数表!$X$5/1000-AM7*BG$4*炼钢参数表!$X$5/1000)&lt;=0.03,0,IF((J7/100/0.1769/炼钢参数表!K7*1000)&gt;(K7-炼钢参数表!J7)/100/0.6566/炼钢参数表!L7*1000,IF(K7&lt;1.6,(K7-炼钢参数表!J7)/100/0.6566/炼钢参数表!L7*1000,(K7-0.08-炼钢参数表!J7)/100/0.6566/炼钢参数表!L7*1000),IF(K7&lt;1.6,J7/100/0.1769/炼钢参数表!K7*1000,(J7-0.08)/100/0.1769/炼钢参数表!K7*1000))))</f>
        <v>1.67386266192655</v>
      </c>
      <c r="AC7" s="8">
        <f>IF((BA7-AB7*$BB$4*0.9/1000-AL7*BF$4*炼钢参数表!$X$5/1000-AM7*BG$4*炼钢参数表!$X$5/1000)&lt;(K7-炼钢参数表!J7-AB7*0.6566*炼钢参数表!L7/10)*0.082,0,(K7-炼钢参数表!J7-AB7*0.6566*炼钢参数表!L7/10)/100/($AC$3/100)/炼钢参数表!L7*1000)</f>
        <v>0</v>
      </c>
      <c r="AD7" s="8">
        <f>IF((BA7-AB7*$BB$4*0.9/1000-AC7*$BC$4*0.9/1000-AL7*BF$4*炼钢参数表!$X$5/1000-AM7*BG$4*炼钢参数表!$X$5/1000)&lt;=(K7-炼钢参数表!J7-AB7*0.6566*炼钢参数表!L7/10-AC7*($AC$3/100)*炼钢参数表!L7/10)*0.02,0,((K7-炼钢参数表!J7-AB7*0.6566*炼钢参数表!L7/10-AC7*($AC$3/100)*炼钢参数表!L7/10)/100/($AD$3/100)/炼钢参数表!L7*1000))</f>
        <v>0</v>
      </c>
      <c r="AE7" s="8">
        <f>(K7-炼钢参数表!J7-AB7*0.6566*炼钢参数表!L7/10-AC7*($AC$3/100)*炼钢参数表!L7/10-AD7*($AD$3/100)*炼钢参数表!L7/10)/100/($AE$3/100)/炼钢参数表!L7*1000</f>
        <v>0</v>
      </c>
      <c r="AF7" s="8">
        <v>0</v>
      </c>
      <c r="AG7" s="8">
        <f>IF(J7&lt;=0.04,0,((J7-(AB7*0.1769*炼钢参数表!K7/1000*100))/100/炼钢参数表!K7/($AG$3/100)*1000))</f>
        <v>1.06681484393169</v>
      </c>
      <c r="AH7" s="8">
        <v>1.20222580696115</v>
      </c>
      <c r="AI7" s="8">
        <f>IF(N7="",0,IF(N7&lt;=0.002,0,((N7)/100)/($AI$3/100)/炼钢参数表!M7*1000))</f>
        <v>0</v>
      </c>
      <c r="AJ7" s="8">
        <f>IF(O7="",0,IF(O7&lt;=0.002,0,((O7)/100)/($AJ$3/100)/炼钢参数表!N7*1000))</f>
        <v>0</v>
      </c>
      <c r="AK7" s="8">
        <f>IF(P7="",0,IF(P7&lt;=0.002,0,((P7+0.005)/100)/($AK$3/100)/炼钢参数表!O7*1000))</f>
        <v>0</v>
      </c>
      <c r="AL7" s="8">
        <f>IF((BA7-J7*0.00003-K7*0.00024)&lt;=0.05,0,IF(T7="",0,IF(T7&lt;=0.03,0,IF(((BA7-J7*0.00003-K7*0.00024)-0.05)/0.18/100/($AL$3/100)/炼钢参数表!P7*1000&lt;=T7/100/($AL$3/100)/炼钢参数表!P7*1000,((BA7-J7*0.00003-K7*0.00024)-0.05)/0.18/100/($AL$3/100)/炼钢参数表!P7*1000,T7/100/($AL$3/100)/炼钢参数表!P7*1000))))</f>
        <v>0</v>
      </c>
      <c r="AM7" s="8">
        <f>IF(T7="",0,IF(T7&lt;=0.03,0,((T7-AL7*($AL$3/100)*炼钢参数表!P7/10)/100/($AM$3/100)/炼钢参数表!P7*1000)))</f>
        <v>0</v>
      </c>
      <c r="AN7" s="8">
        <f>IF(U7="",0,IF(U7&lt;=0.02,0,(U7/100)/($AN$3/100)/炼钢参数表!Q7*1000))</f>
        <v>0</v>
      </c>
      <c r="AO7" s="8">
        <f>IF(V7="",0,IF(V7&lt;=0.02,0,(V7/100)/($AO$3/100)/炼钢参数表!R7*1000))</f>
        <v>0</v>
      </c>
      <c r="AP7" s="8">
        <f>IF(W7="",0,IF(W7&lt;=0.02,0,(W7/100)/($AP$3/100)/炼钢参数表!S7*1000))</f>
        <v>0</v>
      </c>
      <c r="AQ7" s="8">
        <f>IF(X7="",0,IF(X7&lt;=0.0002,0,(X7/100)/($AQ$3/100)/炼钢参数表!T7*1000))</f>
        <v>0</v>
      </c>
      <c r="AR7" s="8">
        <f>IF(Y7="",0,IF(Y7&lt;=0.02,0,(Y7/100)/($AR$3/100)/炼钢参数表!U7*1000))</f>
        <v>0</v>
      </c>
      <c r="AS7" s="8">
        <f>IF(L7&lt;=0.04,0,((L7-0.04)/100)/($AS$3/100)/炼钢参数表!V7*1000)</f>
        <v>0</v>
      </c>
      <c r="AT7" s="8">
        <f>IF(M7&lt;=0.03,0,((M7-0.03)/100)/($AT$3/100)/炼钢参数表!W7*1000)</f>
        <v>0</v>
      </c>
      <c r="AU7" s="6"/>
      <c r="AV7" s="8">
        <f t="shared" si="0"/>
        <v>3.9429033128193902</v>
      </c>
      <c r="AW7" s="8" cm="1">
        <f t="array" ref="AW7">SUMPRODUCT($AB$4:$AU$4,AB7:AU7)/1000</f>
        <v>41.466986457129003</v>
      </c>
      <c r="AX7" s="11"/>
      <c r="AY7" s="2" t="str">
        <f t="shared" si="1"/>
        <v>Q235B-1</v>
      </c>
      <c r="AZ7" s="37">
        <f>VLOOKUP(AY7,炼钢参数表!$F$5:$J$1027,4,0)</f>
        <v>7.2936669619131894E-2</v>
      </c>
      <c r="BA7" s="37">
        <f t="shared" si="2"/>
        <v>8.7063330380868095E-2</v>
      </c>
      <c r="BB7" s="37">
        <f>AB7*$BB$4*炼钢参数表!$X$5/1000</f>
        <v>2.5911394006622899E-3</v>
      </c>
      <c r="BC7" s="37">
        <f>AC7*$BC$4*炼钢参数表!$X$5/1000</f>
        <v>0</v>
      </c>
      <c r="BD7" s="37">
        <f>AD7*$BD$4*炼钢参数表!$X$5/1000</f>
        <v>0</v>
      </c>
      <c r="BE7" s="37">
        <f>AE7*$BE$4*炼钢参数表!$X$5/1000</f>
        <v>0</v>
      </c>
      <c r="BF7" s="37">
        <f>AL7*$BF$4*炼钢参数表!$X$5/1000</f>
        <v>0</v>
      </c>
      <c r="BG7" s="37">
        <f>AM7*$BG$4*炼钢参数表!$X$5/1000</f>
        <v>0</v>
      </c>
      <c r="BH7" s="37">
        <f t="shared" si="3"/>
        <v>2.5911394006622899E-3</v>
      </c>
      <c r="BI7" s="37">
        <f t="shared" si="4"/>
        <v>7.5527809019794195E-2</v>
      </c>
      <c r="BJ7" s="37">
        <f t="shared" si="5"/>
        <v>-8.4472190980205794E-2</v>
      </c>
      <c r="BK7" s="54"/>
      <c r="BL7" s="7"/>
    </row>
    <row r="8" spans="1:65" s="18" customFormat="1" x14ac:dyDescent="0.3">
      <c r="A8" s="21">
        <v>4</v>
      </c>
      <c r="B8" s="4" t="s">
        <v>28</v>
      </c>
      <c r="C8" s="4" t="s">
        <v>26</v>
      </c>
      <c r="D8" s="4">
        <v>12.01</v>
      </c>
      <c r="E8" s="4">
        <v>28</v>
      </c>
      <c r="F8" s="4" t="s">
        <v>31</v>
      </c>
      <c r="G8" s="50" t="s">
        <v>30</v>
      </c>
      <c r="H8" s="4">
        <v>1519</v>
      </c>
      <c r="I8" s="51">
        <v>0.16</v>
      </c>
      <c r="J8" s="52">
        <v>0.08</v>
      </c>
      <c r="K8" s="52">
        <v>0.38</v>
      </c>
      <c r="L8" s="51">
        <v>2.5000000000000001E-2</v>
      </c>
      <c r="M8" s="51">
        <v>0.02</v>
      </c>
      <c r="N8" s="51"/>
      <c r="O8" s="51" t="s">
        <v>631</v>
      </c>
      <c r="P8" s="51" t="s">
        <v>631</v>
      </c>
      <c r="Q8" s="51">
        <v>0.01</v>
      </c>
      <c r="R8" s="51" t="s">
        <v>631</v>
      </c>
      <c r="S8" s="32" t="s">
        <v>631</v>
      </c>
      <c r="T8" s="52"/>
      <c r="U8" s="52"/>
      <c r="V8" s="52"/>
      <c r="W8" s="52" t="s">
        <v>631</v>
      </c>
      <c r="X8" s="32" t="s">
        <v>631</v>
      </c>
      <c r="Y8" s="53" t="s">
        <v>631</v>
      </c>
      <c r="Z8" s="4" t="s">
        <v>631</v>
      </c>
      <c r="AA8" s="53"/>
      <c r="AB8" s="42">
        <f>IF(J8&lt;=0.04,0,IF((BA8-AL8*BF$4*炼钢参数表!$X$5/1000-AM8*BG$4*炼钢参数表!$X$5/1000)&lt;=0.03,0,IF((J8/100/0.1769/炼钢参数表!K8*1000)&gt;(K8-炼钢参数表!J8)/100/0.6566/炼钢参数表!L8*1000,IF(K8&lt;1.6,(K8-炼钢参数表!J8)/100/0.6566/炼钢参数表!L8*1000,(K8-0.08-炼钢参数表!J8)/100/0.6566/炼钢参数表!L8*1000),IF(K8&lt;1.6,J8/100/0.1769/炼钢参数表!K8*1000,(J8-0.08)/100/0.1769/炼钢参数表!K8*1000))))</f>
        <v>3.9995096653689899</v>
      </c>
      <c r="AC8" s="8">
        <f>IF((BA8-AB8*$BB$4*0.9/1000-AL8*BF$4*炼钢参数表!$X$5/1000-AM8*BG$4*炼钢参数表!$X$5/1000)&lt;(K8-炼钢参数表!J8-AB8*0.6566*炼钢参数表!L8/10)*0.082,0,(K8-炼钢参数表!J8-AB8*0.6566*炼钢参数表!L8/10)/100/($AC$3/100)/炼钢参数表!L8*1000)</f>
        <v>0</v>
      </c>
      <c r="AD8" s="8">
        <f>IF((BA8-AB8*$BB$4*0.9/1000-AC8*$BC$4*0.9/1000-AL8*BF$4*炼钢参数表!$X$5/1000-AM8*BG$4*炼钢参数表!$X$5/1000)&lt;=(K8-炼钢参数表!J8-AB8*0.6566*炼钢参数表!L8/10-AC8*($AC$3/100)*炼钢参数表!L8/10)*0.02,0,((K8-炼钢参数表!J8-AB8*0.6566*炼钢参数表!L8/10-AC8*($AC$3/100)*炼钢参数表!L8/10)/100/($AD$3/100)/炼钢参数表!L8*1000))</f>
        <v>0</v>
      </c>
      <c r="AE8" s="8">
        <f>(K8-炼钢参数表!J8-AB8*0.6566*炼钢参数表!L8/10-AC8*($AC$3/100)*炼钢参数表!L8/10-AD8*($AD$3/100)*炼钢参数表!L8/10)/100/($AE$3/100)/炼钢参数表!L8*1000</f>
        <v>0</v>
      </c>
      <c r="AF8" s="8">
        <v>0</v>
      </c>
      <c r="AG8" s="8">
        <f>IF(J8&lt;=0.04,0,((J8-(AB8*0.1769*炼钢参数表!K8/1000*100))/100/炼钢参数表!K8/($AG$3/100)*1000))</f>
        <v>0.49723578411033198</v>
      </c>
      <c r="AH8" s="8">
        <v>1.2</v>
      </c>
      <c r="AI8" s="8">
        <f>IF(N8="",0,IF(N8&lt;=0.002,0,((N8)/100)/($AI$3/100)/炼钢参数表!M8*1000))</f>
        <v>0</v>
      </c>
      <c r="AJ8" s="8">
        <f>IF(O8="",0,IF(O8&lt;=0.002,0,((O8)/100)/($AJ$3/100)/炼钢参数表!N8*1000))</f>
        <v>0</v>
      </c>
      <c r="AK8" s="8">
        <f>IF(P8="",0,IF(P8&lt;=0.002,0,((P8+0.005)/100)/($AK$3/100)/炼钢参数表!O8*1000))</f>
        <v>0</v>
      </c>
      <c r="AL8" s="8">
        <f>IF((BA8-J8*0.00003-K8*0.00024)&lt;=0.05,0,IF(T8="",0,IF(T8&lt;=0.03,0,IF(((BA8-J8*0.00003-K8*0.00024)-0.05)/0.18/100/($AL$3/100)/炼钢参数表!P8*1000&lt;=T8/100/($AL$3/100)/炼钢参数表!P8*1000,((BA8-J8*0.00003-K8*0.00024)-0.05)/0.18/100/($AL$3/100)/炼钢参数表!P8*1000,T8/100/($AL$3/100)/炼钢参数表!P8*1000))))</f>
        <v>0</v>
      </c>
      <c r="AM8" s="8">
        <f>IF(T8="",0,IF(T8&lt;=0.03,0,((T8-AL8*($AL$3/100)*炼钢参数表!P8/10)/100/($AM$3/100)/炼钢参数表!P8*1000)))</f>
        <v>0</v>
      </c>
      <c r="AN8" s="8">
        <f>IF(U8="",0,IF(U8&lt;=0.02,0,(U8/100)/($AN$3/100)/炼钢参数表!Q8*1000))</f>
        <v>0</v>
      </c>
      <c r="AO8" s="8">
        <f>IF(V8="",0,IF(V8&lt;=0.02,0,(V8/100)/($AO$3/100)/炼钢参数表!R8*1000))</f>
        <v>0</v>
      </c>
      <c r="AP8" s="8">
        <f>IF(W8="",0,IF(W8&lt;=0.02,0,(W8/100)/($AP$3/100)/炼钢参数表!S8*1000))</f>
        <v>0</v>
      </c>
      <c r="AQ8" s="8">
        <f>IF(X8="",0,IF(X8&lt;=0.0002,0,(X8/100)/($AQ$3/100)/炼钢参数表!T8*1000))</f>
        <v>0</v>
      </c>
      <c r="AR8" s="8">
        <f>IF(Y8="",0,IF(Y8&lt;=0.02,0,(Y8/100)/($AR$3/100)/炼钢参数表!U8*1000))</f>
        <v>0</v>
      </c>
      <c r="AS8" s="8">
        <f>IF(L8&lt;=0.04,0,((L8-0.04)/100)/($AS$3/100)/炼钢参数表!V8*1000)</f>
        <v>0</v>
      </c>
      <c r="AT8" s="8">
        <f>IF(M8&lt;=0.03,0,((M8-0.03)/100)/($AT$3/100)/炼钢参数表!W8*1000)</f>
        <v>0</v>
      </c>
      <c r="AU8" s="6"/>
      <c r="AV8" s="8">
        <f t="shared" si="0"/>
        <v>5.6967454494793204</v>
      </c>
      <c r="AW8" s="8" cm="1">
        <f t="array" ref="AW8">SUMPRODUCT($AB$4:$AU$4,AB8:AU8)/1000</f>
        <v>51.079642427963201</v>
      </c>
      <c r="AX8" s="11"/>
      <c r="AY8" s="2" t="str">
        <f t="shared" si="1"/>
        <v>Q235B-2</v>
      </c>
      <c r="AZ8" s="37">
        <f>VLOOKUP(AY8,炼钢参数表!$F$5:$J$1027,4,0)</f>
        <v>7.4405857740585904E-2</v>
      </c>
      <c r="BA8" s="37">
        <f t="shared" si="2"/>
        <v>8.5594142259414099E-2</v>
      </c>
      <c r="BB8" s="37">
        <f>AB8*$BB$4*炼钢参数表!$X$5/1000</f>
        <v>6.1912409619911896E-3</v>
      </c>
      <c r="BC8" s="37">
        <f>AC8*$BC$4*炼钢参数表!$X$5/1000</f>
        <v>0</v>
      </c>
      <c r="BD8" s="37">
        <f>AD8*$BD$4*炼钢参数表!$X$5/1000</f>
        <v>0</v>
      </c>
      <c r="BE8" s="37">
        <f>AE8*$BE$4*炼钢参数表!$X$5/1000</f>
        <v>0</v>
      </c>
      <c r="BF8" s="37">
        <f>AL8*$BF$4*炼钢参数表!$X$5/1000</f>
        <v>0</v>
      </c>
      <c r="BG8" s="37">
        <f>AM8*$BG$4*炼钢参数表!$X$5/1000</f>
        <v>0</v>
      </c>
      <c r="BH8" s="37">
        <f t="shared" si="3"/>
        <v>6.1912409619911896E-3</v>
      </c>
      <c r="BI8" s="37">
        <f t="shared" si="4"/>
        <v>8.05970987025771E-2</v>
      </c>
      <c r="BJ8" s="37">
        <f t="shared" si="5"/>
        <v>-7.9402901297422904E-2</v>
      </c>
      <c r="BK8" s="54"/>
      <c r="BL8" s="7"/>
    </row>
    <row r="9" spans="1:65" s="18" customFormat="1" x14ac:dyDescent="0.3">
      <c r="A9" s="21">
        <v>5</v>
      </c>
      <c r="B9" s="4" t="s">
        <v>32</v>
      </c>
      <c r="C9" s="4" t="s">
        <v>23</v>
      </c>
      <c r="D9" s="4">
        <v>1.6</v>
      </c>
      <c r="E9" s="4">
        <v>12</v>
      </c>
      <c r="F9" s="4" t="s">
        <v>33</v>
      </c>
      <c r="G9" s="50" t="s">
        <v>34</v>
      </c>
      <c r="H9" s="4">
        <v>1519</v>
      </c>
      <c r="I9" s="51">
        <v>0.15</v>
      </c>
      <c r="J9" s="52">
        <v>0.1</v>
      </c>
      <c r="K9" s="52">
        <v>0.35</v>
      </c>
      <c r="L9" s="51">
        <v>1.4999999999999999E-2</v>
      </c>
      <c r="M9" s="51">
        <v>0.01</v>
      </c>
      <c r="N9" s="51"/>
      <c r="O9" s="51" t="s">
        <v>631</v>
      </c>
      <c r="P9" s="51" t="s">
        <v>631</v>
      </c>
      <c r="Q9" s="51">
        <v>2.5000000000000001E-2</v>
      </c>
      <c r="R9" s="51" t="s">
        <v>631</v>
      </c>
      <c r="S9" s="32" t="s">
        <v>631</v>
      </c>
      <c r="T9" s="52"/>
      <c r="U9" s="52"/>
      <c r="V9" s="52"/>
      <c r="W9" s="52" t="s">
        <v>631</v>
      </c>
      <c r="X9" s="32" t="s">
        <v>631</v>
      </c>
      <c r="Y9" s="53" t="s">
        <v>631</v>
      </c>
      <c r="Z9" s="4" t="s">
        <v>631</v>
      </c>
      <c r="AA9" s="53"/>
      <c r="AB9" s="42">
        <f>IF(J9&lt;=0.04,0,IF((BA9-AL9*BF$4*炼钢参数表!$X$5/1000-AM9*BG$4*炼钢参数表!$X$5/1000)&lt;=0.03,0,IF((J9/100/0.1769/炼钢参数表!K9*1000)&gt;(K9-炼钢参数表!J9)/100/0.6566/炼钢参数表!L9*1000,IF(K9&lt;1.6,(K9-炼钢参数表!J9)/100/0.6566/炼钢参数表!L9*1000,(K9-0.08-炼钢参数表!J9)/100/0.6566/炼钢参数表!L9*1000),IF(K9&lt;1.6,J9/100/0.1769/炼钢参数表!K9*1000,(J9-0.08)/100/0.1769/炼钢参数表!K9*1000))))</f>
        <v>3.5884764548382502</v>
      </c>
      <c r="AC9" s="8">
        <f>IF((BA9-AB9*$BB$4*0.9/1000-AL9*BF$4*炼钢参数表!$X$5/1000-AM9*BG$4*炼钢参数表!$X$5/1000)&lt;(K9-炼钢参数表!J9-AB9*0.6566*炼钢参数表!L9/10)*0.082,0,(K9-炼钢参数表!J9-AB9*0.6566*炼钢参数表!L9/10)/100/($AC$3/100)/炼钢参数表!L9*1000)</f>
        <v>0</v>
      </c>
      <c r="AD9" s="8">
        <f>IF((BA9-AB9*$BB$4*0.9/1000-AC9*$BC$4*0.9/1000-AL9*BF$4*炼钢参数表!$X$5/1000-AM9*BG$4*炼钢参数表!$X$5/1000)&lt;=(K9-炼钢参数表!J9-AB9*0.6566*炼钢参数表!L9/10-AC9*($AC$3/100)*炼钢参数表!L9/10)*0.02,0,((K9-炼钢参数表!J9-AB9*0.6566*炼钢参数表!L9/10-AC9*($AC$3/100)*炼钢参数表!L9/10)/100/($AD$3/100)/炼钢参数表!L9*1000))</f>
        <v>0</v>
      </c>
      <c r="AE9" s="8">
        <f>(K9-炼钢参数表!J9-AB9*0.6566*炼钢参数表!L9/10-AC9*($AC$3/100)*炼钢参数表!L9/10-AD9*($AD$3/100)*炼钢参数表!L9/10)/100/($AE$3/100)/炼钢参数表!L9*1000</f>
        <v>0</v>
      </c>
      <c r="AF9" s="8">
        <v>0</v>
      </c>
      <c r="AG9" s="8">
        <f>IF(J9&lt;=0.04,0,((J9-(AB9*0.1769*炼钢参数表!K9/1000*100))/100/炼钢参数表!K9/($AG$3/100)*1000))</f>
        <v>0.85172160478902603</v>
      </c>
      <c r="AH9" s="8">
        <v>1.33</v>
      </c>
      <c r="AI9" s="8">
        <f>IF(N9="",0,IF(N9&lt;=0.002,0,((N9)/100)/($AI$3/100)/炼钢参数表!M9*1000))</f>
        <v>0</v>
      </c>
      <c r="AJ9" s="8">
        <f>IF(O9="",0,IF(O9&lt;=0.002,0,((O9)/100)/($AJ$3/100)/炼钢参数表!N9*1000))</f>
        <v>0</v>
      </c>
      <c r="AK9" s="8">
        <f>IF(P9="",0,IF(P9&lt;=0.002,0,((P9+0.005)/100)/($AK$3/100)/炼钢参数表!O9*1000))</f>
        <v>0</v>
      </c>
      <c r="AL9" s="8">
        <f>IF((BA9-J9*0.00003-K9*0.00024)&lt;=0.05,0,IF(T9="",0,IF(T9&lt;=0.03,0,IF(((BA9-J9*0.00003-K9*0.00024)-0.05)/0.18/100/($AL$3/100)/炼钢参数表!P9*1000&lt;=T9/100/($AL$3/100)/炼钢参数表!P9*1000,((BA9-J9*0.00003-K9*0.00024)-0.05)/0.18/100/($AL$3/100)/炼钢参数表!P9*1000,T9/100/($AL$3/100)/炼钢参数表!P9*1000))))</f>
        <v>0</v>
      </c>
      <c r="AM9" s="8">
        <f>IF(T9="",0,IF(T9&lt;=0.03,0,((T9-AL9*($AL$3/100)*炼钢参数表!P9/10)/100/($AM$3/100)/炼钢参数表!P9*1000)))</f>
        <v>0</v>
      </c>
      <c r="AN9" s="8">
        <f>IF(U9="",0,IF(U9&lt;=0.02,0,(U9/100)/($AN$3/100)/炼钢参数表!Q9*1000))</f>
        <v>0</v>
      </c>
      <c r="AO9" s="8">
        <f>IF(V9="",0,IF(V9&lt;=0.02,0,(V9/100)/($AO$3/100)/炼钢参数表!R9*1000))</f>
        <v>0</v>
      </c>
      <c r="AP9" s="8">
        <f>IF(W9="",0,IF(W9&lt;=0.02,0,(W9/100)/($AP$3/100)/炼钢参数表!S9*1000))</f>
        <v>0</v>
      </c>
      <c r="AQ9" s="8">
        <f>IF(X9="",0,IF(X9&lt;=0.0002,0,(X9/100)/($AQ$3/100)/炼钢参数表!T9*1000))</f>
        <v>0</v>
      </c>
      <c r="AR9" s="8">
        <f>IF(Y9="",0,IF(Y9&lt;=0.02,0,(Y9/100)/($AR$3/100)/炼钢参数表!U9*1000))</f>
        <v>0</v>
      </c>
      <c r="AS9" s="8">
        <f>IF(L9&lt;=0.04,0,((L9-0.04)/100)/($AS$3/100)/炼钢参数表!V9*1000)</f>
        <v>0</v>
      </c>
      <c r="AT9" s="8">
        <f>IF(M9&lt;=0.03,0,((M9-0.03)/100)/($AT$3/100)/炼钢参数表!W9*1000)</f>
        <v>0</v>
      </c>
      <c r="AU9" s="6"/>
      <c r="AV9" s="8">
        <f t="shared" si="0"/>
        <v>5.7701980596272797</v>
      </c>
      <c r="AW9" s="8" cm="1">
        <f t="array" ref="AW9">SUMPRODUCT($AB$4:$AU$4,AB9:AU9)/1000</f>
        <v>53.592017055063799</v>
      </c>
      <c r="AY9" s="2" t="str">
        <f t="shared" si="1"/>
        <v>Q235C-1</v>
      </c>
      <c r="AZ9" s="37">
        <f>VLOOKUP(AY9,炼钢参数表!$F$5:$J$1027,4,0)</f>
        <v>6.8953488372093003E-2</v>
      </c>
      <c r="BA9" s="37">
        <f t="shared" si="2"/>
        <v>8.1046511627907006E-2</v>
      </c>
      <c r="BB9" s="37">
        <f>AB9*$BB$4*炼钢参数表!$X$5/1000</f>
        <v>5.5549615520896099E-3</v>
      </c>
      <c r="BC9" s="37">
        <f>AC9*$BC$4*炼钢参数表!$X$5/1000</f>
        <v>0</v>
      </c>
      <c r="BD9" s="37">
        <f>AD9*$BD$4*炼钢参数表!$X$5/1000</f>
        <v>0</v>
      </c>
      <c r="BE9" s="37">
        <f>AE9*$BE$4*炼钢参数表!$X$5/1000</f>
        <v>0</v>
      </c>
      <c r="BF9" s="37">
        <f>AL9*$BF$4*炼钢参数表!$X$5/1000</f>
        <v>0</v>
      </c>
      <c r="BG9" s="37">
        <f>AM9*$BG$4*炼钢参数表!$X$5/1000</f>
        <v>0</v>
      </c>
      <c r="BH9" s="37">
        <f t="shared" si="3"/>
        <v>5.5549615520896099E-3</v>
      </c>
      <c r="BI9" s="37">
        <f t="shared" si="4"/>
        <v>7.4508449924182596E-2</v>
      </c>
      <c r="BJ9" s="37">
        <f t="shared" si="5"/>
        <v>-7.5491550075817399E-2</v>
      </c>
      <c r="BK9" s="54"/>
      <c r="BL9" s="7"/>
    </row>
    <row r="10" spans="1:65" s="18" customFormat="1" x14ac:dyDescent="0.3">
      <c r="A10" s="21">
        <v>6</v>
      </c>
      <c r="B10" s="4" t="s">
        <v>32</v>
      </c>
      <c r="C10" s="4" t="s">
        <v>26</v>
      </c>
      <c r="D10" s="4">
        <v>12.01</v>
      </c>
      <c r="E10" s="4">
        <v>25.4</v>
      </c>
      <c r="F10" s="4" t="s">
        <v>35</v>
      </c>
      <c r="G10" s="50" t="s">
        <v>34</v>
      </c>
      <c r="H10" s="4">
        <v>1519</v>
      </c>
      <c r="I10" s="51">
        <v>0.15</v>
      </c>
      <c r="J10" s="52">
        <v>0.1</v>
      </c>
      <c r="K10" s="52">
        <v>0.5</v>
      </c>
      <c r="L10" s="51">
        <v>1.4999999999999999E-2</v>
      </c>
      <c r="M10" s="51">
        <v>0.01</v>
      </c>
      <c r="N10" s="51"/>
      <c r="O10" s="51" t="s">
        <v>631</v>
      </c>
      <c r="P10" s="51" t="s">
        <v>631</v>
      </c>
      <c r="Q10" s="51">
        <v>2.5000000000000001E-2</v>
      </c>
      <c r="R10" s="51" t="s">
        <v>631</v>
      </c>
      <c r="S10" s="32" t="s">
        <v>631</v>
      </c>
      <c r="T10" s="52"/>
      <c r="U10" s="52"/>
      <c r="V10" s="52"/>
      <c r="W10" s="52" t="s">
        <v>631</v>
      </c>
      <c r="X10" s="32" t="s">
        <v>631</v>
      </c>
      <c r="Y10" s="53" t="s">
        <v>631</v>
      </c>
      <c r="Z10" s="4" t="s">
        <v>631</v>
      </c>
      <c r="AA10" s="53"/>
      <c r="AB10" s="42">
        <f>IF(J10&lt;=0.04,0,IF((BA10-AL10*BF$4*炼钢参数表!$X$5/1000-AM10*BG$4*炼钢参数表!$X$5/1000)&lt;=0.03,0,IF((J10/100/0.1769/炼钢参数表!K10*1000)&gt;(K10-炼钢参数表!J10)/100/0.6566/炼钢参数表!L10*1000,IF(K10&lt;1.6,(K10-炼钢参数表!J10)/100/0.6566/炼钢参数表!L10*1000,(K10-0.08-炼钢参数表!J10)/100/0.6566/炼钢参数表!L10*1000),IF(K10&lt;1.6,J10/100/0.1769/炼钢参数表!K10*1000,(J10-0.08)/100/0.1769/炼钢参数表!K10*1000))))</f>
        <v>5.7671865578397101</v>
      </c>
      <c r="AC10" s="8">
        <f>IF((BA10-AB10*$BB$4*0.9/1000-AL10*BF$4*炼钢参数表!$X$5/1000-AM10*BG$4*炼钢参数表!$X$5/1000)&lt;(K10-炼钢参数表!J10-AB10*0.6566*炼钢参数表!L10/10)*0.082,0,(K10-炼钢参数表!J10-AB10*0.6566*炼钢参数表!L10/10)/100/($AC$3/100)/炼钢参数表!L10*1000)</f>
        <v>0</v>
      </c>
      <c r="AD10" s="8">
        <f>IF((BA10-AB10*$BB$4*0.9/1000-AC10*$BC$4*0.9/1000-AL10*BF$4*炼钢参数表!$X$5/1000-AM10*BG$4*炼钢参数表!$X$5/1000)&lt;=(K10-炼钢参数表!J10-AB10*0.6566*炼钢参数表!L10/10-AC10*($AC$3/100)*炼钢参数表!L10/10)*0.02,0,((K10-炼钢参数表!J10-AB10*0.6566*炼钢参数表!L10/10-AC10*($AC$3/100)*炼钢参数表!L10/10)/100/($AD$3/100)/炼钢参数表!L10*1000))</f>
        <v>0</v>
      </c>
      <c r="AE10" s="8">
        <f>(K10-炼钢参数表!J10-AB10*0.6566*炼钢参数表!L10/10-AC10*($AC$3/100)*炼钢参数表!L10/10-AD10*($AD$3/100)*炼钢参数表!L10/10)/100/($AE$3/100)/炼钢参数表!L10*1000</f>
        <v>0</v>
      </c>
      <c r="AF10" s="8">
        <v>0</v>
      </c>
      <c r="AG10" s="8">
        <f>IF(J10&lt;=0.04,0,((J10-(AB10*0.1769*炼钢参数表!K10/1000*100))/100/炼钢参数表!K10/($AG$3/100)*1000))</f>
        <v>0.31812916782244999</v>
      </c>
      <c r="AH10" s="8">
        <v>1.33</v>
      </c>
      <c r="AI10" s="8">
        <f>IF(N10="",0,IF(N10&lt;=0.002,0,((N10)/100)/($AI$3/100)/炼钢参数表!M10*1000))</f>
        <v>0</v>
      </c>
      <c r="AJ10" s="8">
        <f>IF(O10="",0,IF(O10&lt;=0.002,0,((O10)/100)/($AJ$3/100)/炼钢参数表!N10*1000))</f>
        <v>0</v>
      </c>
      <c r="AK10" s="8">
        <f>IF(P10="",0,IF(P10&lt;=0.002,0,((P10+0.005)/100)/($AK$3/100)/炼钢参数表!O10*1000))</f>
        <v>0</v>
      </c>
      <c r="AL10" s="8">
        <f>IF((BA10-J10*0.00003-K10*0.00024)&lt;=0.05,0,IF(T10="",0,IF(T10&lt;=0.03,0,IF(((BA10-J10*0.00003-K10*0.00024)-0.05)/0.18/100/($AL$3/100)/炼钢参数表!P10*1000&lt;=T10/100/($AL$3/100)/炼钢参数表!P10*1000,((BA10-J10*0.00003-K10*0.00024)-0.05)/0.18/100/($AL$3/100)/炼钢参数表!P10*1000,T10/100/($AL$3/100)/炼钢参数表!P10*1000))))</f>
        <v>0</v>
      </c>
      <c r="AM10" s="8">
        <f>IF(T10="",0,IF(T10&lt;=0.03,0,((T10-AL10*($AL$3/100)*炼钢参数表!P10/10)/100/($AM$3/100)/炼钢参数表!P10*1000)))</f>
        <v>0</v>
      </c>
      <c r="AN10" s="8">
        <f>IF(U10="",0,IF(U10&lt;=0.02,0,(U10/100)/($AN$3/100)/炼钢参数表!Q10*1000))</f>
        <v>0</v>
      </c>
      <c r="AO10" s="8">
        <f>IF(V10="",0,IF(V10&lt;=0.02,0,(V10/100)/($AO$3/100)/炼钢参数表!R10*1000))</f>
        <v>0</v>
      </c>
      <c r="AP10" s="8">
        <f>IF(W10="",0,IF(W10&lt;=0.02,0,(W10/100)/($AP$3/100)/炼钢参数表!S10*1000))</f>
        <v>0</v>
      </c>
      <c r="AQ10" s="8">
        <f>IF(X10="",0,IF(X10&lt;=0.0002,0,(X10/100)/($AQ$3/100)/炼钢参数表!T10*1000))</f>
        <v>0</v>
      </c>
      <c r="AR10" s="8">
        <f>IF(Y10="",0,IF(Y10&lt;=0.02,0,(Y10/100)/($AR$3/100)/炼钢参数表!U10*1000))</f>
        <v>0</v>
      </c>
      <c r="AS10" s="8">
        <f>IF(L10&lt;=0.04,0,((L10-0.04)/100)/($AS$3/100)/炼钢参数表!V10*1000)</f>
        <v>0</v>
      </c>
      <c r="AT10" s="8">
        <f>IF(M10&lt;=0.03,0,((M10-0.03)/100)/($AT$3/100)/炼钢参数表!W10*1000)</f>
        <v>0</v>
      </c>
      <c r="AU10" s="6"/>
      <c r="AV10" s="8">
        <f t="shared" si="0"/>
        <v>7.4153157256621602</v>
      </c>
      <c r="AW10" s="8" cm="1">
        <f t="array" ref="AW10">SUMPRODUCT($AB$4:$AU$4,AB10:AU10)/1000</f>
        <v>62.643911967253999</v>
      </c>
      <c r="AY10" s="2" t="str">
        <f t="shared" si="1"/>
        <v>Q235C-2</v>
      </c>
      <c r="AZ10" s="37">
        <f>VLOOKUP(AY10,炼钢参数表!$F$5:$J$1027,4,0)</f>
        <v>6.25E-2</v>
      </c>
      <c r="BA10" s="37">
        <f t="shared" si="2"/>
        <v>8.7499999999999994E-2</v>
      </c>
      <c r="BB10" s="37">
        <f>AB10*$BB$4*炼钢参数表!$X$5/1000</f>
        <v>8.9276047915358703E-3</v>
      </c>
      <c r="BC10" s="37">
        <f>AC10*$BC$4*炼钢参数表!$X$5/1000</f>
        <v>0</v>
      </c>
      <c r="BD10" s="37">
        <f>AD10*$BD$4*炼钢参数表!$X$5/1000</f>
        <v>0</v>
      </c>
      <c r="BE10" s="37">
        <f>AE10*$BE$4*炼钢参数表!$X$5/1000</f>
        <v>0</v>
      </c>
      <c r="BF10" s="37">
        <f>AL10*$BF$4*炼钢参数表!$X$5/1000</f>
        <v>0</v>
      </c>
      <c r="BG10" s="37">
        <f>AM10*$BG$4*炼钢参数表!$X$5/1000</f>
        <v>0</v>
      </c>
      <c r="BH10" s="37">
        <f t="shared" si="3"/>
        <v>8.9276047915358703E-3</v>
      </c>
      <c r="BI10" s="37">
        <f t="shared" si="4"/>
        <v>7.1427604791535898E-2</v>
      </c>
      <c r="BJ10" s="37">
        <f t="shared" si="5"/>
        <v>-7.8572395208464096E-2</v>
      </c>
      <c r="BK10" s="54"/>
      <c r="BL10" s="7"/>
    </row>
    <row r="11" spans="1:65" s="18" customFormat="1" x14ac:dyDescent="0.3">
      <c r="A11" s="21">
        <v>7</v>
      </c>
      <c r="B11" s="4" t="s">
        <v>36</v>
      </c>
      <c r="C11" s="4" t="s">
        <v>23</v>
      </c>
      <c r="D11" s="4">
        <v>1.45</v>
      </c>
      <c r="E11" s="4">
        <v>12</v>
      </c>
      <c r="F11" s="4" t="s">
        <v>29</v>
      </c>
      <c r="G11" s="50" t="s">
        <v>30</v>
      </c>
      <c r="H11" s="4">
        <v>1519</v>
      </c>
      <c r="I11" s="51">
        <v>0.16</v>
      </c>
      <c r="J11" s="52">
        <v>0.08</v>
      </c>
      <c r="K11" s="52">
        <v>0.23</v>
      </c>
      <c r="L11" s="51">
        <v>2.5000000000000001E-2</v>
      </c>
      <c r="M11" s="51">
        <v>0.02</v>
      </c>
      <c r="N11" s="51"/>
      <c r="O11" s="51" t="s">
        <v>631</v>
      </c>
      <c r="P11" s="51" t="s">
        <v>631</v>
      </c>
      <c r="Q11" s="51">
        <v>0.01</v>
      </c>
      <c r="R11" s="51" t="s">
        <v>631</v>
      </c>
      <c r="S11" s="32" t="s">
        <v>631</v>
      </c>
      <c r="T11" s="52"/>
      <c r="U11" s="52"/>
      <c r="V11" s="52"/>
      <c r="W11" s="52" t="s">
        <v>631</v>
      </c>
      <c r="X11" s="32" t="s">
        <v>631</v>
      </c>
      <c r="Y11" s="53" t="s">
        <v>631</v>
      </c>
      <c r="Z11" s="4" t="s">
        <v>631</v>
      </c>
      <c r="AA11" s="53" t="s">
        <v>631</v>
      </c>
      <c r="AB11" s="42">
        <f>IF(J11&lt;=0.04,0,IF((BA11-AL11*BF$4*炼钢参数表!$X$5/1000-AM11*BG$4*炼钢参数表!$X$5/1000)&lt;=0.03,0,IF((J11/100/0.1769/炼钢参数表!K11*1000)&gt;(K11-炼钢参数表!J11)/100/0.6566/炼钢参数表!L11*1000,IF(K11&lt;1.6,(K11-炼钢参数表!J11)/100/0.6566/炼钢参数表!L11*1000,(K11-0.08-炼钢参数表!J11)/100/0.6566/炼钢参数表!L11*1000),IF(K11&lt;1.6,J11/100/0.1769/炼钢参数表!K11*1000,(J11-0.08)/100/0.1769/炼钢参数表!K11*1000))))</f>
        <v>1.67386266192655</v>
      </c>
      <c r="AC11" s="8">
        <f>IF((BA11-AB11*$BB$4*0.9/1000-AL11*BF$4*炼钢参数表!$X$5/1000-AM11*BG$4*炼钢参数表!$X$5/1000)&lt;(K11-炼钢参数表!J11-AB11*0.6566*炼钢参数表!L11/10)*0.082,0,(K11-炼钢参数表!J11-AB11*0.6566*炼钢参数表!L11/10)/100/($AC$3/100)/炼钢参数表!L11*1000)</f>
        <v>0</v>
      </c>
      <c r="AD11" s="8">
        <f>IF((BA11-AB11*$BB$4*0.9/1000-AC11*$BC$4*0.9/1000-AL11*BF$4*炼钢参数表!$X$5/1000-AM11*BG$4*炼钢参数表!$X$5/1000)&lt;=(K11-炼钢参数表!J11-AB11*0.6566*炼钢参数表!L11/10-AC11*($AC$3/100)*炼钢参数表!L11/10)*0.02,0,((K11-炼钢参数表!J11-AB11*0.6566*炼钢参数表!L11/10-AC11*($AC$3/100)*炼钢参数表!L11/10)/100/($AD$3/100)/炼钢参数表!L11*1000))</f>
        <v>0</v>
      </c>
      <c r="AE11" s="8">
        <f>(K11-炼钢参数表!J11-AB11*0.6566*炼钢参数表!L11/10-AC11*($AC$3/100)*炼钢参数表!L11/10-AD11*($AD$3/100)*炼钢参数表!L11/10)/100/($AE$3/100)/炼钢参数表!L11*1000</f>
        <v>0</v>
      </c>
      <c r="AF11" s="8">
        <v>0</v>
      </c>
      <c r="AG11" s="8">
        <f>IF(J11&lt;=0.04,0,((J11-(AB11*0.1769*炼钢参数表!K11/1000*100))/100/炼钢参数表!K11/($AG$3/100)*1000))</f>
        <v>1.06681484393169</v>
      </c>
      <c r="AH11" s="8">
        <v>1.20222580696115</v>
      </c>
      <c r="AI11" s="8">
        <f>IF(N11="",0,IF(N11&lt;=0.002,0,((N11)/100)/($AI$3/100)/炼钢参数表!M11*1000))</f>
        <v>0</v>
      </c>
      <c r="AJ11" s="8">
        <f>IF(O11="",0,IF(O11&lt;=0.002,0,((O11)/100)/($AJ$3/100)/炼钢参数表!N11*1000))</f>
        <v>0</v>
      </c>
      <c r="AK11" s="8">
        <f>IF(P11="",0,IF(P11&lt;=0.002,0,((P11+0.005)/100)/($AK$3/100)/炼钢参数表!O11*1000))</f>
        <v>0</v>
      </c>
      <c r="AL11" s="8">
        <f>IF((BA11-J11*0.00003-K11*0.00024)&lt;=0.05,0,IF(T11="",0,IF(T11&lt;=0.03,0,IF(((BA11-J11*0.00003-K11*0.00024)-0.05)/0.18/100/($AL$3/100)/炼钢参数表!P11*1000&lt;=T11/100/($AL$3/100)/炼钢参数表!P11*1000,((BA11-J11*0.00003-K11*0.00024)-0.05)/0.18/100/($AL$3/100)/炼钢参数表!P11*1000,T11/100/($AL$3/100)/炼钢参数表!P11*1000))))</f>
        <v>0</v>
      </c>
      <c r="AM11" s="8">
        <f>IF(T11="",0,IF(T11&lt;=0.03,0,((T11-AL11*($AL$3/100)*炼钢参数表!P11/10)/100/($AM$3/100)/炼钢参数表!P11*1000)))</f>
        <v>0</v>
      </c>
      <c r="AN11" s="8">
        <f>IF(U11="",0,IF(U11&lt;=0.02,0,(U11/100)/($AN$3/100)/炼钢参数表!Q11*1000))</f>
        <v>0</v>
      </c>
      <c r="AO11" s="8">
        <f>IF(V11="",0,IF(V11&lt;=0.02,0,(V11/100)/($AO$3/100)/炼钢参数表!R11*1000))</f>
        <v>0</v>
      </c>
      <c r="AP11" s="8">
        <f>IF(W11="",0,IF(W11&lt;=0.02,0,(W11/100)/($AP$3/100)/炼钢参数表!S11*1000))</f>
        <v>0</v>
      </c>
      <c r="AQ11" s="8">
        <f>IF(X11="",0,IF(X11&lt;=0.0002,0,(X11/100)/($AQ$3/100)/炼钢参数表!T11*1000))</f>
        <v>0</v>
      </c>
      <c r="AR11" s="8">
        <f>IF(Y11="",0,IF(Y11&lt;=0.02,0,(Y11/100)/($AR$3/100)/炼钢参数表!U11*1000))</f>
        <v>0</v>
      </c>
      <c r="AS11" s="8">
        <f>IF(L11&lt;=0.04,0,((L11-0.04)/100)/($AS$3/100)/炼钢参数表!V11*1000)</f>
        <v>0</v>
      </c>
      <c r="AT11" s="8">
        <f>IF(M11&lt;=0.03,0,((M11-0.03)/100)/($AT$3/100)/炼钢参数表!W11*1000)</f>
        <v>0</v>
      </c>
      <c r="AU11" s="6"/>
      <c r="AV11" s="8">
        <f t="shared" si="0"/>
        <v>3.9429033128193902</v>
      </c>
      <c r="AW11" s="8" cm="1">
        <f t="array" ref="AW11">SUMPRODUCT($AB$4:$AU$4,AB11:AU11)/1000</f>
        <v>41.466986457129003</v>
      </c>
      <c r="AY11" s="2" t="str">
        <f t="shared" si="1"/>
        <v>Q235B-1</v>
      </c>
      <c r="AZ11" s="37">
        <f>VLOOKUP(AY11,炼钢参数表!$F$5:$J$1027,4,0)</f>
        <v>7.2936669619131894E-2</v>
      </c>
      <c r="BA11" s="37">
        <f t="shared" si="2"/>
        <v>8.7063330380868095E-2</v>
      </c>
      <c r="BB11" s="37">
        <f>AB11*$BB$4*炼钢参数表!$X$5/1000</f>
        <v>2.5911394006622899E-3</v>
      </c>
      <c r="BC11" s="37">
        <f>AC11*$BC$4*炼钢参数表!$X$5/1000</f>
        <v>0</v>
      </c>
      <c r="BD11" s="37">
        <f>AD11*$BD$4*炼钢参数表!$X$5/1000</f>
        <v>0</v>
      </c>
      <c r="BE11" s="37">
        <f>AE11*$BE$4*炼钢参数表!$X$5/1000</f>
        <v>0</v>
      </c>
      <c r="BF11" s="37">
        <f>AL11*$BF$4*炼钢参数表!$X$5/1000</f>
        <v>0</v>
      </c>
      <c r="BG11" s="37">
        <f>AM11*$BG$4*炼钢参数表!$X$5/1000</f>
        <v>0</v>
      </c>
      <c r="BH11" s="37">
        <f t="shared" si="3"/>
        <v>2.5911394006622899E-3</v>
      </c>
      <c r="BI11" s="37">
        <f t="shared" si="4"/>
        <v>7.5527809019794195E-2</v>
      </c>
      <c r="BJ11" s="37">
        <f t="shared" si="5"/>
        <v>-8.4472190980205794E-2</v>
      </c>
      <c r="BK11" s="54"/>
      <c r="BL11" s="7"/>
    </row>
    <row r="12" spans="1:65" s="18" customFormat="1" x14ac:dyDescent="0.3">
      <c r="A12" s="21">
        <v>8</v>
      </c>
      <c r="B12" s="4" t="s">
        <v>36</v>
      </c>
      <c r="C12" s="4" t="s">
        <v>26</v>
      </c>
      <c r="D12" s="4">
        <v>12.01</v>
      </c>
      <c r="E12" s="4">
        <v>28</v>
      </c>
      <c r="F12" s="4" t="s">
        <v>31</v>
      </c>
      <c r="G12" s="50" t="s">
        <v>30</v>
      </c>
      <c r="H12" s="4">
        <v>1519</v>
      </c>
      <c r="I12" s="51">
        <v>0.16</v>
      </c>
      <c r="J12" s="52">
        <v>0.08</v>
      </c>
      <c r="K12" s="52">
        <v>0.38</v>
      </c>
      <c r="L12" s="51">
        <v>2.5000000000000001E-2</v>
      </c>
      <c r="M12" s="51">
        <v>0.02</v>
      </c>
      <c r="N12" s="51"/>
      <c r="O12" s="51" t="s">
        <v>631</v>
      </c>
      <c r="P12" s="51" t="s">
        <v>631</v>
      </c>
      <c r="Q12" s="51">
        <v>0.01</v>
      </c>
      <c r="R12" s="51" t="s">
        <v>631</v>
      </c>
      <c r="S12" s="32" t="s">
        <v>631</v>
      </c>
      <c r="T12" s="52"/>
      <c r="U12" s="52"/>
      <c r="V12" s="52"/>
      <c r="W12" s="52" t="s">
        <v>631</v>
      </c>
      <c r="X12" s="32" t="s">
        <v>631</v>
      </c>
      <c r="Y12" s="53" t="s">
        <v>631</v>
      </c>
      <c r="Z12" s="4" t="s">
        <v>631</v>
      </c>
      <c r="AA12" s="53" t="s">
        <v>631</v>
      </c>
      <c r="AB12" s="42">
        <f>IF(J12&lt;=0.04,0,IF((BA12-AL12*BF$4*炼钢参数表!$X$5/1000-AM12*BG$4*炼钢参数表!$X$5/1000)&lt;=0.03,0,IF((J12/100/0.1769/炼钢参数表!K12*1000)&gt;(K12-炼钢参数表!J12)/100/0.6566/炼钢参数表!L12*1000,IF(K12&lt;1.6,(K12-炼钢参数表!J12)/100/0.6566/炼钢参数表!L12*1000,(K12-0.08-炼钢参数表!J12)/100/0.6566/炼钢参数表!L12*1000),IF(K12&lt;1.6,J12/100/0.1769/炼钢参数表!K12*1000,(J12-0.08)/100/0.1769/炼钢参数表!K12*1000))))</f>
        <v>3.9995096653689899</v>
      </c>
      <c r="AC12" s="8">
        <f>IF((BA12-AB12*$BB$4*0.9/1000-AL12*BF$4*炼钢参数表!$X$5/1000-AM12*BG$4*炼钢参数表!$X$5/1000)&lt;(K12-炼钢参数表!J12-AB12*0.6566*炼钢参数表!L12/10)*0.082,0,(K12-炼钢参数表!J12-AB12*0.6566*炼钢参数表!L12/10)/100/($AC$3/100)/炼钢参数表!L12*1000)</f>
        <v>0</v>
      </c>
      <c r="AD12" s="8">
        <f>IF((BA12-AB12*$BB$4*0.9/1000-AC12*$BC$4*0.9/1000-AL12*BF$4*炼钢参数表!$X$5/1000-AM12*BG$4*炼钢参数表!$X$5/1000)&lt;=(K12-炼钢参数表!J12-AB12*0.6566*炼钢参数表!L12/10-AC12*($AC$3/100)*炼钢参数表!L12/10)*0.02,0,((K12-炼钢参数表!J12-AB12*0.6566*炼钢参数表!L12/10-AC12*($AC$3/100)*炼钢参数表!L12/10)/100/($AD$3/100)/炼钢参数表!L12*1000))</f>
        <v>0</v>
      </c>
      <c r="AE12" s="8">
        <f>(K12-炼钢参数表!J12-AB12*0.6566*炼钢参数表!L12/10-AC12*($AC$3/100)*炼钢参数表!L12/10-AD12*($AD$3/100)*炼钢参数表!L12/10)/100/($AE$3/100)/炼钢参数表!L12*1000</f>
        <v>0</v>
      </c>
      <c r="AF12" s="8">
        <v>0</v>
      </c>
      <c r="AG12" s="8">
        <f>IF(J12&lt;=0.04,0,((J12-(AB12*0.1769*炼钢参数表!K12/1000*100))/100/炼钢参数表!K12/($AG$3/100)*1000))</f>
        <v>0.49723578411033198</v>
      </c>
      <c r="AH12" s="8">
        <v>1.2</v>
      </c>
      <c r="AI12" s="8">
        <f>IF(N12="",0,IF(N12&lt;=0.002,0,((N12)/100)/($AI$3/100)/炼钢参数表!M12*1000))</f>
        <v>0</v>
      </c>
      <c r="AJ12" s="8">
        <f>IF(O12="",0,IF(O12&lt;=0.002,0,((O12)/100)/($AJ$3/100)/炼钢参数表!N12*1000))</f>
        <v>0</v>
      </c>
      <c r="AK12" s="8">
        <f>IF(P12="",0,IF(P12&lt;=0.002,0,((P12+0.005)/100)/($AK$3/100)/炼钢参数表!O12*1000))</f>
        <v>0</v>
      </c>
      <c r="AL12" s="8">
        <f>IF((BA12-J12*0.00003-K12*0.00024)&lt;=0.05,0,IF(T12="",0,IF(T12&lt;=0.03,0,IF(((BA12-J12*0.00003-K12*0.00024)-0.05)/0.18/100/($AL$3/100)/炼钢参数表!P12*1000&lt;=T12/100/($AL$3/100)/炼钢参数表!P12*1000,((BA12-J12*0.00003-K12*0.00024)-0.05)/0.18/100/($AL$3/100)/炼钢参数表!P12*1000,T12/100/($AL$3/100)/炼钢参数表!P12*1000))))</f>
        <v>0</v>
      </c>
      <c r="AM12" s="8">
        <f>IF(T12="",0,IF(T12&lt;=0.03,0,((T12-AL12*($AL$3/100)*炼钢参数表!P12/10)/100/($AM$3/100)/炼钢参数表!P12*1000)))</f>
        <v>0</v>
      </c>
      <c r="AN12" s="8">
        <f>IF(U12="",0,IF(U12&lt;=0.02,0,(U12/100)/($AN$3/100)/炼钢参数表!Q12*1000))</f>
        <v>0</v>
      </c>
      <c r="AO12" s="8">
        <f>IF(V12="",0,IF(V12&lt;=0.02,0,(V12/100)/($AO$3/100)/炼钢参数表!R12*1000))</f>
        <v>0</v>
      </c>
      <c r="AP12" s="8">
        <f>IF(W12="",0,IF(W12&lt;=0.02,0,(W12/100)/($AP$3/100)/炼钢参数表!S12*1000))</f>
        <v>0</v>
      </c>
      <c r="AQ12" s="8">
        <f>IF(X12="",0,IF(X12&lt;=0.0002,0,(X12/100)/($AQ$3/100)/炼钢参数表!T12*1000))</f>
        <v>0</v>
      </c>
      <c r="AR12" s="8">
        <f>IF(Y12="",0,IF(Y12&lt;=0.02,0,(Y12/100)/($AR$3/100)/炼钢参数表!U12*1000))</f>
        <v>0</v>
      </c>
      <c r="AS12" s="8">
        <f>IF(L12&lt;=0.04,0,((L12-0.04)/100)/($AS$3/100)/炼钢参数表!V12*1000)</f>
        <v>0</v>
      </c>
      <c r="AT12" s="8">
        <f>IF(M12&lt;=0.03,0,((M12-0.03)/100)/($AT$3/100)/炼钢参数表!W12*1000)</f>
        <v>0</v>
      </c>
      <c r="AU12" s="6"/>
      <c r="AV12" s="8">
        <f t="shared" si="0"/>
        <v>5.6967454494793204</v>
      </c>
      <c r="AW12" s="8" cm="1">
        <f t="array" ref="AW12">SUMPRODUCT($AB$4:$AU$4,AB12:AU12)/1000</f>
        <v>51.079642427963201</v>
      </c>
      <c r="AY12" s="2" t="str">
        <f t="shared" si="1"/>
        <v>Q235B-2</v>
      </c>
      <c r="AZ12" s="37">
        <f>VLOOKUP(AY12,炼钢参数表!$F$5:$J$1027,4,0)</f>
        <v>7.4405857740585904E-2</v>
      </c>
      <c r="BA12" s="37">
        <f t="shared" si="2"/>
        <v>8.5594142259414099E-2</v>
      </c>
      <c r="BB12" s="37">
        <f>AB12*$BB$4*炼钢参数表!$X$5/1000</f>
        <v>6.1912409619911896E-3</v>
      </c>
      <c r="BC12" s="37">
        <f>AC12*$BC$4*炼钢参数表!$X$5/1000</f>
        <v>0</v>
      </c>
      <c r="BD12" s="37">
        <f>AD12*$BD$4*炼钢参数表!$X$5/1000</f>
        <v>0</v>
      </c>
      <c r="BE12" s="37">
        <f>AE12*$BE$4*炼钢参数表!$X$5/1000</f>
        <v>0</v>
      </c>
      <c r="BF12" s="37">
        <f>AL12*$BF$4*炼钢参数表!$X$5/1000</f>
        <v>0</v>
      </c>
      <c r="BG12" s="37">
        <f>AM12*$BG$4*炼钢参数表!$X$5/1000</f>
        <v>0</v>
      </c>
      <c r="BH12" s="37">
        <f t="shared" si="3"/>
        <v>6.1912409619911896E-3</v>
      </c>
      <c r="BI12" s="37">
        <f t="shared" si="4"/>
        <v>8.05970987025771E-2</v>
      </c>
      <c r="BJ12" s="37">
        <f t="shared" si="5"/>
        <v>-7.9402901297422904E-2</v>
      </c>
      <c r="BK12" s="54"/>
      <c r="BL12" s="7"/>
    </row>
    <row r="13" spans="1:65" s="18" customFormat="1" x14ac:dyDescent="0.3">
      <c r="A13" s="21">
        <v>9</v>
      </c>
      <c r="B13" s="4" t="s">
        <v>37</v>
      </c>
      <c r="C13" s="4" t="s">
        <v>23</v>
      </c>
      <c r="D13" s="4">
        <v>1.45</v>
      </c>
      <c r="E13" s="4">
        <v>12</v>
      </c>
      <c r="F13" s="4" t="s">
        <v>29</v>
      </c>
      <c r="G13" s="50" t="s">
        <v>30</v>
      </c>
      <c r="H13" s="4">
        <v>1519</v>
      </c>
      <c r="I13" s="51">
        <v>0.16</v>
      </c>
      <c r="J13" s="52">
        <v>0.08</v>
      </c>
      <c r="K13" s="52">
        <v>0.23</v>
      </c>
      <c r="L13" s="51">
        <v>2.5000000000000001E-2</v>
      </c>
      <c r="M13" s="51">
        <v>0.02</v>
      </c>
      <c r="N13" s="51"/>
      <c r="O13" s="51" t="s">
        <v>631</v>
      </c>
      <c r="P13" s="51" t="s">
        <v>631</v>
      </c>
      <c r="Q13" s="51">
        <v>0.01</v>
      </c>
      <c r="R13" s="51" t="s">
        <v>631</v>
      </c>
      <c r="S13" s="32" t="s">
        <v>631</v>
      </c>
      <c r="T13" s="52"/>
      <c r="U13" s="52"/>
      <c r="V13" s="52"/>
      <c r="W13" s="52" t="s">
        <v>631</v>
      </c>
      <c r="X13" s="32" t="s">
        <v>631</v>
      </c>
      <c r="Y13" s="53" t="s">
        <v>631</v>
      </c>
      <c r="Z13" s="4" t="s">
        <v>631</v>
      </c>
      <c r="AA13" s="53" t="s">
        <v>631</v>
      </c>
      <c r="AB13" s="42">
        <f>IF(J13&lt;=0.04,0,IF((BA13-AL13*BF$4*炼钢参数表!$X$5/1000-AM13*BG$4*炼钢参数表!$X$5/1000)&lt;=0.03,0,IF((J13/100/0.1769/炼钢参数表!K13*1000)&gt;(K13-炼钢参数表!J13)/100/0.6566/炼钢参数表!L13*1000,IF(K13&lt;1.6,(K13-炼钢参数表!J13)/100/0.6566/炼钢参数表!L13*1000,(K13-0.08-炼钢参数表!J13)/100/0.6566/炼钢参数表!L13*1000),IF(K13&lt;1.6,J13/100/0.1769/炼钢参数表!K13*1000,(J13-0.08)/100/0.1769/炼钢参数表!K13*1000))))</f>
        <v>1.67386266192655</v>
      </c>
      <c r="AC13" s="8">
        <f>IF((BA13-AB13*$BB$4*0.9/1000-AL13*BF$4*炼钢参数表!$X$5/1000-AM13*BG$4*炼钢参数表!$X$5/1000)&lt;(K13-炼钢参数表!J13-AB13*0.6566*炼钢参数表!L13/10)*0.082,0,(K13-炼钢参数表!J13-AB13*0.6566*炼钢参数表!L13/10)/100/($AC$3/100)/炼钢参数表!L13*1000)</f>
        <v>0</v>
      </c>
      <c r="AD13" s="8">
        <f>IF((BA13-AB13*$BB$4*0.9/1000-AC13*$BC$4*0.9/1000-AL13*BF$4*炼钢参数表!$X$5/1000-AM13*BG$4*炼钢参数表!$X$5/1000)&lt;=(K13-炼钢参数表!J13-AB13*0.6566*炼钢参数表!L13/10-AC13*($AC$3/100)*炼钢参数表!L13/10)*0.02,0,((K13-炼钢参数表!J13-AB13*0.6566*炼钢参数表!L13/10-AC13*($AC$3/100)*炼钢参数表!L13/10)/100/($AD$3/100)/炼钢参数表!L13*1000))</f>
        <v>0</v>
      </c>
      <c r="AE13" s="8">
        <f>(K13-炼钢参数表!J13-AB13*0.6566*炼钢参数表!L13/10-AC13*($AC$3/100)*炼钢参数表!L13/10-AD13*($AD$3/100)*炼钢参数表!L13/10)/100/($AE$3/100)/炼钢参数表!L13*1000</f>
        <v>0</v>
      </c>
      <c r="AF13" s="8">
        <v>0</v>
      </c>
      <c r="AG13" s="8">
        <f>IF(J13&lt;=0.04,0,((J13-(AB13*0.1769*炼钢参数表!K13/1000*100))/100/炼钢参数表!K13/($AG$3/100)*1000))</f>
        <v>1.06681484393169</v>
      </c>
      <c r="AH13" s="8">
        <v>1.20222580696115</v>
      </c>
      <c r="AI13" s="8">
        <f>IF(N13="",0,IF(N13&lt;=0.002,0,((N13)/100)/($AI$3/100)/炼钢参数表!M13*1000))</f>
        <v>0</v>
      </c>
      <c r="AJ13" s="8">
        <f>IF(O13="",0,IF(O13&lt;=0.002,0,((O13)/100)/($AJ$3/100)/炼钢参数表!N13*1000))</f>
        <v>0</v>
      </c>
      <c r="AK13" s="8">
        <f>IF(P13="",0,IF(P13&lt;=0.002,0,((P13+0.005)/100)/($AK$3/100)/炼钢参数表!O13*1000))</f>
        <v>0</v>
      </c>
      <c r="AL13" s="8">
        <f>IF((BA13-J13*0.00003-K13*0.00024)&lt;=0.05,0,IF(T13="",0,IF(T13&lt;=0.03,0,IF(((BA13-J13*0.00003-K13*0.00024)-0.05)/0.18/100/($AL$3/100)/炼钢参数表!P13*1000&lt;=T13/100/($AL$3/100)/炼钢参数表!P13*1000,((BA13-J13*0.00003-K13*0.00024)-0.05)/0.18/100/($AL$3/100)/炼钢参数表!P13*1000,T13/100/($AL$3/100)/炼钢参数表!P13*1000))))</f>
        <v>0</v>
      </c>
      <c r="AM13" s="8">
        <f>IF(T13="",0,IF(T13&lt;=0.03,0,((T13-AL13*($AL$3/100)*炼钢参数表!P13/10)/100/($AM$3/100)/炼钢参数表!P13*1000)))</f>
        <v>0</v>
      </c>
      <c r="AN13" s="8">
        <f>IF(U13="",0,IF(U13&lt;=0.02,0,(U13/100)/($AN$3/100)/炼钢参数表!Q13*1000))</f>
        <v>0</v>
      </c>
      <c r="AO13" s="8">
        <f>IF(V13="",0,IF(V13&lt;=0.02,0,(V13/100)/($AO$3/100)/炼钢参数表!R13*1000))</f>
        <v>0</v>
      </c>
      <c r="AP13" s="8">
        <f>IF(W13="",0,IF(W13&lt;=0.02,0,(W13/100)/($AP$3/100)/炼钢参数表!S13*1000))</f>
        <v>0</v>
      </c>
      <c r="AQ13" s="8">
        <f>IF(X13="",0,IF(X13&lt;=0.0002,0,(X13/100)/($AQ$3/100)/炼钢参数表!T13*1000))</f>
        <v>0</v>
      </c>
      <c r="AR13" s="8">
        <f>IF(Y13="",0,IF(Y13&lt;=0.02,0,(Y13/100)/($AR$3/100)/炼钢参数表!U13*1000))</f>
        <v>0</v>
      </c>
      <c r="AS13" s="8">
        <f>IF(L13&lt;=0.04,0,((L13-0.04)/100)/($AS$3/100)/炼钢参数表!V13*1000)</f>
        <v>0</v>
      </c>
      <c r="AT13" s="8">
        <f>IF(M13&lt;=0.03,0,((M13-0.03)/100)/($AT$3/100)/炼钢参数表!W13*1000)</f>
        <v>0</v>
      </c>
      <c r="AU13" s="6"/>
      <c r="AV13" s="8">
        <f t="shared" si="0"/>
        <v>3.9429033128193902</v>
      </c>
      <c r="AW13" s="8" cm="1">
        <f t="array" ref="AW13">SUMPRODUCT($AB$4:$AU$4,AB13:AU13)/1000</f>
        <v>41.466986457129003</v>
      </c>
      <c r="AY13" s="2" t="str">
        <f t="shared" si="1"/>
        <v>Q235B-1</v>
      </c>
      <c r="AZ13" s="37">
        <f>VLOOKUP(AY13,炼钢参数表!$F$5:$J$1027,4,0)</f>
        <v>7.2936669619131894E-2</v>
      </c>
      <c r="BA13" s="37">
        <f t="shared" si="2"/>
        <v>8.7063330380868095E-2</v>
      </c>
      <c r="BB13" s="37">
        <f>AB13*$BB$4*炼钢参数表!$X$5/1000</f>
        <v>2.5911394006622899E-3</v>
      </c>
      <c r="BC13" s="37">
        <f>AC13*$BC$4*炼钢参数表!$X$5/1000</f>
        <v>0</v>
      </c>
      <c r="BD13" s="37">
        <f>AD13*$BD$4*炼钢参数表!$X$5/1000</f>
        <v>0</v>
      </c>
      <c r="BE13" s="37">
        <f>AE13*$BE$4*炼钢参数表!$X$5/1000</f>
        <v>0</v>
      </c>
      <c r="BF13" s="37">
        <f>AL13*$BF$4*炼钢参数表!$X$5/1000</f>
        <v>0</v>
      </c>
      <c r="BG13" s="37">
        <f>AM13*$BG$4*炼钢参数表!$X$5/1000</f>
        <v>0</v>
      </c>
      <c r="BH13" s="37">
        <f t="shared" si="3"/>
        <v>2.5911394006622899E-3</v>
      </c>
      <c r="BI13" s="37">
        <f t="shared" si="4"/>
        <v>7.5527809019794195E-2</v>
      </c>
      <c r="BJ13" s="37">
        <f t="shared" si="5"/>
        <v>-8.4472190980205794E-2</v>
      </c>
      <c r="BK13" s="54"/>
      <c r="BL13" s="7"/>
    </row>
    <row r="14" spans="1:65" s="18" customFormat="1" x14ac:dyDescent="0.3">
      <c r="A14" s="21">
        <v>10</v>
      </c>
      <c r="B14" s="4" t="s">
        <v>37</v>
      </c>
      <c r="C14" s="4" t="s">
        <v>26</v>
      </c>
      <c r="D14" s="4">
        <v>12.01</v>
      </c>
      <c r="E14" s="4">
        <v>28</v>
      </c>
      <c r="F14" s="4" t="s">
        <v>31</v>
      </c>
      <c r="G14" s="50" t="s">
        <v>30</v>
      </c>
      <c r="H14" s="4">
        <v>1519</v>
      </c>
      <c r="I14" s="51">
        <v>0.16</v>
      </c>
      <c r="J14" s="52">
        <v>0.08</v>
      </c>
      <c r="K14" s="52">
        <v>0.38</v>
      </c>
      <c r="L14" s="51">
        <v>2.5000000000000001E-2</v>
      </c>
      <c r="M14" s="51">
        <v>0.02</v>
      </c>
      <c r="N14" s="51"/>
      <c r="O14" s="51" t="s">
        <v>631</v>
      </c>
      <c r="P14" s="51" t="s">
        <v>631</v>
      </c>
      <c r="Q14" s="51">
        <v>0.01</v>
      </c>
      <c r="R14" s="51" t="s">
        <v>631</v>
      </c>
      <c r="S14" s="32" t="s">
        <v>631</v>
      </c>
      <c r="T14" s="52"/>
      <c r="U14" s="52"/>
      <c r="V14" s="52"/>
      <c r="W14" s="52" t="s">
        <v>631</v>
      </c>
      <c r="X14" s="32" t="s">
        <v>631</v>
      </c>
      <c r="Y14" s="53" t="s">
        <v>631</v>
      </c>
      <c r="Z14" s="4" t="s">
        <v>631</v>
      </c>
      <c r="AA14" s="53" t="s">
        <v>631</v>
      </c>
      <c r="AB14" s="42">
        <f>IF(J14&lt;=0.04,0,IF((BA14-AL14*BF$4*炼钢参数表!$X$5/1000-AM14*BG$4*炼钢参数表!$X$5/1000)&lt;=0.03,0,IF((J14/100/0.1769/炼钢参数表!K14*1000)&gt;(K14-炼钢参数表!J14)/100/0.6566/炼钢参数表!L14*1000,IF(K14&lt;1.6,(K14-炼钢参数表!J14)/100/0.6566/炼钢参数表!L14*1000,(K14-0.08-炼钢参数表!J14)/100/0.6566/炼钢参数表!L14*1000),IF(K14&lt;1.6,J14/100/0.1769/炼钢参数表!K14*1000,(J14-0.08)/100/0.1769/炼钢参数表!K14*1000))))</f>
        <v>3.9995096653689899</v>
      </c>
      <c r="AC14" s="8">
        <f>IF((BA14-AB14*$BB$4*0.9/1000-AL14*BF$4*炼钢参数表!$X$5/1000-AM14*BG$4*炼钢参数表!$X$5/1000)&lt;(K14-炼钢参数表!J14-AB14*0.6566*炼钢参数表!L14/10)*0.082,0,(K14-炼钢参数表!J14-AB14*0.6566*炼钢参数表!L14/10)/100/($AC$3/100)/炼钢参数表!L14*1000)</f>
        <v>0</v>
      </c>
      <c r="AD14" s="8">
        <f>IF((BA14-AB14*$BB$4*0.9/1000-AC14*$BC$4*0.9/1000-AL14*BF$4*炼钢参数表!$X$5/1000-AM14*BG$4*炼钢参数表!$X$5/1000)&lt;=(K14-炼钢参数表!J14-AB14*0.6566*炼钢参数表!L14/10-AC14*($AC$3/100)*炼钢参数表!L14/10)*0.02,0,((K14-炼钢参数表!J14-AB14*0.6566*炼钢参数表!L14/10-AC14*($AC$3/100)*炼钢参数表!L14/10)/100/($AD$3/100)/炼钢参数表!L14*1000))</f>
        <v>0</v>
      </c>
      <c r="AE14" s="8">
        <f>(K14-炼钢参数表!J14-AB14*0.6566*炼钢参数表!L14/10-AC14*($AC$3/100)*炼钢参数表!L14/10-AD14*($AD$3/100)*炼钢参数表!L14/10)/100/($AE$3/100)/炼钢参数表!L14*1000</f>
        <v>0</v>
      </c>
      <c r="AF14" s="8">
        <v>0</v>
      </c>
      <c r="AG14" s="8">
        <f>IF(J14&lt;=0.04,0,((J14-(AB14*0.1769*炼钢参数表!K14/1000*100))/100/炼钢参数表!K14/($AG$3/100)*1000))</f>
        <v>0.49723578411033198</v>
      </c>
      <c r="AH14" s="8">
        <v>1.2</v>
      </c>
      <c r="AI14" s="8">
        <f>IF(N14="",0,IF(N14&lt;=0.002,0,((N14)/100)/($AI$3/100)/炼钢参数表!M14*1000))</f>
        <v>0</v>
      </c>
      <c r="AJ14" s="8">
        <f>IF(O14="",0,IF(O14&lt;=0.002,0,((O14)/100)/($AJ$3/100)/炼钢参数表!N14*1000))</f>
        <v>0</v>
      </c>
      <c r="AK14" s="8">
        <f>IF(P14="",0,IF(P14&lt;=0.002,0,((P14+0.005)/100)/($AK$3/100)/炼钢参数表!O14*1000))</f>
        <v>0</v>
      </c>
      <c r="AL14" s="8">
        <f>IF((BA14-J14*0.00003-K14*0.00024)&lt;=0.05,0,IF(T14="",0,IF(T14&lt;=0.03,0,IF(((BA14-J14*0.00003-K14*0.00024)-0.05)/0.18/100/($AL$3/100)/炼钢参数表!P14*1000&lt;=T14/100/($AL$3/100)/炼钢参数表!P14*1000,((BA14-J14*0.00003-K14*0.00024)-0.05)/0.18/100/($AL$3/100)/炼钢参数表!P14*1000,T14/100/($AL$3/100)/炼钢参数表!P14*1000))))</f>
        <v>0</v>
      </c>
      <c r="AM14" s="8">
        <f>IF(T14="",0,IF(T14&lt;=0.03,0,((T14-AL14*($AL$3/100)*炼钢参数表!P14/10)/100/($AM$3/100)/炼钢参数表!P14*1000)))</f>
        <v>0</v>
      </c>
      <c r="AN14" s="8">
        <f>IF(U14="",0,IF(U14&lt;=0.02,0,(U14/100)/($AN$3/100)/炼钢参数表!Q14*1000))</f>
        <v>0</v>
      </c>
      <c r="AO14" s="8">
        <f>IF(V14="",0,IF(V14&lt;=0.02,0,(V14/100)/($AO$3/100)/炼钢参数表!R14*1000))</f>
        <v>0</v>
      </c>
      <c r="AP14" s="8">
        <f>IF(W14="",0,IF(W14&lt;=0.02,0,(W14/100)/($AP$3/100)/炼钢参数表!S14*1000))</f>
        <v>0</v>
      </c>
      <c r="AQ14" s="8">
        <f>IF(X14="",0,IF(X14&lt;=0.0002,0,(X14/100)/($AQ$3/100)/炼钢参数表!T14*1000))</f>
        <v>0</v>
      </c>
      <c r="AR14" s="8">
        <f>IF(Y14="",0,IF(Y14&lt;=0.02,0,(Y14/100)/($AR$3/100)/炼钢参数表!U14*1000))</f>
        <v>0</v>
      </c>
      <c r="AS14" s="8">
        <f>IF(L14&lt;=0.04,0,((L14-0.04)/100)/($AS$3/100)/炼钢参数表!V14*1000)</f>
        <v>0</v>
      </c>
      <c r="AT14" s="8">
        <f>IF(M14&lt;=0.03,0,((M14-0.03)/100)/($AT$3/100)/炼钢参数表!W14*1000)</f>
        <v>0</v>
      </c>
      <c r="AU14" s="6"/>
      <c r="AV14" s="8">
        <f t="shared" si="0"/>
        <v>5.6967454494793204</v>
      </c>
      <c r="AW14" s="8" cm="1">
        <f t="array" ref="AW14">SUMPRODUCT($AB$4:$AU$4,AB14:AU14)/1000</f>
        <v>51.079642427963201</v>
      </c>
      <c r="AY14" s="2" t="str">
        <f t="shared" si="1"/>
        <v>Q235B-2</v>
      </c>
      <c r="AZ14" s="37">
        <f>VLOOKUP(AY14,炼钢参数表!$F$5:$J$1027,4,0)</f>
        <v>7.4405857740585904E-2</v>
      </c>
      <c r="BA14" s="37">
        <f t="shared" si="2"/>
        <v>8.5594142259414099E-2</v>
      </c>
      <c r="BB14" s="37">
        <f>AB14*$BB$4*炼钢参数表!$X$5/1000</f>
        <v>6.1912409619911896E-3</v>
      </c>
      <c r="BC14" s="37">
        <f>AC14*$BC$4*炼钢参数表!$X$5/1000</f>
        <v>0</v>
      </c>
      <c r="BD14" s="37">
        <f>AD14*$BD$4*炼钢参数表!$X$5/1000</f>
        <v>0</v>
      </c>
      <c r="BE14" s="37">
        <f>AE14*$BE$4*炼钢参数表!$X$5/1000</f>
        <v>0</v>
      </c>
      <c r="BF14" s="37">
        <f>AL14*$BF$4*炼钢参数表!$X$5/1000</f>
        <v>0</v>
      </c>
      <c r="BG14" s="37">
        <f>AM14*$BG$4*炼钢参数表!$X$5/1000</f>
        <v>0</v>
      </c>
      <c r="BH14" s="37">
        <f t="shared" si="3"/>
        <v>6.1912409619911896E-3</v>
      </c>
      <c r="BI14" s="37">
        <f t="shared" si="4"/>
        <v>8.05970987025771E-2</v>
      </c>
      <c r="BJ14" s="37">
        <f t="shared" si="5"/>
        <v>-7.9402901297422904E-2</v>
      </c>
      <c r="BK14" s="54"/>
      <c r="BL14" s="7"/>
    </row>
    <row r="15" spans="1:65" s="18" customFormat="1" x14ac:dyDescent="0.3">
      <c r="A15" s="21">
        <v>11</v>
      </c>
      <c r="B15" s="4" t="s">
        <v>38</v>
      </c>
      <c r="C15" s="4" t="s">
        <v>23</v>
      </c>
      <c r="D15" s="4">
        <v>1.45</v>
      </c>
      <c r="E15" s="4">
        <v>12</v>
      </c>
      <c r="F15" s="4" t="s">
        <v>29</v>
      </c>
      <c r="G15" s="50" t="s">
        <v>30</v>
      </c>
      <c r="H15" s="4">
        <v>1519</v>
      </c>
      <c r="I15" s="51">
        <v>0.16</v>
      </c>
      <c r="J15" s="52">
        <v>0.08</v>
      </c>
      <c r="K15" s="52">
        <v>0.23</v>
      </c>
      <c r="L15" s="51">
        <v>2.5000000000000001E-2</v>
      </c>
      <c r="M15" s="51">
        <v>0.02</v>
      </c>
      <c r="N15" s="51"/>
      <c r="O15" s="51" t="s">
        <v>631</v>
      </c>
      <c r="P15" s="51" t="s">
        <v>631</v>
      </c>
      <c r="Q15" s="51">
        <v>0.01</v>
      </c>
      <c r="R15" s="51" t="s">
        <v>631</v>
      </c>
      <c r="S15" s="32" t="s">
        <v>631</v>
      </c>
      <c r="T15" s="52"/>
      <c r="U15" s="52"/>
      <c r="V15" s="52"/>
      <c r="W15" s="52" t="s">
        <v>631</v>
      </c>
      <c r="X15" s="32" t="s">
        <v>631</v>
      </c>
      <c r="Y15" s="53" t="s">
        <v>631</v>
      </c>
      <c r="Z15" s="4" t="s">
        <v>631</v>
      </c>
      <c r="AA15" s="53" t="s">
        <v>631</v>
      </c>
      <c r="AB15" s="42">
        <f>IF(J15&lt;=0.04,0,IF((BA15-AL15*BF$4*炼钢参数表!$X$5/1000-AM15*BG$4*炼钢参数表!$X$5/1000)&lt;=0.03,0,IF((J15/100/0.1769/炼钢参数表!K15*1000)&gt;(K15-炼钢参数表!J15)/100/0.6566/炼钢参数表!L15*1000,IF(K15&lt;1.6,(K15-炼钢参数表!J15)/100/0.6566/炼钢参数表!L15*1000,(K15-0.08-炼钢参数表!J15)/100/0.6566/炼钢参数表!L15*1000),IF(K15&lt;1.6,J15/100/0.1769/炼钢参数表!K15*1000,(J15-0.08)/100/0.1769/炼钢参数表!K15*1000))))</f>
        <v>1.67386266192655</v>
      </c>
      <c r="AC15" s="8">
        <f>IF((BA15-AB15*$BB$4*0.9/1000-AL15*BF$4*炼钢参数表!$X$5/1000-AM15*BG$4*炼钢参数表!$X$5/1000)&lt;(K15-炼钢参数表!J15-AB15*0.6566*炼钢参数表!L15/10)*0.082,0,(K15-炼钢参数表!J15-AB15*0.6566*炼钢参数表!L15/10)/100/($AC$3/100)/炼钢参数表!L15*1000)</f>
        <v>0</v>
      </c>
      <c r="AD15" s="8">
        <f>IF((BA15-AB15*$BB$4*0.9/1000-AC15*$BC$4*0.9/1000-AL15*BF$4*炼钢参数表!$X$5/1000-AM15*BG$4*炼钢参数表!$X$5/1000)&lt;=(K15-炼钢参数表!J15-AB15*0.6566*炼钢参数表!L15/10-AC15*($AC$3/100)*炼钢参数表!L15/10)*0.02,0,((K15-炼钢参数表!J15-AB15*0.6566*炼钢参数表!L15/10-AC15*($AC$3/100)*炼钢参数表!L15/10)/100/($AD$3/100)/炼钢参数表!L15*1000))</f>
        <v>0</v>
      </c>
      <c r="AE15" s="8">
        <f>(K15-炼钢参数表!J15-AB15*0.6566*炼钢参数表!L15/10-AC15*($AC$3/100)*炼钢参数表!L15/10-AD15*($AD$3/100)*炼钢参数表!L15/10)/100/($AE$3/100)/炼钢参数表!L15*1000</f>
        <v>0</v>
      </c>
      <c r="AF15" s="8">
        <v>0</v>
      </c>
      <c r="AG15" s="8">
        <f>IF(J15&lt;=0.04,0,((J15-(AB15*0.1769*炼钢参数表!K15/1000*100))/100/炼钢参数表!K15/($AG$3/100)*1000))</f>
        <v>1.06681484393169</v>
      </c>
      <c r="AH15" s="8">
        <v>1.20222580696115</v>
      </c>
      <c r="AI15" s="8">
        <f>IF(N15="",0,IF(N15&lt;=0.002,0,((N15)/100)/($AI$3/100)/炼钢参数表!M15*1000))</f>
        <v>0</v>
      </c>
      <c r="AJ15" s="8">
        <f>IF(O15="",0,IF(O15&lt;=0.002,0,((O15)/100)/($AJ$3/100)/炼钢参数表!N15*1000))</f>
        <v>0</v>
      </c>
      <c r="AK15" s="8">
        <f>IF(P15="",0,IF(P15&lt;=0.002,0,((P15+0.005)/100)/($AK$3/100)/炼钢参数表!O15*1000))</f>
        <v>0</v>
      </c>
      <c r="AL15" s="8">
        <f>IF((BA15-J15*0.00003-K15*0.00024)&lt;=0.05,0,IF(T15="",0,IF(T15&lt;=0.03,0,IF(((BA15-J15*0.00003-K15*0.00024)-0.05)/0.18/100/($AL$3/100)/炼钢参数表!P15*1000&lt;=T15/100/($AL$3/100)/炼钢参数表!P15*1000,((BA15-J15*0.00003-K15*0.00024)-0.05)/0.18/100/($AL$3/100)/炼钢参数表!P15*1000,T15/100/($AL$3/100)/炼钢参数表!P15*1000))))</f>
        <v>0</v>
      </c>
      <c r="AM15" s="8">
        <f>IF(T15="",0,IF(T15&lt;=0.03,0,((T15-AL15*($AL$3/100)*炼钢参数表!P15/10)/100/($AM$3/100)/炼钢参数表!P15*1000)))</f>
        <v>0</v>
      </c>
      <c r="AN15" s="8">
        <f>IF(U15="",0,IF(U15&lt;=0.02,0,(U15/100)/($AN$3/100)/炼钢参数表!Q15*1000))</f>
        <v>0</v>
      </c>
      <c r="AO15" s="8">
        <f>IF(V15="",0,IF(V15&lt;=0.02,0,(V15/100)/($AO$3/100)/炼钢参数表!R15*1000))</f>
        <v>0</v>
      </c>
      <c r="AP15" s="8">
        <f>IF(W15="",0,IF(W15&lt;=0.02,0,(W15/100)/($AP$3/100)/炼钢参数表!S15*1000))</f>
        <v>0</v>
      </c>
      <c r="AQ15" s="8">
        <f>IF(X15="",0,IF(X15&lt;=0.0002,0,(X15/100)/($AQ$3/100)/炼钢参数表!T15*1000))</f>
        <v>0</v>
      </c>
      <c r="AR15" s="8">
        <f>IF(Y15="",0,IF(Y15&lt;=0.02,0,(Y15/100)/($AR$3/100)/炼钢参数表!U15*1000))</f>
        <v>0</v>
      </c>
      <c r="AS15" s="8">
        <f>IF(L15&lt;=0.04,0,((L15-0.04)/100)/($AS$3/100)/炼钢参数表!V15*1000)</f>
        <v>0</v>
      </c>
      <c r="AT15" s="8">
        <f>IF(M15&lt;=0.03,0,((M15-0.03)/100)/($AT$3/100)/炼钢参数表!W15*1000)</f>
        <v>0</v>
      </c>
      <c r="AU15" s="6"/>
      <c r="AV15" s="8">
        <f t="shared" si="0"/>
        <v>3.9429033128193902</v>
      </c>
      <c r="AW15" s="8" cm="1">
        <f t="array" ref="AW15">SUMPRODUCT($AB$4:$AU$4,AB15:AU15)/1000</f>
        <v>41.466986457129003</v>
      </c>
      <c r="AY15" s="2" t="str">
        <f t="shared" si="1"/>
        <v>Q235B-1</v>
      </c>
      <c r="AZ15" s="37">
        <f>VLOOKUP(AY15,炼钢参数表!$F$5:$J$1027,4,0)</f>
        <v>7.2936669619131894E-2</v>
      </c>
      <c r="BA15" s="37">
        <f t="shared" si="2"/>
        <v>8.7063330380868095E-2</v>
      </c>
      <c r="BB15" s="37">
        <f>AB15*$BB$4*炼钢参数表!$X$5/1000</f>
        <v>2.5911394006622899E-3</v>
      </c>
      <c r="BC15" s="37">
        <f>AC15*$BC$4*炼钢参数表!$X$5/1000</f>
        <v>0</v>
      </c>
      <c r="BD15" s="37">
        <f>AD15*$BD$4*炼钢参数表!$X$5/1000</f>
        <v>0</v>
      </c>
      <c r="BE15" s="37">
        <f>AE15*$BE$4*炼钢参数表!$X$5/1000</f>
        <v>0</v>
      </c>
      <c r="BF15" s="37">
        <f>AL15*$BF$4*炼钢参数表!$X$5/1000</f>
        <v>0</v>
      </c>
      <c r="BG15" s="37">
        <f>AM15*$BG$4*炼钢参数表!$X$5/1000</f>
        <v>0</v>
      </c>
      <c r="BH15" s="37">
        <f t="shared" si="3"/>
        <v>2.5911394006622899E-3</v>
      </c>
      <c r="BI15" s="37">
        <f t="shared" si="4"/>
        <v>7.5527809019794195E-2</v>
      </c>
      <c r="BJ15" s="37">
        <f t="shared" si="5"/>
        <v>-8.4472190980205794E-2</v>
      </c>
      <c r="BK15" s="54"/>
      <c r="BL15" s="7"/>
    </row>
    <row r="16" spans="1:65" s="18" customFormat="1" x14ac:dyDescent="0.3">
      <c r="A16" s="21">
        <v>12</v>
      </c>
      <c r="B16" s="4" t="s">
        <v>38</v>
      </c>
      <c r="C16" s="4" t="s">
        <v>26</v>
      </c>
      <c r="D16" s="4">
        <v>12.01</v>
      </c>
      <c r="E16" s="4">
        <v>28</v>
      </c>
      <c r="F16" s="4" t="s">
        <v>31</v>
      </c>
      <c r="G16" s="50" t="s">
        <v>30</v>
      </c>
      <c r="H16" s="4">
        <v>1519</v>
      </c>
      <c r="I16" s="51">
        <v>0.16</v>
      </c>
      <c r="J16" s="52">
        <v>0.08</v>
      </c>
      <c r="K16" s="52">
        <v>0.38</v>
      </c>
      <c r="L16" s="51">
        <v>2.5000000000000001E-2</v>
      </c>
      <c r="M16" s="51">
        <v>0.02</v>
      </c>
      <c r="N16" s="51"/>
      <c r="O16" s="51" t="s">
        <v>631</v>
      </c>
      <c r="P16" s="51" t="s">
        <v>631</v>
      </c>
      <c r="Q16" s="51">
        <v>0.01</v>
      </c>
      <c r="R16" s="51" t="s">
        <v>631</v>
      </c>
      <c r="S16" s="32" t="s">
        <v>631</v>
      </c>
      <c r="T16" s="52"/>
      <c r="U16" s="52"/>
      <c r="V16" s="52"/>
      <c r="W16" s="52" t="s">
        <v>631</v>
      </c>
      <c r="X16" s="32" t="s">
        <v>631</v>
      </c>
      <c r="Y16" s="53" t="s">
        <v>631</v>
      </c>
      <c r="Z16" s="4" t="s">
        <v>631</v>
      </c>
      <c r="AA16" s="53" t="s">
        <v>631</v>
      </c>
      <c r="AB16" s="42">
        <f>IF(J16&lt;=0.04,0,IF((BA16-AL16*BF$4*炼钢参数表!$X$5/1000-AM16*BG$4*炼钢参数表!$X$5/1000)&lt;=0.03,0,IF((J16/100/0.1769/炼钢参数表!K16*1000)&gt;(K16-炼钢参数表!J16)/100/0.6566/炼钢参数表!L16*1000,IF(K16&lt;1.6,(K16-炼钢参数表!J16)/100/0.6566/炼钢参数表!L16*1000,(K16-0.08-炼钢参数表!J16)/100/0.6566/炼钢参数表!L16*1000),IF(K16&lt;1.6,J16/100/0.1769/炼钢参数表!K16*1000,(J16-0.08)/100/0.1769/炼钢参数表!K16*1000))))</f>
        <v>3.9995096653689899</v>
      </c>
      <c r="AC16" s="8">
        <f>IF((BA16-AB16*$BB$4*0.9/1000-AL16*BF$4*炼钢参数表!$X$5/1000-AM16*BG$4*炼钢参数表!$X$5/1000)&lt;(K16-炼钢参数表!J16-AB16*0.6566*炼钢参数表!L16/10)*0.082,0,(K16-炼钢参数表!J16-AB16*0.6566*炼钢参数表!L16/10)/100/($AC$3/100)/炼钢参数表!L16*1000)</f>
        <v>0</v>
      </c>
      <c r="AD16" s="8">
        <f>IF((BA16-AB16*$BB$4*0.9/1000-AC16*$BC$4*0.9/1000-AL16*BF$4*炼钢参数表!$X$5/1000-AM16*BG$4*炼钢参数表!$X$5/1000)&lt;=(K16-炼钢参数表!J16-AB16*0.6566*炼钢参数表!L16/10-AC16*($AC$3/100)*炼钢参数表!L16/10)*0.02,0,((K16-炼钢参数表!J16-AB16*0.6566*炼钢参数表!L16/10-AC16*($AC$3/100)*炼钢参数表!L16/10)/100/($AD$3/100)/炼钢参数表!L16*1000))</f>
        <v>0</v>
      </c>
      <c r="AE16" s="8">
        <f>(K16-炼钢参数表!J16-AB16*0.6566*炼钢参数表!L16/10-AC16*($AC$3/100)*炼钢参数表!L16/10-AD16*($AD$3/100)*炼钢参数表!L16/10)/100/($AE$3/100)/炼钢参数表!L16*1000</f>
        <v>0</v>
      </c>
      <c r="AF16" s="8">
        <v>0</v>
      </c>
      <c r="AG16" s="8">
        <f>IF(J16&lt;=0.04,0,((J16-(AB16*0.1769*炼钢参数表!K16/1000*100))/100/炼钢参数表!K16/($AG$3/100)*1000))</f>
        <v>0.49723578411033198</v>
      </c>
      <c r="AH16" s="8">
        <v>1.2</v>
      </c>
      <c r="AI16" s="8">
        <f>IF(N16="",0,IF(N16&lt;=0.002,0,((N16)/100)/($AI$3/100)/炼钢参数表!M16*1000))</f>
        <v>0</v>
      </c>
      <c r="AJ16" s="8">
        <f>IF(O16="",0,IF(O16&lt;=0.002,0,((O16)/100)/($AJ$3/100)/炼钢参数表!N16*1000))</f>
        <v>0</v>
      </c>
      <c r="AK16" s="8">
        <f>IF(P16="",0,IF(P16&lt;=0.002,0,((P16+0.005)/100)/($AK$3/100)/炼钢参数表!O16*1000))</f>
        <v>0</v>
      </c>
      <c r="AL16" s="8">
        <f>IF((BA16-J16*0.00003-K16*0.00024)&lt;=0.05,0,IF(T16="",0,IF(T16&lt;=0.03,0,IF(((BA16-J16*0.00003-K16*0.00024)-0.05)/0.18/100/($AL$3/100)/炼钢参数表!P16*1000&lt;=T16/100/($AL$3/100)/炼钢参数表!P16*1000,((BA16-J16*0.00003-K16*0.00024)-0.05)/0.18/100/($AL$3/100)/炼钢参数表!P16*1000,T16/100/($AL$3/100)/炼钢参数表!P16*1000))))</f>
        <v>0</v>
      </c>
      <c r="AM16" s="8">
        <f>IF(T16="",0,IF(T16&lt;=0.03,0,((T16-AL16*($AL$3/100)*炼钢参数表!P16/10)/100/($AM$3/100)/炼钢参数表!P16*1000)))</f>
        <v>0</v>
      </c>
      <c r="AN16" s="8">
        <f>IF(U16="",0,IF(U16&lt;=0.02,0,(U16/100)/($AN$3/100)/炼钢参数表!Q16*1000))</f>
        <v>0</v>
      </c>
      <c r="AO16" s="8">
        <f>IF(V16="",0,IF(V16&lt;=0.02,0,(V16/100)/($AO$3/100)/炼钢参数表!R16*1000))</f>
        <v>0</v>
      </c>
      <c r="AP16" s="8">
        <f>IF(W16="",0,IF(W16&lt;=0.02,0,(W16/100)/($AP$3/100)/炼钢参数表!S16*1000))</f>
        <v>0</v>
      </c>
      <c r="AQ16" s="8">
        <f>IF(X16="",0,IF(X16&lt;=0.0002,0,(X16/100)/($AQ$3/100)/炼钢参数表!T16*1000))</f>
        <v>0</v>
      </c>
      <c r="AR16" s="8">
        <f>IF(Y16="",0,IF(Y16&lt;=0.02,0,(Y16/100)/($AR$3/100)/炼钢参数表!U16*1000))</f>
        <v>0</v>
      </c>
      <c r="AS16" s="8">
        <f>IF(L16&lt;=0.04,0,((L16-0.04)/100)/($AS$3/100)/炼钢参数表!V16*1000)</f>
        <v>0</v>
      </c>
      <c r="AT16" s="8">
        <f>IF(M16&lt;=0.03,0,((M16-0.03)/100)/($AT$3/100)/炼钢参数表!W16*1000)</f>
        <v>0</v>
      </c>
      <c r="AU16" s="6"/>
      <c r="AV16" s="8">
        <f t="shared" si="0"/>
        <v>5.6967454494793204</v>
      </c>
      <c r="AW16" s="8" cm="1">
        <f t="array" ref="AW16">SUMPRODUCT($AB$4:$AU$4,AB16:AU16)/1000</f>
        <v>51.079642427963201</v>
      </c>
      <c r="AY16" s="2" t="str">
        <f t="shared" si="1"/>
        <v>Q235B-2</v>
      </c>
      <c r="AZ16" s="37">
        <f>VLOOKUP(AY16,炼钢参数表!$F$5:$J$1027,4,0)</f>
        <v>7.4405857740585904E-2</v>
      </c>
      <c r="BA16" s="37">
        <f t="shared" si="2"/>
        <v>8.5594142259414099E-2</v>
      </c>
      <c r="BB16" s="37">
        <f>AB16*$BB$4*炼钢参数表!$X$5/1000</f>
        <v>6.1912409619911896E-3</v>
      </c>
      <c r="BC16" s="37">
        <f>AC16*$BC$4*炼钢参数表!$X$5/1000</f>
        <v>0</v>
      </c>
      <c r="BD16" s="37">
        <f>AD16*$BD$4*炼钢参数表!$X$5/1000</f>
        <v>0</v>
      </c>
      <c r="BE16" s="37">
        <f>AE16*$BE$4*炼钢参数表!$X$5/1000</f>
        <v>0</v>
      </c>
      <c r="BF16" s="37">
        <f>AL16*$BF$4*炼钢参数表!$X$5/1000</f>
        <v>0</v>
      </c>
      <c r="BG16" s="37">
        <f>AM16*$BG$4*炼钢参数表!$X$5/1000</f>
        <v>0</v>
      </c>
      <c r="BH16" s="37">
        <f t="shared" si="3"/>
        <v>6.1912409619911896E-3</v>
      </c>
      <c r="BI16" s="37">
        <f t="shared" si="4"/>
        <v>8.05970987025771E-2</v>
      </c>
      <c r="BJ16" s="37">
        <f t="shared" si="5"/>
        <v>-7.9402901297422904E-2</v>
      </c>
      <c r="BK16" s="54"/>
      <c r="BL16" s="7"/>
    </row>
    <row r="17" spans="1:64" s="18" customFormat="1" x14ac:dyDescent="0.3">
      <c r="A17" s="21">
        <v>13</v>
      </c>
      <c r="B17" s="4" t="s">
        <v>39</v>
      </c>
      <c r="C17" s="4" t="s">
        <v>23</v>
      </c>
      <c r="D17" s="4">
        <v>1.6</v>
      </c>
      <c r="E17" s="4">
        <v>5</v>
      </c>
      <c r="F17" s="4" t="s">
        <v>40</v>
      </c>
      <c r="G17" s="50" t="s">
        <v>41</v>
      </c>
      <c r="H17" s="4">
        <v>1520</v>
      </c>
      <c r="I17" s="51">
        <v>0.15</v>
      </c>
      <c r="J17" s="52">
        <v>0.12</v>
      </c>
      <c r="K17" s="52">
        <v>0.25</v>
      </c>
      <c r="L17" s="51">
        <v>1.4999999999999999E-2</v>
      </c>
      <c r="M17" s="51">
        <v>5.0000000000000001E-3</v>
      </c>
      <c r="N17" s="51"/>
      <c r="O17" s="51" t="s">
        <v>631</v>
      </c>
      <c r="P17" s="51" t="s">
        <v>631</v>
      </c>
      <c r="Q17" s="51">
        <v>1.4999999999999999E-2</v>
      </c>
      <c r="R17" s="51" t="s">
        <v>631</v>
      </c>
      <c r="S17" s="32"/>
      <c r="T17" s="52"/>
      <c r="U17" s="52"/>
      <c r="V17" s="52"/>
      <c r="W17" s="52" t="s">
        <v>631</v>
      </c>
      <c r="X17" s="32" t="s">
        <v>631</v>
      </c>
      <c r="Y17" s="53" t="s">
        <v>631</v>
      </c>
      <c r="Z17" s="4" t="s">
        <v>631</v>
      </c>
      <c r="AA17" s="53" t="s">
        <v>631</v>
      </c>
      <c r="AB17" s="42">
        <f>IF(J17&lt;=0.04,0,IF((BA17-AL17*BF$4*炼钢参数表!$X$5/1000-AM17*BG$4*炼钢参数表!$X$5/1000)&lt;=0.03,0,IF((J17/100/0.1769/炼钢参数表!K17*1000)&gt;(K17-炼钢参数表!J17)/100/0.6566/炼钢参数表!L17*1000,IF(K17&lt;1.6,(K17-炼钢参数表!J17)/100/0.6566/炼钢参数表!L17*1000,(K17-0.08-炼钢参数表!J17)/100/0.6566/炼钢参数表!L17*1000),IF(K17&lt;1.6,J17/100/0.1769/炼钢参数表!K17*1000,(J17-0.08)/100/0.1769/炼钢参数表!K17*1000))))</f>
        <v>1.9792071794644801</v>
      </c>
      <c r="AC17" s="8">
        <f>IF((BA17-AB17*$BB$4*0.9/1000-AL17*BF$4*炼钢参数表!$X$5/1000-AM17*BG$4*炼钢参数表!$X$5/1000)&lt;(K17-炼钢参数表!J17-AB17*0.6566*炼钢参数表!L17/10)*0.082,0,(K17-炼钢参数表!J17-AB17*0.6566*炼钢参数表!L17/10)/100/($AC$3/100)/炼钢参数表!L17*1000)</f>
        <v>0</v>
      </c>
      <c r="AD17" s="8">
        <f>IF((BA17-AB17*$BB$4*0.9/1000-AC17*$BC$4*0.9/1000-AL17*BF$4*炼钢参数表!$X$5/1000-AM17*BG$4*炼钢参数表!$X$5/1000)&lt;=(K17-炼钢参数表!J17-AB17*0.6566*炼钢参数表!L17/10-AC17*($AC$3/100)*炼钢参数表!L17/10)*0.02,0,((K17-炼钢参数表!J17-AB17*0.6566*炼钢参数表!L17/10-AC17*($AC$3/100)*炼钢参数表!L17/10)/100/($AD$3/100)/炼钢参数表!L17*1000))</f>
        <v>0</v>
      </c>
      <c r="AE17" s="8">
        <f>(K17-炼钢参数表!J17-AB17*0.6566*炼钢参数表!L17/10-AC17*($AC$3/100)*炼钢参数表!L17/10-AD17*($AD$3/100)*炼钢参数表!L17/10)/100/($AE$3/100)/炼钢参数表!L17*1000</f>
        <v>0</v>
      </c>
      <c r="AF17" s="8">
        <v>0</v>
      </c>
      <c r="AG17" s="8">
        <f>IF(J17&lt;=0.04,0,((J17-(AB17*0.1769*炼钢参数表!K17/1000*100))/100/炼钢参数表!K17/($AG$3/100)*1000))</f>
        <v>1.59196767264673</v>
      </c>
      <c r="AH17" s="8">
        <v>1.3</v>
      </c>
      <c r="AI17" s="8">
        <f>IF(N17="",0,IF(N17&lt;=0.002,0,((N17)/100)/($AI$3/100)/炼钢参数表!M17*1000))</f>
        <v>0</v>
      </c>
      <c r="AJ17" s="8">
        <f>IF(O17="",0,IF(O17&lt;=0.002,0,((O17)/100)/($AJ$3/100)/炼钢参数表!N17*1000))</f>
        <v>0</v>
      </c>
      <c r="AK17" s="8">
        <f>IF(P17="",0,IF(P17&lt;=0.002,0,((P17+0.005)/100)/($AK$3/100)/炼钢参数表!O17*1000))</f>
        <v>0</v>
      </c>
      <c r="AL17" s="8">
        <f>IF((BA17-J17*0.00003-K17*0.00024)&lt;=0.05,0,IF(T17="",0,IF(T17&lt;=0.03,0,IF(((BA17-J17*0.00003-K17*0.00024)-0.05)/0.18/100/($AL$3/100)/炼钢参数表!P17*1000&lt;=T17/100/($AL$3/100)/炼钢参数表!P17*1000,((BA17-J17*0.00003-K17*0.00024)-0.05)/0.18/100/($AL$3/100)/炼钢参数表!P17*1000,T17/100/($AL$3/100)/炼钢参数表!P17*1000))))</f>
        <v>0</v>
      </c>
      <c r="AM17" s="8">
        <f>IF(T17="",0,IF(T17&lt;=0.03,0,((T17-AL17*($AL$3/100)*炼钢参数表!P17/10)/100/($AM$3/100)/炼钢参数表!P17*1000)))</f>
        <v>0</v>
      </c>
      <c r="AN17" s="8">
        <f>IF(U17="",0,IF(U17&lt;=0.02,0,(U17/100)/($AN$3/100)/炼钢参数表!Q17*1000))</f>
        <v>0</v>
      </c>
      <c r="AO17" s="8">
        <f>IF(V17="",0,IF(V17&lt;=0.02,0,(V17/100)/($AO$3/100)/炼钢参数表!R17*1000))</f>
        <v>0</v>
      </c>
      <c r="AP17" s="8">
        <f>IF(W17="",0,IF(W17&lt;=0.02,0,(W17/100)/($AP$3/100)/炼钢参数表!S17*1000))</f>
        <v>0</v>
      </c>
      <c r="AQ17" s="8">
        <f>IF(X17="",0,IF(X17&lt;=0.0002,0,(X17/100)/($AQ$3/100)/炼钢参数表!T17*1000))</f>
        <v>0</v>
      </c>
      <c r="AR17" s="8">
        <f>IF(Y17="",0,IF(Y17&lt;=0.02,0,(Y17/100)/($AR$3/100)/炼钢参数表!U17*1000))</f>
        <v>0</v>
      </c>
      <c r="AS17" s="8">
        <f>IF(L17&lt;=0.04,0,((L17-0.04)/100)/($AS$3/100)/炼钢参数表!V17*1000)</f>
        <v>0</v>
      </c>
      <c r="AT17" s="8">
        <f>IF(M17&lt;=0.03,0,((M17-0.03)/100)/($AT$3/100)/炼钢参数表!W17*1000)</f>
        <v>0</v>
      </c>
      <c r="AU17" s="6"/>
      <c r="AV17" s="8">
        <f t="shared" si="0"/>
        <v>4.8711748521112099</v>
      </c>
      <c r="AW17" s="8" cm="1">
        <f t="array" ref="AW17">SUMPRODUCT($AB$4:$AU$4,AB17:AU17)/1000</f>
        <v>48.030770417546101</v>
      </c>
      <c r="AY17" s="2" t="str">
        <f t="shared" si="1"/>
        <v>Q235B-GL1</v>
      </c>
      <c r="AZ17" s="37">
        <f>VLOOKUP(AY17,炼钢参数表!$F$5:$J$1027,4,0)</f>
        <v>7.4405857740585904E-2</v>
      </c>
      <c r="BA17" s="37">
        <f t="shared" si="2"/>
        <v>7.5594142259414104E-2</v>
      </c>
      <c r="BB17" s="37">
        <f>AB17*$BB$4*炼钢参数表!$X$5/1000</f>
        <v>3.0638127138110098E-3</v>
      </c>
      <c r="BC17" s="37">
        <f>AC17*$BC$4*炼钢参数表!$X$5/1000</f>
        <v>0</v>
      </c>
      <c r="BD17" s="37">
        <f>AD17*$BD$4*炼钢参数表!$X$5/1000</f>
        <v>0</v>
      </c>
      <c r="BE17" s="37">
        <f>AE17*$BE$4*炼钢参数表!$X$5/1000</f>
        <v>0</v>
      </c>
      <c r="BF17" s="37">
        <f>AL17*$BF$4*炼钢参数表!$X$5/1000</f>
        <v>0</v>
      </c>
      <c r="BG17" s="37">
        <f>AM17*$BG$4*炼钢参数表!$X$5/1000</f>
        <v>0</v>
      </c>
      <c r="BH17" s="37">
        <f t="shared" si="3"/>
        <v>3.0638127138110098E-3</v>
      </c>
      <c r="BI17" s="37">
        <f t="shared" si="4"/>
        <v>7.7469670454396899E-2</v>
      </c>
      <c r="BJ17" s="37">
        <f t="shared" si="5"/>
        <v>-7.2530329545603095E-2</v>
      </c>
      <c r="BK17" s="54"/>
      <c r="BL17" s="7"/>
    </row>
    <row r="18" spans="1:64" s="18" customFormat="1" x14ac:dyDescent="0.3">
      <c r="A18" s="21">
        <v>14</v>
      </c>
      <c r="B18" s="4" t="s">
        <v>39</v>
      </c>
      <c r="C18" s="4" t="s">
        <v>26</v>
      </c>
      <c r="D18" s="4">
        <v>5.01</v>
      </c>
      <c r="E18" s="4">
        <v>14</v>
      </c>
      <c r="F18" s="4" t="s">
        <v>42</v>
      </c>
      <c r="G18" s="50" t="s">
        <v>41</v>
      </c>
      <c r="H18" s="4">
        <v>1520</v>
      </c>
      <c r="I18" s="51">
        <v>0.15</v>
      </c>
      <c r="J18" s="52">
        <v>0.12</v>
      </c>
      <c r="K18" s="52">
        <v>0.35</v>
      </c>
      <c r="L18" s="51">
        <v>1.4999999999999999E-2</v>
      </c>
      <c r="M18" s="51">
        <v>5.0000000000000001E-3</v>
      </c>
      <c r="N18" s="51"/>
      <c r="O18" s="51" t="s">
        <v>631</v>
      </c>
      <c r="P18" s="51" t="s">
        <v>631</v>
      </c>
      <c r="Q18" s="51">
        <v>1.4999999999999999E-2</v>
      </c>
      <c r="R18" s="51" t="s">
        <v>631</v>
      </c>
      <c r="S18" s="32"/>
      <c r="T18" s="52"/>
      <c r="U18" s="52"/>
      <c r="V18" s="52"/>
      <c r="W18" s="52" t="s">
        <v>631</v>
      </c>
      <c r="X18" s="32" t="s">
        <v>631</v>
      </c>
      <c r="Y18" s="53" t="s">
        <v>631</v>
      </c>
      <c r="Z18" s="4" t="s">
        <v>631</v>
      </c>
      <c r="AA18" s="53" t="s">
        <v>631</v>
      </c>
      <c r="AB18" s="42">
        <f>IF(J18&lt;=0.04,0,IF((BA18-AL18*BF$4*炼钢参数表!$X$5/1000-AM18*BG$4*炼钢参数表!$X$5/1000)&lt;=0.03,0,IF((J18/100/0.1769/炼钢参数表!K18*1000)&gt;(K18-炼钢参数表!J18)/100/0.6566/炼钢参数表!L18*1000,IF(K18&lt;1.6,(K18-炼钢参数表!J18)/100/0.6566/炼钢参数表!L18*1000,(K18-0.08-炼钢参数表!J18)/100/0.6566/炼钢参数表!L18*1000),IF(K18&lt;1.6,J18/100/0.1769/炼钢参数表!K18*1000,(J18-0.08)/100/0.1769/炼钢参数表!K18*1000))))</f>
        <v>3.5332860147756402</v>
      </c>
      <c r="AC18" s="8">
        <f>IF((BA18-AB18*$BB$4*0.9/1000-AL18*BF$4*炼钢参数表!$X$5/1000-AM18*BG$4*炼钢参数表!$X$5/1000)&lt;(K18-炼钢参数表!J18-AB18*0.6566*炼钢参数表!L18/10)*0.082,0,(K18-炼钢参数表!J18-AB18*0.6566*炼钢参数表!L18/10)/100/($AC$3/100)/炼钢参数表!L18*1000)</f>
        <v>0</v>
      </c>
      <c r="AD18" s="8">
        <f>IF((BA18-AB18*$BB$4*0.9/1000-AC18*$BC$4*0.9/1000-AL18*BF$4*炼钢参数表!$X$5/1000-AM18*BG$4*炼钢参数表!$X$5/1000)&lt;=(K18-炼钢参数表!J18-AB18*0.6566*炼钢参数表!L18/10-AC18*($AC$3/100)*炼钢参数表!L18/10)*0.02,0,((K18-炼钢参数表!J18-AB18*0.6566*炼钢参数表!L18/10-AC18*($AC$3/100)*炼钢参数表!L18/10)/100/($AD$3/100)/炼钢参数表!L18*1000))</f>
        <v>0</v>
      </c>
      <c r="AE18" s="8">
        <f>(K18-炼钢参数表!J18-AB18*0.6566*炼钢参数表!L18/10-AC18*($AC$3/100)*炼钢参数表!L18/10-AD18*($AD$3/100)*炼钢参数表!L18/10)/100/($AE$3/100)/炼钢参数表!L18*1000</f>
        <v>0</v>
      </c>
      <c r="AF18" s="8">
        <v>0</v>
      </c>
      <c r="AG18" s="8">
        <f>IF(J18&lt;=0.04,0,((J18-(AB18*0.1769*炼钢参数表!K18/1000*100))/100/炼钢参数表!K18/($AG$3/100)*1000))</f>
        <v>1.21135498267505</v>
      </c>
      <c r="AH18" s="8">
        <v>1.3</v>
      </c>
      <c r="AI18" s="8">
        <f>IF(N18="",0,IF(N18&lt;=0.002,0,((N18)/100)/($AI$3/100)/炼钢参数表!M18*1000))</f>
        <v>0</v>
      </c>
      <c r="AJ18" s="8">
        <f>IF(O18="",0,IF(O18&lt;=0.002,0,((O18)/100)/($AJ$3/100)/炼钢参数表!N18*1000))</f>
        <v>0</v>
      </c>
      <c r="AK18" s="8">
        <f>IF(P18="",0,IF(P18&lt;=0.002,0,((P18+0.005)/100)/($AK$3/100)/炼钢参数表!O18*1000))</f>
        <v>0</v>
      </c>
      <c r="AL18" s="8">
        <f>IF((BA18-J18*0.00003-K18*0.00024)&lt;=0.05,0,IF(T18="",0,IF(T18&lt;=0.03,0,IF(((BA18-J18*0.00003-K18*0.00024)-0.05)/0.18/100/($AL$3/100)/炼钢参数表!P18*1000&lt;=T18/100/($AL$3/100)/炼钢参数表!P18*1000,((BA18-J18*0.00003-K18*0.00024)-0.05)/0.18/100/($AL$3/100)/炼钢参数表!P18*1000,T18/100/($AL$3/100)/炼钢参数表!P18*1000))))</f>
        <v>0</v>
      </c>
      <c r="AM18" s="8">
        <f>IF(T18="",0,IF(T18&lt;=0.03,0,((T18-AL18*($AL$3/100)*炼钢参数表!P18/10)/100/($AM$3/100)/炼钢参数表!P18*1000)))</f>
        <v>0</v>
      </c>
      <c r="AN18" s="8">
        <f>IF(U18="",0,IF(U18&lt;=0.02,0,(U18/100)/($AN$3/100)/炼钢参数表!Q18*1000))</f>
        <v>0</v>
      </c>
      <c r="AO18" s="8">
        <f>IF(V18="",0,IF(V18&lt;=0.02,0,(V18/100)/($AO$3/100)/炼钢参数表!R18*1000))</f>
        <v>0</v>
      </c>
      <c r="AP18" s="8">
        <f>IF(W18="",0,IF(W18&lt;=0.02,0,(W18/100)/($AP$3/100)/炼钢参数表!S18*1000))</f>
        <v>0</v>
      </c>
      <c r="AQ18" s="8">
        <f>IF(X18="",0,IF(X18&lt;=0.0002,0,(X18/100)/($AQ$3/100)/炼钢参数表!T18*1000))</f>
        <v>0</v>
      </c>
      <c r="AR18" s="8">
        <f>IF(Y18="",0,IF(Y18&lt;=0.02,0,(Y18/100)/($AR$3/100)/炼钢参数表!U18*1000))</f>
        <v>0</v>
      </c>
      <c r="AS18" s="8">
        <f>IF(L18&lt;=0.04,0,((L18-0.04)/100)/($AS$3/100)/炼钢参数表!V18*1000)</f>
        <v>0</v>
      </c>
      <c r="AT18" s="8">
        <f>IF(M18&lt;=0.03,0,((M18-0.03)/100)/($AT$3/100)/炼钢参数表!W18*1000)</f>
        <v>0</v>
      </c>
      <c r="AU18" s="6"/>
      <c r="AV18" s="8">
        <f t="shared" si="0"/>
        <v>6.0446409974506903</v>
      </c>
      <c r="AW18" s="8" cm="1">
        <f t="array" ref="AW18">SUMPRODUCT($AB$4:$AU$4,AB18:AU18)/1000</f>
        <v>54.487507494734899</v>
      </c>
      <c r="AY18" s="2" t="str">
        <f t="shared" si="1"/>
        <v>Q235B-GL2</v>
      </c>
      <c r="AZ18" s="37">
        <f>VLOOKUP(AY18,炼钢参数表!$F$5:$J$1027,4,0)</f>
        <v>7.4405857740585904E-2</v>
      </c>
      <c r="BA18" s="37">
        <f t="shared" si="2"/>
        <v>7.5594142259414104E-2</v>
      </c>
      <c r="BB18" s="37">
        <f>AB18*$BB$4*炼钢参数表!$X$5/1000</f>
        <v>5.4695267508726901E-3</v>
      </c>
      <c r="BC18" s="37">
        <f>AC18*$BC$4*炼钢参数表!$X$5/1000</f>
        <v>0</v>
      </c>
      <c r="BD18" s="37">
        <f>AD18*$BD$4*炼钢参数表!$X$5/1000</f>
        <v>0</v>
      </c>
      <c r="BE18" s="37">
        <f>AE18*$BE$4*炼钢参数表!$X$5/1000</f>
        <v>0</v>
      </c>
      <c r="BF18" s="37">
        <f>AL18*$BF$4*炼钢参数表!$X$5/1000</f>
        <v>0</v>
      </c>
      <c r="BG18" s="37">
        <f>AM18*$BG$4*炼钢参数表!$X$5/1000</f>
        <v>0</v>
      </c>
      <c r="BH18" s="37">
        <f t="shared" si="3"/>
        <v>5.4695267508726901E-3</v>
      </c>
      <c r="BI18" s="37">
        <f t="shared" si="4"/>
        <v>7.9875384491458604E-2</v>
      </c>
      <c r="BJ18" s="37">
        <f t="shared" si="5"/>
        <v>-7.0124615508541405E-2</v>
      </c>
      <c r="BK18" s="54"/>
      <c r="BL18" s="7"/>
    </row>
    <row r="19" spans="1:64" s="18" customFormat="1" x14ac:dyDescent="0.3">
      <c r="A19" s="21">
        <v>15</v>
      </c>
      <c r="B19" s="4" t="s">
        <v>43</v>
      </c>
      <c r="C19" s="4" t="s">
        <v>23</v>
      </c>
      <c r="D19" s="4">
        <v>3</v>
      </c>
      <c r="E19" s="4">
        <v>12</v>
      </c>
      <c r="F19" s="4" t="s">
        <v>44</v>
      </c>
      <c r="G19" s="50" t="s">
        <v>45</v>
      </c>
      <c r="H19" s="4">
        <v>1519</v>
      </c>
      <c r="I19" s="51">
        <v>0.15</v>
      </c>
      <c r="J19" s="52">
        <v>0.05</v>
      </c>
      <c r="K19" s="52">
        <v>0.25</v>
      </c>
      <c r="L19" s="51">
        <v>1.7999999999999999E-2</v>
      </c>
      <c r="M19" s="51">
        <v>8.0000000000000002E-3</v>
      </c>
      <c r="N19" s="51"/>
      <c r="O19" s="51" t="s">
        <v>631</v>
      </c>
      <c r="P19" s="51" t="s">
        <v>631</v>
      </c>
      <c r="Q19" s="51">
        <v>0.01</v>
      </c>
      <c r="R19" s="51" t="s">
        <v>631</v>
      </c>
      <c r="S19" s="32" t="s">
        <v>631</v>
      </c>
      <c r="T19" s="52"/>
      <c r="U19" s="52"/>
      <c r="V19" s="52"/>
      <c r="W19" s="52" t="s">
        <v>631</v>
      </c>
      <c r="X19" s="32" t="s">
        <v>631</v>
      </c>
      <c r="Y19" s="53" t="s">
        <v>631</v>
      </c>
      <c r="Z19" s="4"/>
      <c r="AA19" s="53"/>
      <c r="AB19" s="42">
        <f>IF(J19&lt;=0.04,0,IF((BA19-AL19*BF$4*炼钢参数表!$X$5/1000-AM19*BG$4*炼钢参数表!$X$5/1000)&lt;=0.03,0,IF((J19/100/0.1769/炼钢参数表!K19*1000)&gt;(K19-炼钢参数表!J19)/100/0.6566/炼钢参数表!L19*1000,IF(K19&lt;1.6,(K19-炼钢参数表!J19)/100/0.6566/炼钢参数表!L19*1000,(K19-0.08-炼钢参数表!J19)/100/0.6566/炼钢参数表!L19*1000),IF(K19&lt;1.6,J19/100/0.1769/炼钢参数表!K19*1000,(J19-0.08)/100/0.1769/炼钢参数表!K19*1000))))</f>
        <v>2.4321333772619602</v>
      </c>
      <c r="AC19" s="8">
        <f>IF((BA19-AB19*$BB$4*0.9/1000-AL19*BF$4*炼钢参数表!$X$5/1000-AM19*BG$4*炼钢参数表!$X$5/1000)&lt;(K19-炼钢参数表!J19-AB19*0.6566*炼钢参数表!L19/10)*0.082,0,(K19-炼钢参数表!J19-AB19*0.6566*炼钢参数表!L19/10)/100/($AC$3/100)/炼钢参数表!L19*1000)</f>
        <v>0</v>
      </c>
      <c r="AD19" s="8">
        <f>IF((BA19-AB19*$BB$4*0.9/1000-AC19*$BC$4*0.9/1000-AL19*BF$4*炼钢参数表!$X$5/1000-AM19*BG$4*炼钢参数表!$X$5/1000)&lt;=(K19-炼钢参数表!J19-AB19*0.6566*炼钢参数表!L19/10-AC19*($AC$3/100)*炼钢参数表!L19/10)*0.02,0,((K19-炼钢参数表!J19-AB19*0.6566*炼钢参数表!L19/10-AC19*($AC$3/100)*炼钢参数表!L19/10)/100/($AD$3/100)/炼钢参数表!L19*1000))</f>
        <v>0</v>
      </c>
      <c r="AE19" s="8">
        <f>(K19-炼钢参数表!J19-AB19*0.6566*炼钢参数表!L19/10-AC19*($AC$3/100)*炼钢参数表!L19/10-AD19*($AD$3/100)*炼钢参数表!L19/10)/100/($AE$3/100)/炼钢参数表!L19*1000</f>
        <v>0</v>
      </c>
      <c r="AF19" s="8">
        <v>0</v>
      </c>
      <c r="AG19" s="8">
        <f>IF(J19&lt;=0.04,0,((J19-(AB19*0.1769*炼钢参数表!K19/1000*100))/100/炼钢参数表!K19/($AG$3/100)*1000))</f>
        <v>0.32731866569157603</v>
      </c>
      <c r="AH19" s="8">
        <v>1.3043909837672001</v>
      </c>
      <c r="AI19" s="8">
        <f>IF(N19="",0,IF(N19&lt;=0.002,0,((N19)/100)/($AI$3/100)/炼钢参数表!M19*1000))</f>
        <v>0</v>
      </c>
      <c r="AJ19" s="8">
        <f>IF(O19="",0,IF(O19&lt;=0.002,0,((O19)/100)/($AJ$3/100)/炼钢参数表!N19*1000))</f>
        <v>0</v>
      </c>
      <c r="AK19" s="8">
        <f>IF(P19="",0,IF(P19&lt;=0.002,0,((P19+0.005)/100)/($AK$3/100)/炼钢参数表!O19*1000))</f>
        <v>0</v>
      </c>
      <c r="AL19" s="8">
        <f>IF((BA19-J19*0.00003-K19*0.00024)&lt;=0.05,0,IF(T19="",0,IF(T19&lt;=0.03,0,IF(((BA19-J19*0.00003-K19*0.00024)-0.05)/0.18/100/($AL$3/100)/炼钢参数表!P19*1000&lt;=T19/100/($AL$3/100)/炼钢参数表!P19*1000,((BA19-J19*0.00003-K19*0.00024)-0.05)/0.18/100/($AL$3/100)/炼钢参数表!P19*1000,T19/100/($AL$3/100)/炼钢参数表!P19*1000))))</f>
        <v>0</v>
      </c>
      <c r="AM19" s="8">
        <f>IF(T19="",0,IF(T19&lt;=0.03,0,((T19-AL19*($AL$3/100)*炼钢参数表!P19/10)/100/($AM$3/100)/炼钢参数表!P19*1000)))</f>
        <v>0</v>
      </c>
      <c r="AN19" s="8">
        <f>IF(U19="",0,IF(U19&lt;=0.02,0,(U19/100)/($AN$3/100)/炼钢参数表!Q19*1000))</f>
        <v>0</v>
      </c>
      <c r="AO19" s="8">
        <f>IF(V19="",0,IF(V19&lt;=0.02,0,(V19/100)/($AO$3/100)/炼钢参数表!R19*1000))</f>
        <v>0</v>
      </c>
      <c r="AP19" s="8">
        <f>IF(W19="",0,IF(W19&lt;=0.02,0,(W19/100)/($AP$3/100)/炼钢参数表!S19*1000))</f>
        <v>0</v>
      </c>
      <c r="AQ19" s="8">
        <f>IF(X19="",0,IF(X19&lt;=0.0002,0,(X19/100)/($AQ$3/100)/炼钢参数表!T19*1000))</f>
        <v>0</v>
      </c>
      <c r="AR19" s="8">
        <f>IF(Y19="",0,IF(Y19&lt;=0.02,0,(Y19/100)/($AR$3/100)/炼钢参数表!U19*1000))</f>
        <v>0</v>
      </c>
      <c r="AS19" s="8">
        <f>IF(L19&lt;=0.04,0,((L19-0.04)/100)/($AS$3/100)/炼钢参数表!V19*1000)</f>
        <v>0</v>
      </c>
      <c r="AT19" s="8">
        <f>IF(M19&lt;=0.03,0,((M19-0.03)/100)/($AT$3/100)/炼钢参数表!W19*1000)</f>
        <v>0</v>
      </c>
      <c r="AU19" s="6"/>
      <c r="AV19" s="8">
        <f t="shared" si="0"/>
        <v>4.0638430267207397</v>
      </c>
      <c r="AW19" s="8" cm="1">
        <f t="array" ref="AW19">SUMPRODUCT($AB$4:$AU$4,AB19:AU19)/1000</f>
        <v>44.027608676846299</v>
      </c>
      <c r="AY19" s="2" t="str">
        <f t="shared" si="1"/>
        <v>Q235B-GC1</v>
      </c>
      <c r="AZ19" s="37">
        <f>VLOOKUP(AY19,炼钢参数表!$F$5:$J$1027,4,0)</f>
        <v>7.3874999999999996E-2</v>
      </c>
      <c r="BA19" s="37">
        <f t="shared" si="2"/>
        <v>7.6124999999999998E-2</v>
      </c>
      <c r="BB19" s="37">
        <f>AB19*$BB$4*炼钢参数表!$X$5/1000</f>
        <v>3.7649424680015202E-3</v>
      </c>
      <c r="BC19" s="37">
        <f>AC19*$BC$4*炼钢参数表!$X$5/1000</f>
        <v>0</v>
      </c>
      <c r="BD19" s="37">
        <f>AD19*$BD$4*炼钢参数表!$X$5/1000</f>
        <v>0</v>
      </c>
      <c r="BE19" s="37">
        <f>AE19*$BE$4*炼钢参数表!$X$5/1000</f>
        <v>0</v>
      </c>
      <c r="BF19" s="37">
        <f>AL19*$BF$4*炼钢参数表!$X$5/1000</f>
        <v>0</v>
      </c>
      <c r="BG19" s="37">
        <f>AM19*$BG$4*炼钢参数表!$X$5/1000</f>
        <v>0</v>
      </c>
      <c r="BH19" s="37">
        <f t="shared" si="3"/>
        <v>3.7649424680015202E-3</v>
      </c>
      <c r="BI19" s="37">
        <f t="shared" si="4"/>
        <v>7.7639942468001502E-2</v>
      </c>
      <c r="BJ19" s="37">
        <f t="shared" si="5"/>
        <v>-7.2360057531998506E-2</v>
      </c>
      <c r="BK19" s="54"/>
      <c r="BL19" s="7"/>
    </row>
    <row r="20" spans="1:64" s="18" customFormat="1" x14ac:dyDescent="0.3">
      <c r="A20" s="21">
        <v>16</v>
      </c>
      <c r="B20" s="4" t="s">
        <v>43</v>
      </c>
      <c r="C20" s="4" t="s">
        <v>26</v>
      </c>
      <c r="D20" s="4">
        <v>12.01</v>
      </c>
      <c r="E20" s="4">
        <v>25.4</v>
      </c>
      <c r="F20" s="4" t="s">
        <v>46</v>
      </c>
      <c r="G20" s="50" t="s">
        <v>45</v>
      </c>
      <c r="H20" s="4">
        <v>1519</v>
      </c>
      <c r="I20" s="51">
        <v>0.15</v>
      </c>
      <c r="J20" s="52">
        <v>0.05</v>
      </c>
      <c r="K20" s="52">
        <v>0.38</v>
      </c>
      <c r="L20" s="51">
        <v>1.7999999999999999E-2</v>
      </c>
      <c r="M20" s="51">
        <v>8.0000000000000002E-3</v>
      </c>
      <c r="N20" s="51"/>
      <c r="O20" s="51" t="s">
        <v>631</v>
      </c>
      <c r="P20" s="51" t="s">
        <v>631</v>
      </c>
      <c r="Q20" s="51">
        <v>0.01</v>
      </c>
      <c r="R20" s="51" t="s">
        <v>631</v>
      </c>
      <c r="S20" s="32" t="s">
        <v>631</v>
      </c>
      <c r="T20" s="52"/>
      <c r="U20" s="52"/>
      <c r="V20" s="52"/>
      <c r="W20" s="52" t="s">
        <v>631</v>
      </c>
      <c r="X20" s="32" t="s">
        <v>631</v>
      </c>
      <c r="Y20" s="53" t="s">
        <v>631</v>
      </c>
      <c r="Z20" s="4"/>
      <c r="AA20" s="53"/>
      <c r="AB20" s="42">
        <f>IF(J20&lt;=0.04,0,IF((BA20-AL20*BF$4*炼钢参数表!$X$5/1000-AM20*BG$4*炼钢参数表!$X$5/1000)&lt;=0.03,0,IF((J20/100/0.1769/炼钢参数表!K20*1000)&gt;(K20-炼钢参数表!J20)/100/0.6566/炼钢参数表!L20*1000,IF(K20&lt;1.6,(K20-炼钢参数表!J20)/100/0.6566/炼钢参数表!L20*1000,(K20-0.08-炼钢参数表!J20)/100/0.6566/炼钢参数表!L20*1000),IF(K20&lt;1.6,J20/100/0.1769/炼钢参数表!K20*1000,(J20-0.08)/100/0.1769/炼钢参数表!K20*1000))))</f>
        <v>3.7686074995289198</v>
      </c>
      <c r="AC20" s="8">
        <f>IF((BA20-AB20*$BB$4*0.9/1000-AL20*BF$4*炼钢参数表!$X$5/1000-AM20*BG$4*炼钢参数表!$X$5/1000)&lt;(K20-炼钢参数表!J20-AB20*0.6566*炼钢参数表!L20/10)*0.082,0,(K20-炼钢参数表!J20-AB20*0.6566*炼钢参数表!L20/10)/100/($AC$3/100)/炼钢参数表!L20*1000)</f>
        <v>0.60187895920162204</v>
      </c>
      <c r="AD20" s="8">
        <f>IF((BA20-AB20*$BB$4*0.9/1000-AC20*$BC$4*0.9/1000-AL20*BF$4*炼钢参数表!$X$5/1000-AM20*BG$4*炼钢参数表!$X$5/1000)&lt;=(K20-炼钢参数表!J20-AB20*0.6566*炼钢参数表!L20/10-AC20*($AC$3/100)*炼钢参数表!L20/10)*0.02,0,((K20-炼钢参数表!J20-AB20*0.6566*炼钢参数表!L20/10-AC20*($AC$3/100)*炼钢参数表!L20/10)/100/($AD$3/100)/炼钢参数表!L20*1000))</f>
        <v>0</v>
      </c>
      <c r="AE20" s="8">
        <f>(K20-炼钢参数表!J20-AB20*0.6566*炼钢参数表!L20/10-AC20*($AC$3/100)*炼钢参数表!L20/10-AD20*($AD$3/100)*炼钢参数表!L20/10)/100/($AE$3/100)/炼钢参数表!L20*1000</f>
        <v>0</v>
      </c>
      <c r="AF20" s="8">
        <v>0</v>
      </c>
      <c r="AG20" s="8">
        <f>IF(J20&lt;=0.04,0,((J20-(AB20*0.1769*炼钢参数表!K20/1000*100))/100/炼钢参数表!K20/($AG$3/100)*1000))</f>
        <v>0</v>
      </c>
      <c r="AH20" s="8">
        <v>1.3</v>
      </c>
      <c r="AI20" s="8">
        <f>IF(N20="",0,IF(N20&lt;=0.002,0,((N20)/100)/($AI$3/100)/炼钢参数表!M20*1000))</f>
        <v>0</v>
      </c>
      <c r="AJ20" s="8">
        <f>IF(O20="",0,IF(O20&lt;=0.002,0,((O20)/100)/($AJ$3/100)/炼钢参数表!N20*1000))</f>
        <v>0</v>
      </c>
      <c r="AK20" s="8">
        <f>IF(P20="",0,IF(P20&lt;=0.002,0,((P20+0.005)/100)/($AK$3/100)/炼钢参数表!O20*1000))</f>
        <v>0</v>
      </c>
      <c r="AL20" s="8">
        <f>IF((BA20-J20*0.00003-K20*0.00024)&lt;=0.05,0,IF(T20="",0,IF(T20&lt;=0.03,0,IF(((BA20-J20*0.00003-K20*0.00024)-0.05)/0.18/100/($AL$3/100)/炼钢参数表!P20*1000&lt;=T20/100/($AL$3/100)/炼钢参数表!P20*1000,((BA20-J20*0.00003-K20*0.00024)-0.05)/0.18/100/($AL$3/100)/炼钢参数表!P20*1000,T20/100/($AL$3/100)/炼钢参数表!P20*1000))))</f>
        <v>0</v>
      </c>
      <c r="AM20" s="8">
        <f>IF(T20="",0,IF(T20&lt;=0.03,0,((T20-AL20*($AL$3/100)*炼钢参数表!P20/10)/100/($AM$3/100)/炼钢参数表!P20*1000)))</f>
        <v>0</v>
      </c>
      <c r="AN20" s="8">
        <f>IF(U20="",0,IF(U20&lt;=0.02,0,(U20/100)/($AN$3/100)/炼钢参数表!Q20*1000))</f>
        <v>0</v>
      </c>
      <c r="AO20" s="8">
        <f>IF(V20="",0,IF(V20&lt;=0.02,0,(V20/100)/($AO$3/100)/炼钢参数表!R20*1000))</f>
        <v>0</v>
      </c>
      <c r="AP20" s="8">
        <f>IF(W20="",0,IF(W20&lt;=0.02,0,(W20/100)/($AP$3/100)/炼钢参数表!S20*1000))</f>
        <v>0</v>
      </c>
      <c r="AQ20" s="8">
        <f>IF(X20="",0,IF(X20&lt;=0.0002,0,(X20/100)/($AQ$3/100)/炼钢参数表!T20*1000))</f>
        <v>0</v>
      </c>
      <c r="AR20" s="8">
        <f>IF(Y20="",0,IF(Y20&lt;=0.02,0,(Y20/100)/($AR$3/100)/炼钢参数表!U20*1000))</f>
        <v>0</v>
      </c>
      <c r="AS20" s="8">
        <f>IF(L20&lt;=0.04,0,((L20-0.04)/100)/($AS$3/100)/炼钢参数表!V20*1000)</f>
        <v>0</v>
      </c>
      <c r="AT20" s="8">
        <f>IF(M20&lt;=0.03,0,((M20-0.03)/100)/($AT$3/100)/炼钢参数表!W20*1000)</f>
        <v>0</v>
      </c>
      <c r="AU20" s="6"/>
      <c r="AV20" s="8">
        <f t="shared" si="0"/>
        <v>5.6704864587305499</v>
      </c>
      <c r="AW20" s="8" cm="1">
        <f t="array" ref="AW20">SUMPRODUCT($AB$4:$AU$4,AB20:AU20)/1000</f>
        <v>53.120086073857799</v>
      </c>
      <c r="AY20" s="2" t="str">
        <f t="shared" si="1"/>
        <v>Q235B-GC2</v>
      </c>
      <c r="AZ20" s="37">
        <f>VLOOKUP(AY20,炼钢参数表!$F$5:$J$1027,4,0)</f>
        <v>7.3874999999999996E-2</v>
      </c>
      <c r="BA20" s="37">
        <f t="shared" si="2"/>
        <v>7.6124999999999998E-2</v>
      </c>
      <c r="BB20" s="37">
        <f>AB20*$BB$4*炼钢参数表!$X$5/1000</f>
        <v>5.8338044092707698E-3</v>
      </c>
      <c r="BC20" s="37">
        <f>AC20*$BC$4*炼钢参数表!$X$5/1000</f>
        <v>3.6239132133529701E-3</v>
      </c>
      <c r="BD20" s="37">
        <f>AD20*$BD$4*炼钢参数表!$X$5/1000</f>
        <v>0</v>
      </c>
      <c r="BE20" s="37">
        <f>AE20*$BE$4*炼钢参数表!$X$5/1000</f>
        <v>0</v>
      </c>
      <c r="BF20" s="37">
        <f>AL20*$BF$4*炼钢参数表!$X$5/1000</f>
        <v>0</v>
      </c>
      <c r="BG20" s="37">
        <f>AM20*$BG$4*炼钢参数表!$X$5/1000</f>
        <v>0</v>
      </c>
      <c r="BH20" s="37">
        <f t="shared" si="3"/>
        <v>9.4577176226237399E-3</v>
      </c>
      <c r="BI20" s="37">
        <f t="shared" si="4"/>
        <v>8.3332717622623703E-2</v>
      </c>
      <c r="BJ20" s="37">
        <f t="shared" si="5"/>
        <v>-6.6667282377376305E-2</v>
      </c>
      <c r="BK20" s="54"/>
      <c r="BL20" s="7"/>
    </row>
    <row r="21" spans="1:64" s="18" customFormat="1" x14ac:dyDescent="0.3">
      <c r="A21" s="21">
        <v>17</v>
      </c>
      <c r="B21" s="4" t="s">
        <v>47</v>
      </c>
      <c r="C21" s="4" t="s">
        <v>23</v>
      </c>
      <c r="D21" s="4">
        <v>3</v>
      </c>
      <c r="E21" s="4">
        <v>12</v>
      </c>
      <c r="F21" s="4" t="s">
        <v>48</v>
      </c>
      <c r="G21" s="50" t="s">
        <v>49</v>
      </c>
      <c r="H21" s="4">
        <v>1519</v>
      </c>
      <c r="I21" s="51">
        <v>0.15</v>
      </c>
      <c r="J21" s="52">
        <v>0.05</v>
      </c>
      <c r="K21" s="52">
        <v>0.25</v>
      </c>
      <c r="L21" s="51">
        <v>1.7999999999999999E-2</v>
      </c>
      <c r="M21" s="51">
        <v>8.0000000000000002E-3</v>
      </c>
      <c r="N21" s="51"/>
      <c r="O21" s="51" t="s">
        <v>631</v>
      </c>
      <c r="P21" s="51" t="s">
        <v>631</v>
      </c>
      <c r="Q21" s="51">
        <v>0.01</v>
      </c>
      <c r="R21" s="51" t="s">
        <v>631</v>
      </c>
      <c r="S21" s="32" t="s">
        <v>631</v>
      </c>
      <c r="T21" s="52"/>
      <c r="U21" s="52"/>
      <c r="V21" s="52"/>
      <c r="W21" s="52" t="s">
        <v>631</v>
      </c>
      <c r="X21" s="32" t="s">
        <v>631</v>
      </c>
      <c r="Y21" s="53" t="s">
        <v>631</v>
      </c>
      <c r="Z21" s="4"/>
      <c r="AA21" s="53"/>
      <c r="AB21" s="42">
        <f>IF(J21&lt;=0.04,0,IF((BA21-AL21*BF$4*炼钢参数表!$X$5/1000-AM21*BG$4*炼钢参数表!$X$5/1000)&lt;=0.03,0,IF((J21/100/0.1769/炼钢参数表!K21*1000)&gt;(K21-炼钢参数表!J21)/100/0.6566/炼钢参数表!L21*1000,IF(K21&lt;1.6,(K21-炼钢参数表!J21)/100/0.6566/炼钢参数表!L21*1000,(K21-0.08-炼钢参数表!J21)/100/0.6566/炼钢参数表!L21*1000),IF(K21&lt;1.6,J21/100/0.1769/炼钢参数表!K21*1000,(J21-0.08)/100/0.1769/炼钢参数表!K21*1000))))</f>
        <v>1.9800017974633899</v>
      </c>
      <c r="AC21" s="8">
        <f>IF((BA21-AB21*$BB$4*0.9/1000-AL21*BF$4*炼钢参数表!$X$5/1000-AM21*BG$4*炼钢参数表!$X$5/1000)&lt;(K21-炼钢参数表!J21-AB21*0.6566*炼钢参数表!L21/10)*0.082,0,(K21-炼钢参数表!J21-AB21*0.6566*炼钢参数表!L21/10)/100/($AC$3/100)/炼钢参数表!L21*1000)</f>
        <v>0</v>
      </c>
      <c r="AD21" s="8">
        <f>IF((BA21-AB21*$BB$4*0.9/1000-AC21*$BC$4*0.9/1000-AL21*BF$4*炼钢参数表!$X$5/1000-AM21*BG$4*炼钢参数表!$X$5/1000)&lt;=(K21-炼钢参数表!J21-AB21*0.6566*炼钢参数表!L21/10-AC21*($AC$3/100)*炼钢参数表!L21/10)*0.02,0,((K21-炼钢参数表!J21-AB21*0.6566*炼钢参数表!L21/10-AC21*($AC$3/100)*炼钢参数表!L21/10)/100/($AD$3/100)/炼钢参数表!L21*1000))</f>
        <v>0</v>
      </c>
      <c r="AE21" s="8">
        <f>(K21-炼钢参数表!J21-AB21*0.6566*炼钢参数表!L21/10-AC21*($AC$3/100)*炼钢参数表!L21/10-AD21*($AD$3/100)*炼钢参数表!L21/10)/100/($AE$3/100)/炼钢参数表!L21*1000</f>
        <v>0</v>
      </c>
      <c r="AF21" s="8">
        <v>0</v>
      </c>
      <c r="AG21" s="8">
        <f>IF(J21&lt;=0.04,0,((J21-(AB21*0.1769*炼钢参数表!K21/1000*100))/100/炼钢参数表!K21/($AG$3/100)*1000))</f>
        <v>0.43805115422316698</v>
      </c>
      <c r="AH21" s="8">
        <v>1.3</v>
      </c>
      <c r="AI21" s="8">
        <f>IF(N21="",0,IF(N21&lt;=0.002,0,((N21)/100)/($AI$3/100)/炼钢参数表!M21*1000))</f>
        <v>0</v>
      </c>
      <c r="AJ21" s="8">
        <f>IF(O21="",0,IF(O21&lt;=0.002,0,((O21)/100)/($AJ$3/100)/炼钢参数表!N21*1000))</f>
        <v>0</v>
      </c>
      <c r="AK21" s="8">
        <f>IF(P21="",0,IF(P21&lt;=0.002,0,((P21+0.005)/100)/($AK$3/100)/炼钢参数表!O21*1000))</f>
        <v>0</v>
      </c>
      <c r="AL21" s="8">
        <f>IF((BA21-J21*0.00003-K21*0.00024)&lt;=0.05,0,IF(T21="",0,IF(T21&lt;=0.03,0,IF(((BA21-J21*0.00003-K21*0.00024)-0.05)/0.18/100/($AL$3/100)/炼钢参数表!P21*1000&lt;=T21/100/($AL$3/100)/炼钢参数表!P21*1000,((BA21-J21*0.00003-K21*0.00024)-0.05)/0.18/100/($AL$3/100)/炼钢参数表!P21*1000,T21/100/($AL$3/100)/炼钢参数表!P21*1000))))</f>
        <v>0</v>
      </c>
      <c r="AM21" s="8">
        <f>IF(T21="",0,IF(T21&lt;=0.03,0,((T21-AL21*($AL$3/100)*炼钢参数表!P21/10)/100/($AM$3/100)/炼钢参数表!P21*1000)))</f>
        <v>0</v>
      </c>
      <c r="AN21" s="8">
        <f>IF(U21="",0,IF(U21&lt;=0.02,0,(U21/100)/($AN$3/100)/炼钢参数表!Q21*1000))</f>
        <v>0</v>
      </c>
      <c r="AO21" s="8">
        <f>IF(V21="",0,IF(V21&lt;=0.02,0,(V21/100)/($AO$3/100)/炼钢参数表!R21*1000))</f>
        <v>0</v>
      </c>
      <c r="AP21" s="8">
        <f>IF(W21="",0,IF(W21&lt;=0.02,0,(W21/100)/($AP$3/100)/炼钢参数表!S21*1000))</f>
        <v>0</v>
      </c>
      <c r="AQ21" s="8">
        <f>IF(X21="",0,IF(X21&lt;=0.0002,0,(X21/100)/($AQ$3/100)/炼钢参数表!T21*1000))</f>
        <v>0</v>
      </c>
      <c r="AR21" s="8">
        <f>IF(Y21="",0,IF(Y21&lt;=0.02,0,(Y21/100)/($AR$3/100)/炼钢参数表!U21*1000))</f>
        <v>0</v>
      </c>
      <c r="AS21" s="8">
        <f>IF(L21&lt;=0.04,0,((L21-0.04)/100)/($AS$3/100)/炼钢参数表!V21*1000)</f>
        <v>0</v>
      </c>
      <c r="AT21" s="8">
        <f>IF(M21&lt;=0.03,0,((M21-0.03)/100)/($AT$3/100)/炼钢参数表!W21*1000)</f>
        <v>0</v>
      </c>
      <c r="AU21" s="6"/>
      <c r="AV21" s="8">
        <f t="shared" si="0"/>
        <v>3.7180529516865501</v>
      </c>
      <c r="AW21" s="8" cm="1">
        <f t="array" ref="AW21">SUMPRODUCT($AB$4:$AU$4,AB21:AU21)/1000</f>
        <v>42.051053789556001</v>
      </c>
      <c r="AY21" s="2" t="str">
        <f t="shared" si="1"/>
        <v>Q235B-SD1</v>
      </c>
      <c r="AZ21" s="37">
        <f>VLOOKUP(AY21,炼钢参数表!$F$5:$J$1027,4,0)</f>
        <v>7.3305084745762694E-2</v>
      </c>
      <c r="BA21" s="37">
        <f t="shared" si="2"/>
        <v>7.66949152542373E-2</v>
      </c>
      <c r="BB21" s="37">
        <f>AB21*$BB$4*炼钢参数表!$X$5/1000</f>
        <v>3.0650427824733201E-3</v>
      </c>
      <c r="BC21" s="37">
        <f>AC21*$BC$4*炼钢参数表!$X$5/1000</f>
        <v>0</v>
      </c>
      <c r="BD21" s="37">
        <f>AD21*$BD$4*炼钢参数表!$X$5/1000</f>
        <v>0</v>
      </c>
      <c r="BE21" s="37">
        <f>AE21*$BE$4*炼钢参数表!$X$5/1000</f>
        <v>0</v>
      </c>
      <c r="BF21" s="37">
        <f>AL21*$BF$4*炼钢参数表!$X$5/1000</f>
        <v>0</v>
      </c>
      <c r="BG21" s="37">
        <f>AM21*$BG$4*炼钢参数表!$X$5/1000</f>
        <v>0</v>
      </c>
      <c r="BH21" s="37">
        <f t="shared" si="3"/>
        <v>3.0650427824733201E-3</v>
      </c>
      <c r="BI21" s="37">
        <f t="shared" si="4"/>
        <v>7.6370127528236006E-2</v>
      </c>
      <c r="BJ21" s="37">
        <f t="shared" si="5"/>
        <v>-7.3629872471764002E-2</v>
      </c>
      <c r="BK21" s="54"/>
      <c r="BL21" s="7"/>
    </row>
    <row r="22" spans="1:64" s="18" customFormat="1" x14ac:dyDescent="0.3">
      <c r="A22" s="21">
        <v>18</v>
      </c>
      <c r="B22" s="4" t="s">
        <v>47</v>
      </c>
      <c r="C22" s="4" t="s">
        <v>26</v>
      </c>
      <c r="D22" s="4">
        <v>12.01</v>
      </c>
      <c r="E22" s="4">
        <v>25.4</v>
      </c>
      <c r="F22" s="4" t="s">
        <v>50</v>
      </c>
      <c r="G22" s="50" t="s">
        <v>49</v>
      </c>
      <c r="H22" s="4">
        <v>1519</v>
      </c>
      <c r="I22" s="51">
        <v>0.15</v>
      </c>
      <c r="J22" s="52">
        <v>0.05</v>
      </c>
      <c r="K22" s="52">
        <v>0.38</v>
      </c>
      <c r="L22" s="51">
        <v>1.7999999999999999E-2</v>
      </c>
      <c r="M22" s="51">
        <v>8.0000000000000002E-3</v>
      </c>
      <c r="N22" s="51" t="s">
        <v>631</v>
      </c>
      <c r="O22" s="51" t="s">
        <v>631</v>
      </c>
      <c r="P22" s="51" t="s">
        <v>631</v>
      </c>
      <c r="Q22" s="51">
        <v>0.01</v>
      </c>
      <c r="R22" s="51" t="s">
        <v>631</v>
      </c>
      <c r="S22" s="32" t="s">
        <v>631</v>
      </c>
      <c r="T22" s="52"/>
      <c r="U22" s="52"/>
      <c r="V22" s="52"/>
      <c r="W22" s="52" t="s">
        <v>631</v>
      </c>
      <c r="X22" s="32" t="s">
        <v>631</v>
      </c>
      <c r="Y22" s="53" t="s">
        <v>631</v>
      </c>
      <c r="Z22" s="4"/>
      <c r="AA22" s="53"/>
      <c r="AB22" s="42">
        <f>IF(J22&lt;=0.04,0,IF((BA22-AL22*BF$4*炼钢参数表!$X$5/1000-AM22*BG$4*炼钢参数表!$X$5/1000)&lt;=0.03,0,IF((J22/100/0.1769/炼钢参数表!K22*1000)&gt;(K22-炼钢参数表!J22)/100/0.6566/炼钢参数表!L22*1000,IF(K22&lt;1.6,(K22-炼钢参数表!J22)/100/0.6566/炼钢参数表!L22*1000,(K22-0.08-炼钢参数表!J22)/100/0.6566/炼钢参数表!L22*1000),IF(K22&lt;1.6,J22/100/0.1769/炼钢参数表!K22*1000,(J22-0.08)/100/0.1769/炼钢参数表!K22*1000))))</f>
        <v>3.7686074995289198</v>
      </c>
      <c r="AC22" s="8">
        <f>IF((BA22-AB22*$BB$4*0.9/1000-AL22*BF$4*炼钢参数表!$X$5/1000-AM22*BG$4*炼钢参数表!$X$5/1000)&lt;(K22-炼钢参数表!J22-AB22*0.6566*炼钢参数表!L22/10)*0.082,0,(K22-炼钢参数表!J22-AB22*0.6566*炼钢参数表!L22/10)/100/($AC$3/100)/炼钢参数表!L22*1000)</f>
        <v>0.17598352181633001</v>
      </c>
      <c r="AD22" s="8">
        <f>IF((BA22-AB22*$BB$4*0.9/1000-AC22*$BC$4*0.9/1000-AL22*BF$4*炼钢参数表!$X$5/1000-AM22*BG$4*炼钢参数表!$X$5/1000)&lt;=(K22-炼钢参数表!J22-AB22*0.6566*炼钢参数表!L22/10-AC22*($AC$3/100)*炼钢参数表!L22/10)*0.02,0,((K22-炼钢参数表!J22-AB22*0.6566*炼钢参数表!L22/10-AC22*($AC$3/100)*炼钢参数表!L22/10)/100/($AD$3/100)/炼钢参数表!L22*1000))</f>
        <v>0</v>
      </c>
      <c r="AE22" s="8">
        <f>(K22-炼钢参数表!J22-AB22*0.6566*炼钢参数表!L22/10-AC22*($AC$3/100)*炼钢参数表!L22/10-AD22*($AD$3/100)*炼钢参数表!L22/10)/100/($AE$3/100)/炼钢参数表!L22*1000</f>
        <v>0</v>
      </c>
      <c r="AF22" s="8">
        <v>0</v>
      </c>
      <c r="AG22" s="8">
        <f>IF(J22&lt;=0.04,0,((J22-(AB22*0.1769*炼钢参数表!K22/1000*100))/100/炼钢参数表!K22/($AG$3/100)*1000))</f>
        <v>0</v>
      </c>
      <c r="AH22" s="8">
        <v>1.3</v>
      </c>
      <c r="AI22" s="8">
        <f>IF(N22="",0,IF(N22&lt;=0.002,0,((N22)/100)/($AI$3/100)/炼钢参数表!M22*1000))</f>
        <v>0</v>
      </c>
      <c r="AJ22" s="8">
        <f>IF(O22="",0,IF(O22&lt;=0.002,0,((O22)/100)/($AJ$3/100)/炼钢参数表!N22*1000))</f>
        <v>0</v>
      </c>
      <c r="AK22" s="8">
        <f>IF(P22="",0,IF(P22&lt;=0.002,0,((P22+0.005)/100)/($AK$3/100)/炼钢参数表!O22*1000))</f>
        <v>0</v>
      </c>
      <c r="AL22" s="8">
        <f>IF((BA22-J22*0.00003-K22*0.00024)&lt;=0.05,0,IF(T22="",0,IF(T22&lt;=0.03,0,IF(((BA22-J22*0.00003-K22*0.00024)-0.05)/0.18/100/($AL$3/100)/炼钢参数表!P22*1000&lt;=T22/100/($AL$3/100)/炼钢参数表!P22*1000,((BA22-J22*0.00003-K22*0.00024)-0.05)/0.18/100/($AL$3/100)/炼钢参数表!P22*1000,T22/100/($AL$3/100)/炼钢参数表!P22*1000))))</f>
        <v>0</v>
      </c>
      <c r="AM22" s="8">
        <f>IF(T22="",0,IF(T22&lt;=0.03,0,((T22-AL22*($AL$3/100)*炼钢参数表!P22/10)/100/($AM$3/100)/炼钢参数表!P22*1000)))</f>
        <v>0</v>
      </c>
      <c r="AN22" s="8">
        <f>IF(U22="",0,IF(U22&lt;=0.02,0,(U22/100)/($AN$3/100)/炼钢参数表!Q22*1000))</f>
        <v>0</v>
      </c>
      <c r="AO22" s="8">
        <f>IF(V22="",0,IF(V22&lt;=0.02,0,(V22/100)/($AO$3/100)/炼钢参数表!R22*1000))</f>
        <v>0</v>
      </c>
      <c r="AP22" s="8">
        <f>IF(W22="",0,IF(W22&lt;=0.02,0,(W22/100)/($AP$3/100)/炼钢参数表!S22*1000))</f>
        <v>0</v>
      </c>
      <c r="AQ22" s="8">
        <f>IF(X22="",0,IF(X22&lt;=0.0002,0,(X22/100)/($AQ$3/100)/炼钢参数表!T22*1000))</f>
        <v>0</v>
      </c>
      <c r="AR22" s="8">
        <f>IF(Y22="",0,IF(Y22&lt;=0.02,0,(Y22/100)/($AR$3/100)/炼钢参数表!U22*1000))</f>
        <v>0</v>
      </c>
      <c r="AS22" s="8">
        <f>IF(L22&lt;=0.04,0,((L22-0.04)/100)/($AS$3/100)/炼钢参数表!V22*1000)</f>
        <v>0</v>
      </c>
      <c r="AT22" s="8">
        <f>IF(M22&lt;=0.03,0,((M22-0.03)/100)/($AT$3/100)/炼钢参数表!W22*1000)</f>
        <v>0</v>
      </c>
      <c r="AU22" s="6"/>
      <c r="AV22" s="8">
        <f t="shared" si="0"/>
        <v>5.2445910213452498</v>
      </c>
      <c r="AW22" s="8" cm="1">
        <f t="array" ref="AW22">SUMPRODUCT($AB$4:$AU$4,AB22:AU22)/1000</f>
        <v>50.545868518688302</v>
      </c>
      <c r="AY22" s="2" t="str">
        <f t="shared" si="1"/>
        <v>Q235B-SD2</v>
      </c>
      <c r="AZ22" s="37">
        <f>VLOOKUP(AY22,炼钢参数表!$F$5:$J$1027,4,0)</f>
        <v>7.3272727272727295E-2</v>
      </c>
      <c r="BA22" s="37">
        <f t="shared" si="2"/>
        <v>7.67272727272727E-2</v>
      </c>
      <c r="BB22" s="37">
        <f>AB22*$BB$4*炼钢参数表!$X$5/1000</f>
        <v>5.8338044092707698E-3</v>
      </c>
      <c r="BC22" s="37">
        <f>AC22*$BC$4*炼钢参数表!$X$5/1000</f>
        <v>1.0595967848561201E-3</v>
      </c>
      <c r="BD22" s="37">
        <f>AD22*$BD$4*炼钢参数表!$X$5/1000</f>
        <v>0</v>
      </c>
      <c r="BE22" s="37">
        <f>AE22*$BE$4*炼钢参数表!$X$5/1000</f>
        <v>0</v>
      </c>
      <c r="BF22" s="37">
        <f>AL22*$BF$4*炼钢参数表!$X$5/1000</f>
        <v>0</v>
      </c>
      <c r="BG22" s="37">
        <f>AM22*$BG$4*炼钢参数表!$X$5/1000</f>
        <v>0</v>
      </c>
      <c r="BH22" s="37">
        <f t="shared" si="3"/>
        <v>6.8934011941268998E-3</v>
      </c>
      <c r="BI22" s="37">
        <f t="shared" si="4"/>
        <v>8.0166128466854197E-2</v>
      </c>
      <c r="BJ22" s="37">
        <f t="shared" si="5"/>
        <v>-6.9833871533145797E-2</v>
      </c>
      <c r="BK22" s="54"/>
      <c r="BL22" s="7"/>
    </row>
    <row r="23" spans="1:64" s="18" customFormat="1" x14ac:dyDescent="0.3">
      <c r="A23" s="21">
        <v>19</v>
      </c>
      <c r="B23" s="4" t="s">
        <v>51</v>
      </c>
      <c r="C23" s="4" t="s">
        <v>23</v>
      </c>
      <c r="D23" s="4">
        <v>1.5</v>
      </c>
      <c r="E23" s="4">
        <v>28</v>
      </c>
      <c r="F23" s="4" t="s">
        <v>51</v>
      </c>
      <c r="G23" s="50" t="s">
        <v>52</v>
      </c>
      <c r="H23" s="4">
        <v>1519</v>
      </c>
      <c r="I23" s="51">
        <v>0.16</v>
      </c>
      <c r="J23" s="52">
        <v>0.1</v>
      </c>
      <c r="K23" s="52">
        <v>0.4</v>
      </c>
      <c r="L23" s="51">
        <v>2.5000000000000001E-2</v>
      </c>
      <c r="M23" s="51">
        <v>0.02</v>
      </c>
      <c r="N23" s="51" t="s">
        <v>631</v>
      </c>
      <c r="O23" s="51" t="s">
        <v>631</v>
      </c>
      <c r="P23" s="51" t="s">
        <v>631</v>
      </c>
      <c r="Q23" s="51">
        <v>0.01</v>
      </c>
      <c r="R23" s="51" t="s">
        <v>631</v>
      </c>
      <c r="S23" s="32"/>
      <c r="T23" s="52"/>
      <c r="U23" s="52"/>
      <c r="V23" s="52"/>
      <c r="W23" s="52" t="s">
        <v>631</v>
      </c>
      <c r="X23" s="32" t="s">
        <v>631</v>
      </c>
      <c r="Y23" s="53" t="s">
        <v>631</v>
      </c>
      <c r="Z23" s="4" t="s">
        <v>631</v>
      </c>
      <c r="AA23" s="53"/>
      <c r="AB23" s="42">
        <f>IF(J23&lt;=0.04,0,IF((BA23-AL23*BF$4*炼钢参数表!$X$5/1000-AM23*BG$4*炼钢参数表!$X$5/1000)&lt;=0.03,0,IF((J23/100/0.1769/炼钢参数表!K23*1000)&gt;(K23-炼钢参数表!J23)/100/0.6566/炼钢参数表!L23*1000,IF(K23&lt;1.6,(K23-炼钢参数表!J23)/100/0.6566/炼钢参数表!L23*1000,(K23-0.08-炼钢参数表!J23)/100/0.6566/炼钢参数表!L23*1000),IF(K23&lt;1.6,J23/100/0.1769/炼钢参数表!K23*1000,(J23-0.08)/100/0.1769/炼钢参数表!K23*1000))))</f>
        <v>4.18640173487581</v>
      </c>
      <c r="AC23" s="8">
        <f>IF((BA23-AB23*$BB$4*0.9/1000-AL23*BF$4*炼钢参数表!$X$5/1000-AM23*BG$4*炼钢参数表!$X$5/1000)&lt;(K23-炼钢参数表!J23-AB23*0.6566*炼钢参数表!L23/10)*0.082,0,(K23-炼钢参数表!J23-AB23*0.6566*炼钢参数表!L23/10)/100/($AC$3/100)/炼钢参数表!L23*1000)</f>
        <v>0</v>
      </c>
      <c r="AD23" s="8">
        <f>IF((BA23-AB23*$BB$4*0.9/1000-AC23*$BC$4*0.9/1000-AL23*BF$4*炼钢参数表!$X$5/1000-AM23*BG$4*炼钢参数表!$X$5/1000)&lt;=(K23-炼钢参数表!J23-AB23*0.6566*炼钢参数表!L23/10-AC23*($AC$3/100)*炼钢参数表!L23/10)*0.02,0,((K23-炼钢参数表!J23-AB23*0.6566*炼钢参数表!L23/10-AC23*($AC$3/100)*炼钢参数表!L23/10)/100/($AD$3/100)/炼钢参数表!L23*1000))</f>
        <v>0</v>
      </c>
      <c r="AE23" s="8">
        <f>(K23-炼钢参数表!J23-AB23*0.6566*炼钢参数表!L23/10-AC23*($AC$3/100)*炼钢参数表!L23/10-AD23*($AD$3/100)*炼钢参数表!L23/10)/100/($AE$3/100)/炼钢参数表!L23*1000</f>
        <v>0</v>
      </c>
      <c r="AF23" s="8">
        <v>0</v>
      </c>
      <c r="AG23" s="8">
        <f>IF(J23&lt;=0.04,0,((J23-(AB23*0.1769*炼钢参数表!K23/1000*100))/100/炼钢参数表!K23/($AG$3/100)*1000))</f>
        <v>0.70528247694928503</v>
      </c>
      <c r="AH23" s="8">
        <v>1.25</v>
      </c>
      <c r="AI23" s="8">
        <f>IF(N23="",0,IF(N23&lt;=0.002,0,((N23)/100)/($AI$3/100)/炼钢参数表!M23*1000))</f>
        <v>0</v>
      </c>
      <c r="AJ23" s="8">
        <f>IF(O23="",0,IF(O23&lt;=0.002,0,((O23)/100)/($AJ$3/100)/炼钢参数表!N23*1000))</f>
        <v>0</v>
      </c>
      <c r="AK23" s="8">
        <f>IF(P23="",0,IF(P23&lt;=0.002,0,((P23+0.005)/100)/($AK$3/100)/炼钢参数表!O23*1000))</f>
        <v>0</v>
      </c>
      <c r="AL23" s="8">
        <f>IF((BA23-J23*0.00003-K23*0.00024)&lt;=0.05,0,IF(T23="",0,IF(T23&lt;=0.03,0,IF(((BA23-J23*0.00003-K23*0.00024)-0.05)/0.18/100/($AL$3/100)/炼钢参数表!P23*1000&lt;=T23/100/($AL$3/100)/炼钢参数表!P23*1000,((BA23-J23*0.00003-K23*0.00024)-0.05)/0.18/100/($AL$3/100)/炼钢参数表!P23*1000,T23/100/($AL$3/100)/炼钢参数表!P23*1000))))</f>
        <v>0</v>
      </c>
      <c r="AM23" s="8">
        <f>IF(T23="",0,IF(T23&lt;=0.03,0,((T23-AL23*($AL$3/100)*炼钢参数表!P23/10)/100/($AM$3/100)/炼钢参数表!P23*1000)))</f>
        <v>0</v>
      </c>
      <c r="AN23" s="8">
        <f>IF(U23="",0,IF(U23&lt;=0.02,0,(U23/100)/($AN$3/100)/炼钢参数表!Q23*1000))</f>
        <v>0</v>
      </c>
      <c r="AO23" s="8">
        <f>IF(V23="",0,IF(V23&lt;=0.02,0,(V23/100)/($AO$3/100)/炼钢参数表!R23*1000))</f>
        <v>0</v>
      </c>
      <c r="AP23" s="8">
        <f>IF(W23="",0,IF(W23&lt;=0.02,0,(W23/100)/($AP$3/100)/炼钢参数表!S23*1000))</f>
        <v>0</v>
      </c>
      <c r="AQ23" s="8">
        <f>IF(X23="",0,IF(X23&lt;=0.0002,0,(X23/100)/($AQ$3/100)/炼钢参数表!T23*1000))</f>
        <v>0</v>
      </c>
      <c r="AR23" s="8">
        <f>IF(Y23="",0,IF(Y23&lt;=0.02,0,(Y23/100)/($AR$3/100)/炼钢参数表!U23*1000))</f>
        <v>0</v>
      </c>
      <c r="AS23" s="8">
        <f>IF(L23&lt;=0.04,0,((L23-0.04)/100)/($AS$3/100)/炼钢参数表!V23*1000)</f>
        <v>0</v>
      </c>
      <c r="AT23" s="8">
        <f>IF(M23&lt;=0.03,0,((M23-0.03)/100)/($AT$3/100)/炼钢参数表!W23*1000)</f>
        <v>0</v>
      </c>
      <c r="AU23" s="6"/>
      <c r="AV23" s="8">
        <f t="shared" si="0"/>
        <v>6.1416842118251003</v>
      </c>
      <c r="AW23" s="8" cm="1">
        <f t="array" ref="AW23">SUMPRODUCT($AB$4:$AU$4,AB23:AU23)/1000</f>
        <v>54.289245973196003</v>
      </c>
      <c r="AY23" s="2" t="str">
        <f t="shared" si="1"/>
        <v>Q235B-HG</v>
      </c>
      <c r="AZ23" s="37">
        <f>VLOOKUP(AY23,炼钢参数表!$F$5:$J$1027,4,0)</f>
        <v>7.5793851717902497E-2</v>
      </c>
      <c r="BA23" s="37">
        <f t="shared" si="2"/>
        <v>8.4206148282097507E-2</v>
      </c>
      <c r="BB23" s="37">
        <f>AB23*$BB$4*炼钢参数表!$X$5/1000</f>
        <v>6.4805498855877598E-3</v>
      </c>
      <c r="BC23" s="37">
        <f>AC23*$BC$4*炼钢参数表!$X$5/1000</f>
        <v>0</v>
      </c>
      <c r="BD23" s="37">
        <f>AD23*$BD$4*炼钢参数表!$X$5/1000</f>
        <v>0</v>
      </c>
      <c r="BE23" s="37">
        <f>AE23*$BE$4*炼钢参数表!$X$5/1000</f>
        <v>0</v>
      </c>
      <c r="BF23" s="37">
        <f>AL23*$BF$4*炼钢参数表!$X$5/1000</f>
        <v>0</v>
      </c>
      <c r="BG23" s="37">
        <f>AM23*$BG$4*炼钢参数表!$X$5/1000</f>
        <v>0</v>
      </c>
      <c r="BH23" s="37">
        <f t="shared" si="3"/>
        <v>6.4805498855877598E-3</v>
      </c>
      <c r="BI23" s="37">
        <f t="shared" si="4"/>
        <v>8.2274401603490296E-2</v>
      </c>
      <c r="BJ23" s="37">
        <f t="shared" si="5"/>
        <v>-7.7725598396509707E-2</v>
      </c>
      <c r="BK23" s="54"/>
      <c r="BL23" s="7"/>
    </row>
    <row r="24" spans="1:64" s="18" customFormat="1" x14ac:dyDescent="0.3">
      <c r="A24" s="21">
        <v>20</v>
      </c>
      <c r="B24" s="4" t="s">
        <v>53</v>
      </c>
      <c r="C24" s="4" t="s">
        <v>23</v>
      </c>
      <c r="D24" s="4">
        <v>1.5</v>
      </c>
      <c r="E24" s="4">
        <v>12</v>
      </c>
      <c r="F24" s="4" t="s">
        <v>54</v>
      </c>
      <c r="G24" s="50" t="s">
        <v>55</v>
      </c>
      <c r="H24" s="4">
        <v>1519</v>
      </c>
      <c r="I24" s="51">
        <v>0.16</v>
      </c>
      <c r="J24" s="52">
        <v>0.08</v>
      </c>
      <c r="K24" s="52">
        <v>0.25</v>
      </c>
      <c r="L24" s="51">
        <v>1.4999999999999999E-2</v>
      </c>
      <c r="M24" s="51">
        <v>0.01</v>
      </c>
      <c r="N24" s="51" t="s">
        <v>631</v>
      </c>
      <c r="O24" s="51" t="s">
        <v>631</v>
      </c>
      <c r="P24" s="51" t="s">
        <v>631</v>
      </c>
      <c r="Q24" s="51">
        <v>0.02</v>
      </c>
      <c r="R24" s="51" t="s">
        <v>631</v>
      </c>
      <c r="S24" s="32" t="s">
        <v>631</v>
      </c>
      <c r="T24" s="52"/>
      <c r="U24" s="52"/>
      <c r="V24" s="52"/>
      <c r="W24" s="52" t="s">
        <v>631</v>
      </c>
      <c r="X24" s="32" t="s">
        <v>631</v>
      </c>
      <c r="Y24" s="53" t="s">
        <v>631</v>
      </c>
      <c r="Z24" s="4"/>
      <c r="AA24" s="53"/>
      <c r="AB24" s="42">
        <f>IF(J24&lt;=0.04,0,IF((BA24-AL24*BF$4*炼钢参数表!$X$5/1000-AM24*BG$4*炼钢参数表!$X$5/1000)&lt;=0.03,0,IF((J24/100/0.1769/炼钢参数表!K24*1000)&gt;(K24-炼钢参数表!J24)/100/0.6566/炼钢参数表!L24*1000,IF(K24&lt;1.6,(K24-炼钢参数表!J24)/100/0.6566/炼钢参数表!L24*1000,(K24-0.08-炼钢参数表!J24)/100/0.6566/炼钢参数表!L24*1000),IF(K24&lt;1.6,J24/100/0.1769/炼钢参数表!K24*1000,(J24-0.08)/100/0.1769/炼钢参数表!K24*1000))))</f>
        <v>2.14959321123108</v>
      </c>
      <c r="AC24" s="8">
        <f>IF((BA24-AB24*$BB$4*0.9/1000-AL24*BF$4*炼钢参数表!$X$5/1000-AM24*BG$4*炼钢参数表!$X$5/1000)&lt;(K24-炼钢参数表!J24-AB24*0.6566*炼钢参数表!L24/10)*0.082,0,(K24-炼钢参数表!J24-AB24*0.6566*炼钢参数表!L24/10)/100/($AC$3/100)/炼钢参数表!L24*1000)</f>
        <v>0</v>
      </c>
      <c r="AD24" s="8">
        <f>IF((BA24-AB24*$BB$4*0.9/1000-AC24*$BC$4*0.9/1000-AL24*BF$4*炼钢参数表!$X$5/1000-AM24*BG$4*炼钢参数表!$X$5/1000)&lt;=(K24-炼钢参数表!J24-AB24*0.6566*炼钢参数表!L24/10-AC24*($AC$3/100)*炼钢参数表!L24/10)*0.02,0,((K24-炼钢参数表!J24-AB24*0.6566*炼钢参数表!L24/10-AC24*($AC$3/100)*炼钢参数表!L24/10)/100/($AD$3/100)/炼钢参数表!L24*1000))</f>
        <v>0</v>
      </c>
      <c r="AE24" s="8">
        <f>(K24-炼钢参数表!J24-AB24*0.6566*炼钢参数表!L24/10-AC24*($AC$3/100)*炼钢参数表!L24/10-AD24*($AD$3/100)*炼钢参数表!L24/10)/100/($AE$3/100)/炼钢参数表!L24*1000</f>
        <v>0</v>
      </c>
      <c r="AF24" s="8">
        <v>0</v>
      </c>
      <c r="AG24" s="8">
        <f>IF(J24&lt;=0.04,0,((J24-(AB24*0.1769*炼钢参数表!K24/1000*100))/100/炼钢参数表!K24/($AG$3/100)*1000))</f>
        <v>0.95030268254172601</v>
      </c>
      <c r="AH24" s="8">
        <v>1.45</v>
      </c>
      <c r="AI24" s="8">
        <f>IF(N24="",0,IF(N24&lt;=0.002,0,((N24)/100)/($AI$3/100)/炼钢参数表!M24*1000))</f>
        <v>0</v>
      </c>
      <c r="AJ24" s="8">
        <f>IF(O24="",0,IF(O24&lt;=0.002,0,((O24)/100)/($AJ$3/100)/炼钢参数表!N24*1000))</f>
        <v>0</v>
      </c>
      <c r="AK24" s="8">
        <f>IF(P24="",0,IF(P24&lt;=0.002,0,((P24+0.005)/100)/($AK$3/100)/炼钢参数表!O24*1000))</f>
        <v>0</v>
      </c>
      <c r="AL24" s="8">
        <f>IF((BA24-J24*0.00003-K24*0.00024)&lt;=0.05,0,IF(T24="",0,IF(T24&lt;=0.03,0,IF(((BA24-J24*0.00003-K24*0.00024)-0.05)/0.18/100/($AL$3/100)/炼钢参数表!P24*1000&lt;=T24/100/($AL$3/100)/炼钢参数表!P24*1000,((BA24-J24*0.00003-K24*0.00024)-0.05)/0.18/100/($AL$3/100)/炼钢参数表!P24*1000,T24/100/($AL$3/100)/炼钢参数表!P24*1000))))</f>
        <v>0</v>
      </c>
      <c r="AM24" s="8">
        <f>IF(T24="",0,IF(T24&lt;=0.03,0,((T24-AL24*($AL$3/100)*炼钢参数表!P24/10)/100/($AM$3/100)/炼钢参数表!P24*1000)))</f>
        <v>0</v>
      </c>
      <c r="AN24" s="8">
        <f>IF(U24="",0,IF(U24&lt;=0.02,0,(U24/100)/($AN$3/100)/炼钢参数表!Q24*1000))</f>
        <v>0</v>
      </c>
      <c r="AO24" s="8">
        <f>IF(V24="",0,IF(V24&lt;=0.02,0,(V24/100)/($AO$3/100)/炼钢参数表!R24*1000))</f>
        <v>0</v>
      </c>
      <c r="AP24" s="8">
        <f>IF(W24="",0,IF(W24&lt;=0.02,0,(W24/100)/($AP$3/100)/炼钢参数表!S24*1000))</f>
        <v>0</v>
      </c>
      <c r="AQ24" s="8">
        <f>IF(X24="",0,IF(X24&lt;=0.0002,0,(X24/100)/($AQ$3/100)/炼钢参数表!T24*1000))</f>
        <v>0</v>
      </c>
      <c r="AR24" s="8">
        <f>IF(Y24="",0,IF(Y24&lt;=0.02,0,(Y24/100)/($AR$3/100)/炼钢参数表!U24*1000))</f>
        <v>0</v>
      </c>
      <c r="AS24" s="8">
        <f>IF(L24&lt;=0.04,0,((L24-0.04)/100)/($AS$3/100)/炼钢参数表!V24*1000)</f>
        <v>0</v>
      </c>
      <c r="AT24" s="8">
        <f>IF(M24&lt;=0.03,0,((M24-0.03)/100)/($AT$3/100)/炼钢参数表!W24*1000)</f>
        <v>0</v>
      </c>
      <c r="AU24" s="6"/>
      <c r="AV24" s="8">
        <f t="shared" si="0"/>
        <v>4.5498958937728098</v>
      </c>
      <c r="AW24" s="8" cm="1">
        <f t="array" ref="AW24">SUMPRODUCT($AB$4:$AU$4,AB24:AU24)/1000</f>
        <v>48.978079738531903</v>
      </c>
      <c r="AY24" s="2" t="str">
        <f t="shared" si="1"/>
        <v>A36-1</v>
      </c>
      <c r="AZ24" s="37">
        <f>VLOOKUP(AY24,炼钢参数表!$F$5:$J$1027,4,0)</f>
        <v>7.0300925925925906E-2</v>
      </c>
      <c r="BA24" s="37">
        <f t="shared" si="2"/>
        <v>8.9699074074074098E-2</v>
      </c>
      <c r="BB24" s="37">
        <f>AB24*$BB$4*炼钢参数表!$X$5/1000</f>
        <v>3.3275702909857101E-3</v>
      </c>
      <c r="BC24" s="37">
        <f>AC24*$BC$4*炼钢参数表!$X$5/1000</f>
        <v>0</v>
      </c>
      <c r="BD24" s="37">
        <f>AD24*$BD$4*炼钢参数表!$X$5/1000</f>
        <v>0</v>
      </c>
      <c r="BE24" s="37">
        <f>AE24*$BE$4*炼钢参数表!$X$5/1000</f>
        <v>0</v>
      </c>
      <c r="BF24" s="37">
        <f>AL24*$BF$4*炼钢参数表!$X$5/1000</f>
        <v>0</v>
      </c>
      <c r="BG24" s="37">
        <f>AM24*$BG$4*炼钢参数表!$X$5/1000</f>
        <v>0</v>
      </c>
      <c r="BH24" s="37">
        <f t="shared" si="3"/>
        <v>3.3275702909857101E-3</v>
      </c>
      <c r="BI24" s="37">
        <f t="shared" si="4"/>
        <v>7.3628496216911601E-2</v>
      </c>
      <c r="BJ24" s="37">
        <f t="shared" si="5"/>
        <v>-8.6371503783088402E-2</v>
      </c>
      <c r="BK24" s="54"/>
      <c r="BL24" s="7"/>
    </row>
    <row r="25" spans="1:64" s="18" customFormat="1" x14ac:dyDescent="0.3">
      <c r="A25" s="21">
        <v>21</v>
      </c>
      <c r="B25" s="4" t="s">
        <v>53</v>
      </c>
      <c r="C25" s="4" t="s">
        <v>26</v>
      </c>
      <c r="D25" s="4">
        <v>12.01</v>
      </c>
      <c r="E25" s="4">
        <v>25</v>
      </c>
      <c r="F25" s="4" t="s">
        <v>56</v>
      </c>
      <c r="G25" s="50" t="s">
        <v>55</v>
      </c>
      <c r="H25" s="4">
        <v>1519</v>
      </c>
      <c r="I25" s="51">
        <v>0.16</v>
      </c>
      <c r="J25" s="52">
        <v>0.08</v>
      </c>
      <c r="K25" s="52">
        <v>0.38</v>
      </c>
      <c r="L25" s="51">
        <v>1.4999999999999999E-2</v>
      </c>
      <c r="M25" s="51">
        <v>0.01</v>
      </c>
      <c r="N25" s="51" t="s">
        <v>631</v>
      </c>
      <c r="O25" s="51" t="s">
        <v>631</v>
      </c>
      <c r="P25" s="51" t="s">
        <v>631</v>
      </c>
      <c r="Q25" s="51">
        <v>0.02</v>
      </c>
      <c r="R25" s="51" t="s">
        <v>631</v>
      </c>
      <c r="S25" s="32" t="s">
        <v>631</v>
      </c>
      <c r="T25" s="52"/>
      <c r="U25" s="52"/>
      <c r="V25" s="52"/>
      <c r="W25" s="52" t="s">
        <v>631</v>
      </c>
      <c r="X25" s="32" t="s">
        <v>631</v>
      </c>
      <c r="Y25" s="53" t="s">
        <v>631</v>
      </c>
      <c r="Z25" s="4"/>
      <c r="AA25" s="53"/>
      <c r="AB25" s="42">
        <f>IF(J25&lt;=0.04,0,IF((BA25-AL25*BF$4*炼钢参数表!$X$5/1000-AM25*BG$4*炼钢参数表!$X$5/1000)&lt;=0.03,0,IF((J25/100/0.1769/炼钢参数表!K25*1000)&gt;(K25-炼钢参数表!J25)/100/0.6566/炼钢参数表!L25*1000,IF(K25&lt;1.6,(K25-炼钢参数表!J25)/100/0.6566/炼钢参数表!L25*1000,(K25-0.08-炼钢参数表!J25)/100/0.6566/炼钢参数表!L25*1000),IF(K25&lt;1.6,J25/100/0.1769/炼钢参数表!K25*1000,(J25-0.08)/100/0.1769/炼钢参数表!K25*1000))))</f>
        <v>4.1532756873690699</v>
      </c>
      <c r="AC25" s="8">
        <f>IF((BA25-AB25*$BB$4*0.9/1000-AL25*BF$4*炼钢参数表!$X$5/1000-AM25*BG$4*炼钢参数表!$X$5/1000)&lt;(K25-炼钢参数表!J25-AB25*0.6566*炼钢参数表!L25/10)*0.082,0,(K25-炼钢参数表!J25-AB25*0.6566*炼钢参数表!L25/10)/100/($AC$3/100)/炼钢参数表!L25*1000)</f>
        <v>0</v>
      </c>
      <c r="AD25" s="8">
        <f>IF((BA25-AB25*$BB$4*0.9/1000-AC25*$BC$4*0.9/1000-AL25*BF$4*炼钢参数表!$X$5/1000-AM25*BG$4*炼钢参数表!$X$5/1000)&lt;=(K25-炼钢参数表!J25-AB25*0.6566*炼钢参数表!L25/10-AC25*($AC$3/100)*炼钢参数表!L25/10)*0.02,0,((K25-炼钢参数表!J25-AB25*0.6566*炼钢参数表!L25/10-AC25*($AC$3/100)*炼钢参数表!L25/10)/100/($AD$3/100)/炼钢参数表!L25*1000))</f>
        <v>0</v>
      </c>
      <c r="AE25" s="8">
        <f>(K25-炼钢参数表!J25-AB25*0.6566*炼钢参数表!L25/10-AC25*($AC$3/100)*炼钢参数表!L25/10-AD25*($AD$3/100)*炼钢参数表!L25/10)/100/($AE$3/100)/炼钢参数表!L25*1000</f>
        <v>0</v>
      </c>
      <c r="AF25" s="8">
        <v>0</v>
      </c>
      <c r="AG25" s="8">
        <f>IF(J25&lt;=0.04,0,((J25-(AB25*0.1769*炼钢参数表!K25/1000*100))/100/炼钢参数表!K25/($AG$3/100)*1000))</f>
        <v>0.45957662684629402</v>
      </c>
      <c r="AH25" s="8">
        <v>1.45</v>
      </c>
      <c r="AI25" s="8">
        <f>IF(N25="",0,IF(N25&lt;=0.002,0,((N25)/100)/($AI$3/100)/炼钢参数表!M25*1000))</f>
        <v>0</v>
      </c>
      <c r="AJ25" s="8">
        <f>IF(O25="",0,IF(O25&lt;=0.002,0,((O25)/100)/($AJ$3/100)/炼钢参数表!N25*1000))</f>
        <v>0</v>
      </c>
      <c r="AK25" s="8">
        <f>IF(P25="",0,IF(P25&lt;=0.002,0,((P25+0.005)/100)/($AK$3/100)/炼钢参数表!O25*1000))</f>
        <v>0</v>
      </c>
      <c r="AL25" s="8">
        <f>IF((BA25-J25*0.00003-K25*0.00024)&lt;=0.05,0,IF(T25="",0,IF(T25&lt;=0.03,0,IF(((BA25-J25*0.00003-K25*0.00024)-0.05)/0.18/100/($AL$3/100)/炼钢参数表!P25*1000&lt;=T25/100/($AL$3/100)/炼钢参数表!P25*1000,((BA25-J25*0.00003-K25*0.00024)-0.05)/0.18/100/($AL$3/100)/炼钢参数表!P25*1000,T25/100/($AL$3/100)/炼钢参数表!P25*1000))))</f>
        <v>0</v>
      </c>
      <c r="AM25" s="8">
        <f>IF(T25="",0,IF(T25&lt;=0.03,0,((T25-AL25*($AL$3/100)*炼钢参数表!P25/10)/100/($AM$3/100)/炼钢参数表!P25*1000)))</f>
        <v>0</v>
      </c>
      <c r="AN25" s="8">
        <f>IF(U25="",0,IF(U25&lt;=0.02,0,(U25/100)/($AN$3/100)/炼钢参数表!Q25*1000))</f>
        <v>0</v>
      </c>
      <c r="AO25" s="8">
        <f>IF(V25="",0,IF(V25&lt;=0.02,0,(V25/100)/($AO$3/100)/炼钢参数表!R25*1000))</f>
        <v>0</v>
      </c>
      <c r="AP25" s="8">
        <f>IF(W25="",0,IF(W25&lt;=0.02,0,(W25/100)/($AP$3/100)/炼钢参数表!S25*1000))</f>
        <v>0</v>
      </c>
      <c r="AQ25" s="8">
        <f>IF(X25="",0,IF(X25&lt;=0.0002,0,(X25/100)/($AQ$3/100)/炼钢参数表!T25*1000))</f>
        <v>0</v>
      </c>
      <c r="AR25" s="8">
        <f>IF(Y25="",0,IF(Y25&lt;=0.02,0,(Y25/100)/($AR$3/100)/炼钢参数表!U25*1000))</f>
        <v>0</v>
      </c>
      <c r="AS25" s="8">
        <f>IF(L25&lt;=0.04,0,((L25-0.04)/100)/($AS$3/100)/炼钢参数表!V25*1000)</f>
        <v>0</v>
      </c>
      <c r="AT25" s="8">
        <f>IF(M25&lt;=0.03,0,((M25-0.03)/100)/($AT$3/100)/炼钢参数表!W25*1000)</f>
        <v>0</v>
      </c>
      <c r="AU25" s="6"/>
      <c r="AV25" s="8">
        <f t="shared" si="0"/>
        <v>6.0628523142153599</v>
      </c>
      <c r="AW25" s="8" cm="1">
        <f t="array" ref="AW25">SUMPRODUCT($AB$4:$AU$4,AB25:AU25)/1000</f>
        <v>57.302786722912998</v>
      </c>
      <c r="AY25" s="2" t="str">
        <f t="shared" si="1"/>
        <v>A36-2</v>
      </c>
      <c r="AZ25" s="37">
        <f>VLOOKUP(AY25,炼钢参数表!$F$5:$J$1027,4,0)</f>
        <v>6.8611111111111095E-2</v>
      </c>
      <c r="BA25" s="37">
        <f t="shared" si="2"/>
        <v>9.1388888888888895E-2</v>
      </c>
      <c r="BB25" s="37">
        <f>AB25*$BB$4*炼钢参数表!$X$5/1000</f>
        <v>6.4292707640473202E-3</v>
      </c>
      <c r="BC25" s="37">
        <f>AC25*$BC$4*炼钢参数表!$X$5/1000</f>
        <v>0</v>
      </c>
      <c r="BD25" s="37">
        <f>AD25*$BD$4*炼钢参数表!$X$5/1000</f>
        <v>0</v>
      </c>
      <c r="BE25" s="37">
        <f>AE25*$BE$4*炼钢参数表!$X$5/1000</f>
        <v>0</v>
      </c>
      <c r="BF25" s="37">
        <f>AL25*$BF$4*炼钢参数表!$X$5/1000</f>
        <v>0</v>
      </c>
      <c r="BG25" s="37">
        <f>AM25*$BG$4*炼钢参数表!$X$5/1000</f>
        <v>0</v>
      </c>
      <c r="BH25" s="37">
        <f t="shared" si="3"/>
        <v>6.4292707640473202E-3</v>
      </c>
      <c r="BI25" s="37">
        <f t="shared" si="4"/>
        <v>7.5040381875158393E-2</v>
      </c>
      <c r="BJ25" s="37">
        <f t="shared" si="5"/>
        <v>-8.4959618124841596E-2</v>
      </c>
      <c r="BK25" s="54"/>
      <c r="BL25" s="7"/>
    </row>
    <row r="26" spans="1:64" s="18" customFormat="1" x14ac:dyDescent="0.3">
      <c r="A26" s="21">
        <v>22</v>
      </c>
      <c r="B26" s="4" t="s">
        <v>57</v>
      </c>
      <c r="C26" s="4" t="s">
        <v>23</v>
      </c>
      <c r="D26" s="4">
        <v>1.5</v>
      </c>
      <c r="E26" s="4">
        <v>12</v>
      </c>
      <c r="F26" s="4" t="s">
        <v>58</v>
      </c>
      <c r="G26" s="50" t="s">
        <v>59</v>
      </c>
      <c r="H26" s="4">
        <v>1519</v>
      </c>
      <c r="I26" s="51">
        <v>0.16</v>
      </c>
      <c r="J26" s="52">
        <v>0</v>
      </c>
      <c r="K26" s="52">
        <v>0.3</v>
      </c>
      <c r="L26" s="51">
        <v>0.02</v>
      </c>
      <c r="M26" s="51">
        <v>1.4999999999999999E-2</v>
      </c>
      <c r="N26" s="51" t="s">
        <v>631</v>
      </c>
      <c r="O26" s="51" t="s">
        <v>631</v>
      </c>
      <c r="P26" s="51" t="s">
        <v>631</v>
      </c>
      <c r="Q26" s="51">
        <v>0.02</v>
      </c>
      <c r="R26" s="51" t="s">
        <v>631</v>
      </c>
      <c r="S26" s="32" t="s">
        <v>631</v>
      </c>
      <c r="T26" s="52"/>
      <c r="U26" s="52"/>
      <c r="V26" s="52"/>
      <c r="W26" s="52" t="s">
        <v>631</v>
      </c>
      <c r="X26" s="32" t="s">
        <v>631</v>
      </c>
      <c r="Y26" s="53" t="s">
        <v>631</v>
      </c>
      <c r="Z26" s="4" t="s">
        <v>631</v>
      </c>
      <c r="AA26" s="53"/>
      <c r="AB26" s="42">
        <f>IF(J26&lt;=0.04,0,IF((BA26-AL26*BF$4*炼钢参数表!$X$5/1000-AM26*BG$4*炼钢参数表!$X$5/1000)&lt;=0.03,0,IF((J26/100/0.1769/炼钢参数表!K26*1000)&gt;(K26-炼钢参数表!J26)/100/0.6566/炼钢参数表!L26*1000,IF(K26&lt;1.6,(K26-炼钢参数表!J26)/100/0.6566/炼钢参数表!L26*1000,(K26-0.08-炼钢参数表!J26)/100/0.6566/炼钢参数表!L26*1000),IF(K26&lt;1.6,J26/100/0.1769/炼钢参数表!K26*1000,(J26-0.08)/100/0.1769/炼钢参数表!K26*1000))))</f>
        <v>0</v>
      </c>
      <c r="AC26" s="8">
        <f>IF((BA26-AB26*$BB$4*0.9/1000-AL26*BF$4*炼钢参数表!$X$5/1000-AM26*BG$4*炼钢参数表!$X$5/1000)&lt;(K26-炼钢参数表!J26-AB26*0.6566*炼钢参数表!L26/10)*0.082,0,(K26-炼钢参数表!J26-AB26*0.6566*炼钢参数表!L26/10)/100/($AC$3/100)/炼钢参数表!L26*1000)</f>
        <v>2.4495723222264698</v>
      </c>
      <c r="AD26" s="8">
        <f>IF((BA26-AB26*$BB$4*0.9/1000-AC26*$BC$4*0.9/1000-AL26*BF$4*炼钢参数表!$X$5/1000-AM26*BG$4*炼钢参数表!$X$5/1000)&lt;=(K26-炼钢参数表!J26-AB26*0.6566*炼钢参数表!L26/10-AC26*($AC$3/100)*炼钢参数表!L26/10)*0.02,0,((K26-炼钢参数表!J26-AB26*0.6566*炼钢参数表!L26/10-AC26*($AC$3/100)*炼钢参数表!L26/10)/100/($AD$3/100)/炼钢参数表!L26*1000))</f>
        <v>0</v>
      </c>
      <c r="AE26" s="8">
        <f>(K26-炼钢参数表!J26-AB26*0.6566*炼钢参数表!L26/10-AC26*($AC$3/100)*炼钢参数表!L26/10-AD26*($AD$3/100)*炼钢参数表!L26/10)/100/($AE$3/100)/炼钢参数表!L26*1000</f>
        <v>0</v>
      </c>
      <c r="AF26" s="8">
        <v>0</v>
      </c>
      <c r="AG26" s="8">
        <f>IF(J26&lt;=0.04,0,((J26-(AB26*0.1769*炼钢参数表!K26/1000*100))/100/炼钢参数表!K26/($AG$3/100)*1000))</f>
        <v>0</v>
      </c>
      <c r="AH26" s="8">
        <v>1.6</v>
      </c>
      <c r="AI26" s="8">
        <f>IF(N26="",0,IF(N26&lt;=0.002,0,((N26)/100)/($AI$3/100)/炼钢参数表!M26*1000))</f>
        <v>0</v>
      </c>
      <c r="AJ26" s="8">
        <f>IF(O26="",0,IF(O26&lt;=0.002,0,((O26)/100)/($AJ$3/100)/炼钢参数表!N26*1000))</f>
        <v>0</v>
      </c>
      <c r="AK26" s="8">
        <f>IF(P26="",0,IF(P26&lt;=0.002,0,((P26+0.005)/100)/($AK$3/100)/炼钢参数表!O26*1000))</f>
        <v>0</v>
      </c>
      <c r="AL26" s="8">
        <f>IF((BA26-J26*0.00003-K26*0.00024)&lt;=0.05,0,IF(T26="",0,IF(T26&lt;=0.03,0,IF(((BA26-J26*0.00003-K26*0.00024)-0.05)/0.18/100/($AL$3/100)/炼钢参数表!P26*1000&lt;=T26/100/($AL$3/100)/炼钢参数表!P26*1000,((BA26-J26*0.00003-K26*0.00024)-0.05)/0.18/100/($AL$3/100)/炼钢参数表!P26*1000,T26/100/($AL$3/100)/炼钢参数表!P26*1000))))</f>
        <v>0</v>
      </c>
      <c r="AM26" s="8">
        <f>IF(T26="",0,IF(T26&lt;=0.03,0,((T26-AL26*($AL$3/100)*炼钢参数表!P26/10)/100/($AM$3/100)/炼钢参数表!P26*1000)))</f>
        <v>0</v>
      </c>
      <c r="AN26" s="8">
        <f>IF(U26="",0,IF(U26&lt;=0.02,0,(U26/100)/($AN$3/100)/炼钢参数表!Q26*1000))</f>
        <v>0</v>
      </c>
      <c r="AO26" s="8">
        <f>IF(V26="",0,IF(V26&lt;=0.02,0,(V26/100)/($AO$3/100)/炼钢参数表!R26*1000))</f>
        <v>0</v>
      </c>
      <c r="AP26" s="8">
        <f>IF(W26="",0,IF(W26&lt;=0.02,0,(W26/100)/($AP$3/100)/炼钢参数表!S26*1000))</f>
        <v>0</v>
      </c>
      <c r="AQ26" s="8">
        <f>IF(X26="",0,IF(X26&lt;=0.0002,0,(X26/100)/($AQ$3/100)/炼钢参数表!T26*1000))</f>
        <v>0</v>
      </c>
      <c r="AR26" s="8">
        <f>IF(Y26="",0,IF(Y26&lt;=0.02,0,(Y26/100)/($AR$3/100)/炼钢参数表!U26*1000))</f>
        <v>0</v>
      </c>
      <c r="AS26" s="8">
        <f>IF(L26&lt;=0.04,0,((L26-0.04)/100)/($AS$3/100)/炼钢参数表!V26*1000)</f>
        <v>0</v>
      </c>
      <c r="AT26" s="8">
        <f>IF(M26&lt;=0.03,0,((M26-0.03)/100)/($AT$3/100)/炼钢参数表!W26*1000)</f>
        <v>0</v>
      </c>
      <c r="AU26" s="6"/>
      <c r="AV26" s="8">
        <f t="shared" si="0"/>
        <v>4.0495723222264699</v>
      </c>
      <c r="AW26" s="8" cm="1">
        <f t="array" ref="AW26">SUMPRODUCT($AB$4:$AU$4,AB26:AU26)/1000</f>
        <v>50.545291115758197</v>
      </c>
      <c r="AY26" s="2" t="str">
        <f t="shared" si="1"/>
        <v>A36-DX1</v>
      </c>
      <c r="AZ26" s="37">
        <f>VLOOKUP(AY26,炼钢参数表!$F$5:$J$1027,4,0)</f>
        <v>7.0250000000000007E-2</v>
      </c>
      <c r="BA26" s="37">
        <f t="shared" si="2"/>
        <v>8.9749999999999996E-2</v>
      </c>
      <c r="BB26" s="37">
        <f>AB26*$BB$4*炼钢参数表!$X$5/1000</f>
        <v>0</v>
      </c>
      <c r="BC26" s="37">
        <f>AC26*$BC$4*炼钢参数表!$X$5/1000</f>
        <v>1.4748874952125599E-2</v>
      </c>
      <c r="BD26" s="37">
        <f>AD26*$BD$4*炼钢参数表!$X$5/1000</f>
        <v>0</v>
      </c>
      <c r="BE26" s="37">
        <f>AE26*$BE$4*炼钢参数表!$X$5/1000</f>
        <v>0</v>
      </c>
      <c r="BF26" s="37">
        <f>AL26*$BF$4*炼钢参数表!$X$5/1000</f>
        <v>0</v>
      </c>
      <c r="BG26" s="37">
        <f>AM26*$BG$4*炼钢参数表!$X$5/1000</f>
        <v>0</v>
      </c>
      <c r="BH26" s="37">
        <f t="shared" si="3"/>
        <v>1.4748874952125599E-2</v>
      </c>
      <c r="BI26" s="37">
        <f t="shared" si="4"/>
        <v>8.4998874952125603E-2</v>
      </c>
      <c r="BJ26" s="37">
        <f t="shared" si="5"/>
        <v>-7.5001125047874401E-2</v>
      </c>
      <c r="BK26" s="54"/>
      <c r="BL26" s="7"/>
    </row>
    <row r="27" spans="1:64" s="18" customFormat="1" x14ac:dyDescent="0.3">
      <c r="A27" s="21">
        <v>23</v>
      </c>
      <c r="B27" s="4" t="s">
        <v>57</v>
      </c>
      <c r="C27" s="4" t="s">
        <v>26</v>
      </c>
      <c r="D27" s="4">
        <v>12.01</v>
      </c>
      <c r="E27" s="4">
        <v>20</v>
      </c>
      <c r="F27" s="4" t="s">
        <v>60</v>
      </c>
      <c r="G27" s="50" t="s">
        <v>59</v>
      </c>
      <c r="H27" s="4">
        <v>1519</v>
      </c>
      <c r="I27" s="51">
        <v>0.16</v>
      </c>
      <c r="J27" s="52">
        <v>0</v>
      </c>
      <c r="K27" s="52">
        <v>0.4</v>
      </c>
      <c r="L27" s="51">
        <v>0.02</v>
      </c>
      <c r="M27" s="51">
        <v>1.4999999999999999E-2</v>
      </c>
      <c r="N27" s="51" t="s">
        <v>631</v>
      </c>
      <c r="O27" s="51" t="s">
        <v>631</v>
      </c>
      <c r="P27" s="51" t="s">
        <v>631</v>
      </c>
      <c r="Q27" s="51">
        <v>0.02</v>
      </c>
      <c r="R27" s="51" t="s">
        <v>631</v>
      </c>
      <c r="S27" s="32" t="s">
        <v>631</v>
      </c>
      <c r="T27" s="52"/>
      <c r="U27" s="52"/>
      <c r="V27" s="52"/>
      <c r="W27" s="52" t="s">
        <v>631</v>
      </c>
      <c r="X27" s="32" t="s">
        <v>631</v>
      </c>
      <c r="Y27" s="53" t="s">
        <v>631</v>
      </c>
      <c r="Z27" s="4" t="s">
        <v>631</v>
      </c>
      <c r="AA27" s="53"/>
      <c r="AB27" s="42">
        <f>IF(J27&lt;=0.04,0,IF((BA27-AL27*BF$4*炼钢参数表!$X$5/1000-AM27*BG$4*炼钢参数表!$X$5/1000)&lt;=0.03,0,IF((J27/100/0.1769/炼钢参数表!K27*1000)&gt;(K27-炼钢参数表!J27)/100/0.6566/炼钢参数表!L27*1000,IF(K27&lt;1.6,(K27-炼钢参数表!J27)/100/0.6566/炼钢参数表!L27*1000,(K27-0.08-炼钢参数表!J27)/100/0.6566/炼钢参数表!L27*1000),IF(K27&lt;1.6,J27/100/0.1769/炼钢参数表!K27*1000,(J27-0.08)/100/0.1769/炼钢参数表!K27*1000))))</f>
        <v>0</v>
      </c>
      <c r="AC27" s="8">
        <f>IF((BA27-AB27*$BB$4*0.9/1000-AL27*BF$4*炼钢参数表!$X$5/1000-AM27*BG$4*炼钢参数表!$X$5/1000)&lt;(K27-炼钢参数表!J27-AB27*0.6566*炼钢参数表!L27/10)*0.082,0,(K27-炼钢参数表!J27-AB27*0.6566*炼钢参数表!L27/10)/100/($AC$3/100)/炼钢参数表!L27*1000)</f>
        <v>3.65897029052908</v>
      </c>
      <c r="AD27" s="8">
        <f>IF((BA27-AB27*$BB$4*0.9/1000-AC27*$BC$4*0.9/1000-AL27*BF$4*炼钢参数表!$X$5/1000-AM27*BG$4*炼钢参数表!$X$5/1000)&lt;=(K27-炼钢参数表!J27-AB27*0.6566*炼钢参数表!L27/10-AC27*($AC$3/100)*炼钢参数表!L27/10)*0.02,0,((K27-炼钢参数表!J27-AB27*0.6566*炼钢参数表!L27/10-AC27*($AC$3/100)*炼钢参数表!L27/10)/100/($AD$3/100)/炼钢参数表!L27*1000))</f>
        <v>0</v>
      </c>
      <c r="AE27" s="8">
        <f>(K27-炼钢参数表!J27-AB27*0.6566*炼钢参数表!L27/10-AC27*($AC$3/100)*炼钢参数表!L27/10-AD27*($AD$3/100)*炼钢参数表!L27/10)/100/($AE$3/100)/炼钢参数表!L27*1000</f>
        <v>0</v>
      </c>
      <c r="AF27" s="8">
        <v>0</v>
      </c>
      <c r="AG27" s="8">
        <f>IF(J27&lt;=0.04,0,((J27-(AB27*0.1769*炼钢参数表!K27/1000*100))/100/炼钢参数表!K27/($AG$3/100)*1000))</f>
        <v>0</v>
      </c>
      <c r="AH27" s="8">
        <v>1.6</v>
      </c>
      <c r="AI27" s="8">
        <f>IF(N27="",0,IF(N27&lt;=0.002,0,((N27)/100)/($AI$3/100)/炼钢参数表!M27*1000))</f>
        <v>0</v>
      </c>
      <c r="AJ27" s="8">
        <f>IF(O27="",0,IF(O27&lt;=0.002,0,((O27)/100)/($AJ$3/100)/炼钢参数表!N27*1000))</f>
        <v>0</v>
      </c>
      <c r="AK27" s="8">
        <f>IF(P27="",0,IF(P27&lt;=0.002,0,((P27+0.005)/100)/($AK$3/100)/炼钢参数表!O27*1000))</f>
        <v>0</v>
      </c>
      <c r="AL27" s="8">
        <f>IF((BA27-J27*0.00003-K27*0.00024)&lt;=0.05,0,IF(T27="",0,IF(T27&lt;=0.03,0,IF(((BA27-J27*0.00003-K27*0.00024)-0.05)/0.18/100/($AL$3/100)/炼钢参数表!P27*1000&lt;=T27/100/($AL$3/100)/炼钢参数表!P27*1000,((BA27-J27*0.00003-K27*0.00024)-0.05)/0.18/100/($AL$3/100)/炼钢参数表!P27*1000,T27/100/($AL$3/100)/炼钢参数表!P27*1000))))</f>
        <v>0</v>
      </c>
      <c r="AM27" s="8">
        <f>IF(T27="",0,IF(T27&lt;=0.03,0,((T27-AL27*($AL$3/100)*炼钢参数表!P27/10)/100/($AM$3/100)/炼钢参数表!P27*1000)))</f>
        <v>0</v>
      </c>
      <c r="AN27" s="8">
        <f>IF(U27="",0,IF(U27&lt;=0.02,0,(U27/100)/($AN$3/100)/炼钢参数表!Q27*1000))</f>
        <v>0</v>
      </c>
      <c r="AO27" s="8">
        <f>IF(V27="",0,IF(V27&lt;=0.02,0,(V27/100)/($AO$3/100)/炼钢参数表!R27*1000))</f>
        <v>0</v>
      </c>
      <c r="AP27" s="8">
        <f>IF(W27="",0,IF(W27&lt;=0.02,0,(W27/100)/($AP$3/100)/炼钢参数表!S27*1000))</f>
        <v>0</v>
      </c>
      <c r="AQ27" s="8">
        <f>IF(X27="",0,IF(X27&lt;=0.0002,0,(X27/100)/($AQ$3/100)/炼钢参数表!T27*1000))</f>
        <v>0</v>
      </c>
      <c r="AR27" s="8">
        <f>IF(Y27="",0,IF(Y27&lt;=0.02,0,(Y27/100)/($AR$3/100)/炼钢参数表!U27*1000))</f>
        <v>0</v>
      </c>
      <c r="AS27" s="8">
        <f>IF(L27&lt;=0.04,0,((L27-0.04)/100)/($AS$3/100)/炼钢参数表!V27*1000)</f>
        <v>0</v>
      </c>
      <c r="AT27" s="8">
        <f>IF(M27&lt;=0.03,0,((M27-0.03)/100)/($AT$3/100)/炼钢参数表!W27*1000)</f>
        <v>0</v>
      </c>
      <c r="AU27" s="6"/>
      <c r="AV27" s="8">
        <f t="shared" si="0"/>
        <v>5.2589702905290796</v>
      </c>
      <c r="AW27" s="8" cm="1">
        <f t="array" ref="AW27">SUMPRODUCT($AB$4:$AU$4,AB27:AU27)/1000</f>
        <v>57.855192110011998</v>
      </c>
      <c r="AY27" s="2" t="str">
        <f t="shared" si="1"/>
        <v>A36-DX2</v>
      </c>
      <c r="AZ27" s="37">
        <f>VLOOKUP(AY27,炼钢参数表!$F$5:$J$1027,4,0)</f>
        <v>7.9000000000000001E-2</v>
      </c>
      <c r="BA27" s="37">
        <f t="shared" si="2"/>
        <v>8.1000000000000003E-2</v>
      </c>
      <c r="BB27" s="37">
        <f>AB27*$BB$4*炼钢参数表!$X$5/1000</f>
        <v>0</v>
      </c>
      <c r="BC27" s="37">
        <f>AC27*$BC$4*炼钢参数表!$X$5/1000</f>
        <v>2.20306601192756E-2</v>
      </c>
      <c r="BD27" s="37">
        <f>AD27*$BD$4*炼钢参数表!$X$5/1000</f>
        <v>0</v>
      </c>
      <c r="BE27" s="37">
        <f>AE27*$BE$4*炼钢参数表!$X$5/1000</f>
        <v>0</v>
      </c>
      <c r="BF27" s="37">
        <f>AL27*$BF$4*炼钢参数表!$X$5/1000</f>
        <v>0</v>
      </c>
      <c r="BG27" s="37">
        <f>AM27*$BG$4*炼钢参数表!$X$5/1000</f>
        <v>0</v>
      </c>
      <c r="BH27" s="37">
        <f t="shared" si="3"/>
        <v>2.20306601192756E-2</v>
      </c>
      <c r="BI27" s="37">
        <f t="shared" si="4"/>
        <v>0.101030660119276</v>
      </c>
      <c r="BJ27" s="37">
        <f t="shared" si="5"/>
        <v>-5.8969339880724399E-2</v>
      </c>
      <c r="BK27" s="54"/>
      <c r="BL27" s="7"/>
    </row>
    <row r="28" spans="1:64" s="18" customFormat="1" x14ac:dyDescent="0.3">
      <c r="A28" s="21">
        <v>24</v>
      </c>
      <c r="B28" s="4" t="s">
        <v>61</v>
      </c>
      <c r="C28" s="4" t="s">
        <v>23</v>
      </c>
      <c r="D28" s="4">
        <v>1.6</v>
      </c>
      <c r="E28" s="4">
        <v>12</v>
      </c>
      <c r="F28" s="4" t="s">
        <v>62</v>
      </c>
      <c r="G28" s="50" t="s">
        <v>63</v>
      </c>
      <c r="H28" s="4">
        <v>1519</v>
      </c>
      <c r="I28" s="51">
        <v>0.16</v>
      </c>
      <c r="J28" s="52">
        <v>0.08</v>
      </c>
      <c r="K28" s="52">
        <v>0.35</v>
      </c>
      <c r="L28" s="51">
        <v>0.02</v>
      </c>
      <c r="M28" s="51">
        <v>1.4999999999999999E-2</v>
      </c>
      <c r="N28" s="51" t="s">
        <v>631</v>
      </c>
      <c r="O28" s="51" t="s">
        <v>631</v>
      </c>
      <c r="P28" s="51" t="s">
        <v>631</v>
      </c>
      <c r="Q28" s="51">
        <v>0.01</v>
      </c>
      <c r="R28" s="51" t="s">
        <v>631</v>
      </c>
      <c r="S28" s="32" t="s">
        <v>631</v>
      </c>
      <c r="T28" s="52"/>
      <c r="U28" s="52"/>
      <c r="V28" s="52"/>
      <c r="W28" s="52" t="s">
        <v>631</v>
      </c>
      <c r="X28" s="32" t="s">
        <v>631</v>
      </c>
      <c r="Y28" s="53" t="s">
        <v>631</v>
      </c>
      <c r="Z28" s="4" t="s">
        <v>631</v>
      </c>
      <c r="AA28" s="53" t="s">
        <v>631</v>
      </c>
      <c r="AB28" s="42">
        <f>IF(J28&lt;=0.04,0,IF((BA28-AL28*BF$4*炼钢参数表!$X$5/1000-AM28*BG$4*炼钢参数表!$X$5/1000)&lt;=0.03,0,IF((J28/100/0.1769/炼钢参数表!K28*1000)&gt;(K28-炼钢参数表!J28)/100/0.6566/炼钢参数表!L28*1000,IF(K28&lt;1.6,(K28-炼钢参数表!J28)/100/0.6566/炼钢参数表!L28*1000,(K28-0.08-炼钢参数表!J28)/100/0.6566/炼钢参数表!L28*1000),IF(K28&lt;1.6,J28/100/0.1769/炼钢参数表!K28*1000,(J28-0.08)/100/0.1769/炼钢参数表!K28*1000))))</f>
        <v>3.6244571947979098</v>
      </c>
      <c r="AC28" s="8">
        <f>IF((BA28-AB28*$BB$4*0.9/1000-AL28*BF$4*炼钢参数表!$X$5/1000-AM28*BG$4*炼钢参数表!$X$5/1000)&lt;(K28-炼钢参数表!J28-AB28*0.6566*炼钢参数表!L28/10)*0.082,0,(K28-炼钢参数表!J28-AB28*0.6566*炼钢参数表!L28/10)/100/($AC$3/100)/炼钢参数表!L28*1000)</f>
        <v>0</v>
      </c>
      <c r="AD28" s="8">
        <f>IF((BA28-AB28*$BB$4*0.9/1000-AC28*$BC$4*0.9/1000-AL28*BF$4*炼钢参数表!$X$5/1000-AM28*BG$4*炼钢参数表!$X$5/1000)&lt;=(K28-炼钢参数表!J28-AB28*0.6566*炼钢参数表!L28/10-AC28*($AC$3/100)*炼钢参数表!L28/10)*0.02,0,((K28-炼钢参数表!J28-AB28*0.6566*炼钢参数表!L28/10-AC28*($AC$3/100)*炼钢参数表!L28/10)/100/($AD$3/100)/炼钢参数表!L28*1000))</f>
        <v>0</v>
      </c>
      <c r="AE28" s="8">
        <f>(K28-炼钢参数表!J28-AB28*0.6566*炼钢参数表!L28/10-AC28*($AC$3/100)*炼钢参数表!L28/10-AD28*($AD$3/100)*炼钢参数表!L28/10)/100/($AE$3/100)/炼钢参数表!L28*1000</f>
        <v>0</v>
      </c>
      <c r="AF28" s="8">
        <v>0</v>
      </c>
      <c r="AG28" s="8">
        <f>IF(J28&lt;=0.04,0,((J28-(AB28*0.1769*炼钢参数表!K28/1000*100))/100/炼钢参数表!K28/($AG$3/100)*1000))</f>
        <v>0.58909066718388003</v>
      </c>
      <c r="AH28" s="8">
        <v>1.2356426481335201</v>
      </c>
      <c r="AI28" s="8">
        <f>IF(N28="",0,IF(N28&lt;=0.002,0,((N28)/100)/($AI$3/100)/炼钢参数表!M28*1000))</f>
        <v>0</v>
      </c>
      <c r="AJ28" s="8">
        <f>IF(O28="",0,IF(O28&lt;=0.002,0,((O28)/100)/($AJ$3/100)/炼钢参数表!N28*1000))</f>
        <v>0</v>
      </c>
      <c r="AK28" s="8">
        <f>IF(P28="",0,IF(P28&lt;=0.002,0,((P28+0.005)/100)/($AK$3/100)/炼钢参数表!O28*1000))</f>
        <v>0</v>
      </c>
      <c r="AL28" s="8">
        <f>IF((BA28-J28*0.00003-K28*0.00024)&lt;=0.05,0,IF(T28="",0,IF(T28&lt;=0.03,0,IF(((BA28-J28*0.00003-K28*0.00024)-0.05)/0.18/100/($AL$3/100)/炼钢参数表!P28*1000&lt;=T28/100/($AL$3/100)/炼钢参数表!P28*1000,((BA28-J28*0.00003-K28*0.00024)-0.05)/0.18/100/($AL$3/100)/炼钢参数表!P28*1000,T28/100/($AL$3/100)/炼钢参数表!P28*1000))))</f>
        <v>0</v>
      </c>
      <c r="AM28" s="8">
        <f>IF(T28="",0,IF(T28&lt;=0.03,0,((T28-AL28*($AL$3/100)*炼钢参数表!P28/10)/100/($AM$3/100)/炼钢参数表!P28*1000)))</f>
        <v>0</v>
      </c>
      <c r="AN28" s="8">
        <f>IF(U28="",0,IF(U28&lt;=0.02,0,(U28/100)/($AN$3/100)/炼钢参数表!Q28*1000))</f>
        <v>0</v>
      </c>
      <c r="AO28" s="8">
        <f>IF(V28="",0,IF(V28&lt;=0.02,0,(V28/100)/($AO$3/100)/炼钢参数表!R28*1000))</f>
        <v>0</v>
      </c>
      <c r="AP28" s="8">
        <f>IF(W28="",0,IF(W28&lt;=0.02,0,(W28/100)/($AP$3/100)/炼钢参数表!S28*1000))</f>
        <v>0</v>
      </c>
      <c r="AQ28" s="8">
        <f>IF(X28="",0,IF(X28&lt;=0.0002,0,(X28/100)/($AQ$3/100)/炼钢参数表!T28*1000))</f>
        <v>0</v>
      </c>
      <c r="AR28" s="8">
        <f>IF(Y28="",0,IF(Y28&lt;=0.02,0,(Y28/100)/($AR$3/100)/炼钢参数表!U28*1000))</f>
        <v>0</v>
      </c>
      <c r="AS28" s="8">
        <f>IF(L28&lt;=0.04,0,((L28-0.04)/100)/($AS$3/100)/炼钢参数表!V28*1000)</f>
        <v>0</v>
      </c>
      <c r="AT28" s="8">
        <f>IF(M28&lt;=0.03,0,((M28-0.03)/100)/($AT$3/100)/炼钢参数表!W28*1000)</f>
        <v>0</v>
      </c>
      <c r="AU28" s="6"/>
      <c r="AV28" s="8">
        <f t="shared" si="0"/>
        <v>5.4491905101153097</v>
      </c>
      <c r="AW28" s="8" cm="1">
        <f t="array" ref="AW28">SUMPRODUCT($AB$4:$AU$4,AB28:AU28)/1000</f>
        <v>50.3175663675636</v>
      </c>
      <c r="AY28" s="2" t="str">
        <f t="shared" si="1"/>
        <v>SS400-1</v>
      </c>
      <c r="AZ28" s="37">
        <f>VLOOKUP(AY28,炼钢参数表!$F$5:$J$1027,4,0)</f>
        <v>7.0962962962963005E-2</v>
      </c>
      <c r="BA28" s="37">
        <f t="shared" si="2"/>
        <v>8.9037037037036998E-2</v>
      </c>
      <c r="BB28" s="37">
        <f>AB28*$BB$4*炼钢参数表!$X$5/1000</f>
        <v>5.6106597375471601E-3</v>
      </c>
      <c r="BC28" s="37">
        <f>AC28*$BC$4*炼钢参数表!$X$5/1000</f>
        <v>0</v>
      </c>
      <c r="BD28" s="37">
        <f>AD28*$BD$4*炼钢参数表!$X$5/1000</f>
        <v>0</v>
      </c>
      <c r="BE28" s="37">
        <f>AE28*$BE$4*炼钢参数表!$X$5/1000</f>
        <v>0</v>
      </c>
      <c r="BF28" s="37">
        <f>AL28*$BF$4*炼钢参数表!$X$5/1000</f>
        <v>0</v>
      </c>
      <c r="BG28" s="37">
        <f>AM28*$BG$4*炼钢参数表!$X$5/1000</f>
        <v>0</v>
      </c>
      <c r="BH28" s="37">
        <f t="shared" si="3"/>
        <v>5.6106597375471601E-3</v>
      </c>
      <c r="BI28" s="37">
        <f t="shared" si="4"/>
        <v>7.6573622700510199E-2</v>
      </c>
      <c r="BJ28" s="37">
        <f t="shared" si="5"/>
        <v>-8.3426377299489804E-2</v>
      </c>
      <c r="BK28" s="54"/>
      <c r="BL28" s="7"/>
    </row>
    <row r="29" spans="1:64" s="18" customFormat="1" x14ac:dyDescent="0.3">
      <c r="A29" s="21">
        <v>25</v>
      </c>
      <c r="B29" s="4" t="s">
        <v>61</v>
      </c>
      <c r="C29" s="4" t="s">
        <v>26</v>
      </c>
      <c r="D29" s="4">
        <v>12.01</v>
      </c>
      <c r="E29" s="4">
        <v>25.4</v>
      </c>
      <c r="F29" s="4" t="s">
        <v>64</v>
      </c>
      <c r="G29" s="50" t="s">
        <v>63</v>
      </c>
      <c r="H29" s="4">
        <v>1519</v>
      </c>
      <c r="I29" s="51">
        <v>0.16</v>
      </c>
      <c r="J29" s="52">
        <v>0.08</v>
      </c>
      <c r="K29" s="52">
        <v>0.5</v>
      </c>
      <c r="L29" s="51">
        <v>0.02</v>
      </c>
      <c r="M29" s="51">
        <v>1.4999999999999999E-2</v>
      </c>
      <c r="N29" s="51" t="s">
        <v>631</v>
      </c>
      <c r="O29" s="51" t="s">
        <v>631</v>
      </c>
      <c r="P29" s="51" t="s">
        <v>631</v>
      </c>
      <c r="Q29" s="51">
        <v>2.5000000000000001E-2</v>
      </c>
      <c r="R29" s="51" t="s">
        <v>631</v>
      </c>
      <c r="S29" s="32" t="s">
        <v>631</v>
      </c>
      <c r="T29" s="52"/>
      <c r="U29" s="52"/>
      <c r="V29" s="52"/>
      <c r="W29" s="52" t="s">
        <v>631</v>
      </c>
      <c r="X29" s="32" t="s">
        <v>631</v>
      </c>
      <c r="Y29" s="53" t="s">
        <v>631</v>
      </c>
      <c r="Z29" s="4" t="s">
        <v>631</v>
      </c>
      <c r="AA29" s="53" t="s">
        <v>631</v>
      </c>
      <c r="AB29" s="42">
        <f>IF(J29&lt;=0.04,0,IF((BA29-AL29*BF$4*炼钢参数表!$X$5/1000-AM29*BG$4*炼钢参数表!$X$5/1000)&lt;=0.03,0,IF((J29/100/0.1769/炼钢参数表!K29*1000)&gt;(K29-炼钢参数表!J29)/100/0.6566/炼钢参数表!L29*1000,IF(K29&lt;1.6,(K29-炼钢参数表!J29)/100/0.6566/炼钢参数表!L29*1000,(K29-0.08-炼钢参数表!J29)/100/0.6566/炼钢参数表!L29*1000),IF(K29&lt;1.6,J29/100/0.1769/炼钢参数表!K29*1000,(J29-0.08)/100/0.1769/炼钢参数表!K29*1000))))</f>
        <v>5.9702528589870401</v>
      </c>
      <c r="AC29" s="8">
        <f>IF((BA29-AB29*$BB$4*0.9/1000-AL29*BF$4*炼钢参数表!$X$5/1000-AM29*BG$4*炼钢参数表!$X$5/1000)&lt;(K29-炼钢参数表!J29-AB29*0.6566*炼钢参数表!L29/10)*0.082,0,(K29-炼钢参数表!J29-AB29*0.6566*炼钢参数表!L29/10)/100/($AC$3/100)/炼钢参数表!L29*1000)</f>
        <v>0</v>
      </c>
      <c r="AD29" s="8">
        <f>IF((BA29-AB29*$BB$4*0.9/1000-AC29*$BC$4*0.9/1000-AL29*BF$4*炼钢参数表!$X$5/1000-AM29*BG$4*炼钢参数表!$X$5/1000)&lt;=(K29-炼钢参数表!J29-AB29*0.6566*炼钢参数表!L29/10-AC29*($AC$3/100)*炼钢参数表!L29/10)*0.02,0,((K29-炼钢参数表!J29-AB29*0.6566*炼钢参数表!L29/10-AC29*($AC$3/100)*炼钢参数表!L29/10)/100/($AD$3/100)/炼钢参数表!L29*1000))</f>
        <v>0</v>
      </c>
      <c r="AE29" s="8">
        <f>(K29-炼钢参数表!J29-AB29*0.6566*炼钢参数表!L29/10-AC29*($AC$3/100)*炼钢参数表!L29/10-AD29*($AD$3/100)*炼钢参数表!L29/10)/100/($AE$3/100)/炼钢参数表!L29*1000</f>
        <v>0</v>
      </c>
      <c r="AF29" s="8">
        <v>0</v>
      </c>
      <c r="AG29" s="8">
        <f>IF(J29&lt;=0.04,0,((J29-(AB29*0.1769*炼钢参数表!K29/1000*100))/100/炼钢参数表!K29/($AG$3/100)*1000))</f>
        <v>1.4576956821071701E-2</v>
      </c>
      <c r="AH29" s="8">
        <v>1.4</v>
      </c>
      <c r="AI29" s="8">
        <f>IF(N29="",0,IF(N29&lt;=0.002,0,((N29)/100)/($AI$3/100)/炼钢参数表!M29*1000))</f>
        <v>0</v>
      </c>
      <c r="AJ29" s="8">
        <f>IF(O29="",0,IF(O29&lt;=0.002,0,((O29)/100)/($AJ$3/100)/炼钢参数表!N29*1000))</f>
        <v>0</v>
      </c>
      <c r="AK29" s="8">
        <f>IF(P29="",0,IF(P29&lt;=0.002,0,((P29+0.005)/100)/($AK$3/100)/炼钢参数表!O29*1000))</f>
        <v>0</v>
      </c>
      <c r="AL29" s="8">
        <f>IF((BA29-J29*0.00003-K29*0.00024)&lt;=0.05,0,IF(T29="",0,IF(T29&lt;=0.03,0,IF(((BA29-J29*0.00003-K29*0.00024)-0.05)/0.18/100/($AL$3/100)/炼钢参数表!P29*1000&lt;=T29/100/($AL$3/100)/炼钢参数表!P29*1000,((BA29-J29*0.00003-K29*0.00024)-0.05)/0.18/100/($AL$3/100)/炼钢参数表!P29*1000,T29/100/($AL$3/100)/炼钢参数表!P29*1000))))</f>
        <v>0</v>
      </c>
      <c r="AM29" s="8">
        <f>IF(T29="",0,IF(T29&lt;=0.03,0,((T29-AL29*($AL$3/100)*炼钢参数表!P29/10)/100/($AM$3/100)/炼钢参数表!P29*1000)))</f>
        <v>0</v>
      </c>
      <c r="AN29" s="8">
        <f>IF(U29="",0,IF(U29&lt;=0.02,0,(U29/100)/($AN$3/100)/炼钢参数表!Q29*1000))</f>
        <v>0</v>
      </c>
      <c r="AO29" s="8">
        <f>IF(V29="",0,IF(V29&lt;=0.02,0,(V29/100)/($AO$3/100)/炼钢参数表!R29*1000))</f>
        <v>0</v>
      </c>
      <c r="AP29" s="8">
        <f>IF(W29="",0,IF(W29&lt;=0.02,0,(W29/100)/($AP$3/100)/炼钢参数表!S29*1000))</f>
        <v>0</v>
      </c>
      <c r="AQ29" s="8">
        <f>IF(X29="",0,IF(X29&lt;=0.0002,0,(X29/100)/($AQ$3/100)/炼钢参数表!T29*1000))</f>
        <v>0</v>
      </c>
      <c r="AR29" s="8">
        <f>IF(Y29="",0,IF(Y29&lt;=0.02,0,(Y29/100)/($AR$3/100)/炼钢参数表!U29*1000))</f>
        <v>0</v>
      </c>
      <c r="AS29" s="8">
        <f>IF(L29&lt;=0.04,0,((L29-0.04)/100)/($AS$3/100)/炼钢参数表!V29*1000)</f>
        <v>0</v>
      </c>
      <c r="AT29" s="8">
        <f>IF(M29&lt;=0.03,0,((M29-0.03)/100)/($AT$3/100)/炼钢参数表!W29*1000)</f>
        <v>0</v>
      </c>
      <c r="AU29" s="6"/>
      <c r="AV29" s="8">
        <f t="shared" si="0"/>
        <v>7.3848298158081098</v>
      </c>
      <c r="AW29" s="8" cm="1">
        <f t="array" ref="AW29">SUMPRODUCT($AB$4:$AU$4,AB29:AU29)/1000</f>
        <v>63.734930081913298</v>
      </c>
      <c r="AY29" s="2" t="str">
        <f t="shared" si="1"/>
        <v>SS400-2</v>
      </c>
      <c r="AZ29" s="37">
        <f>VLOOKUP(AY29,炼钢参数表!$F$5:$J$1027,4,0)</f>
        <v>7.9833333333333298E-2</v>
      </c>
      <c r="BA29" s="37">
        <f t="shared" si="2"/>
        <v>8.0166666666666705E-2</v>
      </c>
      <c r="BB29" s="37">
        <f>AB29*$BB$4*炼钢参数表!$X$5/1000</f>
        <v>9.2419514257119292E-3</v>
      </c>
      <c r="BC29" s="37">
        <f>AC29*$BC$4*炼钢参数表!$X$5/1000</f>
        <v>0</v>
      </c>
      <c r="BD29" s="37">
        <f>AD29*$BD$4*炼钢参数表!$X$5/1000</f>
        <v>0</v>
      </c>
      <c r="BE29" s="37">
        <f>AE29*$BE$4*炼钢参数表!$X$5/1000</f>
        <v>0</v>
      </c>
      <c r="BF29" s="37">
        <f>AL29*$BF$4*炼钢参数表!$X$5/1000</f>
        <v>0</v>
      </c>
      <c r="BG29" s="37">
        <f>AM29*$BG$4*炼钢参数表!$X$5/1000</f>
        <v>0</v>
      </c>
      <c r="BH29" s="37">
        <f t="shared" si="3"/>
        <v>9.2419514257119292E-3</v>
      </c>
      <c r="BI29" s="37">
        <f t="shared" si="4"/>
        <v>8.9075284759045206E-2</v>
      </c>
      <c r="BJ29" s="37">
        <f t="shared" si="5"/>
        <v>-7.0924715240954797E-2</v>
      </c>
      <c r="BK29" s="54"/>
      <c r="BL29" s="7"/>
    </row>
    <row r="30" spans="1:64" s="18" customFormat="1" x14ac:dyDescent="0.3">
      <c r="A30" s="21">
        <v>26</v>
      </c>
      <c r="B30" s="4" t="s">
        <v>65</v>
      </c>
      <c r="C30" s="4" t="s">
        <v>23</v>
      </c>
      <c r="D30" s="4">
        <v>1.5</v>
      </c>
      <c r="E30" s="4">
        <v>12</v>
      </c>
      <c r="F30" s="4" t="s">
        <v>54</v>
      </c>
      <c r="G30" s="50" t="s">
        <v>55</v>
      </c>
      <c r="H30" s="4">
        <v>1519</v>
      </c>
      <c r="I30" s="51">
        <v>0.16</v>
      </c>
      <c r="J30" s="52">
        <v>0.08</v>
      </c>
      <c r="K30" s="52">
        <v>0.25</v>
      </c>
      <c r="L30" s="51">
        <v>1.4999999999999999E-2</v>
      </c>
      <c r="M30" s="51">
        <v>0.01</v>
      </c>
      <c r="N30" s="51" t="s">
        <v>631</v>
      </c>
      <c r="O30" s="51" t="s">
        <v>631</v>
      </c>
      <c r="P30" s="51" t="s">
        <v>631</v>
      </c>
      <c r="Q30" s="51">
        <v>0.02</v>
      </c>
      <c r="R30" s="51" t="s">
        <v>631</v>
      </c>
      <c r="S30" s="32" t="s">
        <v>631</v>
      </c>
      <c r="T30" s="52"/>
      <c r="U30" s="52"/>
      <c r="V30" s="52"/>
      <c r="W30" s="52" t="s">
        <v>631</v>
      </c>
      <c r="X30" s="32" t="s">
        <v>631</v>
      </c>
      <c r="Y30" s="53" t="s">
        <v>631</v>
      </c>
      <c r="Z30" s="4"/>
      <c r="AA30" s="53"/>
      <c r="AB30" s="42">
        <f>IF(J30&lt;=0.04,0,IF((BA30-AL30*BF$4*炼钢参数表!$X$5/1000-AM30*BG$4*炼钢参数表!$X$5/1000)&lt;=0.03,0,IF((J30/100/0.1769/炼钢参数表!K30*1000)&gt;(K30-炼钢参数表!J30)/100/0.6566/炼钢参数表!L30*1000,IF(K30&lt;1.6,(K30-炼钢参数表!J30)/100/0.6566/炼钢参数表!L30*1000,(K30-0.08-炼钢参数表!J30)/100/0.6566/炼钢参数表!L30*1000),IF(K30&lt;1.6,J30/100/0.1769/炼钢参数表!K30*1000,(J30-0.08)/100/0.1769/炼钢参数表!K30*1000))))</f>
        <v>2.14959321123108</v>
      </c>
      <c r="AC30" s="8">
        <f>IF((BA30-AB30*$BB$4*0.9/1000-AL30*BF$4*炼钢参数表!$X$5/1000-AM30*BG$4*炼钢参数表!$X$5/1000)&lt;(K30-炼钢参数表!J30-AB30*0.6566*炼钢参数表!L30/10)*0.082,0,(K30-炼钢参数表!J30-AB30*0.6566*炼钢参数表!L30/10)/100/($AC$3/100)/炼钢参数表!L30*1000)</f>
        <v>0</v>
      </c>
      <c r="AD30" s="8">
        <f>IF((BA30-AB30*$BB$4*0.9/1000-AC30*$BC$4*0.9/1000-AL30*BF$4*炼钢参数表!$X$5/1000-AM30*BG$4*炼钢参数表!$X$5/1000)&lt;=(K30-炼钢参数表!J30-AB30*0.6566*炼钢参数表!L30/10-AC30*($AC$3/100)*炼钢参数表!L30/10)*0.02,0,((K30-炼钢参数表!J30-AB30*0.6566*炼钢参数表!L30/10-AC30*($AC$3/100)*炼钢参数表!L30/10)/100/($AD$3/100)/炼钢参数表!L30*1000))</f>
        <v>0</v>
      </c>
      <c r="AE30" s="8">
        <f>(K30-炼钢参数表!J30-AB30*0.6566*炼钢参数表!L30/10-AC30*($AC$3/100)*炼钢参数表!L30/10-AD30*($AD$3/100)*炼钢参数表!L30/10)/100/($AE$3/100)/炼钢参数表!L30*1000</f>
        <v>0</v>
      </c>
      <c r="AF30" s="8">
        <v>0</v>
      </c>
      <c r="AG30" s="8">
        <f>IF(J30&lt;=0.04,0,((J30-(AB30*0.1769*炼钢参数表!K30/1000*100))/100/炼钢参数表!K30/($AG$3/100)*1000))</f>
        <v>0.95030268254172601</v>
      </c>
      <c r="AH30" s="8">
        <v>1.45</v>
      </c>
      <c r="AI30" s="8">
        <f>IF(N30="",0,IF(N30&lt;=0.002,0,((N30)/100)/($AI$3/100)/炼钢参数表!M30*1000))</f>
        <v>0</v>
      </c>
      <c r="AJ30" s="8">
        <f>IF(O30="",0,IF(O30&lt;=0.002,0,((O30)/100)/($AJ$3/100)/炼钢参数表!N30*1000))</f>
        <v>0</v>
      </c>
      <c r="AK30" s="8">
        <f>IF(P30="",0,IF(P30&lt;=0.002,0,((P30+0.005)/100)/($AK$3/100)/炼钢参数表!O30*1000))</f>
        <v>0</v>
      </c>
      <c r="AL30" s="8">
        <f>IF((BA30-J30*0.00003-K30*0.00024)&lt;=0.05,0,IF(T30="",0,IF(T30&lt;=0.03,0,IF(((BA30-J30*0.00003-K30*0.00024)-0.05)/0.18/100/($AL$3/100)/炼钢参数表!P30*1000&lt;=T30/100/($AL$3/100)/炼钢参数表!P30*1000,((BA30-J30*0.00003-K30*0.00024)-0.05)/0.18/100/($AL$3/100)/炼钢参数表!P30*1000,T30/100/($AL$3/100)/炼钢参数表!P30*1000))))</f>
        <v>0</v>
      </c>
      <c r="AM30" s="8">
        <f>IF(T30="",0,IF(T30&lt;=0.03,0,((T30-AL30*($AL$3/100)*炼钢参数表!P30/10)/100/($AM$3/100)/炼钢参数表!P30*1000)))</f>
        <v>0</v>
      </c>
      <c r="AN30" s="8">
        <f>IF(U30="",0,IF(U30&lt;=0.02,0,(U30/100)/($AN$3/100)/炼钢参数表!Q30*1000))</f>
        <v>0</v>
      </c>
      <c r="AO30" s="8">
        <f>IF(V30="",0,IF(V30&lt;=0.02,0,(V30/100)/($AO$3/100)/炼钢参数表!R30*1000))</f>
        <v>0</v>
      </c>
      <c r="AP30" s="8">
        <f>IF(W30="",0,IF(W30&lt;=0.02,0,(W30/100)/($AP$3/100)/炼钢参数表!S30*1000))</f>
        <v>0</v>
      </c>
      <c r="AQ30" s="8">
        <f>IF(X30="",0,IF(X30&lt;=0.0002,0,(X30/100)/($AQ$3/100)/炼钢参数表!T30*1000))</f>
        <v>0</v>
      </c>
      <c r="AR30" s="8">
        <f>IF(Y30="",0,IF(Y30&lt;=0.02,0,(Y30/100)/($AR$3/100)/炼钢参数表!U30*1000))</f>
        <v>0</v>
      </c>
      <c r="AS30" s="8">
        <f>IF(L30&lt;=0.04,0,((L30-0.04)/100)/($AS$3/100)/炼钢参数表!V30*1000)</f>
        <v>0</v>
      </c>
      <c r="AT30" s="8">
        <f>IF(M30&lt;=0.03,0,((M30-0.03)/100)/($AT$3/100)/炼钢参数表!W30*1000)</f>
        <v>0</v>
      </c>
      <c r="AU30" s="6"/>
      <c r="AV30" s="8">
        <f t="shared" si="0"/>
        <v>4.5498958937728098</v>
      </c>
      <c r="AW30" s="8" cm="1">
        <f t="array" ref="AW30">SUMPRODUCT($AB$4:$AU$4,AB30:AU30)/1000</f>
        <v>48.978079738531903</v>
      </c>
      <c r="AY30" s="2" t="str">
        <f t="shared" si="1"/>
        <v>A36-1</v>
      </c>
      <c r="AZ30" s="37">
        <f>VLOOKUP(AY30,炼钢参数表!$F$5:$J$1027,4,0)</f>
        <v>7.0300925925925906E-2</v>
      </c>
      <c r="BA30" s="37">
        <f t="shared" si="2"/>
        <v>8.9699074074074098E-2</v>
      </c>
      <c r="BB30" s="37">
        <f>AB30*$BB$4*炼钢参数表!$X$5/1000</f>
        <v>3.3275702909857101E-3</v>
      </c>
      <c r="BC30" s="37">
        <f>AC30*$BC$4*炼钢参数表!$X$5/1000</f>
        <v>0</v>
      </c>
      <c r="BD30" s="37">
        <f>AD30*$BD$4*炼钢参数表!$X$5/1000</f>
        <v>0</v>
      </c>
      <c r="BE30" s="37">
        <f>AE30*$BE$4*炼钢参数表!$X$5/1000</f>
        <v>0</v>
      </c>
      <c r="BF30" s="37">
        <f>AL30*$BF$4*炼钢参数表!$X$5/1000</f>
        <v>0</v>
      </c>
      <c r="BG30" s="37">
        <f>AM30*$BG$4*炼钢参数表!$X$5/1000</f>
        <v>0</v>
      </c>
      <c r="BH30" s="37">
        <f t="shared" si="3"/>
        <v>3.3275702909857101E-3</v>
      </c>
      <c r="BI30" s="37">
        <f t="shared" si="4"/>
        <v>7.3628496216911601E-2</v>
      </c>
      <c r="BJ30" s="37">
        <f t="shared" si="5"/>
        <v>-8.6371503783088402E-2</v>
      </c>
      <c r="BK30" s="54"/>
      <c r="BL30" s="7"/>
    </row>
    <row r="31" spans="1:64" s="18" customFormat="1" x14ac:dyDescent="0.3">
      <c r="A31" s="21">
        <v>27</v>
      </c>
      <c r="B31" s="4" t="s">
        <v>66</v>
      </c>
      <c r="C31" s="4" t="s">
        <v>23</v>
      </c>
      <c r="D31" s="4">
        <v>1.5</v>
      </c>
      <c r="E31" s="4">
        <v>16</v>
      </c>
      <c r="F31" s="4" t="s">
        <v>66</v>
      </c>
      <c r="G31" s="50" t="s">
        <v>67</v>
      </c>
      <c r="H31" s="4">
        <v>1519</v>
      </c>
      <c r="I31" s="51">
        <v>0.16</v>
      </c>
      <c r="J31" s="52">
        <v>0.1</v>
      </c>
      <c r="K31" s="52">
        <v>0.25</v>
      </c>
      <c r="L31" s="51">
        <v>3.5000000000000003E-2</v>
      </c>
      <c r="M31" s="51">
        <v>0.02</v>
      </c>
      <c r="N31" s="51"/>
      <c r="O31" s="51"/>
      <c r="P31" s="51"/>
      <c r="Q31" s="51" t="s">
        <v>631</v>
      </c>
      <c r="R31" s="51" t="s">
        <v>631</v>
      </c>
      <c r="S31" s="32"/>
      <c r="T31" s="52"/>
      <c r="U31" s="52"/>
      <c r="V31" s="52"/>
      <c r="W31" s="52" t="s">
        <v>631</v>
      </c>
      <c r="X31" s="32" t="s">
        <v>631</v>
      </c>
      <c r="Y31" s="53" t="s">
        <v>631</v>
      </c>
      <c r="Z31" s="4" t="s">
        <v>631</v>
      </c>
      <c r="AA31" s="53"/>
      <c r="AB31" s="42">
        <f>IF(J31&lt;=0.04,0,IF((BA31-AL31*BF$4*炼钢参数表!$X$5/1000-AM31*BG$4*炼钢参数表!$X$5/1000)&lt;=0.03,0,IF((J31/100/0.1769/炼钢参数表!K31*1000)&gt;(K31-炼钢参数表!J31)/100/0.6566/炼钢参数表!L31*1000,IF(K31&lt;1.6,(K31-炼钢参数表!J31)/100/0.6566/炼钢参数表!L31*1000,(K31-0.08-炼钢参数表!J31)/100/0.6566/炼钢参数表!L31*1000),IF(K31&lt;1.6,J31/100/0.1769/炼钢参数表!K31*1000,(J31-0.08)/100/0.1769/炼钢参数表!K31*1000))))</f>
        <v>1.86686381185649</v>
      </c>
      <c r="AC31" s="8">
        <f>IF((BA31-AB31*$BB$4*0.9/1000-AL31*BF$4*炼钢参数表!$X$5/1000-AM31*BG$4*炼钢参数表!$X$5/1000)&lt;(K31-炼钢参数表!J31-AB31*0.6566*炼钢参数表!L31/10)*0.082,0,(K31-炼钢参数表!J31-AB31*0.6566*炼钢参数表!L31/10)/100/($AC$3/100)/炼钢参数表!L31*1000)</f>
        <v>0</v>
      </c>
      <c r="AD31" s="8">
        <f>IF((BA31-AB31*$BB$4*0.9/1000-AC31*$BC$4*0.9/1000-AL31*BF$4*炼钢参数表!$X$5/1000-AM31*BG$4*炼钢参数表!$X$5/1000)&lt;=(K31-炼钢参数表!J31-AB31*0.6566*炼钢参数表!L31/10-AC31*($AC$3/100)*炼钢参数表!L31/10)*0.02,0,((K31-炼钢参数表!J31-AB31*0.6566*炼钢参数表!L31/10-AC31*($AC$3/100)*炼钢参数表!L31/10)/100/($AD$3/100)/炼钢参数表!L31*1000))</f>
        <v>0</v>
      </c>
      <c r="AE31" s="8">
        <f>(K31-炼钢参数表!J31-AB31*0.6566*炼钢参数表!L31/10-AC31*($AC$3/100)*炼钢参数表!L31/10-AD31*($AD$3/100)*炼钢参数表!L31/10)/100/($AE$3/100)/炼钢参数表!L31*1000</f>
        <v>0</v>
      </c>
      <c r="AF31" s="8">
        <v>0</v>
      </c>
      <c r="AG31" s="8">
        <f>IF(J31&lt;=0.04,0,((J31-(AB31*0.1769*炼钢参数表!K31/1000*100))/100/炼钢参数表!K31/($AG$3/100)*1000))</f>
        <v>2.0599939220052699</v>
      </c>
      <c r="AH31" s="8">
        <v>0.25</v>
      </c>
      <c r="AI31" s="8">
        <f>IF(N31="",0,IF(N31&lt;=0.002,0,((N31)/100)/($AI$3/100)/炼钢参数表!M31*1000))</f>
        <v>0</v>
      </c>
      <c r="AJ31" s="8">
        <f>IF(O31="",0,IF(O31&lt;=0.002,0,((O31)/100)/($AJ$3/100)/炼钢参数表!N31*1000))</f>
        <v>0</v>
      </c>
      <c r="AK31" s="8">
        <f>IF(P31="",0,IF(P31&lt;=0.002,0,((P31+0.005)/100)/($AK$3/100)/炼钢参数表!O31*1000))</f>
        <v>0</v>
      </c>
      <c r="AL31" s="8">
        <f>IF((BA31-J31*0.00003-K31*0.00024)&lt;=0.05,0,IF(T31="",0,IF(T31&lt;=0.03,0,IF(((BA31-J31*0.00003-K31*0.00024)-0.05)/0.18/100/($AL$3/100)/炼钢参数表!P31*1000&lt;=T31/100/($AL$3/100)/炼钢参数表!P31*1000,((BA31-J31*0.00003-K31*0.00024)-0.05)/0.18/100/($AL$3/100)/炼钢参数表!P31*1000,T31/100/($AL$3/100)/炼钢参数表!P31*1000))))</f>
        <v>0</v>
      </c>
      <c r="AM31" s="8">
        <f>IF(T31="",0,IF(T31&lt;=0.03,0,((T31-AL31*($AL$3/100)*炼钢参数表!P31/10)/100/($AM$3/100)/炼钢参数表!P31*1000)))</f>
        <v>0</v>
      </c>
      <c r="AN31" s="8">
        <f>IF(U31="",0,IF(U31&lt;=0.02,0,(U31/100)/($AN$3/100)/炼钢参数表!Q31*1000))</f>
        <v>0</v>
      </c>
      <c r="AO31" s="8">
        <f>IF(V31="",0,IF(V31&lt;=0.02,0,(V31/100)/($AO$3/100)/炼钢参数表!R31*1000))</f>
        <v>0</v>
      </c>
      <c r="AP31" s="8">
        <f>IF(W31="",0,IF(W31&lt;=0.02,0,(W31/100)/($AP$3/100)/炼钢参数表!S31*1000))</f>
        <v>0</v>
      </c>
      <c r="AQ31" s="8">
        <f>IF(X31="",0,IF(X31&lt;=0.0002,0,(X31/100)/($AQ$3/100)/炼钢参数表!T31*1000))</f>
        <v>0</v>
      </c>
      <c r="AR31" s="8">
        <f>IF(Y31="",0,IF(Y31&lt;=0.02,0,(Y31/100)/($AR$3/100)/炼钢参数表!U31*1000))</f>
        <v>0</v>
      </c>
      <c r="AS31" s="8">
        <f>IF(L31&lt;=0.04,0,((L31-0.04)/100)/($AS$3/100)/炼钢参数表!V31*1000)</f>
        <v>0</v>
      </c>
      <c r="AT31" s="8">
        <f>IF(M31&lt;=0.03,0,((M31-0.03)/100)/($AT$3/100)/炼钢参数表!W31*1000)</f>
        <v>0</v>
      </c>
      <c r="AU31" s="6"/>
      <c r="AV31" s="8">
        <f t="shared" si="0"/>
        <v>4.1768577338617598</v>
      </c>
      <c r="AW31" s="8" cm="1">
        <f t="array" ref="AW31">SUMPRODUCT($AB$4:$AU$4,AB31:AU31)/1000</f>
        <v>26.394415530646999</v>
      </c>
      <c r="AY31" s="2" t="str">
        <f t="shared" si="1"/>
        <v>Q235-HW</v>
      </c>
      <c r="AZ31" s="37">
        <f>VLOOKUP(AY31,炼钢参数表!$F$5:$J$1027,4,0)</f>
        <v>7.2801369863013804E-2</v>
      </c>
      <c r="BA31" s="37">
        <f t="shared" si="2"/>
        <v>8.7198630136986199E-2</v>
      </c>
      <c r="BB31" s="37">
        <f>AB31*$BB$4*炼钢参数表!$X$5/1000</f>
        <v>2.8899051807538402E-3</v>
      </c>
      <c r="BC31" s="37">
        <f>AC31*$BC$4*炼钢参数表!$X$5/1000</f>
        <v>0</v>
      </c>
      <c r="BD31" s="37">
        <f>AD31*$BD$4*炼钢参数表!$X$5/1000</f>
        <v>0</v>
      </c>
      <c r="BE31" s="37">
        <f>AE31*$BE$4*炼钢参数表!$X$5/1000</f>
        <v>0</v>
      </c>
      <c r="BF31" s="37">
        <f>AL31*$BF$4*炼钢参数表!$X$5/1000</f>
        <v>0</v>
      </c>
      <c r="BG31" s="37">
        <f>AM31*$BG$4*炼钢参数表!$X$5/1000</f>
        <v>0</v>
      </c>
      <c r="BH31" s="37">
        <f t="shared" si="3"/>
        <v>2.8899051807538402E-3</v>
      </c>
      <c r="BI31" s="37">
        <f t="shared" si="4"/>
        <v>7.5691275043767603E-2</v>
      </c>
      <c r="BJ31" s="37">
        <f t="shared" si="5"/>
        <v>-8.43087249562324E-2</v>
      </c>
      <c r="BK31" s="54"/>
      <c r="BL31" s="7"/>
    </row>
    <row r="32" spans="1:64" s="18" customFormat="1" x14ac:dyDescent="0.3">
      <c r="A32" s="21">
        <v>28</v>
      </c>
      <c r="B32" s="4" t="s">
        <v>68</v>
      </c>
      <c r="C32" s="4" t="s">
        <v>23</v>
      </c>
      <c r="D32" s="4">
        <v>3</v>
      </c>
      <c r="E32" s="4">
        <v>6</v>
      </c>
      <c r="F32" s="4" t="s">
        <v>69</v>
      </c>
      <c r="G32" s="50" t="s">
        <v>70</v>
      </c>
      <c r="H32" s="4">
        <v>1518</v>
      </c>
      <c r="I32" s="51">
        <v>0.16</v>
      </c>
      <c r="J32" s="52">
        <v>0.08</v>
      </c>
      <c r="K32" s="52">
        <v>0.35</v>
      </c>
      <c r="L32" s="51">
        <v>0.02</v>
      </c>
      <c r="M32" s="51">
        <v>0.01</v>
      </c>
      <c r="N32" s="51"/>
      <c r="O32" s="51"/>
      <c r="P32" s="51">
        <v>0.04</v>
      </c>
      <c r="Q32" s="51">
        <v>0.02</v>
      </c>
      <c r="R32" s="51" t="s">
        <v>631</v>
      </c>
      <c r="S32" s="32"/>
      <c r="T32" s="52"/>
      <c r="U32" s="52"/>
      <c r="V32" s="52"/>
      <c r="W32" s="52" t="s">
        <v>631</v>
      </c>
      <c r="X32" s="32" t="s">
        <v>631</v>
      </c>
      <c r="Y32" s="53" t="s">
        <v>631</v>
      </c>
      <c r="Z32" s="4" t="s">
        <v>631</v>
      </c>
      <c r="AA32" s="53" t="s">
        <v>632</v>
      </c>
      <c r="AB32" s="42">
        <f>IF(J32&lt;=0.04,0,IF((BA32-AL32*BF$4*炼钢参数表!$X$5/1000-AM32*BG$4*炼钢参数表!$X$5/1000)&lt;=0.03,0,IF((J32/100/0.1769/炼钢参数表!K32*1000)&gt;(K32-炼钢参数表!J32)/100/0.6566/炼钢参数表!L32*1000,IF(K32&lt;1.6,(K32-炼钢参数表!J32)/100/0.6566/炼钢参数表!L32*1000,(K32-0.08-炼钢参数表!J32)/100/0.6566/炼钢参数表!L32*1000),IF(K32&lt;1.6,J32/100/0.1769/炼钢参数表!K32*1000,(J32-0.08)/100/0.1769/炼钢参数表!K32*1000))))</f>
        <v>3.5358863684437001</v>
      </c>
      <c r="AC32" s="8">
        <f>IF((BA32-AB32*$BB$4*0.9/1000-AL32*BF$4*炼钢参数表!$X$5/1000-AM32*BG$4*炼钢参数表!$X$5/1000)&lt;(K32-炼钢参数表!J32-AB32*0.6566*炼钢参数表!L32/10)*0.082,0,(K32-炼钢参数表!J32-AB32*0.6566*炼钢参数表!L32/10)/100/($AC$3/100)/炼钢参数表!L32*1000)</f>
        <v>0</v>
      </c>
      <c r="AD32" s="8">
        <f>IF((BA32-AB32*$BB$4*0.9/1000-AC32*$BC$4*0.9/1000-AL32*BF$4*炼钢参数表!$X$5/1000-AM32*BG$4*炼钢参数表!$X$5/1000)&lt;=(K32-炼钢参数表!J32-AB32*0.6566*炼钢参数表!L32/10-AC32*($AC$3/100)*炼钢参数表!L32/10)*0.02,0,((K32-炼钢参数表!J32-AB32*0.6566*炼钢参数表!L32/10-AC32*($AC$3/100)*炼钢参数表!L32/10)/100/($AD$3/100)/炼钢参数表!L32*1000))</f>
        <v>0</v>
      </c>
      <c r="AE32" s="8">
        <f>(K32-炼钢参数表!J32-AB32*0.6566*炼钢参数表!L32/10-AC32*($AC$3/100)*炼钢参数表!L32/10-AD32*($AD$3/100)*炼钢参数表!L32/10)/100/($AE$3/100)/炼钢参数表!L32*1000</f>
        <v>0</v>
      </c>
      <c r="AF32" s="8">
        <v>0</v>
      </c>
      <c r="AG32" s="8">
        <f>IF(J32&lt;=0.04,0,((J32-(AB32*0.1769*炼钢参数表!K32/1000*100))/100/炼钢参数表!K32/($AG$3/100)*1000))</f>
        <v>0.61078273305963804</v>
      </c>
      <c r="AH32" s="8">
        <v>1.4</v>
      </c>
      <c r="AI32" s="8">
        <f>IF(N32="",0,IF(N32&lt;=0.002,0,((N32)/100)/($AI$3/100)/炼钢参数表!M32*1000))</f>
        <v>0</v>
      </c>
      <c r="AJ32" s="8">
        <f>IF(O32="",0,IF(O32&lt;=0.002,0,((O32)/100)/($AJ$3/100)/炼钢参数表!N32*1000))</f>
        <v>0</v>
      </c>
      <c r="AK32" s="8">
        <f>IF(P32="",0,IF(P32&lt;=0.002,0,((P32+0.005)/100)/($AK$3/100)/炼钢参数表!O32*1000))</f>
        <v>0.89809603640282598</v>
      </c>
      <c r="AL32" s="8">
        <f>IF((BA32-J32*0.00003-K32*0.00024)&lt;=0.05,0,IF(T32="",0,IF(T32&lt;=0.03,0,IF(((BA32-J32*0.00003-K32*0.00024)-0.05)/0.18/100/($AL$3/100)/炼钢参数表!P32*1000&lt;=T32/100/($AL$3/100)/炼钢参数表!P32*1000,((BA32-J32*0.00003-K32*0.00024)-0.05)/0.18/100/($AL$3/100)/炼钢参数表!P32*1000,T32/100/($AL$3/100)/炼钢参数表!P32*1000))))</f>
        <v>0</v>
      </c>
      <c r="AM32" s="8">
        <f>IF(T32="",0,IF(T32&lt;=0.03,0,((T32-AL32*($AL$3/100)*炼钢参数表!P32/10)/100/($AM$3/100)/炼钢参数表!P32*1000)))</f>
        <v>0</v>
      </c>
      <c r="AN32" s="8">
        <f>IF(U32="",0,IF(U32&lt;=0.02,0,(U32/100)/($AN$3/100)/炼钢参数表!Q32*1000))</f>
        <v>0</v>
      </c>
      <c r="AO32" s="8">
        <f>IF(V32="",0,IF(V32&lt;=0.02,0,(V32/100)/($AO$3/100)/炼钢参数表!R32*1000))</f>
        <v>0</v>
      </c>
      <c r="AP32" s="8">
        <f>IF(W32="",0,IF(W32&lt;=0.02,0,(W32/100)/($AP$3/100)/炼钢参数表!S32*1000))</f>
        <v>0</v>
      </c>
      <c r="AQ32" s="8">
        <f>IF(X32="",0,IF(X32&lt;=0.0002,0,(X32/100)/($AQ$3/100)/炼钢参数表!T32*1000))</f>
        <v>0</v>
      </c>
      <c r="AR32" s="8">
        <f>IF(Y32="",0,IF(Y32&lt;=0.02,0,(Y32/100)/($AR$3/100)/炼钢参数表!U32*1000))</f>
        <v>0</v>
      </c>
      <c r="AS32" s="8">
        <f>IF(L32&lt;=0.04,0,((L32-0.04)/100)/($AS$3/100)/炼钢参数表!V32*1000)</f>
        <v>0</v>
      </c>
      <c r="AT32" s="8">
        <f>IF(M32&lt;=0.03,0,((M32-0.03)/100)/($AT$3/100)/炼钢参数表!W32*1000)</f>
        <v>0</v>
      </c>
      <c r="AU32" s="6"/>
      <c r="AV32" s="8">
        <f t="shared" si="0"/>
        <v>6.4447651379061597</v>
      </c>
      <c r="AW32" s="8" cm="1">
        <f t="array" ref="AW32">SUMPRODUCT($AB$4:$AU$4,AB32:AU32)/1000</f>
        <v>75.238745526058594</v>
      </c>
      <c r="AY32" s="2" t="str">
        <f t="shared" si="1"/>
        <v>Q355-HW1</v>
      </c>
      <c r="AZ32" s="37">
        <f>VLOOKUP(AY32,炼钢参数表!$F$5:$J$1027,4,0)</f>
        <v>7.0817567567567602E-2</v>
      </c>
      <c r="BA32" s="37">
        <f t="shared" si="2"/>
        <v>8.9182432432432401E-2</v>
      </c>
      <c r="BB32" s="37">
        <f>AB32*$BB$4*炼钢参数表!$X$5/1000</f>
        <v>5.4735520983508496E-3</v>
      </c>
      <c r="BC32" s="37">
        <f>AC32*$BC$4*炼钢参数表!$X$5/1000</f>
        <v>0</v>
      </c>
      <c r="BD32" s="37">
        <f>AD32*$BD$4*炼钢参数表!$X$5/1000</f>
        <v>0</v>
      </c>
      <c r="BE32" s="37">
        <f>AE32*$BE$4*炼钢参数表!$X$5/1000</f>
        <v>0</v>
      </c>
      <c r="BF32" s="37">
        <f>AL32*$BF$4*炼钢参数表!$X$5/1000</f>
        <v>0</v>
      </c>
      <c r="BG32" s="37">
        <f>AM32*$BG$4*炼钢参数表!$X$5/1000</f>
        <v>0</v>
      </c>
      <c r="BH32" s="37">
        <f t="shared" si="3"/>
        <v>5.4735520983508496E-3</v>
      </c>
      <c r="BI32" s="37">
        <f t="shared" si="4"/>
        <v>7.6291119665918394E-2</v>
      </c>
      <c r="BJ32" s="37">
        <f t="shared" si="5"/>
        <v>-8.3708880334081595E-2</v>
      </c>
      <c r="BK32" s="54"/>
      <c r="BL32" s="7"/>
    </row>
    <row r="33" spans="1:65" s="18" customFormat="1" x14ac:dyDescent="0.3">
      <c r="A33" s="21">
        <v>29</v>
      </c>
      <c r="B33" s="4" t="s">
        <v>68</v>
      </c>
      <c r="C33" s="4" t="s">
        <v>26</v>
      </c>
      <c r="D33" s="4">
        <v>6.01</v>
      </c>
      <c r="E33" s="4">
        <v>10</v>
      </c>
      <c r="F33" s="4" t="s">
        <v>71</v>
      </c>
      <c r="G33" s="50" t="s">
        <v>70</v>
      </c>
      <c r="H33" s="4">
        <v>1517</v>
      </c>
      <c r="I33" s="51">
        <v>0.16</v>
      </c>
      <c r="J33" s="52">
        <v>0.08</v>
      </c>
      <c r="K33" s="52">
        <v>0.5</v>
      </c>
      <c r="L33" s="51">
        <v>0.02</v>
      </c>
      <c r="M33" s="51">
        <v>0.01</v>
      </c>
      <c r="N33" s="51"/>
      <c r="O33" s="51"/>
      <c r="P33" s="51">
        <v>0.04</v>
      </c>
      <c r="Q33" s="51">
        <v>0.02</v>
      </c>
      <c r="R33" s="51" t="s">
        <v>631</v>
      </c>
      <c r="S33" s="32"/>
      <c r="T33" s="52"/>
      <c r="U33" s="52"/>
      <c r="V33" s="52"/>
      <c r="W33" s="52" t="s">
        <v>631</v>
      </c>
      <c r="X33" s="32" t="s">
        <v>631</v>
      </c>
      <c r="Y33" s="53" t="s">
        <v>631</v>
      </c>
      <c r="Z33" s="4" t="s">
        <v>631</v>
      </c>
      <c r="AA33" s="53" t="s">
        <v>632</v>
      </c>
      <c r="AB33" s="42">
        <f>IF(J33&lt;=0.04,0,IF((BA33-AL33*BF$4*炼钢参数表!$X$5/1000-AM33*BG$4*炼钢参数表!$X$5/1000)&lt;=0.03,0,IF((J33/100/0.1769/炼钢参数表!K33*1000)&gt;(K33-炼钢参数表!J33)/100/0.6566/炼钢参数表!L33*1000,IF(K33&lt;1.6,(K33-炼钢参数表!J33)/100/0.6566/炼钢参数表!L33*1000,(K33-0.08-炼钢参数表!J33)/100/0.6566/炼钢参数表!L33*1000),IF(K33&lt;1.6,J33/100/0.1769/炼钢参数表!K33*1000,(J33-0.08)/100/0.1769/炼钢参数表!K33*1000))))</f>
        <v>5.8670046214104401</v>
      </c>
      <c r="AC33" s="8">
        <f>IF((BA33-AB33*$BB$4*0.9/1000-AL33*BF$4*炼钢参数表!$X$5/1000-AM33*BG$4*炼钢参数表!$X$5/1000)&lt;(K33-炼钢参数表!J33-AB33*0.6566*炼钢参数表!L33/10)*0.082,0,(K33-炼钢参数表!J33-AB33*0.6566*炼钢参数表!L33/10)/100/($AC$3/100)/炼钢参数表!L33*1000)</f>
        <v>0</v>
      </c>
      <c r="AD33" s="8">
        <f>IF((BA33-AB33*$BB$4*0.9/1000-AC33*$BC$4*0.9/1000-AL33*BF$4*炼钢参数表!$X$5/1000-AM33*BG$4*炼钢参数表!$X$5/1000)&lt;=(K33-炼钢参数表!J33-AB33*0.6566*炼钢参数表!L33/10-AC33*($AC$3/100)*炼钢参数表!L33/10)*0.02,0,((K33-炼钢参数表!J33-AB33*0.6566*炼钢参数表!L33/10-AC33*($AC$3/100)*炼钢参数表!L33/10)/100/($AD$3/100)/炼钢参数表!L33*1000))</f>
        <v>0</v>
      </c>
      <c r="AE33" s="8">
        <f>(K33-炼钢参数表!J33-AB33*0.6566*炼钢参数表!L33/10-AC33*($AC$3/100)*炼钢参数表!L33/10-AD33*($AD$3/100)*炼钢参数表!L33/10)/100/($AE$3/100)/炼钢参数表!L33*1000</f>
        <v>0</v>
      </c>
      <c r="AF33" s="8">
        <v>0</v>
      </c>
      <c r="AG33" s="8">
        <f>IF(J33&lt;=0.04,0,((J33-(AB33*0.1769*炼钢参数表!K33/1000*100))/100/炼钢参数表!K33/($AG$3/100)*1000))</f>
        <v>3.9863698102119198E-2</v>
      </c>
      <c r="AH33" s="8">
        <v>1.4</v>
      </c>
      <c r="AI33" s="8">
        <f>IF(N33="",0,IF(N33&lt;=0.002,0,((N33)/100)/($AI$3/100)/炼钢参数表!M33*1000))</f>
        <v>0</v>
      </c>
      <c r="AJ33" s="8">
        <f>IF(O33="",0,IF(O33&lt;=0.002,0,((O33)/100)/($AJ$3/100)/炼钢参数表!N33*1000))</f>
        <v>0</v>
      </c>
      <c r="AK33" s="8">
        <f>IF(P33="",0,IF(P33&lt;=0.002,0,((P33+0.005)/100)/($AK$3/100)/炼钢参数表!O33*1000))</f>
        <v>0.89809603640282598</v>
      </c>
      <c r="AL33" s="8">
        <f>IF((BA33-J33*0.00003-K33*0.00024)&lt;=0.05,0,IF(T33="",0,IF(T33&lt;=0.03,0,IF(((BA33-J33*0.00003-K33*0.00024)-0.05)/0.18/100/($AL$3/100)/炼钢参数表!P33*1000&lt;=T33/100/($AL$3/100)/炼钢参数表!P33*1000,((BA33-J33*0.00003-K33*0.00024)-0.05)/0.18/100/($AL$3/100)/炼钢参数表!P33*1000,T33/100/($AL$3/100)/炼钢参数表!P33*1000))))</f>
        <v>0</v>
      </c>
      <c r="AM33" s="8">
        <f>IF(T33="",0,IF(T33&lt;=0.03,0,((T33-AL33*($AL$3/100)*炼钢参数表!P33/10)/100/($AM$3/100)/炼钢参数表!P33*1000)))</f>
        <v>0</v>
      </c>
      <c r="AN33" s="8">
        <f>IF(U33="",0,IF(U33&lt;=0.02,0,(U33/100)/($AN$3/100)/炼钢参数表!Q33*1000))</f>
        <v>0</v>
      </c>
      <c r="AO33" s="8">
        <f>IF(V33="",0,IF(V33&lt;=0.02,0,(V33/100)/($AO$3/100)/炼钢参数表!R33*1000))</f>
        <v>0</v>
      </c>
      <c r="AP33" s="8">
        <f>IF(W33="",0,IF(W33&lt;=0.02,0,(W33/100)/($AP$3/100)/炼钢参数表!S33*1000))</f>
        <v>0</v>
      </c>
      <c r="AQ33" s="8">
        <f>IF(X33="",0,IF(X33&lt;=0.0002,0,(X33/100)/($AQ$3/100)/炼钢参数表!T33*1000))</f>
        <v>0</v>
      </c>
      <c r="AR33" s="8">
        <f>IF(Y33="",0,IF(Y33&lt;=0.02,0,(Y33/100)/($AR$3/100)/炼钢参数表!U33*1000))</f>
        <v>0</v>
      </c>
      <c r="AS33" s="8">
        <f>IF(L33&lt;=0.04,0,((L33-0.04)/100)/($AS$3/100)/炼钢参数表!V33*1000)</f>
        <v>0</v>
      </c>
      <c r="AT33" s="8">
        <f>IF(M33&lt;=0.03,0,((M33-0.03)/100)/($AT$3/100)/炼钢参数表!W33*1000)</f>
        <v>0</v>
      </c>
      <c r="AU33" s="6"/>
      <c r="AV33" s="8">
        <f t="shared" si="0"/>
        <v>8.2049643559153793</v>
      </c>
      <c r="AW33" s="8" cm="1">
        <f t="array" ref="AW33">SUMPRODUCT($AB$4:$AU$4,AB33:AU33)/1000</f>
        <v>84.923851141841894</v>
      </c>
      <c r="AY33" s="2" t="str">
        <f t="shared" si="1"/>
        <v>Q355-HW2</v>
      </c>
      <c r="AZ33" s="37">
        <f>VLOOKUP(AY33,炼钢参数表!$F$5:$J$1027,4,0)</f>
        <v>7.0817567567567602E-2</v>
      </c>
      <c r="BA33" s="37">
        <f t="shared" si="2"/>
        <v>8.9182432432432401E-2</v>
      </c>
      <c r="BB33" s="37">
        <f>AB33*$BB$4*炼钢参数表!$X$5/1000</f>
        <v>9.0821231539433504E-3</v>
      </c>
      <c r="BC33" s="37">
        <f>AC33*$BC$4*炼钢参数表!$X$5/1000</f>
        <v>0</v>
      </c>
      <c r="BD33" s="37">
        <f>AD33*$BD$4*炼钢参数表!$X$5/1000</f>
        <v>0</v>
      </c>
      <c r="BE33" s="37">
        <f>AE33*$BE$4*炼钢参数表!$X$5/1000</f>
        <v>0</v>
      </c>
      <c r="BF33" s="37">
        <f>AL33*$BF$4*炼钢参数表!$X$5/1000</f>
        <v>0</v>
      </c>
      <c r="BG33" s="37">
        <f>AM33*$BG$4*炼钢参数表!$X$5/1000</f>
        <v>0</v>
      </c>
      <c r="BH33" s="37">
        <f t="shared" si="3"/>
        <v>9.0821231539433504E-3</v>
      </c>
      <c r="BI33" s="37">
        <f t="shared" si="4"/>
        <v>7.9899690721510999E-2</v>
      </c>
      <c r="BJ33" s="37">
        <f t="shared" si="5"/>
        <v>-8.0100309278489004E-2</v>
      </c>
      <c r="BK33" s="54"/>
      <c r="BL33" s="7"/>
    </row>
    <row r="34" spans="1:65" s="18" customFormat="1" x14ac:dyDescent="0.3">
      <c r="A34" s="21">
        <v>30</v>
      </c>
      <c r="B34" s="4" t="s">
        <v>72</v>
      </c>
      <c r="C34" s="4" t="s">
        <v>23</v>
      </c>
      <c r="D34" s="4">
        <v>1.6</v>
      </c>
      <c r="E34" s="4">
        <v>8</v>
      </c>
      <c r="F34" s="4" t="s">
        <v>73</v>
      </c>
      <c r="G34" s="50" t="s">
        <v>74</v>
      </c>
      <c r="H34" s="4">
        <v>1531</v>
      </c>
      <c r="I34" s="51">
        <v>0.05</v>
      </c>
      <c r="J34" s="52">
        <v>1.4999999999999999E-2</v>
      </c>
      <c r="K34" s="52">
        <v>0.23</v>
      </c>
      <c r="L34" s="51">
        <v>1.4999999999999999E-2</v>
      </c>
      <c r="M34" s="51">
        <v>0.01</v>
      </c>
      <c r="N34" s="51" t="s">
        <v>631</v>
      </c>
      <c r="O34" s="51"/>
      <c r="P34" s="51"/>
      <c r="Q34" s="51">
        <v>2.5000000000000001E-2</v>
      </c>
      <c r="R34" s="51" t="s">
        <v>631</v>
      </c>
      <c r="S34" s="32"/>
      <c r="T34" s="52"/>
      <c r="U34" s="52"/>
      <c r="V34" s="52"/>
      <c r="W34" s="52" t="s">
        <v>631</v>
      </c>
      <c r="X34" s="32" t="s">
        <v>631</v>
      </c>
      <c r="Y34" s="53" t="s">
        <v>631</v>
      </c>
      <c r="Z34" s="4">
        <v>40</v>
      </c>
      <c r="AA34" s="53" t="s">
        <v>631</v>
      </c>
      <c r="AB34" s="42">
        <f>IF(J34&lt;=0.04,0,IF((BA34-AL34*BF$4*炼钢参数表!$X$5/1000-AM34*BG$4*炼钢参数表!$X$5/1000)&lt;=0.03,0,IF((J34/100/0.1769/炼钢参数表!K34*1000)&gt;(K34-炼钢参数表!J34)/100/0.6566/炼钢参数表!L34*1000,IF(K34&lt;1.6,(K34-炼钢参数表!J34)/100/0.6566/炼钢参数表!L34*1000,(K34-0.08-炼钢参数表!J34)/100/0.6566/炼钢参数表!L34*1000),IF(K34&lt;1.6,J34/100/0.1769/炼钢参数表!K34*1000,(J34-0.08)/100/0.1769/炼钢参数表!K34*1000))))</f>
        <v>0</v>
      </c>
      <c r="AC34" s="8">
        <f>IF((BA34-AB34*$BB$4*0.9/1000-AL34*BF$4*炼钢参数表!$X$5/1000-AM34*BG$4*炼钢参数表!$X$5/1000)&lt;(K34-炼钢参数表!J34-AB34*0.6566*炼钢参数表!L34/10)*0.082,0,(K34-炼钢参数表!J34-AB34*0.6566*炼钢参数表!L34/10)/100/($AC$3/100)/炼钢参数表!L34*1000)</f>
        <v>0</v>
      </c>
      <c r="AD34" s="8">
        <f>IF((BA34-AB34*$BB$4*0.9/1000-AC34*$BC$4*0.9/1000-AL34*BF$4*炼钢参数表!$X$5/1000-AM34*BG$4*炼钢参数表!$X$5/1000)&lt;=(K34-炼钢参数表!J34-AB34*0.6566*炼钢参数表!L34/10-AC34*($AC$3/100)*炼钢参数表!L34/10)*0.02,0,((K34-炼钢参数表!J34-AB34*0.6566*炼钢参数表!L34/10-AC34*($AC$3/100)*炼钢参数表!L34/10)/100/($AD$3/100)/炼钢参数表!L34*1000))</f>
        <v>1.8157912515655601</v>
      </c>
      <c r="AE34" s="8">
        <f>(K34-炼钢参数表!J34-AB34*0.6566*炼钢参数表!L34/10-AC34*($AC$3/100)*炼钢参数表!L34/10-AD34*($AD$3/100)*炼钢参数表!L34/10)/100/($AE$3/100)/炼钢参数表!L34*1000</f>
        <v>0</v>
      </c>
      <c r="AF34" s="8">
        <v>0</v>
      </c>
      <c r="AG34" s="8">
        <f>IF(J34&lt;=0.04,0,((J34-(AB34*0.1769*炼钢参数表!K34/1000*100))/100/炼钢参数表!K34/($AG$3/100)*1000))</f>
        <v>0</v>
      </c>
      <c r="AH34" s="8">
        <v>1.2</v>
      </c>
      <c r="AI34" s="8">
        <f>IF(N34="",0,IF(N34&lt;=0.002,0,((N34)/100)/($AI$3/100)/炼钢参数表!M34*1000))</f>
        <v>0</v>
      </c>
      <c r="AJ34" s="8">
        <f>IF(O34="",0,IF(O34&lt;=0.002,0,((O34)/100)/($AJ$3/100)/炼钢参数表!N34*1000))</f>
        <v>0</v>
      </c>
      <c r="AK34" s="8">
        <f>IF(P34="",0,IF(P34&lt;=0.002,0,((P34+0.005)/100)/($AK$3/100)/炼钢参数表!O34*1000))</f>
        <v>0</v>
      </c>
      <c r="AL34" s="8">
        <f>IF((BA34-J34*0.00003-K34*0.00024)&lt;=0.05,0,IF(T34="",0,IF(T34&lt;=0.03,0,IF(((BA34-J34*0.00003-K34*0.00024)-0.05)/0.18/100/($AL$3/100)/炼钢参数表!P34*1000&lt;=T34/100/($AL$3/100)/炼钢参数表!P34*1000,((BA34-J34*0.00003-K34*0.00024)-0.05)/0.18/100/($AL$3/100)/炼钢参数表!P34*1000,T34/100/($AL$3/100)/炼钢参数表!P34*1000))))</f>
        <v>0</v>
      </c>
      <c r="AM34" s="8">
        <f>IF(T34="",0,IF(T34&lt;=0.03,0,((T34-AL34*($AL$3/100)*炼钢参数表!P34/10)/100/($AM$3/100)/炼钢参数表!P34*1000)))</f>
        <v>0</v>
      </c>
      <c r="AN34" s="8">
        <f>IF(U34="",0,IF(U34&lt;=0.02,0,(U34/100)/($AN$3/100)/炼钢参数表!Q34*1000))</f>
        <v>0</v>
      </c>
      <c r="AO34" s="8">
        <f>IF(V34="",0,IF(V34&lt;=0.02,0,(V34/100)/($AO$3/100)/炼钢参数表!R34*1000))</f>
        <v>0</v>
      </c>
      <c r="AP34" s="8">
        <f>IF(W34="",0,IF(W34&lt;=0.02,0,(W34/100)/($AP$3/100)/炼钢参数表!S34*1000))</f>
        <v>0</v>
      </c>
      <c r="AQ34" s="8">
        <f>IF(X34="",0,IF(X34&lt;=0.0002,0,(X34/100)/($AQ$3/100)/炼钢参数表!T34*1000))</f>
        <v>0</v>
      </c>
      <c r="AR34" s="8">
        <f>IF(Y34="",0,IF(Y34&lt;=0.02,0,(Y34/100)/($AR$3/100)/炼钢参数表!U34*1000))</f>
        <v>0</v>
      </c>
      <c r="AS34" s="8">
        <f>IF(L34&lt;=0.04,0,((L34-0.04)/100)/($AS$3/100)/炼钢参数表!V34*1000)</f>
        <v>0</v>
      </c>
      <c r="AT34" s="8">
        <f>IF(M34&lt;=0.03,0,((M34-0.03)/100)/($AT$3/100)/炼钢参数表!W34*1000)</f>
        <v>0</v>
      </c>
      <c r="AU34" s="6"/>
      <c r="AV34" s="8">
        <f t="shared" si="0"/>
        <v>3.01579125156556</v>
      </c>
      <c r="AW34" s="8" cm="1">
        <f t="array" ref="AW34">SUMPRODUCT($AB$4:$AU$4,AB34:AU34)/1000</f>
        <v>40.840828834004498</v>
      </c>
      <c r="AY34" s="2" t="str">
        <f t="shared" si="1"/>
        <v>SPHC-ZT</v>
      </c>
      <c r="AZ34" s="37">
        <f>VLOOKUP(AY34,炼钢参数表!$F$5:$J$1027,4,0)</f>
        <v>0.04</v>
      </c>
      <c r="BA34" s="37">
        <f t="shared" si="2"/>
        <v>0.01</v>
      </c>
      <c r="BB34" s="37">
        <f>AB34*$BB$4*炼钢参数表!$X$5/1000</f>
        <v>0</v>
      </c>
      <c r="BC34" s="37">
        <f>AC34*$BC$4*炼钢参数表!$X$5/1000</f>
        <v>0</v>
      </c>
      <c r="BD34" s="37">
        <f>AD34*$BD$4*炼钢参数表!$X$5/1000</f>
        <v>2.4513181896135099E-3</v>
      </c>
      <c r="BE34" s="37">
        <f>AE34*$BE$4*炼钢参数表!$X$5/1000</f>
        <v>0</v>
      </c>
      <c r="BF34" s="37">
        <f>AL34*$BF$4*炼钢参数表!$X$5/1000</f>
        <v>0</v>
      </c>
      <c r="BG34" s="37">
        <f>AM34*$BG$4*炼钢参数表!$X$5/1000</f>
        <v>0</v>
      </c>
      <c r="BH34" s="37">
        <f t="shared" si="3"/>
        <v>2.4513181896135099E-3</v>
      </c>
      <c r="BI34" s="37">
        <f t="shared" si="4"/>
        <v>4.24513181896135E-2</v>
      </c>
      <c r="BJ34" s="37">
        <f t="shared" si="5"/>
        <v>-7.5486818103864999E-3</v>
      </c>
      <c r="BK34" s="54"/>
      <c r="BL34" s="7"/>
      <c r="BM34" s="18" t="s">
        <v>633</v>
      </c>
    </row>
    <row r="35" spans="1:65" s="18" customFormat="1" x14ac:dyDescent="0.3">
      <c r="A35" s="21">
        <v>31</v>
      </c>
      <c r="B35" s="4" t="s">
        <v>72</v>
      </c>
      <c r="C35" s="4" t="s">
        <v>26</v>
      </c>
      <c r="D35" s="4">
        <v>8.01</v>
      </c>
      <c r="E35" s="4">
        <v>16</v>
      </c>
      <c r="F35" s="4" t="s">
        <v>75</v>
      </c>
      <c r="G35" s="50" t="s">
        <v>74</v>
      </c>
      <c r="H35" s="4">
        <v>1531</v>
      </c>
      <c r="I35" s="51">
        <v>0.05</v>
      </c>
      <c r="J35" s="52">
        <v>1.4999999999999999E-2</v>
      </c>
      <c r="K35" s="52">
        <v>0.23</v>
      </c>
      <c r="L35" s="51">
        <v>1.4999999999999999E-2</v>
      </c>
      <c r="M35" s="51">
        <v>0.01</v>
      </c>
      <c r="N35" s="51" t="s">
        <v>631</v>
      </c>
      <c r="O35" s="51"/>
      <c r="P35" s="51"/>
      <c r="Q35" s="51">
        <v>2.5000000000000001E-2</v>
      </c>
      <c r="R35" s="51" t="s">
        <v>631</v>
      </c>
      <c r="S35" s="32"/>
      <c r="T35" s="52"/>
      <c r="U35" s="52"/>
      <c r="V35" s="52"/>
      <c r="W35" s="52" t="s">
        <v>631</v>
      </c>
      <c r="X35" s="32" t="s">
        <v>631</v>
      </c>
      <c r="Y35" s="53" t="s">
        <v>631</v>
      </c>
      <c r="Z35" s="4">
        <v>40</v>
      </c>
      <c r="AA35" s="53" t="s">
        <v>631</v>
      </c>
      <c r="AB35" s="42">
        <f>IF(J35&lt;=0.04,0,IF((BA35-AL35*BF$4*炼钢参数表!$X$5/1000-AM35*BG$4*炼钢参数表!$X$5/1000)&lt;=0.03,0,IF((J35/100/0.1769/炼钢参数表!K35*1000)&gt;(K35-炼钢参数表!J35)/100/0.6566/炼钢参数表!L35*1000,IF(K35&lt;1.6,(K35-炼钢参数表!J35)/100/0.6566/炼钢参数表!L35*1000,(K35-0.08-炼钢参数表!J35)/100/0.6566/炼钢参数表!L35*1000),IF(K35&lt;1.6,J35/100/0.1769/炼钢参数表!K35*1000,(J35-0.08)/100/0.1769/炼钢参数表!K35*1000))))</f>
        <v>0</v>
      </c>
      <c r="AC35" s="8">
        <f>IF((BA35-AB35*$BB$4*0.9/1000-AL35*BF$4*炼钢参数表!$X$5/1000-AM35*BG$4*炼钢参数表!$X$5/1000)&lt;(K35-炼钢参数表!J35-AB35*0.6566*炼钢参数表!L35/10)*0.082,0,(K35-炼钢参数表!J35-AB35*0.6566*炼钢参数表!L35/10)/100/($AC$3/100)/炼钢参数表!L35*1000)</f>
        <v>0</v>
      </c>
      <c r="AD35" s="8">
        <f>IF((BA35-AB35*$BB$4*0.9/1000-AC35*$BC$4*0.9/1000-AL35*BF$4*炼钢参数表!$X$5/1000-AM35*BG$4*炼钢参数表!$X$5/1000)&lt;=(K35-炼钢参数表!J35-AB35*0.6566*炼钢参数表!L35/10-AC35*($AC$3/100)*炼钢参数表!L35/10)*0.02,0,((K35-炼钢参数表!J35-AB35*0.6566*炼钢参数表!L35/10-AC35*($AC$3/100)*炼钢参数表!L35/10)/100/($AD$3/100)/炼钢参数表!L35*1000))</f>
        <v>1.8157912515655601</v>
      </c>
      <c r="AE35" s="8">
        <f>(K35-炼钢参数表!J35-AB35*0.6566*炼钢参数表!L35/10-AC35*($AC$3/100)*炼钢参数表!L35/10-AD35*($AD$3/100)*炼钢参数表!L35/10)/100/($AE$3/100)/炼钢参数表!L35*1000</f>
        <v>0</v>
      </c>
      <c r="AF35" s="8">
        <v>0</v>
      </c>
      <c r="AG35" s="8">
        <f>IF(J35&lt;=0.04,0,((J35-(AB35*0.1769*炼钢参数表!K35/1000*100))/100/炼钢参数表!K35/($AG$3/100)*1000))</f>
        <v>0</v>
      </c>
      <c r="AH35" s="8">
        <v>1.2</v>
      </c>
      <c r="AI35" s="8">
        <f>IF(N35="",0,IF(N35&lt;=0.002,0,((N35)/100)/($AI$3/100)/炼钢参数表!M35*1000))</f>
        <v>0</v>
      </c>
      <c r="AJ35" s="8">
        <f>IF(O35="",0,IF(O35&lt;=0.002,0,((O35)/100)/($AJ$3/100)/炼钢参数表!N35*1000))</f>
        <v>0</v>
      </c>
      <c r="AK35" s="8">
        <f>IF(P35="",0,IF(P35&lt;=0.002,0,((P35+0.005)/100)/($AK$3/100)/炼钢参数表!O35*1000))</f>
        <v>0</v>
      </c>
      <c r="AL35" s="8">
        <f>IF((BA35-J35*0.00003-K35*0.00024)&lt;=0.05,0,IF(T35="",0,IF(T35&lt;=0.03,0,IF(((BA35-J35*0.00003-K35*0.00024)-0.05)/0.18/100/($AL$3/100)/炼钢参数表!P35*1000&lt;=T35/100/($AL$3/100)/炼钢参数表!P35*1000,((BA35-J35*0.00003-K35*0.00024)-0.05)/0.18/100/($AL$3/100)/炼钢参数表!P35*1000,T35/100/($AL$3/100)/炼钢参数表!P35*1000))))</f>
        <v>0</v>
      </c>
      <c r="AM35" s="8">
        <f>IF(T35="",0,IF(T35&lt;=0.03,0,((T35-AL35*($AL$3/100)*炼钢参数表!P35/10)/100/($AM$3/100)/炼钢参数表!P35*1000)))</f>
        <v>0</v>
      </c>
      <c r="AN35" s="8">
        <f>IF(U35="",0,IF(U35&lt;=0.02,0,(U35/100)/($AN$3/100)/炼钢参数表!Q35*1000))</f>
        <v>0</v>
      </c>
      <c r="AO35" s="8">
        <f>IF(V35="",0,IF(V35&lt;=0.02,0,(V35/100)/($AO$3/100)/炼钢参数表!R35*1000))</f>
        <v>0</v>
      </c>
      <c r="AP35" s="8">
        <f>IF(W35="",0,IF(W35&lt;=0.02,0,(W35/100)/($AP$3/100)/炼钢参数表!S35*1000))</f>
        <v>0</v>
      </c>
      <c r="AQ35" s="8">
        <f>IF(X35="",0,IF(X35&lt;=0.0002,0,(X35/100)/($AQ$3/100)/炼钢参数表!T35*1000))</f>
        <v>0</v>
      </c>
      <c r="AR35" s="8">
        <f>IF(Y35="",0,IF(Y35&lt;=0.02,0,(Y35/100)/($AR$3/100)/炼钢参数表!U35*1000))</f>
        <v>0</v>
      </c>
      <c r="AS35" s="8">
        <f>IF(L35&lt;=0.04,0,((L35-0.04)/100)/($AS$3/100)/炼钢参数表!V35*1000)</f>
        <v>0</v>
      </c>
      <c r="AT35" s="8">
        <f>IF(M35&lt;=0.03,0,((M35-0.03)/100)/($AT$3/100)/炼钢参数表!W35*1000)</f>
        <v>0</v>
      </c>
      <c r="AU35" s="6"/>
      <c r="AV35" s="8">
        <f t="shared" si="0"/>
        <v>3.01579125156556</v>
      </c>
      <c r="AW35" s="8" cm="1">
        <f t="array" ref="AW35">SUMPRODUCT($AB$4:$AU$4,AB35:AU35)/1000</f>
        <v>40.840828834004498</v>
      </c>
      <c r="AY35" s="2" t="str">
        <f t="shared" si="1"/>
        <v>SPHC-SX</v>
      </c>
      <c r="AZ35" s="37">
        <f>VLOOKUP(AY35,炼钢参数表!$F$5:$J$1027,4,0)</f>
        <v>0.04</v>
      </c>
      <c r="BA35" s="37">
        <f t="shared" si="2"/>
        <v>0.01</v>
      </c>
      <c r="BB35" s="37">
        <f>AB35*$BB$4*炼钢参数表!$X$5/1000</f>
        <v>0</v>
      </c>
      <c r="BC35" s="37">
        <f>AC35*$BC$4*炼钢参数表!$X$5/1000</f>
        <v>0</v>
      </c>
      <c r="BD35" s="37">
        <f>AD35*$BD$4*炼钢参数表!$X$5/1000</f>
        <v>2.4513181896135099E-3</v>
      </c>
      <c r="BE35" s="37">
        <f>AE35*$BE$4*炼钢参数表!$X$5/1000</f>
        <v>0</v>
      </c>
      <c r="BF35" s="37">
        <f>AL35*$BF$4*炼钢参数表!$X$5/1000</f>
        <v>0</v>
      </c>
      <c r="BG35" s="37">
        <f>AM35*$BG$4*炼钢参数表!$X$5/1000</f>
        <v>0</v>
      </c>
      <c r="BH35" s="37">
        <f t="shared" si="3"/>
        <v>2.4513181896135099E-3</v>
      </c>
      <c r="BI35" s="37">
        <f t="shared" si="4"/>
        <v>4.24513181896135E-2</v>
      </c>
      <c r="BJ35" s="37">
        <f t="shared" si="5"/>
        <v>-7.5486818103864999E-3</v>
      </c>
      <c r="BK35" s="54"/>
      <c r="BL35" s="7"/>
      <c r="BM35" s="18" t="s">
        <v>633</v>
      </c>
    </row>
    <row r="36" spans="1:65" s="18" customFormat="1" x14ac:dyDescent="0.3">
      <c r="A36" s="21">
        <v>32</v>
      </c>
      <c r="B36" s="4" t="s">
        <v>72</v>
      </c>
      <c r="C36" s="4" t="s">
        <v>23</v>
      </c>
      <c r="D36" s="4">
        <v>8.01</v>
      </c>
      <c r="E36" s="4">
        <v>16</v>
      </c>
      <c r="F36" s="4" t="s">
        <v>75</v>
      </c>
      <c r="G36" s="50" t="s">
        <v>74</v>
      </c>
      <c r="H36" s="4">
        <v>1531</v>
      </c>
      <c r="I36" s="51">
        <v>0.05</v>
      </c>
      <c r="J36" s="52">
        <v>1.4999999999999999E-2</v>
      </c>
      <c r="K36" s="52">
        <v>0.23</v>
      </c>
      <c r="L36" s="51">
        <v>1.4999999999999999E-2</v>
      </c>
      <c r="M36" s="51">
        <v>0.01</v>
      </c>
      <c r="N36" s="51" t="s">
        <v>631</v>
      </c>
      <c r="O36" s="51"/>
      <c r="P36" s="51"/>
      <c r="Q36" s="51">
        <v>2.5000000000000001E-2</v>
      </c>
      <c r="R36" s="51" t="s">
        <v>631</v>
      </c>
      <c r="S36" s="32"/>
      <c r="T36" s="52"/>
      <c r="U36" s="52"/>
      <c r="V36" s="52"/>
      <c r="W36" s="52" t="s">
        <v>631</v>
      </c>
      <c r="X36" s="32" t="s">
        <v>631</v>
      </c>
      <c r="Y36" s="53" t="s">
        <v>631</v>
      </c>
      <c r="Z36" s="4">
        <v>40</v>
      </c>
      <c r="AA36" s="53" t="s">
        <v>75</v>
      </c>
      <c r="AB36" s="42">
        <f>IF(J36&lt;=0.04,0,IF((BA36-AL36*BF$4*炼钢参数表!$X$5/1000-AM36*BG$4*炼钢参数表!$X$5/1000)&lt;=0.03,0,IF((J36/100/0.1769/炼钢参数表!K36*1000)&gt;(K36-炼钢参数表!J36)/100/0.6566/炼钢参数表!L36*1000,IF(K36&lt;1.6,(K36-炼钢参数表!J36)/100/0.6566/炼钢参数表!L36*1000,(K36-0.08-炼钢参数表!J36)/100/0.6566/炼钢参数表!L36*1000),IF(K36&lt;1.6,J36/100/0.1769/炼钢参数表!K36*1000,(J36-0.08)/100/0.1769/炼钢参数表!K36*1000))))</f>
        <v>0</v>
      </c>
      <c r="AC36" s="8">
        <f>IF((BA36-AB36*$BB$4*0.9/1000-AL36*BF$4*炼钢参数表!$X$5/1000-AM36*BG$4*炼钢参数表!$X$5/1000)&lt;(K36-炼钢参数表!J36-AB36*0.6566*炼钢参数表!L36/10)*0.082,0,(K36-炼钢参数表!J36-AB36*0.6566*炼钢参数表!L36/10)/100/($AC$3/100)/炼钢参数表!L36*1000)</f>
        <v>0</v>
      </c>
      <c r="AD36" s="8">
        <f>IF((BA36-AB36*$BB$4*0.9/1000-AC36*$BC$4*0.9/1000-AL36*BF$4*炼钢参数表!$X$5/1000-AM36*BG$4*炼钢参数表!$X$5/1000)&lt;=(K36-炼钢参数表!J36-AB36*0.6566*炼钢参数表!L36/10-AC36*($AC$3/100)*炼钢参数表!L36/10)*0.02,0,((K36-炼钢参数表!J36-AB36*0.6566*炼钢参数表!L36/10-AC36*($AC$3/100)*炼钢参数表!L36/10)/100/($AD$3/100)/炼钢参数表!L36*1000))</f>
        <v>1.8157912515655601</v>
      </c>
      <c r="AE36" s="8">
        <f>(K36-炼钢参数表!J36-AB36*0.6566*炼钢参数表!L36/10-AC36*($AC$3/100)*炼钢参数表!L36/10-AD36*($AD$3/100)*炼钢参数表!L36/10)/100/($AE$3/100)/炼钢参数表!L36*1000</f>
        <v>0</v>
      </c>
      <c r="AF36" s="8">
        <v>0</v>
      </c>
      <c r="AG36" s="8">
        <f>IF(J36&lt;=0.04,0,((J36-(AB36*0.1769*炼钢参数表!K36/1000*100))/100/炼钢参数表!K36/($AG$3/100)*1000))</f>
        <v>0</v>
      </c>
      <c r="AH36" s="8">
        <v>1.2</v>
      </c>
      <c r="AI36" s="8">
        <f>IF(N36="",0,IF(N36&lt;=0.002,0,((N36)/100)/($AI$3/100)/炼钢参数表!M36*1000))</f>
        <v>0</v>
      </c>
      <c r="AJ36" s="8">
        <f>IF(O36="",0,IF(O36&lt;=0.002,0,((O36)/100)/($AJ$3/100)/炼钢参数表!N36*1000))</f>
        <v>0</v>
      </c>
      <c r="AK36" s="8">
        <f>IF(P36="",0,IF(P36&lt;=0.002,0,((P36+0.005)/100)/($AK$3/100)/炼钢参数表!O36*1000))</f>
        <v>0</v>
      </c>
      <c r="AL36" s="8">
        <f>IF((BA36-J36*0.00003-K36*0.00024)&lt;=0.05,0,IF(T36="",0,IF(T36&lt;=0.03,0,IF(((BA36-J36*0.00003-K36*0.00024)-0.05)/0.18/100/($AL$3/100)/炼钢参数表!P36*1000&lt;=T36/100/($AL$3/100)/炼钢参数表!P36*1000,((BA36-J36*0.00003-K36*0.00024)-0.05)/0.18/100/($AL$3/100)/炼钢参数表!P36*1000,T36/100/($AL$3/100)/炼钢参数表!P36*1000))))</f>
        <v>0</v>
      </c>
      <c r="AM36" s="8">
        <f>IF(T36="",0,IF(T36&lt;=0.03,0,((T36-AL36*($AL$3/100)*炼钢参数表!P36/10)/100/($AM$3/100)/炼钢参数表!P36*1000)))</f>
        <v>0</v>
      </c>
      <c r="AN36" s="8">
        <f>IF(U36="",0,IF(U36&lt;=0.02,0,(U36/100)/($AN$3/100)/炼钢参数表!Q36*1000))</f>
        <v>0</v>
      </c>
      <c r="AO36" s="8">
        <f>IF(V36="",0,IF(V36&lt;=0.02,0,(V36/100)/($AO$3/100)/炼钢参数表!R36*1000))</f>
        <v>0</v>
      </c>
      <c r="AP36" s="8">
        <f>IF(W36="",0,IF(W36&lt;=0.02,0,(W36/100)/($AP$3/100)/炼钢参数表!S36*1000))</f>
        <v>0</v>
      </c>
      <c r="AQ36" s="8">
        <f>IF(X36="",0,IF(X36&lt;=0.0002,0,(X36/100)/($AQ$3/100)/炼钢参数表!T36*1000))</f>
        <v>0</v>
      </c>
      <c r="AR36" s="8">
        <f>IF(Y36="",0,IF(Y36&lt;=0.02,0,(Y36/100)/($AR$3/100)/炼钢参数表!U36*1000))</f>
        <v>0</v>
      </c>
      <c r="AS36" s="8">
        <f>IF(L36&lt;=0.04,0,((L36-0.04)/100)/($AS$3/100)/炼钢参数表!V36*1000)</f>
        <v>0</v>
      </c>
      <c r="AT36" s="8">
        <f>IF(M36&lt;=0.03,0,((M36-0.03)/100)/($AT$3/100)/炼钢参数表!W36*1000)</f>
        <v>0</v>
      </c>
      <c r="AU36" s="6"/>
      <c r="AV36" s="8">
        <f t="shared" si="0"/>
        <v>3.01579125156556</v>
      </c>
      <c r="AW36" s="8" cm="1">
        <f t="array" ref="AW36">SUMPRODUCT($AB$4:$AU$4,AB36:AU36)/1000</f>
        <v>40.840828834004498</v>
      </c>
      <c r="AY36" s="2" t="str">
        <f t="shared" si="1"/>
        <v>SPHC-SX</v>
      </c>
      <c r="AZ36" s="37">
        <f>VLOOKUP(AY36,炼钢参数表!$F$5:$J$1027,4,0)</f>
        <v>0.04</v>
      </c>
      <c r="BA36" s="37">
        <f t="shared" si="2"/>
        <v>0.01</v>
      </c>
      <c r="BB36" s="37">
        <f>AB36*$BB$4*炼钢参数表!$X$5/1000</f>
        <v>0</v>
      </c>
      <c r="BC36" s="37">
        <f>AC36*$BC$4*炼钢参数表!$X$5/1000</f>
        <v>0</v>
      </c>
      <c r="BD36" s="37">
        <f>AD36*$BD$4*炼钢参数表!$X$5/1000</f>
        <v>2.4513181896135099E-3</v>
      </c>
      <c r="BE36" s="37">
        <f>AE36*$BE$4*炼钢参数表!$X$5/1000</f>
        <v>0</v>
      </c>
      <c r="BF36" s="37">
        <f>AL36*$BF$4*炼钢参数表!$X$5/1000</f>
        <v>0</v>
      </c>
      <c r="BG36" s="37">
        <f>AM36*$BG$4*炼钢参数表!$X$5/1000</f>
        <v>0</v>
      </c>
      <c r="BH36" s="37">
        <f t="shared" si="3"/>
        <v>2.4513181896135099E-3</v>
      </c>
      <c r="BI36" s="37">
        <f t="shared" si="4"/>
        <v>4.24513181896135E-2</v>
      </c>
      <c r="BJ36" s="37">
        <f t="shared" si="5"/>
        <v>-7.5486818103864999E-3</v>
      </c>
      <c r="BK36" s="54"/>
      <c r="BL36" s="7"/>
      <c r="BM36" s="18" t="s">
        <v>633</v>
      </c>
    </row>
    <row r="37" spans="1:65" s="18" customFormat="1" x14ac:dyDescent="0.3">
      <c r="A37" s="21">
        <v>33</v>
      </c>
      <c r="B37" s="4" t="s">
        <v>76</v>
      </c>
      <c r="C37" s="4" t="s">
        <v>23</v>
      </c>
      <c r="D37" s="4">
        <v>2.5</v>
      </c>
      <c r="E37" s="4">
        <v>5</v>
      </c>
      <c r="F37" s="4" t="s">
        <v>76</v>
      </c>
      <c r="G37" s="50" t="s">
        <v>77</v>
      </c>
      <c r="H37" s="4">
        <v>1531</v>
      </c>
      <c r="I37" s="51">
        <v>4.4999999999999998E-2</v>
      </c>
      <c r="J37" s="52">
        <v>0.02</v>
      </c>
      <c r="K37" s="52">
        <v>0.25</v>
      </c>
      <c r="L37" s="51">
        <v>1.4999999999999999E-2</v>
      </c>
      <c r="M37" s="51">
        <v>6.0000000000000001E-3</v>
      </c>
      <c r="N37" s="51"/>
      <c r="O37" s="51"/>
      <c r="P37" s="51"/>
      <c r="Q37" s="51">
        <v>2.5000000000000001E-2</v>
      </c>
      <c r="R37" s="51" t="s">
        <v>631</v>
      </c>
      <c r="S37" s="32" t="s">
        <v>631</v>
      </c>
      <c r="T37" s="52"/>
      <c r="U37" s="52"/>
      <c r="V37" s="52"/>
      <c r="W37" s="52"/>
      <c r="X37" s="32" t="s">
        <v>631</v>
      </c>
      <c r="Y37" s="53" t="s">
        <v>631</v>
      </c>
      <c r="Z37" s="4">
        <v>45</v>
      </c>
      <c r="AA37" s="53" t="s">
        <v>631</v>
      </c>
      <c r="AB37" s="42">
        <f>IF(J37&lt;=0.04,0,IF((BA37-AL37*BF$4*炼钢参数表!$X$5/1000-AM37*BG$4*炼钢参数表!$X$5/1000)&lt;=0.03,0,IF((J37/100/0.1769/炼钢参数表!K37*1000)&gt;(K37-炼钢参数表!J37)/100/0.6566/炼钢参数表!L37*1000,IF(K37&lt;1.6,(K37-炼钢参数表!J37)/100/0.6566/炼钢参数表!L37*1000,(K37-0.08-炼钢参数表!J37)/100/0.6566/炼钢参数表!L37*1000),IF(K37&lt;1.6,J37/100/0.1769/炼钢参数表!K37*1000,(J37-0.08)/100/0.1769/炼钢参数表!K37*1000))))</f>
        <v>0</v>
      </c>
      <c r="AC37" s="8">
        <f>IF((BA37-AB37*$BB$4*0.9/1000-AL37*BF$4*炼钢参数表!$X$5/1000-AM37*BG$4*炼钢参数表!$X$5/1000)&lt;(K37-炼钢参数表!J37-AB37*0.6566*炼钢参数表!L37/10)*0.082,0,(K37-炼钢参数表!J37-AB37*0.6566*炼钢参数表!L37/10)/100/($AC$3/100)/炼钢参数表!L37*1000)</f>
        <v>0</v>
      </c>
      <c r="AD37" s="8">
        <f>IF((BA37-AB37*$BB$4*0.9/1000-AC37*$BC$4*0.9/1000-AL37*BF$4*炼钢参数表!$X$5/1000-AM37*BG$4*炼钢参数表!$X$5/1000)&lt;=(K37-炼钢参数表!J37-AB37*0.6566*炼钢参数表!L37/10-AC37*($AC$3/100)*炼钢参数表!L37/10)*0.02,0,((K37-炼钢参数表!J37-AB37*0.6566*炼钢参数表!L37/10-AC37*($AC$3/100)*炼钢参数表!L37/10)/100/($AD$3/100)/炼钢参数表!L37*1000))</f>
        <v>2.0756354489847899</v>
      </c>
      <c r="AE37" s="8">
        <f>(K37-炼钢参数表!J37-AB37*0.6566*炼钢参数表!L37/10-AC37*($AC$3/100)*炼钢参数表!L37/10-AD37*($AD$3/100)*炼钢参数表!L37/10)/100/($AE$3/100)/炼钢参数表!L37*1000</f>
        <v>0</v>
      </c>
      <c r="AF37" s="8">
        <v>0</v>
      </c>
      <c r="AG37" s="8">
        <f>IF(J37&lt;=0.04,0,((J37-(AB37*0.1769*炼钢参数表!K37/1000*100))/100/炼钢参数表!K37/($AG$3/100)*1000))</f>
        <v>0</v>
      </c>
      <c r="AH37" s="8">
        <v>1.2</v>
      </c>
      <c r="AI37" s="8">
        <f>IF(N37="",0,IF(N37&lt;=0.002,0,((N37)/100)/($AI$3/100)/炼钢参数表!M37*1000))</f>
        <v>0</v>
      </c>
      <c r="AJ37" s="8">
        <f>IF(O37="",0,IF(O37&lt;=0.002,0,((O37)/100)/($AJ$3/100)/炼钢参数表!N37*1000))</f>
        <v>0</v>
      </c>
      <c r="AK37" s="8">
        <f>IF(P37="",0,IF(P37&lt;=0.002,0,((P37+0.005)/100)/($AK$3/100)/炼钢参数表!O37*1000))</f>
        <v>0</v>
      </c>
      <c r="AL37" s="8">
        <f>IF((BA37-J37*0.00003-K37*0.00024)&lt;=0.05,0,IF(T37="",0,IF(T37&lt;=0.03,0,IF(((BA37-J37*0.00003-K37*0.00024)-0.05)/0.18/100/($AL$3/100)/炼钢参数表!P37*1000&lt;=T37/100/($AL$3/100)/炼钢参数表!P37*1000,((BA37-J37*0.00003-K37*0.00024)-0.05)/0.18/100/($AL$3/100)/炼钢参数表!P37*1000,T37/100/($AL$3/100)/炼钢参数表!P37*1000))))</f>
        <v>0</v>
      </c>
      <c r="AM37" s="8">
        <f>IF(T37="",0,IF(T37&lt;=0.03,0,((T37-AL37*($AL$3/100)*炼钢参数表!P37/10)/100/($AM$3/100)/炼钢参数表!P37*1000)))</f>
        <v>0</v>
      </c>
      <c r="AN37" s="8">
        <f>IF(U37="",0,IF(U37&lt;=0.02,0,(U37/100)/($AN$3/100)/炼钢参数表!Q37*1000))</f>
        <v>0</v>
      </c>
      <c r="AO37" s="8">
        <f>IF(V37="",0,IF(V37&lt;=0.02,0,(V37/100)/($AO$3/100)/炼钢参数表!R37*1000))</f>
        <v>0</v>
      </c>
      <c r="AP37" s="8">
        <f>IF(W37="",0,IF(W37&lt;=0.02,0,(W37/100)/($AP$3/100)/炼钢参数表!S37*1000))</f>
        <v>0</v>
      </c>
      <c r="AQ37" s="8">
        <f>IF(X37="",0,IF(X37&lt;=0.0002,0,(X37/100)/($AQ$3/100)/炼钢参数表!T37*1000))</f>
        <v>0</v>
      </c>
      <c r="AR37" s="8">
        <f>IF(Y37="",0,IF(Y37&lt;=0.02,0,(Y37/100)/($AR$3/100)/炼钢参数表!U37*1000))</f>
        <v>0</v>
      </c>
      <c r="AS37" s="8">
        <f>IF(L37&lt;=0.04,0,((L37-0.04)/100)/($AS$3/100)/炼钢参数表!V37*1000)</f>
        <v>0</v>
      </c>
      <c r="AT37" s="8">
        <f>IF(M37&lt;=0.03,0,((M37-0.03)/100)/($AT$3/100)/炼钢参数表!W37*1000)</f>
        <v>0</v>
      </c>
      <c r="AU37" s="6"/>
      <c r="AV37" s="8">
        <f t="shared" si="0"/>
        <v>3.2756354489847901</v>
      </c>
      <c r="AW37" s="8" cm="1">
        <f t="array" ref="AW37">SUMPRODUCT($AB$4:$AU$4,AB37:AU37)/1000</f>
        <v>42.849447475116897</v>
      </c>
      <c r="AY37" s="2" t="str">
        <f t="shared" si="1"/>
        <v>SPHC-M</v>
      </c>
      <c r="AZ37" s="37">
        <f>VLOOKUP(AY37,炼钢参数表!$F$5:$J$1027,4,0)</f>
        <v>0.04</v>
      </c>
      <c r="BA37" s="37">
        <f t="shared" si="2"/>
        <v>5.0000000000000001E-3</v>
      </c>
      <c r="BB37" s="37">
        <f>AB37*$BB$4*炼钢参数表!$X$5/1000</f>
        <v>0</v>
      </c>
      <c r="BC37" s="37">
        <f>AC37*$BC$4*炼钢参数表!$X$5/1000</f>
        <v>0</v>
      </c>
      <c r="BD37" s="37">
        <f>AD37*$BD$4*炼钢参数表!$X$5/1000</f>
        <v>2.8021078561294602E-3</v>
      </c>
      <c r="BE37" s="37">
        <f>AE37*$BE$4*炼钢参数表!$X$5/1000</f>
        <v>0</v>
      </c>
      <c r="BF37" s="37">
        <f>AL37*$BF$4*炼钢参数表!$X$5/1000</f>
        <v>0</v>
      </c>
      <c r="BG37" s="37">
        <f>AM37*$BG$4*炼钢参数表!$X$5/1000</f>
        <v>0</v>
      </c>
      <c r="BH37" s="37">
        <f t="shared" si="3"/>
        <v>2.8021078561294602E-3</v>
      </c>
      <c r="BI37" s="37">
        <f t="shared" si="4"/>
        <v>4.28021078561295E-2</v>
      </c>
      <c r="BJ37" s="37">
        <f t="shared" si="5"/>
        <v>-2.19789214387053E-3</v>
      </c>
      <c r="BK37" s="54"/>
      <c r="BL37" s="7"/>
      <c r="BM37" s="18" t="s">
        <v>633</v>
      </c>
    </row>
    <row r="38" spans="1:65" s="18" customFormat="1" x14ac:dyDescent="0.3">
      <c r="A38" s="21">
        <v>34</v>
      </c>
      <c r="B38" s="4" t="s">
        <v>78</v>
      </c>
      <c r="C38" s="4" t="s">
        <v>23</v>
      </c>
      <c r="D38" s="4">
        <v>2.5</v>
      </c>
      <c r="E38" s="4">
        <v>6</v>
      </c>
      <c r="F38" s="4" t="s">
        <v>78</v>
      </c>
      <c r="G38" s="50" t="s">
        <v>79</v>
      </c>
      <c r="H38" s="4">
        <v>1531</v>
      </c>
      <c r="I38" s="51">
        <v>4.4999999999999998E-2</v>
      </c>
      <c r="J38" s="52">
        <v>0.02</v>
      </c>
      <c r="K38" s="52">
        <v>0.25</v>
      </c>
      <c r="L38" s="51">
        <v>1.4999999999999999E-2</v>
      </c>
      <c r="M38" s="51">
        <v>6.0000000000000001E-3</v>
      </c>
      <c r="N38" s="51"/>
      <c r="O38" s="51"/>
      <c r="P38" s="51"/>
      <c r="Q38" s="51">
        <v>2.5000000000000001E-2</v>
      </c>
      <c r="R38" s="51" t="s">
        <v>631</v>
      </c>
      <c r="S38" s="32" t="s">
        <v>631</v>
      </c>
      <c r="T38" s="52"/>
      <c r="U38" s="52"/>
      <c r="V38" s="52"/>
      <c r="W38" s="52"/>
      <c r="X38" s="32">
        <v>1.4E-3</v>
      </c>
      <c r="Y38" s="53" t="s">
        <v>631</v>
      </c>
      <c r="Z38" s="4"/>
      <c r="AA38" s="53" t="s">
        <v>634</v>
      </c>
      <c r="AB38" s="42">
        <f>IF(J38&lt;=0.04,0,IF((BA38-AL38*BF$4*炼钢参数表!$X$5/1000-AM38*BG$4*炼钢参数表!$X$5/1000)&lt;=0.03,0,IF((J38/100/0.1769/炼钢参数表!K38*1000)&gt;(K38-炼钢参数表!J38)/100/0.6566/炼钢参数表!L38*1000,IF(K38&lt;1.6,(K38-炼钢参数表!J38)/100/0.6566/炼钢参数表!L38*1000,(K38-0.08-炼钢参数表!J38)/100/0.6566/炼钢参数表!L38*1000),IF(K38&lt;1.6,J38/100/0.1769/炼钢参数表!K38*1000,(J38-0.08)/100/0.1769/炼钢参数表!K38*1000))))</f>
        <v>0</v>
      </c>
      <c r="AC38" s="8">
        <f>IF((BA38-AB38*$BB$4*0.9/1000-AL38*BF$4*炼钢参数表!$X$5/1000-AM38*BG$4*炼钢参数表!$X$5/1000)&lt;(K38-炼钢参数表!J38-AB38*0.6566*炼钢参数表!L38/10)*0.082,0,(K38-炼钢参数表!J38-AB38*0.6566*炼钢参数表!L38/10)/100/($AC$3/100)/炼钢参数表!L38*1000)</f>
        <v>0</v>
      </c>
      <c r="AD38" s="8">
        <f>IF((BA38-AB38*$BB$4*0.9/1000-AC38*$BC$4*0.9/1000-AL38*BF$4*炼钢参数表!$X$5/1000-AM38*BG$4*炼钢参数表!$X$5/1000)&lt;=(K38-炼钢参数表!J38-AB38*0.6566*炼钢参数表!L38/10-AC38*($AC$3/100)*炼钢参数表!L38/10)*0.02,0,((K38-炼钢参数表!J38-AB38*0.6566*炼钢参数表!L38/10-AC38*($AC$3/100)*炼钢参数表!L38/10)/100/($AD$3/100)/炼钢参数表!L38*1000))</f>
        <v>1.8676301689507</v>
      </c>
      <c r="AE38" s="8">
        <f>(K38-炼钢参数表!J38-AB38*0.6566*炼钢参数表!L38/10-AC38*($AC$3/100)*炼钢参数表!L38/10-AD38*($AD$3/100)*炼钢参数表!L38/10)/100/($AE$3/100)/炼钢参数表!L38*1000</f>
        <v>0</v>
      </c>
      <c r="AF38" s="8">
        <v>0</v>
      </c>
      <c r="AG38" s="8">
        <f>IF(J38&lt;=0.04,0,((J38-(AB38*0.1769*炼钢参数表!K38/1000*100))/100/炼钢参数表!K38/($AG$3/100)*1000))</f>
        <v>0</v>
      </c>
      <c r="AH38" s="8">
        <v>1.2</v>
      </c>
      <c r="AI38" s="8">
        <f>IF(N38="",0,IF(N38&lt;=0.002,0,((N38)/100)/($AI$3/100)/炼钢参数表!M38*1000))</f>
        <v>0</v>
      </c>
      <c r="AJ38" s="8">
        <f>IF(O38="",0,IF(O38&lt;=0.002,0,((O38)/100)/($AJ$3/100)/炼钢参数表!N38*1000))</f>
        <v>0</v>
      </c>
      <c r="AK38" s="8">
        <f>IF(P38="",0,IF(P38&lt;=0.002,0,((P38+0.005)/100)/($AK$3/100)/炼钢参数表!O38*1000))</f>
        <v>0</v>
      </c>
      <c r="AL38" s="8">
        <f>IF((BA38-J38*0.00003-K38*0.00024)&lt;=0.05,0,IF(T38="",0,IF(T38&lt;=0.03,0,IF(((BA38-J38*0.00003-K38*0.00024)-0.05)/0.18/100/($AL$3/100)/炼钢参数表!P38*1000&lt;=T38/100/($AL$3/100)/炼钢参数表!P38*1000,((BA38-J38*0.00003-K38*0.00024)-0.05)/0.18/100/($AL$3/100)/炼钢参数表!P38*1000,T38/100/($AL$3/100)/炼钢参数表!P38*1000))))</f>
        <v>0</v>
      </c>
      <c r="AM38" s="8">
        <f>IF(T38="",0,IF(T38&lt;=0.03,0,((T38-AL38*($AL$3/100)*炼钢参数表!P38/10)/100/($AM$3/100)/炼钢参数表!P38*1000)))</f>
        <v>0</v>
      </c>
      <c r="AN38" s="8">
        <f>IF(U38="",0,IF(U38&lt;=0.02,0,(U38/100)/($AN$3/100)/炼钢参数表!Q38*1000))</f>
        <v>0</v>
      </c>
      <c r="AO38" s="8">
        <f>IF(V38="",0,IF(V38&lt;=0.02,0,(V38/100)/($AO$3/100)/炼钢参数表!R38*1000))</f>
        <v>0</v>
      </c>
      <c r="AP38" s="8">
        <f>IF(W38="",0,IF(W38&lt;=0.02,0,(W38/100)/($AP$3/100)/炼钢参数表!S38*1000))</f>
        <v>0</v>
      </c>
      <c r="AQ38" s="8">
        <f>IF(X38="",0,IF(X38&lt;=0.0002,0,(X38/100)/($AQ$3/100)/炼钢参数表!T38*1000))</f>
        <v>0.11111111111111099</v>
      </c>
      <c r="AR38" s="8">
        <f>IF(Y38="",0,IF(Y38&lt;=0.02,0,(Y38/100)/($AR$3/100)/炼钢参数表!U38*1000))</f>
        <v>0</v>
      </c>
      <c r="AS38" s="8">
        <f>IF(L38&lt;=0.04,0,((L38-0.04)/100)/($AS$3/100)/炼钢参数表!V38*1000)</f>
        <v>0</v>
      </c>
      <c r="AT38" s="8">
        <f>IF(M38&lt;=0.03,0,((M38-0.03)/100)/($AT$3/100)/炼钢参数表!W38*1000)</f>
        <v>0</v>
      </c>
      <c r="AU38" s="6"/>
      <c r="AV38" s="8">
        <f t="shared" si="0"/>
        <v>3.1787412800618098</v>
      </c>
      <c r="AW38" s="8" cm="1">
        <f t="array" ref="AW38">SUMPRODUCT($AB$4:$AU$4,AB38:AU38)/1000</f>
        <v>43.9160811929262</v>
      </c>
      <c r="AY38" s="2" t="str">
        <f t="shared" si="1"/>
        <v>SPHC-M(B)</v>
      </c>
      <c r="AZ38" s="37">
        <f>VLOOKUP(AY38,炼钢参数表!$F$5:$J$1027,4,0)</f>
        <v>0.04</v>
      </c>
      <c r="BA38" s="37">
        <f t="shared" si="2"/>
        <v>5.0000000000000001E-3</v>
      </c>
      <c r="BB38" s="37">
        <f>AB38*$BB$4*炼钢参数表!$X$5/1000</f>
        <v>0</v>
      </c>
      <c r="BC38" s="37">
        <f>AC38*$BC$4*炼钢参数表!$X$5/1000</f>
        <v>0</v>
      </c>
      <c r="BD38" s="37">
        <f>AD38*$BD$4*炼钢参数表!$X$5/1000</f>
        <v>2.5213007280834401E-3</v>
      </c>
      <c r="BE38" s="37">
        <f>AE38*$BE$4*炼钢参数表!$X$5/1000</f>
        <v>0</v>
      </c>
      <c r="BF38" s="37">
        <f>AL38*$BF$4*炼钢参数表!$X$5/1000</f>
        <v>0</v>
      </c>
      <c r="BG38" s="37">
        <f>AM38*$BG$4*炼钢参数表!$X$5/1000</f>
        <v>0</v>
      </c>
      <c r="BH38" s="37">
        <f t="shared" si="3"/>
        <v>2.5213007280834401E-3</v>
      </c>
      <c r="BI38" s="37">
        <f t="shared" si="4"/>
        <v>4.2521300728083397E-2</v>
      </c>
      <c r="BJ38" s="37">
        <f t="shared" si="5"/>
        <v>-2.47869927191656E-3</v>
      </c>
      <c r="BK38" s="54"/>
      <c r="BL38" s="7"/>
      <c r="BM38" s="18" t="s">
        <v>633</v>
      </c>
    </row>
    <row r="39" spans="1:65" s="18" customFormat="1" x14ac:dyDescent="0.3">
      <c r="A39" s="21">
        <v>35</v>
      </c>
      <c r="B39" s="4" t="s">
        <v>80</v>
      </c>
      <c r="C39" s="4" t="s">
        <v>23</v>
      </c>
      <c r="D39" s="4">
        <v>2.5</v>
      </c>
      <c r="E39" s="4">
        <v>6</v>
      </c>
      <c r="F39" s="4" t="s">
        <v>80</v>
      </c>
      <c r="G39" s="50" t="s">
        <v>81</v>
      </c>
      <c r="H39" s="4">
        <v>1529</v>
      </c>
      <c r="I39" s="51">
        <v>0.06</v>
      </c>
      <c r="J39" s="52">
        <v>0</v>
      </c>
      <c r="K39" s="52">
        <v>0.28000000000000003</v>
      </c>
      <c r="L39" s="51">
        <v>1.4999999999999999E-2</v>
      </c>
      <c r="M39" s="51">
        <v>6.0000000000000001E-3</v>
      </c>
      <c r="N39" s="51"/>
      <c r="O39" s="51"/>
      <c r="P39" s="51"/>
      <c r="Q39" s="51">
        <v>0.03</v>
      </c>
      <c r="R39" s="51" t="s">
        <v>631</v>
      </c>
      <c r="S39" s="32" t="s">
        <v>631</v>
      </c>
      <c r="T39" s="52"/>
      <c r="U39" s="52"/>
      <c r="V39" s="52"/>
      <c r="W39" s="52"/>
      <c r="X39" s="32"/>
      <c r="Y39" s="53" t="s">
        <v>631</v>
      </c>
      <c r="Z39" s="4"/>
      <c r="AA39" s="53" t="s">
        <v>635</v>
      </c>
      <c r="AB39" s="42">
        <f>IF(J39&lt;=0.04,0,IF((BA39-AL39*BF$4*炼钢参数表!$X$5/1000-AM39*BG$4*炼钢参数表!$X$5/1000)&lt;=0.03,0,IF((J39/100/0.1769/炼钢参数表!K39*1000)&gt;(K39-炼钢参数表!J39)/100/0.6566/炼钢参数表!L39*1000,IF(K39&lt;1.6,(K39-炼钢参数表!J39)/100/0.6566/炼钢参数表!L39*1000,(K39-0.08-炼钢参数表!J39)/100/0.6566/炼钢参数表!L39*1000),IF(K39&lt;1.6,J39/100/0.1769/炼钢参数表!K39*1000,(J39-0.08)/100/0.1769/炼钢参数表!K39*1000))))</f>
        <v>0</v>
      </c>
      <c r="AC39" s="8">
        <f>IF((BA39-AB39*$BB$4*0.9/1000-AL39*BF$4*炼钢参数表!$X$5/1000-AM39*BG$4*炼钢参数表!$X$5/1000)&lt;(K39-炼钢参数表!J39-AB39*0.6566*炼钢参数表!L39/10)*0.082,0,(K39-炼钢参数表!J39-AB39*0.6566*炼钢参数表!L39/10)/100/($AC$3/100)/炼钢参数表!L39*1000)</f>
        <v>1.84111177983258</v>
      </c>
      <c r="AD39" s="8">
        <f>IF((BA39-AB39*$BB$4*0.9/1000-AC39*$BC$4*0.9/1000-AL39*BF$4*炼钢参数表!$X$5/1000-AM39*BG$4*炼钢参数表!$X$5/1000)&lt;=(K39-炼钢参数表!J39-AB39*0.6566*炼钢参数表!L39/10-AC39*($AC$3/100)*炼钢参数表!L39/10)*0.02,0,((K39-炼钢参数表!J39-AB39*0.6566*炼钢参数表!L39/10-AC39*($AC$3/100)*炼钢参数表!L39/10)/100/($AD$3/100)/炼钢参数表!L39*1000))</f>
        <v>0</v>
      </c>
      <c r="AE39" s="8">
        <f>(K39-炼钢参数表!J39-AB39*0.6566*炼钢参数表!L39/10-AC39*($AC$3/100)*炼钢参数表!L39/10-AD39*($AD$3/100)*炼钢参数表!L39/10)/100/($AE$3/100)/炼钢参数表!L39*1000</f>
        <v>0</v>
      </c>
      <c r="AF39" s="8">
        <v>0</v>
      </c>
      <c r="AG39" s="8">
        <f>IF(J39&lt;=0.04,0,((J39-(AB39*0.1769*炼钢参数表!K39/1000*100))/100/炼钢参数表!K39/($AG$3/100)*1000))</f>
        <v>0</v>
      </c>
      <c r="AH39" s="8">
        <v>1.2</v>
      </c>
      <c r="AI39" s="8">
        <f>IF(N39="",0,IF(N39&lt;=0.002,0,((N39)/100)/($AI$3/100)/炼钢参数表!M39*1000))</f>
        <v>0</v>
      </c>
      <c r="AJ39" s="8">
        <f>IF(O39="",0,IF(O39&lt;=0.002,0,((O39)/100)/($AJ$3/100)/炼钢参数表!N39*1000))</f>
        <v>0</v>
      </c>
      <c r="AK39" s="8">
        <f>IF(P39="",0,IF(P39&lt;=0.002,0,((P39+0.005)/100)/($AK$3/100)/炼钢参数表!O39*1000))</f>
        <v>0</v>
      </c>
      <c r="AL39" s="8">
        <f>IF((BA39-J39*0.00003-K39*0.00024)&lt;=0.05,0,IF(T39="",0,IF(T39&lt;=0.03,0,IF(((BA39-J39*0.00003-K39*0.00024)-0.05)/0.18/100/($AL$3/100)/炼钢参数表!P39*1000&lt;=T39/100/($AL$3/100)/炼钢参数表!P39*1000,((BA39-J39*0.00003-K39*0.00024)-0.05)/0.18/100/($AL$3/100)/炼钢参数表!P39*1000,T39/100/($AL$3/100)/炼钢参数表!P39*1000))))</f>
        <v>0</v>
      </c>
      <c r="AM39" s="8">
        <f>IF(T39="",0,IF(T39&lt;=0.03,0,((T39-AL39*($AL$3/100)*炼钢参数表!P39/10)/100/($AM$3/100)/炼钢参数表!P39*1000)))</f>
        <v>0</v>
      </c>
      <c r="AN39" s="8">
        <f>IF(U39="",0,IF(U39&lt;=0.02,0,(U39/100)/($AN$3/100)/炼钢参数表!Q39*1000))</f>
        <v>0</v>
      </c>
      <c r="AO39" s="8">
        <f>IF(V39="",0,IF(V39&lt;=0.02,0,(V39/100)/($AO$3/100)/炼钢参数表!R39*1000))</f>
        <v>0</v>
      </c>
      <c r="AP39" s="8">
        <f>IF(W39="",0,IF(W39&lt;=0.02,0,(W39/100)/($AP$3/100)/炼钢参数表!S39*1000))</f>
        <v>0</v>
      </c>
      <c r="AQ39" s="8">
        <f>IF(X39="",0,IF(X39&lt;=0.0002,0,(X39/100)/($AQ$3/100)/炼钢参数表!T39*1000))</f>
        <v>0</v>
      </c>
      <c r="AR39" s="8">
        <f>IF(Y39="",0,IF(Y39&lt;=0.02,0,(Y39/100)/($AR$3/100)/炼钢参数表!U39*1000))</f>
        <v>0</v>
      </c>
      <c r="AS39" s="8">
        <f>IF(L39&lt;=0.04,0,((L39-0.04)/100)/($AS$3/100)/炼钢参数表!V39*1000)</f>
        <v>0</v>
      </c>
      <c r="AT39" s="8">
        <f>IF(M39&lt;=0.03,0,((M39-0.03)/100)/($AT$3/100)/炼钢参数表!W39*1000)</f>
        <v>0</v>
      </c>
      <c r="AU39" s="6"/>
      <c r="AV39" s="8">
        <f t="shared" si="0"/>
        <v>3.0411117798325802</v>
      </c>
      <c r="AW39" s="8" cm="1">
        <f t="array" ref="AW39">SUMPRODUCT($AB$4:$AU$4,AB39:AU39)/1000</f>
        <v>37.932737571908397</v>
      </c>
      <c r="AY39" s="2" t="str">
        <f t="shared" si="1"/>
        <v>MRT2.5</v>
      </c>
      <c r="AZ39" s="37">
        <f>VLOOKUP(AY39,炼钢参数表!$F$5:$J$1027,4,0)</f>
        <v>0.04</v>
      </c>
      <c r="BA39" s="37">
        <f t="shared" si="2"/>
        <v>0.02</v>
      </c>
      <c r="BB39" s="37">
        <f>AB39*$BB$4*炼钢参数表!$X$5/1000</f>
        <v>0</v>
      </c>
      <c r="BC39" s="37">
        <f>AC39*$BC$4*炼钢参数表!$X$5/1000</f>
        <v>1.10853340263719E-2</v>
      </c>
      <c r="BD39" s="37">
        <f>AD39*$BD$4*炼钢参数表!$X$5/1000</f>
        <v>0</v>
      </c>
      <c r="BE39" s="37">
        <f>AE39*$BE$4*炼钢参数表!$X$5/1000</f>
        <v>0</v>
      </c>
      <c r="BF39" s="37">
        <f>AL39*$BF$4*炼钢参数表!$X$5/1000</f>
        <v>0</v>
      </c>
      <c r="BG39" s="37">
        <f>AM39*$BG$4*炼钢参数表!$X$5/1000</f>
        <v>0</v>
      </c>
      <c r="BH39" s="37">
        <f t="shared" si="3"/>
        <v>1.10853340263719E-2</v>
      </c>
      <c r="BI39" s="37">
        <f t="shared" si="4"/>
        <v>5.1085334026371901E-2</v>
      </c>
      <c r="BJ39" s="37">
        <f t="shared" si="5"/>
        <v>-8.9146659736280606E-3</v>
      </c>
      <c r="BK39" s="54"/>
      <c r="BL39" s="7"/>
      <c r="BM39" s="18" t="s">
        <v>633</v>
      </c>
    </row>
    <row r="40" spans="1:65" s="18" customFormat="1" x14ac:dyDescent="0.3">
      <c r="A40" s="21">
        <v>36</v>
      </c>
      <c r="B40" s="4" t="s">
        <v>82</v>
      </c>
      <c r="C40" s="4" t="s">
        <v>23</v>
      </c>
      <c r="D40" s="4">
        <v>2.5</v>
      </c>
      <c r="E40" s="4">
        <v>6</v>
      </c>
      <c r="F40" s="4" t="s">
        <v>82</v>
      </c>
      <c r="G40" s="50" t="s">
        <v>83</v>
      </c>
      <c r="H40" s="4">
        <v>1529</v>
      </c>
      <c r="I40" s="51">
        <v>0.06</v>
      </c>
      <c r="J40" s="52">
        <v>0</v>
      </c>
      <c r="K40" s="52">
        <v>0.28000000000000003</v>
      </c>
      <c r="L40" s="51">
        <v>1.4999999999999999E-2</v>
      </c>
      <c r="M40" s="51">
        <v>6.0000000000000001E-3</v>
      </c>
      <c r="N40" s="51"/>
      <c r="O40" s="51"/>
      <c r="P40" s="51"/>
      <c r="Q40" s="51">
        <v>0.03</v>
      </c>
      <c r="R40" s="51" t="s">
        <v>631</v>
      </c>
      <c r="S40" s="32" t="s">
        <v>631</v>
      </c>
      <c r="T40" s="52"/>
      <c r="U40" s="52"/>
      <c r="V40" s="52"/>
      <c r="W40" s="52"/>
      <c r="X40" s="32"/>
      <c r="Y40" s="53" t="s">
        <v>631</v>
      </c>
      <c r="Z40" s="4"/>
      <c r="AA40" s="53" t="s">
        <v>636</v>
      </c>
      <c r="AB40" s="42">
        <f>IF(J40&lt;=0.04,0,IF((BA40-AL40*BF$4*炼钢参数表!$X$5/1000-AM40*BG$4*炼钢参数表!$X$5/1000)&lt;=0.03,0,IF((J40/100/0.1769/炼钢参数表!K40*1000)&gt;(K40-炼钢参数表!J40)/100/0.6566/炼钢参数表!L40*1000,IF(K40&lt;1.6,(K40-炼钢参数表!J40)/100/0.6566/炼钢参数表!L40*1000,(K40-0.08-炼钢参数表!J40)/100/0.6566/炼钢参数表!L40*1000),IF(K40&lt;1.6,J40/100/0.1769/炼钢参数表!K40*1000,(J40-0.08)/100/0.1769/炼钢参数表!K40*1000))))</f>
        <v>0</v>
      </c>
      <c r="AC40" s="8">
        <f>IF((BA40-AB40*$BB$4*0.9/1000-AL40*BF$4*炼钢参数表!$X$5/1000-AM40*BG$4*炼钢参数表!$X$5/1000)&lt;(K40-炼钢参数表!J40-AB40*0.6566*炼钢参数表!L40/10)*0.082,0,(K40-炼钢参数表!J40-AB40*0.6566*炼钢参数表!L40/10)/100/($AC$3/100)/炼钢参数表!L40*1000)</f>
        <v>2.4826284401159899</v>
      </c>
      <c r="AD40" s="8">
        <f>IF((BA40-AB40*$BB$4*0.9/1000-AC40*$BC$4*0.9/1000-AL40*BF$4*炼钢参数表!$X$5/1000-AM40*BG$4*炼钢参数表!$X$5/1000)&lt;=(K40-炼钢参数表!J40-AB40*0.6566*炼钢参数表!L40/10-AC40*($AC$3/100)*炼钢参数表!L40/10)*0.02,0,((K40-炼钢参数表!J40-AB40*0.6566*炼钢参数表!L40/10-AC40*($AC$3/100)*炼钢参数表!L40/10)/100/($AD$3/100)/炼钢参数表!L40*1000))</f>
        <v>0</v>
      </c>
      <c r="AE40" s="8">
        <f>(K40-炼钢参数表!J40-AB40*0.6566*炼钢参数表!L40/10-AC40*($AC$3/100)*炼钢参数表!L40/10-AD40*($AD$3/100)*炼钢参数表!L40/10)/100/($AE$3/100)/炼钢参数表!L40*1000</f>
        <v>0</v>
      </c>
      <c r="AF40" s="8">
        <v>0</v>
      </c>
      <c r="AG40" s="8">
        <f>IF(J40&lt;=0.04,0,((J40-(AB40*0.1769*炼钢参数表!K40/1000*100))/100/炼钢参数表!K40/($AG$3/100)*1000))</f>
        <v>0</v>
      </c>
      <c r="AH40" s="8">
        <v>1.2</v>
      </c>
      <c r="AI40" s="8">
        <f>IF(N40="",0,IF(N40&lt;=0.002,0,((N40)/100)/($AI$3/100)/炼钢参数表!M40*1000))</f>
        <v>0</v>
      </c>
      <c r="AJ40" s="8">
        <f>IF(O40="",0,IF(O40&lt;=0.002,0,((O40)/100)/($AJ$3/100)/炼钢参数表!N40*1000))</f>
        <v>0</v>
      </c>
      <c r="AK40" s="8">
        <f>IF(P40="",0,IF(P40&lt;=0.002,0,((P40+0.005)/100)/($AK$3/100)/炼钢参数表!O40*1000))</f>
        <v>0</v>
      </c>
      <c r="AL40" s="8">
        <f>IF((BA40-J40*0.00003-K40*0.00024)&lt;=0.05,0,IF(T40="",0,IF(T40&lt;=0.03,0,IF(((BA40-J40*0.00003-K40*0.00024)-0.05)/0.18/100/($AL$3/100)/炼钢参数表!P40*1000&lt;=T40/100/($AL$3/100)/炼钢参数表!P40*1000,((BA40-J40*0.00003-K40*0.00024)-0.05)/0.18/100/($AL$3/100)/炼钢参数表!P40*1000,T40/100/($AL$3/100)/炼钢参数表!P40*1000))))</f>
        <v>0</v>
      </c>
      <c r="AM40" s="8">
        <f>IF(T40="",0,IF(T40&lt;=0.03,0,((T40-AL40*($AL$3/100)*炼钢参数表!P40/10)/100/($AM$3/100)/炼钢参数表!P40*1000)))</f>
        <v>0</v>
      </c>
      <c r="AN40" s="8">
        <f>IF(U40="",0,IF(U40&lt;=0.02,0,(U40/100)/($AN$3/100)/炼钢参数表!Q40*1000))</f>
        <v>0</v>
      </c>
      <c r="AO40" s="8">
        <f>IF(V40="",0,IF(V40&lt;=0.02,0,(V40/100)/($AO$3/100)/炼钢参数表!R40*1000))</f>
        <v>0</v>
      </c>
      <c r="AP40" s="8">
        <f>IF(W40="",0,IF(W40&lt;=0.02,0,(W40/100)/($AP$3/100)/炼钢参数表!S40*1000))</f>
        <v>0</v>
      </c>
      <c r="AQ40" s="8">
        <f>IF(X40="",0,IF(X40&lt;=0.0002,0,(X40/100)/($AQ$3/100)/炼钢参数表!T40*1000))</f>
        <v>0</v>
      </c>
      <c r="AR40" s="8">
        <f>IF(Y40="",0,IF(Y40&lt;=0.02,0,(Y40/100)/($AR$3/100)/炼钢参数表!U40*1000))</f>
        <v>0</v>
      </c>
      <c r="AS40" s="8">
        <f>IF(L40&lt;=0.04,0,((L40-0.04)/100)/($AS$3/100)/炼钢参数表!V40*1000)</f>
        <v>0</v>
      </c>
      <c r="AT40" s="8">
        <f>IF(M40&lt;=0.03,0,((M40-0.03)/100)/($AT$3/100)/炼钢参数表!W40*1000)</f>
        <v>0</v>
      </c>
      <c r="AU40" s="6"/>
      <c r="AV40" s="8">
        <f t="shared" si="0"/>
        <v>3.6826284401159901</v>
      </c>
      <c r="AW40" s="8" cm="1">
        <f t="array" ref="AW40">SUMPRODUCT($AB$4:$AU$4,AB40:AU40)/1000</f>
        <v>41.810223226541801</v>
      </c>
      <c r="AY40" s="2" t="str">
        <f t="shared" si="1"/>
        <v>YFMRT2.5</v>
      </c>
      <c r="AZ40" s="37">
        <f>VLOOKUP(AY40,炼钢参数表!$F$5:$J$1027,4,0)</f>
        <v>0.04</v>
      </c>
      <c r="BA40" s="37">
        <f t="shared" si="2"/>
        <v>0.02</v>
      </c>
      <c r="BB40" s="37">
        <f>AB40*$BB$4*炼钢参数表!$X$5/1000</f>
        <v>0</v>
      </c>
      <c r="BC40" s="37">
        <f>AC40*$BC$4*炼钢参数表!$X$5/1000</f>
        <v>1.49479058379384E-2</v>
      </c>
      <c r="BD40" s="37">
        <f>AD40*$BD$4*炼钢参数表!$X$5/1000</f>
        <v>0</v>
      </c>
      <c r="BE40" s="37">
        <f>AE40*$BE$4*炼钢参数表!$X$5/1000</f>
        <v>0</v>
      </c>
      <c r="BF40" s="37">
        <f>AL40*$BF$4*炼钢参数表!$X$5/1000</f>
        <v>0</v>
      </c>
      <c r="BG40" s="37">
        <f>AM40*$BG$4*炼钢参数表!$X$5/1000</f>
        <v>0</v>
      </c>
      <c r="BH40" s="37">
        <f t="shared" si="3"/>
        <v>1.49479058379384E-2</v>
      </c>
      <c r="BI40" s="37">
        <f t="shared" si="4"/>
        <v>5.4947905837938397E-2</v>
      </c>
      <c r="BJ40" s="37">
        <f t="shared" si="5"/>
        <v>-5.0520941620616003E-3</v>
      </c>
      <c r="BK40" s="54"/>
      <c r="BL40" s="7"/>
    </row>
    <row r="41" spans="1:65" s="18" customFormat="1" x14ac:dyDescent="0.3">
      <c r="A41" s="21">
        <v>37</v>
      </c>
      <c r="B41" s="4" t="s">
        <v>84</v>
      </c>
      <c r="C41" s="4" t="s">
        <v>23</v>
      </c>
      <c r="D41" s="4">
        <v>2.5</v>
      </c>
      <c r="E41" s="4">
        <v>3.5</v>
      </c>
      <c r="F41" s="4" t="s">
        <v>84</v>
      </c>
      <c r="G41" s="50" t="s">
        <v>85</v>
      </c>
      <c r="H41" s="4">
        <v>1528</v>
      </c>
      <c r="I41" s="51">
        <v>7.0000000000000007E-2</v>
      </c>
      <c r="J41" s="52">
        <v>0</v>
      </c>
      <c r="K41" s="52">
        <v>0.35</v>
      </c>
      <c r="L41" s="51">
        <v>1.4999999999999999E-2</v>
      </c>
      <c r="M41" s="51">
        <v>6.0000000000000001E-3</v>
      </c>
      <c r="N41" s="51"/>
      <c r="O41" s="51"/>
      <c r="P41" s="51"/>
      <c r="Q41" s="51">
        <v>0.03</v>
      </c>
      <c r="R41" s="51" t="s">
        <v>631</v>
      </c>
      <c r="S41" s="32" t="s">
        <v>631</v>
      </c>
      <c r="T41" s="52"/>
      <c r="U41" s="52"/>
      <c r="V41" s="52"/>
      <c r="W41" s="52"/>
      <c r="X41" s="32"/>
      <c r="Y41" s="53" t="s">
        <v>631</v>
      </c>
      <c r="Z41" s="4"/>
      <c r="AA41" s="53" t="s">
        <v>635</v>
      </c>
      <c r="AB41" s="42">
        <f>IF(J41&lt;=0.04,0,IF((BA41-AL41*BF$4*炼钢参数表!$X$5/1000-AM41*BG$4*炼钢参数表!$X$5/1000)&lt;=0.03,0,IF((J41/100/0.1769/炼钢参数表!K41*1000)&gt;(K41-炼钢参数表!J41)/100/0.6566/炼钢参数表!L41*1000,IF(K41&lt;1.6,(K41-炼钢参数表!J41)/100/0.6566/炼钢参数表!L41*1000,(K41-0.08-炼钢参数表!J41)/100/0.6566/炼钢参数表!L41*1000),IF(K41&lt;1.6,J41/100/0.1769/炼钢参数表!K41*1000,(J41-0.08)/100/0.1769/炼钢参数表!K41*1000))))</f>
        <v>0</v>
      </c>
      <c r="AC41" s="8">
        <f>IF((BA41-AB41*$BB$4*0.9/1000-AL41*BF$4*炼钢参数表!$X$5/1000-AM41*BG$4*炼钢参数表!$X$5/1000)&lt;(K41-炼钢参数表!J41-AB41*0.6566*炼钢参数表!L41/10)*0.082,0,(K41-炼钢参数表!J41-AB41*0.6566*炼钢参数表!L41/10)/100/($AC$3/100)/炼钢参数表!L41*1000)</f>
        <v>3.4401159927778102</v>
      </c>
      <c r="AD41" s="8">
        <f>IF((BA41-AB41*$BB$4*0.9/1000-AC41*$BC$4*0.9/1000-AL41*BF$4*炼钢参数表!$X$5/1000-AM41*BG$4*炼钢参数表!$X$5/1000)&lt;=(K41-炼钢参数表!J41-AB41*0.6566*炼钢参数表!L41/10-AC41*($AC$3/100)*炼钢参数表!L41/10)*0.02,0,((K41-炼钢参数表!J41-AB41*0.6566*炼钢参数表!L41/10-AC41*($AC$3/100)*炼钢参数表!L41/10)/100/($AD$3/100)/炼钢参数表!L41*1000))</f>
        <v>0</v>
      </c>
      <c r="AE41" s="8">
        <f>(K41-炼钢参数表!J41-AB41*0.6566*炼钢参数表!L41/10-AC41*($AC$3/100)*炼钢参数表!L41/10-AD41*($AD$3/100)*炼钢参数表!L41/10)/100/($AE$3/100)/炼钢参数表!L41*1000</f>
        <v>0</v>
      </c>
      <c r="AF41" s="8">
        <v>0</v>
      </c>
      <c r="AG41" s="8">
        <f>IF(J41&lt;=0.04,0,((J41-(AB41*0.1769*炼钢参数表!K41/1000*100))/100/炼钢参数表!K41/($AG$3/100)*1000))</f>
        <v>0</v>
      </c>
      <c r="AH41" s="8">
        <v>1.2</v>
      </c>
      <c r="AI41" s="8">
        <f>IF(N41="",0,IF(N41&lt;=0.002,0,((N41)/100)/($AI$3/100)/炼钢参数表!M41*1000))</f>
        <v>0</v>
      </c>
      <c r="AJ41" s="8">
        <f>IF(O41="",0,IF(O41&lt;=0.002,0,((O41)/100)/($AJ$3/100)/炼钢参数表!N41*1000))</f>
        <v>0</v>
      </c>
      <c r="AK41" s="8">
        <f>IF(P41="",0,IF(P41&lt;=0.002,0,((P41+0.005)/100)/($AK$3/100)/炼钢参数表!O41*1000))</f>
        <v>0</v>
      </c>
      <c r="AL41" s="8">
        <f>IF((BA41-J41*0.00003-K41*0.00024)&lt;=0.05,0,IF(T41="",0,IF(T41&lt;=0.03,0,IF(((BA41-J41*0.00003-K41*0.00024)-0.05)/0.18/100/($AL$3/100)/炼钢参数表!P41*1000&lt;=T41/100/($AL$3/100)/炼钢参数表!P41*1000,((BA41-J41*0.00003-K41*0.00024)-0.05)/0.18/100/($AL$3/100)/炼钢参数表!P41*1000,T41/100/($AL$3/100)/炼钢参数表!P41*1000))))</f>
        <v>0</v>
      </c>
      <c r="AM41" s="8">
        <f>IF(T41="",0,IF(T41&lt;=0.03,0,((T41-AL41*($AL$3/100)*炼钢参数表!P41/10)/100/($AM$3/100)/炼钢参数表!P41*1000)))</f>
        <v>0</v>
      </c>
      <c r="AN41" s="8">
        <f>IF(U41="",0,IF(U41&lt;=0.02,0,(U41/100)/($AN$3/100)/炼钢参数表!Q41*1000))</f>
        <v>0</v>
      </c>
      <c r="AO41" s="8">
        <f>IF(V41="",0,IF(V41&lt;=0.02,0,(V41/100)/($AO$3/100)/炼钢参数表!R41*1000))</f>
        <v>0</v>
      </c>
      <c r="AP41" s="8">
        <f>IF(W41="",0,IF(W41&lt;=0.02,0,(W41/100)/($AP$3/100)/炼钢参数表!S41*1000))</f>
        <v>0</v>
      </c>
      <c r="AQ41" s="8">
        <f>IF(X41="",0,IF(X41&lt;=0.0002,0,(X41/100)/($AQ$3/100)/炼钢参数表!T41*1000))</f>
        <v>0</v>
      </c>
      <c r="AR41" s="8">
        <f>IF(Y41="",0,IF(Y41&lt;=0.02,0,(Y41/100)/($AR$3/100)/炼钢参数表!U41*1000))</f>
        <v>0</v>
      </c>
      <c r="AS41" s="8">
        <f>IF(L41&lt;=0.04,0,((L41-0.04)/100)/($AS$3/100)/炼钢参数表!V41*1000)</f>
        <v>0</v>
      </c>
      <c r="AT41" s="8">
        <f>IF(M41&lt;=0.03,0,((M41-0.03)/100)/($AT$3/100)/炼钢参数表!W41*1000)</f>
        <v>0</v>
      </c>
      <c r="AU41" s="6"/>
      <c r="AV41" s="8">
        <f t="shared" si="0"/>
        <v>4.64011599277781</v>
      </c>
      <c r="AW41" s="8" cm="1">
        <f t="array" ref="AW41">SUMPRODUCT($AB$4:$AU$4,AB41:AU41)/1000</f>
        <v>47.597515248382699</v>
      </c>
      <c r="AY41" s="2" t="str">
        <f t="shared" si="1"/>
        <v>YLMRT3</v>
      </c>
      <c r="AZ41" s="37">
        <f>VLOOKUP(AY41,炼钢参数表!$F$5:$J$1027,4,0)</f>
        <v>0.04</v>
      </c>
      <c r="BA41" s="37">
        <f t="shared" si="2"/>
        <v>0.03</v>
      </c>
      <c r="BB41" s="37">
        <f>AB41*$BB$4*炼钢参数表!$X$5/1000</f>
        <v>0</v>
      </c>
      <c r="BC41" s="37">
        <f>AC41*$BC$4*炼钢参数表!$X$5/1000</f>
        <v>2.0712938392515201E-2</v>
      </c>
      <c r="BD41" s="37">
        <f>AD41*$BD$4*炼钢参数表!$X$5/1000</f>
        <v>0</v>
      </c>
      <c r="BE41" s="37">
        <f>AE41*$BE$4*炼钢参数表!$X$5/1000</f>
        <v>0</v>
      </c>
      <c r="BF41" s="37">
        <f>AL41*$BF$4*炼钢参数表!$X$5/1000</f>
        <v>0</v>
      </c>
      <c r="BG41" s="37">
        <f>AM41*$BG$4*炼钢参数表!$X$5/1000</f>
        <v>0</v>
      </c>
      <c r="BH41" s="37">
        <f t="shared" si="3"/>
        <v>2.0712938392515201E-2</v>
      </c>
      <c r="BI41" s="37">
        <f t="shared" si="4"/>
        <v>6.0712938392515202E-2</v>
      </c>
      <c r="BJ41" s="37">
        <f t="shared" si="5"/>
        <v>-9.2870616074848308E-3</v>
      </c>
      <c r="BK41" s="54"/>
      <c r="BL41" s="7"/>
    </row>
    <row r="42" spans="1:65" s="18" customFormat="1" x14ac:dyDescent="0.3">
      <c r="A42" s="21">
        <v>38</v>
      </c>
      <c r="B42" s="4" t="s">
        <v>86</v>
      </c>
      <c r="C42" s="4" t="s">
        <v>26</v>
      </c>
      <c r="D42" s="4">
        <v>0.1</v>
      </c>
      <c r="E42" s="4">
        <v>5.99</v>
      </c>
      <c r="F42" s="4" t="s">
        <v>87</v>
      </c>
      <c r="G42" s="50" t="s">
        <v>88</v>
      </c>
      <c r="H42" s="4">
        <v>1518</v>
      </c>
      <c r="I42" s="51">
        <v>0.16</v>
      </c>
      <c r="J42" s="52">
        <v>0.08</v>
      </c>
      <c r="K42" s="52">
        <v>0.35</v>
      </c>
      <c r="L42" s="51">
        <v>0.02</v>
      </c>
      <c r="M42" s="51">
        <v>0.01</v>
      </c>
      <c r="N42" s="51"/>
      <c r="O42" s="51"/>
      <c r="P42" s="51">
        <v>0.04</v>
      </c>
      <c r="Q42" s="51">
        <v>0.02</v>
      </c>
      <c r="R42" s="51" t="s">
        <v>631</v>
      </c>
      <c r="S42" s="32"/>
      <c r="T42" s="52"/>
      <c r="U42" s="52"/>
      <c r="V42" s="52"/>
      <c r="W42" s="52" t="s">
        <v>631</v>
      </c>
      <c r="X42" s="32" t="s">
        <v>631</v>
      </c>
      <c r="Y42" s="53" t="s">
        <v>631</v>
      </c>
      <c r="Z42" s="4" t="s">
        <v>631</v>
      </c>
      <c r="AA42" s="53" t="s">
        <v>631</v>
      </c>
      <c r="AB42" s="42">
        <f>IF(J42&lt;=0.04,0,IF((BA42-AL42*BF$4*炼钢参数表!$X$5/1000-AM42*BG$4*炼钢参数表!$X$5/1000)&lt;=0.03,0,IF((J42/100/0.1769/炼钢参数表!K42*1000)&gt;(K42-炼钢参数表!J42)/100/0.6566/炼钢参数表!L42*1000,IF(K42&lt;1.6,(K42-炼钢参数表!J42)/100/0.6566/炼钢参数表!L42*1000,(K42-0.08-炼钢参数表!J42)/100/0.6566/炼钢参数表!L42*1000),IF(K42&lt;1.6,J42/100/0.1769/炼钢参数表!K42*1000,(J42-0.08)/100/0.1769/炼钢参数表!K42*1000))))</f>
        <v>3.5358863684437001</v>
      </c>
      <c r="AC42" s="8">
        <f>IF((BA42-AB42*$BB$4*0.9/1000-AL42*BF$4*炼钢参数表!$X$5/1000-AM42*BG$4*炼钢参数表!$X$5/1000)&lt;(K42-炼钢参数表!J42-AB42*0.6566*炼钢参数表!L42/10)*0.082,0,(K42-炼钢参数表!J42-AB42*0.6566*炼钢参数表!L42/10)/100/($AC$3/100)/炼钢参数表!L42*1000)</f>
        <v>0</v>
      </c>
      <c r="AD42" s="8">
        <f>IF((BA42-AB42*$BB$4*0.9/1000-AC42*$BC$4*0.9/1000-AL42*BF$4*炼钢参数表!$X$5/1000-AM42*BG$4*炼钢参数表!$X$5/1000)&lt;=(K42-炼钢参数表!J42-AB42*0.6566*炼钢参数表!L42/10-AC42*($AC$3/100)*炼钢参数表!L42/10)*0.02,0,((K42-炼钢参数表!J42-AB42*0.6566*炼钢参数表!L42/10-AC42*($AC$3/100)*炼钢参数表!L42/10)/100/($AD$3/100)/炼钢参数表!L42*1000))</f>
        <v>0</v>
      </c>
      <c r="AE42" s="8">
        <f>(K42-炼钢参数表!J42-AB42*0.6566*炼钢参数表!L42/10-AC42*($AC$3/100)*炼钢参数表!L42/10-AD42*($AD$3/100)*炼钢参数表!L42/10)/100/($AE$3/100)/炼钢参数表!L42*1000</f>
        <v>0</v>
      </c>
      <c r="AF42" s="8">
        <v>0</v>
      </c>
      <c r="AG42" s="8">
        <f>IF(J42&lt;=0.04,0,((J42-(AB42*0.1769*炼钢参数表!K42/1000*100))/100/炼钢参数表!K42/($AG$3/100)*1000))</f>
        <v>0.51848498050991199</v>
      </c>
      <c r="AH42" s="8">
        <v>1.4277684582087</v>
      </c>
      <c r="AI42" s="8">
        <f>IF(N42="",0,IF(N42&lt;=0.002,0,((N42)/100)/($AI$3/100)/炼钢参数表!M42*1000))</f>
        <v>0</v>
      </c>
      <c r="AJ42" s="8">
        <f>IF(O42="",0,IF(O42&lt;=0.002,0,((O42)/100)/($AJ$3/100)/炼钢参数表!N42*1000))</f>
        <v>0</v>
      </c>
      <c r="AK42" s="8">
        <f>IF(P42="",0,IF(P42&lt;=0.002,0,((P42+0.005)/100)/($AK$3/100)/炼钢参数表!O42*1000))</f>
        <v>0.89809603640282598</v>
      </c>
      <c r="AL42" s="8">
        <f>IF((BA42-J42*0.00003-K42*0.00024)&lt;=0.05,0,IF(T42="",0,IF(T42&lt;=0.03,0,IF(((BA42-J42*0.00003-K42*0.00024)-0.05)/0.18/100/($AL$3/100)/炼钢参数表!P42*1000&lt;=T42/100/($AL$3/100)/炼钢参数表!P42*1000,((BA42-J42*0.00003-K42*0.00024)-0.05)/0.18/100/($AL$3/100)/炼钢参数表!P42*1000,T42/100/($AL$3/100)/炼钢参数表!P42*1000))))</f>
        <v>0</v>
      </c>
      <c r="AM42" s="8">
        <f>IF(T42="",0,IF(T42&lt;=0.03,0,((T42-AL42*($AL$3/100)*炼钢参数表!P42/10)/100/($AM$3/100)/炼钢参数表!P42*1000)))</f>
        <v>0</v>
      </c>
      <c r="AN42" s="8">
        <f>IF(U42="",0,IF(U42&lt;=0.02,0,(U42/100)/($AN$3/100)/炼钢参数表!Q42*1000))</f>
        <v>0</v>
      </c>
      <c r="AO42" s="8">
        <f>IF(V42="",0,IF(V42&lt;=0.02,0,(V42/100)/($AO$3/100)/炼钢参数表!R42*1000))</f>
        <v>0</v>
      </c>
      <c r="AP42" s="8">
        <f>IF(W42="",0,IF(W42&lt;=0.02,0,(W42/100)/($AP$3/100)/炼钢参数表!S42*1000))</f>
        <v>0</v>
      </c>
      <c r="AQ42" s="8">
        <f>IF(X42="",0,IF(X42&lt;=0.0002,0,(X42/100)/($AQ$3/100)/炼钢参数表!T42*1000))</f>
        <v>0</v>
      </c>
      <c r="AR42" s="8">
        <f>IF(Y42="",0,IF(Y42&lt;=0.02,0,(Y42/100)/($AR$3/100)/炼钢参数表!U42*1000))</f>
        <v>0</v>
      </c>
      <c r="AS42" s="8">
        <f>IF(L42&lt;=0.04,0,((L42-0.04)/100)/($AS$3/100)/炼钢参数表!V42*1000)</f>
        <v>0</v>
      </c>
      <c r="AT42" s="8">
        <f>IF(M42&lt;=0.03,0,((M42-0.03)/100)/($AT$3/100)/炼钢参数表!W42*1000)</f>
        <v>0</v>
      </c>
      <c r="AU42" s="6"/>
      <c r="AV42" s="8">
        <f t="shared" si="0"/>
        <v>6.3802358435651403</v>
      </c>
      <c r="AW42" s="8" cm="1">
        <f t="array" ref="AW42">SUMPRODUCT($AB$4:$AU$4,AB42:AU42)/1000</f>
        <v>75.380372803673097</v>
      </c>
      <c r="AY42" s="2" t="str">
        <f t="shared" si="1"/>
        <v>Q355B-1</v>
      </c>
      <c r="AZ42" s="37">
        <f>VLOOKUP(AY42,炼钢参数表!$F$5:$J$1027,4,0)</f>
        <v>7.0817567567567602E-2</v>
      </c>
      <c r="BA42" s="37">
        <f t="shared" si="2"/>
        <v>8.9182432432432401E-2</v>
      </c>
      <c r="BB42" s="37">
        <f>AB42*$BB$4*炼钢参数表!$X$5/1000</f>
        <v>5.4735520983508496E-3</v>
      </c>
      <c r="BC42" s="37">
        <f>AC42*$BC$4*炼钢参数表!$X$5/1000</f>
        <v>0</v>
      </c>
      <c r="BD42" s="37">
        <f>AD42*$BD$4*炼钢参数表!$X$5/1000</f>
        <v>0</v>
      </c>
      <c r="BE42" s="37">
        <f>AE42*$BE$4*炼钢参数表!$X$5/1000</f>
        <v>0</v>
      </c>
      <c r="BF42" s="37">
        <f>AL42*$BF$4*炼钢参数表!$X$5/1000</f>
        <v>0</v>
      </c>
      <c r="BG42" s="37">
        <f>AM42*$BG$4*炼钢参数表!$X$5/1000</f>
        <v>0</v>
      </c>
      <c r="BH42" s="37">
        <f t="shared" si="3"/>
        <v>5.4735520983508496E-3</v>
      </c>
      <c r="BI42" s="37">
        <f t="shared" si="4"/>
        <v>7.6291119665918394E-2</v>
      </c>
      <c r="BJ42" s="37">
        <f t="shared" si="5"/>
        <v>-8.3708880334081595E-2</v>
      </c>
      <c r="BK42" s="54"/>
      <c r="BL42" s="7"/>
    </row>
    <row r="43" spans="1:65" s="18" customFormat="1" x14ac:dyDescent="0.3">
      <c r="A43" s="21">
        <v>39</v>
      </c>
      <c r="B43" s="4" t="s">
        <v>86</v>
      </c>
      <c r="C43" s="4" t="s">
        <v>23</v>
      </c>
      <c r="D43" s="4">
        <v>6</v>
      </c>
      <c r="E43" s="4">
        <v>15.99</v>
      </c>
      <c r="F43" s="4" t="s">
        <v>89</v>
      </c>
      <c r="G43" s="50" t="s">
        <v>88</v>
      </c>
      <c r="H43" s="4">
        <v>1517</v>
      </c>
      <c r="I43" s="51">
        <v>0.16</v>
      </c>
      <c r="J43" s="52">
        <v>0.08</v>
      </c>
      <c r="K43" s="52">
        <v>0.5</v>
      </c>
      <c r="L43" s="51">
        <v>0.02</v>
      </c>
      <c r="M43" s="51">
        <v>0.01</v>
      </c>
      <c r="N43" s="51"/>
      <c r="O43" s="51"/>
      <c r="P43" s="51">
        <v>0.04</v>
      </c>
      <c r="Q43" s="51">
        <v>0.02</v>
      </c>
      <c r="R43" s="51" t="s">
        <v>631</v>
      </c>
      <c r="S43" s="32"/>
      <c r="T43" s="52"/>
      <c r="U43" s="52"/>
      <c r="V43" s="52"/>
      <c r="W43" s="52" t="s">
        <v>631</v>
      </c>
      <c r="X43" s="32" t="s">
        <v>631</v>
      </c>
      <c r="Y43" s="53" t="s">
        <v>631</v>
      </c>
      <c r="Z43" s="4" t="s">
        <v>631</v>
      </c>
      <c r="AA43" s="53" t="s">
        <v>631</v>
      </c>
      <c r="AB43" s="42">
        <f>IF(J43&lt;=0.04,0,IF((BA43-AL43*BF$4*炼钢参数表!$X$5/1000-AM43*BG$4*炼钢参数表!$X$5/1000)&lt;=0.03,0,IF((J43/100/0.1769/炼钢参数表!K43*1000)&gt;(K43-炼钢参数表!J43)/100/0.6566/炼钢参数表!L43*1000,IF(K43&lt;1.6,(K43-炼钢参数表!J43)/100/0.6566/炼钢参数表!L43*1000,(K43-0.08-炼钢参数表!J43)/100/0.6566/炼钢参数表!L43*1000),IF(K43&lt;1.6,J43/100/0.1769/炼钢参数表!K43*1000,(J43-0.08)/100/0.1769/炼钢参数表!K43*1000))))</f>
        <v>5.65291124929339</v>
      </c>
      <c r="AC43" s="8">
        <f>IF((BA43-AB43*$BB$4*0.9/1000-AL43*BF$4*炼钢参数表!$X$5/1000-AM43*BG$4*炼钢参数表!$X$5/1000)&lt;(K43-炼钢参数表!J43-AB43*0.6566*炼钢参数表!L43/10)*0.082,0,(K43-炼钢参数表!J43-AB43*0.6566*炼钢参数表!L43/10)/100/($AC$3/100)/炼钢参数表!L43*1000)</f>
        <v>0.20585112346319601</v>
      </c>
      <c r="AD43" s="8">
        <f>IF((BA43-AB43*$BB$4*0.9/1000-AC43*$BC$4*0.9/1000-AL43*BF$4*炼钢参数表!$X$5/1000-AM43*BG$4*炼钢参数表!$X$5/1000)&lt;=(K43-炼钢参数表!J43-AB43*0.6566*炼钢参数表!L43/10-AC43*($AC$3/100)*炼钢参数表!L43/10)*0.02,0,((K43-炼钢参数表!J43-AB43*0.6566*炼钢参数表!L43/10-AC43*($AC$3/100)*炼钢参数表!L43/10)/100/($AD$3/100)/炼钢参数表!L43*1000))</f>
        <v>0</v>
      </c>
      <c r="AE43" s="8">
        <f>(K43-炼钢参数表!J43-AB43*0.6566*炼钢参数表!L43/10-AC43*($AC$3/100)*炼钢参数表!L43/10-AD43*($AD$3/100)*炼钢参数表!L43/10)/100/($AE$3/100)/炼钢参数表!L43*1000</f>
        <v>0</v>
      </c>
      <c r="AF43" s="8">
        <v>0</v>
      </c>
      <c r="AG43" s="8">
        <f>IF(J43&lt;=0.04,0,((J43-(AB43*0.1769*炼钢参数表!K43/1000*100))/100/炼钢参数表!K43/($AG$3/100)*1000))</f>
        <v>0</v>
      </c>
      <c r="AH43" s="8">
        <v>1.4</v>
      </c>
      <c r="AI43" s="8">
        <f>IF(N43="",0,IF(N43&lt;=0.002,0,((N43)/100)/($AI$3/100)/炼钢参数表!M43*1000))</f>
        <v>0</v>
      </c>
      <c r="AJ43" s="8">
        <f>IF(O43="",0,IF(O43&lt;=0.002,0,((O43)/100)/($AJ$3/100)/炼钢参数表!N43*1000))</f>
        <v>0</v>
      </c>
      <c r="AK43" s="8">
        <f>IF(P43="",0,IF(P43&lt;=0.002,0,((P43+0.005)/100)/($AK$3/100)/炼钢参数表!O43*1000))</f>
        <v>0.89809603640282598</v>
      </c>
      <c r="AL43" s="8">
        <f>IF((BA43-J43*0.00003-K43*0.00024)&lt;=0.05,0,IF(T43="",0,IF(T43&lt;=0.03,0,IF(((BA43-J43*0.00003-K43*0.00024)-0.05)/0.18/100/($AL$3/100)/炼钢参数表!P43*1000&lt;=T43/100/($AL$3/100)/炼钢参数表!P43*1000,((BA43-J43*0.00003-K43*0.00024)-0.05)/0.18/100/($AL$3/100)/炼钢参数表!P43*1000,T43/100/($AL$3/100)/炼钢参数表!P43*1000))))</f>
        <v>0</v>
      </c>
      <c r="AM43" s="8">
        <f>IF(T43="",0,IF(T43&lt;=0.03,0,((T43-AL43*($AL$3/100)*炼钢参数表!P43/10)/100/($AM$3/100)/炼钢参数表!P43*1000)))</f>
        <v>0</v>
      </c>
      <c r="AN43" s="8">
        <f>IF(U43="",0,IF(U43&lt;=0.02,0,(U43/100)/($AN$3/100)/炼钢参数表!Q43*1000))</f>
        <v>0</v>
      </c>
      <c r="AO43" s="8">
        <f>IF(V43="",0,IF(V43&lt;=0.02,0,(V43/100)/($AO$3/100)/炼钢参数表!R43*1000))</f>
        <v>0</v>
      </c>
      <c r="AP43" s="8">
        <f>IF(W43="",0,IF(W43&lt;=0.02,0,(W43/100)/($AP$3/100)/炼钢参数表!S43*1000))</f>
        <v>0</v>
      </c>
      <c r="AQ43" s="8">
        <f>IF(X43="",0,IF(X43&lt;=0.0002,0,(X43/100)/($AQ$3/100)/炼钢参数表!T43*1000))</f>
        <v>0</v>
      </c>
      <c r="AR43" s="8">
        <f>IF(Y43="",0,IF(Y43&lt;=0.02,0,(Y43/100)/($AR$3/100)/炼钢参数表!U43*1000))</f>
        <v>0</v>
      </c>
      <c r="AS43" s="8">
        <f>IF(L43&lt;=0.04,0,((L43-0.04)/100)/($AS$3/100)/炼钢参数表!V43*1000)</f>
        <v>0</v>
      </c>
      <c r="AT43" s="8">
        <f>IF(M43&lt;=0.03,0,((M43-0.03)/100)/($AT$3/100)/炼钢参数表!W43*1000)</f>
        <v>0</v>
      </c>
      <c r="AU43" s="6"/>
      <c r="AV43" s="8">
        <f t="shared" si="0"/>
        <v>8.1568584091594101</v>
      </c>
      <c r="AW43" s="8" cm="1">
        <f t="array" ref="AW43">SUMPRODUCT($AB$4:$AU$4,AB43:AU43)/1000</f>
        <v>84.799930373078695</v>
      </c>
      <c r="AY43" s="2" t="str">
        <f t="shared" si="1"/>
        <v>Q355B-2</v>
      </c>
      <c r="AZ43" s="37">
        <f>VLOOKUP(AY43,炼钢参数表!$F$5:$J$1027,4,0)</f>
        <v>7.4004318322023602E-2</v>
      </c>
      <c r="BA43" s="37">
        <f t="shared" si="2"/>
        <v>8.5995681677976402E-2</v>
      </c>
      <c r="BB43" s="37">
        <f>AB43*$BB$4*炼钢参数表!$X$5/1000</f>
        <v>8.7507066139061607E-3</v>
      </c>
      <c r="BC43" s="37">
        <f>AC43*$BC$4*炼钢参数表!$X$5/1000</f>
        <v>1.2394296143718999E-3</v>
      </c>
      <c r="BD43" s="37">
        <f>AD43*$BD$4*炼钢参数表!$X$5/1000</f>
        <v>0</v>
      </c>
      <c r="BE43" s="37">
        <f>AE43*$BE$4*炼钢参数表!$X$5/1000</f>
        <v>0</v>
      </c>
      <c r="BF43" s="37">
        <f>AL43*$BF$4*炼钢参数表!$X$5/1000</f>
        <v>0</v>
      </c>
      <c r="BG43" s="37">
        <f>AM43*$BG$4*炼钢参数表!$X$5/1000</f>
        <v>0</v>
      </c>
      <c r="BH43" s="37">
        <f t="shared" si="3"/>
        <v>9.9901362282780702E-3</v>
      </c>
      <c r="BI43" s="37">
        <f t="shared" si="4"/>
        <v>8.3994454550301703E-2</v>
      </c>
      <c r="BJ43" s="37">
        <f t="shared" si="5"/>
        <v>-7.60055454496983E-2</v>
      </c>
      <c r="BK43" s="54"/>
      <c r="BL43" s="7"/>
    </row>
    <row r="44" spans="1:65" s="18" customFormat="1" x14ac:dyDescent="0.3">
      <c r="A44" s="21">
        <v>40</v>
      </c>
      <c r="B44" s="4" t="s">
        <v>86</v>
      </c>
      <c r="C44" s="4" t="s">
        <v>90</v>
      </c>
      <c r="D44" s="4">
        <v>16</v>
      </c>
      <c r="E44" s="4">
        <v>28</v>
      </c>
      <c r="F44" s="4" t="s">
        <v>91</v>
      </c>
      <c r="G44" s="50" t="s">
        <v>92</v>
      </c>
      <c r="H44" s="4">
        <v>1514</v>
      </c>
      <c r="I44" s="51">
        <v>0.16</v>
      </c>
      <c r="J44" s="52">
        <v>0.18</v>
      </c>
      <c r="K44" s="52">
        <v>1.1000000000000001</v>
      </c>
      <c r="L44" s="51">
        <v>0.02</v>
      </c>
      <c r="M44" s="51">
        <v>0.01</v>
      </c>
      <c r="N44" s="51"/>
      <c r="O44" s="51">
        <v>8.0000000000000002E-3</v>
      </c>
      <c r="P44" s="51">
        <v>2.5000000000000001E-2</v>
      </c>
      <c r="Q44" s="51">
        <v>0.02</v>
      </c>
      <c r="R44" s="51" t="s">
        <v>631</v>
      </c>
      <c r="S44" s="32"/>
      <c r="T44" s="52"/>
      <c r="U44" s="52"/>
      <c r="V44" s="52"/>
      <c r="W44" s="52" t="s">
        <v>631</v>
      </c>
      <c r="X44" s="32" t="s">
        <v>631</v>
      </c>
      <c r="Y44" s="53" t="s">
        <v>631</v>
      </c>
      <c r="Z44" s="4" t="s">
        <v>631</v>
      </c>
      <c r="AA44" s="53" t="s">
        <v>631</v>
      </c>
      <c r="AB44" s="42">
        <f>IF(J44&lt;=0.04,0,IF((BA44-AL44*BF$4*炼钢参数表!$X$5/1000-AM44*BG$4*炼钢参数表!$X$5/1000)&lt;=0.03,0,IF((J44/100/0.1769/炼钢参数表!K44*1000)&gt;(K44-炼钢参数表!J44)/100/0.6566/炼钢参数表!L44*1000,IF(K44&lt;1.6,(K44-炼钢参数表!J44)/100/0.6566/炼钢参数表!L44*1000,(K44-0.08-炼钢参数表!J44)/100/0.6566/炼钢参数表!L44*1000),IF(K44&lt;1.6,J44/100/0.1769/炼钢参数表!K44*1000,(J44-0.08)/100/0.1769/炼钢参数表!K44*1000))))</f>
        <v>12.719050310910101</v>
      </c>
      <c r="AC44" s="8">
        <f>IF((BA44-AB44*$BB$4*0.9/1000-AL44*BF$4*炼钢参数表!$X$5/1000-AM44*BG$4*炼钢参数表!$X$5/1000)&lt;(K44-炼钢参数表!J44-AB44*0.6566*炼钢参数表!L44/10)*0.082,0,(K44-炼钢参数表!J44-AB44*0.6566*炼钢参数表!L44/10)/100/($AC$3/100)/炼钢参数表!L44*1000)</f>
        <v>2.2927545869510602</v>
      </c>
      <c r="AD44" s="8">
        <f>IF((BA44-AB44*$BB$4*0.9/1000-AC44*$BC$4*0.9/1000-AL44*BF$4*炼钢参数表!$X$5/1000-AM44*BG$4*炼钢参数表!$X$5/1000)&lt;=(K44-炼钢参数表!J44-AB44*0.6566*炼钢参数表!L44/10-AC44*($AC$3/100)*炼钢参数表!L44/10)*0.02,0,((K44-炼钢参数表!J44-AB44*0.6566*炼钢参数表!L44/10-AC44*($AC$3/100)*炼钢参数表!L44/10)/100/($AD$3/100)/炼钢参数表!L44*1000))</f>
        <v>0</v>
      </c>
      <c r="AE44" s="8">
        <f>(K44-炼钢参数表!J44-AB44*0.6566*炼钢参数表!L44/10-AC44*($AC$3/100)*炼钢参数表!L44/10-AD44*($AD$3/100)*炼钢参数表!L44/10)/100/($AE$3/100)/炼钢参数表!L44*1000</f>
        <v>0</v>
      </c>
      <c r="AF44" s="8">
        <v>0</v>
      </c>
      <c r="AG44" s="8">
        <f>IF(J44&lt;=0.04,0,((J44-(AB44*0.1769*炼钢参数表!K44/1000*100))/100/炼钢参数表!K44/($AG$3/100)*1000))</f>
        <v>0</v>
      </c>
      <c r="AH44" s="8">
        <v>1.4</v>
      </c>
      <c r="AI44" s="8">
        <f>IF(N44="",0,IF(N44&lt;=0.002,0,((N44)/100)/($AI$3/100)/炼钢参数表!M44*1000))</f>
        <v>0</v>
      </c>
      <c r="AJ44" s="8">
        <f>IF(O44="",0,IF(O44&lt;=0.002,0,((O44)/100)/($AJ$3/100)/炼钢参数表!N44*1000))</f>
        <v>0.125511459196225</v>
      </c>
      <c r="AK44" s="8">
        <f>IF(P44="",0,IF(P44&lt;=0.002,0,((P44+0.005)/100)/($AK$3/100)/炼钢参数表!O44*1000))</f>
        <v>0.59873069093521702</v>
      </c>
      <c r="AL44" s="8">
        <f>IF((BA44-J44*0.00003-K44*0.00024)&lt;=0.05,0,IF(T44="",0,IF(T44&lt;=0.03,0,IF(((BA44-J44*0.00003-K44*0.00024)-0.05)/0.18/100/($AL$3/100)/炼钢参数表!P44*1000&lt;=T44/100/($AL$3/100)/炼钢参数表!P44*1000,((BA44-J44*0.00003-K44*0.00024)-0.05)/0.18/100/($AL$3/100)/炼钢参数表!P44*1000,T44/100/($AL$3/100)/炼钢参数表!P44*1000))))</f>
        <v>0</v>
      </c>
      <c r="AM44" s="8">
        <f>IF(T44="",0,IF(T44&lt;=0.03,0,((T44-AL44*($AL$3/100)*炼钢参数表!P44/10)/100/($AM$3/100)/炼钢参数表!P44*1000)))</f>
        <v>0</v>
      </c>
      <c r="AN44" s="8">
        <f>IF(U44="",0,IF(U44&lt;=0.02,0,(U44/100)/($AN$3/100)/炼钢参数表!Q44*1000))</f>
        <v>0</v>
      </c>
      <c r="AO44" s="8">
        <f>IF(V44="",0,IF(V44&lt;=0.02,0,(V44/100)/($AO$3/100)/炼钢参数表!R44*1000))</f>
        <v>0</v>
      </c>
      <c r="AP44" s="8">
        <f>IF(W44="",0,IF(W44&lt;=0.02,0,(W44/100)/($AP$3/100)/炼钢参数表!S44*1000))</f>
        <v>0</v>
      </c>
      <c r="AQ44" s="8">
        <f>IF(X44="",0,IF(X44&lt;=0.0002,0,(X44/100)/($AQ$3/100)/炼钢参数表!T44*1000))</f>
        <v>0</v>
      </c>
      <c r="AR44" s="8">
        <f>IF(Y44="",0,IF(Y44&lt;=0.02,0,(Y44/100)/($AR$3/100)/炼钢参数表!U44*1000))</f>
        <v>0</v>
      </c>
      <c r="AS44" s="8">
        <f>IF(L44&lt;=0.04,0,((L44-0.04)/100)/($AS$3/100)/炼钢参数表!V44*1000)</f>
        <v>0</v>
      </c>
      <c r="AT44" s="8">
        <f>IF(M44&lt;=0.03,0,((M44-0.03)/100)/($AT$3/100)/炼钢参数表!W44*1000)</f>
        <v>0</v>
      </c>
      <c r="AU44" s="6"/>
      <c r="AV44" s="8">
        <f t="shared" si="0"/>
        <v>17.136047047992601</v>
      </c>
      <c r="AW44" s="8" cm="1">
        <f t="array" ref="AW44">SUMPRODUCT($AB$4:$AU$4,AB44:AU44)/1000</f>
        <v>155.57214018590599</v>
      </c>
      <c r="AY44" s="2" t="str">
        <f t="shared" si="1"/>
        <v>Q355B-3B</v>
      </c>
      <c r="AZ44" s="37">
        <f>VLOOKUP(AY44,炼钢参数表!$F$5:$J$1027,4,0)</f>
        <v>7.4124444444444396E-2</v>
      </c>
      <c r="BA44" s="37">
        <f t="shared" si="2"/>
        <v>8.5875555555555594E-2</v>
      </c>
      <c r="BB44" s="37">
        <f>AB44*$BB$4*炼钢参数表!$X$5/1000</f>
        <v>1.9689089881288899E-2</v>
      </c>
      <c r="BC44" s="37">
        <f>AC44*$BC$4*炼钢参数表!$X$5/1000</f>
        <v>1.38046753680323E-2</v>
      </c>
      <c r="BD44" s="37">
        <f>AD44*$BD$4*炼钢参数表!$X$5/1000</f>
        <v>0</v>
      </c>
      <c r="BE44" s="37">
        <f>AE44*$BE$4*炼钢参数表!$X$5/1000</f>
        <v>0</v>
      </c>
      <c r="BF44" s="37">
        <f>AL44*$BF$4*炼钢参数表!$X$5/1000</f>
        <v>0</v>
      </c>
      <c r="BG44" s="37">
        <f>AM44*$BG$4*炼钢参数表!$X$5/1000</f>
        <v>0</v>
      </c>
      <c r="BH44" s="37">
        <f t="shared" si="3"/>
        <v>3.3493765249321197E-2</v>
      </c>
      <c r="BI44" s="37">
        <f t="shared" si="4"/>
        <v>0.107618209693766</v>
      </c>
      <c r="BJ44" s="37">
        <f t="shared" si="5"/>
        <v>-5.2381790306234403E-2</v>
      </c>
      <c r="BK44" s="54"/>
      <c r="BL44" s="7"/>
    </row>
    <row r="45" spans="1:65" s="18" customFormat="1" x14ac:dyDescent="0.3">
      <c r="A45" s="21">
        <v>41</v>
      </c>
      <c r="B45" s="4" t="s">
        <v>93</v>
      </c>
      <c r="C45" s="4" t="s">
        <v>23</v>
      </c>
      <c r="D45" s="4">
        <v>2</v>
      </c>
      <c r="E45" s="4">
        <v>12</v>
      </c>
      <c r="F45" s="4" t="s">
        <v>94</v>
      </c>
      <c r="G45" s="4" t="s">
        <v>95</v>
      </c>
      <c r="H45" s="4">
        <v>1517</v>
      </c>
      <c r="I45" s="4">
        <v>0.16</v>
      </c>
      <c r="J45" s="4">
        <v>0.15</v>
      </c>
      <c r="K45" s="4">
        <v>1</v>
      </c>
      <c r="L45" s="4">
        <v>1.7999999999999999E-2</v>
      </c>
      <c r="M45" s="4">
        <v>0.01</v>
      </c>
      <c r="N45" s="4" t="s">
        <v>631</v>
      </c>
      <c r="O45" s="4"/>
      <c r="P45" s="4">
        <v>0.03</v>
      </c>
      <c r="Q45" s="4">
        <v>2.5000000000000001E-2</v>
      </c>
      <c r="R45" s="4" t="s">
        <v>631</v>
      </c>
      <c r="S45" s="4">
        <v>0</v>
      </c>
      <c r="T45" s="4">
        <v>0</v>
      </c>
      <c r="U45" s="4">
        <v>0</v>
      </c>
      <c r="V45" s="4">
        <v>0</v>
      </c>
      <c r="W45" s="4" t="s">
        <v>631</v>
      </c>
      <c r="X45" s="4" t="s">
        <v>631</v>
      </c>
      <c r="Y45" s="4"/>
      <c r="Z45" s="4">
        <v>40</v>
      </c>
      <c r="AA45" s="53" t="s">
        <v>631</v>
      </c>
      <c r="AB45" s="42">
        <f>IF(J45&lt;=0.04,0,IF((BA45-AL45*BF$4*炼钢参数表!$X$5/1000-AM45*BG$4*炼钢参数表!$X$5/1000)&lt;=0.03,0,IF((J45/100/0.1769/炼钢参数表!K45*1000)&gt;(K45-炼钢参数表!J45)/100/0.6566/炼钢参数表!L45*1000,IF(K45&lt;1.6,(K45-炼钢参数表!J45)/100/0.6566/炼钢参数表!L45*1000,(K45-0.08-炼钢参数表!J45)/100/0.6566/炼钢参数表!L45*1000),IF(K45&lt;1.6,J45/100/0.1769/炼钢参数表!K45*1000,(J45-0.08)/100/0.1769/炼钢参数表!K45*1000))))</f>
        <v>10.5992085924251</v>
      </c>
      <c r="AC45" s="8">
        <f>IF((BA45-AB45*$BB$4*0.9/1000-AL45*BF$4*炼钢参数表!$X$5/1000-AM45*BG$4*炼钢参数表!$X$5/1000)&lt;(K45-炼钢参数表!J45-AB45*0.6566*炼钢参数表!L45/10)*0.082,0,(K45-炼钢参数表!J45-AB45*0.6566*炼钢参数表!L45/10)/100/($AC$3/100)/炼钢参数表!L45*1000)</f>
        <v>2.8174049973319</v>
      </c>
      <c r="AD45" s="8">
        <f>IF((BA45-AB45*$BB$4*0.9/1000-AC45*$BC$4*0.9/1000-AL45*BF$4*炼钢参数表!$X$5/1000-AM45*BG$4*炼钢参数表!$X$5/1000)&lt;=(K45-炼钢参数表!J45-AB45*0.6566*炼钢参数表!L45/10-AC45*($AC$3/100)*炼钢参数表!L45/10)*0.02,0,((K45-炼钢参数表!J45-AB45*0.6566*炼钢参数表!L45/10-AC45*($AC$3/100)*炼钢参数表!L45/10)/100/($AD$3/100)/炼钢参数表!L45*1000))</f>
        <v>0</v>
      </c>
      <c r="AE45" s="8">
        <f>(K45-炼钢参数表!J45-AB45*0.6566*炼钢参数表!L45/10-AC45*($AC$3/100)*炼钢参数表!L45/10-AD45*($AD$3/100)*炼钢参数表!L45/10)/100/($AE$3/100)/炼钢参数表!L45*1000</f>
        <v>0</v>
      </c>
      <c r="AF45" s="8">
        <v>0</v>
      </c>
      <c r="AG45" s="8">
        <f>IF(J45&lt;=0.04,0,((J45-(AB45*0.1769*炼钢参数表!K45/1000*100))/100/炼钢参数表!K45/($AG$3/100)*1000))</f>
        <v>0</v>
      </c>
      <c r="AH45" s="8">
        <v>1.4</v>
      </c>
      <c r="AI45" s="8">
        <f>IF(N45="",0,IF(N45&lt;=0.002,0,((N45)/100)/($AI$3/100)/炼钢参数表!M45*1000))</f>
        <v>0</v>
      </c>
      <c r="AJ45" s="8">
        <f>IF(O45="",0,IF(O45&lt;=0.002,0,((O45)/100)/($AJ$3/100)/炼钢参数表!N45*1000))</f>
        <v>0</v>
      </c>
      <c r="AK45" s="8">
        <f>IF(P45="",0,IF(P45&lt;=0.002,0,((P45+0.005)/100)/($AK$3/100)/炼钢参数表!O45*1000))</f>
        <v>0.69851913942442001</v>
      </c>
      <c r="AL45" s="8">
        <f>IF((BA45-J45*0.00003-K45*0.00024)&lt;=0.05,0,IF(T45="",0,IF(T45&lt;=0.03,0,IF(((BA45-J45*0.00003-K45*0.00024)-0.05)/0.18/100/($AL$3/100)/炼钢参数表!P45*1000&lt;=T45/100/($AL$3/100)/炼钢参数表!P45*1000,((BA45-J45*0.00003-K45*0.00024)-0.05)/0.18/100/($AL$3/100)/炼钢参数表!P45*1000,T45/100/($AL$3/100)/炼钢参数表!P45*1000))))</f>
        <v>0</v>
      </c>
      <c r="AM45" s="8">
        <f>IF(T45="",0,IF(T45&lt;=0.03,0,((T45-AL45*($AL$3/100)*炼钢参数表!P45/10)/100/($AM$3/100)/炼钢参数表!P45*1000)))</f>
        <v>0</v>
      </c>
      <c r="AN45" s="8">
        <f>IF(U45="",0,IF(U45&lt;=0.02,0,(U45/100)/($AN$3/100)/炼钢参数表!Q45*1000))</f>
        <v>0</v>
      </c>
      <c r="AO45" s="8">
        <f>IF(V45="",0,IF(V45&lt;=0.02,0,(V45/100)/($AO$3/100)/炼钢参数表!R45*1000))</f>
        <v>0</v>
      </c>
      <c r="AP45" s="8">
        <f>IF(W45="",0,IF(W45&lt;=0.02,0,(W45/100)/($AP$3/100)/炼钢参数表!S45*1000))</f>
        <v>0</v>
      </c>
      <c r="AQ45" s="8">
        <f>IF(X45="",0,IF(X45&lt;=0.0002,0,(X45/100)/($AQ$3/100)/炼钢参数表!T45*1000))</f>
        <v>0</v>
      </c>
      <c r="AR45" s="8">
        <f>IF(Y45="",0,IF(Y45&lt;=0.02,0,(Y45/100)/($AR$3/100)/炼钢参数表!U45*1000))</f>
        <v>0</v>
      </c>
      <c r="AS45" s="8">
        <f>IF(L45&lt;=0.04,0,((L45-0.04)/100)/($AS$3/100)/炼钢参数表!V45*1000)</f>
        <v>0</v>
      </c>
      <c r="AT45" s="8">
        <f>IF(M45&lt;=0.03,0,((M45-0.03)/100)/($AT$3/100)/炼钢参数表!W45*1000)</f>
        <v>0</v>
      </c>
      <c r="AU45" s="6"/>
      <c r="AV45" s="8">
        <f t="shared" si="0"/>
        <v>15.515132729181399</v>
      </c>
      <c r="AW45" s="8" cm="1">
        <f t="array" ref="AW45">SUMPRODUCT($AB$4:$AU$4,AB45:AU45)/1000</f>
        <v>122.61340300503301</v>
      </c>
      <c r="AY45" s="2" t="str">
        <f t="shared" si="1"/>
        <v>Q355C-1</v>
      </c>
      <c r="AZ45" s="37">
        <f>VLOOKUP(AY45,炼钢参数表!$F$5:$J$1027,4,0)</f>
        <v>7.0999999999999994E-2</v>
      </c>
      <c r="BA45" s="37">
        <f t="shared" si="2"/>
        <v>8.8999999999999996E-2</v>
      </c>
      <c r="BB45" s="37">
        <f>AB45*$BB$4*炼钢参数表!$X$5/1000</f>
        <v>1.6407574901074098E-2</v>
      </c>
      <c r="BC45" s="37">
        <f>AC45*$BC$4*炼钢参数表!$X$5/1000</f>
        <v>1.6963595488935401E-2</v>
      </c>
      <c r="BD45" s="37">
        <f>AD45*$BD$4*炼钢参数表!$X$5/1000</f>
        <v>0</v>
      </c>
      <c r="BE45" s="37">
        <f>AE45*$BE$4*炼钢参数表!$X$5/1000</f>
        <v>0</v>
      </c>
      <c r="BF45" s="37">
        <f>AL45*$BF$4*炼钢参数表!$X$5/1000</f>
        <v>0</v>
      </c>
      <c r="BG45" s="37">
        <f>AM45*$BG$4*炼钢参数表!$X$5/1000</f>
        <v>0</v>
      </c>
      <c r="BH45" s="37">
        <f t="shared" si="3"/>
        <v>3.3371170390009398E-2</v>
      </c>
      <c r="BI45" s="37">
        <f t="shared" si="4"/>
        <v>0.104371170390009</v>
      </c>
      <c r="BJ45" s="37">
        <f t="shared" si="5"/>
        <v>-5.5628829609990597E-2</v>
      </c>
      <c r="BK45" s="54"/>
      <c r="BL45" s="7"/>
    </row>
    <row r="46" spans="1:65" s="18" customFormat="1" x14ac:dyDescent="0.3">
      <c r="A46" s="21">
        <v>42</v>
      </c>
      <c r="B46" s="4" t="s">
        <v>93</v>
      </c>
      <c r="C46" s="4" t="s">
        <v>26</v>
      </c>
      <c r="D46" s="4">
        <v>12.01</v>
      </c>
      <c r="E46" s="4">
        <v>19</v>
      </c>
      <c r="F46" s="4" t="s">
        <v>96</v>
      </c>
      <c r="G46" s="4" t="s">
        <v>95</v>
      </c>
      <c r="H46" s="4">
        <v>1517</v>
      </c>
      <c r="I46" s="4">
        <v>0.16</v>
      </c>
      <c r="J46" s="4">
        <v>0.15</v>
      </c>
      <c r="K46" s="4">
        <v>1.25</v>
      </c>
      <c r="L46" s="4">
        <v>1.7999999999999999E-2</v>
      </c>
      <c r="M46" s="4">
        <v>5.0000000000000001E-3</v>
      </c>
      <c r="N46" s="4" t="s">
        <v>631</v>
      </c>
      <c r="O46" s="4">
        <v>8.0000000000000002E-3</v>
      </c>
      <c r="P46" s="4">
        <v>1.4999999999999999E-2</v>
      </c>
      <c r="Q46" s="4">
        <v>2.5000000000000001E-2</v>
      </c>
      <c r="R46" s="4" t="s">
        <v>631</v>
      </c>
      <c r="S46" s="4">
        <v>0</v>
      </c>
      <c r="T46" s="4">
        <v>0</v>
      </c>
      <c r="U46" s="4">
        <v>0</v>
      </c>
      <c r="V46" s="4">
        <v>0</v>
      </c>
      <c r="W46" s="4" t="s">
        <v>631</v>
      </c>
      <c r="X46" s="4" t="s">
        <v>631</v>
      </c>
      <c r="Y46" s="4"/>
      <c r="Z46" s="4">
        <v>40</v>
      </c>
      <c r="AA46" s="53" t="s">
        <v>631</v>
      </c>
      <c r="AB46" s="42">
        <f>IF(J46&lt;=0.04,0,IF((BA46-AL46*BF$4*炼钢参数表!$X$5/1000-AM46*BG$4*炼钢参数表!$X$5/1000)&lt;=0.03,0,IF((J46/100/0.1769/炼钢参数表!K46*1000)&gt;(K46-炼钢参数表!J46)/100/0.6566/炼钢参数表!L46*1000,IF(K46&lt;1.6,(K46-炼钢参数表!J46)/100/0.6566/炼钢参数表!L46*1000,(K46-0.08-炼钢参数表!J46)/100/0.6566/炼钢参数表!L46*1000),IF(K46&lt;1.6,J46/100/0.1769/炼钢参数表!K46*1000,(J46-0.08)/100/0.1769/炼钢参数表!K46*1000))))</f>
        <v>10.5992085924251</v>
      </c>
      <c r="AC46" s="8">
        <f>IF((BA46-AB46*$BB$4*0.9/1000-AL46*BF$4*炼钢参数表!$X$5/1000-AM46*BG$4*炼钢参数表!$X$5/1000)&lt;(K46-炼钢参数表!J46-AB46*0.6566*炼钢参数表!L46/10)*0.082,0,(K46-炼钢参数表!J46-AB46*0.6566*炼钢参数表!L46/10)/100/($AC$3/100)/炼钢参数表!L46*1000)</f>
        <v>6.2209461550235696</v>
      </c>
      <c r="AD46" s="8">
        <f>IF((BA46-AB46*$BB$4*0.9/1000-AC46*$BC$4*0.9/1000-AL46*BF$4*炼钢参数表!$X$5/1000-AM46*BG$4*炼钢参数表!$X$5/1000)&lt;=(K46-炼钢参数表!J46-AB46*0.6566*炼钢参数表!L46/10-AC46*($AC$3/100)*炼钢参数表!L46/10)*0.02,0,((K46-炼钢参数表!J46-AB46*0.6566*炼钢参数表!L46/10-AC46*($AC$3/100)*炼钢参数表!L46/10)/100/($AD$3/100)/炼钢参数表!L46*1000))</f>
        <v>0</v>
      </c>
      <c r="AE46" s="8">
        <f>(K46-炼钢参数表!J46-AB46*0.6566*炼钢参数表!L46/10-AC46*($AC$3/100)*炼钢参数表!L46/10-AD46*($AD$3/100)*炼钢参数表!L46/10)/100/($AE$3/100)/炼钢参数表!L46*1000</f>
        <v>0</v>
      </c>
      <c r="AF46" s="8">
        <v>0</v>
      </c>
      <c r="AG46" s="8">
        <f>IF(J46&lt;=0.04,0,((J46-(AB46*0.1769*炼钢参数表!K46/1000*100))/100/炼钢参数表!K46/($AG$3/100)*1000))</f>
        <v>0</v>
      </c>
      <c r="AH46" s="8">
        <v>1.4</v>
      </c>
      <c r="AI46" s="8">
        <f>IF(N46="",0,IF(N46&lt;=0.002,0,((N46)/100)/($AI$3/100)/炼钢参数表!M46*1000))</f>
        <v>0</v>
      </c>
      <c r="AJ46" s="8">
        <f>IF(O46="",0,IF(O46&lt;=0.002,0,((O46)/100)/($AJ$3/100)/炼钢参数表!N46*1000))</f>
        <v>0.125511459196225</v>
      </c>
      <c r="AK46" s="8">
        <f>IF(P46="",0,IF(P46&lt;=0.002,0,((P46+0.005)/100)/($AK$3/100)/炼钢参数表!O46*1000))</f>
        <v>0.399153793956812</v>
      </c>
      <c r="AL46" s="8">
        <f>IF((BA46-J46*0.00003-K46*0.00024)&lt;=0.05,0,IF(T46="",0,IF(T46&lt;=0.03,0,IF(((BA46-J46*0.00003-K46*0.00024)-0.05)/0.18/100/($AL$3/100)/炼钢参数表!P46*1000&lt;=T46/100/($AL$3/100)/炼钢参数表!P46*1000,((BA46-J46*0.00003-K46*0.00024)-0.05)/0.18/100/($AL$3/100)/炼钢参数表!P46*1000,T46/100/($AL$3/100)/炼钢参数表!P46*1000))))</f>
        <v>0</v>
      </c>
      <c r="AM46" s="8">
        <f>IF(T46="",0,IF(T46&lt;=0.03,0,((T46-AL46*($AL$3/100)*炼钢参数表!P46/10)/100/($AM$3/100)/炼钢参数表!P46*1000)))</f>
        <v>0</v>
      </c>
      <c r="AN46" s="8">
        <f>IF(U46="",0,IF(U46&lt;=0.02,0,(U46/100)/($AN$3/100)/炼钢参数表!Q46*1000))</f>
        <v>0</v>
      </c>
      <c r="AO46" s="8">
        <f>IF(V46="",0,IF(V46&lt;=0.02,0,(V46/100)/($AO$3/100)/炼钢参数表!R46*1000))</f>
        <v>0</v>
      </c>
      <c r="AP46" s="8">
        <f>IF(W46="",0,IF(W46&lt;=0.02,0,(W46/100)/($AP$3/100)/炼钢参数表!S46*1000))</f>
        <v>0</v>
      </c>
      <c r="AQ46" s="8">
        <f>IF(X46="",0,IF(X46&lt;=0.0002,0,(X46/100)/($AQ$3/100)/炼钢参数表!T46*1000))</f>
        <v>0</v>
      </c>
      <c r="AR46" s="8">
        <f>IF(Y46="",0,IF(Y46&lt;=0.02,0,(Y46/100)/($AR$3/100)/炼钢参数表!U46*1000))</f>
        <v>0</v>
      </c>
      <c r="AS46" s="8">
        <f>IF(L46&lt;=0.04,0,((L46-0.04)/100)/($AS$3/100)/炼钢参数表!V46*1000)</f>
        <v>0</v>
      </c>
      <c r="AT46" s="8">
        <f>IF(M46&lt;=0.03,0,((M46-0.03)/100)/($AT$3/100)/炼钢参数表!W46*1000)</f>
        <v>0</v>
      </c>
      <c r="AU46" s="6"/>
      <c r="AV46" s="8">
        <f t="shared" si="0"/>
        <v>18.744820000601699</v>
      </c>
      <c r="AW46" s="8" cm="1">
        <f t="array" ref="AW46">SUMPRODUCT($AB$4:$AU$4,AB46:AU46)/1000</f>
        <v>163.01145618396799</v>
      </c>
      <c r="AY46" s="2" t="str">
        <f t="shared" si="1"/>
        <v>Q355C-2</v>
      </c>
      <c r="AZ46" s="37">
        <f>VLOOKUP(AY46,炼钢参数表!$F$5:$J$1027,4,0)</f>
        <v>6.2065217391304398E-2</v>
      </c>
      <c r="BA46" s="37">
        <f t="shared" si="2"/>
        <v>9.7934782608695606E-2</v>
      </c>
      <c r="BB46" s="37">
        <f>AB46*$BB$4*炼钢参数表!$X$5/1000</f>
        <v>1.6407574901074098E-2</v>
      </c>
      <c r="BC46" s="37">
        <f>AC46*$BC$4*炼钢参数表!$X$5/1000</f>
        <v>3.7456316799396899E-2</v>
      </c>
      <c r="BD46" s="37">
        <f>AD46*$BD$4*炼钢参数表!$X$5/1000</f>
        <v>0</v>
      </c>
      <c r="BE46" s="37">
        <f>AE46*$BE$4*炼钢参数表!$X$5/1000</f>
        <v>0</v>
      </c>
      <c r="BF46" s="37">
        <f>AL46*$BF$4*炼钢参数表!$X$5/1000</f>
        <v>0</v>
      </c>
      <c r="BG46" s="37">
        <f>AM46*$BG$4*炼钢参数表!$X$5/1000</f>
        <v>0</v>
      </c>
      <c r="BH46" s="37">
        <f t="shared" si="3"/>
        <v>5.3863891700470901E-2</v>
      </c>
      <c r="BI46" s="37">
        <f t="shared" si="4"/>
        <v>0.11592910909177501</v>
      </c>
      <c r="BJ46" s="37">
        <f t="shared" si="5"/>
        <v>-4.4070890908224698E-2</v>
      </c>
      <c r="BK46" s="54"/>
      <c r="BL46" s="7"/>
    </row>
    <row r="47" spans="1:65" s="18" customFormat="1" x14ac:dyDescent="0.3">
      <c r="A47" s="21">
        <v>43</v>
      </c>
      <c r="B47" s="4" t="s">
        <v>93</v>
      </c>
      <c r="C47" s="4" t="s">
        <v>90</v>
      </c>
      <c r="D47" s="4">
        <v>19.010000000000002</v>
      </c>
      <c r="E47" s="4">
        <v>29</v>
      </c>
      <c r="F47" s="4" t="s">
        <v>97</v>
      </c>
      <c r="G47" s="4" t="s">
        <v>95</v>
      </c>
      <c r="H47" s="4">
        <v>1517</v>
      </c>
      <c r="I47" s="4">
        <v>0.16</v>
      </c>
      <c r="J47" s="4">
        <v>0.15</v>
      </c>
      <c r="K47" s="4">
        <v>1.35</v>
      </c>
      <c r="L47" s="4">
        <v>1.7999999999999999E-2</v>
      </c>
      <c r="M47" s="4">
        <v>5.0000000000000001E-3</v>
      </c>
      <c r="N47" s="4" t="s">
        <v>631</v>
      </c>
      <c r="O47" s="4">
        <v>0.01</v>
      </c>
      <c r="P47" s="4">
        <v>2.5000000000000001E-2</v>
      </c>
      <c r="Q47" s="4">
        <v>2.5000000000000001E-2</v>
      </c>
      <c r="R47" s="4" t="s">
        <v>631</v>
      </c>
      <c r="S47" s="4">
        <v>0</v>
      </c>
      <c r="T47" s="4">
        <v>0</v>
      </c>
      <c r="U47" s="4">
        <v>0</v>
      </c>
      <c r="V47" s="4">
        <v>0</v>
      </c>
      <c r="W47" s="4" t="s">
        <v>631</v>
      </c>
      <c r="X47" s="4" t="s">
        <v>631</v>
      </c>
      <c r="Y47" s="4"/>
      <c r="Z47" s="4">
        <v>40</v>
      </c>
      <c r="AA47" s="53" t="s">
        <v>631</v>
      </c>
      <c r="AB47" s="42">
        <f>IF(J47&lt;=0.04,0,IF((BA47-AL47*BF$4*炼钢参数表!$X$5/1000-AM47*BG$4*炼钢参数表!$X$5/1000)&lt;=0.03,0,IF((J47/100/0.1769/炼钢参数表!K47*1000)&gt;(K47-炼钢参数表!J47)/100/0.6566/炼钢参数表!L47*1000,IF(K47&lt;1.6,(K47-炼钢参数表!J47)/100/0.6566/炼钢参数表!L47*1000,(K47-0.08-炼钢参数表!J47)/100/0.6566/炼钢参数表!L47*1000),IF(K47&lt;1.6,J47/100/0.1769/炼钢参数表!K47*1000,(J47-0.08)/100/0.1769/炼钢参数表!K47*1000))))</f>
        <v>10.5992085924251</v>
      </c>
      <c r="AC47" s="8">
        <f>IF((BA47-AB47*$BB$4*0.9/1000-AL47*BF$4*炼钢参数表!$X$5/1000-AM47*BG$4*炼钢参数表!$X$5/1000)&lt;(K47-炼钢参数表!J47-AB47*0.6566*炼钢参数表!L47/10)*0.082,0,(K47-炼钢参数表!J47-AB47*0.6566*炼钢参数表!L47/10)/100/($AC$3/100)/炼钢参数表!L47*1000)</f>
        <v>7.6435382162466698</v>
      </c>
      <c r="AD47" s="8">
        <f>IF((BA47-AB47*$BB$4*0.9/1000-AC47*$BC$4*0.9/1000-AL47*BF$4*炼钢参数表!$X$5/1000-AM47*BG$4*炼钢参数表!$X$5/1000)&lt;=(K47-炼钢参数表!J47-AB47*0.6566*炼钢参数表!L47/10-AC47*($AC$3/100)*炼钢参数表!L47/10)*0.02,0,((K47-炼钢参数表!J47-AB47*0.6566*炼钢参数表!L47/10-AC47*($AC$3/100)*炼钢参数表!L47/10)/100/($AD$3/100)/炼钢参数表!L47*1000))</f>
        <v>0</v>
      </c>
      <c r="AE47" s="8">
        <f>(K47-炼钢参数表!J47-AB47*0.6566*炼钢参数表!L47/10-AC47*($AC$3/100)*炼钢参数表!L47/10-AD47*($AD$3/100)*炼钢参数表!L47/10)/100/($AE$3/100)/炼钢参数表!L47*1000</f>
        <v>0</v>
      </c>
      <c r="AF47" s="8">
        <v>0</v>
      </c>
      <c r="AG47" s="8">
        <f>IF(J47&lt;=0.04,0,((J47-(AB47*0.1769*炼钢参数表!K47/1000*100))/100/炼钢参数表!K47/($AG$3/100)*1000))</f>
        <v>0</v>
      </c>
      <c r="AH47" s="8">
        <v>1.4</v>
      </c>
      <c r="AI47" s="8">
        <f>IF(N47="",0,IF(N47&lt;=0.002,0,((N47)/100)/($AI$3/100)/炼钢参数表!M47*1000))</f>
        <v>0</v>
      </c>
      <c r="AJ47" s="8">
        <f>IF(O47="",0,IF(O47&lt;=0.002,0,((O47)/100)/($AJ$3/100)/炼钢参数表!N47*1000))</f>
        <v>0.15688932399528099</v>
      </c>
      <c r="AK47" s="8">
        <f>IF(P47="",0,IF(P47&lt;=0.002,0,((P47+0.005)/100)/($AK$3/100)/炼钢参数表!O47*1000))</f>
        <v>0.59873069093521702</v>
      </c>
      <c r="AL47" s="8">
        <f>IF((BA47-J47*0.00003-K47*0.00024)&lt;=0.05,0,IF(T47="",0,IF(T47&lt;=0.03,0,IF(((BA47-J47*0.00003-K47*0.00024)-0.05)/0.18/100/($AL$3/100)/炼钢参数表!P47*1000&lt;=T47/100/($AL$3/100)/炼钢参数表!P47*1000,((BA47-J47*0.00003-K47*0.00024)-0.05)/0.18/100/($AL$3/100)/炼钢参数表!P47*1000,T47/100/($AL$3/100)/炼钢参数表!P47*1000))))</f>
        <v>0</v>
      </c>
      <c r="AM47" s="8">
        <f>IF(T47="",0,IF(T47&lt;=0.03,0,((T47-AL47*($AL$3/100)*炼钢参数表!P47/10)/100/($AM$3/100)/炼钢参数表!P47*1000)))</f>
        <v>0</v>
      </c>
      <c r="AN47" s="8">
        <f>IF(U47="",0,IF(U47&lt;=0.02,0,(U47/100)/($AN$3/100)/炼钢参数表!Q47*1000))</f>
        <v>0</v>
      </c>
      <c r="AO47" s="8">
        <f>IF(V47="",0,IF(V47&lt;=0.02,0,(V47/100)/($AO$3/100)/炼钢参数表!R47*1000))</f>
        <v>0</v>
      </c>
      <c r="AP47" s="8">
        <f>IF(W47="",0,IF(W47&lt;=0.02,0,(W47/100)/($AP$3/100)/炼钢参数表!S47*1000))</f>
        <v>0</v>
      </c>
      <c r="AQ47" s="8">
        <f>IF(X47="",0,IF(X47&lt;=0.0002,0,(X47/100)/($AQ$3/100)/炼钢参数表!T47*1000))</f>
        <v>0</v>
      </c>
      <c r="AR47" s="8">
        <f>IF(Y47="",0,IF(Y47&lt;=0.02,0,(Y47/100)/($AR$3/100)/炼钢参数表!U47*1000))</f>
        <v>0</v>
      </c>
      <c r="AS47" s="8">
        <f>IF(L47&lt;=0.04,0,((L47-0.04)/100)/($AS$3/100)/炼钢参数表!V47*1000)</f>
        <v>0</v>
      </c>
      <c r="AT47" s="8">
        <f>IF(M47&lt;=0.03,0,((M47-0.03)/100)/($AT$3/100)/炼钢参数表!W47*1000)</f>
        <v>0</v>
      </c>
      <c r="AU47" s="6"/>
      <c r="AV47" s="8">
        <f t="shared" si="0"/>
        <v>20.398366823602299</v>
      </c>
      <c r="AW47" s="8" cm="1">
        <f t="array" ref="AW47">SUMPRODUCT($AB$4:$AU$4,AB47:AU47)/1000</f>
        <v>183.171972309133</v>
      </c>
      <c r="AY47" s="2" t="str">
        <f t="shared" si="1"/>
        <v>Q355C-3</v>
      </c>
      <c r="AZ47" s="37">
        <f>VLOOKUP(AY47,炼钢参数表!$F$5:$J$1027,4,0)</f>
        <v>6.7671052631579007E-2</v>
      </c>
      <c r="BA47" s="37">
        <f t="shared" si="2"/>
        <v>9.2328947368420997E-2</v>
      </c>
      <c r="BB47" s="37">
        <f>AB47*$BB$4*炼钢参数表!$X$5/1000</f>
        <v>1.6407574901074098E-2</v>
      </c>
      <c r="BC47" s="37">
        <f>AC47*$BC$4*炼钢参数表!$X$5/1000</f>
        <v>4.6021743600021203E-2</v>
      </c>
      <c r="BD47" s="37">
        <f>AD47*$BD$4*炼钢参数表!$X$5/1000</f>
        <v>0</v>
      </c>
      <c r="BE47" s="37">
        <f>AE47*$BE$4*炼钢参数表!$X$5/1000</f>
        <v>0</v>
      </c>
      <c r="BF47" s="37">
        <f>AL47*$BF$4*炼钢参数表!$X$5/1000</f>
        <v>0</v>
      </c>
      <c r="BG47" s="37">
        <f>AM47*$BG$4*炼钢参数表!$X$5/1000</f>
        <v>0</v>
      </c>
      <c r="BH47" s="37">
        <f t="shared" si="3"/>
        <v>6.2429318501095302E-2</v>
      </c>
      <c r="BI47" s="37">
        <f t="shared" si="4"/>
        <v>0.130100371132674</v>
      </c>
      <c r="BJ47" s="37">
        <f t="shared" si="5"/>
        <v>-2.9899628867325698E-2</v>
      </c>
      <c r="BK47" s="54"/>
      <c r="BL47" s="7"/>
    </row>
    <row r="48" spans="1:65" s="18" customFormat="1" x14ac:dyDescent="0.3">
      <c r="A48" s="21">
        <v>44</v>
      </c>
      <c r="B48" s="4" t="s">
        <v>98</v>
      </c>
      <c r="C48" s="4" t="s">
        <v>23</v>
      </c>
      <c r="D48" s="4">
        <v>2</v>
      </c>
      <c r="E48" s="4">
        <v>12</v>
      </c>
      <c r="F48" s="4" t="s">
        <v>99</v>
      </c>
      <c r="G48" s="50" t="s">
        <v>100</v>
      </c>
      <c r="H48" s="4">
        <v>1517</v>
      </c>
      <c r="I48" s="51">
        <v>0.16</v>
      </c>
      <c r="J48" s="52">
        <v>0.15</v>
      </c>
      <c r="K48" s="52">
        <v>1</v>
      </c>
      <c r="L48" s="51">
        <v>1.7999999999999999E-2</v>
      </c>
      <c r="M48" s="51">
        <v>8.0000000000000002E-3</v>
      </c>
      <c r="N48" s="51"/>
      <c r="O48" s="51"/>
      <c r="P48" s="51">
        <v>0.03</v>
      </c>
      <c r="Q48" s="51">
        <v>2.5000000000000001E-2</v>
      </c>
      <c r="R48" s="51" t="s">
        <v>631</v>
      </c>
      <c r="S48" s="32"/>
      <c r="T48" s="52"/>
      <c r="U48" s="52"/>
      <c r="V48" s="52"/>
      <c r="W48" s="52" t="s">
        <v>631</v>
      </c>
      <c r="X48" s="32" t="s">
        <v>631</v>
      </c>
      <c r="Y48" s="53" t="s">
        <v>631</v>
      </c>
      <c r="Z48" s="4"/>
      <c r="AA48" s="53"/>
      <c r="AB48" s="42">
        <f>IF(J48&lt;=0.04,0,IF((BA48-AL48*BF$4*炼钢参数表!$X$5/1000-AM48*BG$4*炼钢参数表!$X$5/1000)&lt;=0.03,0,IF((J48/100/0.1769/炼钢参数表!K48*1000)&gt;(K48-炼钢参数表!J48)/100/0.6566/炼钢参数表!L48*1000,IF(K48&lt;1.6,(K48-炼钢参数表!J48)/100/0.6566/炼钢参数表!L48*1000,(K48-0.08-炼钢参数表!J48)/100/0.6566/炼钢参数表!L48*1000),IF(K48&lt;1.6,J48/100/0.1769/炼钢参数表!K48*1000,(J48-0.08)/100/0.1769/炼钢参数表!K48*1000))))</f>
        <v>10.5992085924251</v>
      </c>
      <c r="AC48" s="8">
        <f>IF((BA48-AB48*$BB$4*0.9/1000-AL48*BF$4*炼钢参数表!$X$5/1000-AM48*BG$4*炼钢参数表!$X$5/1000)&lt;(K48-炼钢参数表!J48-AB48*0.6566*炼钢参数表!L48/10)*0.082,0,(K48-炼钢参数表!J48-AB48*0.6566*炼钢参数表!L48/10)/100/($AC$3/100)/炼钢参数表!L48*1000)</f>
        <v>2.7605689135408902</v>
      </c>
      <c r="AD48" s="8">
        <f>IF((BA48-AB48*$BB$4*0.9/1000-AC48*$BC$4*0.9/1000-AL48*BF$4*炼钢参数表!$X$5/1000-AM48*BG$4*炼钢参数表!$X$5/1000)&lt;=(K48-炼钢参数表!J48-AB48*0.6566*炼钢参数表!L48/10-AC48*($AC$3/100)*炼钢参数表!L48/10)*0.02,0,((K48-炼钢参数表!J48-AB48*0.6566*炼钢参数表!L48/10-AC48*($AC$3/100)*炼钢参数表!L48/10)/100/($AD$3/100)/炼钢参数表!L48*1000))</f>
        <v>0</v>
      </c>
      <c r="AE48" s="8">
        <f>(K48-炼钢参数表!J48-AB48*0.6566*炼钢参数表!L48/10-AC48*($AC$3/100)*炼钢参数表!L48/10-AD48*($AD$3/100)*炼钢参数表!L48/10)/100/($AE$3/100)/炼钢参数表!L48*1000</f>
        <v>0</v>
      </c>
      <c r="AF48" s="8">
        <v>0</v>
      </c>
      <c r="AG48" s="8">
        <f>IF(J48&lt;=0.04,0,((J48-(AB48*0.1769*炼钢参数表!K48/1000*100))/100/炼钢参数表!K48/($AG$3/100)*1000))</f>
        <v>0</v>
      </c>
      <c r="AH48" s="8">
        <v>1.4</v>
      </c>
      <c r="AI48" s="8">
        <f>IF(N48="",0,IF(N48&lt;=0.002,0,((N48)/100)/($AI$3/100)/炼钢参数表!M48*1000))</f>
        <v>0</v>
      </c>
      <c r="AJ48" s="8">
        <f>IF(O48="",0,IF(O48&lt;=0.002,0,((O48)/100)/($AJ$3/100)/炼钢参数表!N48*1000))</f>
        <v>0</v>
      </c>
      <c r="AK48" s="8">
        <f>IF(P48="",0,IF(P48&lt;=0.002,0,((P48+0.005)/100)/($AK$3/100)/炼钢参数表!O48*1000))</f>
        <v>0.69851913942442001</v>
      </c>
      <c r="AL48" s="8">
        <f>IF((BA48-J48*0.00003-K48*0.00024)&lt;=0.05,0,IF(T48="",0,IF(T48&lt;=0.03,0,IF(((BA48-J48*0.00003-K48*0.00024)-0.05)/0.18/100/($AL$3/100)/炼钢参数表!P48*1000&lt;=T48/100/($AL$3/100)/炼钢参数表!P48*1000,((BA48-J48*0.00003-K48*0.00024)-0.05)/0.18/100/($AL$3/100)/炼钢参数表!P48*1000,T48/100/($AL$3/100)/炼钢参数表!P48*1000))))</f>
        <v>0</v>
      </c>
      <c r="AM48" s="8">
        <f>IF(T48="",0,IF(T48&lt;=0.03,0,((T48-AL48*($AL$3/100)*炼钢参数表!P48/10)/100/($AM$3/100)/炼钢参数表!P48*1000)))</f>
        <v>0</v>
      </c>
      <c r="AN48" s="8">
        <f>IF(U48="",0,IF(U48&lt;=0.02,0,(U48/100)/($AN$3/100)/炼钢参数表!Q48*1000))</f>
        <v>0</v>
      </c>
      <c r="AO48" s="8">
        <f>IF(V48="",0,IF(V48&lt;=0.02,0,(V48/100)/($AO$3/100)/炼钢参数表!R48*1000))</f>
        <v>0</v>
      </c>
      <c r="AP48" s="8">
        <f>IF(W48="",0,IF(W48&lt;=0.02,0,(W48/100)/($AP$3/100)/炼钢参数表!S48*1000))</f>
        <v>0</v>
      </c>
      <c r="AQ48" s="8">
        <f>IF(X48="",0,IF(X48&lt;=0.0002,0,(X48/100)/($AQ$3/100)/炼钢参数表!T48*1000))</f>
        <v>0</v>
      </c>
      <c r="AR48" s="8">
        <f>IF(Y48="",0,IF(Y48&lt;=0.02,0,(Y48/100)/($AR$3/100)/炼钢参数表!U48*1000))</f>
        <v>0</v>
      </c>
      <c r="AS48" s="8">
        <f>IF(L48&lt;=0.04,0,((L48-0.04)/100)/($AS$3/100)/炼钢参数表!V48*1000)</f>
        <v>0</v>
      </c>
      <c r="AT48" s="8">
        <f>IF(M48&lt;=0.03,0,((M48-0.03)/100)/($AT$3/100)/炼钢参数表!W48*1000)</f>
        <v>0</v>
      </c>
      <c r="AU48" s="6"/>
      <c r="AV48" s="8">
        <f t="shared" si="0"/>
        <v>15.4582966453904</v>
      </c>
      <c r="AW48" s="8" cm="1">
        <f t="array" ref="AW48">SUMPRODUCT($AB$4:$AU$4,AB48:AU48)/1000</f>
        <v>122.269871631322</v>
      </c>
      <c r="AY48" s="2" t="str">
        <f t="shared" si="1"/>
        <v>Q355D-1</v>
      </c>
      <c r="AZ48" s="37">
        <f>VLOOKUP(AY48,炼钢参数表!$F$5:$J$1027,4,0)</f>
        <v>7.0258620689655202E-2</v>
      </c>
      <c r="BA48" s="37">
        <f t="shared" si="2"/>
        <v>8.9741379310344802E-2</v>
      </c>
      <c r="BB48" s="37">
        <f>AB48*$BB$4*炼钢参数表!$X$5/1000</f>
        <v>1.6407574901074098E-2</v>
      </c>
      <c r="BC48" s="37">
        <f>AC48*$BC$4*炼钢参数表!$X$5/1000</f>
        <v>1.66213854284297E-2</v>
      </c>
      <c r="BD48" s="37">
        <f>AD48*$BD$4*炼钢参数表!$X$5/1000</f>
        <v>0</v>
      </c>
      <c r="BE48" s="37">
        <f>AE48*$BE$4*炼钢参数表!$X$5/1000</f>
        <v>0</v>
      </c>
      <c r="BF48" s="37">
        <f>AL48*$BF$4*炼钢参数表!$X$5/1000</f>
        <v>0</v>
      </c>
      <c r="BG48" s="37">
        <f>AM48*$BG$4*炼钢参数表!$X$5/1000</f>
        <v>0</v>
      </c>
      <c r="BH48" s="37">
        <f t="shared" si="3"/>
        <v>3.3028960329503802E-2</v>
      </c>
      <c r="BI48" s="37">
        <f t="shared" si="4"/>
        <v>0.103287581019159</v>
      </c>
      <c r="BJ48" s="37">
        <f t="shared" si="5"/>
        <v>-5.6712418980840999E-2</v>
      </c>
      <c r="BK48" s="54"/>
      <c r="BL48" s="7"/>
    </row>
    <row r="49" spans="1:64" s="18" customFormat="1" x14ac:dyDescent="0.3">
      <c r="A49" s="21">
        <v>45</v>
      </c>
      <c r="B49" s="4" t="s">
        <v>98</v>
      </c>
      <c r="C49" s="4" t="s">
        <v>26</v>
      </c>
      <c r="D49" s="4">
        <v>12.01</v>
      </c>
      <c r="E49" s="4">
        <v>19</v>
      </c>
      <c r="F49" s="4" t="s">
        <v>101</v>
      </c>
      <c r="G49" s="50" t="s">
        <v>100</v>
      </c>
      <c r="H49" s="4">
        <v>1521</v>
      </c>
      <c r="I49" s="51">
        <v>0.16</v>
      </c>
      <c r="J49" s="52">
        <v>0.15</v>
      </c>
      <c r="K49" s="52">
        <v>1.1499999999999999</v>
      </c>
      <c r="L49" s="51">
        <v>1.7999999999999999E-2</v>
      </c>
      <c r="M49" s="51">
        <v>8.0000000000000002E-3</v>
      </c>
      <c r="N49" s="51"/>
      <c r="O49" s="51">
        <v>1.2E-2</v>
      </c>
      <c r="P49" s="51">
        <v>1.4999999999999999E-2</v>
      </c>
      <c r="Q49" s="51">
        <v>2.5000000000000001E-2</v>
      </c>
      <c r="R49" s="51" t="s">
        <v>631</v>
      </c>
      <c r="S49" s="32"/>
      <c r="T49" s="52"/>
      <c r="U49" s="52"/>
      <c r="V49" s="52"/>
      <c r="W49" s="52" t="s">
        <v>631</v>
      </c>
      <c r="X49" s="32" t="s">
        <v>631</v>
      </c>
      <c r="Y49" s="53" t="s">
        <v>631</v>
      </c>
      <c r="Z49" s="4">
        <v>40</v>
      </c>
      <c r="AA49" s="53"/>
      <c r="AB49" s="42">
        <f>IF(J49&lt;=0.04,0,IF((BA49-AL49*BF$4*炼钢参数表!$X$5/1000-AM49*BG$4*炼钢参数表!$X$5/1000)&lt;=0.03,0,IF((J49/100/0.1769/炼钢参数表!K49*1000)&gt;(K49-炼钢参数表!J49)/100/0.6566/炼钢参数表!L49*1000,IF(K49&lt;1.6,(K49-炼钢参数表!J49)/100/0.6566/炼钢参数表!L49*1000,(K49-0.08-炼钢参数表!J49)/100/0.6566/炼钢参数表!L49*1000),IF(K49&lt;1.6,J49/100/0.1769/炼钢参数表!K49*1000,(J49-0.08)/100/0.1769/炼钢参数表!K49*1000))))</f>
        <v>10.5992085924251</v>
      </c>
      <c r="AC49" s="8">
        <f>IF((BA49-AB49*$BB$4*0.9/1000-AL49*BF$4*炼钢参数表!$X$5/1000-AM49*BG$4*炼钢参数表!$X$5/1000)&lt;(K49-炼钢参数表!J49-AB49*0.6566*炼钢参数表!L49/10)*0.082,0,(K49-炼钢参数表!J49-AB49*0.6566*炼钢参数表!L49/10)/100/($AC$3/100)/炼钢参数表!L49*1000)</f>
        <v>5.0438266033015697</v>
      </c>
      <c r="AD49" s="8">
        <f>IF((BA49-AB49*$BB$4*0.9/1000-AC49*$BC$4*0.9/1000-AL49*BF$4*炼钢参数表!$X$5/1000-AM49*BG$4*炼钢参数表!$X$5/1000)&lt;=(K49-炼钢参数表!J49-AB49*0.6566*炼钢参数表!L49/10-AC49*($AC$3/100)*炼钢参数表!L49/10)*0.02,0,((K49-炼钢参数表!J49-AB49*0.6566*炼钢参数表!L49/10-AC49*($AC$3/100)*炼钢参数表!L49/10)/100/($AD$3/100)/炼钢参数表!L49*1000))</f>
        <v>0</v>
      </c>
      <c r="AE49" s="8">
        <f>(K49-炼钢参数表!J49-AB49*0.6566*炼钢参数表!L49/10-AC49*($AC$3/100)*炼钢参数表!L49/10-AD49*($AD$3/100)*炼钢参数表!L49/10)/100/($AE$3/100)/炼钢参数表!L49*1000</f>
        <v>0</v>
      </c>
      <c r="AF49" s="8">
        <v>0</v>
      </c>
      <c r="AG49" s="8">
        <f>IF(J49&lt;=0.04,0,((J49-(AB49*0.1769*炼钢参数表!K49/1000*100))/100/炼钢参数表!K49/($AG$3/100)*1000))</f>
        <v>0</v>
      </c>
      <c r="AH49" s="8">
        <v>1.4</v>
      </c>
      <c r="AI49" s="8">
        <f>IF(N49="",0,IF(N49&lt;=0.002,0,((N49)/100)/($AI$3/100)/炼钢参数表!M49*1000))</f>
        <v>0</v>
      </c>
      <c r="AJ49" s="8">
        <f>IF(O49="",0,IF(O49&lt;=0.002,0,((O49)/100)/($AJ$3/100)/炼钢参数表!N49*1000))</f>
        <v>0.18826718879433699</v>
      </c>
      <c r="AK49" s="8">
        <f>IF(P49="",0,IF(P49&lt;=0.002,0,((P49+0.005)/100)/($AK$3/100)/炼钢参数表!O49*1000))</f>
        <v>0.399153793956812</v>
      </c>
      <c r="AL49" s="8">
        <f>IF((BA49-J49*0.00003-K49*0.00024)&lt;=0.05,0,IF(T49="",0,IF(T49&lt;=0.03,0,IF(((BA49-J49*0.00003-K49*0.00024)-0.05)/0.18/100/($AL$3/100)/炼钢参数表!P49*1000&lt;=T49/100/($AL$3/100)/炼钢参数表!P49*1000,((BA49-J49*0.00003-K49*0.00024)-0.05)/0.18/100/($AL$3/100)/炼钢参数表!P49*1000,T49/100/($AL$3/100)/炼钢参数表!P49*1000))))</f>
        <v>0</v>
      </c>
      <c r="AM49" s="8">
        <f>IF(T49="",0,IF(T49&lt;=0.03,0,((T49-AL49*($AL$3/100)*炼钢参数表!P49/10)/100/($AM$3/100)/炼钢参数表!P49*1000)))</f>
        <v>0</v>
      </c>
      <c r="AN49" s="8">
        <f>IF(U49="",0,IF(U49&lt;=0.02,0,(U49/100)/($AN$3/100)/炼钢参数表!Q49*1000))</f>
        <v>0</v>
      </c>
      <c r="AO49" s="8">
        <f>IF(V49="",0,IF(V49&lt;=0.02,0,(V49/100)/($AO$3/100)/炼钢参数表!R49*1000))</f>
        <v>0</v>
      </c>
      <c r="AP49" s="8">
        <f>IF(W49="",0,IF(W49&lt;=0.02,0,(W49/100)/($AP$3/100)/炼钢参数表!S49*1000))</f>
        <v>0</v>
      </c>
      <c r="AQ49" s="8">
        <f>IF(X49="",0,IF(X49&lt;=0.0002,0,(X49/100)/($AQ$3/100)/炼钢参数表!T49*1000))</f>
        <v>0</v>
      </c>
      <c r="AR49" s="8">
        <f>IF(Y49="",0,IF(Y49&lt;=0.02,0,(Y49/100)/($AR$3/100)/炼钢参数表!U49*1000))</f>
        <v>0</v>
      </c>
      <c r="AS49" s="8">
        <f>IF(L49&lt;=0.04,0,((L49-0.04)/100)/($AS$3/100)/炼钢参数表!V49*1000)</f>
        <v>0</v>
      </c>
      <c r="AT49" s="8">
        <f>IF(M49&lt;=0.03,0,((M49-0.03)/100)/($AT$3/100)/炼钢参数表!W49*1000)</f>
        <v>0</v>
      </c>
      <c r="AU49" s="6"/>
      <c r="AV49" s="8">
        <f t="shared" si="0"/>
        <v>17.6304561784778</v>
      </c>
      <c r="AW49" s="8" cm="1">
        <f t="array" ref="AW49">SUMPRODUCT($AB$4:$AU$4,AB49:AU49)/1000</f>
        <v>169.412738619967</v>
      </c>
      <c r="AY49" s="2" t="str">
        <f t="shared" si="1"/>
        <v>Q355D-2</v>
      </c>
      <c r="AZ49" s="37">
        <f>VLOOKUP(AY49,炼钢参数表!$F$5:$J$1027,4,0)</f>
        <v>5.6923076923077E-2</v>
      </c>
      <c r="BA49" s="37">
        <f t="shared" si="2"/>
        <v>0.103076923076923</v>
      </c>
      <c r="BB49" s="37">
        <f>AB49*$BB$4*炼钢参数表!$X$5/1000</f>
        <v>1.6407574901074098E-2</v>
      </c>
      <c r="BC49" s="37">
        <f>AC49*$BC$4*炼钢参数表!$X$5/1000</f>
        <v>3.0368879978478799E-2</v>
      </c>
      <c r="BD49" s="37">
        <f>AD49*$BD$4*炼钢参数表!$X$5/1000</f>
        <v>0</v>
      </c>
      <c r="BE49" s="37">
        <f>AE49*$BE$4*炼钢参数表!$X$5/1000</f>
        <v>0</v>
      </c>
      <c r="BF49" s="37">
        <f>AL49*$BF$4*炼钢参数表!$X$5/1000</f>
        <v>0</v>
      </c>
      <c r="BG49" s="37">
        <f>AM49*$BG$4*炼钢参数表!$X$5/1000</f>
        <v>0</v>
      </c>
      <c r="BH49" s="37">
        <f t="shared" si="3"/>
        <v>4.6776454879552801E-2</v>
      </c>
      <c r="BI49" s="37">
        <f t="shared" si="4"/>
        <v>0.10369953180263</v>
      </c>
      <c r="BJ49" s="37">
        <f t="shared" si="5"/>
        <v>-5.6300468197370203E-2</v>
      </c>
      <c r="BK49" s="54"/>
      <c r="BL49" s="7"/>
    </row>
    <row r="50" spans="1:64" s="18" customFormat="1" x14ac:dyDescent="0.3">
      <c r="A50" s="21">
        <v>46</v>
      </c>
      <c r="B50" s="4" t="s">
        <v>98</v>
      </c>
      <c r="C50" s="4" t="s">
        <v>90</v>
      </c>
      <c r="D50" s="4">
        <v>19.010000000000002</v>
      </c>
      <c r="E50" s="4">
        <v>29</v>
      </c>
      <c r="F50" s="4" t="s">
        <v>102</v>
      </c>
      <c r="G50" s="50" t="s">
        <v>100</v>
      </c>
      <c r="H50" s="4">
        <v>1521</v>
      </c>
      <c r="I50" s="51">
        <v>0.16</v>
      </c>
      <c r="J50" s="52">
        <v>0.15</v>
      </c>
      <c r="K50" s="52">
        <v>1.3</v>
      </c>
      <c r="L50" s="51">
        <v>1.7999999999999999E-2</v>
      </c>
      <c r="M50" s="51">
        <v>8.0000000000000002E-3</v>
      </c>
      <c r="N50" s="51"/>
      <c r="O50" s="51">
        <v>1.4999999999999999E-2</v>
      </c>
      <c r="P50" s="51">
        <v>1.4999999999999999E-2</v>
      </c>
      <c r="Q50" s="51">
        <v>2.5000000000000001E-2</v>
      </c>
      <c r="R50" s="51" t="s">
        <v>631</v>
      </c>
      <c r="S50" s="32"/>
      <c r="T50" s="52"/>
      <c r="U50" s="52"/>
      <c r="V50" s="52"/>
      <c r="W50" s="52" t="s">
        <v>631</v>
      </c>
      <c r="X50" s="32" t="s">
        <v>631</v>
      </c>
      <c r="Y50" s="53" t="s">
        <v>631</v>
      </c>
      <c r="Z50" s="4">
        <v>40</v>
      </c>
      <c r="AA50" s="53"/>
      <c r="AB50" s="42">
        <f>IF(J50&lt;=0.04,0,IF((BA50-AL50*BF$4*炼钢参数表!$X$5/1000-AM50*BG$4*炼钢参数表!$X$5/1000)&lt;=0.03,0,IF((J50/100/0.1769/炼钢参数表!K50*1000)&gt;(K50-炼钢参数表!J50)/100/0.6566/炼钢参数表!L50*1000,IF(K50&lt;1.6,(K50-炼钢参数表!J50)/100/0.6566/炼钢参数表!L50*1000,(K50-0.08-炼钢参数表!J50)/100/0.6566/炼钢参数表!L50*1000),IF(K50&lt;1.6,J50/100/0.1769/炼钢参数表!K50*1000,(J50-0.08)/100/0.1769/炼钢参数表!K50*1000))))</f>
        <v>10.5992085924251</v>
      </c>
      <c r="AC50" s="8">
        <f>IF((BA50-AB50*$BB$4*0.9/1000-AL50*BF$4*炼钢参数表!$X$5/1000-AM50*BG$4*炼钢参数表!$X$5/1000)&lt;(K50-炼钢参数表!J50-AB50*0.6566*炼钢参数表!L50/10)*0.082,0,(K50-炼钢参数表!J50-AB50*0.6566*炼钢参数表!L50/10)/100/($AC$3/100)/炼钢参数表!L50*1000)</f>
        <v>6.9414406705824296</v>
      </c>
      <c r="AD50" s="8">
        <f>IF((BA50-AB50*$BB$4*0.9/1000-AC50*$BC$4*0.9/1000-AL50*BF$4*炼钢参数表!$X$5/1000-AM50*BG$4*炼钢参数表!$X$5/1000)&lt;=(K50-炼钢参数表!J50-AB50*0.6566*炼钢参数表!L50/10-AC50*($AC$3/100)*炼钢参数表!L50/10)*0.02,0,((K50-炼钢参数表!J50-AB50*0.6566*炼钢参数表!L50/10-AC50*($AC$3/100)*炼钢参数表!L50/10)/100/($AD$3/100)/炼钢参数表!L50*1000))</f>
        <v>0</v>
      </c>
      <c r="AE50" s="8">
        <f>(K50-炼钢参数表!J50-AB50*0.6566*炼钢参数表!L50/10-AC50*($AC$3/100)*炼钢参数表!L50/10-AD50*($AD$3/100)*炼钢参数表!L50/10)/100/($AE$3/100)/炼钢参数表!L50*1000</f>
        <v>0</v>
      </c>
      <c r="AF50" s="8">
        <v>0</v>
      </c>
      <c r="AG50" s="8">
        <f>IF(J50&lt;=0.04,0,((J50-(AB50*0.1769*炼钢参数表!K50/1000*100))/100/炼钢参数表!K50/($AG$3/100)*1000))</f>
        <v>0</v>
      </c>
      <c r="AH50" s="8">
        <v>1.4</v>
      </c>
      <c r="AI50" s="8">
        <f>IF(N50="",0,IF(N50&lt;=0.002,0,((N50)/100)/($AI$3/100)/炼钢参数表!M50*1000))</f>
        <v>0</v>
      </c>
      <c r="AJ50" s="8">
        <f>IF(O50="",0,IF(O50&lt;=0.002,0,((O50)/100)/($AJ$3/100)/炼钢参数表!N50*1000))</f>
        <v>0.23533398599292099</v>
      </c>
      <c r="AK50" s="8">
        <f>IF(P50="",0,IF(P50&lt;=0.002,0,((P50+0.005)/100)/($AK$3/100)/炼钢参数表!O50*1000))</f>
        <v>0.399153793956812</v>
      </c>
      <c r="AL50" s="8">
        <f>IF((BA50-J50*0.00003-K50*0.00024)&lt;=0.05,0,IF(T50="",0,IF(T50&lt;=0.03,0,IF(((BA50-J50*0.00003-K50*0.00024)-0.05)/0.18/100/($AL$3/100)/炼钢参数表!P50*1000&lt;=T50/100/($AL$3/100)/炼钢参数表!P50*1000,((BA50-J50*0.00003-K50*0.00024)-0.05)/0.18/100/($AL$3/100)/炼钢参数表!P50*1000,T50/100/($AL$3/100)/炼钢参数表!P50*1000))))</f>
        <v>0</v>
      </c>
      <c r="AM50" s="8">
        <f>IF(T50="",0,IF(T50&lt;=0.03,0,((T50-AL50*($AL$3/100)*炼钢参数表!P50/10)/100/($AM$3/100)/炼钢参数表!P50*1000)))</f>
        <v>0</v>
      </c>
      <c r="AN50" s="8">
        <f>IF(U50="",0,IF(U50&lt;=0.02,0,(U50/100)/($AN$3/100)/炼钢参数表!Q50*1000))</f>
        <v>0</v>
      </c>
      <c r="AO50" s="8">
        <f>IF(V50="",0,IF(V50&lt;=0.02,0,(V50/100)/($AO$3/100)/炼钢参数表!R50*1000))</f>
        <v>0</v>
      </c>
      <c r="AP50" s="8">
        <f>IF(W50="",0,IF(W50&lt;=0.02,0,(W50/100)/($AP$3/100)/炼钢参数表!S50*1000))</f>
        <v>0</v>
      </c>
      <c r="AQ50" s="8">
        <f>IF(X50="",0,IF(X50&lt;=0.0002,0,(X50/100)/($AQ$3/100)/炼钢参数表!T50*1000))</f>
        <v>0</v>
      </c>
      <c r="AR50" s="8">
        <f>IF(Y50="",0,IF(Y50&lt;=0.02,0,(Y50/100)/($AR$3/100)/炼钢参数表!U50*1000))</f>
        <v>0</v>
      </c>
      <c r="AS50" s="8">
        <f>IF(L50&lt;=0.04,0,((L50-0.04)/100)/($AS$3/100)/炼钢参数表!V50*1000)</f>
        <v>0</v>
      </c>
      <c r="AT50" s="8">
        <f>IF(M50&lt;=0.03,0,((M50-0.03)/100)/($AT$3/100)/炼钢参数表!W50*1000)</f>
        <v>0</v>
      </c>
      <c r="AU50" s="6"/>
      <c r="AV50" s="8">
        <f t="shared" si="0"/>
        <v>19.575137042957302</v>
      </c>
      <c r="AW50" s="8" cm="1">
        <f t="array" ref="AW50">SUMPRODUCT($AB$4:$AU$4,AB50:AU50)/1000</f>
        <v>191.01945175955399</v>
      </c>
      <c r="AY50" s="2" t="str">
        <f t="shared" si="1"/>
        <v>Q355D-3</v>
      </c>
      <c r="AZ50" s="37">
        <f>VLOOKUP(AY50,炼钢参数表!$F$5:$J$1027,4,0)</f>
        <v>6.7000000000000004E-2</v>
      </c>
      <c r="BA50" s="37">
        <f t="shared" si="2"/>
        <v>9.2999999999999999E-2</v>
      </c>
      <c r="BB50" s="37">
        <f>AB50*$BB$4*炼钢参数表!$X$5/1000</f>
        <v>1.6407574901074098E-2</v>
      </c>
      <c r="BC50" s="37">
        <f>AC50*$BC$4*炼钢参数表!$X$5/1000</f>
        <v>4.1794414277576797E-2</v>
      </c>
      <c r="BD50" s="37">
        <f>AD50*$BD$4*炼钢参数表!$X$5/1000</f>
        <v>0</v>
      </c>
      <c r="BE50" s="37">
        <f>AE50*$BE$4*炼钢参数表!$X$5/1000</f>
        <v>0</v>
      </c>
      <c r="BF50" s="37">
        <f>AL50*$BF$4*炼钢参数表!$X$5/1000</f>
        <v>0</v>
      </c>
      <c r="BG50" s="37">
        <f>AM50*$BG$4*炼钢参数表!$X$5/1000</f>
        <v>0</v>
      </c>
      <c r="BH50" s="37">
        <f t="shared" si="3"/>
        <v>5.8201989178650902E-2</v>
      </c>
      <c r="BI50" s="37">
        <f t="shared" si="4"/>
        <v>0.125201989178651</v>
      </c>
      <c r="BJ50" s="37">
        <f t="shared" si="5"/>
        <v>-3.4798010821349097E-2</v>
      </c>
      <c r="BK50" s="54"/>
      <c r="BL50" s="7"/>
    </row>
    <row r="51" spans="1:64" s="18" customFormat="1" x14ac:dyDescent="0.3">
      <c r="A51" s="21">
        <v>47</v>
      </c>
      <c r="B51" s="4" t="s">
        <v>103</v>
      </c>
      <c r="C51" s="4" t="s">
        <v>23</v>
      </c>
      <c r="D51" s="4">
        <v>2</v>
      </c>
      <c r="E51" s="4">
        <v>7.55</v>
      </c>
      <c r="F51" s="4" t="s">
        <v>104</v>
      </c>
      <c r="G51" s="50" t="s">
        <v>105</v>
      </c>
      <c r="H51" s="4">
        <v>1514</v>
      </c>
      <c r="I51" s="51">
        <v>0.16</v>
      </c>
      <c r="J51" s="52">
        <v>0.15</v>
      </c>
      <c r="K51" s="52">
        <v>1.1000000000000001</v>
      </c>
      <c r="L51" s="51">
        <v>1.4999999999999999E-2</v>
      </c>
      <c r="M51" s="51">
        <v>0.01</v>
      </c>
      <c r="N51" s="51"/>
      <c r="O51" s="51"/>
      <c r="P51" s="51">
        <v>2.5000000000000001E-2</v>
      </c>
      <c r="Q51" s="51">
        <v>0.02</v>
      </c>
      <c r="R51" s="51" t="s">
        <v>631</v>
      </c>
      <c r="S51" s="32"/>
      <c r="T51" s="52"/>
      <c r="U51" s="52"/>
      <c r="V51" s="52"/>
      <c r="W51" s="52" t="s">
        <v>631</v>
      </c>
      <c r="X51" s="32" t="s">
        <v>631</v>
      </c>
      <c r="Y51" s="53" t="s">
        <v>631</v>
      </c>
      <c r="Z51" s="4" t="s">
        <v>631</v>
      </c>
      <c r="AA51" s="53" t="s">
        <v>631</v>
      </c>
      <c r="AB51" s="42">
        <f>IF(J51&lt;=0.04,0,IF((BA51-AL51*BF$4*炼钢参数表!$X$5/1000-AM51*BG$4*炼钢参数表!$X$5/1000)&lt;=0.03,0,IF((J51/100/0.1769/炼钢参数表!K51*1000)&gt;(K51-炼钢参数表!J51)/100/0.6566/炼钢参数表!L51*1000,IF(K51&lt;1.6,(K51-炼钢参数表!J51)/100/0.6566/炼钢参数表!L51*1000,(K51-0.08-炼钢参数表!J51)/100/0.6566/炼钢参数表!L51*1000),IF(K51&lt;1.6,J51/100/0.1769/炼钢参数表!K51*1000,(J51-0.08)/100/0.1769/炼钢参数表!K51*1000))))</f>
        <v>10.5992085924251</v>
      </c>
      <c r="AC51" s="8">
        <f>IF((BA51-AB51*$BB$4*0.9/1000-AL51*BF$4*炼钢参数表!$X$5/1000-AM51*BG$4*炼钢参数表!$X$5/1000)&lt;(K51-炼钢参数表!J51-AB51*0.6566*炼钢参数表!L51/10)*0.082,0,(K51-炼钢参数表!J51-AB51*0.6566*炼钢参数表!L51/10)/100/($AC$3/100)/炼钢参数表!L51*1000)</f>
        <v>4.1539794585986103</v>
      </c>
      <c r="AD51" s="8">
        <f>IF((BA51-AB51*$BB$4*0.9/1000-AC51*$BC$4*0.9/1000-AL51*BF$4*炼钢参数表!$X$5/1000-AM51*BG$4*炼钢参数表!$X$5/1000)&lt;=(K51-炼钢参数表!J51-AB51*0.6566*炼钢参数表!L51/10-AC51*($AC$3/100)*炼钢参数表!L51/10)*0.02,0,((K51-炼钢参数表!J51-AB51*0.6566*炼钢参数表!L51/10-AC51*($AC$3/100)*炼钢参数表!L51/10)/100/($AD$3/100)/炼钢参数表!L51*1000))</f>
        <v>0</v>
      </c>
      <c r="AE51" s="8">
        <f>(K51-炼钢参数表!J51-AB51*0.6566*炼钢参数表!L51/10-AC51*($AC$3/100)*炼钢参数表!L51/10-AD51*($AD$3/100)*炼钢参数表!L51/10)/100/($AE$3/100)/炼钢参数表!L51*1000</f>
        <v>0</v>
      </c>
      <c r="AF51" s="8">
        <v>0</v>
      </c>
      <c r="AG51" s="8">
        <f>IF(J51&lt;=0.04,0,((J51-(AB51*0.1769*炼钢参数表!K51/1000*100))/100/炼钢参数表!K51/($AG$3/100)*1000))</f>
        <v>0</v>
      </c>
      <c r="AH51" s="8">
        <v>1.4</v>
      </c>
      <c r="AI51" s="8">
        <f>IF(N51="",0,IF(N51&lt;=0.002,0,((N51)/100)/($AI$3/100)/炼钢参数表!M51*1000))</f>
        <v>0</v>
      </c>
      <c r="AJ51" s="8">
        <f>IF(O51="",0,IF(O51&lt;=0.002,0,((O51)/100)/($AJ$3/100)/炼钢参数表!N51*1000))</f>
        <v>0</v>
      </c>
      <c r="AK51" s="8">
        <f>IF(P51="",0,IF(P51&lt;=0.002,0,((P51+0.005)/100)/($AK$3/100)/炼钢参数表!O51*1000))</f>
        <v>0.59873069093521702</v>
      </c>
      <c r="AL51" s="8">
        <f>IF((BA51-J51*0.00003-K51*0.00024)&lt;=0.05,0,IF(T51="",0,IF(T51&lt;=0.03,0,IF(((BA51-J51*0.00003-K51*0.00024)-0.05)/0.18/100/($AL$3/100)/炼钢参数表!P51*1000&lt;=T51/100/($AL$3/100)/炼钢参数表!P51*1000,((BA51-J51*0.00003-K51*0.00024)-0.05)/0.18/100/($AL$3/100)/炼钢参数表!P51*1000,T51/100/($AL$3/100)/炼钢参数表!P51*1000))))</f>
        <v>0</v>
      </c>
      <c r="AM51" s="8">
        <f>IF(T51="",0,IF(T51&lt;=0.03,0,((T51-AL51*($AL$3/100)*炼钢参数表!P51/10)/100/($AM$3/100)/炼钢参数表!P51*1000)))</f>
        <v>0</v>
      </c>
      <c r="AN51" s="8">
        <f>IF(U51="",0,IF(U51&lt;=0.02,0,(U51/100)/($AN$3/100)/炼钢参数表!Q51*1000))</f>
        <v>0</v>
      </c>
      <c r="AO51" s="8">
        <f>IF(V51="",0,IF(V51&lt;=0.02,0,(V51/100)/($AO$3/100)/炼钢参数表!R51*1000))</f>
        <v>0</v>
      </c>
      <c r="AP51" s="8">
        <f>IF(W51="",0,IF(W51&lt;=0.02,0,(W51/100)/($AP$3/100)/炼钢参数表!S51*1000))</f>
        <v>0</v>
      </c>
      <c r="AQ51" s="8">
        <f>IF(X51="",0,IF(X51&lt;=0.0002,0,(X51/100)/($AQ$3/100)/炼钢参数表!T51*1000))</f>
        <v>0</v>
      </c>
      <c r="AR51" s="8">
        <f>IF(Y51="",0,IF(Y51&lt;=0.02,0,(Y51/100)/($AR$3/100)/炼钢参数表!U51*1000))</f>
        <v>0</v>
      </c>
      <c r="AS51" s="8">
        <f>IF(L51&lt;=0.04,0,((L51-0.04)/100)/($AS$3/100)/炼钢参数表!V51*1000)</f>
        <v>0</v>
      </c>
      <c r="AT51" s="8">
        <f>IF(M51&lt;=0.03,0,((M51-0.03)/100)/($AT$3/100)/炼钢参数表!W51*1000)</f>
        <v>0</v>
      </c>
      <c r="AU51" s="6"/>
      <c r="AV51" s="8">
        <f t="shared" si="0"/>
        <v>16.7519187419589</v>
      </c>
      <c r="AW51" s="8" cm="1">
        <f t="array" ref="AW51">SUMPRODUCT($AB$4:$AU$4,AB51:AU51)/1000</f>
        <v>128.29000280285999</v>
      </c>
      <c r="AY51" s="2" t="str">
        <f t="shared" si="1"/>
        <v>Q355B-T1</v>
      </c>
      <c r="AZ51" s="37">
        <f>VLOOKUP(AY51,炼钢参数表!$F$5:$J$1027,4,0)</f>
        <v>6.2857142857142903E-2</v>
      </c>
      <c r="BA51" s="37">
        <f t="shared" si="2"/>
        <v>9.71428571428571E-2</v>
      </c>
      <c r="BB51" s="37">
        <f>AB51*$BB$4*炼钢参数表!$X$5/1000</f>
        <v>1.6407574901074098E-2</v>
      </c>
      <c r="BC51" s="37">
        <f>AC51*$BC$4*炼钢参数表!$X$5/1000</f>
        <v>2.5011110320222199E-2</v>
      </c>
      <c r="BD51" s="37">
        <f>AD51*$BD$4*炼钢参数表!$X$5/1000</f>
        <v>0</v>
      </c>
      <c r="BE51" s="37">
        <f>AE51*$BE$4*炼钢参数表!$X$5/1000</f>
        <v>0</v>
      </c>
      <c r="BF51" s="37">
        <f>AL51*$BF$4*炼钢参数表!$X$5/1000</f>
        <v>0</v>
      </c>
      <c r="BG51" s="37">
        <f>AM51*$BG$4*炼钢参数表!$X$5/1000</f>
        <v>0</v>
      </c>
      <c r="BH51" s="37">
        <f t="shared" si="3"/>
        <v>4.1418685221296297E-2</v>
      </c>
      <c r="BI51" s="37">
        <f t="shared" si="4"/>
        <v>0.10427582807843901</v>
      </c>
      <c r="BJ51" s="37">
        <f t="shared" si="5"/>
        <v>-5.5724171921560803E-2</v>
      </c>
      <c r="BK51" s="54"/>
      <c r="BL51" s="7"/>
    </row>
    <row r="52" spans="1:64" s="18" customFormat="1" x14ac:dyDescent="0.3">
      <c r="A52" s="21">
        <v>48</v>
      </c>
      <c r="B52" s="4" t="s">
        <v>103</v>
      </c>
      <c r="C52" s="4" t="s">
        <v>26</v>
      </c>
      <c r="D52" s="4">
        <v>7.56</v>
      </c>
      <c r="E52" s="4">
        <v>16</v>
      </c>
      <c r="F52" s="4" t="s">
        <v>106</v>
      </c>
      <c r="G52" s="50" t="s">
        <v>105</v>
      </c>
      <c r="H52" s="4">
        <v>1514</v>
      </c>
      <c r="I52" s="51">
        <v>0.16</v>
      </c>
      <c r="J52" s="52">
        <v>0.15</v>
      </c>
      <c r="K52" s="52">
        <v>1.1000000000000001</v>
      </c>
      <c r="L52" s="51">
        <v>1.4999999999999999E-2</v>
      </c>
      <c r="M52" s="51">
        <v>0.01</v>
      </c>
      <c r="N52" s="51"/>
      <c r="O52" s="51"/>
      <c r="P52" s="51">
        <v>3.5000000000000003E-2</v>
      </c>
      <c r="Q52" s="51">
        <v>0.02</v>
      </c>
      <c r="R52" s="51" t="s">
        <v>631</v>
      </c>
      <c r="S52" s="32"/>
      <c r="T52" s="52"/>
      <c r="U52" s="52"/>
      <c r="V52" s="52"/>
      <c r="W52" s="52" t="s">
        <v>631</v>
      </c>
      <c r="X52" s="32" t="s">
        <v>631</v>
      </c>
      <c r="Y52" s="53" t="s">
        <v>631</v>
      </c>
      <c r="Z52" s="4" t="s">
        <v>631</v>
      </c>
      <c r="AA52" s="53" t="s">
        <v>631</v>
      </c>
      <c r="AB52" s="42">
        <f>IF(J52&lt;=0.04,0,IF((BA52-AL52*BF$4*炼钢参数表!$X$5/1000-AM52*BG$4*炼钢参数表!$X$5/1000)&lt;=0.03,0,IF((J52/100/0.1769/炼钢参数表!K52*1000)&gt;(K52-炼钢参数表!J52)/100/0.6566/炼钢参数表!L52*1000,IF(K52&lt;1.6,(K52-炼钢参数表!J52)/100/0.6566/炼钢参数表!L52*1000,(K52-0.08-炼钢参数表!J52)/100/0.6566/炼钢参数表!L52*1000),IF(K52&lt;1.6,J52/100/0.1769/炼钢参数表!K52*1000,(J52-0.08)/100/0.1769/炼钢参数表!K52*1000))))</f>
        <v>10.5992085924251</v>
      </c>
      <c r="AC52" s="8">
        <f>IF((BA52-AB52*$BB$4*0.9/1000-AL52*BF$4*炼钢参数表!$X$5/1000-AM52*BG$4*炼钢参数表!$X$5/1000)&lt;(K52-炼钢参数表!J52-AB52*0.6566*炼钢参数表!L52/10)*0.082,0,(K52-炼钢参数表!J52-AB52*0.6566*炼钢参数表!L52/10)/100/($AC$3/100)/炼钢参数表!L52*1000)</f>
        <v>4.0641503442642399</v>
      </c>
      <c r="AD52" s="8">
        <f>IF((BA52-AB52*$BB$4*0.9/1000-AC52*$BC$4*0.9/1000-AL52*BF$4*炼钢参数表!$X$5/1000-AM52*BG$4*炼钢参数表!$X$5/1000)&lt;=(K52-炼钢参数表!J52-AB52*0.6566*炼钢参数表!L52/10-AC52*($AC$3/100)*炼钢参数表!L52/10)*0.02,0,((K52-炼钢参数表!J52-AB52*0.6566*炼钢参数表!L52/10-AC52*($AC$3/100)*炼钢参数表!L52/10)/100/($AD$3/100)/炼钢参数表!L52*1000))</f>
        <v>0</v>
      </c>
      <c r="AE52" s="8">
        <f>(K52-炼钢参数表!J52-AB52*0.6566*炼钢参数表!L52/10-AC52*($AC$3/100)*炼钢参数表!L52/10-AD52*($AD$3/100)*炼钢参数表!L52/10)/100/($AE$3/100)/炼钢参数表!L52*1000</f>
        <v>0</v>
      </c>
      <c r="AF52" s="8">
        <v>0</v>
      </c>
      <c r="AG52" s="8">
        <f>IF(J52&lt;=0.04,0,((J52-(AB52*0.1769*炼钢参数表!K52/1000*100))/100/炼钢参数表!K52/($AG$3/100)*1000))</f>
        <v>0</v>
      </c>
      <c r="AH52" s="8">
        <v>1.4</v>
      </c>
      <c r="AI52" s="8">
        <f>IF(N52="",0,IF(N52&lt;=0.002,0,((N52)/100)/($AI$3/100)/炼钢参数表!M52*1000))</f>
        <v>0</v>
      </c>
      <c r="AJ52" s="8">
        <f>IF(O52="",0,IF(O52&lt;=0.002,0,((O52)/100)/($AJ$3/100)/炼钢参数表!N52*1000))</f>
        <v>0</v>
      </c>
      <c r="AK52" s="8">
        <f>IF(P52="",0,IF(P52&lt;=0.002,0,((P52+0.005)/100)/($AK$3/100)/炼钢参数表!O52*1000))</f>
        <v>0.798307587913623</v>
      </c>
      <c r="AL52" s="8">
        <f>IF((BA52-J52*0.00003-K52*0.00024)&lt;=0.05,0,IF(T52="",0,IF(T52&lt;=0.03,0,IF(((BA52-J52*0.00003-K52*0.00024)-0.05)/0.18/100/($AL$3/100)/炼钢参数表!P52*1000&lt;=T52/100/($AL$3/100)/炼钢参数表!P52*1000,((BA52-J52*0.00003-K52*0.00024)-0.05)/0.18/100/($AL$3/100)/炼钢参数表!P52*1000,T52/100/($AL$3/100)/炼钢参数表!P52*1000))))</f>
        <v>0</v>
      </c>
      <c r="AM52" s="8">
        <f>IF(T52="",0,IF(T52&lt;=0.03,0,((T52-AL52*($AL$3/100)*炼钢参数表!P52/10)/100/($AM$3/100)/炼钢参数表!P52*1000)))</f>
        <v>0</v>
      </c>
      <c r="AN52" s="8">
        <f>IF(U52="",0,IF(U52&lt;=0.02,0,(U52/100)/($AN$3/100)/炼钢参数表!Q52*1000))</f>
        <v>0</v>
      </c>
      <c r="AO52" s="8">
        <f>IF(V52="",0,IF(V52&lt;=0.02,0,(V52/100)/($AO$3/100)/炼钢参数表!R52*1000))</f>
        <v>0</v>
      </c>
      <c r="AP52" s="8">
        <f>IF(W52="",0,IF(W52&lt;=0.02,0,(W52/100)/($AP$3/100)/炼钢参数表!S52*1000))</f>
        <v>0</v>
      </c>
      <c r="AQ52" s="8">
        <f>IF(X52="",0,IF(X52&lt;=0.0002,0,(X52/100)/($AQ$3/100)/炼钢参数表!T52*1000))</f>
        <v>0</v>
      </c>
      <c r="AR52" s="8">
        <f>IF(Y52="",0,IF(Y52&lt;=0.02,0,(Y52/100)/($AR$3/100)/炼钢参数表!U52*1000))</f>
        <v>0</v>
      </c>
      <c r="AS52" s="8">
        <f>IF(L52&lt;=0.04,0,((L52-0.04)/100)/($AS$3/100)/炼钢参数表!V52*1000)</f>
        <v>0</v>
      </c>
      <c r="AT52" s="8">
        <f>IF(M52&lt;=0.03,0,((M52-0.03)/100)/($AT$3/100)/炼钢参数表!W52*1000)</f>
        <v>0</v>
      </c>
      <c r="AU52" s="6"/>
      <c r="AV52" s="8">
        <f t="shared" si="0"/>
        <v>16.861666524602999</v>
      </c>
      <c r="AW52" s="8" cm="1">
        <f t="array" ref="AW52">SUMPRODUCT($AB$4:$AU$4,AB52:AU52)/1000</f>
        <v>132.551028242603</v>
      </c>
      <c r="AY52" s="2" t="str">
        <f t="shared" si="1"/>
        <v>Q355B-T2</v>
      </c>
      <c r="AZ52" s="37">
        <f>VLOOKUP(AY52,炼钢参数表!$F$5:$J$1027,4,0)</f>
        <v>6.8264705882353005E-2</v>
      </c>
      <c r="BA52" s="37">
        <f t="shared" si="2"/>
        <v>9.1735294117646998E-2</v>
      </c>
      <c r="BB52" s="37">
        <f>AB52*$BB$4*炼钢参数表!$X$5/1000</f>
        <v>1.6407574901074098E-2</v>
      </c>
      <c r="BC52" s="37">
        <f>AC52*$BC$4*炼钢参数表!$X$5/1000</f>
        <v>2.4470249222814999E-2</v>
      </c>
      <c r="BD52" s="37">
        <f>AD52*$BD$4*炼钢参数表!$X$5/1000</f>
        <v>0</v>
      </c>
      <c r="BE52" s="37">
        <f>AE52*$BE$4*炼钢参数表!$X$5/1000</f>
        <v>0</v>
      </c>
      <c r="BF52" s="37">
        <f>AL52*$BF$4*炼钢参数表!$X$5/1000</f>
        <v>0</v>
      </c>
      <c r="BG52" s="37">
        <f>AM52*$BG$4*炼钢参数表!$X$5/1000</f>
        <v>0</v>
      </c>
      <c r="BH52" s="37">
        <f t="shared" si="3"/>
        <v>4.0877824123889003E-2</v>
      </c>
      <c r="BI52" s="37">
        <f t="shared" si="4"/>
        <v>0.10914253000624199</v>
      </c>
      <c r="BJ52" s="37">
        <f t="shared" si="5"/>
        <v>-5.0857469993758002E-2</v>
      </c>
      <c r="BK52" s="54"/>
      <c r="BL52" s="7"/>
    </row>
    <row r="53" spans="1:64" s="18" customFormat="1" x14ac:dyDescent="0.3">
      <c r="A53" s="21">
        <v>49</v>
      </c>
      <c r="B53" s="4" t="s">
        <v>103</v>
      </c>
      <c r="C53" s="4" t="s">
        <v>90</v>
      </c>
      <c r="D53" s="4">
        <v>16.010000000000002</v>
      </c>
      <c r="E53" s="4">
        <v>28</v>
      </c>
      <c r="F53" s="4" t="s">
        <v>107</v>
      </c>
      <c r="G53" s="50" t="s">
        <v>105</v>
      </c>
      <c r="H53" s="4">
        <v>1514</v>
      </c>
      <c r="I53" s="51">
        <v>0.16</v>
      </c>
      <c r="J53" s="52">
        <v>0.15</v>
      </c>
      <c r="K53" s="52">
        <v>1.1499999999999999</v>
      </c>
      <c r="L53" s="51">
        <v>1.4999999999999999E-2</v>
      </c>
      <c r="M53" s="51">
        <v>0.01</v>
      </c>
      <c r="N53" s="51"/>
      <c r="O53" s="51">
        <v>1.4999999999999999E-2</v>
      </c>
      <c r="P53" s="51">
        <v>2.5000000000000001E-2</v>
      </c>
      <c r="Q53" s="51">
        <v>0.02</v>
      </c>
      <c r="R53" s="51" t="s">
        <v>631</v>
      </c>
      <c r="S53" s="32"/>
      <c r="T53" s="52"/>
      <c r="U53" s="52"/>
      <c r="V53" s="52"/>
      <c r="W53" s="52" t="s">
        <v>631</v>
      </c>
      <c r="X53" s="32" t="s">
        <v>631</v>
      </c>
      <c r="Y53" s="53" t="s">
        <v>631</v>
      </c>
      <c r="Z53" s="4" t="s">
        <v>631</v>
      </c>
      <c r="AA53" s="53" t="s">
        <v>631</v>
      </c>
      <c r="AB53" s="42">
        <f>IF(J53&lt;=0.04,0,IF((BA53-AL53*BF$4*炼钢参数表!$X$5/1000-AM53*BG$4*炼钢参数表!$X$5/1000)&lt;=0.03,0,IF((J53/100/0.1769/炼钢参数表!K53*1000)&gt;(K53-炼钢参数表!J53)/100/0.6566/炼钢参数表!L53*1000,IF(K53&lt;1.6,(K53-炼钢参数表!J53)/100/0.6566/炼钢参数表!L53*1000,(K53-0.08-炼钢参数表!J53)/100/0.6566/炼钢参数表!L53*1000),IF(K53&lt;1.6,J53/100/0.1769/炼钢参数表!K53*1000,(J53-0.08)/100/0.1769/炼钢参数表!K53*1000))))</f>
        <v>10.5992085924251</v>
      </c>
      <c r="AC53" s="8">
        <f>IF((BA53-AB53*$BB$4*0.9/1000-AL53*BF$4*炼钢参数表!$X$5/1000-AM53*BG$4*炼钢参数表!$X$5/1000)&lt;(K53-炼钢参数表!J53-AB53*0.6566*炼钢参数表!L53/10)*0.082,0,(K53-炼钢参数表!J53-AB53*0.6566*炼钢参数表!L53/10)/100/($AC$3/100)/炼钢参数表!L53*1000)</f>
        <v>4.7405871388212102</v>
      </c>
      <c r="AD53" s="8">
        <f>IF((BA53-AB53*$BB$4*0.9/1000-AC53*$BC$4*0.9/1000-AL53*BF$4*炼钢参数表!$X$5/1000-AM53*BG$4*炼钢参数表!$X$5/1000)&lt;=(K53-炼钢参数表!J53-AB53*0.6566*炼钢参数表!L53/10-AC53*($AC$3/100)*炼钢参数表!L53/10)*0.02,0,((K53-炼钢参数表!J53-AB53*0.6566*炼钢参数表!L53/10-AC53*($AC$3/100)*炼钢参数表!L53/10)/100/($AD$3/100)/炼钢参数表!L53*1000))</f>
        <v>0</v>
      </c>
      <c r="AE53" s="8">
        <f>(K53-炼钢参数表!J53-AB53*0.6566*炼钢参数表!L53/10-AC53*($AC$3/100)*炼钢参数表!L53/10-AD53*($AD$3/100)*炼钢参数表!L53/10)/100/($AE$3/100)/炼钢参数表!L53*1000</f>
        <v>0</v>
      </c>
      <c r="AF53" s="8">
        <v>0</v>
      </c>
      <c r="AG53" s="8">
        <f>IF(J53&lt;=0.04,0,((J53-(AB53*0.1769*炼钢参数表!K53/1000*100))/100/炼钢参数表!K53/($AG$3/100)*1000))</f>
        <v>0</v>
      </c>
      <c r="AH53" s="8">
        <v>1.4</v>
      </c>
      <c r="AI53" s="8">
        <f>IF(N53="",0,IF(N53&lt;=0.002,0,((N53)/100)/($AI$3/100)/炼钢参数表!M53*1000))</f>
        <v>0</v>
      </c>
      <c r="AJ53" s="8">
        <f>IF(O53="",0,IF(O53&lt;=0.002,0,((O53)/100)/($AJ$3/100)/炼钢参数表!N53*1000))</f>
        <v>0.23533398599292099</v>
      </c>
      <c r="AK53" s="8">
        <f>IF(P53="",0,IF(P53&lt;=0.002,0,((P53+0.005)/100)/($AK$3/100)/炼钢参数表!O53*1000))</f>
        <v>0.59873069093521702</v>
      </c>
      <c r="AL53" s="8">
        <f>IF((BA53-J53*0.00003-K53*0.00024)&lt;=0.05,0,IF(T53="",0,IF(T53&lt;=0.03,0,IF(((BA53-J53*0.00003-K53*0.00024)-0.05)/0.18/100/($AL$3/100)/炼钢参数表!P53*1000&lt;=T53/100/($AL$3/100)/炼钢参数表!P53*1000,((BA53-J53*0.00003-K53*0.00024)-0.05)/0.18/100/($AL$3/100)/炼钢参数表!P53*1000,T53/100/($AL$3/100)/炼钢参数表!P53*1000))))</f>
        <v>0</v>
      </c>
      <c r="AM53" s="8">
        <f>IF(T53="",0,IF(T53&lt;=0.03,0,((T53-AL53*($AL$3/100)*炼钢参数表!P53/10)/100/($AM$3/100)/炼钢参数表!P53*1000)))</f>
        <v>0</v>
      </c>
      <c r="AN53" s="8">
        <f>IF(U53="",0,IF(U53&lt;=0.02,0,(U53/100)/($AN$3/100)/炼钢参数表!Q53*1000))</f>
        <v>0</v>
      </c>
      <c r="AO53" s="8">
        <f>IF(V53="",0,IF(V53&lt;=0.02,0,(V53/100)/($AO$3/100)/炼钢参数表!R53*1000))</f>
        <v>0</v>
      </c>
      <c r="AP53" s="8">
        <f>IF(W53="",0,IF(W53&lt;=0.02,0,(W53/100)/($AP$3/100)/炼钢参数表!S53*1000))</f>
        <v>0</v>
      </c>
      <c r="AQ53" s="8">
        <f>IF(X53="",0,IF(X53&lt;=0.0002,0,(X53/100)/($AQ$3/100)/炼钢参数表!T53*1000))</f>
        <v>0</v>
      </c>
      <c r="AR53" s="8">
        <f>IF(Y53="",0,IF(Y53&lt;=0.02,0,(Y53/100)/($AR$3/100)/炼钢参数表!U53*1000))</f>
        <v>0</v>
      </c>
      <c r="AS53" s="8">
        <f>IF(L53&lt;=0.04,0,((L53-0.04)/100)/($AS$3/100)/炼钢参数表!V53*1000)</f>
        <v>0</v>
      </c>
      <c r="AT53" s="8">
        <f>IF(M53&lt;=0.03,0,((M53-0.03)/100)/($AT$3/100)/炼钢参数表!W53*1000)</f>
        <v>0</v>
      </c>
      <c r="AU53" s="6"/>
      <c r="AV53" s="8">
        <f t="shared" si="0"/>
        <v>17.573860408174401</v>
      </c>
      <c r="AW53" s="8" cm="1">
        <f t="array" ref="AW53">SUMPRODUCT($AB$4:$AU$4,AB53:AU53)/1000</f>
        <v>182.520922534672</v>
      </c>
      <c r="AY53" s="2" t="str">
        <f t="shared" si="1"/>
        <v>Q355B-T3</v>
      </c>
      <c r="AZ53" s="37">
        <f>VLOOKUP(AY53,炼钢参数表!$F$5:$J$1027,4,0)</f>
        <v>7.5800000000000006E-2</v>
      </c>
      <c r="BA53" s="37">
        <f t="shared" si="2"/>
        <v>8.4199999999999997E-2</v>
      </c>
      <c r="BB53" s="37">
        <f>AB53*$BB$4*炼钢参数表!$X$5/1000</f>
        <v>1.6407574901074098E-2</v>
      </c>
      <c r="BC53" s="37">
        <f>AC53*$BC$4*炼钢参数表!$X$5/1000</f>
        <v>2.8543075162842501E-2</v>
      </c>
      <c r="BD53" s="37">
        <f>AD53*$BD$4*炼钢参数表!$X$5/1000</f>
        <v>0</v>
      </c>
      <c r="BE53" s="37">
        <f>AE53*$BE$4*炼钢参数表!$X$5/1000</f>
        <v>0</v>
      </c>
      <c r="BF53" s="37">
        <f>AL53*$BF$4*炼钢参数表!$X$5/1000</f>
        <v>0</v>
      </c>
      <c r="BG53" s="37">
        <f>AM53*$BG$4*炼钢参数表!$X$5/1000</f>
        <v>0</v>
      </c>
      <c r="BH53" s="37">
        <f t="shared" si="3"/>
        <v>4.4950650063916499E-2</v>
      </c>
      <c r="BI53" s="37">
        <f t="shared" si="4"/>
        <v>0.120750650063917</v>
      </c>
      <c r="BJ53" s="37">
        <f t="shared" si="5"/>
        <v>-3.9249349936083498E-2</v>
      </c>
      <c r="BK53" s="54"/>
      <c r="BL53" s="7"/>
    </row>
    <row r="54" spans="1:64" s="18" customFormat="1" x14ac:dyDescent="0.3">
      <c r="A54" s="21">
        <v>50</v>
      </c>
      <c r="B54" s="4" t="s">
        <v>108</v>
      </c>
      <c r="C54" s="4" t="s">
        <v>26</v>
      </c>
      <c r="D54" s="4">
        <v>2</v>
      </c>
      <c r="E54" s="4">
        <v>5</v>
      </c>
      <c r="F54" s="4" t="s">
        <v>109</v>
      </c>
      <c r="G54" s="50" t="s">
        <v>110</v>
      </c>
      <c r="H54" s="4">
        <v>1522</v>
      </c>
      <c r="I54" s="51">
        <v>7.4999999999999997E-2</v>
      </c>
      <c r="J54" s="52">
        <v>0.15</v>
      </c>
      <c r="K54" s="52">
        <v>1.1000000000000001</v>
      </c>
      <c r="L54" s="51">
        <v>1.4999999999999999E-2</v>
      </c>
      <c r="M54" s="51">
        <v>4.0000000000000001E-3</v>
      </c>
      <c r="N54" s="51"/>
      <c r="O54" s="51">
        <v>0.01</v>
      </c>
      <c r="P54" s="51">
        <v>0.02</v>
      </c>
      <c r="Q54" s="51">
        <v>2.5000000000000001E-2</v>
      </c>
      <c r="R54" s="51" t="s">
        <v>631</v>
      </c>
      <c r="S54" s="32"/>
      <c r="T54" s="52"/>
      <c r="U54" s="52"/>
      <c r="V54" s="52"/>
      <c r="W54" s="52"/>
      <c r="X54" s="32"/>
      <c r="Y54" s="53" t="s">
        <v>631</v>
      </c>
      <c r="Z54" s="4">
        <v>45</v>
      </c>
      <c r="AA54" s="53" t="s">
        <v>631</v>
      </c>
      <c r="AB54" s="42">
        <f>IF(J54&lt;=0.04,0,IF((BA54-AL54*BF$4*炼钢参数表!$X$5/1000-AM54*BG$4*炼钢参数表!$X$5/1000)&lt;=0.03,0,IF((J54/100/0.1769/炼钢参数表!K54*1000)&gt;(K54-炼钢参数表!J54)/100/0.6566/炼钢参数表!L54*1000,IF(K54&lt;1.6,(K54-炼钢参数表!J54)/100/0.6566/炼钢参数表!L54*1000,(K54-0.08-炼钢参数表!J54)/100/0.6566/炼钢参数表!L54*1000),IF(K54&lt;1.6,J54/100/0.1769/炼钢参数表!K54*1000,(J54-0.08)/100/0.1769/炼钢参数表!K54*1000))))</f>
        <v>10.5992085924251</v>
      </c>
      <c r="AC54" s="8">
        <f>IF((BA54-AB54*$BB$4*0.9/1000-AL54*BF$4*炼钢参数表!$X$5/1000-AM54*BG$4*炼钢参数表!$X$5/1000)&lt;(K54-炼钢参数表!J54-AB54*0.6566*炼钢参数表!L54/10)*0.082,0,(K54-炼钢参数表!J54-AB54*0.6566*炼钢参数表!L54/10)/100/($AC$3/100)/炼钢参数表!L54*1000)</f>
        <v>0</v>
      </c>
      <c r="AD54" s="8">
        <f>IF((BA54-AB54*$BB$4*0.9/1000-AC54*$BC$4*0.9/1000-AL54*BF$4*炼钢参数表!$X$5/1000-AM54*BG$4*炼钢参数表!$X$5/1000)&lt;=(K54-炼钢参数表!J54-AB54*0.6566*炼钢参数表!L54/10-AC54*($AC$3/100)*炼钢参数表!L54/10)*0.02,0,((K54-炼钢参数表!J54-AB54*0.6566*炼钢参数表!L54/10-AC54*($AC$3/100)*炼钢参数表!L54/10)/100/($AD$3/100)/炼钢参数表!L54*1000))</f>
        <v>4.1043453469475297</v>
      </c>
      <c r="AE54" s="8">
        <f>(K54-炼钢参数表!J54-AB54*0.6566*炼钢参数表!L54/10-AC54*($AC$3/100)*炼钢参数表!L54/10-AD54*($AD$3/100)*炼钢参数表!L54/10)/100/($AE$3/100)/炼钢参数表!L54*1000</f>
        <v>0</v>
      </c>
      <c r="AF54" s="8">
        <v>0</v>
      </c>
      <c r="AG54" s="8">
        <f>IF(J54&lt;=0.04,0,((J54-(AB54*0.1769*炼钢参数表!K54/1000*100))/100/炼钢参数表!K54/($AG$3/100)*1000))</f>
        <v>0</v>
      </c>
      <c r="AH54" s="8">
        <v>1.7</v>
      </c>
      <c r="AI54" s="8">
        <f>IF(N54="",0,IF(N54&lt;=0.002,0,((N54)/100)/($AI$3/100)/炼钢参数表!M54*1000))</f>
        <v>0</v>
      </c>
      <c r="AJ54" s="8">
        <f>IF(O54="",0,IF(O54&lt;=0.002,0,((O54)/100)/($AJ$3/100)/炼钢参数表!N54*1000))</f>
        <v>0.15688932399528099</v>
      </c>
      <c r="AK54" s="8">
        <f>IF(P54="",0,IF(P54&lt;=0.002,0,((P54+0.005)/100)/($AK$3/100)/炼钢参数表!O54*1000))</f>
        <v>0.49894224244601398</v>
      </c>
      <c r="AL54" s="8">
        <f>IF((BA54-J54*0.00003-K54*0.00024)&lt;=0.05,0,IF(T54="",0,IF(T54&lt;=0.03,0,IF(((BA54-J54*0.00003-K54*0.00024)-0.05)/0.18/100/($AL$3/100)/炼钢参数表!P54*1000&lt;=T54/100/($AL$3/100)/炼钢参数表!P54*1000,((BA54-J54*0.00003-K54*0.00024)-0.05)/0.18/100/($AL$3/100)/炼钢参数表!P54*1000,T54/100/($AL$3/100)/炼钢参数表!P54*1000))))</f>
        <v>0</v>
      </c>
      <c r="AM54" s="8">
        <f>IF(T54="",0,IF(T54&lt;=0.03,0,((T54-AL54*($AL$3/100)*炼钢参数表!P54/10)/100/($AM$3/100)/炼钢参数表!P54*1000)))</f>
        <v>0</v>
      </c>
      <c r="AN54" s="8">
        <f>IF(U54="",0,IF(U54&lt;=0.02,0,(U54/100)/($AN$3/100)/炼钢参数表!Q54*1000))</f>
        <v>0</v>
      </c>
      <c r="AO54" s="8">
        <f>IF(V54="",0,IF(V54&lt;=0.02,0,(V54/100)/($AO$3/100)/炼钢参数表!R54*1000))</f>
        <v>0</v>
      </c>
      <c r="AP54" s="8">
        <f>IF(W54="",0,IF(W54&lt;=0.02,0,(W54/100)/($AP$3/100)/炼钢参数表!S54*1000))</f>
        <v>0</v>
      </c>
      <c r="AQ54" s="8">
        <f>IF(X54="",0,IF(X54&lt;=0.0002,0,(X54/100)/($AQ$3/100)/炼钢参数表!T54*1000))</f>
        <v>0</v>
      </c>
      <c r="AR54" s="8">
        <f>IF(Y54="",0,IF(Y54&lt;=0.02,0,(Y54/100)/($AR$3/100)/炼钢参数表!U54*1000))</f>
        <v>0</v>
      </c>
      <c r="AS54" s="8">
        <f>IF(L54&lt;=0.04,0,((L54-0.04)/100)/($AS$3/100)/炼钢参数表!V54*1000)</f>
        <v>0</v>
      </c>
      <c r="AT54" s="8">
        <f>IF(M54&lt;=0.03,0,((M54-0.03)/100)/($AT$3/100)/炼钢参数表!W54*1000)</f>
        <v>0</v>
      </c>
      <c r="AU54" s="6"/>
      <c r="AV54" s="8">
        <f t="shared" si="0"/>
        <v>17.0593855058139</v>
      </c>
      <c r="AW54" s="8" cm="1">
        <f t="array" ref="AW54">SUMPRODUCT($AB$4:$AU$4,AB54:AU54)/1000</f>
        <v>172.99864911419101</v>
      </c>
      <c r="AY54" s="2" t="str">
        <f t="shared" si="1"/>
        <v>Q355ME-1</v>
      </c>
      <c r="AZ54" s="37">
        <f>VLOOKUP(AY54,炼钢参数表!$F$5:$J$1027,4,0)</f>
        <v>4.2733333333333297E-2</v>
      </c>
      <c r="BA54" s="37">
        <f t="shared" si="2"/>
        <v>3.22666666666667E-2</v>
      </c>
      <c r="BB54" s="37">
        <f>AB54*$BB$4*炼钢参数表!$X$5/1000</f>
        <v>1.6407574901074098E-2</v>
      </c>
      <c r="BC54" s="37">
        <f>AC54*$BC$4*炼钢参数表!$X$5/1000</f>
        <v>0</v>
      </c>
      <c r="BD54" s="37">
        <f>AD54*$BD$4*炼钢参数表!$X$5/1000</f>
        <v>5.54086621837917E-3</v>
      </c>
      <c r="BE54" s="37">
        <f>AE54*$BE$4*炼钢参数表!$X$5/1000</f>
        <v>0</v>
      </c>
      <c r="BF54" s="37">
        <f>AL54*$BF$4*炼钢参数表!$X$5/1000</f>
        <v>0</v>
      </c>
      <c r="BG54" s="37">
        <f>AM54*$BG$4*炼钢参数表!$X$5/1000</f>
        <v>0</v>
      </c>
      <c r="BH54" s="37">
        <f t="shared" si="3"/>
        <v>2.19484411194532E-2</v>
      </c>
      <c r="BI54" s="37">
        <f t="shared" si="4"/>
        <v>6.46817744527865E-2</v>
      </c>
      <c r="BJ54" s="37">
        <f t="shared" si="5"/>
        <v>-1.0318225547213501E-2</v>
      </c>
      <c r="BK54" s="54"/>
      <c r="BL54" s="7"/>
    </row>
    <row r="55" spans="1:64" s="18" customFormat="1" x14ac:dyDescent="0.3">
      <c r="A55" s="21">
        <v>51</v>
      </c>
      <c r="B55" s="4" t="s">
        <v>108</v>
      </c>
      <c r="C55" s="4" t="s">
        <v>23</v>
      </c>
      <c r="D55" s="4">
        <v>5.01</v>
      </c>
      <c r="E55" s="4">
        <v>12</v>
      </c>
      <c r="F55" s="4" t="s">
        <v>111</v>
      </c>
      <c r="G55" s="50" t="s">
        <v>110</v>
      </c>
      <c r="H55" s="4">
        <v>1522</v>
      </c>
      <c r="I55" s="51">
        <v>7.4999999999999997E-2</v>
      </c>
      <c r="J55" s="52">
        <v>0.15</v>
      </c>
      <c r="K55" s="52">
        <v>1.25</v>
      </c>
      <c r="L55" s="51">
        <v>1.4999999999999999E-2</v>
      </c>
      <c r="M55" s="51">
        <v>4.0000000000000001E-3</v>
      </c>
      <c r="N55" s="51"/>
      <c r="O55" s="51">
        <v>1.4999999999999999E-2</v>
      </c>
      <c r="P55" s="51">
        <v>0.02</v>
      </c>
      <c r="Q55" s="51">
        <v>2.5000000000000001E-2</v>
      </c>
      <c r="R55" s="51" t="s">
        <v>631</v>
      </c>
      <c r="S55" s="32"/>
      <c r="T55" s="52"/>
      <c r="U55" s="52"/>
      <c r="V55" s="52"/>
      <c r="W55" s="52"/>
      <c r="X55" s="32"/>
      <c r="Y55" s="53" t="s">
        <v>631</v>
      </c>
      <c r="Z55" s="4">
        <v>45</v>
      </c>
      <c r="AA55" s="53" t="s">
        <v>631</v>
      </c>
      <c r="AB55" s="42">
        <f>IF(J55&lt;=0.04,0,IF((BA55-AL55*BF$4*炼钢参数表!$X$5/1000-AM55*BG$4*炼钢参数表!$X$5/1000)&lt;=0.03,0,IF((J55/100/0.1769/炼钢参数表!K55*1000)&gt;(K55-炼钢参数表!J55)/100/0.6566/炼钢参数表!L55*1000,IF(K55&lt;1.6,(K55-炼钢参数表!J55)/100/0.6566/炼钢参数表!L55*1000,(K55-0.08-炼钢参数表!J55)/100/0.6566/炼钢参数表!L55*1000),IF(K55&lt;1.6,J55/100/0.1769/炼钢参数表!K55*1000,(J55-0.08)/100/0.1769/炼钢参数表!K55*1000))))</f>
        <v>10.5992085924251</v>
      </c>
      <c r="AC55" s="8">
        <f>IF((BA55-AB55*$BB$4*0.9/1000-AL55*BF$4*炼钢参数表!$X$5/1000-AM55*BG$4*炼钢参数表!$X$5/1000)&lt;(K55-炼钢参数表!J55-AB55*0.6566*炼钢参数表!L55/10)*0.082,0,(K55-炼钢参数表!J55-AB55*0.6566*炼钢参数表!L55/10)/100/($AC$3/100)/炼钢参数表!L55*1000)</f>
        <v>0</v>
      </c>
      <c r="AD55" s="8">
        <f>IF((BA55-AB55*$BB$4*0.9/1000-AC55*$BC$4*0.9/1000-AL55*BF$4*炼钢参数表!$X$5/1000-AM55*BG$4*炼钢参数表!$X$5/1000)&lt;=(K55-炼钢参数表!J55-AB55*0.6566*炼钢参数表!L55/10-AC55*($AC$3/100)*炼钢参数表!L55/10)*0.02,0,((K55-炼钢参数表!J55-AB55*0.6566*炼钢参数表!L55/10-AC55*($AC$3/100)*炼钢参数表!L55/10)/100/($AD$3/100)/炼钢参数表!L55*1000))</f>
        <v>6.0531768275917299</v>
      </c>
      <c r="AE55" s="8">
        <f>(K55-炼钢参数表!J55-AB55*0.6566*炼钢参数表!L55/10-AC55*($AC$3/100)*炼钢参数表!L55/10-AD55*($AD$3/100)*炼钢参数表!L55/10)/100/($AE$3/100)/炼钢参数表!L55*1000</f>
        <v>0</v>
      </c>
      <c r="AF55" s="8">
        <v>0</v>
      </c>
      <c r="AG55" s="8">
        <f>IF(J55&lt;=0.04,0,((J55-(AB55*0.1769*炼钢参数表!K55/1000*100))/100/炼钢参数表!K55/($AG$3/100)*1000))</f>
        <v>0</v>
      </c>
      <c r="AH55" s="8">
        <v>1.7</v>
      </c>
      <c r="AI55" s="8">
        <f>IF(N55="",0,IF(N55&lt;=0.002,0,((N55)/100)/($AI$3/100)/炼钢参数表!M55*1000))</f>
        <v>0</v>
      </c>
      <c r="AJ55" s="8">
        <f>IF(O55="",0,IF(O55&lt;=0.002,0,((O55)/100)/($AJ$3/100)/炼钢参数表!N55*1000))</f>
        <v>0.23533398599292099</v>
      </c>
      <c r="AK55" s="8">
        <f>IF(P55="",0,IF(P55&lt;=0.002,0,((P55+0.005)/100)/($AK$3/100)/炼钢参数表!O55*1000))</f>
        <v>0.49894224244601398</v>
      </c>
      <c r="AL55" s="8">
        <f>IF((BA55-J55*0.00003-K55*0.00024)&lt;=0.05,0,IF(T55="",0,IF(T55&lt;=0.03,0,IF(((BA55-J55*0.00003-K55*0.00024)-0.05)/0.18/100/($AL$3/100)/炼钢参数表!P55*1000&lt;=T55/100/($AL$3/100)/炼钢参数表!P55*1000,((BA55-J55*0.00003-K55*0.00024)-0.05)/0.18/100/($AL$3/100)/炼钢参数表!P55*1000,T55/100/($AL$3/100)/炼钢参数表!P55*1000))))</f>
        <v>0</v>
      </c>
      <c r="AM55" s="8">
        <f>IF(T55="",0,IF(T55&lt;=0.03,0,((T55-AL55*($AL$3/100)*炼钢参数表!P55/10)/100/($AM$3/100)/炼钢参数表!P55*1000)))</f>
        <v>0</v>
      </c>
      <c r="AN55" s="8">
        <f>IF(U55="",0,IF(U55&lt;=0.02,0,(U55/100)/($AN$3/100)/炼钢参数表!Q55*1000))</f>
        <v>0</v>
      </c>
      <c r="AO55" s="8">
        <f>IF(V55="",0,IF(V55&lt;=0.02,0,(V55/100)/($AO$3/100)/炼钢参数表!R55*1000))</f>
        <v>0</v>
      </c>
      <c r="AP55" s="8">
        <f>IF(W55="",0,IF(W55&lt;=0.02,0,(W55/100)/($AP$3/100)/炼钢参数表!S55*1000))</f>
        <v>0</v>
      </c>
      <c r="AQ55" s="8">
        <f>IF(X55="",0,IF(X55&lt;=0.0002,0,(X55/100)/($AQ$3/100)/炼钢参数表!T55*1000))</f>
        <v>0</v>
      </c>
      <c r="AR55" s="8">
        <f>IF(Y55="",0,IF(Y55&lt;=0.02,0,(Y55/100)/($AR$3/100)/炼钢参数表!U55*1000))</f>
        <v>0</v>
      </c>
      <c r="AS55" s="8">
        <f>IF(L55&lt;=0.04,0,((L55-0.04)/100)/($AS$3/100)/炼钢参数表!V55*1000)</f>
        <v>0</v>
      </c>
      <c r="AT55" s="8">
        <f>IF(M55&lt;=0.03,0,((M55-0.03)/100)/($AT$3/100)/炼钢参数表!W55*1000)</f>
        <v>0</v>
      </c>
      <c r="AU55" s="6"/>
      <c r="AV55" s="8">
        <f t="shared" si="0"/>
        <v>19.086661648455799</v>
      </c>
      <c r="AW55" s="8" cm="1">
        <f t="array" ref="AW55">SUMPRODUCT($AB$4:$AU$4,AB55:AU55)/1000</f>
        <v>204.958394775344</v>
      </c>
      <c r="AY55" s="2" t="str">
        <f t="shared" si="1"/>
        <v>Q355ME-2</v>
      </c>
      <c r="AZ55" s="37">
        <f>VLOOKUP(AY55,炼钢参数表!$F$5:$J$1027,4,0)</f>
        <v>4.2733333333333297E-2</v>
      </c>
      <c r="BA55" s="37">
        <f t="shared" si="2"/>
        <v>3.22666666666667E-2</v>
      </c>
      <c r="BB55" s="37">
        <f>AB55*$BB$4*炼钢参数表!$X$5/1000</f>
        <v>1.6407574901074098E-2</v>
      </c>
      <c r="BC55" s="37">
        <f>AC55*$BC$4*炼钢参数表!$X$5/1000</f>
        <v>0</v>
      </c>
      <c r="BD55" s="37">
        <f>AD55*$BD$4*炼钢参数表!$X$5/1000</f>
        <v>8.1717887172488395E-3</v>
      </c>
      <c r="BE55" s="37">
        <f>AE55*$BE$4*炼钢参数表!$X$5/1000</f>
        <v>0</v>
      </c>
      <c r="BF55" s="37">
        <f>AL55*$BF$4*炼钢参数表!$X$5/1000</f>
        <v>0</v>
      </c>
      <c r="BG55" s="37">
        <f>AM55*$BG$4*炼钢参数表!$X$5/1000</f>
        <v>0</v>
      </c>
      <c r="BH55" s="37">
        <f t="shared" si="3"/>
        <v>2.45793636183229E-2</v>
      </c>
      <c r="BI55" s="37">
        <f t="shared" si="4"/>
        <v>6.7312696951656203E-2</v>
      </c>
      <c r="BJ55" s="37">
        <f t="shared" si="5"/>
        <v>-7.6873030483438102E-3</v>
      </c>
      <c r="BK55" s="54"/>
      <c r="BL55" s="7"/>
    </row>
    <row r="56" spans="1:64" s="18" customFormat="1" x14ac:dyDescent="0.3">
      <c r="A56" s="21">
        <v>52</v>
      </c>
      <c r="B56" s="4" t="s">
        <v>108</v>
      </c>
      <c r="C56" s="4" t="s">
        <v>90</v>
      </c>
      <c r="D56" s="4">
        <v>12.01</v>
      </c>
      <c r="E56" s="4">
        <v>25.4</v>
      </c>
      <c r="F56" s="4" t="s">
        <v>112</v>
      </c>
      <c r="G56" s="50" t="s">
        <v>110</v>
      </c>
      <c r="H56" s="4">
        <v>1522</v>
      </c>
      <c r="I56" s="51">
        <v>7.4999999999999997E-2</v>
      </c>
      <c r="J56" s="52">
        <v>0.15</v>
      </c>
      <c r="K56" s="52">
        <v>1.35</v>
      </c>
      <c r="L56" s="51">
        <v>1.4999999999999999E-2</v>
      </c>
      <c r="M56" s="51">
        <v>4.0000000000000001E-3</v>
      </c>
      <c r="N56" s="51"/>
      <c r="O56" s="51">
        <v>1.4999999999999999E-2</v>
      </c>
      <c r="P56" s="51">
        <v>0.02</v>
      </c>
      <c r="Q56" s="51">
        <v>2.5000000000000001E-2</v>
      </c>
      <c r="R56" s="51" t="s">
        <v>631</v>
      </c>
      <c r="S56" s="32"/>
      <c r="T56" s="52"/>
      <c r="U56" s="52"/>
      <c r="V56" s="52"/>
      <c r="W56" s="52"/>
      <c r="X56" s="32"/>
      <c r="Y56" s="53" t="s">
        <v>631</v>
      </c>
      <c r="Z56" s="4">
        <v>45</v>
      </c>
      <c r="AA56" s="53" t="s">
        <v>631</v>
      </c>
      <c r="AB56" s="42">
        <f>IF(J56&lt;=0.04,0,IF((BA56-AL56*BF$4*炼钢参数表!$X$5/1000-AM56*BG$4*炼钢参数表!$X$5/1000)&lt;=0.03,0,IF((J56/100/0.1769/炼钢参数表!K56*1000)&gt;(K56-炼钢参数表!J56)/100/0.6566/炼钢参数表!L56*1000,IF(K56&lt;1.6,(K56-炼钢参数表!J56)/100/0.6566/炼钢参数表!L56*1000,(K56-0.08-炼钢参数表!J56)/100/0.6566/炼钢参数表!L56*1000),IF(K56&lt;1.6,J56/100/0.1769/炼钢参数表!K56*1000,(J56-0.08)/100/0.1769/炼钢参数表!K56*1000))))</f>
        <v>10.5992085924251</v>
      </c>
      <c r="AC56" s="8">
        <f>IF((BA56-AB56*$BB$4*0.9/1000-AL56*BF$4*炼钢参数表!$X$5/1000-AM56*BG$4*炼钢参数表!$X$5/1000)&lt;(K56-炼钢参数表!J56-AB56*0.6566*炼钢参数表!L56/10)*0.082,0,(K56-炼钢参数表!J56-AB56*0.6566*炼钢参数表!L56/10)/100/($AC$3/100)/炼钢参数表!L56*1000)</f>
        <v>0</v>
      </c>
      <c r="AD56" s="8">
        <f>IF((BA56-AB56*$BB$4*0.9/1000-AC56*$BC$4*0.9/1000-AL56*BF$4*炼钢参数表!$X$5/1000-AM56*BG$4*炼钢参数表!$X$5/1000)&lt;=(K56-炼钢参数表!J56-AB56*0.6566*炼钢参数表!L56/10-AC56*($AC$3/100)*炼钢参数表!L56/10)*0.02,0,((K56-炼钢参数表!J56-AB56*0.6566*炼钢参数表!L56/10-AC56*($AC$3/100)*炼钢参数表!L56/10)/100/($AD$3/100)/炼钢参数表!L56*1000))</f>
        <v>7.3523978146878699</v>
      </c>
      <c r="AE56" s="8">
        <f>(K56-炼钢参数表!J56-AB56*0.6566*炼钢参数表!L56/10-AC56*($AC$3/100)*炼钢参数表!L56/10-AD56*($AD$3/100)*炼钢参数表!L56/10)/100/($AE$3/100)/炼钢参数表!L56*1000</f>
        <v>0</v>
      </c>
      <c r="AF56" s="8">
        <v>0</v>
      </c>
      <c r="AG56" s="8">
        <f>IF(J56&lt;=0.04,0,((J56-(AB56*0.1769*炼钢参数表!K56/1000*100))/100/炼钢参数表!K56/($AG$3/100)*1000))</f>
        <v>0</v>
      </c>
      <c r="AH56" s="8">
        <v>1.7</v>
      </c>
      <c r="AI56" s="8">
        <f>IF(N56="",0,IF(N56&lt;=0.002,0,((N56)/100)/($AI$3/100)/炼钢参数表!M56*1000))</f>
        <v>0</v>
      </c>
      <c r="AJ56" s="8">
        <f>IF(O56="",0,IF(O56&lt;=0.002,0,((O56)/100)/($AJ$3/100)/炼钢参数表!N56*1000))</f>
        <v>0.23533398599292099</v>
      </c>
      <c r="AK56" s="8">
        <f>IF(P56="",0,IF(P56&lt;=0.002,0,((P56+0.005)/100)/($AK$3/100)/炼钢参数表!O56*1000))</f>
        <v>0.49894224244601398</v>
      </c>
      <c r="AL56" s="8">
        <f>IF((BA56-J56*0.00003-K56*0.00024)&lt;=0.05,0,IF(T56="",0,IF(T56&lt;=0.03,0,IF(((BA56-J56*0.00003-K56*0.00024)-0.05)/0.18/100/($AL$3/100)/炼钢参数表!P56*1000&lt;=T56/100/($AL$3/100)/炼钢参数表!P56*1000,((BA56-J56*0.00003-K56*0.00024)-0.05)/0.18/100/($AL$3/100)/炼钢参数表!P56*1000,T56/100/($AL$3/100)/炼钢参数表!P56*1000))))</f>
        <v>0</v>
      </c>
      <c r="AM56" s="8">
        <f>IF(T56="",0,IF(T56&lt;=0.03,0,((T56-AL56*($AL$3/100)*炼钢参数表!P56/10)/100/($AM$3/100)/炼钢参数表!P56*1000)))</f>
        <v>0</v>
      </c>
      <c r="AN56" s="8">
        <f>IF(U56="",0,IF(U56&lt;=0.02,0,(U56/100)/($AN$3/100)/炼钢参数表!Q56*1000))</f>
        <v>0</v>
      </c>
      <c r="AO56" s="8">
        <f>IF(V56="",0,IF(V56&lt;=0.02,0,(V56/100)/($AO$3/100)/炼钢参数表!R56*1000))</f>
        <v>0</v>
      </c>
      <c r="AP56" s="8">
        <f>IF(W56="",0,IF(W56&lt;=0.02,0,(W56/100)/($AP$3/100)/炼钢参数表!S56*1000))</f>
        <v>0</v>
      </c>
      <c r="AQ56" s="8">
        <f>IF(X56="",0,IF(X56&lt;=0.0002,0,(X56/100)/($AQ$3/100)/炼钢参数表!T56*1000))</f>
        <v>0</v>
      </c>
      <c r="AR56" s="8">
        <f>IF(Y56="",0,IF(Y56&lt;=0.02,0,(Y56/100)/($AR$3/100)/炼钢参数表!U56*1000))</f>
        <v>0</v>
      </c>
      <c r="AS56" s="8">
        <f>IF(L56&lt;=0.04,0,((L56-0.04)/100)/($AS$3/100)/炼钢参数表!V56*1000)</f>
        <v>0</v>
      </c>
      <c r="AT56" s="8">
        <f>IF(M56&lt;=0.03,0,((M56-0.03)/100)/($AT$3/100)/炼钢参数表!W56*1000)</f>
        <v>0</v>
      </c>
      <c r="AU56" s="6"/>
      <c r="AV56" s="8">
        <f t="shared" si="0"/>
        <v>20.385882635551901</v>
      </c>
      <c r="AW56" s="8" cm="1">
        <f t="array" ref="AW56">SUMPRODUCT($AB$4:$AU$4,AB56:AU56)/1000</f>
        <v>215.00148798090501</v>
      </c>
      <c r="AY56" s="2" t="str">
        <f t="shared" si="1"/>
        <v>Q355ME-3</v>
      </c>
      <c r="AZ56" s="37">
        <f>VLOOKUP(AY56,炼钢参数表!$F$5:$J$1027,4,0)</f>
        <v>4.2733333333333297E-2</v>
      </c>
      <c r="BA56" s="37">
        <f t="shared" si="2"/>
        <v>3.22666666666667E-2</v>
      </c>
      <c r="BB56" s="37">
        <f>AB56*$BB$4*炼钢参数表!$X$5/1000</f>
        <v>1.6407574901074098E-2</v>
      </c>
      <c r="BC56" s="37">
        <f>AC56*$BC$4*炼钢参数表!$X$5/1000</f>
        <v>0</v>
      </c>
      <c r="BD56" s="37">
        <f>AD56*$BD$4*炼钢参数表!$X$5/1000</f>
        <v>9.9257370498286295E-3</v>
      </c>
      <c r="BE56" s="37">
        <f>AE56*$BE$4*炼钢参数表!$X$5/1000</f>
        <v>0</v>
      </c>
      <c r="BF56" s="37">
        <f>AL56*$BF$4*炼钢参数表!$X$5/1000</f>
        <v>0</v>
      </c>
      <c r="BG56" s="37">
        <f>AM56*$BG$4*炼钢参数表!$X$5/1000</f>
        <v>0</v>
      </c>
      <c r="BH56" s="37">
        <f t="shared" si="3"/>
        <v>2.6333311950902698E-2</v>
      </c>
      <c r="BI56" s="37">
        <f t="shared" si="4"/>
        <v>6.9066645284236006E-2</v>
      </c>
      <c r="BJ56" s="37">
        <f t="shared" si="5"/>
        <v>-5.9333547157640202E-3</v>
      </c>
      <c r="BK56" s="54"/>
      <c r="BL56" s="7"/>
    </row>
    <row r="57" spans="1:64" s="18" customFormat="1" x14ac:dyDescent="0.3">
      <c r="A57" s="21">
        <v>53</v>
      </c>
      <c r="B57" s="4" t="s">
        <v>113</v>
      </c>
      <c r="C57" s="4" t="s">
        <v>23</v>
      </c>
      <c r="D57" s="4">
        <v>1.8</v>
      </c>
      <c r="E57" s="4">
        <v>5.99</v>
      </c>
      <c r="F57" s="4" t="s">
        <v>113</v>
      </c>
      <c r="G57" s="50" t="s">
        <v>114</v>
      </c>
      <c r="H57" s="4">
        <v>1525</v>
      </c>
      <c r="I57" s="51">
        <v>7.0000000000000007E-2</v>
      </c>
      <c r="J57" s="52">
        <v>0.1</v>
      </c>
      <c r="K57" s="52">
        <v>0.95</v>
      </c>
      <c r="L57" s="51">
        <v>0.02</v>
      </c>
      <c r="M57" s="51">
        <v>6.0000000000000001E-3</v>
      </c>
      <c r="N57" s="51"/>
      <c r="O57" s="51">
        <v>0.01</v>
      </c>
      <c r="P57" s="51">
        <v>0.03</v>
      </c>
      <c r="Q57" s="51">
        <v>2.5000000000000001E-2</v>
      </c>
      <c r="R57" s="51" t="s">
        <v>631</v>
      </c>
      <c r="S57" s="32"/>
      <c r="T57" s="52"/>
      <c r="U57" s="52"/>
      <c r="V57" s="52"/>
      <c r="W57" s="52"/>
      <c r="X57" s="32" t="s">
        <v>631</v>
      </c>
      <c r="Y57" s="53" t="s">
        <v>631</v>
      </c>
      <c r="Z57" s="4">
        <v>45</v>
      </c>
      <c r="AA57" s="53" t="s">
        <v>631</v>
      </c>
      <c r="AB57" s="42">
        <f>IF(J57&lt;=0.04,0,IF((BA57-AL57*BF$4*炼钢参数表!$X$5/1000-AM57*BG$4*炼钢参数表!$X$5/1000)&lt;=0.03,0,IF((J57/100/0.1769/炼钢参数表!K57*1000)&gt;(K57-炼钢参数表!J57)/100/0.6566/炼钢参数表!L57*1000,IF(K57&lt;1.6,(K57-炼钢参数表!J57)/100/0.6566/炼钢参数表!L57*1000,(K57-0.08-炼钢参数表!J57)/100/0.6566/炼钢参数表!L57*1000),IF(K57&lt;1.6,J57/100/0.1769/炼钢参数表!K57*1000,(J57-0.08)/100/0.1769/炼钢参数表!K57*1000))))</f>
        <v>0</v>
      </c>
      <c r="AC57" s="8">
        <f>IF((BA57-AB57*$BB$4*0.9/1000-AL57*BF$4*炼钢参数表!$X$5/1000-AM57*BG$4*炼钢参数表!$X$5/1000)&lt;(K57-炼钢参数表!J57-AB57*0.6566*炼钢参数表!L57/10)*0.082,0,(K57-炼钢参数表!J57-AB57*0.6566*炼钢参数表!L57/10)/100/($AC$3/100)/炼钢参数表!L57*1000)</f>
        <v>0</v>
      </c>
      <c r="AD57" s="8">
        <f>IF((BA57-AB57*$BB$4*0.9/1000-AC57*$BC$4*0.9/1000-AL57*BF$4*炼钢参数表!$X$5/1000-AM57*BG$4*炼钢参数表!$X$5/1000)&lt;=(K57-炼钢参数表!J57-AB57*0.6566*炼钢参数表!L57/10-AC57*($AC$3/100)*炼钢参数表!L57/10)*0.02,0,((K57-炼钢参数表!J57-AB57*0.6566*炼钢参数表!L57/10-AC57*($AC$3/100)*炼钢参数表!L57/10)/100/($AD$3/100)/炼钢参数表!L57*1000))</f>
        <v>10.9740866043387</v>
      </c>
      <c r="AE57" s="8">
        <f>(K57-炼钢参数表!J57-AB57*0.6566*炼钢参数表!L57/10-AC57*($AC$3/100)*炼钢参数表!L57/10-AD57*($AD$3/100)*炼钢参数表!L57/10)/100/($AE$3/100)/炼钢参数表!L57*1000</f>
        <v>0</v>
      </c>
      <c r="AF57" s="8">
        <v>0</v>
      </c>
      <c r="AG57" s="8">
        <f>IF(J57&lt;=0.04,0,((J57-(AB57*0.1769*炼钢参数表!K57/1000*100))/100/炼钢参数表!K57/($AG$3/100)*1000))</f>
        <v>1.7305828603073501</v>
      </c>
      <c r="AH57" s="8">
        <v>1.8</v>
      </c>
      <c r="AI57" s="8">
        <f>IF(N57="",0,IF(N57&lt;=0.002,0,((N57)/100)/($AI$3/100)/炼钢参数表!M57*1000))</f>
        <v>0</v>
      </c>
      <c r="AJ57" s="8">
        <f>IF(O57="",0,IF(O57&lt;=0.002,0,((O57)/100)/($AJ$3/100)/炼钢参数表!N57*1000))</f>
        <v>0.15688932399528099</v>
      </c>
      <c r="AK57" s="8">
        <f>IF(P57="",0,IF(P57&lt;=0.002,0,((P57+0.005)/100)/($AK$3/100)/炼钢参数表!O57*1000))</f>
        <v>0.69851913942442001</v>
      </c>
      <c r="AL57" s="8">
        <f>IF((BA57-J57*0.00003-K57*0.00024)&lt;=0.05,0,IF(T57="",0,IF(T57&lt;=0.03,0,IF(((BA57-J57*0.00003-K57*0.00024)-0.05)/0.18/100/($AL$3/100)/炼钢参数表!P57*1000&lt;=T57/100/($AL$3/100)/炼钢参数表!P57*1000,((BA57-J57*0.00003-K57*0.00024)-0.05)/0.18/100/($AL$3/100)/炼钢参数表!P57*1000,T57/100/($AL$3/100)/炼钢参数表!P57*1000))))</f>
        <v>0</v>
      </c>
      <c r="AM57" s="8">
        <f>IF(T57="",0,IF(T57&lt;=0.03,0,((T57-AL57*($AL$3/100)*炼钢参数表!P57/10)/100/($AM$3/100)/炼钢参数表!P57*1000)))</f>
        <v>0</v>
      </c>
      <c r="AN57" s="8">
        <f>IF(U57="",0,IF(U57&lt;=0.02,0,(U57/100)/($AN$3/100)/炼钢参数表!Q57*1000))</f>
        <v>0</v>
      </c>
      <c r="AO57" s="8">
        <f>IF(V57="",0,IF(V57&lt;=0.02,0,(V57/100)/($AO$3/100)/炼钢参数表!R57*1000))</f>
        <v>0</v>
      </c>
      <c r="AP57" s="8">
        <f>IF(W57="",0,IF(W57&lt;=0.02,0,(W57/100)/($AP$3/100)/炼钢参数表!S57*1000))</f>
        <v>0</v>
      </c>
      <c r="AQ57" s="8">
        <f>IF(X57="",0,IF(X57&lt;=0.0002,0,(X57/100)/($AQ$3/100)/炼钢参数表!T57*1000))</f>
        <v>0</v>
      </c>
      <c r="AR57" s="8">
        <f>IF(Y57="",0,IF(Y57&lt;=0.02,0,(Y57/100)/($AR$3/100)/炼钢参数表!U57*1000))</f>
        <v>0</v>
      </c>
      <c r="AS57" s="8">
        <f>IF(L57&lt;=0.04,0,((L57-0.04)/100)/($AS$3/100)/炼钢参数表!V57*1000)</f>
        <v>0</v>
      </c>
      <c r="AT57" s="8">
        <f>IF(M57&lt;=0.03,0,((M57-0.03)/100)/($AT$3/100)/炼钢参数表!W57*1000)</f>
        <v>0</v>
      </c>
      <c r="AU57" s="6"/>
      <c r="AV57" s="8">
        <f t="shared" si="0"/>
        <v>15.360077928065801</v>
      </c>
      <c r="AW57" s="8" cm="1">
        <f t="array" ref="AW57">SUMPRODUCT($AB$4:$AU$4,AB57:AU57)/1000</f>
        <v>184.616214044244</v>
      </c>
      <c r="AY57" s="2" t="str">
        <f t="shared" si="1"/>
        <v>Q355B-S</v>
      </c>
      <c r="AZ57" s="37">
        <f>VLOOKUP(AY57,炼钢参数表!$F$5:$J$1027,4,0)</f>
        <v>4.3999999999999997E-2</v>
      </c>
      <c r="BA57" s="37">
        <f t="shared" si="2"/>
        <v>2.5999999999999999E-2</v>
      </c>
      <c r="BB57" s="37">
        <f>AB57*$BB$4*炼钢参数表!$X$5/1000</f>
        <v>0</v>
      </c>
      <c r="BC57" s="37">
        <f>AC57*$BC$4*炼钢参数表!$X$5/1000</f>
        <v>0</v>
      </c>
      <c r="BD57" s="37">
        <f>AD57*$BD$4*炼钢参数表!$X$5/1000</f>
        <v>1.48150169158573E-2</v>
      </c>
      <c r="BE57" s="37">
        <f>AE57*$BE$4*炼钢参数表!$X$5/1000</f>
        <v>0</v>
      </c>
      <c r="BF57" s="37">
        <f>AL57*$BF$4*炼钢参数表!$X$5/1000</f>
        <v>0</v>
      </c>
      <c r="BG57" s="37">
        <f>AM57*$BG$4*炼钢参数表!$X$5/1000</f>
        <v>0</v>
      </c>
      <c r="BH57" s="37">
        <f t="shared" si="3"/>
        <v>1.48150169158573E-2</v>
      </c>
      <c r="BI57" s="37">
        <f t="shared" si="4"/>
        <v>5.88150169158572E-2</v>
      </c>
      <c r="BJ57" s="37">
        <f t="shared" si="5"/>
        <v>-1.1184983084142799E-2</v>
      </c>
      <c r="BK57" s="54"/>
      <c r="BL57" s="7"/>
    </row>
    <row r="58" spans="1:64" s="18" customFormat="1" x14ac:dyDescent="0.3">
      <c r="A58" s="21">
        <v>54</v>
      </c>
      <c r="B58" s="4" t="s">
        <v>115</v>
      </c>
      <c r="C58" s="4" t="s">
        <v>26</v>
      </c>
      <c r="D58" s="4">
        <v>0.1</v>
      </c>
      <c r="E58" s="4">
        <v>5.99</v>
      </c>
      <c r="F58" s="4" t="s">
        <v>87</v>
      </c>
      <c r="G58" s="50" t="s">
        <v>88</v>
      </c>
      <c r="H58" s="4">
        <v>1518</v>
      </c>
      <c r="I58" s="51">
        <v>0.16</v>
      </c>
      <c r="J58" s="52">
        <v>0.08</v>
      </c>
      <c r="K58" s="52">
        <v>0.35</v>
      </c>
      <c r="L58" s="51">
        <v>0.02</v>
      </c>
      <c r="M58" s="51">
        <v>0.01</v>
      </c>
      <c r="N58" s="51"/>
      <c r="O58" s="51"/>
      <c r="P58" s="51">
        <v>0.04</v>
      </c>
      <c r="Q58" s="51">
        <v>0.02</v>
      </c>
      <c r="R58" s="51" t="s">
        <v>631</v>
      </c>
      <c r="S58" s="32"/>
      <c r="T58" s="52"/>
      <c r="U58" s="52"/>
      <c r="V58" s="52"/>
      <c r="W58" s="52"/>
      <c r="X58" s="32" t="s">
        <v>631</v>
      </c>
      <c r="Y58" s="53" t="s">
        <v>631</v>
      </c>
      <c r="Z58" s="4" t="s">
        <v>631</v>
      </c>
      <c r="AA58" s="53" t="s">
        <v>631</v>
      </c>
      <c r="AB58" s="42">
        <f>IF(J58&lt;=0.04,0,IF((BA58-AL58*BF$4*炼钢参数表!$X$5/1000-AM58*BG$4*炼钢参数表!$X$5/1000)&lt;=0.03,0,IF((J58/100/0.1769/炼钢参数表!K58*1000)&gt;(K58-炼钢参数表!J58)/100/0.6566/炼钢参数表!L58*1000,IF(K58&lt;1.6,(K58-炼钢参数表!J58)/100/0.6566/炼钢参数表!L58*1000,(K58-0.08-炼钢参数表!J58)/100/0.6566/炼钢参数表!L58*1000),IF(K58&lt;1.6,J58/100/0.1769/炼钢参数表!K58*1000,(J58-0.08)/100/0.1769/炼钢参数表!K58*1000))))</f>
        <v>3.5358863684437001</v>
      </c>
      <c r="AC58" s="8">
        <f>IF((BA58-AB58*$BB$4*0.9/1000-AL58*BF$4*炼钢参数表!$X$5/1000-AM58*BG$4*炼钢参数表!$X$5/1000)&lt;(K58-炼钢参数表!J58-AB58*0.6566*炼钢参数表!L58/10)*0.082,0,(K58-炼钢参数表!J58-AB58*0.6566*炼钢参数表!L58/10)/100/($AC$3/100)/炼钢参数表!L58*1000)</f>
        <v>0</v>
      </c>
      <c r="AD58" s="8">
        <f>IF((BA58-AB58*$BB$4*0.9/1000-AC58*$BC$4*0.9/1000-AL58*BF$4*炼钢参数表!$X$5/1000-AM58*BG$4*炼钢参数表!$X$5/1000)&lt;=(K58-炼钢参数表!J58-AB58*0.6566*炼钢参数表!L58/10-AC58*($AC$3/100)*炼钢参数表!L58/10)*0.02,0,((K58-炼钢参数表!J58-AB58*0.6566*炼钢参数表!L58/10-AC58*($AC$3/100)*炼钢参数表!L58/10)/100/($AD$3/100)/炼钢参数表!L58*1000))</f>
        <v>0</v>
      </c>
      <c r="AE58" s="8">
        <f>(K58-炼钢参数表!J58-AB58*0.6566*炼钢参数表!L58/10-AC58*($AC$3/100)*炼钢参数表!L58/10-AD58*($AD$3/100)*炼钢参数表!L58/10)/100/($AE$3/100)/炼钢参数表!L58*1000</f>
        <v>0</v>
      </c>
      <c r="AF58" s="8">
        <v>0</v>
      </c>
      <c r="AG58" s="8">
        <f>IF(J58&lt;=0.04,0,((J58-(AB58*0.1769*炼钢参数表!K58/1000*100))/100/炼钢参数表!K58/($AG$3/100)*1000))</f>
        <v>0.51848498050991199</v>
      </c>
      <c r="AH58" s="8">
        <v>1.4</v>
      </c>
      <c r="AI58" s="8">
        <f>IF(N58="",0,IF(N58&lt;=0.002,0,((N58)/100)/($AI$3/100)/炼钢参数表!M58*1000))</f>
        <v>0</v>
      </c>
      <c r="AJ58" s="8">
        <f>IF(O58="",0,IF(O58&lt;=0.002,0,((O58)/100)/($AJ$3/100)/炼钢参数表!N58*1000))</f>
        <v>0</v>
      </c>
      <c r="AK58" s="8">
        <f>IF(P58="",0,IF(P58&lt;=0.002,0,((P58+0.005)/100)/($AK$3/100)/炼钢参数表!O58*1000))</f>
        <v>0.89809603640282598</v>
      </c>
      <c r="AL58" s="8">
        <f>IF((BA58-J58*0.00003-K58*0.00024)&lt;=0.05,0,IF(T58="",0,IF(T58&lt;=0.03,0,IF(((BA58-J58*0.00003-K58*0.00024)-0.05)/0.18/100/($AL$3/100)/炼钢参数表!P58*1000&lt;=T58/100/($AL$3/100)/炼钢参数表!P58*1000,((BA58-J58*0.00003-K58*0.00024)-0.05)/0.18/100/($AL$3/100)/炼钢参数表!P58*1000,T58/100/($AL$3/100)/炼钢参数表!P58*1000))))</f>
        <v>0</v>
      </c>
      <c r="AM58" s="8">
        <f>IF(T58="",0,IF(T58&lt;=0.03,0,((T58-AL58*($AL$3/100)*炼钢参数表!P58/10)/100/($AM$3/100)/炼钢参数表!P58*1000)))</f>
        <v>0</v>
      </c>
      <c r="AN58" s="8">
        <f>IF(U58="",0,IF(U58&lt;=0.02,0,(U58/100)/($AN$3/100)/炼钢参数表!Q58*1000))</f>
        <v>0</v>
      </c>
      <c r="AO58" s="8">
        <f>IF(V58="",0,IF(V58&lt;=0.02,0,(V58/100)/($AO$3/100)/炼钢参数表!R58*1000))</f>
        <v>0</v>
      </c>
      <c r="AP58" s="8">
        <f>IF(W58="",0,IF(W58&lt;=0.02,0,(W58/100)/($AP$3/100)/炼钢参数表!S58*1000))</f>
        <v>0</v>
      </c>
      <c r="AQ58" s="8">
        <f>IF(X58="",0,IF(X58&lt;=0.0002,0,(X58/100)/($AQ$3/100)/炼钢参数表!T58*1000))</f>
        <v>0</v>
      </c>
      <c r="AR58" s="8">
        <f>IF(Y58="",0,IF(Y58&lt;=0.02,0,(Y58/100)/($AR$3/100)/炼钢参数表!U58*1000))</f>
        <v>0</v>
      </c>
      <c r="AS58" s="8">
        <f>IF(L58&lt;=0.04,0,((L58-0.04)/100)/($AS$3/100)/炼钢参数表!V58*1000)</f>
        <v>0</v>
      </c>
      <c r="AT58" s="8">
        <f>IF(M58&lt;=0.03,0,((M58-0.03)/100)/($AT$3/100)/炼钢参数表!W58*1000)</f>
        <v>0</v>
      </c>
      <c r="AU58" s="6"/>
      <c r="AV58" s="8">
        <f t="shared" si="0"/>
        <v>6.35246738535644</v>
      </c>
      <c r="AW58" s="8" cm="1">
        <f t="array" ref="AW58">SUMPRODUCT($AB$4:$AU$4,AB58:AU58)/1000</f>
        <v>74.760104083632598</v>
      </c>
      <c r="AY58" s="2" t="str">
        <f t="shared" si="1"/>
        <v>Q355B-1</v>
      </c>
      <c r="AZ58" s="37">
        <f>VLOOKUP(AY58,炼钢参数表!$F$5:$J$1027,4,0)</f>
        <v>7.0817567567567602E-2</v>
      </c>
      <c r="BA58" s="37">
        <f t="shared" si="2"/>
        <v>8.9182432432432401E-2</v>
      </c>
      <c r="BB58" s="37">
        <f>AB58*$BB$4*炼钢参数表!$X$5/1000</f>
        <v>5.4735520983508496E-3</v>
      </c>
      <c r="BC58" s="37">
        <f>AC58*$BC$4*炼钢参数表!$X$5/1000</f>
        <v>0</v>
      </c>
      <c r="BD58" s="37">
        <f>AD58*$BD$4*炼钢参数表!$X$5/1000</f>
        <v>0</v>
      </c>
      <c r="BE58" s="37">
        <f>AE58*$BE$4*炼钢参数表!$X$5/1000</f>
        <v>0</v>
      </c>
      <c r="BF58" s="37">
        <f>AL58*$BF$4*炼钢参数表!$X$5/1000</f>
        <v>0</v>
      </c>
      <c r="BG58" s="37">
        <f>AM58*$BG$4*炼钢参数表!$X$5/1000</f>
        <v>0</v>
      </c>
      <c r="BH58" s="37">
        <f t="shared" si="3"/>
        <v>5.4735520983508496E-3</v>
      </c>
      <c r="BI58" s="37">
        <f t="shared" si="4"/>
        <v>7.6291119665918394E-2</v>
      </c>
      <c r="BJ58" s="37">
        <f t="shared" si="5"/>
        <v>-8.3708880334081595E-2</v>
      </c>
      <c r="BK58" s="54"/>
      <c r="BL58" s="7"/>
    </row>
    <row r="59" spans="1:64" s="18" customFormat="1" x14ac:dyDescent="0.3">
      <c r="A59" s="21">
        <v>55</v>
      </c>
      <c r="B59" s="4" t="s">
        <v>115</v>
      </c>
      <c r="C59" s="4" t="s">
        <v>23</v>
      </c>
      <c r="D59" s="4">
        <v>6</v>
      </c>
      <c r="E59" s="4">
        <v>15.99</v>
      </c>
      <c r="F59" s="4" t="s">
        <v>89</v>
      </c>
      <c r="G59" s="50" t="s">
        <v>88</v>
      </c>
      <c r="H59" s="4">
        <v>1517</v>
      </c>
      <c r="I59" s="51">
        <v>0.16</v>
      </c>
      <c r="J59" s="52">
        <v>0.08</v>
      </c>
      <c r="K59" s="52">
        <v>0.5</v>
      </c>
      <c r="L59" s="51">
        <v>0.02</v>
      </c>
      <c r="M59" s="51">
        <v>0.01</v>
      </c>
      <c r="N59" s="51"/>
      <c r="O59" s="51"/>
      <c r="P59" s="51">
        <v>0.04</v>
      </c>
      <c r="Q59" s="51">
        <v>0.02</v>
      </c>
      <c r="R59" s="51" t="s">
        <v>631</v>
      </c>
      <c r="S59" s="32"/>
      <c r="T59" s="52"/>
      <c r="U59" s="52"/>
      <c r="V59" s="52"/>
      <c r="W59" s="52"/>
      <c r="X59" s="32" t="s">
        <v>631</v>
      </c>
      <c r="Y59" s="53" t="s">
        <v>631</v>
      </c>
      <c r="Z59" s="4" t="s">
        <v>631</v>
      </c>
      <c r="AA59" s="53" t="s">
        <v>631</v>
      </c>
      <c r="AB59" s="42">
        <f>IF(J59&lt;=0.04,0,IF((BA59-AL59*BF$4*炼钢参数表!$X$5/1000-AM59*BG$4*炼钢参数表!$X$5/1000)&lt;=0.03,0,IF((J59/100/0.1769/炼钢参数表!K59*1000)&gt;(K59-炼钢参数表!J59)/100/0.6566/炼钢参数表!L59*1000,IF(K59&lt;1.6,(K59-炼钢参数表!J59)/100/0.6566/炼钢参数表!L59*1000,(K59-0.08-炼钢参数表!J59)/100/0.6566/炼钢参数表!L59*1000),IF(K59&lt;1.6,J59/100/0.1769/炼钢参数表!K59*1000,(J59-0.08)/100/0.1769/炼钢参数表!K59*1000))))</f>
        <v>5.65291124929339</v>
      </c>
      <c r="AC59" s="8">
        <f>IF((BA59-AB59*$BB$4*0.9/1000-AL59*BF$4*炼钢参数表!$X$5/1000-AM59*BG$4*炼钢参数表!$X$5/1000)&lt;(K59-炼钢参数表!J59-AB59*0.6566*炼钢参数表!L59/10)*0.082,0,(K59-炼钢参数表!J59-AB59*0.6566*炼钢参数表!L59/10)/100/($AC$3/100)/炼钢参数表!L59*1000)</f>
        <v>0.20585112346319601</v>
      </c>
      <c r="AD59" s="8">
        <f>IF((BA59-AB59*$BB$4*0.9/1000-AC59*$BC$4*0.9/1000-AL59*BF$4*炼钢参数表!$X$5/1000-AM59*BG$4*炼钢参数表!$X$5/1000)&lt;=(K59-炼钢参数表!J59-AB59*0.6566*炼钢参数表!L59/10-AC59*($AC$3/100)*炼钢参数表!L59/10)*0.02,0,((K59-炼钢参数表!J59-AB59*0.6566*炼钢参数表!L59/10-AC59*($AC$3/100)*炼钢参数表!L59/10)/100/($AD$3/100)/炼钢参数表!L59*1000))</f>
        <v>0</v>
      </c>
      <c r="AE59" s="8">
        <f>(K59-炼钢参数表!J59-AB59*0.6566*炼钢参数表!L59/10-AC59*($AC$3/100)*炼钢参数表!L59/10-AD59*($AD$3/100)*炼钢参数表!L59/10)/100/($AE$3/100)/炼钢参数表!L59*1000</f>
        <v>0</v>
      </c>
      <c r="AF59" s="8">
        <v>0</v>
      </c>
      <c r="AG59" s="8">
        <f>IF(J59&lt;=0.04,0,((J59-(AB59*0.1769*炼钢参数表!K59/1000*100))/100/炼钢参数表!K59/($AG$3/100)*1000))</f>
        <v>0</v>
      </c>
      <c r="AH59" s="8">
        <v>1.4</v>
      </c>
      <c r="AI59" s="8">
        <f>IF(N59="",0,IF(N59&lt;=0.002,0,((N59)/100)/($AI$3/100)/炼钢参数表!M59*1000))</f>
        <v>0</v>
      </c>
      <c r="AJ59" s="8">
        <f>IF(O59="",0,IF(O59&lt;=0.002,0,((O59)/100)/($AJ$3/100)/炼钢参数表!N59*1000))</f>
        <v>0</v>
      </c>
      <c r="AK59" s="8">
        <f>IF(P59="",0,IF(P59&lt;=0.002,0,((P59+0.005)/100)/($AK$3/100)/炼钢参数表!O59*1000))</f>
        <v>0.89809603640282598</v>
      </c>
      <c r="AL59" s="8">
        <f>IF((BA59-J59*0.00003-K59*0.00024)&lt;=0.05,0,IF(T59="",0,IF(T59&lt;=0.03,0,IF(((BA59-J59*0.00003-K59*0.00024)-0.05)/0.18/100/($AL$3/100)/炼钢参数表!P59*1000&lt;=T59/100/($AL$3/100)/炼钢参数表!P59*1000,((BA59-J59*0.00003-K59*0.00024)-0.05)/0.18/100/($AL$3/100)/炼钢参数表!P59*1000,T59/100/($AL$3/100)/炼钢参数表!P59*1000))))</f>
        <v>0</v>
      </c>
      <c r="AM59" s="8">
        <f>IF(T59="",0,IF(T59&lt;=0.03,0,((T59-AL59*($AL$3/100)*炼钢参数表!P59/10)/100/($AM$3/100)/炼钢参数表!P59*1000)))</f>
        <v>0</v>
      </c>
      <c r="AN59" s="8">
        <f>IF(U59="",0,IF(U59&lt;=0.02,0,(U59/100)/($AN$3/100)/炼钢参数表!Q59*1000))</f>
        <v>0</v>
      </c>
      <c r="AO59" s="8">
        <f>IF(V59="",0,IF(V59&lt;=0.02,0,(V59/100)/($AO$3/100)/炼钢参数表!R59*1000))</f>
        <v>0</v>
      </c>
      <c r="AP59" s="8">
        <f>IF(W59="",0,IF(W59&lt;=0.02,0,(W59/100)/($AP$3/100)/炼钢参数表!S59*1000))</f>
        <v>0</v>
      </c>
      <c r="AQ59" s="8">
        <f>IF(X59="",0,IF(X59&lt;=0.0002,0,(X59/100)/($AQ$3/100)/炼钢参数表!T59*1000))</f>
        <v>0</v>
      </c>
      <c r="AR59" s="8">
        <f>IF(Y59="",0,IF(Y59&lt;=0.02,0,(Y59/100)/($AR$3/100)/炼钢参数表!U59*1000))</f>
        <v>0</v>
      </c>
      <c r="AS59" s="8">
        <f>IF(L59&lt;=0.04,0,((L59-0.04)/100)/($AS$3/100)/炼钢参数表!V59*1000)</f>
        <v>0</v>
      </c>
      <c r="AT59" s="8">
        <f>IF(M59&lt;=0.03,0,((M59-0.03)/100)/($AT$3/100)/炼钢参数表!W59*1000)</f>
        <v>0</v>
      </c>
      <c r="AU59" s="6"/>
      <c r="AV59" s="8">
        <f t="shared" si="0"/>
        <v>8.1568584091594101</v>
      </c>
      <c r="AW59" s="8" cm="1">
        <f t="array" ref="AW59">SUMPRODUCT($AB$4:$AU$4,AB59:AU59)/1000</f>
        <v>84.799930373078695</v>
      </c>
      <c r="AY59" s="2" t="str">
        <f t="shared" si="1"/>
        <v>Q355B-2</v>
      </c>
      <c r="AZ59" s="37">
        <f>VLOOKUP(AY59,炼钢参数表!$F$5:$J$1027,4,0)</f>
        <v>7.4004318322023602E-2</v>
      </c>
      <c r="BA59" s="37">
        <f t="shared" si="2"/>
        <v>8.5995681677976402E-2</v>
      </c>
      <c r="BB59" s="37">
        <f>AB59*$BB$4*炼钢参数表!$X$5/1000</f>
        <v>8.7507066139061607E-3</v>
      </c>
      <c r="BC59" s="37">
        <f>AC59*$BC$4*炼钢参数表!$X$5/1000</f>
        <v>1.2394296143718999E-3</v>
      </c>
      <c r="BD59" s="37">
        <f>AD59*$BD$4*炼钢参数表!$X$5/1000</f>
        <v>0</v>
      </c>
      <c r="BE59" s="37">
        <f>AE59*$BE$4*炼钢参数表!$X$5/1000</f>
        <v>0</v>
      </c>
      <c r="BF59" s="37">
        <f>AL59*$BF$4*炼钢参数表!$X$5/1000</f>
        <v>0</v>
      </c>
      <c r="BG59" s="37">
        <f>AM59*$BG$4*炼钢参数表!$X$5/1000</f>
        <v>0</v>
      </c>
      <c r="BH59" s="37">
        <f t="shared" si="3"/>
        <v>9.9901362282780702E-3</v>
      </c>
      <c r="BI59" s="37">
        <f t="shared" si="4"/>
        <v>8.3994454550301703E-2</v>
      </c>
      <c r="BJ59" s="37">
        <f t="shared" si="5"/>
        <v>-7.60055454496983E-2</v>
      </c>
      <c r="BK59" s="54"/>
      <c r="BL59" s="7"/>
    </row>
    <row r="60" spans="1:64" s="18" customFormat="1" x14ac:dyDescent="0.3">
      <c r="A60" s="21">
        <v>56</v>
      </c>
      <c r="B60" s="4" t="s">
        <v>115</v>
      </c>
      <c r="C60" s="4" t="s">
        <v>90</v>
      </c>
      <c r="D60" s="4">
        <v>16</v>
      </c>
      <c r="E60" s="4">
        <v>28</v>
      </c>
      <c r="F60" s="4" t="s">
        <v>91</v>
      </c>
      <c r="G60" s="50" t="s">
        <v>92</v>
      </c>
      <c r="H60" s="4">
        <v>1514</v>
      </c>
      <c r="I60" s="51">
        <v>0.16</v>
      </c>
      <c r="J60" s="52">
        <v>0.18</v>
      </c>
      <c r="K60" s="52">
        <v>1.1000000000000001</v>
      </c>
      <c r="L60" s="51">
        <v>0.02</v>
      </c>
      <c r="M60" s="51">
        <v>0.01</v>
      </c>
      <c r="N60" s="51"/>
      <c r="O60" s="51">
        <v>8.0000000000000002E-3</v>
      </c>
      <c r="P60" s="51">
        <v>2.5000000000000001E-2</v>
      </c>
      <c r="Q60" s="51">
        <v>0.02</v>
      </c>
      <c r="R60" s="51" t="s">
        <v>631</v>
      </c>
      <c r="S60" s="32"/>
      <c r="T60" s="52"/>
      <c r="U60" s="52"/>
      <c r="V60" s="52"/>
      <c r="W60" s="52"/>
      <c r="X60" s="32" t="s">
        <v>631</v>
      </c>
      <c r="Y60" s="53" t="s">
        <v>631</v>
      </c>
      <c r="Z60" s="4" t="s">
        <v>631</v>
      </c>
      <c r="AA60" s="53" t="s">
        <v>631</v>
      </c>
      <c r="AB60" s="42">
        <f>IF(J60&lt;=0.04,0,IF((BA60-AL60*BF$4*炼钢参数表!$X$5/1000-AM60*BG$4*炼钢参数表!$X$5/1000)&lt;=0.03,0,IF((J60/100/0.1769/炼钢参数表!K60*1000)&gt;(K60-炼钢参数表!J60)/100/0.6566/炼钢参数表!L60*1000,IF(K60&lt;1.6,(K60-炼钢参数表!J60)/100/0.6566/炼钢参数表!L60*1000,(K60-0.08-炼钢参数表!J60)/100/0.6566/炼钢参数表!L60*1000),IF(K60&lt;1.6,J60/100/0.1769/炼钢参数表!K60*1000,(J60-0.08)/100/0.1769/炼钢参数表!K60*1000))))</f>
        <v>12.719050310910101</v>
      </c>
      <c r="AC60" s="8">
        <f>IF((BA60-AB60*$BB$4*0.9/1000-AL60*BF$4*炼钢参数表!$X$5/1000-AM60*BG$4*炼钢参数表!$X$5/1000)&lt;(K60-炼钢参数表!J60-AB60*0.6566*炼钢参数表!L60/10)*0.082,0,(K60-炼钢参数表!J60-AB60*0.6566*炼钢参数表!L60/10)/100/($AC$3/100)/炼钢参数表!L60*1000)</f>
        <v>2.2927545869510602</v>
      </c>
      <c r="AD60" s="8">
        <f>IF((BA60-AB60*$BB$4*0.9/1000-AC60*$BC$4*0.9/1000-AL60*BF$4*炼钢参数表!$X$5/1000-AM60*BG$4*炼钢参数表!$X$5/1000)&lt;=(K60-炼钢参数表!J60-AB60*0.6566*炼钢参数表!L60/10-AC60*($AC$3/100)*炼钢参数表!L60/10)*0.02,0,((K60-炼钢参数表!J60-AB60*0.6566*炼钢参数表!L60/10-AC60*($AC$3/100)*炼钢参数表!L60/10)/100/($AD$3/100)/炼钢参数表!L60*1000))</f>
        <v>0</v>
      </c>
      <c r="AE60" s="8">
        <f>(K60-炼钢参数表!J60-AB60*0.6566*炼钢参数表!L60/10-AC60*($AC$3/100)*炼钢参数表!L60/10-AD60*($AD$3/100)*炼钢参数表!L60/10)/100/($AE$3/100)/炼钢参数表!L60*1000</f>
        <v>0</v>
      </c>
      <c r="AF60" s="8">
        <v>0</v>
      </c>
      <c r="AG60" s="8">
        <f>IF(J60&lt;=0.04,0,((J60-(AB60*0.1769*炼钢参数表!K60/1000*100))/100/炼钢参数表!K60/($AG$3/100)*1000))</f>
        <v>0</v>
      </c>
      <c r="AH60" s="8">
        <v>1.4</v>
      </c>
      <c r="AI60" s="8">
        <f>IF(N60="",0,IF(N60&lt;=0.002,0,((N60)/100)/($AI$3/100)/炼钢参数表!M60*1000))</f>
        <v>0</v>
      </c>
      <c r="AJ60" s="8">
        <f>IF(O60="",0,IF(O60&lt;=0.002,0,((O60)/100)/($AJ$3/100)/炼钢参数表!N60*1000))</f>
        <v>0.125511459196225</v>
      </c>
      <c r="AK60" s="8">
        <f>IF(P60="",0,IF(P60&lt;=0.002,0,((P60+0.005)/100)/($AK$3/100)/炼钢参数表!O60*1000))</f>
        <v>0.59873069093521702</v>
      </c>
      <c r="AL60" s="8">
        <f>IF((BA60-J60*0.00003-K60*0.00024)&lt;=0.05,0,IF(T60="",0,IF(T60&lt;=0.03,0,IF(((BA60-J60*0.00003-K60*0.00024)-0.05)/0.18/100/($AL$3/100)/炼钢参数表!P60*1000&lt;=T60/100/($AL$3/100)/炼钢参数表!P60*1000,((BA60-J60*0.00003-K60*0.00024)-0.05)/0.18/100/($AL$3/100)/炼钢参数表!P60*1000,T60/100/($AL$3/100)/炼钢参数表!P60*1000))))</f>
        <v>0</v>
      </c>
      <c r="AM60" s="8">
        <f>IF(T60="",0,IF(T60&lt;=0.03,0,((T60-AL60*($AL$3/100)*炼钢参数表!P60/10)/100/($AM$3/100)/炼钢参数表!P60*1000)))</f>
        <v>0</v>
      </c>
      <c r="AN60" s="8">
        <f>IF(U60="",0,IF(U60&lt;=0.02,0,(U60/100)/($AN$3/100)/炼钢参数表!Q60*1000))</f>
        <v>0</v>
      </c>
      <c r="AO60" s="8">
        <f>IF(V60="",0,IF(V60&lt;=0.02,0,(V60/100)/($AO$3/100)/炼钢参数表!R60*1000))</f>
        <v>0</v>
      </c>
      <c r="AP60" s="8">
        <f>IF(W60="",0,IF(W60&lt;=0.02,0,(W60/100)/($AP$3/100)/炼钢参数表!S60*1000))</f>
        <v>0</v>
      </c>
      <c r="AQ60" s="8">
        <f>IF(X60="",0,IF(X60&lt;=0.0002,0,(X60/100)/($AQ$3/100)/炼钢参数表!T60*1000))</f>
        <v>0</v>
      </c>
      <c r="AR60" s="8">
        <f>IF(Y60="",0,IF(Y60&lt;=0.02,0,(Y60/100)/($AR$3/100)/炼钢参数表!U60*1000))</f>
        <v>0</v>
      </c>
      <c r="AS60" s="8">
        <f>IF(L60&lt;=0.04,0,((L60-0.04)/100)/($AS$3/100)/炼钢参数表!V60*1000)</f>
        <v>0</v>
      </c>
      <c r="AT60" s="8">
        <f>IF(M60&lt;=0.03,0,((M60-0.03)/100)/($AT$3/100)/炼钢参数表!W60*1000)</f>
        <v>0</v>
      </c>
      <c r="AU60" s="6"/>
      <c r="AV60" s="8">
        <f t="shared" si="0"/>
        <v>17.136047047992601</v>
      </c>
      <c r="AW60" s="8" cm="1">
        <f t="array" ref="AW60">SUMPRODUCT($AB$4:$AU$4,AB60:AU60)/1000</f>
        <v>155.57214018590599</v>
      </c>
      <c r="AY60" s="2" t="str">
        <f t="shared" si="1"/>
        <v>Q355B-3B</v>
      </c>
      <c r="AZ60" s="37">
        <f>VLOOKUP(AY60,炼钢参数表!$F$5:$J$1027,4,0)</f>
        <v>7.4124444444444396E-2</v>
      </c>
      <c r="BA60" s="37">
        <f t="shared" si="2"/>
        <v>8.5875555555555594E-2</v>
      </c>
      <c r="BB60" s="37">
        <f>AB60*$BB$4*炼钢参数表!$X$5/1000</f>
        <v>1.9689089881288899E-2</v>
      </c>
      <c r="BC60" s="37">
        <f>AC60*$BC$4*炼钢参数表!$X$5/1000</f>
        <v>1.38046753680323E-2</v>
      </c>
      <c r="BD60" s="37">
        <f>AD60*$BD$4*炼钢参数表!$X$5/1000</f>
        <v>0</v>
      </c>
      <c r="BE60" s="37">
        <f>AE60*$BE$4*炼钢参数表!$X$5/1000</f>
        <v>0</v>
      </c>
      <c r="BF60" s="37">
        <f>AL60*$BF$4*炼钢参数表!$X$5/1000</f>
        <v>0</v>
      </c>
      <c r="BG60" s="37">
        <f>AM60*$BG$4*炼钢参数表!$X$5/1000</f>
        <v>0</v>
      </c>
      <c r="BH60" s="37">
        <f t="shared" si="3"/>
        <v>3.3493765249321197E-2</v>
      </c>
      <c r="BI60" s="37">
        <f t="shared" si="4"/>
        <v>0.107618209693766</v>
      </c>
      <c r="BJ60" s="37">
        <f t="shared" si="5"/>
        <v>-5.2381790306234403E-2</v>
      </c>
      <c r="BK60" s="54"/>
      <c r="BL60" s="7"/>
    </row>
    <row r="61" spans="1:64" s="18" customFormat="1" x14ac:dyDescent="0.3">
      <c r="A61" s="21">
        <v>57</v>
      </c>
      <c r="B61" s="4" t="s">
        <v>116</v>
      </c>
      <c r="C61" s="4" t="s">
        <v>23</v>
      </c>
      <c r="D61" s="4">
        <v>1.5</v>
      </c>
      <c r="E61" s="4">
        <v>5.99</v>
      </c>
      <c r="F61" s="4" t="s">
        <v>117</v>
      </c>
      <c r="G61" s="50" t="s">
        <v>118</v>
      </c>
      <c r="H61" s="4">
        <v>1517</v>
      </c>
      <c r="I61" s="51">
        <v>0.16</v>
      </c>
      <c r="J61" s="52">
        <v>7.0000000000000007E-2</v>
      </c>
      <c r="K61" s="52">
        <v>0.35</v>
      </c>
      <c r="L61" s="51">
        <v>0.02</v>
      </c>
      <c r="M61" s="51">
        <v>0.01</v>
      </c>
      <c r="N61" s="51"/>
      <c r="O61" s="51"/>
      <c r="P61" s="51">
        <v>0.04</v>
      </c>
      <c r="Q61" s="51">
        <v>0.02</v>
      </c>
      <c r="R61" s="51" t="s">
        <v>631</v>
      </c>
      <c r="S61" s="32"/>
      <c r="T61" s="52"/>
      <c r="U61" s="52"/>
      <c r="V61" s="52"/>
      <c r="W61" s="52"/>
      <c r="X61" s="32" t="s">
        <v>631</v>
      </c>
      <c r="Y61" s="53" t="s">
        <v>631</v>
      </c>
      <c r="Z61" s="4" t="s">
        <v>631</v>
      </c>
      <c r="AA61" s="53"/>
      <c r="AB61" s="42">
        <f>IF(J61&lt;=0.04,0,IF((BA61-AL61*BF$4*炼钢参数表!$X$5/1000-AM61*BG$4*炼钢参数表!$X$5/1000)&lt;=0.03,0,IF((J61/100/0.1769/炼钢参数表!K61*1000)&gt;(K61-炼钢参数表!J61)/100/0.6566/炼钢参数表!L61*1000,IF(K61&lt;1.6,(K61-炼钢参数表!J61)/100/0.6566/炼钢参数表!L61*1000,(K61-0.08-炼钢参数表!J61)/100/0.6566/炼钢参数表!L61*1000),IF(K61&lt;1.6,J61/100/0.1769/炼钢参数表!K61*1000,(J61-0.08)/100/0.1769/炼钢参数表!K61*1000))))</f>
        <v>3.96808129282782</v>
      </c>
      <c r="AC61" s="8">
        <f>IF((BA61-AB61*$BB$4*0.9/1000-AL61*BF$4*炼钢参数表!$X$5/1000-AM61*BG$4*炼钢参数表!$X$5/1000)&lt;(K61-炼钢参数表!J61-AB61*0.6566*炼钢参数表!L61/10)*0.082,0,(K61-炼钢参数表!J61-AB61*0.6566*炼钢参数表!L61/10)/100/($AC$3/100)/炼钢参数表!L61*1000)</f>
        <v>0</v>
      </c>
      <c r="AD61" s="8">
        <f>IF((BA61-AB61*$BB$4*0.9/1000-AC61*$BC$4*0.9/1000-AL61*BF$4*炼钢参数表!$X$5/1000-AM61*BG$4*炼钢参数表!$X$5/1000)&lt;=(K61-炼钢参数表!J61-AB61*0.6566*炼钢参数表!L61/10-AC61*($AC$3/100)*炼钢参数表!L61/10)*0.02,0,((K61-炼钢参数表!J61-AB61*0.6566*炼钢参数表!L61/10-AC61*($AC$3/100)*炼钢参数表!L61/10)/100/($AD$3/100)/炼钢参数表!L61*1000))</f>
        <v>0</v>
      </c>
      <c r="AE61" s="8">
        <f>(K61-炼钢参数表!J61-AB61*0.6566*炼钢参数表!L61/10-AC61*($AC$3/100)*炼钢参数表!L61/10-AD61*($AD$3/100)*炼钢参数表!L61/10)/100/($AE$3/100)/炼钢参数表!L61*1000</f>
        <v>0</v>
      </c>
      <c r="AF61" s="8">
        <v>0</v>
      </c>
      <c r="AG61" s="8">
        <f>IF(J61&lt;=0.04,0,((J61-(AB61*0.1769*炼钢参数表!K61/1000*100))/100/炼钢参数表!K61/($AG$3/100)*1000))</f>
        <v>0.23957693382079201</v>
      </c>
      <c r="AH61" s="8">
        <v>1.4</v>
      </c>
      <c r="AI61" s="8">
        <f>IF(N61="",0,IF(N61&lt;=0.002,0,((N61)/100)/($AI$3/100)/炼钢参数表!M61*1000))</f>
        <v>0</v>
      </c>
      <c r="AJ61" s="8">
        <f>IF(O61="",0,IF(O61&lt;=0.002,0,((O61)/100)/($AJ$3/100)/炼钢参数表!N61*1000))</f>
        <v>0</v>
      </c>
      <c r="AK61" s="8">
        <f>IF(P61="",0,IF(P61&lt;=0.002,0,((P61+0.005)/100)/($AK$3/100)/炼钢参数表!O61*1000))</f>
        <v>0.89809603640282598</v>
      </c>
      <c r="AL61" s="8">
        <f>IF((BA61-J61*0.00003-K61*0.00024)&lt;=0.05,0,IF(T61="",0,IF(T61&lt;=0.03,0,IF(((BA61-J61*0.00003-K61*0.00024)-0.05)/0.18/100/($AL$3/100)/炼钢参数表!P61*1000&lt;=T61/100/($AL$3/100)/炼钢参数表!P61*1000,((BA61-J61*0.00003-K61*0.00024)-0.05)/0.18/100/($AL$3/100)/炼钢参数表!P61*1000,T61/100/($AL$3/100)/炼钢参数表!P61*1000))))</f>
        <v>0</v>
      </c>
      <c r="AM61" s="8">
        <f>IF(T61="",0,IF(T61&lt;=0.03,0,((T61-AL61*($AL$3/100)*炼钢参数表!P61/10)/100/($AM$3/100)/炼钢参数表!P61*1000)))</f>
        <v>0</v>
      </c>
      <c r="AN61" s="8">
        <f>IF(U61="",0,IF(U61&lt;=0.02,0,(U61/100)/($AN$3/100)/炼钢参数表!Q61*1000))</f>
        <v>0</v>
      </c>
      <c r="AO61" s="8">
        <f>IF(V61="",0,IF(V61&lt;=0.02,0,(V61/100)/($AO$3/100)/炼钢参数表!R61*1000))</f>
        <v>0</v>
      </c>
      <c r="AP61" s="8">
        <f>IF(W61="",0,IF(W61&lt;=0.02,0,(W61/100)/($AP$3/100)/炼钢参数表!S61*1000))</f>
        <v>0</v>
      </c>
      <c r="AQ61" s="8">
        <f>IF(X61="",0,IF(X61&lt;=0.0002,0,(X61/100)/($AQ$3/100)/炼钢参数表!T61*1000))</f>
        <v>0</v>
      </c>
      <c r="AR61" s="8">
        <f>IF(Y61="",0,IF(Y61&lt;=0.02,0,(Y61/100)/($AR$3/100)/炼钢参数表!U61*1000))</f>
        <v>0</v>
      </c>
      <c r="AS61" s="8">
        <f>IF(L61&lt;=0.04,0,((L61-0.04)/100)/($AS$3/100)/炼钢参数表!V61*1000)</f>
        <v>0</v>
      </c>
      <c r="AT61" s="8">
        <f>IF(M61&lt;=0.03,0,((M61-0.03)/100)/($AT$3/100)/炼钢参数表!W61*1000)</f>
        <v>0</v>
      </c>
      <c r="AU61" s="6"/>
      <c r="AV61" s="8">
        <f t="shared" si="0"/>
        <v>6.5057542630514398</v>
      </c>
      <c r="AW61" s="8" cm="1">
        <f t="array" ref="AW61">SUMPRODUCT($AB$4:$AU$4,AB61:AU61)/1000</f>
        <v>75.658293227770997</v>
      </c>
      <c r="AY61" s="2" t="str">
        <f t="shared" si="1"/>
        <v>Q355B-SD1</v>
      </c>
      <c r="AZ61" s="37">
        <f>VLOOKUP(AY61,炼钢参数表!$F$5:$J$1027,4,0)</f>
        <v>6.4666666666666706E-2</v>
      </c>
      <c r="BA61" s="37">
        <f t="shared" si="2"/>
        <v>9.5333333333333298E-2</v>
      </c>
      <c r="BB61" s="37">
        <f>AB61*$BB$4*炼钢参数表!$X$5/1000</f>
        <v>6.1425898412974696E-3</v>
      </c>
      <c r="BC61" s="37">
        <f>AC61*$BC$4*炼钢参数表!$X$5/1000</f>
        <v>0</v>
      </c>
      <c r="BD61" s="37">
        <f>AD61*$BD$4*炼钢参数表!$X$5/1000</f>
        <v>0</v>
      </c>
      <c r="BE61" s="37">
        <f>AE61*$BE$4*炼钢参数表!$X$5/1000</f>
        <v>0</v>
      </c>
      <c r="BF61" s="37">
        <f>AL61*$BF$4*炼钢参数表!$X$5/1000</f>
        <v>0</v>
      </c>
      <c r="BG61" s="37">
        <f>AM61*$BG$4*炼钢参数表!$X$5/1000</f>
        <v>0</v>
      </c>
      <c r="BH61" s="37">
        <f t="shared" si="3"/>
        <v>6.1425898412974696E-3</v>
      </c>
      <c r="BI61" s="37">
        <f t="shared" si="4"/>
        <v>7.0809256507964199E-2</v>
      </c>
      <c r="BJ61" s="37">
        <f t="shared" si="5"/>
        <v>-8.9190743492035804E-2</v>
      </c>
      <c r="BK61" s="54"/>
      <c r="BL61" s="7"/>
    </row>
    <row r="62" spans="1:64" s="18" customFormat="1" x14ac:dyDescent="0.3">
      <c r="A62" s="21">
        <v>58</v>
      </c>
      <c r="B62" s="4" t="s">
        <v>116</v>
      </c>
      <c r="C62" s="4" t="s">
        <v>26</v>
      </c>
      <c r="D62" s="4">
        <v>6</v>
      </c>
      <c r="E62" s="4">
        <v>15.99</v>
      </c>
      <c r="F62" s="4" t="s">
        <v>119</v>
      </c>
      <c r="G62" s="50" t="s">
        <v>118</v>
      </c>
      <c r="H62" s="4">
        <v>1517</v>
      </c>
      <c r="I62" s="51">
        <v>0.16</v>
      </c>
      <c r="J62" s="52">
        <v>7.0000000000000007E-2</v>
      </c>
      <c r="K62" s="52">
        <v>0.5</v>
      </c>
      <c r="L62" s="51">
        <v>0.02</v>
      </c>
      <c r="M62" s="51">
        <v>0.01</v>
      </c>
      <c r="N62" s="51"/>
      <c r="O62" s="51"/>
      <c r="P62" s="51">
        <v>0.04</v>
      </c>
      <c r="Q62" s="51">
        <v>0.02</v>
      </c>
      <c r="R62" s="51" t="s">
        <v>631</v>
      </c>
      <c r="S62" s="32"/>
      <c r="T62" s="52"/>
      <c r="U62" s="52"/>
      <c r="V62" s="52"/>
      <c r="W62" s="52"/>
      <c r="X62" s="32" t="s">
        <v>631</v>
      </c>
      <c r="Y62" s="53" t="s">
        <v>631</v>
      </c>
      <c r="Z62" s="4" t="s">
        <v>631</v>
      </c>
      <c r="AA62" s="53"/>
      <c r="AB62" s="42">
        <f>IF(J62&lt;=0.04,0,IF((BA62-AL62*BF$4*炼钢参数表!$X$5/1000-AM62*BG$4*炼钢参数表!$X$5/1000)&lt;=0.03,0,IF((J62/100/0.1769/炼钢参数表!K62*1000)&gt;(K62-炼钢参数表!J62)/100/0.6566/炼钢参数表!L62*1000,IF(K62&lt;1.6,(K62-炼钢参数表!J62)/100/0.6566/炼钢参数表!L62*1000,(K62-0.08-炼钢参数表!J62)/100/0.6566/炼钢参数表!L62*1000),IF(K62&lt;1.6,J62/100/0.1769/炼钢参数表!K62*1000,(J62-0.08)/100/0.1769/炼钢参数表!K62*1000))))</f>
        <v>4.9462973431317101</v>
      </c>
      <c r="AC62" s="8">
        <f>IF((BA62-AB62*$BB$4*0.9/1000-AL62*BF$4*炼钢参数表!$X$5/1000-AM62*BG$4*炼钢参数表!$X$5/1000)&lt;(K62-炼钢参数表!J62-AB62*0.6566*炼钢参数表!L62/10)*0.082,0,(K62-炼钢参数表!J62-AB62*0.6566*炼钢参数表!L62/10)/100/($AC$3/100)/炼钢参数表!L62*1000)</f>
        <v>1.1907715633625</v>
      </c>
      <c r="AD62" s="8">
        <f>IF((BA62-AB62*$BB$4*0.9/1000-AC62*$BC$4*0.9/1000-AL62*BF$4*炼钢参数表!$X$5/1000-AM62*BG$4*炼钢参数表!$X$5/1000)&lt;=(K62-炼钢参数表!J62-AB62*0.6566*炼钢参数表!L62/10-AC62*($AC$3/100)*炼钢参数表!L62/10)*0.02,0,((K62-炼钢参数表!J62-AB62*0.6566*炼钢参数表!L62/10-AC62*($AC$3/100)*炼钢参数表!L62/10)/100/($AD$3/100)/炼钢参数表!L62*1000))</f>
        <v>0</v>
      </c>
      <c r="AE62" s="8">
        <f>(K62-炼钢参数表!J62-AB62*0.6566*炼钢参数表!L62/10-AC62*($AC$3/100)*炼钢参数表!L62/10-AD62*($AD$3/100)*炼钢参数表!L62/10)/100/($AE$3/100)/炼钢参数表!L62*1000</f>
        <v>0</v>
      </c>
      <c r="AF62" s="8">
        <v>0</v>
      </c>
      <c r="AG62" s="8">
        <f>IF(J62&lt;=0.04,0,((J62-(AB62*0.1769*炼钢参数表!K62/1000*100))/100/炼钢参数表!K62/($AG$3/100)*1000))</f>
        <v>0</v>
      </c>
      <c r="AH62" s="8">
        <v>1.4</v>
      </c>
      <c r="AI62" s="8">
        <f>IF(N62="",0,IF(N62&lt;=0.002,0,((N62)/100)/($AI$3/100)/炼钢参数表!M62*1000))</f>
        <v>0</v>
      </c>
      <c r="AJ62" s="8">
        <f>IF(O62="",0,IF(O62&lt;=0.002,0,((O62)/100)/($AJ$3/100)/炼钢参数表!N62*1000))</f>
        <v>0</v>
      </c>
      <c r="AK62" s="8">
        <f>IF(P62="",0,IF(P62&lt;=0.002,0,((P62+0.005)/100)/($AK$3/100)/炼钢参数表!O62*1000))</f>
        <v>0.89809603640282598</v>
      </c>
      <c r="AL62" s="8">
        <f>IF((BA62-J62*0.00003-K62*0.00024)&lt;=0.05,0,IF(T62="",0,IF(T62&lt;=0.03,0,IF(((BA62-J62*0.00003-K62*0.00024)-0.05)/0.18/100/($AL$3/100)/炼钢参数表!P62*1000&lt;=T62/100/($AL$3/100)/炼钢参数表!P62*1000,((BA62-J62*0.00003-K62*0.00024)-0.05)/0.18/100/($AL$3/100)/炼钢参数表!P62*1000,T62/100/($AL$3/100)/炼钢参数表!P62*1000))))</f>
        <v>0</v>
      </c>
      <c r="AM62" s="8">
        <f>IF(T62="",0,IF(T62&lt;=0.03,0,((T62-AL62*($AL$3/100)*炼钢参数表!P62/10)/100/($AM$3/100)/炼钢参数表!P62*1000)))</f>
        <v>0</v>
      </c>
      <c r="AN62" s="8">
        <f>IF(U62="",0,IF(U62&lt;=0.02,0,(U62/100)/($AN$3/100)/炼钢参数表!Q62*1000))</f>
        <v>0</v>
      </c>
      <c r="AO62" s="8">
        <f>IF(V62="",0,IF(V62&lt;=0.02,0,(V62/100)/($AO$3/100)/炼钢参数表!R62*1000))</f>
        <v>0</v>
      </c>
      <c r="AP62" s="8">
        <f>IF(W62="",0,IF(W62&lt;=0.02,0,(W62/100)/($AP$3/100)/炼钢参数表!S62*1000))</f>
        <v>0</v>
      </c>
      <c r="AQ62" s="8">
        <f>IF(X62="",0,IF(X62&lt;=0.0002,0,(X62/100)/($AQ$3/100)/炼钢参数表!T62*1000))</f>
        <v>0</v>
      </c>
      <c r="AR62" s="8">
        <f>IF(Y62="",0,IF(Y62&lt;=0.02,0,(Y62/100)/($AR$3/100)/炼钢参数表!U62*1000))</f>
        <v>0</v>
      </c>
      <c r="AS62" s="8">
        <f>IF(L62&lt;=0.04,0,((L62-0.04)/100)/($AS$3/100)/炼钢参数表!V62*1000)</f>
        <v>0</v>
      </c>
      <c r="AT62" s="8">
        <f>IF(M62&lt;=0.03,0,((M62-0.03)/100)/($AT$3/100)/炼钢参数表!W62*1000)</f>
        <v>0</v>
      </c>
      <c r="AU62" s="6"/>
      <c r="AV62" s="8">
        <f t="shared" si="0"/>
        <v>8.4351649428970408</v>
      </c>
      <c r="AW62" s="8" cm="1">
        <f t="array" ref="AW62">SUMPRODUCT($AB$4:$AU$4,AB62:AU62)/1000</f>
        <v>86.919809452495699</v>
      </c>
      <c r="AY62" s="2" t="str">
        <f t="shared" si="1"/>
        <v>Q355B-SD2</v>
      </c>
      <c r="AZ62" s="37">
        <f>VLOOKUP(AY62,炼钢参数表!$F$5:$J$1027,4,0)</f>
        <v>6.4666666666666706E-2</v>
      </c>
      <c r="BA62" s="37">
        <f t="shared" si="2"/>
        <v>9.5333333333333298E-2</v>
      </c>
      <c r="BB62" s="37">
        <f>AB62*$BB$4*炼钢参数表!$X$5/1000</f>
        <v>7.65686828716789E-3</v>
      </c>
      <c r="BC62" s="37">
        <f>AC62*$BC$4*炼钢参数表!$X$5/1000</f>
        <v>7.1696355830056097E-3</v>
      </c>
      <c r="BD62" s="37">
        <f>AD62*$BD$4*炼钢参数表!$X$5/1000</f>
        <v>0</v>
      </c>
      <c r="BE62" s="37">
        <f>AE62*$BE$4*炼钢参数表!$X$5/1000</f>
        <v>0</v>
      </c>
      <c r="BF62" s="37">
        <f>AL62*$BF$4*炼钢参数表!$X$5/1000</f>
        <v>0</v>
      </c>
      <c r="BG62" s="37">
        <f>AM62*$BG$4*炼钢参数表!$X$5/1000</f>
        <v>0</v>
      </c>
      <c r="BH62" s="37">
        <f t="shared" si="3"/>
        <v>1.4826503870173501E-2</v>
      </c>
      <c r="BI62" s="37">
        <f t="shared" si="4"/>
        <v>7.9493170536840199E-2</v>
      </c>
      <c r="BJ62" s="37">
        <f t="shared" si="5"/>
        <v>-8.0506829463159804E-2</v>
      </c>
      <c r="BK62" s="54"/>
      <c r="BL62" s="7"/>
    </row>
    <row r="63" spans="1:64" s="18" customFormat="1" x14ac:dyDescent="0.3">
      <c r="A63" s="21">
        <v>59</v>
      </c>
      <c r="B63" s="4" t="s">
        <v>116</v>
      </c>
      <c r="C63" s="4" t="s">
        <v>90</v>
      </c>
      <c r="D63" s="4">
        <v>16</v>
      </c>
      <c r="E63" s="4">
        <v>28</v>
      </c>
      <c r="F63" s="4" t="s">
        <v>120</v>
      </c>
      <c r="G63" s="50" t="s">
        <v>118</v>
      </c>
      <c r="H63" s="4">
        <v>1514</v>
      </c>
      <c r="I63" s="51">
        <v>0.16</v>
      </c>
      <c r="J63" s="52">
        <v>7.0000000000000007E-2</v>
      </c>
      <c r="K63" s="52">
        <v>1.1000000000000001</v>
      </c>
      <c r="L63" s="51">
        <v>0.02</v>
      </c>
      <c r="M63" s="51">
        <v>0.01</v>
      </c>
      <c r="N63" s="51"/>
      <c r="O63" s="51">
        <v>8.0000000000000002E-3</v>
      </c>
      <c r="P63" s="51">
        <v>2.5000000000000001E-2</v>
      </c>
      <c r="Q63" s="51">
        <v>0.02</v>
      </c>
      <c r="R63" s="51" t="s">
        <v>631</v>
      </c>
      <c r="S63" s="32"/>
      <c r="T63" s="52"/>
      <c r="U63" s="52"/>
      <c r="V63" s="52"/>
      <c r="W63" s="52"/>
      <c r="X63" s="32" t="s">
        <v>631</v>
      </c>
      <c r="Y63" s="53" t="s">
        <v>631</v>
      </c>
      <c r="Z63" s="4" t="s">
        <v>631</v>
      </c>
      <c r="AA63" s="53"/>
      <c r="AB63" s="42">
        <f>IF(J63&lt;=0.04,0,IF((BA63-AL63*BF$4*炼钢参数表!$X$5/1000-AM63*BG$4*炼钢参数表!$X$5/1000)&lt;=0.03,0,IF((J63/100/0.1769/炼钢参数表!K63*1000)&gt;(K63-炼钢参数表!J63)/100/0.6566/炼钢参数表!L63*1000,IF(K63&lt;1.6,(K63-炼钢参数表!J63)/100/0.6566/炼钢参数表!L63*1000,(K63-0.08-炼钢参数表!J63)/100/0.6566/炼钢参数表!L63*1000),IF(K63&lt;1.6,J63/100/0.1769/炼钢参数表!K63*1000,(J63-0.08)/100/0.1769/炼钢参数表!K63*1000))))</f>
        <v>4.9462973431317101</v>
      </c>
      <c r="AC63" s="8">
        <f>IF((BA63-AB63*$BB$4*0.9/1000-AL63*BF$4*炼钢参数表!$X$5/1000-AM63*BG$4*炼钢参数表!$X$5/1000)&lt;(K63-炼钢参数表!J63-AB63*0.6566*炼钢参数表!L63/10)*0.082,0,(K63-炼钢参数表!J63-AB63*0.6566*炼钢参数表!L63/10)/100/($AC$3/100)/炼钢参数表!L63*1000)</f>
        <v>9.3978077290352005</v>
      </c>
      <c r="AD63" s="8">
        <f>IF((BA63-AB63*$BB$4*0.9/1000-AC63*$BC$4*0.9/1000-AL63*BF$4*炼钢参数表!$X$5/1000-AM63*BG$4*炼钢参数表!$X$5/1000)&lt;=(K63-炼钢参数表!J63-AB63*0.6566*炼钢参数表!L63/10-AC63*($AC$3/100)*炼钢参数表!L63/10)*0.02,0,((K63-炼钢参数表!J63-AB63*0.6566*炼钢参数表!L63/10-AC63*($AC$3/100)*炼钢参数表!L63/10)/100/($AD$3/100)/炼钢参数表!L63*1000))</f>
        <v>0</v>
      </c>
      <c r="AE63" s="8">
        <f>(K63-炼钢参数表!J63-AB63*0.6566*炼钢参数表!L63/10-AC63*($AC$3/100)*炼钢参数表!L63/10-AD63*($AD$3/100)*炼钢参数表!L63/10)/100/($AE$3/100)/炼钢参数表!L63*1000</f>
        <v>0</v>
      </c>
      <c r="AF63" s="8">
        <v>0</v>
      </c>
      <c r="AG63" s="8">
        <f>IF(J63&lt;=0.04,0,((J63-(AB63*0.1769*炼钢参数表!K63/1000*100))/100/炼钢参数表!K63/($AG$3/100)*1000))</f>
        <v>0</v>
      </c>
      <c r="AH63" s="8">
        <v>1.4</v>
      </c>
      <c r="AI63" s="8">
        <f>IF(N63="",0,IF(N63&lt;=0.002,0,((N63)/100)/($AI$3/100)/炼钢参数表!M63*1000))</f>
        <v>0</v>
      </c>
      <c r="AJ63" s="8">
        <f>IF(O63="",0,IF(O63&lt;=0.002,0,((O63)/100)/($AJ$3/100)/炼钢参数表!N63*1000))</f>
        <v>0.125511459196225</v>
      </c>
      <c r="AK63" s="8">
        <f>IF(P63="",0,IF(P63&lt;=0.002,0,((P63+0.005)/100)/($AK$3/100)/炼钢参数表!O63*1000))</f>
        <v>0.59873069093521702</v>
      </c>
      <c r="AL63" s="8">
        <f>IF((BA63-J63*0.00003-K63*0.00024)&lt;=0.05,0,IF(T63="",0,IF(T63&lt;=0.03,0,IF(((BA63-J63*0.00003-K63*0.00024)-0.05)/0.18/100/($AL$3/100)/炼钢参数表!P63*1000&lt;=T63/100/($AL$3/100)/炼钢参数表!P63*1000,((BA63-J63*0.00003-K63*0.00024)-0.05)/0.18/100/($AL$3/100)/炼钢参数表!P63*1000,T63/100/($AL$3/100)/炼钢参数表!P63*1000))))</f>
        <v>0</v>
      </c>
      <c r="AM63" s="8">
        <f>IF(T63="",0,IF(T63&lt;=0.03,0,((T63-AL63*($AL$3/100)*炼钢参数表!P63/10)/100/($AM$3/100)/炼钢参数表!P63*1000)))</f>
        <v>0</v>
      </c>
      <c r="AN63" s="8">
        <f>IF(U63="",0,IF(U63&lt;=0.02,0,(U63/100)/($AN$3/100)/炼钢参数表!Q63*1000))</f>
        <v>0</v>
      </c>
      <c r="AO63" s="8">
        <f>IF(V63="",0,IF(V63&lt;=0.02,0,(V63/100)/($AO$3/100)/炼钢参数表!R63*1000))</f>
        <v>0</v>
      </c>
      <c r="AP63" s="8">
        <f>IF(W63="",0,IF(W63&lt;=0.02,0,(W63/100)/($AP$3/100)/炼钢参数表!S63*1000))</f>
        <v>0</v>
      </c>
      <c r="AQ63" s="8">
        <f>IF(X63="",0,IF(X63&lt;=0.0002,0,(X63/100)/($AQ$3/100)/炼钢参数表!T63*1000))</f>
        <v>0</v>
      </c>
      <c r="AR63" s="8">
        <f>IF(Y63="",0,IF(Y63&lt;=0.02,0,(Y63/100)/($AR$3/100)/炼钢参数表!U63*1000))</f>
        <v>0</v>
      </c>
      <c r="AS63" s="8">
        <f>IF(L63&lt;=0.04,0,((L63-0.04)/100)/($AS$3/100)/炼钢参数表!V63*1000)</f>
        <v>0</v>
      </c>
      <c r="AT63" s="8">
        <f>IF(M63&lt;=0.03,0,((M63-0.03)/100)/($AT$3/100)/炼钢参数表!W63*1000)</f>
        <v>0</v>
      </c>
      <c r="AU63" s="6"/>
      <c r="AV63" s="8">
        <f t="shared" si="0"/>
        <v>16.468347222298402</v>
      </c>
      <c r="AW63" s="8" cm="1">
        <f t="array" ref="AW63">SUMPRODUCT($AB$4:$AU$4,AB63:AU63)/1000</f>
        <v>156.35137670621901</v>
      </c>
      <c r="AY63" s="2" t="str">
        <f t="shared" si="1"/>
        <v>Q355B-SD3</v>
      </c>
      <c r="AZ63" s="37">
        <f>VLOOKUP(AY63,炼钢参数表!$F$5:$J$1027,4,0)</f>
        <v>6.4666666666666706E-2</v>
      </c>
      <c r="BA63" s="37">
        <f t="shared" si="2"/>
        <v>9.5333333333333298E-2</v>
      </c>
      <c r="BB63" s="37">
        <f>AB63*$BB$4*炼钢参数表!$X$5/1000</f>
        <v>7.65686828716789E-3</v>
      </c>
      <c r="BC63" s="37">
        <f>AC63*$BC$4*炼钢参数表!$X$5/1000</f>
        <v>5.6584200336521E-2</v>
      </c>
      <c r="BD63" s="37">
        <f>AD63*$BD$4*炼钢参数表!$X$5/1000</f>
        <v>0</v>
      </c>
      <c r="BE63" s="37">
        <f>AE63*$BE$4*炼钢参数表!$X$5/1000</f>
        <v>0</v>
      </c>
      <c r="BF63" s="37">
        <f>AL63*$BF$4*炼钢参数表!$X$5/1000</f>
        <v>0</v>
      </c>
      <c r="BG63" s="37">
        <f>AM63*$BG$4*炼钢参数表!$X$5/1000</f>
        <v>0</v>
      </c>
      <c r="BH63" s="37">
        <f t="shared" si="3"/>
        <v>6.4241068623688793E-2</v>
      </c>
      <c r="BI63" s="37">
        <f t="shared" si="4"/>
        <v>0.12890773529035601</v>
      </c>
      <c r="BJ63" s="37">
        <f t="shared" si="5"/>
        <v>-3.1092264709644501E-2</v>
      </c>
      <c r="BK63" s="54"/>
      <c r="BL63" s="7"/>
    </row>
    <row r="64" spans="1:64" s="18" customFormat="1" x14ac:dyDescent="0.3">
      <c r="A64" s="21">
        <v>60</v>
      </c>
      <c r="B64" s="4" t="s">
        <v>121</v>
      </c>
      <c r="C64" s="4" t="s">
        <v>23</v>
      </c>
      <c r="D64" s="4">
        <v>1.5</v>
      </c>
      <c r="E64" s="4">
        <v>8</v>
      </c>
      <c r="F64" s="4" t="s">
        <v>122</v>
      </c>
      <c r="G64" s="50" t="s">
        <v>123</v>
      </c>
      <c r="H64" s="4">
        <v>1518</v>
      </c>
      <c r="I64" s="51">
        <v>0.16</v>
      </c>
      <c r="J64" s="52">
        <v>0.02</v>
      </c>
      <c r="K64" s="52">
        <v>0.6</v>
      </c>
      <c r="L64" s="51">
        <v>0.01</v>
      </c>
      <c r="M64" s="51">
        <v>8.0000000000000002E-3</v>
      </c>
      <c r="N64" s="51"/>
      <c r="O64" s="51"/>
      <c r="P64" s="51">
        <v>0.04</v>
      </c>
      <c r="Q64" s="51">
        <v>0.02</v>
      </c>
      <c r="R64" s="51" t="s">
        <v>631</v>
      </c>
      <c r="S64" s="32"/>
      <c r="T64" s="52"/>
      <c r="U64" s="52"/>
      <c r="V64" s="52"/>
      <c r="W64" s="52"/>
      <c r="X64" s="32" t="s">
        <v>631</v>
      </c>
      <c r="Y64" s="53" t="s">
        <v>631</v>
      </c>
      <c r="Z64" s="4">
        <v>45</v>
      </c>
      <c r="AA64" s="53" t="s">
        <v>631</v>
      </c>
      <c r="AB64" s="42">
        <f>IF(J64&lt;=0.04,0,IF((BA64-AL64*BF$4*炼钢参数表!$X$5/1000-AM64*BG$4*炼钢参数表!$X$5/1000)&lt;=0.03,0,IF((J64/100/0.1769/炼钢参数表!K64*1000)&gt;(K64-炼钢参数表!J64)/100/0.6566/炼钢参数表!L64*1000,IF(K64&lt;1.6,(K64-炼钢参数表!J64)/100/0.6566/炼钢参数表!L64*1000,(K64-0.08-炼钢参数表!J64)/100/0.6566/炼钢参数表!L64*1000),IF(K64&lt;1.6,J64/100/0.1769/炼钢参数表!K64*1000,(J64-0.08)/100/0.1769/炼钢参数表!K64*1000))))</f>
        <v>0</v>
      </c>
      <c r="AC64" s="8">
        <f>IF((BA64-AB64*$BB$4*0.9/1000-AL64*BF$4*炼钢参数表!$X$5/1000-AM64*BG$4*炼钢参数表!$X$5/1000)&lt;(K64-炼钢参数表!J64-AB64*0.6566*炼钢参数表!L64/10)*0.082,0,(K64-炼钢参数表!J64-AB64*0.6566*炼钢参数表!L64/10)/100/($AC$3/100)/炼钢参数表!L64*1000)</f>
        <v>7.0895114077802699</v>
      </c>
      <c r="AD64" s="8">
        <f>IF((BA64-AB64*$BB$4*0.9/1000-AC64*$BC$4*0.9/1000-AL64*BF$4*炼钢参数表!$X$5/1000-AM64*BG$4*炼钢参数表!$X$5/1000)&lt;=(K64-炼钢参数表!J64-AB64*0.6566*炼钢参数表!L64/10-AC64*($AC$3/100)*炼钢参数表!L64/10)*0.02,0,((K64-炼钢参数表!J64-AB64*0.6566*炼钢参数表!L64/10-AC64*($AC$3/100)*炼钢参数表!L64/10)/100/($AD$3/100)/炼钢参数表!L64*1000))</f>
        <v>0</v>
      </c>
      <c r="AE64" s="8">
        <f>(K64-炼钢参数表!J64-AB64*0.6566*炼钢参数表!L64/10-AC64*($AC$3/100)*炼钢参数表!L64/10-AD64*($AD$3/100)*炼钢参数表!L64/10)/100/($AE$3/100)/炼钢参数表!L64*1000</f>
        <v>0</v>
      </c>
      <c r="AF64" s="8">
        <v>0</v>
      </c>
      <c r="AG64" s="8">
        <f>IF(J64&lt;=0.04,0,((J64-(AB64*0.1769*炼钢参数表!K64/1000*100))/100/炼钢参数表!K64/($AG$3/100)*1000))</f>
        <v>0</v>
      </c>
      <c r="AH64" s="8">
        <v>1.52999615571829</v>
      </c>
      <c r="AI64" s="8">
        <f>IF(N64="",0,IF(N64&lt;=0.002,0,((N64)/100)/($AI$3/100)/炼钢参数表!M64*1000))</f>
        <v>0</v>
      </c>
      <c r="AJ64" s="8">
        <f>IF(O64="",0,IF(O64&lt;=0.002,0,((O64)/100)/($AJ$3/100)/炼钢参数表!N64*1000))</f>
        <v>0</v>
      </c>
      <c r="AK64" s="8">
        <f>IF(P64="",0,IF(P64&lt;=0.002,0,((P64+0.005)/100)/($AK$3/100)/炼钢参数表!O64*1000))</f>
        <v>0.89809603640282598</v>
      </c>
      <c r="AL64" s="8">
        <f>IF((BA64-J64*0.00003-K64*0.00024)&lt;=0.05,0,IF(T64="",0,IF(T64&lt;=0.03,0,IF(((BA64-J64*0.00003-K64*0.00024)-0.05)/0.18/100/($AL$3/100)/炼钢参数表!P64*1000&lt;=T64/100/($AL$3/100)/炼钢参数表!P64*1000,((BA64-J64*0.00003-K64*0.00024)-0.05)/0.18/100/($AL$3/100)/炼钢参数表!P64*1000,T64/100/($AL$3/100)/炼钢参数表!P64*1000))))</f>
        <v>0</v>
      </c>
      <c r="AM64" s="8">
        <f>IF(T64="",0,IF(T64&lt;=0.03,0,((T64-AL64*($AL$3/100)*炼钢参数表!P64/10)/100/($AM$3/100)/炼钢参数表!P64*1000)))</f>
        <v>0</v>
      </c>
      <c r="AN64" s="8">
        <f>IF(U64="",0,IF(U64&lt;=0.02,0,(U64/100)/($AN$3/100)/炼钢参数表!Q64*1000))</f>
        <v>0</v>
      </c>
      <c r="AO64" s="8">
        <f>IF(V64="",0,IF(V64&lt;=0.02,0,(V64/100)/($AO$3/100)/炼钢参数表!R64*1000))</f>
        <v>0</v>
      </c>
      <c r="AP64" s="8">
        <f>IF(W64="",0,IF(W64&lt;=0.02,0,(W64/100)/($AP$3/100)/炼钢参数表!S64*1000))</f>
        <v>0</v>
      </c>
      <c r="AQ64" s="8">
        <f>IF(X64="",0,IF(X64&lt;=0.0002,0,(X64/100)/($AQ$3/100)/炼钢参数表!T64*1000))</f>
        <v>0</v>
      </c>
      <c r="AR64" s="8">
        <f>IF(Y64="",0,IF(Y64&lt;=0.02,0,(Y64/100)/($AR$3/100)/炼钢参数表!U64*1000))</f>
        <v>0</v>
      </c>
      <c r="AS64" s="8">
        <f>IF(L64&lt;=0.04,0,((L64-0.04)/100)/($AS$3/100)/炼钢参数表!V64*1000)</f>
        <v>0</v>
      </c>
      <c r="AT64" s="8">
        <f>IF(M64&lt;=0.03,0,((M64-0.03)/100)/($AT$3/100)/炼钢参数表!W64*1000)</f>
        <v>0</v>
      </c>
      <c r="AU64" s="6"/>
      <c r="AV64" s="8">
        <f t="shared" si="0"/>
        <v>9.5176035999013902</v>
      </c>
      <c r="AW64" s="8" cm="1">
        <f t="array" ref="AW64">SUMPRODUCT($AB$4:$AU$4,AB64:AU64)/1000</f>
        <v>98.644431921930504</v>
      </c>
      <c r="AY64" s="2" t="str">
        <f t="shared" si="1"/>
        <v>Q355B-DX1</v>
      </c>
      <c r="AZ64" s="37">
        <f>VLOOKUP(AY64,炼钢参数表!$F$5:$J$1027,4,0)</f>
        <v>5.5100000000000003E-2</v>
      </c>
      <c r="BA64" s="37">
        <f t="shared" si="2"/>
        <v>0.10489999999999999</v>
      </c>
      <c r="BB64" s="37">
        <f>AB64*$BB$4*炼钢参数表!$X$5/1000</f>
        <v>0</v>
      </c>
      <c r="BC64" s="37">
        <f>AC64*$BC$4*炼钢参数表!$X$5/1000</f>
        <v>4.2685948186245E-2</v>
      </c>
      <c r="BD64" s="37">
        <f>AD64*$BD$4*炼钢参数表!$X$5/1000</f>
        <v>0</v>
      </c>
      <c r="BE64" s="37">
        <f>AE64*$BE$4*炼钢参数表!$X$5/1000</f>
        <v>0</v>
      </c>
      <c r="BF64" s="37">
        <f>AL64*$BF$4*炼钢参数表!$X$5/1000</f>
        <v>0</v>
      </c>
      <c r="BG64" s="37">
        <f>AM64*$BG$4*炼钢参数表!$X$5/1000</f>
        <v>0</v>
      </c>
      <c r="BH64" s="37">
        <f t="shared" si="3"/>
        <v>4.2685948186245E-2</v>
      </c>
      <c r="BI64" s="37">
        <f t="shared" si="4"/>
        <v>9.7785948186245003E-2</v>
      </c>
      <c r="BJ64" s="37">
        <f t="shared" si="5"/>
        <v>-6.2214051813755E-2</v>
      </c>
      <c r="BK64" s="54"/>
      <c r="BL64" s="7"/>
    </row>
    <row r="65" spans="1:64" s="18" customFormat="1" x14ac:dyDescent="0.3">
      <c r="A65" s="21">
        <v>61</v>
      </c>
      <c r="B65" s="4" t="s">
        <v>124</v>
      </c>
      <c r="C65" s="4" t="s">
        <v>23</v>
      </c>
      <c r="D65" s="4">
        <v>12</v>
      </c>
      <c r="E65" s="4">
        <v>19</v>
      </c>
      <c r="F65" s="4" t="s">
        <v>125</v>
      </c>
      <c r="G65" s="50" t="s">
        <v>126</v>
      </c>
      <c r="H65" s="4">
        <v>1516</v>
      </c>
      <c r="I65" s="51">
        <v>0.15</v>
      </c>
      <c r="J65" s="52">
        <v>0.1</v>
      </c>
      <c r="K65" s="52">
        <v>1</v>
      </c>
      <c r="L65" s="51">
        <v>0.02</v>
      </c>
      <c r="M65" s="51">
        <v>0.01</v>
      </c>
      <c r="N65" s="51"/>
      <c r="O65" s="51">
        <v>8.0000000000000002E-3</v>
      </c>
      <c r="P65" s="51">
        <v>0.03</v>
      </c>
      <c r="Q65" s="51">
        <v>0.02</v>
      </c>
      <c r="R65" s="51" t="s">
        <v>631</v>
      </c>
      <c r="S65" s="32"/>
      <c r="T65" s="52"/>
      <c r="U65" s="52"/>
      <c r="V65" s="52"/>
      <c r="W65" s="52"/>
      <c r="X65" s="32" t="s">
        <v>631</v>
      </c>
      <c r="Y65" s="53" t="s">
        <v>631</v>
      </c>
      <c r="Z65" s="4">
        <v>45</v>
      </c>
      <c r="AA65" s="53" t="s">
        <v>631</v>
      </c>
      <c r="AB65" s="42">
        <f>IF(J65&lt;=0.04,0,IF((BA65-AL65*BF$4*炼钢参数表!$X$5/1000-AM65*BG$4*炼钢参数表!$X$5/1000)&lt;=0.03,0,IF((J65/100/0.1769/炼钢参数表!K65*1000)&gt;(K65-炼钢参数表!J65)/100/0.6566/炼钢参数表!L65*1000,IF(K65&lt;1.6,(K65-炼钢参数表!J65)/100/0.6566/炼钢参数表!L65*1000,(K65-0.08-炼钢参数表!J65)/100/0.6566/炼钢参数表!L65*1000),IF(K65&lt;1.6,J65/100/0.1769/炼钢参数表!K65*1000,(J65-0.08)/100/0.1769/炼钢参数表!K65*1000))))</f>
        <v>7.0661390616167301</v>
      </c>
      <c r="AC65" s="8">
        <f>IF((BA65-AB65*$BB$4*0.9/1000-AL65*BF$4*炼钢参数表!$X$5/1000-AM65*BG$4*炼钢参数表!$X$5/1000)&lt;(K65-炼钢参数表!J65-AB65*0.6566*炼钢参数表!L65/10)*0.082,0,(K65-炼钢参数表!J65-AB65*0.6566*炼钢参数表!L65/10)/100/($AC$3/100)/炼钢参数表!L65*1000)</f>
        <v>6.3415298329862697</v>
      </c>
      <c r="AD65" s="8">
        <f>IF((BA65-AB65*$BB$4*0.9/1000-AC65*$BC$4*0.9/1000-AL65*BF$4*炼钢参数表!$X$5/1000-AM65*BG$4*炼钢参数表!$X$5/1000)&lt;=(K65-炼钢参数表!J65-AB65*0.6566*炼钢参数表!L65/10-AC65*($AC$3/100)*炼钢参数表!L65/10)*0.02,0,((K65-炼钢参数表!J65-AB65*0.6566*炼钢参数表!L65/10-AC65*($AC$3/100)*炼钢参数表!L65/10)/100/($AD$3/100)/炼钢参数表!L65*1000))</f>
        <v>0</v>
      </c>
      <c r="AE65" s="8">
        <f>(K65-炼钢参数表!J65-AB65*0.6566*炼钢参数表!L65/10-AC65*($AC$3/100)*炼钢参数表!L65/10-AD65*($AD$3/100)*炼钢参数表!L65/10)/100/($AE$3/100)/炼钢参数表!L65*1000</f>
        <v>0</v>
      </c>
      <c r="AF65" s="8">
        <v>0</v>
      </c>
      <c r="AG65" s="8">
        <f>IF(J65&lt;=0.04,0,((J65-(AB65*0.1769*炼钢参数表!K65/1000*100))/100/炼钢参数表!K65/($AG$3/100)*1000))</f>
        <v>0</v>
      </c>
      <c r="AH65" s="8">
        <v>1.4</v>
      </c>
      <c r="AI65" s="8">
        <f>IF(N65="",0,IF(N65&lt;=0.002,0,((N65)/100)/($AI$3/100)/炼钢参数表!M65*1000))</f>
        <v>0</v>
      </c>
      <c r="AJ65" s="8">
        <f>IF(O65="",0,IF(O65&lt;=0.002,0,((O65)/100)/($AJ$3/100)/炼钢参数表!N65*1000))</f>
        <v>0.125511459196225</v>
      </c>
      <c r="AK65" s="8">
        <f>IF(P65="",0,IF(P65&lt;=0.002,0,((P65+0.005)/100)/($AK$3/100)/炼钢参数表!O65*1000))</f>
        <v>0.69851913942442001</v>
      </c>
      <c r="AL65" s="8">
        <f>IF((BA65-J65*0.00003-K65*0.00024)&lt;=0.05,0,IF(T65="",0,IF(T65&lt;=0.03,0,IF(((BA65-J65*0.00003-K65*0.00024)-0.05)/0.18/100/($AL$3/100)/炼钢参数表!P65*1000&lt;=T65/100/($AL$3/100)/炼钢参数表!P65*1000,((BA65-J65*0.00003-K65*0.00024)-0.05)/0.18/100/($AL$3/100)/炼钢参数表!P65*1000,T65/100/($AL$3/100)/炼钢参数表!P65*1000))))</f>
        <v>0</v>
      </c>
      <c r="AM65" s="8">
        <f>IF(T65="",0,IF(T65&lt;=0.03,0,((T65-AL65*($AL$3/100)*炼钢参数表!P65/10)/100/($AM$3/100)/炼钢参数表!P65*1000)))</f>
        <v>0</v>
      </c>
      <c r="AN65" s="8">
        <f>IF(U65="",0,IF(U65&lt;=0.02,0,(U65/100)/($AN$3/100)/炼钢参数表!Q65*1000))</f>
        <v>0</v>
      </c>
      <c r="AO65" s="8">
        <f>IF(V65="",0,IF(V65&lt;=0.02,0,(V65/100)/($AO$3/100)/炼钢参数表!R65*1000))</f>
        <v>0</v>
      </c>
      <c r="AP65" s="8">
        <f>IF(W65="",0,IF(W65&lt;=0.02,0,(W65/100)/($AP$3/100)/炼钢参数表!S65*1000))</f>
        <v>0</v>
      </c>
      <c r="AQ65" s="8">
        <f>IF(X65="",0,IF(X65&lt;=0.0002,0,(X65/100)/($AQ$3/100)/炼钢参数表!T65*1000))</f>
        <v>0</v>
      </c>
      <c r="AR65" s="8">
        <f>IF(Y65="",0,IF(Y65&lt;=0.02,0,(Y65/100)/($AR$3/100)/炼钢参数表!U65*1000))</f>
        <v>0</v>
      </c>
      <c r="AS65" s="8">
        <f>IF(L65&lt;=0.04,0,((L65-0.04)/100)/($AS$3/100)/炼钢参数表!V65*1000)</f>
        <v>0</v>
      </c>
      <c r="AT65" s="8">
        <f>IF(M65&lt;=0.03,0,((M65-0.03)/100)/($AT$3/100)/炼钢参数表!W65*1000)</f>
        <v>0</v>
      </c>
      <c r="AU65" s="6"/>
      <c r="AV65" s="8">
        <f t="shared" si="0"/>
        <v>15.631699493223699</v>
      </c>
      <c r="AW65" s="8" cm="1">
        <f t="array" ref="AW65">SUMPRODUCT($AB$4:$AU$4,AB65:AU65)/1000</f>
        <v>151.78013555861301</v>
      </c>
      <c r="AY65" s="2" t="str">
        <f t="shared" si="1"/>
        <v>Q355B-ZW3</v>
      </c>
      <c r="AZ65" s="37">
        <f>VLOOKUP(AY65,炼钢参数表!$F$5:$J$1027,4,0)</f>
        <v>5.5100000000000003E-2</v>
      </c>
      <c r="BA65" s="37">
        <f t="shared" si="2"/>
        <v>9.4899999999999998E-2</v>
      </c>
      <c r="BB65" s="37">
        <f>AB65*$BB$4*炼钢参数表!$X$5/1000</f>
        <v>1.09383832673827E-2</v>
      </c>
      <c r="BC65" s="37">
        <f>AC65*$BC$4*炼钢参数表!$X$5/1000</f>
        <v>3.8182351124410402E-2</v>
      </c>
      <c r="BD65" s="37">
        <f>AD65*$BD$4*炼钢参数表!$X$5/1000</f>
        <v>0</v>
      </c>
      <c r="BE65" s="37">
        <f>AE65*$BE$4*炼钢参数表!$X$5/1000</f>
        <v>0</v>
      </c>
      <c r="BF65" s="37">
        <f>AL65*$BF$4*炼钢参数表!$X$5/1000</f>
        <v>0</v>
      </c>
      <c r="BG65" s="37">
        <f>AM65*$BG$4*炼钢参数表!$X$5/1000</f>
        <v>0</v>
      </c>
      <c r="BH65" s="37">
        <f t="shared" si="3"/>
        <v>4.9120734391793097E-2</v>
      </c>
      <c r="BI65" s="37">
        <f t="shared" si="4"/>
        <v>0.104220734391793</v>
      </c>
      <c r="BJ65" s="37">
        <f t="shared" si="5"/>
        <v>-4.5779265608206901E-2</v>
      </c>
      <c r="BK65" s="54"/>
      <c r="BL65" s="7"/>
    </row>
    <row r="66" spans="1:64" s="18" customFormat="1" x14ac:dyDescent="0.3">
      <c r="A66" s="21">
        <v>62</v>
      </c>
      <c r="B66" s="4" t="s">
        <v>124</v>
      </c>
      <c r="C66" s="4" t="s">
        <v>26</v>
      </c>
      <c r="D66" s="4">
        <v>19.010000000000002</v>
      </c>
      <c r="E66" s="4">
        <v>28</v>
      </c>
      <c r="F66" s="4" t="s">
        <v>127</v>
      </c>
      <c r="G66" s="50" t="s">
        <v>126</v>
      </c>
      <c r="H66" s="4">
        <v>1516</v>
      </c>
      <c r="I66" s="51">
        <v>0.15</v>
      </c>
      <c r="J66" s="52">
        <v>0.1</v>
      </c>
      <c r="K66" s="52">
        <v>1.1000000000000001</v>
      </c>
      <c r="L66" s="51">
        <v>0.02</v>
      </c>
      <c r="M66" s="51">
        <v>0.01</v>
      </c>
      <c r="N66" s="51"/>
      <c r="O66" s="51">
        <v>8.0000000000000002E-3</v>
      </c>
      <c r="P66" s="51">
        <v>0.03</v>
      </c>
      <c r="Q66" s="51">
        <v>0.02</v>
      </c>
      <c r="R66" s="51" t="s">
        <v>631</v>
      </c>
      <c r="S66" s="32"/>
      <c r="T66" s="52"/>
      <c r="U66" s="52"/>
      <c r="V66" s="52"/>
      <c r="W66" s="52"/>
      <c r="X66" s="32" t="s">
        <v>631</v>
      </c>
      <c r="Y66" s="53" t="s">
        <v>631</v>
      </c>
      <c r="Z66" s="4">
        <v>45</v>
      </c>
      <c r="AA66" s="53" t="s">
        <v>631</v>
      </c>
      <c r="AB66" s="42">
        <f>IF(J66&lt;=0.04,0,IF((BA66-AL66*BF$4*炼钢参数表!$X$5/1000-AM66*BG$4*炼钢参数表!$X$5/1000)&lt;=0.03,0,IF((J66/100/0.1769/炼钢参数表!K66*1000)&gt;(K66-炼钢参数表!J66)/100/0.6566/炼钢参数表!L66*1000,IF(K66&lt;1.6,(K66-炼钢参数表!J66)/100/0.6566/炼钢参数表!L66*1000,(K66-0.08-炼钢参数表!J66)/100/0.6566/炼钢参数表!L66*1000),IF(K66&lt;1.6,J66/100/0.1769/炼钢参数表!K66*1000,(J66-0.08)/100/0.1769/炼钢参数表!K66*1000))))</f>
        <v>7.0661390616167301</v>
      </c>
      <c r="AC66" s="8">
        <f>IF((BA66-AB66*$BB$4*0.9/1000-AL66*BF$4*炼钢参数表!$X$5/1000-AM66*BG$4*炼钢参数表!$X$5/1000)&lt;(K66-炼钢参数表!J66-AB66*0.6566*炼钢参数表!L66/10)*0.082,0,(K66-炼钢参数表!J66-AB66*0.6566*炼钢参数表!L66/10)/100/($AC$3/100)/炼钢参数表!L66*1000)</f>
        <v>7.7093691939317202</v>
      </c>
      <c r="AD66" s="8">
        <f>IF((BA66-AB66*$BB$4*0.9/1000-AC66*$BC$4*0.9/1000-AL66*BF$4*炼钢参数表!$X$5/1000-AM66*BG$4*炼钢参数表!$X$5/1000)&lt;=(K66-炼钢参数表!J66-AB66*0.6566*炼钢参数表!L66/10-AC66*($AC$3/100)*炼钢参数表!L66/10)*0.02,0,((K66-炼钢参数表!J66-AB66*0.6566*炼钢参数表!L66/10-AC66*($AC$3/100)*炼钢参数表!L66/10)/100/($AD$3/100)/炼钢参数表!L66*1000))</f>
        <v>0</v>
      </c>
      <c r="AE66" s="8">
        <f>(K66-炼钢参数表!J66-AB66*0.6566*炼钢参数表!L66/10-AC66*($AC$3/100)*炼钢参数表!L66/10-AD66*($AD$3/100)*炼钢参数表!L66/10)/100/($AE$3/100)/炼钢参数表!L66*1000</f>
        <v>0</v>
      </c>
      <c r="AF66" s="8">
        <v>0</v>
      </c>
      <c r="AG66" s="8">
        <f>IF(J66&lt;=0.04,0,((J66-(AB66*0.1769*炼钢参数表!K66/1000*100))/100/炼钢参数表!K66/($AG$3/100)*1000))</f>
        <v>0</v>
      </c>
      <c r="AH66" s="8">
        <v>1.4</v>
      </c>
      <c r="AI66" s="8">
        <f>IF(N66="",0,IF(N66&lt;=0.002,0,((N66)/100)/($AI$3/100)/炼钢参数表!M66*1000))</f>
        <v>0</v>
      </c>
      <c r="AJ66" s="8">
        <f>IF(O66="",0,IF(O66&lt;=0.002,0,((O66)/100)/($AJ$3/100)/炼钢参数表!N66*1000))</f>
        <v>0.125511459196225</v>
      </c>
      <c r="AK66" s="8">
        <f>IF(P66="",0,IF(P66&lt;=0.002,0,((P66+0.005)/100)/($AK$3/100)/炼钢参数表!O66*1000))</f>
        <v>0.69851913942442001</v>
      </c>
      <c r="AL66" s="8">
        <f>IF((BA66-J66*0.00003-K66*0.00024)&lt;=0.05,0,IF(T66="",0,IF(T66&lt;=0.03,0,IF(((BA66-J66*0.00003-K66*0.00024)-0.05)/0.18/100/($AL$3/100)/炼钢参数表!P66*1000&lt;=T66/100/($AL$3/100)/炼钢参数表!P66*1000,((BA66-J66*0.00003-K66*0.00024)-0.05)/0.18/100/($AL$3/100)/炼钢参数表!P66*1000,T66/100/($AL$3/100)/炼钢参数表!P66*1000))))</f>
        <v>0</v>
      </c>
      <c r="AM66" s="8">
        <f>IF(T66="",0,IF(T66&lt;=0.03,0,((T66-AL66*($AL$3/100)*炼钢参数表!P66/10)/100/($AM$3/100)/炼钢参数表!P66*1000)))</f>
        <v>0</v>
      </c>
      <c r="AN66" s="8">
        <f>IF(U66="",0,IF(U66&lt;=0.02,0,(U66/100)/($AN$3/100)/炼钢参数表!Q66*1000))</f>
        <v>0</v>
      </c>
      <c r="AO66" s="8">
        <f>IF(V66="",0,IF(V66&lt;=0.02,0,(V66/100)/($AO$3/100)/炼钢参数表!R66*1000))</f>
        <v>0</v>
      </c>
      <c r="AP66" s="8">
        <f>IF(W66="",0,IF(W66&lt;=0.02,0,(W66/100)/($AP$3/100)/炼钢参数表!S66*1000))</f>
        <v>0</v>
      </c>
      <c r="AQ66" s="8">
        <f>IF(X66="",0,IF(X66&lt;=0.0002,0,(X66/100)/($AQ$3/100)/炼钢参数表!T66*1000))</f>
        <v>0</v>
      </c>
      <c r="AR66" s="8">
        <f>IF(Y66="",0,IF(Y66&lt;=0.02,0,(Y66/100)/($AR$3/100)/炼钢参数表!U66*1000))</f>
        <v>0</v>
      </c>
      <c r="AS66" s="8">
        <f>IF(L66&lt;=0.04,0,((L66-0.04)/100)/($AS$3/100)/炼钢参数表!V66*1000)</f>
        <v>0</v>
      </c>
      <c r="AT66" s="8">
        <f>IF(M66&lt;=0.03,0,((M66-0.03)/100)/($AT$3/100)/炼钢参数表!W66*1000)</f>
        <v>0</v>
      </c>
      <c r="AU66" s="6"/>
      <c r="AV66" s="8">
        <f t="shared" si="0"/>
        <v>16.999538854169099</v>
      </c>
      <c r="AW66" s="8" cm="1">
        <f t="array" ref="AW66">SUMPRODUCT($AB$4:$AU$4,AB66:AU66)/1000</f>
        <v>160.047695589814</v>
      </c>
      <c r="AY66" s="2" t="str">
        <f t="shared" si="1"/>
        <v>Q355B-ZW4</v>
      </c>
      <c r="AZ66" s="37">
        <f>VLOOKUP(AY66,炼钢参数表!$F$5:$J$1027,4,0)</f>
        <v>5.5100000000000003E-2</v>
      </c>
      <c r="BA66" s="37">
        <f t="shared" si="2"/>
        <v>9.4899999999999998E-2</v>
      </c>
      <c r="BB66" s="37">
        <f>AB66*$BB$4*炼钢参数表!$X$5/1000</f>
        <v>1.09383832673827E-2</v>
      </c>
      <c r="BC66" s="37">
        <f>AC66*$BC$4*炼钢参数表!$X$5/1000</f>
        <v>4.6418111916662903E-2</v>
      </c>
      <c r="BD66" s="37">
        <f>AD66*$BD$4*炼钢参数表!$X$5/1000</f>
        <v>0</v>
      </c>
      <c r="BE66" s="37">
        <f>AE66*$BE$4*炼钢参数表!$X$5/1000</f>
        <v>0</v>
      </c>
      <c r="BF66" s="37">
        <f>AL66*$BF$4*炼钢参数表!$X$5/1000</f>
        <v>0</v>
      </c>
      <c r="BG66" s="37">
        <f>AM66*$BG$4*炼钢参数表!$X$5/1000</f>
        <v>0</v>
      </c>
      <c r="BH66" s="37">
        <f t="shared" si="3"/>
        <v>5.7356495184045599E-2</v>
      </c>
      <c r="BI66" s="37">
        <f t="shared" si="4"/>
        <v>0.112456495184046</v>
      </c>
      <c r="BJ66" s="37">
        <f t="shared" si="5"/>
        <v>-3.75435048159544E-2</v>
      </c>
      <c r="BK66" s="54"/>
      <c r="BL66" s="7"/>
    </row>
    <row r="67" spans="1:64" s="18" customFormat="1" x14ac:dyDescent="0.3">
      <c r="A67" s="21">
        <v>63</v>
      </c>
      <c r="B67" s="4" t="s">
        <v>128</v>
      </c>
      <c r="C67" s="4" t="s">
        <v>90</v>
      </c>
      <c r="D67" s="4">
        <v>0.1</v>
      </c>
      <c r="E67" s="4">
        <v>6</v>
      </c>
      <c r="F67" s="4" t="s">
        <v>87</v>
      </c>
      <c r="G67" s="50" t="s">
        <v>88</v>
      </c>
      <c r="H67" s="4">
        <v>1518</v>
      </c>
      <c r="I67" s="51">
        <v>0.16</v>
      </c>
      <c r="J67" s="52">
        <v>0.08</v>
      </c>
      <c r="K67" s="52">
        <v>0.35</v>
      </c>
      <c r="L67" s="51">
        <v>0.02</v>
      </c>
      <c r="M67" s="51">
        <v>0.01</v>
      </c>
      <c r="N67" s="51"/>
      <c r="O67" s="51"/>
      <c r="P67" s="51">
        <v>0.04</v>
      </c>
      <c r="Q67" s="51">
        <v>0.02</v>
      </c>
      <c r="R67" s="51" t="s">
        <v>631</v>
      </c>
      <c r="S67" s="32"/>
      <c r="T67" s="52"/>
      <c r="U67" s="52"/>
      <c r="V67" s="52"/>
      <c r="W67" s="52"/>
      <c r="X67" s="32" t="s">
        <v>631</v>
      </c>
      <c r="Y67" s="53" t="s">
        <v>631</v>
      </c>
      <c r="Z67" s="4" t="s">
        <v>631</v>
      </c>
      <c r="AA67" s="53" t="s">
        <v>631</v>
      </c>
      <c r="AB67" s="42">
        <f>IF(J67&lt;=0.04,0,IF((BA67-AL67*BF$4*炼钢参数表!$X$5/1000-AM67*BG$4*炼钢参数表!$X$5/1000)&lt;=0.03,0,IF((J67/100/0.1769/炼钢参数表!K67*1000)&gt;(K67-炼钢参数表!J67)/100/0.6566/炼钢参数表!L67*1000,IF(K67&lt;1.6,(K67-炼钢参数表!J67)/100/0.6566/炼钢参数表!L67*1000,(K67-0.08-炼钢参数表!J67)/100/0.6566/炼钢参数表!L67*1000),IF(K67&lt;1.6,J67/100/0.1769/炼钢参数表!K67*1000,(J67-0.08)/100/0.1769/炼钢参数表!K67*1000))))</f>
        <v>3.5358863684437001</v>
      </c>
      <c r="AC67" s="8">
        <f>IF((BA67-AB67*$BB$4*0.9/1000-AL67*BF$4*炼钢参数表!$X$5/1000-AM67*BG$4*炼钢参数表!$X$5/1000)&lt;(K67-炼钢参数表!J67-AB67*0.6566*炼钢参数表!L67/10)*0.082,0,(K67-炼钢参数表!J67-AB67*0.6566*炼钢参数表!L67/10)/100/($AC$3/100)/炼钢参数表!L67*1000)</f>
        <v>0</v>
      </c>
      <c r="AD67" s="8">
        <f>IF((BA67-AB67*$BB$4*0.9/1000-AC67*$BC$4*0.9/1000-AL67*BF$4*炼钢参数表!$X$5/1000-AM67*BG$4*炼钢参数表!$X$5/1000)&lt;=(K67-炼钢参数表!J67-AB67*0.6566*炼钢参数表!L67/10-AC67*($AC$3/100)*炼钢参数表!L67/10)*0.02,0,((K67-炼钢参数表!J67-AB67*0.6566*炼钢参数表!L67/10-AC67*($AC$3/100)*炼钢参数表!L67/10)/100/($AD$3/100)/炼钢参数表!L67*1000))</f>
        <v>0</v>
      </c>
      <c r="AE67" s="8">
        <f>(K67-炼钢参数表!J67-AB67*0.6566*炼钢参数表!L67/10-AC67*($AC$3/100)*炼钢参数表!L67/10-AD67*($AD$3/100)*炼钢参数表!L67/10)/100/($AE$3/100)/炼钢参数表!L67*1000</f>
        <v>0</v>
      </c>
      <c r="AF67" s="8">
        <v>0</v>
      </c>
      <c r="AG67" s="8">
        <f>IF(J67&lt;=0.04,0,((J67-(AB67*0.1769*炼钢参数表!K67/1000*100))/100/炼钢参数表!K67/($AG$3/100)*1000))</f>
        <v>0.51848498050991199</v>
      </c>
      <c r="AH67" s="8">
        <v>1.4277684582087</v>
      </c>
      <c r="AI67" s="8">
        <f>IF(N67="",0,IF(N67&lt;=0.002,0,((N67)/100)/($AI$3/100)/炼钢参数表!M67*1000))</f>
        <v>0</v>
      </c>
      <c r="AJ67" s="8">
        <f>IF(O67="",0,IF(O67&lt;=0.002,0,((O67)/100)/($AJ$3/100)/炼钢参数表!N67*1000))</f>
        <v>0</v>
      </c>
      <c r="AK67" s="8">
        <f>IF(P67="",0,IF(P67&lt;=0.002,0,((P67+0.005)/100)/($AK$3/100)/炼钢参数表!O67*1000))</f>
        <v>0.89809603640282598</v>
      </c>
      <c r="AL67" s="8">
        <f>IF((BA67-J67*0.00003-K67*0.00024)&lt;=0.05,0,IF(T67="",0,IF(T67&lt;=0.03,0,IF(((BA67-J67*0.00003-K67*0.00024)-0.05)/0.18/100/($AL$3/100)/炼钢参数表!P67*1000&lt;=T67/100/($AL$3/100)/炼钢参数表!P67*1000,((BA67-J67*0.00003-K67*0.00024)-0.05)/0.18/100/($AL$3/100)/炼钢参数表!P67*1000,T67/100/($AL$3/100)/炼钢参数表!P67*1000))))</f>
        <v>0</v>
      </c>
      <c r="AM67" s="8">
        <f>IF(T67="",0,IF(T67&lt;=0.03,0,((T67-AL67*($AL$3/100)*炼钢参数表!P67/10)/100/($AM$3/100)/炼钢参数表!P67*1000)))</f>
        <v>0</v>
      </c>
      <c r="AN67" s="8">
        <f>IF(U67="",0,IF(U67&lt;=0.02,0,(U67/100)/($AN$3/100)/炼钢参数表!Q67*1000))</f>
        <v>0</v>
      </c>
      <c r="AO67" s="8">
        <f>IF(V67="",0,IF(V67&lt;=0.02,0,(V67/100)/($AO$3/100)/炼钢参数表!R67*1000))</f>
        <v>0</v>
      </c>
      <c r="AP67" s="8">
        <f>IF(W67="",0,IF(W67&lt;=0.02,0,(W67/100)/($AP$3/100)/炼钢参数表!S67*1000))</f>
        <v>0</v>
      </c>
      <c r="AQ67" s="8">
        <f>IF(X67="",0,IF(X67&lt;=0.0002,0,(X67/100)/($AQ$3/100)/炼钢参数表!T67*1000))</f>
        <v>0</v>
      </c>
      <c r="AR67" s="8">
        <f>IF(Y67="",0,IF(Y67&lt;=0.02,0,(Y67/100)/($AR$3/100)/炼钢参数表!U67*1000))</f>
        <v>0</v>
      </c>
      <c r="AS67" s="8">
        <f>IF(L67&lt;=0.04,0,((L67-0.04)/100)/($AS$3/100)/炼钢参数表!V67*1000)</f>
        <v>0</v>
      </c>
      <c r="AT67" s="8">
        <f>IF(M67&lt;=0.03,0,((M67-0.03)/100)/($AT$3/100)/炼钢参数表!W67*1000)</f>
        <v>0</v>
      </c>
      <c r="AU67" s="6"/>
      <c r="AV67" s="8">
        <f t="shared" si="0"/>
        <v>6.3802358435651403</v>
      </c>
      <c r="AW67" s="8" cm="1">
        <f t="array" ref="AW67">SUMPRODUCT($AB$4:$AU$4,AB67:AU67)/1000</f>
        <v>75.380372803673097</v>
      </c>
      <c r="AY67" s="2" t="str">
        <f t="shared" si="1"/>
        <v>Q355B-1</v>
      </c>
      <c r="AZ67" s="37">
        <f>VLOOKUP(AY67,炼钢参数表!$F$5:$J$1027,4,0)</f>
        <v>7.0817567567567602E-2</v>
      </c>
      <c r="BA67" s="37">
        <f t="shared" si="2"/>
        <v>8.9182432432432401E-2</v>
      </c>
      <c r="BB67" s="37">
        <f>AB67*$BB$4*炼钢参数表!$X$5/1000</f>
        <v>5.4735520983508496E-3</v>
      </c>
      <c r="BC67" s="37">
        <f>AC67*$BC$4*炼钢参数表!$X$5/1000</f>
        <v>0</v>
      </c>
      <c r="BD67" s="37">
        <f>AD67*$BD$4*炼钢参数表!$X$5/1000</f>
        <v>0</v>
      </c>
      <c r="BE67" s="37">
        <f>AE67*$BE$4*炼钢参数表!$X$5/1000</f>
        <v>0</v>
      </c>
      <c r="BF67" s="37">
        <f>AL67*$BF$4*炼钢参数表!$X$5/1000</f>
        <v>0</v>
      </c>
      <c r="BG67" s="37">
        <f>AM67*$BG$4*炼钢参数表!$X$5/1000</f>
        <v>0</v>
      </c>
      <c r="BH67" s="37">
        <f t="shared" si="3"/>
        <v>5.4735520983508496E-3</v>
      </c>
      <c r="BI67" s="37">
        <f t="shared" si="4"/>
        <v>7.6291119665918394E-2</v>
      </c>
      <c r="BJ67" s="37">
        <f t="shared" si="5"/>
        <v>-8.3708880334081595E-2</v>
      </c>
      <c r="BK67" s="54"/>
      <c r="BL67" s="7"/>
    </row>
    <row r="68" spans="1:64" s="18" customFormat="1" x14ac:dyDescent="0.3">
      <c r="A68" s="21">
        <v>64</v>
      </c>
      <c r="B68" s="4" t="s">
        <v>128</v>
      </c>
      <c r="C68" s="4" t="s">
        <v>23</v>
      </c>
      <c r="D68" s="4">
        <v>6.01</v>
      </c>
      <c r="E68" s="4">
        <v>16.440000000000001</v>
      </c>
      <c r="F68" s="4" t="s">
        <v>89</v>
      </c>
      <c r="G68" s="50" t="s">
        <v>88</v>
      </c>
      <c r="H68" s="4">
        <v>1517</v>
      </c>
      <c r="I68" s="51">
        <v>0.16</v>
      </c>
      <c r="J68" s="52">
        <v>0.08</v>
      </c>
      <c r="K68" s="52">
        <v>0.5</v>
      </c>
      <c r="L68" s="51">
        <v>0.02</v>
      </c>
      <c r="M68" s="51">
        <v>0.01</v>
      </c>
      <c r="N68" s="51"/>
      <c r="O68" s="51"/>
      <c r="P68" s="51">
        <v>0.04</v>
      </c>
      <c r="Q68" s="51">
        <v>0.02</v>
      </c>
      <c r="R68" s="51" t="s">
        <v>631</v>
      </c>
      <c r="S68" s="32"/>
      <c r="T68" s="52"/>
      <c r="U68" s="52"/>
      <c r="V68" s="52"/>
      <c r="W68" s="52"/>
      <c r="X68" s="32" t="s">
        <v>631</v>
      </c>
      <c r="Y68" s="53" t="s">
        <v>631</v>
      </c>
      <c r="Z68" s="4" t="s">
        <v>631</v>
      </c>
      <c r="AA68" s="53" t="s">
        <v>631</v>
      </c>
      <c r="AB68" s="42">
        <f>IF(J68&lt;=0.04,0,IF((BA68-AL68*BF$4*炼钢参数表!$X$5/1000-AM68*BG$4*炼钢参数表!$X$5/1000)&lt;=0.03,0,IF((J68/100/0.1769/炼钢参数表!K68*1000)&gt;(K68-炼钢参数表!J68)/100/0.6566/炼钢参数表!L68*1000,IF(K68&lt;1.6,(K68-炼钢参数表!J68)/100/0.6566/炼钢参数表!L68*1000,(K68-0.08-炼钢参数表!J68)/100/0.6566/炼钢参数表!L68*1000),IF(K68&lt;1.6,J68/100/0.1769/炼钢参数表!K68*1000,(J68-0.08)/100/0.1769/炼钢参数表!K68*1000))))</f>
        <v>5.65291124929339</v>
      </c>
      <c r="AC68" s="8">
        <f>IF((BA68-AB68*$BB$4*0.9/1000-AL68*BF$4*炼钢参数表!$X$5/1000-AM68*BG$4*炼钢参数表!$X$5/1000)&lt;(K68-炼钢参数表!J68-AB68*0.6566*炼钢参数表!L68/10)*0.082,0,(K68-炼钢参数表!J68-AB68*0.6566*炼钢参数表!L68/10)/100/($AC$3/100)/炼钢参数表!L68*1000)</f>
        <v>0.20585112346319601</v>
      </c>
      <c r="AD68" s="8">
        <f>IF((BA68-AB68*$BB$4*0.9/1000-AC68*$BC$4*0.9/1000-AL68*BF$4*炼钢参数表!$X$5/1000-AM68*BG$4*炼钢参数表!$X$5/1000)&lt;=(K68-炼钢参数表!J68-AB68*0.6566*炼钢参数表!L68/10-AC68*($AC$3/100)*炼钢参数表!L68/10)*0.02,0,((K68-炼钢参数表!J68-AB68*0.6566*炼钢参数表!L68/10-AC68*($AC$3/100)*炼钢参数表!L68/10)/100/($AD$3/100)/炼钢参数表!L68*1000))</f>
        <v>0</v>
      </c>
      <c r="AE68" s="8">
        <f>(K68-炼钢参数表!J68-AB68*0.6566*炼钢参数表!L68/10-AC68*($AC$3/100)*炼钢参数表!L68/10-AD68*($AD$3/100)*炼钢参数表!L68/10)/100/($AE$3/100)/炼钢参数表!L68*1000</f>
        <v>0</v>
      </c>
      <c r="AF68" s="8">
        <v>0</v>
      </c>
      <c r="AG68" s="8">
        <f>IF(J68&lt;=0.04,0,((J68-(AB68*0.1769*炼钢参数表!K68/1000*100))/100/炼钢参数表!K68/($AG$3/100)*1000))</f>
        <v>0</v>
      </c>
      <c r="AH68" s="8">
        <v>1.4</v>
      </c>
      <c r="AI68" s="8">
        <f>IF(N68="",0,IF(N68&lt;=0.002,0,((N68)/100)/($AI$3/100)/炼钢参数表!M68*1000))</f>
        <v>0</v>
      </c>
      <c r="AJ68" s="8">
        <f>IF(O68="",0,IF(O68&lt;=0.002,0,((O68)/100)/($AJ$3/100)/炼钢参数表!N68*1000))</f>
        <v>0</v>
      </c>
      <c r="AK68" s="8">
        <f>IF(P68="",0,IF(P68&lt;=0.002,0,((P68+0.005)/100)/($AK$3/100)/炼钢参数表!O68*1000))</f>
        <v>0.89809603640282598</v>
      </c>
      <c r="AL68" s="8">
        <f>IF((BA68-J68*0.00003-K68*0.00024)&lt;=0.05,0,IF(T68="",0,IF(T68&lt;=0.03,0,IF(((BA68-J68*0.00003-K68*0.00024)-0.05)/0.18/100/($AL$3/100)/炼钢参数表!P68*1000&lt;=T68/100/($AL$3/100)/炼钢参数表!P68*1000,((BA68-J68*0.00003-K68*0.00024)-0.05)/0.18/100/($AL$3/100)/炼钢参数表!P68*1000,T68/100/($AL$3/100)/炼钢参数表!P68*1000))))</f>
        <v>0</v>
      </c>
      <c r="AM68" s="8">
        <f>IF(T68="",0,IF(T68&lt;=0.03,0,((T68-AL68*($AL$3/100)*炼钢参数表!P68/10)/100/($AM$3/100)/炼钢参数表!P68*1000)))</f>
        <v>0</v>
      </c>
      <c r="AN68" s="8">
        <f>IF(U68="",0,IF(U68&lt;=0.02,0,(U68/100)/($AN$3/100)/炼钢参数表!Q68*1000))</f>
        <v>0</v>
      </c>
      <c r="AO68" s="8">
        <f>IF(V68="",0,IF(V68&lt;=0.02,0,(V68/100)/($AO$3/100)/炼钢参数表!R68*1000))</f>
        <v>0</v>
      </c>
      <c r="AP68" s="8">
        <f>IF(W68="",0,IF(W68&lt;=0.02,0,(W68/100)/($AP$3/100)/炼钢参数表!S68*1000))</f>
        <v>0</v>
      </c>
      <c r="AQ68" s="8">
        <f>IF(X68="",0,IF(X68&lt;=0.0002,0,(X68/100)/($AQ$3/100)/炼钢参数表!T68*1000))</f>
        <v>0</v>
      </c>
      <c r="AR68" s="8">
        <f>IF(Y68="",0,IF(Y68&lt;=0.02,0,(Y68/100)/($AR$3/100)/炼钢参数表!U68*1000))</f>
        <v>0</v>
      </c>
      <c r="AS68" s="8">
        <f>IF(L68&lt;=0.04,0,((L68-0.04)/100)/($AS$3/100)/炼钢参数表!V68*1000)</f>
        <v>0</v>
      </c>
      <c r="AT68" s="8">
        <f>IF(M68&lt;=0.03,0,((M68-0.03)/100)/($AT$3/100)/炼钢参数表!W68*1000)</f>
        <v>0</v>
      </c>
      <c r="AU68" s="6"/>
      <c r="AV68" s="8">
        <f t="shared" si="0"/>
        <v>8.1568584091594101</v>
      </c>
      <c r="AW68" s="8" cm="1">
        <f t="array" ref="AW68">SUMPRODUCT($AB$4:$AU$4,AB68:AU68)/1000</f>
        <v>84.799930373078695</v>
      </c>
      <c r="AY68" s="2" t="str">
        <f t="shared" si="1"/>
        <v>Q355B-2</v>
      </c>
      <c r="AZ68" s="37">
        <f>VLOOKUP(AY68,炼钢参数表!$F$5:$J$1027,4,0)</f>
        <v>7.4004318322023602E-2</v>
      </c>
      <c r="BA68" s="37">
        <f t="shared" si="2"/>
        <v>8.5995681677976402E-2</v>
      </c>
      <c r="BB68" s="37">
        <f>AB68*$BB$4*炼钢参数表!$X$5/1000</f>
        <v>8.7507066139061607E-3</v>
      </c>
      <c r="BC68" s="37">
        <f>AC68*$BC$4*炼钢参数表!$X$5/1000</f>
        <v>1.2394296143718999E-3</v>
      </c>
      <c r="BD68" s="37">
        <f>AD68*$BD$4*炼钢参数表!$X$5/1000</f>
        <v>0</v>
      </c>
      <c r="BE68" s="37">
        <f>AE68*$BE$4*炼钢参数表!$X$5/1000</f>
        <v>0</v>
      </c>
      <c r="BF68" s="37">
        <f>AL68*$BF$4*炼钢参数表!$X$5/1000</f>
        <v>0</v>
      </c>
      <c r="BG68" s="37">
        <f>AM68*$BG$4*炼钢参数表!$X$5/1000</f>
        <v>0</v>
      </c>
      <c r="BH68" s="37">
        <f t="shared" si="3"/>
        <v>9.9901362282780702E-3</v>
      </c>
      <c r="BI68" s="37">
        <f t="shared" si="4"/>
        <v>8.3994454550301703E-2</v>
      </c>
      <c r="BJ68" s="37">
        <f t="shared" si="5"/>
        <v>-7.60055454496983E-2</v>
      </c>
      <c r="BK68" s="54"/>
      <c r="BL68" s="7"/>
    </row>
    <row r="69" spans="1:64" s="18" customFormat="1" x14ac:dyDescent="0.3">
      <c r="A69" s="21">
        <v>65</v>
      </c>
      <c r="B69" s="4" t="s">
        <v>128</v>
      </c>
      <c r="C69" s="4" t="s">
        <v>26</v>
      </c>
      <c r="D69" s="4">
        <v>16.45</v>
      </c>
      <c r="E69" s="4">
        <v>30</v>
      </c>
      <c r="F69" s="4" t="s">
        <v>129</v>
      </c>
      <c r="G69" s="50" t="s">
        <v>92</v>
      </c>
      <c r="H69" s="4">
        <v>1515</v>
      </c>
      <c r="I69" s="51">
        <v>0.16</v>
      </c>
      <c r="J69" s="52">
        <v>0.18</v>
      </c>
      <c r="K69" s="52">
        <v>0.8</v>
      </c>
      <c r="L69" s="51">
        <v>0.02</v>
      </c>
      <c r="M69" s="51">
        <v>0.01</v>
      </c>
      <c r="N69" s="51"/>
      <c r="O69" s="51"/>
      <c r="P69" s="51">
        <v>3.5000000000000003E-2</v>
      </c>
      <c r="Q69" s="51">
        <v>0.02</v>
      </c>
      <c r="R69" s="51" t="s">
        <v>631</v>
      </c>
      <c r="S69" s="32"/>
      <c r="T69" s="52"/>
      <c r="U69" s="52"/>
      <c r="V69" s="52"/>
      <c r="W69" s="52"/>
      <c r="X69" s="32" t="s">
        <v>631</v>
      </c>
      <c r="Y69" s="53" t="s">
        <v>631</v>
      </c>
      <c r="Z69" s="4" t="s">
        <v>631</v>
      </c>
      <c r="AA69" s="53" t="s">
        <v>631</v>
      </c>
      <c r="AB69" s="42">
        <f>IF(J69&lt;=0.04,0,IF((BA69-AL69*BF$4*炼钢参数表!$X$5/1000-AM69*BG$4*炼钢参数表!$X$5/1000)&lt;=0.03,0,IF((J69/100/0.1769/炼钢参数表!K69*1000)&gt;(K69-炼钢参数表!J69)/100/0.6566/炼钢参数表!L69*1000,IF(K69&lt;1.6,(K69-炼钢参数表!J69)/100/0.6566/炼钢参数表!L69*1000,(K69-0.08-炼钢参数表!J69)/100/0.6566/炼钢参数表!L69*1000),IF(K69&lt;1.6,J69/100/0.1769/炼钢参数表!K69*1000,(J69-0.08)/100/0.1769/炼钢参数表!K69*1000))))</f>
        <v>10.525062306969099</v>
      </c>
      <c r="AC69" s="8">
        <f>IF((BA69-AB69*$BB$4*0.9/1000-AL69*BF$4*炼钢参数表!$X$5/1000-AM69*BG$4*炼钢参数表!$X$5/1000)&lt;(K69-炼钢参数表!J69-AB69*0.6566*炼钢参数表!L69/10)*0.082,0,(K69-炼钢参数表!J69-AB69*0.6566*炼钢参数表!L69/10)/100/($AC$3/100)/炼钢参数表!L69*1000)</f>
        <v>0</v>
      </c>
      <c r="AD69" s="8">
        <f>IF((BA69-AB69*$BB$4*0.9/1000-AC69*$BC$4*0.9/1000-AL69*BF$4*炼钢参数表!$X$5/1000-AM69*BG$4*炼钢参数表!$X$5/1000)&lt;=(K69-炼钢参数表!J69-AB69*0.6566*炼钢参数表!L69/10-AC69*($AC$3/100)*炼钢参数表!L69/10)*0.02,0,((K69-炼钢参数表!J69-AB69*0.6566*炼钢参数表!L69/10-AC69*($AC$3/100)*炼钢参数表!L69/10)/100/($AD$3/100)/炼钢参数表!L69*1000))</f>
        <v>0</v>
      </c>
      <c r="AE69" s="8">
        <f>(K69-炼钢参数表!J69-AB69*0.6566*炼钢参数表!L69/10-AC69*($AC$3/100)*炼钢参数表!L69/10-AD69*($AD$3/100)*炼钢参数表!L69/10)/100/($AE$3/100)/炼钢参数表!L69*1000</f>
        <v>0</v>
      </c>
      <c r="AF69" s="8">
        <v>0</v>
      </c>
      <c r="AG69" s="8">
        <f>IF(J69&lt;=0.04,0,((J69-(AB69*0.1769*炼钢参数表!K69/1000*100))/100/炼钢参数表!K69/($AG$3/100)*1000))</f>
        <v>0.53733417956135499</v>
      </c>
      <c r="AH69" s="8">
        <v>1.4</v>
      </c>
      <c r="AI69" s="8">
        <f>IF(N69="",0,IF(N69&lt;=0.002,0,((N69)/100)/($AI$3/100)/炼钢参数表!M69*1000))</f>
        <v>0</v>
      </c>
      <c r="AJ69" s="8">
        <f>IF(O69="",0,IF(O69&lt;=0.002,0,((O69)/100)/($AJ$3/100)/炼钢参数表!N69*1000))</f>
        <v>0</v>
      </c>
      <c r="AK69" s="8">
        <f>IF(P69="",0,IF(P69&lt;=0.002,0,((P69+0.005)/100)/($AK$3/100)/炼钢参数表!O69*1000))</f>
        <v>0.798307587913623</v>
      </c>
      <c r="AL69" s="8">
        <f>IF((BA69-J69*0.00003-K69*0.00024)&lt;=0.05,0,IF(T69="",0,IF(T69&lt;=0.03,0,IF(((BA69-J69*0.00003-K69*0.00024)-0.05)/0.18/100/($AL$3/100)/炼钢参数表!P69*1000&lt;=T69/100/($AL$3/100)/炼钢参数表!P69*1000,((BA69-J69*0.00003-K69*0.00024)-0.05)/0.18/100/($AL$3/100)/炼钢参数表!P69*1000,T69/100/($AL$3/100)/炼钢参数表!P69*1000))))</f>
        <v>0</v>
      </c>
      <c r="AM69" s="8">
        <f>IF(T69="",0,IF(T69&lt;=0.03,0,((T69-AL69*($AL$3/100)*炼钢参数表!P69/10)/100/($AM$3/100)/炼钢参数表!P69*1000)))</f>
        <v>0</v>
      </c>
      <c r="AN69" s="8">
        <f>IF(U69="",0,IF(U69&lt;=0.02,0,(U69/100)/($AN$3/100)/炼钢参数表!Q69*1000))</f>
        <v>0</v>
      </c>
      <c r="AO69" s="8">
        <f>IF(V69="",0,IF(V69&lt;=0.02,0,(V69/100)/($AO$3/100)/炼钢参数表!R69*1000))</f>
        <v>0</v>
      </c>
      <c r="AP69" s="8">
        <f>IF(W69="",0,IF(W69&lt;=0.02,0,(W69/100)/($AP$3/100)/炼钢参数表!S69*1000))</f>
        <v>0</v>
      </c>
      <c r="AQ69" s="8">
        <f>IF(X69="",0,IF(X69&lt;=0.0002,0,(X69/100)/($AQ$3/100)/炼钢参数表!T69*1000))</f>
        <v>0</v>
      </c>
      <c r="AR69" s="8">
        <f>IF(Y69="",0,IF(Y69&lt;=0.02,0,(Y69/100)/($AR$3/100)/炼钢参数表!U69*1000))</f>
        <v>0</v>
      </c>
      <c r="AS69" s="8">
        <f>IF(L69&lt;=0.04,0,((L69-0.04)/100)/($AS$3/100)/炼钢参数表!V69*1000)</f>
        <v>0</v>
      </c>
      <c r="AT69" s="8">
        <f>IF(M69&lt;=0.03,0,((M69-0.03)/100)/($AT$3/100)/炼钢参数表!W69*1000)</f>
        <v>0</v>
      </c>
      <c r="AU69" s="6"/>
      <c r="AV69" s="8">
        <f t="shared" si="0"/>
        <v>13.260704074444099</v>
      </c>
      <c r="AW69" s="8" cm="1">
        <f t="array" ref="AW69">SUMPRODUCT($AB$4:$AU$4,AB69:AU69)/1000</f>
        <v>110.37059878336299</v>
      </c>
      <c r="AY69" s="2" t="str">
        <f t="shared" si="1"/>
        <v>Q355B-3A</v>
      </c>
      <c r="AZ69" s="37">
        <f>VLOOKUP(AY69,炼钢参数表!$F$5:$J$1027,4,0)</f>
        <v>7.2048951048951093E-2</v>
      </c>
      <c r="BA69" s="37">
        <f t="shared" si="2"/>
        <v>8.7951048951048896E-2</v>
      </c>
      <c r="BB69" s="37">
        <f>AB69*$BB$4*炼钢参数表!$X$5/1000</f>
        <v>1.62927964511882E-2</v>
      </c>
      <c r="BC69" s="37">
        <f>AC69*$BC$4*炼钢参数表!$X$5/1000</f>
        <v>0</v>
      </c>
      <c r="BD69" s="37">
        <f>AD69*$BD$4*炼钢参数表!$X$5/1000</f>
        <v>0</v>
      </c>
      <c r="BE69" s="37">
        <f>AE69*$BE$4*炼钢参数表!$X$5/1000</f>
        <v>0</v>
      </c>
      <c r="BF69" s="37">
        <f>AL69*$BF$4*炼钢参数表!$X$5/1000</f>
        <v>0</v>
      </c>
      <c r="BG69" s="37">
        <f>AM69*$BG$4*炼钢参数表!$X$5/1000</f>
        <v>0</v>
      </c>
      <c r="BH69" s="37">
        <f t="shared" si="3"/>
        <v>1.62927964511882E-2</v>
      </c>
      <c r="BI69" s="37">
        <f t="shared" si="4"/>
        <v>8.8341747500139303E-2</v>
      </c>
      <c r="BJ69" s="37">
        <f t="shared" si="5"/>
        <v>-7.16582524998607E-2</v>
      </c>
      <c r="BK69" s="54"/>
      <c r="BL69" s="7"/>
    </row>
    <row r="70" spans="1:64" s="18" customFormat="1" x14ac:dyDescent="0.3">
      <c r="A70" s="21">
        <v>66</v>
      </c>
      <c r="B70" s="4" t="s">
        <v>130</v>
      </c>
      <c r="C70" s="4" t="s">
        <v>23</v>
      </c>
      <c r="D70" s="4">
        <v>0.1</v>
      </c>
      <c r="E70" s="4">
        <v>6</v>
      </c>
      <c r="F70" s="4" t="s">
        <v>87</v>
      </c>
      <c r="G70" s="50" t="s">
        <v>88</v>
      </c>
      <c r="H70" s="4">
        <v>1518</v>
      </c>
      <c r="I70" s="51">
        <v>0.16</v>
      </c>
      <c r="J70" s="52">
        <v>0.08</v>
      </c>
      <c r="K70" s="52">
        <v>0.35</v>
      </c>
      <c r="L70" s="51">
        <v>0.02</v>
      </c>
      <c r="M70" s="51">
        <v>0.01</v>
      </c>
      <c r="N70" s="51"/>
      <c r="O70" s="51"/>
      <c r="P70" s="51">
        <v>0.04</v>
      </c>
      <c r="Q70" s="51">
        <v>0.02</v>
      </c>
      <c r="R70" s="51" t="s">
        <v>631</v>
      </c>
      <c r="S70" s="32"/>
      <c r="T70" s="52"/>
      <c r="U70" s="52"/>
      <c r="V70" s="52"/>
      <c r="W70" s="52"/>
      <c r="X70" s="32" t="s">
        <v>631</v>
      </c>
      <c r="Y70" s="53" t="s">
        <v>631</v>
      </c>
      <c r="Z70" s="4" t="s">
        <v>631</v>
      </c>
      <c r="AA70" s="53" t="s">
        <v>631</v>
      </c>
      <c r="AB70" s="42">
        <f>IF(J70&lt;=0.04,0,IF((BA70-AL70*BF$4*炼钢参数表!$X$5/1000-AM70*BG$4*炼钢参数表!$X$5/1000)&lt;=0.03,0,IF((J70/100/0.1769/炼钢参数表!K70*1000)&gt;(K70-炼钢参数表!J70)/100/0.6566/炼钢参数表!L70*1000,IF(K70&lt;1.6,(K70-炼钢参数表!J70)/100/0.6566/炼钢参数表!L70*1000,(K70-0.08-炼钢参数表!J70)/100/0.6566/炼钢参数表!L70*1000),IF(K70&lt;1.6,J70/100/0.1769/炼钢参数表!K70*1000,(J70-0.08)/100/0.1769/炼钢参数表!K70*1000))))</f>
        <v>3.5358863684437001</v>
      </c>
      <c r="AC70" s="8">
        <f>IF((BA70-AB70*$BB$4*0.9/1000-AL70*BF$4*炼钢参数表!$X$5/1000-AM70*BG$4*炼钢参数表!$X$5/1000)&lt;(K70-炼钢参数表!J70-AB70*0.6566*炼钢参数表!L70/10)*0.082,0,(K70-炼钢参数表!J70-AB70*0.6566*炼钢参数表!L70/10)/100/($AC$3/100)/炼钢参数表!L70*1000)</f>
        <v>0</v>
      </c>
      <c r="AD70" s="8">
        <f>IF((BA70-AB70*$BB$4*0.9/1000-AC70*$BC$4*0.9/1000-AL70*BF$4*炼钢参数表!$X$5/1000-AM70*BG$4*炼钢参数表!$X$5/1000)&lt;=(K70-炼钢参数表!J70-AB70*0.6566*炼钢参数表!L70/10-AC70*($AC$3/100)*炼钢参数表!L70/10)*0.02,0,((K70-炼钢参数表!J70-AB70*0.6566*炼钢参数表!L70/10-AC70*($AC$3/100)*炼钢参数表!L70/10)/100/($AD$3/100)/炼钢参数表!L70*1000))</f>
        <v>0</v>
      </c>
      <c r="AE70" s="8">
        <f>(K70-炼钢参数表!J70-AB70*0.6566*炼钢参数表!L70/10-AC70*($AC$3/100)*炼钢参数表!L70/10-AD70*($AD$3/100)*炼钢参数表!L70/10)/100/($AE$3/100)/炼钢参数表!L70*1000</f>
        <v>0</v>
      </c>
      <c r="AF70" s="8">
        <v>0</v>
      </c>
      <c r="AG70" s="8">
        <f>IF(J70&lt;=0.04,0,((J70-(AB70*0.1769*炼钢参数表!K70/1000*100))/100/炼钢参数表!K70/($AG$3/100)*1000))</f>
        <v>0.51848498050991199</v>
      </c>
      <c r="AH70" s="8">
        <v>1.4277684582087</v>
      </c>
      <c r="AI70" s="8">
        <f>IF(N70="",0,IF(N70&lt;=0.002,0,((N70)/100)/($AI$3/100)/炼钢参数表!M70*1000))</f>
        <v>0</v>
      </c>
      <c r="AJ70" s="8">
        <f>IF(O70="",0,IF(O70&lt;=0.002,0,((O70)/100)/($AJ$3/100)/炼钢参数表!N70*1000))</f>
        <v>0</v>
      </c>
      <c r="AK70" s="8">
        <f>IF(P70="",0,IF(P70&lt;=0.002,0,((P70+0.005)/100)/($AK$3/100)/炼钢参数表!O70*1000))</f>
        <v>0.89809603640282598</v>
      </c>
      <c r="AL70" s="8">
        <f>IF((BA70-J70*0.00003-K70*0.00024)&lt;=0.05,0,IF(T70="",0,IF(T70&lt;=0.03,0,IF(((BA70-J70*0.00003-K70*0.00024)-0.05)/0.18/100/($AL$3/100)/炼钢参数表!P70*1000&lt;=T70/100/($AL$3/100)/炼钢参数表!P70*1000,((BA70-J70*0.00003-K70*0.00024)-0.05)/0.18/100/($AL$3/100)/炼钢参数表!P70*1000,T70/100/($AL$3/100)/炼钢参数表!P70*1000))))</f>
        <v>0</v>
      </c>
      <c r="AM70" s="8">
        <f>IF(T70="",0,IF(T70&lt;=0.03,0,((T70-AL70*($AL$3/100)*炼钢参数表!P70/10)/100/($AM$3/100)/炼钢参数表!P70*1000)))</f>
        <v>0</v>
      </c>
      <c r="AN70" s="8">
        <f>IF(U70="",0,IF(U70&lt;=0.02,0,(U70/100)/($AN$3/100)/炼钢参数表!Q70*1000))</f>
        <v>0</v>
      </c>
      <c r="AO70" s="8">
        <f>IF(V70="",0,IF(V70&lt;=0.02,0,(V70/100)/($AO$3/100)/炼钢参数表!R70*1000))</f>
        <v>0</v>
      </c>
      <c r="AP70" s="8">
        <f>IF(W70="",0,IF(W70&lt;=0.02,0,(W70/100)/($AP$3/100)/炼钢参数表!S70*1000))</f>
        <v>0</v>
      </c>
      <c r="AQ70" s="8">
        <f>IF(X70="",0,IF(X70&lt;=0.0002,0,(X70/100)/($AQ$3/100)/炼钢参数表!T70*1000))</f>
        <v>0</v>
      </c>
      <c r="AR70" s="8">
        <f>IF(Y70="",0,IF(Y70&lt;=0.02,0,(Y70/100)/($AR$3/100)/炼钢参数表!U70*1000))</f>
        <v>0</v>
      </c>
      <c r="AS70" s="8">
        <f>IF(L70&lt;=0.04,0,((L70-0.04)/100)/($AS$3/100)/炼钢参数表!V70*1000)</f>
        <v>0</v>
      </c>
      <c r="AT70" s="8">
        <f>IF(M70&lt;=0.03,0,((M70-0.03)/100)/($AT$3/100)/炼钢参数表!W70*1000)</f>
        <v>0</v>
      </c>
      <c r="AU70" s="6"/>
      <c r="AV70" s="8">
        <f t="shared" ref="AV70:AV97" si="6">SUM(AB70:AU70)</f>
        <v>6.3802358435651403</v>
      </c>
      <c r="AW70" s="8" cm="1">
        <f t="array" ref="AW70">SUMPRODUCT($AB$4:$AU$4,AB70:AU70)/1000</f>
        <v>75.380372803673097</v>
      </c>
      <c r="AY70" s="2" t="str">
        <f t="shared" ref="AY70:AY97" si="7">F70</f>
        <v>Q355B-1</v>
      </c>
      <c r="AZ70" s="37">
        <f>VLOOKUP(AY70,炼钢参数表!$F$5:$J$1027,4,0)</f>
        <v>7.0817567567567602E-2</v>
      </c>
      <c r="BA70" s="37">
        <f t="shared" ref="BA70:BA97" si="8">I70-AZ70</f>
        <v>8.9182432432432401E-2</v>
      </c>
      <c r="BB70" s="37">
        <f>AB70*$BB$4*炼钢参数表!$X$5/1000</f>
        <v>5.4735520983508496E-3</v>
      </c>
      <c r="BC70" s="37">
        <f>AC70*$BC$4*炼钢参数表!$X$5/1000</f>
        <v>0</v>
      </c>
      <c r="BD70" s="37">
        <f>AD70*$BD$4*炼钢参数表!$X$5/1000</f>
        <v>0</v>
      </c>
      <c r="BE70" s="37">
        <f>AE70*$BE$4*炼钢参数表!$X$5/1000</f>
        <v>0</v>
      </c>
      <c r="BF70" s="37">
        <f>AL70*$BF$4*炼钢参数表!$X$5/1000</f>
        <v>0</v>
      </c>
      <c r="BG70" s="37">
        <f>AM70*$BG$4*炼钢参数表!$X$5/1000</f>
        <v>0</v>
      </c>
      <c r="BH70" s="37">
        <f t="shared" ref="BH70:BH97" si="9">SUM(BB70:BG70)</f>
        <v>5.4735520983508496E-3</v>
      </c>
      <c r="BI70" s="37">
        <f t="shared" ref="BI70:BI97" si="10">AZ70+BH70</f>
        <v>7.6291119665918394E-2</v>
      </c>
      <c r="BJ70" s="37">
        <f t="shared" ref="BJ70:BJ97" si="11">BI70-I70</f>
        <v>-8.3708880334081595E-2</v>
      </c>
      <c r="BK70" s="54"/>
      <c r="BL70" s="7"/>
    </row>
    <row r="71" spans="1:64" s="18" customFormat="1" x14ac:dyDescent="0.3">
      <c r="A71" s="21">
        <v>67</v>
      </c>
      <c r="B71" s="4" t="s">
        <v>130</v>
      </c>
      <c r="C71" s="4" t="s">
        <v>26</v>
      </c>
      <c r="D71" s="4">
        <v>6.01</v>
      </c>
      <c r="E71" s="4">
        <v>16.29</v>
      </c>
      <c r="F71" s="4" t="s">
        <v>89</v>
      </c>
      <c r="G71" s="50" t="s">
        <v>88</v>
      </c>
      <c r="H71" s="4">
        <v>1517</v>
      </c>
      <c r="I71" s="51">
        <v>0.16</v>
      </c>
      <c r="J71" s="52">
        <v>0.08</v>
      </c>
      <c r="K71" s="52">
        <v>0.5</v>
      </c>
      <c r="L71" s="51">
        <v>0.02</v>
      </c>
      <c r="M71" s="51">
        <v>0.01</v>
      </c>
      <c r="N71" s="51"/>
      <c r="O71" s="51"/>
      <c r="P71" s="51">
        <v>0.04</v>
      </c>
      <c r="Q71" s="51">
        <v>0.02</v>
      </c>
      <c r="R71" s="51" t="s">
        <v>631</v>
      </c>
      <c r="S71" s="32"/>
      <c r="T71" s="52"/>
      <c r="U71" s="52"/>
      <c r="V71" s="52"/>
      <c r="W71" s="52"/>
      <c r="X71" s="32" t="s">
        <v>631</v>
      </c>
      <c r="Y71" s="53" t="s">
        <v>631</v>
      </c>
      <c r="Z71" s="4" t="s">
        <v>631</v>
      </c>
      <c r="AA71" s="53" t="s">
        <v>631</v>
      </c>
      <c r="AB71" s="42">
        <f>IF(J71&lt;=0.04,0,IF((BA71-AL71*BF$4*炼钢参数表!$X$5/1000-AM71*BG$4*炼钢参数表!$X$5/1000)&lt;=0.03,0,IF((J71/100/0.1769/炼钢参数表!K71*1000)&gt;(K71-炼钢参数表!J71)/100/0.6566/炼钢参数表!L71*1000,IF(K71&lt;1.6,(K71-炼钢参数表!J71)/100/0.6566/炼钢参数表!L71*1000,(K71-0.08-炼钢参数表!J71)/100/0.6566/炼钢参数表!L71*1000),IF(K71&lt;1.6,J71/100/0.1769/炼钢参数表!K71*1000,(J71-0.08)/100/0.1769/炼钢参数表!K71*1000))))</f>
        <v>5.65291124929339</v>
      </c>
      <c r="AC71" s="8">
        <f>IF((BA71-AB71*$BB$4*0.9/1000-AL71*BF$4*炼钢参数表!$X$5/1000-AM71*BG$4*炼钢参数表!$X$5/1000)&lt;(K71-炼钢参数表!J71-AB71*0.6566*炼钢参数表!L71/10)*0.082,0,(K71-炼钢参数表!J71-AB71*0.6566*炼钢参数表!L71/10)/100/($AC$3/100)/炼钢参数表!L71*1000)</f>
        <v>0.20585112346319601</v>
      </c>
      <c r="AD71" s="8">
        <f>IF((BA71-AB71*$BB$4*0.9/1000-AC71*$BC$4*0.9/1000-AL71*BF$4*炼钢参数表!$X$5/1000-AM71*BG$4*炼钢参数表!$X$5/1000)&lt;=(K71-炼钢参数表!J71-AB71*0.6566*炼钢参数表!L71/10-AC71*($AC$3/100)*炼钢参数表!L71/10)*0.02,0,((K71-炼钢参数表!J71-AB71*0.6566*炼钢参数表!L71/10-AC71*($AC$3/100)*炼钢参数表!L71/10)/100/($AD$3/100)/炼钢参数表!L71*1000))</f>
        <v>0</v>
      </c>
      <c r="AE71" s="8">
        <f>(K71-炼钢参数表!J71-AB71*0.6566*炼钢参数表!L71/10-AC71*($AC$3/100)*炼钢参数表!L71/10-AD71*($AD$3/100)*炼钢参数表!L71/10)/100/($AE$3/100)/炼钢参数表!L71*1000</f>
        <v>0</v>
      </c>
      <c r="AF71" s="8">
        <v>0</v>
      </c>
      <c r="AG71" s="8">
        <f>IF(J71&lt;=0.04,0,((J71-(AB71*0.1769*炼钢参数表!K71/1000*100))/100/炼钢参数表!K71/($AG$3/100)*1000))</f>
        <v>0</v>
      </c>
      <c r="AH71" s="8">
        <v>1.4</v>
      </c>
      <c r="AI71" s="8">
        <f>IF(N71="",0,IF(N71&lt;=0.002,0,((N71)/100)/($AI$3/100)/炼钢参数表!M71*1000))</f>
        <v>0</v>
      </c>
      <c r="AJ71" s="8">
        <f>IF(O71="",0,IF(O71&lt;=0.002,0,((O71)/100)/($AJ$3/100)/炼钢参数表!N71*1000))</f>
        <v>0</v>
      </c>
      <c r="AK71" s="8">
        <f>IF(P71="",0,IF(P71&lt;=0.002,0,((P71+0.005)/100)/($AK$3/100)/炼钢参数表!O71*1000))</f>
        <v>0.89809603640282598</v>
      </c>
      <c r="AL71" s="8">
        <f>IF((BA71-J71*0.00003-K71*0.00024)&lt;=0.05,0,IF(T71="",0,IF(T71&lt;=0.03,0,IF(((BA71-J71*0.00003-K71*0.00024)-0.05)/0.18/100/($AL$3/100)/炼钢参数表!P71*1000&lt;=T71/100/($AL$3/100)/炼钢参数表!P71*1000,((BA71-J71*0.00003-K71*0.00024)-0.05)/0.18/100/($AL$3/100)/炼钢参数表!P71*1000,T71/100/($AL$3/100)/炼钢参数表!P71*1000))))</f>
        <v>0</v>
      </c>
      <c r="AM71" s="8">
        <f>IF(T71="",0,IF(T71&lt;=0.03,0,((T71-AL71*($AL$3/100)*炼钢参数表!P71/10)/100/($AM$3/100)/炼钢参数表!P71*1000)))</f>
        <v>0</v>
      </c>
      <c r="AN71" s="8">
        <f>IF(U71="",0,IF(U71&lt;=0.02,0,(U71/100)/($AN$3/100)/炼钢参数表!Q71*1000))</f>
        <v>0</v>
      </c>
      <c r="AO71" s="8">
        <f>IF(V71="",0,IF(V71&lt;=0.02,0,(V71/100)/($AO$3/100)/炼钢参数表!R71*1000))</f>
        <v>0</v>
      </c>
      <c r="AP71" s="8">
        <f>IF(W71="",0,IF(W71&lt;=0.02,0,(W71/100)/($AP$3/100)/炼钢参数表!S71*1000))</f>
        <v>0</v>
      </c>
      <c r="AQ71" s="8">
        <f>IF(X71="",0,IF(X71&lt;=0.0002,0,(X71/100)/($AQ$3/100)/炼钢参数表!T71*1000))</f>
        <v>0</v>
      </c>
      <c r="AR71" s="8">
        <f>IF(Y71="",0,IF(Y71&lt;=0.02,0,(Y71/100)/($AR$3/100)/炼钢参数表!U71*1000))</f>
        <v>0</v>
      </c>
      <c r="AS71" s="8">
        <f>IF(L71&lt;=0.04,0,((L71-0.04)/100)/($AS$3/100)/炼钢参数表!V71*1000)</f>
        <v>0</v>
      </c>
      <c r="AT71" s="8">
        <f>IF(M71&lt;=0.03,0,((M71-0.03)/100)/($AT$3/100)/炼钢参数表!W71*1000)</f>
        <v>0</v>
      </c>
      <c r="AU71" s="6"/>
      <c r="AV71" s="8">
        <f t="shared" si="6"/>
        <v>8.1568584091594101</v>
      </c>
      <c r="AW71" s="8" cm="1">
        <f t="array" ref="AW71">SUMPRODUCT($AB$4:$AU$4,AB71:AU71)/1000</f>
        <v>84.799930373078695</v>
      </c>
      <c r="AY71" s="2" t="str">
        <f t="shared" si="7"/>
        <v>Q355B-2</v>
      </c>
      <c r="AZ71" s="37">
        <f>VLOOKUP(AY71,炼钢参数表!$F$5:$J$1027,4,0)</f>
        <v>7.4004318322023602E-2</v>
      </c>
      <c r="BA71" s="37">
        <f t="shared" si="8"/>
        <v>8.5995681677976402E-2</v>
      </c>
      <c r="BB71" s="37">
        <f>AB71*$BB$4*炼钢参数表!$X$5/1000</f>
        <v>8.7507066139061607E-3</v>
      </c>
      <c r="BC71" s="37">
        <f>AC71*$BC$4*炼钢参数表!$X$5/1000</f>
        <v>1.2394296143718999E-3</v>
      </c>
      <c r="BD71" s="37">
        <f>AD71*$BD$4*炼钢参数表!$X$5/1000</f>
        <v>0</v>
      </c>
      <c r="BE71" s="37">
        <f>AE71*$BE$4*炼钢参数表!$X$5/1000</f>
        <v>0</v>
      </c>
      <c r="BF71" s="37">
        <f>AL71*$BF$4*炼钢参数表!$X$5/1000</f>
        <v>0</v>
      </c>
      <c r="BG71" s="37">
        <f>AM71*$BG$4*炼钢参数表!$X$5/1000</f>
        <v>0</v>
      </c>
      <c r="BH71" s="37">
        <f t="shared" si="9"/>
        <v>9.9901362282780702E-3</v>
      </c>
      <c r="BI71" s="37">
        <f t="shared" si="10"/>
        <v>8.3994454550301703E-2</v>
      </c>
      <c r="BJ71" s="37">
        <f t="shared" si="11"/>
        <v>-7.60055454496983E-2</v>
      </c>
      <c r="BK71" s="54"/>
      <c r="BL71" s="7"/>
    </row>
    <row r="72" spans="1:64" s="18" customFormat="1" x14ac:dyDescent="0.3">
      <c r="A72" s="21">
        <v>68</v>
      </c>
      <c r="B72" s="4" t="s">
        <v>130</v>
      </c>
      <c r="C72" s="4" t="s">
        <v>90</v>
      </c>
      <c r="D72" s="4">
        <v>16.3</v>
      </c>
      <c r="E72" s="4">
        <v>30</v>
      </c>
      <c r="F72" s="4" t="s">
        <v>129</v>
      </c>
      <c r="G72" s="50" t="s">
        <v>92</v>
      </c>
      <c r="H72" s="4">
        <v>1515</v>
      </c>
      <c r="I72" s="51">
        <v>0.16</v>
      </c>
      <c r="J72" s="52">
        <v>0.18</v>
      </c>
      <c r="K72" s="52">
        <v>0.8</v>
      </c>
      <c r="L72" s="51">
        <v>0.02</v>
      </c>
      <c r="M72" s="51">
        <v>0.01</v>
      </c>
      <c r="N72" s="51"/>
      <c r="O72" s="51"/>
      <c r="P72" s="51">
        <v>3.5000000000000003E-2</v>
      </c>
      <c r="Q72" s="51">
        <v>0.02</v>
      </c>
      <c r="R72" s="51" t="s">
        <v>631</v>
      </c>
      <c r="S72" s="32"/>
      <c r="T72" s="52"/>
      <c r="U72" s="52"/>
      <c r="V72" s="52"/>
      <c r="W72" s="52"/>
      <c r="X72" s="32" t="s">
        <v>631</v>
      </c>
      <c r="Y72" s="53" t="s">
        <v>631</v>
      </c>
      <c r="Z72" s="4" t="s">
        <v>631</v>
      </c>
      <c r="AA72" s="53" t="s">
        <v>631</v>
      </c>
      <c r="AB72" s="42">
        <f>IF(J72&lt;=0.04,0,IF((BA72-AL72*BF$4*炼钢参数表!$X$5/1000-AM72*BG$4*炼钢参数表!$X$5/1000)&lt;=0.03,0,IF((J72/100/0.1769/炼钢参数表!K72*1000)&gt;(K72-炼钢参数表!J72)/100/0.6566/炼钢参数表!L72*1000,IF(K72&lt;1.6,(K72-炼钢参数表!J72)/100/0.6566/炼钢参数表!L72*1000,(K72-0.08-炼钢参数表!J72)/100/0.6566/炼钢参数表!L72*1000),IF(K72&lt;1.6,J72/100/0.1769/炼钢参数表!K72*1000,(J72-0.08)/100/0.1769/炼钢参数表!K72*1000))))</f>
        <v>10.525062306969099</v>
      </c>
      <c r="AC72" s="8">
        <f>IF((BA72-AB72*$BB$4*0.9/1000-AL72*BF$4*炼钢参数表!$X$5/1000-AM72*BG$4*炼钢参数表!$X$5/1000)&lt;(K72-炼钢参数表!J72-AB72*0.6566*炼钢参数表!L72/10)*0.082,0,(K72-炼钢参数表!J72-AB72*0.6566*炼钢参数表!L72/10)/100/($AC$3/100)/炼钢参数表!L72*1000)</f>
        <v>0</v>
      </c>
      <c r="AD72" s="8">
        <f>IF((BA72-AB72*$BB$4*0.9/1000-AC72*$BC$4*0.9/1000-AL72*BF$4*炼钢参数表!$X$5/1000-AM72*BG$4*炼钢参数表!$X$5/1000)&lt;=(K72-炼钢参数表!J72-AB72*0.6566*炼钢参数表!L72/10-AC72*($AC$3/100)*炼钢参数表!L72/10)*0.02,0,((K72-炼钢参数表!J72-AB72*0.6566*炼钢参数表!L72/10-AC72*($AC$3/100)*炼钢参数表!L72/10)/100/($AD$3/100)/炼钢参数表!L72*1000))</f>
        <v>0</v>
      </c>
      <c r="AE72" s="8">
        <f>(K72-炼钢参数表!J72-AB72*0.6566*炼钢参数表!L72/10-AC72*($AC$3/100)*炼钢参数表!L72/10-AD72*($AD$3/100)*炼钢参数表!L72/10)/100/($AE$3/100)/炼钢参数表!L72*1000</f>
        <v>0</v>
      </c>
      <c r="AF72" s="8">
        <v>0</v>
      </c>
      <c r="AG72" s="8">
        <f>IF(J72&lt;=0.04,0,((J72-(AB72*0.1769*炼钢参数表!K72/1000*100))/100/炼钢参数表!K72/($AG$3/100)*1000))</f>
        <v>0.53733417956135499</v>
      </c>
      <c r="AH72" s="8">
        <v>1.4</v>
      </c>
      <c r="AI72" s="8">
        <f>IF(N72="",0,IF(N72&lt;=0.002,0,((N72)/100)/($AI$3/100)/炼钢参数表!M72*1000))</f>
        <v>0</v>
      </c>
      <c r="AJ72" s="8">
        <f>IF(O72="",0,IF(O72&lt;=0.002,0,((O72)/100)/($AJ$3/100)/炼钢参数表!N72*1000))</f>
        <v>0</v>
      </c>
      <c r="AK72" s="8">
        <f>IF(P72="",0,IF(P72&lt;=0.002,0,((P72+0.005)/100)/($AK$3/100)/炼钢参数表!O72*1000))</f>
        <v>0.798307587913623</v>
      </c>
      <c r="AL72" s="8">
        <f>IF((BA72-J72*0.00003-K72*0.00024)&lt;=0.05,0,IF(T72="",0,IF(T72&lt;=0.03,0,IF(((BA72-J72*0.00003-K72*0.00024)-0.05)/0.18/100/($AL$3/100)/炼钢参数表!P72*1000&lt;=T72/100/($AL$3/100)/炼钢参数表!P72*1000,((BA72-J72*0.00003-K72*0.00024)-0.05)/0.18/100/($AL$3/100)/炼钢参数表!P72*1000,T72/100/($AL$3/100)/炼钢参数表!P72*1000))))</f>
        <v>0</v>
      </c>
      <c r="AM72" s="8">
        <f>IF(T72="",0,IF(T72&lt;=0.03,0,((T72-AL72*($AL$3/100)*炼钢参数表!P72/10)/100/($AM$3/100)/炼钢参数表!P72*1000)))</f>
        <v>0</v>
      </c>
      <c r="AN72" s="8">
        <f>IF(U72="",0,IF(U72&lt;=0.02,0,(U72/100)/($AN$3/100)/炼钢参数表!Q72*1000))</f>
        <v>0</v>
      </c>
      <c r="AO72" s="8">
        <f>IF(V72="",0,IF(V72&lt;=0.02,0,(V72/100)/($AO$3/100)/炼钢参数表!R72*1000))</f>
        <v>0</v>
      </c>
      <c r="AP72" s="8">
        <f>IF(W72="",0,IF(W72&lt;=0.02,0,(W72/100)/($AP$3/100)/炼钢参数表!S72*1000))</f>
        <v>0</v>
      </c>
      <c r="AQ72" s="8">
        <f>IF(X72="",0,IF(X72&lt;=0.0002,0,(X72/100)/($AQ$3/100)/炼钢参数表!T72*1000))</f>
        <v>0</v>
      </c>
      <c r="AR72" s="8">
        <f>IF(Y72="",0,IF(Y72&lt;=0.02,0,(Y72/100)/($AR$3/100)/炼钢参数表!U72*1000))</f>
        <v>0</v>
      </c>
      <c r="AS72" s="8">
        <f>IF(L72&lt;=0.04,0,((L72-0.04)/100)/($AS$3/100)/炼钢参数表!V72*1000)</f>
        <v>0</v>
      </c>
      <c r="AT72" s="8">
        <f>IF(M72&lt;=0.03,0,((M72-0.03)/100)/($AT$3/100)/炼钢参数表!W72*1000)</f>
        <v>0</v>
      </c>
      <c r="AU72" s="6"/>
      <c r="AV72" s="8">
        <f t="shared" si="6"/>
        <v>13.260704074444099</v>
      </c>
      <c r="AW72" s="8" cm="1">
        <f t="array" ref="AW72">SUMPRODUCT($AB$4:$AU$4,AB72:AU72)/1000</f>
        <v>110.37059878336299</v>
      </c>
      <c r="AY72" s="2" t="str">
        <f t="shared" si="7"/>
        <v>Q355B-3A</v>
      </c>
      <c r="AZ72" s="37">
        <f>VLOOKUP(AY72,炼钢参数表!$F$5:$J$1027,4,0)</f>
        <v>7.2048951048951093E-2</v>
      </c>
      <c r="BA72" s="37">
        <f t="shared" si="8"/>
        <v>8.7951048951048896E-2</v>
      </c>
      <c r="BB72" s="37">
        <f>AB72*$BB$4*炼钢参数表!$X$5/1000</f>
        <v>1.62927964511882E-2</v>
      </c>
      <c r="BC72" s="37">
        <f>AC72*$BC$4*炼钢参数表!$X$5/1000</f>
        <v>0</v>
      </c>
      <c r="BD72" s="37">
        <f>AD72*$BD$4*炼钢参数表!$X$5/1000</f>
        <v>0</v>
      </c>
      <c r="BE72" s="37">
        <f>AE72*$BE$4*炼钢参数表!$X$5/1000</f>
        <v>0</v>
      </c>
      <c r="BF72" s="37">
        <f>AL72*$BF$4*炼钢参数表!$X$5/1000</f>
        <v>0</v>
      </c>
      <c r="BG72" s="37">
        <f>AM72*$BG$4*炼钢参数表!$X$5/1000</f>
        <v>0</v>
      </c>
      <c r="BH72" s="37">
        <f t="shared" si="9"/>
        <v>1.62927964511882E-2</v>
      </c>
      <c r="BI72" s="37">
        <f t="shared" si="10"/>
        <v>8.8341747500139303E-2</v>
      </c>
      <c r="BJ72" s="37">
        <f t="shared" si="11"/>
        <v>-7.16582524998607E-2</v>
      </c>
      <c r="BK72" s="54"/>
      <c r="BL72" s="7"/>
    </row>
    <row r="73" spans="1:64" s="18" customFormat="1" x14ac:dyDescent="0.3">
      <c r="A73" s="21">
        <v>69</v>
      </c>
      <c r="B73" s="4" t="s">
        <v>131</v>
      </c>
      <c r="C73" s="4" t="s">
        <v>90</v>
      </c>
      <c r="D73" s="4">
        <v>0.1</v>
      </c>
      <c r="E73" s="4">
        <v>6</v>
      </c>
      <c r="F73" s="4" t="s">
        <v>87</v>
      </c>
      <c r="G73" s="50" t="s">
        <v>88</v>
      </c>
      <c r="H73" s="4">
        <v>1518</v>
      </c>
      <c r="I73" s="51">
        <v>0.16</v>
      </c>
      <c r="J73" s="52">
        <v>0.08</v>
      </c>
      <c r="K73" s="52">
        <v>0.35</v>
      </c>
      <c r="L73" s="51">
        <v>0.02</v>
      </c>
      <c r="M73" s="51">
        <v>0.01</v>
      </c>
      <c r="N73" s="51"/>
      <c r="O73" s="51"/>
      <c r="P73" s="51">
        <v>0.04</v>
      </c>
      <c r="Q73" s="51">
        <v>0.02</v>
      </c>
      <c r="R73" s="51" t="s">
        <v>631</v>
      </c>
      <c r="S73" s="32"/>
      <c r="T73" s="52"/>
      <c r="U73" s="52"/>
      <c r="V73" s="52"/>
      <c r="W73" s="52"/>
      <c r="X73" s="32" t="s">
        <v>631</v>
      </c>
      <c r="Y73" s="53" t="s">
        <v>631</v>
      </c>
      <c r="Z73" s="4" t="s">
        <v>631</v>
      </c>
      <c r="AA73" s="53" t="s">
        <v>631</v>
      </c>
      <c r="AB73" s="42">
        <f>IF(J73&lt;=0.04,0,IF((BA73-AL73*BF$4*炼钢参数表!$X$5/1000-AM73*BG$4*炼钢参数表!$X$5/1000)&lt;=0.03,0,IF((J73/100/0.1769/炼钢参数表!K73*1000)&gt;(K73-炼钢参数表!J73)/100/0.6566/炼钢参数表!L73*1000,IF(K73&lt;1.6,(K73-炼钢参数表!J73)/100/0.6566/炼钢参数表!L73*1000,(K73-0.08-炼钢参数表!J73)/100/0.6566/炼钢参数表!L73*1000),IF(K73&lt;1.6,J73/100/0.1769/炼钢参数表!K73*1000,(J73-0.08)/100/0.1769/炼钢参数表!K73*1000))))</f>
        <v>3.5358863684437001</v>
      </c>
      <c r="AC73" s="8">
        <f>IF((BA73-AB73*$BB$4*0.9/1000-AL73*BF$4*炼钢参数表!$X$5/1000-AM73*BG$4*炼钢参数表!$X$5/1000)&lt;(K73-炼钢参数表!J73-AB73*0.6566*炼钢参数表!L73/10)*0.082,0,(K73-炼钢参数表!J73-AB73*0.6566*炼钢参数表!L73/10)/100/($AC$3/100)/炼钢参数表!L73*1000)</f>
        <v>0</v>
      </c>
      <c r="AD73" s="8">
        <f>IF((BA73-AB73*$BB$4*0.9/1000-AC73*$BC$4*0.9/1000-AL73*BF$4*炼钢参数表!$X$5/1000-AM73*BG$4*炼钢参数表!$X$5/1000)&lt;=(K73-炼钢参数表!J73-AB73*0.6566*炼钢参数表!L73/10-AC73*($AC$3/100)*炼钢参数表!L73/10)*0.02,0,((K73-炼钢参数表!J73-AB73*0.6566*炼钢参数表!L73/10-AC73*($AC$3/100)*炼钢参数表!L73/10)/100/($AD$3/100)/炼钢参数表!L73*1000))</f>
        <v>0</v>
      </c>
      <c r="AE73" s="8">
        <f>(K73-炼钢参数表!J73-AB73*0.6566*炼钢参数表!L73/10-AC73*($AC$3/100)*炼钢参数表!L73/10-AD73*($AD$3/100)*炼钢参数表!L73/10)/100/($AE$3/100)/炼钢参数表!L73*1000</f>
        <v>0</v>
      </c>
      <c r="AF73" s="8">
        <v>0</v>
      </c>
      <c r="AG73" s="8">
        <f>IF(J73&lt;=0.04,0,((J73-(AB73*0.1769*炼钢参数表!K73/1000*100))/100/炼钢参数表!K73/($AG$3/100)*1000))</f>
        <v>0.51848498050991199</v>
      </c>
      <c r="AH73" s="8">
        <v>1.4277684582087</v>
      </c>
      <c r="AI73" s="8">
        <f>IF(N73="",0,IF(N73&lt;=0.002,0,((N73)/100)/($AI$3/100)/炼钢参数表!M73*1000))</f>
        <v>0</v>
      </c>
      <c r="AJ73" s="8">
        <f>IF(O73="",0,IF(O73&lt;=0.002,0,((O73)/100)/($AJ$3/100)/炼钢参数表!N73*1000))</f>
        <v>0</v>
      </c>
      <c r="AK73" s="8">
        <f>IF(P73="",0,IF(P73&lt;=0.002,0,((P73+0.005)/100)/($AK$3/100)/炼钢参数表!O73*1000))</f>
        <v>0.89809603640282598</v>
      </c>
      <c r="AL73" s="8">
        <f>IF((BA73-J73*0.00003-K73*0.00024)&lt;=0.05,0,IF(T73="",0,IF(T73&lt;=0.03,0,IF(((BA73-J73*0.00003-K73*0.00024)-0.05)/0.18/100/($AL$3/100)/炼钢参数表!P73*1000&lt;=T73/100/($AL$3/100)/炼钢参数表!P73*1000,((BA73-J73*0.00003-K73*0.00024)-0.05)/0.18/100/($AL$3/100)/炼钢参数表!P73*1000,T73/100/($AL$3/100)/炼钢参数表!P73*1000))))</f>
        <v>0</v>
      </c>
      <c r="AM73" s="8">
        <f>IF(T73="",0,IF(T73&lt;=0.03,0,((T73-AL73*($AL$3/100)*炼钢参数表!P73/10)/100/($AM$3/100)/炼钢参数表!P73*1000)))</f>
        <v>0</v>
      </c>
      <c r="AN73" s="8">
        <f>IF(U73="",0,IF(U73&lt;=0.02,0,(U73/100)/($AN$3/100)/炼钢参数表!Q73*1000))</f>
        <v>0</v>
      </c>
      <c r="AO73" s="8">
        <f>IF(V73="",0,IF(V73&lt;=0.02,0,(V73/100)/($AO$3/100)/炼钢参数表!R73*1000))</f>
        <v>0</v>
      </c>
      <c r="AP73" s="8">
        <f>IF(W73="",0,IF(W73&lt;=0.02,0,(W73/100)/($AP$3/100)/炼钢参数表!S73*1000))</f>
        <v>0</v>
      </c>
      <c r="AQ73" s="8">
        <f>IF(X73="",0,IF(X73&lt;=0.0002,0,(X73/100)/($AQ$3/100)/炼钢参数表!T73*1000))</f>
        <v>0</v>
      </c>
      <c r="AR73" s="8">
        <f>IF(Y73="",0,IF(Y73&lt;=0.02,0,(Y73/100)/($AR$3/100)/炼钢参数表!U73*1000))</f>
        <v>0</v>
      </c>
      <c r="AS73" s="8">
        <f>IF(L73&lt;=0.04,0,((L73-0.04)/100)/($AS$3/100)/炼钢参数表!V73*1000)</f>
        <v>0</v>
      </c>
      <c r="AT73" s="8">
        <f>IF(M73&lt;=0.03,0,((M73-0.03)/100)/($AT$3/100)/炼钢参数表!W73*1000)</f>
        <v>0</v>
      </c>
      <c r="AU73" s="6"/>
      <c r="AV73" s="8">
        <f t="shared" si="6"/>
        <v>6.3802358435651403</v>
      </c>
      <c r="AW73" s="8" cm="1">
        <f t="array" ref="AW73">SUMPRODUCT($AB$4:$AU$4,AB73:AU73)/1000</f>
        <v>75.380372803673097</v>
      </c>
      <c r="AY73" s="2" t="str">
        <f t="shared" si="7"/>
        <v>Q355B-1</v>
      </c>
      <c r="AZ73" s="37">
        <f>VLOOKUP(AY73,炼钢参数表!$F$5:$J$1027,4,0)</f>
        <v>7.0817567567567602E-2</v>
      </c>
      <c r="BA73" s="37">
        <f t="shared" si="8"/>
        <v>8.9182432432432401E-2</v>
      </c>
      <c r="BB73" s="37">
        <f>AB73*$BB$4*炼钢参数表!$X$5/1000</f>
        <v>5.4735520983508496E-3</v>
      </c>
      <c r="BC73" s="37">
        <f>AC73*$BC$4*炼钢参数表!$X$5/1000</f>
        <v>0</v>
      </c>
      <c r="BD73" s="37">
        <f>AD73*$BD$4*炼钢参数表!$X$5/1000</f>
        <v>0</v>
      </c>
      <c r="BE73" s="37">
        <f>AE73*$BE$4*炼钢参数表!$X$5/1000</f>
        <v>0</v>
      </c>
      <c r="BF73" s="37">
        <f>AL73*$BF$4*炼钢参数表!$X$5/1000</f>
        <v>0</v>
      </c>
      <c r="BG73" s="37">
        <f>AM73*$BG$4*炼钢参数表!$X$5/1000</f>
        <v>0</v>
      </c>
      <c r="BH73" s="37">
        <f t="shared" si="9"/>
        <v>5.4735520983508496E-3</v>
      </c>
      <c r="BI73" s="37">
        <f t="shared" si="10"/>
        <v>7.6291119665918394E-2</v>
      </c>
      <c r="BJ73" s="37">
        <f t="shared" si="11"/>
        <v>-8.3708880334081595E-2</v>
      </c>
      <c r="BK73" s="54"/>
      <c r="BL73" s="7"/>
    </row>
    <row r="74" spans="1:64" s="18" customFormat="1" x14ac:dyDescent="0.3">
      <c r="A74" s="21">
        <v>70</v>
      </c>
      <c r="B74" s="4" t="s">
        <v>131</v>
      </c>
      <c r="C74" s="4" t="s">
        <v>26</v>
      </c>
      <c r="D74" s="4">
        <v>6.01</v>
      </c>
      <c r="E74" s="4">
        <v>16.239999999999998</v>
      </c>
      <c r="F74" s="4" t="s">
        <v>89</v>
      </c>
      <c r="G74" s="50" t="s">
        <v>88</v>
      </c>
      <c r="H74" s="4">
        <v>1517</v>
      </c>
      <c r="I74" s="51">
        <v>0.16</v>
      </c>
      <c r="J74" s="52">
        <v>0.08</v>
      </c>
      <c r="K74" s="52">
        <v>0.5</v>
      </c>
      <c r="L74" s="51">
        <v>0.02</v>
      </c>
      <c r="M74" s="51">
        <v>0.01</v>
      </c>
      <c r="N74" s="51"/>
      <c r="O74" s="51"/>
      <c r="P74" s="51">
        <v>0.04</v>
      </c>
      <c r="Q74" s="51">
        <v>0.02</v>
      </c>
      <c r="R74" s="51" t="s">
        <v>631</v>
      </c>
      <c r="S74" s="32"/>
      <c r="T74" s="52"/>
      <c r="U74" s="52"/>
      <c r="V74" s="52"/>
      <c r="W74" s="52"/>
      <c r="X74" s="32" t="s">
        <v>631</v>
      </c>
      <c r="Y74" s="53" t="s">
        <v>631</v>
      </c>
      <c r="Z74" s="4" t="s">
        <v>631</v>
      </c>
      <c r="AA74" s="53" t="s">
        <v>631</v>
      </c>
      <c r="AB74" s="42">
        <f>IF(J74&lt;=0.04,0,IF((BA74-AL74*BF$4*炼钢参数表!$X$5/1000-AM74*BG$4*炼钢参数表!$X$5/1000)&lt;=0.03,0,IF((J74/100/0.1769/炼钢参数表!K74*1000)&gt;(K74-炼钢参数表!J74)/100/0.6566/炼钢参数表!L74*1000,IF(K74&lt;1.6,(K74-炼钢参数表!J74)/100/0.6566/炼钢参数表!L74*1000,(K74-0.08-炼钢参数表!J74)/100/0.6566/炼钢参数表!L74*1000),IF(K74&lt;1.6,J74/100/0.1769/炼钢参数表!K74*1000,(J74-0.08)/100/0.1769/炼钢参数表!K74*1000))))</f>
        <v>5.65291124929339</v>
      </c>
      <c r="AC74" s="8">
        <f>IF((BA74-AB74*$BB$4*0.9/1000-AL74*BF$4*炼钢参数表!$X$5/1000-AM74*BG$4*炼钢参数表!$X$5/1000)&lt;(K74-炼钢参数表!J74-AB74*0.6566*炼钢参数表!L74/10)*0.082,0,(K74-炼钢参数表!J74-AB74*0.6566*炼钢参数表!L74/10)/100/($AC$3/100)/炼钢参数表!L74*1000)</f>
        <v>0.20585112346319601</v>
      </c>
      <c r="AD74" s="8">
        <f>IF((BA74-AB74*$BB$4*0.9/1000-AC74*$BC$4*0.9/1000-AL74*BF$4*炼钢参数表!$X$5/1000-AM74*BG$4*炼钢参数表!$X$5/1000)&lt;=(K74-炼钢参数表!J74-AB74*0.6566*炼钢参数表!L74/10-AC74*($AC$3/100)*炼钢参数表!L74/10)*0.02,0,((K74-炼钢参数表!J74-AB74*0.6566*炼钢参数表!L74/10-AC74*($AC$3/100)*炼钢参数表!L74/10)/100/($AD$3/100)/炼钢参数表!L74*1000))</f>
        <v>0</v>
      </c>
      <c r="AE74" s="8">
        <f>(K74-炼钢参数表!J74-AB74*0.6566*炼钢参数表!L74/10-AC74*($AC$3/100)*炼钢参数表!L74/10-AD74*($AD$3/100)*炼钢参数表!L74/10)/100/($AE$3/100)/炼钢参数表!L74*1000</f>
        <v>0</v>
      </c>
      <c r="AF74" s="8">
        <v>0</v>
      </c>
      <c r="AG74" s="8">
        <f>IF(J74&lt;=0.04,0,((J74-(AB74*0.1769*炼钢参数表!K74/1000*100))/100/炼钢参数表!K74/($AG$3/100)*1000))</f>
        <v>0</v>
      </c>
      <c r="AH74" s="8">
        <v>1.4</v>
      </c>
      <c r="AI74" s="8">
        <f>IF(N74="",0,IF(N74&lt;=0.002,0,((N74)/100)/($AI$3/100)/炼钢参数表!M74*1000))</f>
        <v>0</v>
      </c>
      <c r="AJ74" s="8">
        <f>IF(O74="",0,IF(O74&lt;=0.002,0,((O74)/100)/($AJ$3/100)/炼钢参数表!N74*1000))</f>
        <v>0</v>
      </c>
      <c r="AK74" s="8">
        <f>IF(P74="",0,IF(P74&lt;=0.002,0,((P74+0.005)/100)/($AK$3/100)/炼钢参数表!O74*1000))</f>
        <v>0.89809603640282598</v>
      </c>
      <c r="AL74" s="8">
        <f>IF((BA74-J74*0.00003-K74*0.00024)&lt;=0.05,0,IF(T74="",0,IF(T74&lt;=0.03,0,IF(((BA74-J74*0.00003-K74*0.00024)-0.05)/0.18/100/($AL$3/100)/炼钢参数表!P74*1000&lt;=T74/100/($AL$3/100)/炼钢参数表!P74*1000,((BA74-J74*0.00003-K74*0.00024)-0.05)/0.18/100/($AL$3/100)/炼钢参数表!P74*1000,T74/100/($AL$3/100)/炼钢参数表!P74*1000))))</f>
        <v>0</v>
      </c>
      <c r="AM74" s="8">
        <f>IF(T74="",0,IF(T74&lt;=0.03,0,((T74-AL74*($AL$3/100)*炼钢参数表!P74/10)/100/($AM$3/100)/炼钢参数表!P74*1000)))</f>
        <v>0</v>
      </c>
      <c r="AN74" s="8">
        <f>IF(U74="",0,IF(U74&lt;=0.02,0,(U74/100)/($AN$3/100)/炼钢参数表!Q74*1000))</f>
        <v>0</v>
      </c>
      <c r="AO74" s="8">
        <f>IF(V74="",0,IF(V74&lt;=0.02,0,(V74/100)/($AO$3/100)/炼钢参数表!R74*1000))</f>
        <v>0</v>
      </c>
      <c r="AP74" s="8">
        <f>IF(W74="",0,IF(W74&lt;=0.02,0,(W74/100)/($AP$3/100)/炼钢参数表!S74*1000))</f>
        <v>0</v>
      </c>
      <c r="AQ74" s="8">
        <f>IF(X74="",0,IF(X74&lt;=0.0002,0,(X74/100)/($AQ$3/100)/炼钢参数表!T74*1000))</f>
        <v>0</v>
      </c>
      <c r="AR74" s="8">
        <f>IF(Y74="",0,IF(Y74&lt;=0.02,0,(Y74/100)/($AR$3/100)/炼钢参数表!U74*1000))</f>
        <v>0</v>
      </c>
      <c r="AS74" s="8">
        <f>IF(L74&lt;=0.04,0,((L74-0.04)/100)/($AS$3/100)/炼钢参数表!V74*1000)</f>
        <v>0</v>
      </c>
      <c r="AT74" s="8">
        <f>IF(M74&lt;=0.03,0,((M74-0.03)/100)/($AT$3/100)/炼钢参数表!W74*1000)</f>
        <v>0</v>
      </c>
      <c r="AU74" s="6"/>
      <c r="AV74" s="8">
        <f t="shared" si="6"/>
        <v>8.1568584091594101</v>
      </c>
      <c r="AW74" s="8" cm="1">
        <f t="array" ref="AW74">SUMPRODUCT($AB$4:$AU$4,AB74:AU74)/1000</f>
        <v>84.799930373078695</v>
      </c>
      <c r="AY74" s="2" t="str">
        <f t="shared" si="7"/>
        <v>Q355B-2</v>
      </c>
      <c r="AZ74" s="37">
        <f>VLOOKUP(AY74,炼钢参数表!$F$5:$J$1027,4,0)</f>
        <v>7.4004318322023602E-2</v>
      </c>
      <c r="BA74" s="37">
        <f t="shared" si="8"/>
        <v>8.5995681677976402E-2</v>
      </c>
      <c r="BB74" s="37">
        <f>AB74*$BB$4*炼钢参数表!$X$5/1000</f>
        <v>8.7507066139061607E-3</v>
      </c>
      <c r="BC74" s="37">
        <f>AC74*$BC$4*炼钢参数表!$X$5/1000</f>
        <v>1.2394296143718999E-3</v>
      </c>
      <c r="BD74" s="37">
        <f>AD74*$BD$4*炼钢参数表!$X$5/1000</f>
        <v>0</v>
      </c>
      <c r="BE74" s="37">
        <f>AE74*$BE$4*炼钢参数表!$X$5/1000</f>
        <v>0</v>
      </c>
      <c r="BF74" s="37">
        <f>AL74*$BF$4*炼钢参数表!$X$5/1000</f>
        <v>0</v>
      </c>
      <c r="BG74" s="37">
        <f>AM74*$BG$4*炼钢参数表!$X$5/1000</f>
        <v>0</v>
      </c>
      <c r="BH74" s="37">
        <f t="shared" si="9"/>
        <v>9.9901362282780702E-3</v>
      </c>
      <c r="BI74" s="37">
        <f t="shared" si="10"/>
        <v>8.3994454550301703E-2</v>
      </c>
      <c r="BJ74" s="37">
        <f t="shared" si="11"/>
        <v>-7.60055454496983E-2</v>
      </c>
      <c r="BK74" s="54"/>
      <c r="BL74" s="7"/>
    </row>
    <row r="75" spans="1:64" s="18" customFormat="1" x14ac:dyDescent="0.3">
      <c r="A75" s="21">
        <v>71</v>
      </c>
      <c r="B75" s="4" t="s">
        <v>131</v>
      </c>
      <c r="C75" s="4" t="s">
        <v>23</v>
      </c>
      <c r="D75" s="4">
        <v>16.25</v>
      </c>
      <c r="E75" s="4">
        <v>30</v>
      </c>
      <c r="F75" s="4" t="s">
        <v>129</v>
      </c>
      <c r="G75" s="50" t="s">
        <v>92</v>
      </c>
      <c r="H75" s="4">
        <v>1515</v>
      </c>
      <c r="I75" s="51">
        <v>0.16</v>
      </c>
      <c r="J75" s="52">
        <v>0.18</v>
      </c>
      <c r="K75" s="52">
        <v>0.8</v>
      </c>
      <c r="L75" s="51">
        <v>0.02</v>
      </c>
      <c r="M75" s="51">
        <v>0.01</v>
      </c>
      <c r="N75" s="51"/>
      <c r="O75" s="51"/>
      <c r="P75" s="51">
        <v>3.5000000000000003E-2</v>
      </c>
      <c r="Q75" s="51">
        <v>0.02</v>
      </c>
      <c r="R75" s="51" t="s">
        <v>631</v>
      </c>
      <c r="S75" s="32"/>
      <c r="T75" s="52"/>
      <c r="U75" s="52"/>
      <c r="V75" s="52"/>
      <c r="W75" s="52"/>
      <c r="X75" s="32" t="s">
        <v>631</v>
      </c>
      <c r="Y75" s="53" t="s">
        <v>631</v>
      </c>
      <c r="Z75" s="4" t="s">
        <v>631</v>
      </c>
      <c r="AA75" s="53" t="s">
        <v>631</v>
      </c>
      <c r="AB75" s="42">
        <f>IF(J75&lt;=0.04,0,IF((BA75-AL75*BF$4*炼钢参数表!$X$5/1000-AM75*BG$4*炼钢参数表!$X$5/1000)&lt;=0.03,0,IF((J75/100/0.1769/炼钢参数表!K75*1000)&gt;(K75-炼钢参数表!J75)/100/0.6566/炼钢参数表!L75*1000,IF(K75&lt;1.6,(K75-炼钢参数表!J75)/100/0.6566/炼钢参数表!L75*1000,(K75-0.08-炼钢参数表!J75)/100/0.6566/炼钢参数表!L75*1000),IF(K75&lt;1.6,J75/100/0.1769/炼钢参数表!K75*1000,(J75-0.08)/100/0.1769/炼钢参数表!K75*1000))))</f>
        <v>10.525062306969099</v>
      </c>
      <c r="AC75" s="8">
        <f>IF((BA75-AB75*$BB$4*0.9/1000-AL75*BF$4*炼钢参数表!$X$5/1000-AM75*BG$4*炼钢参数表!$X$5/1000)&lt;(K75-炼钢参数表!J75-AB75*0.6566*炼钢参数表!L75/10)*0.082,0,(K75-炼钢参数表!J75-AB75*0.6566*炼钢参数表!L75/10)/100/($AC$3/100)/炼钢参数表!L75*1000)</f>
        <v>0</v>
      </c>
      <c r="AD75" s="8">
        <f>IF((BA75-AB75*$BB$4*0.9/1000-AC75*$BC$4*0.9/1000-AL75*BF$4*炼钢参数表!$X$5/1000-AM75*BG$4*炼钢参数表!$X$5/1000)&lt;=(K75-炼钢参数表!J75-AB75*0.6566*炼钢参数表!L75/10-AC75*($AC$3/100)*炼钢参数表!L75/10)*0.02,0,((K75-炼钢参数表!J75-AB75*0.6566*炼钢参数表!L75/10-AC75*($AC$3/100)*炼钢参数表!L75/10)/100/($AD$3/100)/炼钢参数表!L75*1000))</f>
        <v>0</v>
      </c>
      <c r="AE75" s="8">
        <f>(K75-炼钢参数表!J75-AB75*0.6566*炼钢参数表!L75/10-AC75*($AC$3/100)*炼钢参数表!L75/10-AD75*($AD$3/100)*炼钢参数表!L75/10)/100/($AE$3/100)/炼钢参数表!L75*1000</f>
        <v>0</v>
      </c>
      <c r="AF75" s="8">
        <v>0</v>
      </c>
      <c r="AG75" s="8">
        <f>IF(J75&lt;=0.04,0,((J75-(AB75*0.1769*炼钢参数表!K75/1000*100))/100/炼钢参数表!K75/($AG$3/100)*1000))</f>
        <v>0.53733417956135499</v>
      </c>
      <c r="AH75" s="8">
        <v>1.4</v>
      </c>
      <c r="AI75" s="8">
        <f>IF(N75="",0,IF(N75&lt;=0.002,0,((N75)/100)/($AI$3/100)/炼钢参数表!M75*1000))</f>
        <v>0</v>
      </c>
      <c r="AJ75" s="8">
        <f>IF(O75="",0,IF(O75&lt;=0.002,0,((O75)/100)/($AJ$3/100)/炼钢参数表!N75*1000))</f>
        <v>0</v>
      </c>
      <c r="AK75" s="8">
        <f>IF(P75="",0,IF(P75&lt;=0.002,0,((P75+0.005)/100)/($AK$3/100)/炼钢参数表!O75*1000))</f>
        <v>0.798307587913623</v>
      </c>
      <c r="AL75" s="8">
        <f>IF((BA75-J75*0.00003-K75*0.00024)&lt;=0.05,0,IF(T75="",0,IF(T75&lt;=0.03,0,IF(((BA75-J75*0.00003-K75*0.00024)-0.05)/0.18/100/($AL$3/100)/炼钢参数表!P75*1000&lt;=T75/100/($AL$3/100)/炼钢参数表!P75*1000,((BA75-J75*0.00003-K75*0.00024)-0.05)/0.18/100/($AL$3/100)/炼钢参数表!P75*1000,T75/100/($AL$3/100)/炼钢参数表!P75*1000))))</f>
        <v>0</v>
      </c>
      <c r="AM75" s="8">
        <f>IF(T75="",0,IF(T75&lt;=0.03,0,((T75-AL75*($AL$3/100)*炼钢参数表!P75/10)/100/($AM$3/100)/炼钢参数表!P75*1000)))</f>
        <v>0</v>
      </c>
      <c r="AN75" s="8">
        <f>IF(U75="",0,IF(U75&lt;=0.02,0,(U75/100)/($AN$3/100)/炼钢参数表!Q75*1000))</f>
        <v>0</v>
      </c>
      <c r="AO75" s="8">
        <f>IF(V75="",0,IF(V75&lt;=0.02,0,(V75/100)/($AO$3/100)/炼钢参数表!R75*1000))</f>
        <v>0</v>
      </c>
      <c r="AP75" s="8">
        <f>IF(W75="",0,IF(W75&lt;=0.02,0,(W75/100)/($AP$3/100)/炼钢参数表!S75*1000))</f>
        <v>0</v>
      </c>
      <c r="AQ75" s="8">
        <f>IF(X75="",0,IF(X75&lt;=0.0002,0,(X75/100)/($AQ$3/100)/炼钢参数表!T75*1000))</f>
        <v>0</v>
      </c>
      <c r="AR75" s="8">
        <f>IF(Y75="",0,IF(Y75&lt;=0.02,0,(Y75/100)/($AR$3/100)/炼钢参数表!U75*1000))</f>
        <v>0</v>
      </c>
      <c r="AS75" s="8">
        <f>IF(L75&lt;=0.04,0,((L75-0.04)/100)/($AS$3/100)/炼钢参数表!V75*1000)</f>
        <v>0</v>
      </c>
      <c r="AT75" s="8">
        <f>IF(M75&lt;=0.03,0,((M75-0.03)/100)/($AT$3/100)/炼钢参数表!W75*1000)</f>
        <v>0</v>
      </c>
      <c r="AU75" s="6"/>
      <c r="AV75" s="8">
        <f t="shared" si="6"/>
        <v>13.260704074444099</v>
      </c>
      <c r="AW75" s="8" cm="1">
        <f t="array" ref="AW75">SUMPRODUCT($AB$4:$AU$4,AB75:AU75)/1000</f>
        <v>110.37059878336299</v>
      </c>
      <c r="AY75" s="2" t="str">
        <f t="shared" si="7"/>
        <v>Q355B-3A</v>
      </c>
      <c r="AZ75" s="37">
        <f>VLOOKUP(AY75,炼钢参数表!$F$5:$J$1027,4,0)</f>
        <v>7.2048951048951093E-2</v>
      </c>
      <c r="BA75" s="37">
        <f t="shared" si="8"/>
        <v>8.7951048951048896E-2</v>
      </c>
      <c r="BB75" s="37">
        <f>AB75*$BB$4*炼钢参数表!$X$5/1000</f>
        <v>1.62927964511882E-2</v>
      </c>
      <c r="BC75" s="37">
        <f>AC75*$BC$4*炼钢参数表!$X$5/1000</f>
        <v>0</v>
      </c>
      <c r="BD75" s="37">
        <f>AD75*$BD$4*炼钢参数表!$X$5/1000</f>
        <v>0</v>
      </c>
      <c r="BE75" s="37">
        <f>AE75*$BE$4*炼钢参数表!$X$5/1000</f>
        <v>0</v>
      </c>
      <c r="BF75" s="37">
        <f>AL75*$BF$4*炼钢参数表!$X$5/1000</f>
        <v>0</v>
      </c>
      <c r="BG75" s="37">
        <f>AM75*$BG$4*炼钢参数表!$X$5/1000</f>
        <v>0</v>
      </c>
      <c r="BH75" s="37">
        <f t="shared" si="9"/>
        <v>1.62927964511882E-2</v>
      </c>
      <c r="BI75" s="37">
        <f t="shared" si="10"/>
        <v>8.8341747500139303E-2</v>
      </c>
      <c r="BJ75" s="37">
        <f t="shared" si="11"/>
        <v>-7.16582524998607E-2</v>
      </c>
      <c r="BK75" s="54"/>
      <c r="BL75" s="7"/>
    </row>
    <row r="76" spans="1:64" s="18" customFormat="1" x14ac:dyDescent="0.3">
      <c r="A76" s="21">
        <v>72</v>
      </c>
      <c r="B76" s="4" t="s">
        <v>132</v>
      </c>
      <c r="C76" s="4" t="s">
        <v>23</v>
      </c>
      <c r="D76" s="4">
        <v>0.1</v>
      </c>
      <c r="E76" s="4">
        <v>6</v>
      </c>
      <c r="F76" s="4" t="s">
        <v>87</v>
      </c>
      <c r="G76" s="50" t="s">
        <v>88</v>
      </c>
      <c r="H76" s="4">
        <v>1518</v>
      </c>
      <c r="I76" s="51">
        <v>0.16</v>
      </c>
      <c r="J76" s="52">
        <v>0.08</v>
      </c>
      <c r="K76" s="52">
        <v>0.35</v>
      </c>
      <c r="L76" s="51">
        <v>0.02</v>
      </c>
      <c r="M76" s="51">
        <v>0.01</v>
      </c>
      <c r="N76" s="51"/>
      <c r="O76" s="51"/>
      <c r="P76" s="51">
        <v>0.04</v>
      </c>
      <c r="Q76" s="51">
        <v>0.02</v>
      </c>
      <c r="R76" s="51" t="s">
        <v>631</v>
      </c>
      <c r="S76" s="32"/>
      <c r="T76" s="52"/>
      <c r="U76" s="52"/>
      <c r="V76" s="52"/>
      <c r="W76" s="52"/>
      <c r="X76" s="32" t="s">
        <v>631</v>
      </c>
      <c r="Y76" s="53" t="s">
        <v>631</v>
      </c>
      <c r="Z76" s="4" t="s">
        <v>631</v>
      </c>
      <c r="AA76" s="53" t="s">
        <v>631</v>
      </c>
      <c r="AB76" s="42">
        <f>IF(J76&lt;=0.04,0,IF((BA76-AL76*BF$4*炼钢参数表!$X$5/1000-AM76*BG$4*炼钢参数表!$X$5/1000)&lt;=0.03,0,IF((J76/100/0.1769/炼钢参数表!K76*1000)&gt;(K76-炼钢参数表!J76)/100/0.6566/炼钢参数表!L76*1000,IF(K76&lt;1.6,(K76-炼钢参数表!J76)/100/0.6566/炼钢参数表!L76*1000,(K76-0.08-炼钢参数表!J76)/100/0.6566/炼钢参数表!L76*1000),IF(K76&lt;1.6,J76/100/0.1769/炼钢参数表!K76*1000,(J76-0.08)/100/0.1769/炼钢参数表!K76*1000))))</f>
        <v>3.5358863684437001</v>
      </c>
      <c r="AC76" s="8">
        <f>IF((BA76-AB76*$BB$4*0.9/1000-AL76*BF$4*炼钢参数表!$X$5/1000-AM76*BG$4*炼钢参数表!$X$5/1000)&lt;(K76-炼钢参数表!J76-AB76*0.6566*炼钢参数表!L76/10)*0.082,0,(K76-炼钢参数表!J76-AB76*0.6566*炼钢参数表!L76/10)/100/($AC$3/100)/炼钢参数表!L76*1000)</f>
        <v>0</v>
      </c>
      <c r="AD76" s="8">
        <f>IF((BA76-AB76*$BB$4*0.9/1000-AC76*$BC$4*0.9/1000-AL76*BF$4*炼钢参数表!$X$5/1000-AM76*BG$4*炼钢参数表!$X$5/1000)&lt;=(K76-炼钢参数表!J76-AB76*0.6566*炼钢参数表!L76/10-AC76*($AC$3/100)*炼钢参数表!L76/10)*0.02,0,((K76-炼钢参数表!J76-AB76*0.6566*炼钢参数表!L76/10-AC76*($AC$3/100)*炼钢参数表!L76/10)/100/($AD$3/100)/炼钢参数表!L76*1000))</f>
        <v>0</v>
      </c>
      <c r="AE76" s="8">
        <f>(K76-炼钢参数表!J76-AB76*0.6566*炼钢参数表!L76/10-AC76*($AC$3/100)*炼钢参数表!L76/10-AD76*($AD$3/100)*炼钢参数表!L76/10)/100/($AE$3/100)/炼钢参数表!L76*1000</f>
        <v>0</v>
      </c>
      <c r="AF76" s="8">
        <v>0</v>
      </c>
      <c r="AG76" s="8">
        <f>IF(J76&lt;=0.04,0,((J76-(AB76*0.1769*炼钢参数表!K76/1000*100))/100/炼钢参数表!K76/($AG$3/100)*1000))</f>
        <v>0.51848498050991199</v>
      </c>
      <c r="AH76" s="8">
        <v>1.4277684582087</v>
      </c>
      <c r="AI76" s="8">
        <f>IF(N76="",0,IF(N76&lt;=0.002,0,((N76)/100)/($AI$3/100)/炼钢参数表!M76*1000))</f>
        <v>0</v>
      </c>
      <c r="AJ76" s="8">
        <f>IF(O76="",0,IF(O76&lt;=0.002,0,((O76)/100)/($AJ$3/100)/炼钢参数表!N76*1000))</f>
        <v>0</v>
      </c>
      <c r="AK76" s="8">
        <f>IF(P76="",0,IF(P76&lt;=0.002,0,((P76+0.005)/100)/($AK$3/100)/炼钢参数表!O76*1000))</f>
        <v>0.89809603640282598</v>
      </c>
      <c r="AL76" s="8">
        <f>IF((BA76-J76*0.00003-K76*0.00024)&lt;=0.05,0,IF(T76="",0,IF(T76&lt;=0.03,0,IF(((BA76-J76*0.00003-K76*0.00024)-0.05)/0.18/100/($AL$3/100)/炼钢参数表!P76*1000&lt;=T76/100/($AL$3/100)/炼钢参数表!P76*1000,((BA76-J76*0.00003-K76*0.00024)-0.05)/0.18/100/($AL$3/100)/炼钢参数表!P76*1000,T76/100/($AL$3/100)/炼钢参数表!P76*1000))))</f>
        <v>0</v>
      </c>
      <c r="AM76" s="8">
        <f>IF(T76="",0,IF(T76&lt;=0.03,0,((T76-AL76*($AL$3/100)*炼钢参数表!P76/10)/100/($AM$3/100)/炼钢参数表!P76*1000)))</f>
        <v>0</v>
      </c>
      <c r="AN76" s="8">
        <f>IF(U76="",0,IF(U76&lt;=0.02,0,(U76/100)/($AN$3/100)/炼钢参数表!Q76*1000))</f>
        <v>0</v>
      </c>
      <c r="AO76" s="8">
        <f>IF(V76="",0,IF(V76&lt;=0.02,0,(V76/100)/($AO$3/100)/炼钢参数表!R76*1000))</f>
        <v>0</v>
      </c>
      <c r="AP76" s="8">
        <f>IF(W76="",0,IF(W76&lt;=0.02,0,(W76/100)/($AP$3/100)/炼钢参数表!S76*1000))</f>
        <v>0</v>
      </c>
      <c r="AQ76" s="8">
        <f>IF(X76="",0,IF(X76&lt;=0.0002,0,(X76/100)/($AQ$3/100)/炼钢参数表!T76*1000))</f>
        <v>0</v>
      </c>
      <c r="AR76" s="8">
        <f>IF(Y76="",0,IF(Y76&lt;=0.02,0,(Y76/100)/($AR$3/100)/炼钢参数表!U76*1000))</f>
        <v>0</v>
      </c>
      <c r="AS76" s="8">
        <f>IF(L76&lt;=0.04,0,((L76-0.04)/100)/($AS$3/100)/炼钢参数表!V76*1000)</f>
        <v>0</v>
      </c>
      <c r="AT76" s="8">
        <f>IF(M76&lt;=0.03,0,((M76-0.03)/100)/($AT$3/100)/炼钢参数表!W76*1000)</f>
        <v>0</v>
      </c>
      <c r="AU76" s="6"/>
      <c r="AV76" s="8">
        <f t="shared" si="6"/>
        <v>6.3802358435651403</v>
      </c>
      <c r="AW76" s="8" cm="1">
        <f t="array" ref="AW76">SUMPRODUCT($AB$4:$AU$4,AB76:AU76)/1000</f>
        <v>75.380372803673097</v>
      </c>
      <c r="AY76" s="2" t="str">
        <f t="shared" si="7"/>
        <v>Q355B-1</v>
      </c>
      <c r="AZ76" s="37">
        <f>VLOOKUP(AY76,炼钢参数表!$F$5:$J$1027,4,0)</f>
        <v>7.0817567567567602E-2</v>
      </c>
      <c r="BA76" s="37">
        <f t="shared" si="8"/>
        <v>8.9182432432432401E-2</v>
      </c>
      <c r="BB76" s="37">
        <f>AB76*$BB$4*炼钢参数表!$X$5/1000</f>
        <v>5.4735520983508496E-3</v>
      </c>
      <c r="BC76" s="37">
        <f>AC76*$BC$4*炼钢参数表!$X$5/1000</f>
        <v>0</v>
      </c>
      <c r="BD76" s="37">
        <f>AD76*$BD$4*炼钢参数表!$X$5/1000</f>
        <v>0</v>
      </c>
      <c r="BE76" s="37">
        <f>AE76*$BE$4*炼钢参数表!$X$5/1000</f>
        <v>0</v>
      </c>
      <c r="BF76" s="37">
        <f>AL76*$BF$4*炼钢参数表!$X$5/1000</f>
        <v>0</v>
      </c>
      <c r="BG76" s="37">
        <f>AM76*$BG$4*炼钢参数表!$X$5/1000</f>
        <v>0</v>
      </c>
      <c r="BH76" s="37">
        <f t="shared" si="9"/>
        <v>5.4735520983508496E-3</v>
      </c>
      <c r="BI76" s="37">
        <f t="shared" si="10"/>
        <v>7.6291119665918394E-2</v>
      </c>
      <c r="BJ76" s="37">
        <f t="shared" si="11"/>
        <v>-8.3708880334081595E-2</v>
      </c>
      <c r="BK76" s="54"/>
      <c r="BL76" s="7"/>
    </row>
    <row r="77" spans="1:64" s="18" customFormat="1" x14ac:dyDescent="0.3">
      <c r="A77" s="21">
        <v>73</v>
      </c>
      <c r="B77" s="4" t="s">
        <v>132</v>
      </c>
      <c r="C77" s="4" t="s">
        <v>90</v>
      </c>
      <c r="D77" s="4">
        <v>6.01</v>
      </c>
      <c r="E77" s="4">
        <v>15.99</v>
      </c>
      <c r="F77" s="4" t="s">
        <v>89</v>
      </c>
      <c r="G77" s="50" t="s">
        <v>88</v>
      </c>
      <c r="H77" s="4">
        <v>1517</v>
      </c>
      <c r="I77" s="51">
        <v>0.16</v>
      </c>
      <c r="J77" s="52">
        <v>0.08</v>
      </c>
      <c r="K77" s="52">
        <v>0.5</v>
      </c>
      <c r="L77" s="51">
        <v>0.02</v>
      </c>
      <c r="M77" s="51">
        <v>0.01</v>
      </c>
      <c r="N77" s="51"/>
      <c r="O77" s="51"/>
      <c r="P77" s="51">
        <v>0.04</v>
      </c>
      <c r="Q77" s="51">
        <v>0.02</v>
      </c>
      <c r="R77" s="51" t="s">
        <v>631</v>
      </c>
      <c r="S77" s="32"/>
      <c r="T77" s="52"/>
      <c r="U77" s="52"/>
      <c r="V77" s="52"/>
      <c r="W77" s="52"/>
      <c r="X77" s="32" t="s">
        <v>631</v>
      </c>
      <c r="Y77" s="53" t="s">
        <v>631</v>
      </c>
      <c r="Z77" s="4" t="s">
        <v>631</v>
      </c>
      <c r="AA77" s="53" t="s">
        <v>631</v>
      </c>
      <c r="AB77" s="42">
        <f>IF(J77&lt;=0.04,0,IF((BA77-AL77*BF$4*炼钢参数表!$X$5/1000-AM77*BG$4*炼钢参数表!$X$5/1000)&lt;=0.03,0,IF((J77/100/0.1769/炼钢参数表!K77*1000)&gt;(K77-炼钢参数表!J77)/100/0.6566/炼钢参数表!L77*1000,IF(K77&lt;1.6,(K77-炼钢参数表!J77)/100/0.6566/炼钢参数表!L77*1000,(K77-0.08-炼钢参数表!J77)/100/0.6566/炼钢参数表!L77*1000),IF(K77&lt;1.6,J77/100/0.1769/炼钢参数表!K77*1000,(J77-0.08)/100/0.1769/炼钢参数表!K77*1000))))</f>
        <v>5.65291124929339</v>
      </c>
      <c r="AC77" s="8">
        <f>IF((BA77-AB77*$BB$4*0.9/1000-AL77*BF$4*炼钢参数表!$X$5/1000-AM77*BG$4*炼钢参数表!$X$5/1000)&lt;(K77-炼钢参数表!J77-AB77*0.6566*炼钢参数表!L77/10)*0.082,0,(K77-炼钢参数表!J77-AB77*0.6566*炼钢参数表!L77/10)/100/($AC$3/100)/炼钢参数表!L77*1000)</f>
        <v>0.20585112346319601</v>
      </c>
      <c r="AD77" s="8">
        <f>IF((BA77-AB77*$BB$4*0.9/1000-AC77*$BC$4*0.9/1000-AL77*BF$4*炼钢参数表!$X$5/1000-AM77*BG$4*炼钢参数表!$X$5/1000)&lt;=(K77-炼钢参数表!J77-AB77*0.6566*炼钢参数表!L77/10-AC77*($AC$3/100)*炼钢参数表!L77/10)*0.02,0,((K77-炼钢参数表!J77-AB77*0.6566*炼钢参数表!L77/10-AC77*($AC$3/100)*炼钢参数表!L77/10)/100/($AD$3/100)/炼钢参数表!L77*1000))</f>
        <v>0</v>
      </c>
      <c r="AE77" s="8">
        <f>(K77-炼钢参数表!J77-AB77*0.6566*炼钢参数表!L77/10-AC77*($AC$3/100)*炼钢参数表!L77/10-AD77*($AD$3/100)*炼钢参数表!L77/10)/100/($AE$3/100)/炼钢参数表!L77*1000</f>
        <v>0</v>
      </c>
      <c r="AF77" s="8">
        <v>0</v>
      </c>
      <c r="AG77" s="8">
        <f>IF(J77&lt;=0.04,0,((J77-(AB77*0.1769*炼钢参数表!K77/1000*100))/100/炼钢参数表!K77/($AG$3/100)*1000))</f>
        <v>0</v>
      </c>
      <c r="AH77" s="8">
        <v>1.4</v>
      </c>
      <c r="AI77" s="8">
        <f>IF(N77="",0,IF(N77&lt;=0.002,0,((N77)/100)/($AI$3/100)/炼钢参数表!M77*1000))</f>
        <v>0</v>
      </c>
      <c r="AJ77" s="8">
        <f>IF(O77="",0,IF(O77&lt;=0.002,0,((O77)/100)/($AJ$3/100)/炼钢参数表!N77*1000))</f>
        <v>0</v>
      </c>
      <c r="AK77" s="8">
        <f>IF(P77="",0,IF(P77&lt;=0.002,0,((P77+0.005)/100)/($AK$3/100)/炼钢参数表!O77*1000))</f>
        <v>0.89809603640282598</v>
      </c>
      <c r="AL77" s="8">
        <f>IF((BA77-J77*0.00003-K77*0.00024)&lt;=0.05,0,IF(T77="",0,IF(T77&lt;=0.03,0,IF(((BA77-J77*0.00003-K77*0.00024)-0.05)/0.18/100/($AL$3/100)/炼钢参数表!P77*1000&lt;=T77/100/($AL$3/100)/炼钢参数表!P77*1000,((BA77-J77*0.00003-K77*0.00024)-0.05)/0.18/100/($AL$3/100)/炼钢参数表!P77*1000,T77/100/($AL$3/100)/炼钢参数表!P77*1000))))</f>
        <v>0</v>
      </c>
      <c r="AM77" s="8">
        <f>IF(T77="",0,IF(T77&lt;=0.03,0,((T77-AL77*($AL$3/100)*炼钢参数表!P77/10)/100/($AM$3/100)/炼钢参数表!P77*1000)))</f>
        <v>0</v>
      </c>
      <c r="AN77" s="8">
        <f>IF(U77="",0,IF(U77&lt;=0.02,0,(U77/100)/($AN$3/100)/炼钢参数表!Q77*1000))</f>
        <v>0</v>
      </c>
      <c r="AO77" s="8">
        <f>IF(V77="",0,IF(V77&lt;=0.02,0,(V77/100)/($AO$3/100)/炼钢参数表!R77*1000))</f>
        <v>0</v>
      </c>
      <c r="AP77" s="8">
        <f>IF(W77="",0,IF(W77&lt;=0.02,0,(W77/100)/($AP$3/100)/炼钢参数表!S77*1000))</f>
        <v>0</v>
      </c>
      <c r="AQ77" s="8">
        <f>IF(X77="",0,IF(X77&lt;=0.0002,0,(X77/100)/($AQ$3/100)/炼钢参数表!T77*1000))</f>
        <v>0</v>
      </c>
      <c r="AR77" s="8">
        <f>IF(Y77="",0,IF(Y77&lt;=0.02,0,(Y77/100)/($AR$3/100)/炼钢参数表!U77*1000))</f>
        <v>0</v>
      </c>
      <c r="AS77" s="8">
        <f>IF(L77&lt;=0.04,0,((L77-0.04)/100)/($AS$3/100)/炼钢参数表!V77*1000)</f>
        <v>0</v>
      </c>
      <c r="AT77" s="8">
        <f>IF(M77&lt;=0.03,0,((M77-0.03)/100)/($AT$3/100)/炼钢参数表!W77*1000)</f>
        <v>0</v>
      </c>
      <c r="AU77" s="6"/>
      <c r="AV77" s="8">
        <f t="shared" si="6"/>
        <v>8.1568584091594101</v>
      </c>
      <c r="AW77" s="8" cm="1">
        <f t="array" ref="AW77">SUMPRODUCT($AB$4:$AU$4,AB77:AU77)/1000</f>
        <v>84.799930373078695</v>
      </c>
      <c r="AY77" s="2" t="str">
        <f t="shared" si="7"/>
        <v>Q355B-2</v>
      </c>
      <c r="AZ77" s="37">
        <f>VLOOKUP(AY77,炼钢参数表!$F$5:$J$1027,4,0)</f>
        <v>7.4004318322023602E-2</v>
      </c>
      <c r="BA77" s="37">
        <f t="shared" si="8"/>
        <v>8.5995681677976402E-2</v>
      </c>
      <c r="BB77" s="37">
        <f>AB77*$BB$4*炼钢参数表!$X$5/1000</f>
        <v>8.7507066139061607E-3</v>
      </c>
      <c r="BC77" s="37">
        <f>AC77*$BC$4*炼钢参数表!$X$5/1000</f>
        <v>1.2394296143718999E-3</v>
      </c>
      <c r="BD77" s="37">
        <f>AD77*$BD$4*炼钢参数表!$X$5/1000</f>
        <v>0</v>
      </c>
      <c r="BE77" s="37">
        <f>AE77*$BE$4*炼钢参数表!$X$5/1000</f>
        <v>0</v>
      </c>
      <c r="BF77" s="37">
        <f>AL77*$BF$4*炼钢参数表!$X$5/1000</f>
        <v>0</v>
      </c>
      <c r="BG77" s="37">
        <f>AM77*$BG$4*炼钢参数表!$X$5/1000</f>
        <v>0</v>
      </c>
      <c r="BH77" s="37">
        <f t="shared" si="9"/>
        <v>9.9901362282780702E-3</v>
      </c>
      <c r="BI77" s="37">
        <f t="shared" si="10"/>
        <v>8.3994454550301703E-2</v>
      </c>
      <c r="BJ77" s="37">
        <f t="shared" si="11"/>
        <v>-7.60055454496983E-2</v>
      </c>
      <c r="BK77" s="54"/>
      <c r="BL77" s="7"/>
    </row>
    <row r="78" spans="1:64" s="18" customFormat="1" x14ac:dyDescent="0.3">
      <c r="A78" s="21">
        <v>74</v>
      </c>
      <c r="B78" s="4" t="s">
        <v>132</v>
      </c>
      <c r="C78" s="4" t="s">
        <v>26</v>
      </c>
      <c r="D78" s="4">
        <v>16</v>
      </c>
      <c r="E78" s="4">
        <v>30</v>
      </c>
      <c r="F78" s="4" t="s">
        <v>129</v>
      </c>
      <c r="G78" s="50" t="s">
        <v>92</v>
      </c>
      <c r="H78" s="4">
        <v>1515</v>
      </c>
      <c r="I78" s="51">
        <v>0.16</v>
      </c>
      <c r="J78" s="52">
        <v>0.18</v>
      </c>
      <c r="K78" s="52">
        <v>0.8</v>
      </c>
      <c r="L78" s="51">
        <v>0.02</v>
      </c>
      <c r="M78" s="51">
        <v>0.01</v>
      </c>
      <c r="N78" s="51"/>
      <c r="O78" s="51"/>
      <c r="P78" s="51">
        <v>3.5000000000000003E-2</v>
      </c>
      <c r="Q78" s="51">
        <v>0.02</v>
      </c>
      <c r="R78" s="51" t="s">
        <v>631</v>
      </c>
      <c r="S78" s="32"/>
      <c r="T78" s="52"/>
      <c r="U78" s="52"/>
      <c r="V78" s="52"/>
      <c r="W78" s="52"/>
      <c r="X78" s="32" t="s">
        <v>631</v>
      </c>
      <c r="Y78" s="53" t="s">
        <v>631</v>
      </c>
      <c r="Z78" s="4" t="s">
        <v>631</v>
      </c>
      <c r="AA78" s="53" t="s">
        <v>631</v>
      </c>
      <c r="AB78" s="42">
        <f>IF(J78&lt;=0.04,0,IF((BA78-AL78*BF$4*炼钢参数表!$X$5/1000-AM78*BG$4*炼钢参数表!$X$5/1000)&lt;=0.03,0,IF((J78/100/0.1769/炼钢参数表!K78*1000)&gt;(K78-炼钢参数表!J78)/100/0.6566/炼钢参数表!L78*1000,IF(K78&lt;1.6,(K78-炼钢参数表!J78)/100/0.6566/炼钢参数表!L78*1000,(K78-0.08-炼钢参数表!J78)/100/0.6566/炼钢参数表!L78*1000),IF(K78&lt;1.6,J78/100/0.1769/炼钢参数表!K78*1000,(J78-0.08)/100/0.1769/炼钢参数表!K78*1000))))</f>
        <v>10.525062306969099</v>
      </c>
      <c r="AC78" s="8">
        <f>IF((BA78-AB78*$BB$4*0.9/1000-AL78*BF$4*炼钢参数表!$X$5/1000-AM78*BG$4*炼钢参数表!$X$5/1000)&lt;(K78-炼钢参数表!J78-AB78*0.6566*炼钢参数表!L78/10)*0.082,0,(K78-炼钢参数表!J78-AB78*0.6566*炼钢参数表!L78/10)/100/($AC$3/100)/炼钢参数表!L78*1000)</f>
        <v>0</v>
      </c>
      <c r="AD78" s="8">
        <f>IF((BA78-AB78*$BB$4*0.9/1000-AC78*$BC$4*0.9/1000-AL78*BF$4*炼钢参数表!$X$5/1000-AM78*BG$4*炼钢参数表!$X$5/1000)&lt;=(K78-炼钢参数表!J78-AB78*0.6566*炼钢参数表!L78/10-AC78*($AC$3/100)*炼钢参数表!L78/10)*0.02,0,((K78-炼钢参数表!J78-AB78*0.6566*炼钢参数表!L78/10-AC78*($AC$3/100)*炼钢参数表!L78/10)/100/($AD$3/100)/炼钢参数表!L78*1000))</f>
        <v>0</v>
      </c>
      <c r="AE78" s="8">
        <f>(K78-炼钢参数表!J78-AB78*0.6566*炼钢参数表!L78/10-AC78*($AC$3/100)*炼钢参数表!L78/10-AD78*($AD$3/100)*炼钢参数表!L78/10)/100/($AE$3/100)/炼钢参数表!L78*1000</f>
        <v>0</v>
      </c>
      <c r="AF78" s="8">
        <v>0</v>
      </c>
      <c r="AG78" s="8">
        <f>IF(J78&lt;=0.04,0,((J78-(AB78*0.1769*炼钢参数表!K78/1000*100))/100/炼钢参数表!K78/($AG$3/100)*1000))</f>
        <v>0.53733417956135499</v>
      </c>
      <c r="AH78" s="8">
        <v>1.4</v>
      </c>
      <c r="AI78" s="8">
        <f>IF(N78="",0,IF(N78&lt;=0.002,0,((N78)/100)/($AI$3/100)/炼钢参数表!M78*1000))</f>
        <v>0</v>
      </c>
      <c r="AJ78" s="8">
        <f>IF(O78="",0,IF(O78&lt;=0.002,0,((O78)/100)/($AJ$3/100)/炼钢参数表!N78*1000))</f>
        <v>0</v>
      </c>
      <c r="AK78" s="8">
        <f>IF(P78="",0,IF(P78&lt;=0.002,0,((P78+0.005)/100)/($AK$3/100)/炼钢参数表!O78*1000))</f>
        <v>0.798307587913623</v>
      </c>
      <c r="AL78" s="8">
        <f>IF((BA78-J78*0.00003-K78*0.00024)&lt;=0.05,0,IF(T78="",0,IF(T78&lt;=0.03,0,IF(((BA78-J78*0.00003-K78*0.00024)-0.05)/0.18/100/($AL$3/100)/炼钢参数表!P78*1000&lt;=T78/100/($AL$3/100)/炼钢参数表!P78*1000,((BA78-J78*0.00003-K78*0.00024)-0.05)/0.18/100/($AL$3/100)/炼钢参数表!P78*1000,T78/100/($AL$3/100)/炼钢参数表!P78*1000))))</f>
        <v>0</v>
      </c>
      <c r="AM78" s="8">
        <f>IF(T78="",0,IF(T78&lt;=0.03,0,((T78-AL78*($AL$3/100)*炼钢参数表!P78/10)/100/($AM$3/100)/炼钢参数表!P78*1000)))</f>
        <v>0</v>
      </c>
      <c r="AN78" s="8">
        <f>IF(U78="",0,IF(U78&lt;=0.02,0,(U78/100)/($AN$3/100)/炼钢参数表!Q78*1000))</f>
        <v>0</v>
      </c>
      <c r="AO78" s="8">
        <f>IF(V78="",0,IF(V78&lt;=0.02,0,(V78/100)/($AO$3/100)/炼钢参数表!R78*1000))</f>
        <v>0</v>
      </c>
      <c r="AP78" s="8">
        <f>IF(W78="",0,IF(W78&lt;=0.02,0,(W78/100)/($AP$3/100)/炼钢参数表!S78*1000))</f>
        <v>0</v>
      </c>
      <c r="AQ78" s="8">
        <f>IF(X78="",0,IF(X78&lt;=0.0002,0,(X78/100)/($AQ$3/100)/炼钢参数表!T78*1000))</f>
        <v>0</v>
      </c>
      <c r="AR78" s="8">
        <f>IF(Y78="",0,IF(Y78&lt;=0.02,0,(Y78/100)/($AR$3/100)/炼钢参数表!U78*1000))</f>
        <v>0</v>
      </c>
      <c r="AS78" s="8">
        <f>IF(L78&lt;=0.04,0,((L78-0.04)/100)/($AS$3/100)/炼钢参数表!V78*1000)</f>
        <v>0</v>
      </c>
      <c r="AT78" s="8">
        <f>IF(M78&lt;=0.03,0,((M78-0.03)/100)/($AT$3/100)/炼钢参数表!W78*1000)</f>
        <v>0</v>
      </c>
      <c r="AU78" s="6"/>
      <c r="AV78" s="8">
        <f t="shared" si="6"/>
        <v>13.260704074444099</v>
      </c>
      <c r="AW78" s="8" cm="1">
        <f t="array" ref="AW78">SUMPRODUCT($AB$4:$AU$4,AB78:AU78)/1000</f>
        <v>110.37059878336299</v>
      </c>
      <c r="AY78" s="2" t="str">
        <f t="shared" si="7"/>
        <v>Q355B-3A</v>
      </c>
      <c r="AZ78" s="37">
        <f>VLOOKUP(AY78,炼钢参数表!$F$5:$J$1027,4,0)</f>
        <v>7.2048951048951093E-2</v>
      </c>
      <c r="BA78" s="37">
        <f t="shared" si="8"/>
        <v>8.7951048951048896E-2</v>
      </c>
      <c r="BB78" s="37">
        <f>AB78*$BB$4*炼钢参数表!$X$5/1000</f>
        <v>1.62927964511882E-2</v>
      </c>
      <c r="BC78" s="37">
        <f>AC78*$BC$4*炼钢参数表!$X$5/1000</f>
        <v>0</v>
      </c>
      <c r="BD78" s="37">
        <f>AD78*$BD$4*炼钢参数表!$X$5/1000</f>
        <v>0</v>
      </c>
      <c r="BE78" s="37">
        <f>AE78*$BE$4*炼钢参数表!$X$5/1000</f>
        <v>0</v>
      </c>
      <c r="BF78" s="37">
        <f>AL78*$BF$4*炼钢参数表!$X$5/1000</f>
        <v>0</v>
      </c>
      <c r="BG78" s="37">
        <f>AM78*$BG$4*炼钢参数表!$X$5/1000</f>
        <v>0</v>
      </c>
      <c r="BH78" s="37">
        <f t="shared" si="9"/>
        <v>1.62927964511882E-2</v>
      </c>
      <c r="BI78" s="37">
        <f t="shared" si="10"/>
        <v>8.8341747500139303E-2</v>
      </c>
      <c r="BJ78" s="37">
        <f t="shared" si="11"/>
        <v>-7.16582524998607E-2</v>
      </c>
      <c r="BK78" s="54"/>
      <c r="BL78" s="7"/>
    </row>
    <row r="79" spans="1:64" s="18" customFormat="1" x14ac:dyDescent="0.3">
      <c r="A79" s="21">
        <v>75</v>
      </c>
      <c r="B79" s="4" t="s">
        <v>133</v>
      </c>
      <c r="C79" s="4" t="s">
        <v>23</v>
      </c>
      <c r="D79" s="4">
        <v>2</v>
      </c>
      <c r="E79" s="4">
        <v>12</v>
      </c>
      <c r="F79" s="4" t="s">
        <v>94</v>
      </c>
      <c r="G79" s="4" t="s">
        <v>95</v>
      </c>
      <c r="H79" s="4">
        <v>1517</v>
      </c>
      <c r="I79" s="4">
        <v>0.16</v>
      </c>
      <c r="J79" s="4">
        <v>0.15</v>
      </c>
      <c r="K79" s="4">
        <v>1</v>
      </c>
      <c r="L79" s="4">
        <v>1.7999999999999999E-2</v>
      </c>
      <c r="M79" s="4">
        <v>0.01</v>
      </c>
      <c r="N79" s="4" t="s">
        <v>631</v>
      </c>
      <c r="O79" s="4"/>
      <c r="P79" s="4">
        <v>0.03</v>
      </c>
      <c r="Q79" s="4">
        <v>2.5000000000000001E-2</v>
      </c>
      <c r="R79" s="4" t="s">
        <v>631</v>
      </c>
      <c r="S79" s="4">
        <v>0</v>
      </c>
      <c r="T79" s="4">
        <v>0</v>
      </c>
      <c r="U79" s="4">
        <v>0</v>
      </c>
      <c r="V79" s="4">
        <v>0</v>
      </c>
      <c r="W79" s="4" t="s">
        <v>631</v>
      </c>
      <c r="X79" s="4" t="s">
        <v>631</v>
      </c>
      <c r="Y79" s="4"/>
      <c r="Z79" s="4">
        <v>40</v>
      </c>
      <c r="AA79" s="4">
        <v>0</v>
      </c>
      <c r="AB79" s="42">
        <f>IF(J79&lt;=0.04,0,IF((BA79-AL79*BF$4*炼钢参数表!$X$5/1000-AM79*BG$4*炼钢参数表!$X$5/1000)&lt;=0.03,0,IF((J79/100/0.1769/炼钢参数表!K79*1000)&gt;(K79-炼钢参数表!J79)/100/0.6566/炼钢参数表!L79*1000,IF(K79&lt;1.6,(K79-炼钢参数表!J79)/100/0.6566/炼钢参数表!L79*1000,(K79-0.08-炼钢参数表!J79)/100/0.6566/炼钢参数表!L79*1000),IF(K79&lt;1.6,J79/100/0.1769/炼钢参数表!K79*1000,(J79-0.08)/100/0.1769/炼钢参数表!K79*1000))))</f>
        <v>10.5992085924251</v>
      </c>
      <c r="AC79" s="8">
        <f>IF((BA79-AB79*$BB$4*0.9/1000-AL79*BF$4*炼钢参数表!$X$5/1000-AM79*BG$4*炼钢参数表!$X$5/1000)&lt;(K79-炼钢参数表!J79-AB79*0.6566*炼钢参数表!L79/10)*0.082,0,(K79-炼钢参数表!J79-AB79*0.6566*炼钢参数表!L79/10)/100/($AC$3/100)/炼钢参数表!L79*1000)</f>
        <v>2.8174049973319</v>
      </c>
      <c r="AD79" s="8">
        <f>IF((BA79-AB79*$BB$4*0.9/1000-AC79*$BC$4*0.9/1000-AL79*BF$4*炼钢参数表!$X$5/1000-AM79*BG$4*炼钢参数表!$X$5/1000)&lt;=(K79-炼钢参数表!J79-AB79*0.6566*炼钢参数表!L79/10-AC79*($AC$3/100)*炼钢参数表!L79/10)*0.02,0,((K79-炼钢参数表!J79-AB79*0.6566*炼钢参数表!L79/10-AC79*($AC$3/100)*炼钢参数表!L79/10)/100/($AD$3/100)/炼钢参数表!L79*1000))</f>
        <v>0</v>
      </c>
      <c r="AE79" s="8">
        <f>(K79-炼钢参数表!J79-AB79*0.6566*炼钢参数表!L79/10-AC79*($AC$3/100)*炼钢参数表!L79/10-AD79*($AD$3/100)*炼钢参数表!L79/10)/100/($AE$3/100)/炼钢参数表!L79*1000</f>
        <v>0</v>
      </c>
      <c r="AF79" s="8">
        <v>0</v>
      </c>
      <c r="AG79" s="8">
        <f>IF(J79&lt;=0.04,0,((J79-(AB79*0.1769*炼钢参数表!K79/1000*100))/100/炼钢参数表!K79/($AG$3/100)*1000))</f>
        <v>0</v>
      </c>
      <c r="AH79" s="8">
        <v>1.4</v>
      </c>
      <c r="AI79" s="8">
        <f>IF(N79="",0,IF(N79&lt;=0.002,0,((N79)/100)/($AI$3/100)/炼钢参数表!M79*1000))</f>
        <v>0</v>
      </c>
      <c r="AJ79" s="8">
        <f>IF(O79="",0,IF(O79&lt;=0.002,0,((O79)/100)/($AJ$3/100)/炼钢参数表!N79*1000))</f>
        <v>0</v>
      </c>
      <c r="AK79" s="8">
        <f>IF(P79="",0,IF(P79&lt;=0.002,0,((P79+0.005)/100)/($AK$3/100)/炼钢参数表!O79*1000))</f>
        <v>0.69851913942442001</v>
      </c>
      <c r="AL79" s="8">
        <f>IF((BA79-J79*0.00003-K79*0.00024)&lt;=0.05,0,IF(T79="",0,IF(T79&lt;=0.03,0,IF(((BA79-J79*0.00003-K79*0.00024)-0.05)/0.18/100/($AL$3/100)/炼钢参数表!P79*1000&lt;=T79/100/($AL$3/100)/炼钢参数表!P79*1000,((BA79-J79*0.00003-K79*0.00024)-0.05)/0.18/100/($AL$3/100)/炼钢参数表!P79*1000,T79/100/($AL$3/100)/炼钢参数表!P79*1000))))</f>
        <v>0</v>
      </c>
      <c r="AM79" s="8">
        <f>IF(T79="",0,IF(T79&lt;=0.03,0,((T79-AL79*($AL$3/100)*炼钢参数表!P79/10)/100/($AM$3/100)/炼钢参数表!P79*1000)))</f>
        <v>0</v>
      </c>
      <c r="AN79" s="8">
        <f>IF(U79="",0,IF(U79&lt;=0.02,0,(U79/100)/($AN$3/100)/炼钢参数表!Q79*1000))</f>
        <v>0</v>
      </c>
      <c r="AO79" s="8">
        <f>IF(V79="",0,IF(V79&lt;=0.02,0,(V79/100)/($AO$3/100)/炼钢参数表!R79*1000))</f>
        <v>0</v>
      </c>
      <c r="AP79" s="8">
        <f>IF(W79="",0,IF(W79&lt;=0.02,0,(W79/100)/($AP$3/100)/炼钢参数表!S79*1000))</f>
        <v>0</v>
      </c>
      <c r="AQ79" s="8">
        <f>IF(X79="",0,IF(X79&lt;=0.0002,0,(X79/100)/($AQ$3/100)/炼钢参数表!T79*1000))</f>
        <v>0</v>
      </c>
      <c r="AR79" s="8">
        <f>IF(Y79="",0,IF(Y79&lt;=0.02,0,(Y79/100)/($AR$3/100)/炼钢参数表!U79*1000))</f>
        <v>0</v>
      </c>
      <c r="AS79" s="8">
        <f>IF(L79&lt;=0.04,0,((L79-0.04)/100)/($AS$3/100)/炼钢参数表!V79*1000)</f>
        <v>0</v>
      </c>
      <c r="AT79" s="8">
        <f>IF(M79&lt;=0.03,0,((M79-0.03)/100)/($AT$3/100)/炼钢参数表!W79*1000)</f>
        <v>0</v>
      </c>
      <c r="AU79" s="6"/>
      <c r="AV79" s="8">
        <f t="shared" si="6"/>
        <v>15.515132729181399</v>
      </c>
      <c r="AW79" s="8" cm="1">
        <f t="array" ref="AW79">SUMPRODUCT($AB$4:$AU$4,AB79:AU79)/1000</f>
        <v>122.61340300503301</v>
      </c>
      <c r="AY79" s="2" t="str">
        <f t="shared" si="7"/>
        <v>Q355C-1</v>
      </c>
      <c r="AZ79" s="37">
        <f>VLOOKUP(AY79,炼钢参数表!$F$5:$J$1027,4,0)</f>
        <v>7.0999999999999994E-2</v>
      </c>
      <c r="BA79" s="37">
        <f t="shared" si="8"/>
        <v>8.8999999999999996E-2</v>
      </c>
      <c r="BB79" s="37">
        <f>AB79*$BB$4*炼钢参数表!$X$5/1000</f>
        <v>1.6407574901074098E-2</v>
      </c>
      <c r="BC79" s="37">
        <f>AC79*$BC$4*炼钢参数表!$X$5/1000</f>
        <v>1.6963595488935401E-2</v>
      </c>
      <c r="BD79" s="37">
        <f>AD79*$BD$4*炼钢参数表!$X$5/1000</f>
        <v>0</v>
      </c>
      <c r="BE79" s="37">
        <f>AE79*$BE$4*炼钢参数表!$X$5/1000</f>
        <v>0</v>
      </c>
      <c r="BF79" s="37">
        <f>AL79*$BF$4*炼钢参数表!$X$5/1000</f>
        <v>0</v>
      </c>
      <c r="BG79" s="37">
        <f>AM79*$BG$4*炼钢参数表!$X$5/1000</f>
        <v>0</v>
      </c>
      <c r="BH79" s="37">
        <f t="shared" si="9"/>
        <v>3.3371170390009398E-2</v>
      </c>
      <c r="BI79" s="37">
        <f t="shared" si="10"/>
        <v>0.104371170390009</v>
      </c>
      <c r="BJ79" s="37">
        <f t="shared" si="11"/>
        <v>-5.5628829609990597E-2</v>
      </c>
      <c r="BK79" s="54"/>
      <c r="BL79" s="7"/>
    </row>
    <row r="80" spans="1:64" s="18" customFormat="1" x14ac:dyDescent="0.3">
      <c r="A80" s="21">
        <v>76</v>
      </c>
      <c r="B80" s="4" t="s">
        <v>133</v>
      </c>
      <c r="C80" s="4" t="s">
        <v>26</v>
      </c>
      <c r="D80" s="4">
        <v>12.01</v>
      </c>
      <c r="E80" s="4">
        <v>19</v>
      </c>
      <c r="F80" s="4" t="s">
        <v>96</v>
      </c>
      <c r="G80" s="4" t="s">
        <v>95</v>
      </c>
      <c r="H80" s="4">
        <v>1517</v>
      </c>
      <c r="I80" s="4">
        <v>0.16</v>
      </c>
      <c r="J80" s="4">
        <v>0.15</v>
      </c>
      <c r="K80" s="4">
        <v>1.25</v>
      </c>
      <c r="L80" s="4">
        <v>1.7999999999999999E-2</v>
      </c>
      <c r="M80" s="4">
        <v>5.0000000000000001E-3</v>
      </c>
      <c r="N80" s="4" t="s">
        <v>631</v>
      </c>
      <c r="O80" s="4">
        <v>8.0000000000000002E-3</v>
      </c>
      <c r="P80" s="4">
        <v>1.4999999999999999E-2</v>
      </c>
      <c r="Q80" s="4">
        <v>2.5000000000000001E-2</v>
      </c>
      <c r="R80" s="4" t="s">
        <v>631</v>
      </c>
      <c r="S80" s="4">
        <v>0</v>
      </c>
      <c r="T80" s="4">
        <v>0</v>
      </c>
      <c r="U80" s="4">
        <v>0</v>
      </c>
      <c r="V80" s="4">
        <v>0</v>
      </c>
      <c r="W80" s="4" t="s">
        <v>631</v>
      </c>
      <c r="X80" s="4" t="s">
        <v>631</v>
      </c>
      <c r="Y80" s="4"/>
      <c r="Z80" s="4">
        <v>40</v>
      </c>
      <c r="AA80" s="4">
        <v>0</v>
      </c>
      <c r="AB80" s="42">
        <f>IF(J80&lt;=0.04,0,IF((BA80-AL80*BF$4*炼钢参数表!$X$5/1000-AM80*BG$4*炼钢参数表!$X$5/1000)&lt;=0.03,0,IF((J80/100/0.1769/炼钢参数表!K80*1000)&gt;(K80-炼钢参数表!J80)/100/0.6566/炼钢参数表!L80*1000,IF(K80&lt;1.6,(K80-炼钢参数表!J80)/100/0.6566/炼钢参数表!L80*1000,(K80-0.08-炼钢参数表!J80)/100/0.6566/炼钢参数表!L80*1000),IF(K80&lt;1.6,J80/100/0.1769/炼钢参数表!K80*1000,(J80-0.08)/100/0.1769/炼钢参数表!K80*1000))))</f>
        <v>10.5992085924251</v>
      </c>
      <c r="AC80" s="8">
        <f>IF((BA80-AB80*$BB$4*0.9/1000-AL80*BF$4*炼钢参数表!$X$5/1000-AM80*BG$4*炼钢参数表!$X$5/1000)&lt;(K80-炼钢参数表!J80-AB80*0.6566*炼钢参数表!L80/10)*0.082,0,(K80-炼钢参数表!J80-AB80*0.6566*炼钢参数表!L80/10)/100/($AC$3/100)/炼钢参数表!L80*1000)</f>
        <v>6.2209461550235696</v>
      </c>
      <c r="AD80" s="8">
        <f>IF((BA80-AB80*$BB$4*0.9/1000-AC80*$BC$4*0.9/1000-AL80*BF$4*炼钢参数表!$X$5/1000-AM80*BG$4*炼钢参数表!$X$5/1000)&lt;=(K80-炼钢参数表!J80-AB80*0.6566*炼钢参数表!L80/10-AC80*($AC$3/100)*炼钢参数表!L80/10)*0.02,0,((K80-炼钢参数表!J80-AB80*0.6566*炼钢参数表!L80/10-AC80*($AC$3/100)*炼钢参数表!L80/10)/100/($AD$3/100)/炼钢参数表!L80*1000))</f>
        <v>0</v>
      </c>
      <c r="AE80" s="8">
        <f>(K80-炼钢参数表!J80-AB80*0.6566*炼钢参数表!L80/10-AC80*($AC$3/100)*炼钢参数表!L80/10-AD80*($AD$3/100)*炼钢参数表!L80/10)/100/($AE$3/100)/炼钢参数表!L80*1000</f>
        <v>0</v>
      </c>
      <c r="AF80" s="8">
        <v>0</v>
      </c>
      <c r="AG80" s="8">
        <f>IF(J80&lt;=0.04,0,((J80-(AB80*0.1769*炼钢参数表!K80/1000*100))/100/炼钢参数表!K80/($AG$3/100)*1000))</f>
        <v>0</v>
      </c>
      <c r="AH80" s="8">
        <v>1.4</v>
      </c>
      <c r="AI80" s="8">
        <f>IF(N80="",0,IF(N80&lt;=0.002,0,((N80)/100)/($AI$3/100)/炼钢参数表!M80*1000))</f>
        <v>0</v>
      </c>
      <c r="AJ80" s="8">
        <f>IF(O80="",0,IF(O80&lt;=0.002,0,((O80)/100)/($AJ$3/100)/炼钢参数表!N80*1000))</f>
        <v>0.125511459196225</v>
      </c>
      <c r="AK80" s="8">
        <f>IF(P80="",0,IF(P80&lt;=0.002,0,((P80+0.005)/100)/($AK$3/100)/炼钢参数表!O80*1000))</f>
        <v>0.399153793956812</v>
      </c>
      <c r="AL80" s="8">
        <f>IF((BA80-J80*0.00003-K80*0.00024)&lt;=0.05,0,IF(T80="",0,IF(T80&lt;=0.03,0,IF(((BA80-J80*0.00003-K80*0.00024)-0.05)/0.18/100/($AL$3/100)/炼钢参数表!P80*1000&lt;=T80/100/($AL$3/100)/炼钢参数表!P80*1000,((BA80-J80*0.00003-K80*0.00024)-0.05)/0.18/100/($AL$3/100)/炼钢参数表!P80*1000,T80/100/($AL$3/100)/炼钢参数表!P80*1000))))</f>
        <v>0</v>
      </c>
      <c r="AM80" s="8">
        <f>IF(T80="",0,IF(T80&lt;=0.03,0,((T80-AL80*($AL$3/100)*炼钢参数表!P80/10)/100/($AM$3/100)/炼钢参数表!P80*1000)))</f>
        <v>0</v>
      </c>
      <c r="AN80" s="8">
        <f>IF(U80="",0,IF(U80&lt;=0.02,0,(U80/100)/($AN$3/100)/炼钢参数表!Q80*1000))</f>
        <v>0</v>
      </c>
      <c r="AO80" s="8">
        <f>IF(V80="",0,IF(V80&lt;=0.02,0,(V80/100)/($AO$3/100)/炼钢参数表!R80*1000))</f>
        <v>0</v>
      </c>
      <c r="AP80" s="8">
        <f>IF(W80="",0,IF(W80&lt;=0.02,0,(W80/100)/($AP$3/100)/炼钢参数表!S80*1000))</f>
        <v>0</v>
      </c>
      <c r="AQ80" s="8">
        <f>IF(X80="",0,IF(X80&lt;=0.0002,0,(X80/100)/($AQ$3/100)/炼钢参数表!T80*1000))</f>
        <v>0</v>
      </c>
      <c r="AR80" s="8">
        <f>IF(Y80="",0,IF(Y80&lt;=0.02,0,(Y80/100)/($AR$3/100)/炼钢参数表!U80*1000))</f>
        <v>0</v>
      </c>
      <c r="AS80" s="8">
        <f>IF(L80&lt;=0.04,0,((L80-0.04)/100)/($AS$3/100)/炼钢参数表!V80*1000)</f>
        <v>0</v>
      </c>
      <c r="AT80" s="8">
        <f>IF(M80&lt;=0.03,0,((M80-0.03)/100)/($AT$3/100)/炼钢参数表!W80*1000)</f>
        <v>0</v>
      </c>
      <c r="AU80" s="6"/>
      <c r="AV80" s="8">
        <f t="shared" si="6"/>
        <v>18.744820000601699</v>
      </c>
      <c r="AW80" s="8" cm="1">
        <f t="array" ref="AW80">SUMPRODUCT($AB$4:$AU$4,AB80:AU80)/1000</f>
        <v>163.01145618396799</v>
      </c>
      <c r="AY80" s="2" t="str">
        <f t="shared" si="7"/>
        <v>Q355C-2</v>
      </c>
      <c r="AZ80" s="37">
        <f>VLOOKUP(AY80,炼钢参数表!$F$5:$J$1027,4,0)</f>
        <v>6.2065217391304398E-2</v>
      </c>
      <c r="BA80" s="37">
        <f t="shared" si="8"/>
        <v>9.7934782608695606E-2</v>
      </c>
      <c r="BB80" s="37">
        <f>AB80*$BB$4*炼钢参数表!$X$5/1000</f>
        <v>1.6407574901074098E-2</v>
      </c>
      <c r="BC80" s="37">
        <f>AC80*$BC$4*炼钢参数表!$X$5/1000</f>
        <v>3.7456316799396899E-2</v>
      </c>
      <c r="BD80" s="37">
        <f>AD80*$BD$4*炼钢参数表!$X$5/1000</f>
        <v>0</v>
      </c>
      <c r="BE80" s="37">
        <f>AE80*$BE$4*炼钢参数表!$X$5/1000</f>
        <v>0</v>
      </c>
      <c r="BF80" s="37">
        <f>AL80*$BF$4*炼钢参数表!$X$5/1000</f>
        <v>0</v>
      </c>
      <c r="BG80" s="37">
        <f>AM80*$BG$4*炼钢参数表!$X$5/1000</f>
        <v>0</v>
      </c>
      <c r="BH80" s="37">
        <f t="shared" si="9"/>
        <v>5.3863891700470901E-2</v>
      </c>
      <c r="BI80" s="37">
        <f t="shared" si="10"/>
        <v>0.11592910909177501</v>
      </c>
      <c r="BJ80" s="37">
        <f t="shared" si="11"/>
        <v>-4.4070890908224698E-2</v>
      </c>
      <c r="BK80" s="54"/>
      <c r="BL80" s="7"/>
    </row>
    <row r="81" spans="1:64" s="18" customFormat="1" x14ac:dyDescent="0.3">
      <c r="A81" s="21">
        <v>77</v>
      </c>
      <c r="B81" s="4" t="s">
        <v>133</v>
      </c>
      <c r="C81" s="4" t="s">
        <v>90</v>
      </c>
      <c r="D81" s="4">
        <v>19.010000000000002</v>
      </c>
      <c r="E81" s="4">
        <v>29</v>
      </c>
      <c r="F81" s="4" t="s">
        <v>97</v>
      </c>
      <c r="G81" s="4" t="s">
        <v>95</v>
      </c>
      <c r="H81" s="4">
        <v>1517</v>
      </c>
      <c r="I81" s="4">
        <v>0.16</v>
      </c>
      <c r="J81" s="4">
        <v>0.15</v>
      </c>
      <c r="K81" s="4">
        <v>1.35</v>
      </c>
      <c r="L81" s="4">
        <v>1.7999999999999999E-2</v>
      </c>
      <c r="M81" s="4">
        <v>5.0000000000000001E-3</v>
      </c>
      <c r="N81" s="4" t="s">
        <v>631</v>
      </c>
      <c r="O81" s="4">
        <v>0.01</v>
      </c>
      <c r="P81" s="4">
        <v>2.5000000000000001E-2</v>
      </c>
      <c r="Q81" s="4">
        <v>2.5000000000000001E-2</v>
      </c>
      <c r="R81" s="4" t="s">
        <v>631</v>
      </c>
      <c r="S81" s="4">
        <v>0</v>
      </c>
      <c r="T81" s="4">
        <v>0</v>
      </c>
      <c r="U81" s="4">
        <v>0</v>
      </c>
      <c r="V81" s="4">
        <v>0</v>
      </c>
      <c r="W81" s="4" t="s">
        <v>631</v>
      </c>
      <c r="X81" s="4" t="s">
        <v>631</v>
      </c>
      <c r="Y81" s="4"/>
      <c r="Z81" s="4">
        <v>40</v>
      </c>
      <c r="AA81" s="4">
        <v>0</v>
      </c>
      <c r="AB81" s="55">
        <f>IF(J81&lt;=0.04,0,IF((BA81-AL81*BF$4*炼钢参数表!$X$5/1000-AM81*BG$4*炼钢参数表!$X$5/1000)&lt;=0.03,0,IF((J81/100/0.1769/炼钢参数表!K81*1000)&gt;(K81-炼钢参数表!J81)/100/0.6566/炼钢参数表!L81*1000,IF(K81&lt;1.6,(K81-炼钢参数表!J81)/100/0.6566/炼钢参数表!L81*1000,(K81-0.08-炼钢参数表!J81)/100/0.6566/炼钢参数表!L81*1000),IF(K81&lt;1.6,J81/100/0.1769/炼钢参数表!K81*1000,(J81-0.08)/100/0.1769/炼钢参数表!K81*1000))))</f>
        <v>10.5992085924251</v>
      </c>
      <c r="AC81" s="56">
        <f>IF((BA81-AB81*$BB$4*0.9/1000-AL81*BF$4*炼钢参数表!$X$5/1000-AM81*BG$4*炼钢参数表!$X$5/1000)&lt;(K81-炼钢参数表!J81-AB81*0.6566*炼钢参数表!L81/10)*0.082,0,(K81-炼钢参数表!J81-AB81*0.6566*炼钢参数表!L81/10)/100/($AC$3/100)/炼钢参数表!L81*1000)</f>
        <v>7.6435382162466698</v>
      </c>
      <c r="AD81" s="56">
        <f>IF((BA81-AB81*$BB$4*0.9/1000-AC81*$BC$4*0.9/1000-AL81*BF$4*炼钢参数表!$X$5/1000-AM81*BG$4*炼钢参数表!$X$5/1000)&lt;=(K81-炼钢参数表!J81-AB81*0.6566*炼钢参数表!L81/10-AC81*($AC$3/100)*炼钢参数表!L81/10)*0.02,0,((K81-炼钢参数表!J81-AB81*0.6566*炼钢参数表!L81/10-AC81*($AC$3/100)*炼钢参数表!L81/10)/100/($AD$3/100)/炼钢参数表!L81*1000))</f>
        <v>0</v>
      </c>
      <c r="AE81" s="56">
        <f>(K81-炼钢参数表!J81-AB81*0.6566*炼钢参数表!L81/10-AC81*($AC$3/100)*炼钢参数表!L81/10-AD81*($AD$3/100)*炼钢参数表!L81/10)/100/($AE$3/100)/炼钢参数表!L81*1000</f>
        <v>0</v>
      </c>
      <c r="AF81" s="8">
        <v>0</v>
      </c>
      <c r="AG81" s="56">
        <f>IF(J81&lt;=0.04,0,((J81-(AB81*0.1769*炼钢参数表!K81/1000*100))/100/炼钢参数表!K81/($AG$3/100)*1000))</f>
        <v>0</v>
      </c>
      <c r="AH81" s="56">
        <v>1.4</v>
      </c>
      <c r="AI81" s="8">
        <f>IF(N81="",0,IF(N81&lt;=0.002,0,((N81)/100)/($AI$3/100)/炼钢参数表!M81*1000))</f>
        <v>0</v>
      </c>
      <c r="AJ81" s="8">
        <f>IF(O81="",0,IF(O81&lt;=0.002,0,((O81)/100)/($AJ$3/100)/炼钢参数表!N81*1000))</f>
        <v>0.15688932399528099</v>
      </c>
      <c r="AK81" s="8">
        <f>IF(P81="",0,IF(P81&lt;=0.002,0,((P81+0.005)/100)/($AK$3/100)/炼钢参数表!O81*1000))</f>
        <v>0.59873069093521702</v>
      </c>
      <c r="AL81" s="56">
        <f>IF((BA81-J81*0.00003-K81*0.00024)&lt;=0.05,0,IF(T81="",0,IF(T81&lt;=0.03,0,IF(((BA81-J81*0.00003-K81*0.00024)-0.05)/0.18/100/($AL$3/100)/炼钢参数表!P81*1000&lt;=T81/100/($AL$3/100)/炼钢参数表!P81*1000,((BA81-J81*0.00003-K81*0.00024)-0.05)/0.18/100/($AL$3/100)/炼钢参数表!P81*1000,T81/100/($AL$3/100)/炼钢参数表!P81*1000))))</f>
        <v>0</v>
      </c>
      <c r="AM81" s="56">
        <f>IF(T81="",0,IF(T81&lt;=0.03,0,((T81-AL81*($AL$3/100)*炼钢参数表!P81/10)/100/($AM$3/100)/炼钢参数表!P81*1000)))</f>
        <v>0</v>
      </c>
      <c r="AN81" s="56">
        <f>IF(U81="",0,IF(U81&lt;=0.02,0,(U81/100)/($AN$3/100)/炼钢参数表!Q81*1000))</f>
        <v>0</v>
      </c>
      <c r="AO81" s="56">
        <f>IF(V81="",0,IF(V81&lt;=0.02,0,(V81/100)/($AO$3/100)/炼钢参数表!R81*1000))</f>
        <v>0</v>
      </c>
      <c r="AP81" s="56">
        <f>IF(W81="",0,IF(W81&lt;=0.02,0,(W81/100)/($AP$3/100)/炼钢参数表!S81*1000))</f>
        <v>0</v>
      </c>
      <c r="AQ81" s="56">
        <f>IF(X81="",0,IF(X81&lt;=0.0002,0,(X81/100)/($AQ$3/100)/炼钢参数表!T81*1000))</f>
        <v>0</v>
      </c>
      <c r="AR81" s="56">
        <f>IF(Y81="",0,IF(Y81&lt;=0.02,0,(Y81/100)/($AR$3/100)/炼钢参数表!U81*1000))</f>
        <v>0</v>
      </c>
      <c r="AS81" s="56">
        <f>IF(L81&lt;=0.04,0,((L81-0.04)/100)/($AS$3/100)/炼钢参数表!V81*1000)</f>
        <v>0</v>
      </c>
      <c r="AT81" s="56">
        <f>IF(M81&lt;=0.03,0,((M81-0.03)/100)/($AT$3/100)/炼钢参数表!W81*1000)</f>
        <v>0</v>
      </c>
      <c r="AU81" s="57"/>
      <c r="AV81" s="56">
        <f t="shared" si="6"/>
        <v>20.398366823602299</v>
      </c>
      <c r="AW81" s="56" cm="1">
        <f t="array" ref="AW81">SUMPRODUCT($AB$4:$AU$4,AB81:AU81)/1000</f>
        <v>183.171972309133</v>
      </c>
      <c r="AY81" s="15" t="str">
        <f t="shared" si="7"/>
        <v>Q355C-3</v>
      </c>
      <c r="AZ81" s="44">
        <f>VLOOKUP(AY81,炼钢参数表!$F$5:$J$1027,4,0)</f>
        <v>6.7671052631579007E-2</v>
      </c>
      <c r="BA81" s="44">
        <f t="shared" si="8"/>
        <v>9.2328947368420997E-2</v>
      </c>
      <c r="BB81" s="44">
        <f>AB81*$BB$4*炼钢参数表!$X$5/1000</f>
        <v>1.6407574901074098E-2</v>
      </c>
      <c r="BC81" s="44">
        <f>AC81*$BC$4*炼钢参数表!$X$5/1000</f>
        <v>4.6021743600021203E-2</v>
      </c>
      <c r="BD81" s="44">
        <f>AD81*$BD$4*炼钢参数表!$X$5/1000</f>
        <v>0</v>
      </c>
      <c r="BE81" s="44">
        <f>AE81*$BE$4*炼钢参数表!$X$5/1000</f>
        <v>0</v>
      </c>
      <c r="BF81" s="44">
        <f>AL81*$BF$4*炼钢参数表!$X$5/1000</f>
        <v>0</v>
      </c>
      <c r="BG81" s="44">
        <f>AM81*$BG$4*炼钢参数表!$X$5/1000</f>
        <v>0</v>
      </c>
      <c r="BH81" s="44">
        <f t="shared" si="9"/>
        <v>6.2429318501095302E-2</v>
      </c>
      <c r="BI81" s="44">
        <f t="shared" si="10"/>
        <v>0.130100371132674</v>
      </c>
      <c r="BJ81" s="44">
        <f t="shared" si="11"/>
        <v>-2.9899628867325698E-2</v>
      </c>
      <c r="BK81" s="58"/>
      <c r="BL81" s="59"/>
    </row>
    <row r="82" spans="1:64" s="18" customFormat="1" x14ac:dyDescent="0.3">
      <c r="A82" s="21">
        <v>78</v>
      </c>
      <c r="B82" s="4" t="s">
        <v>134</v>
      </c>
      <c r="C82" s="4" t="s">
        <v>23</v>
      </c>
      <c r="D82" s="4">
        <v>3</v>
      </c>
      <c r="E82" s="4">
        <v>5</v>
      </c>
      <c r="F82" s="4" t="s">
        <v>134</v>
      </c>
      <c r="G82" s="4" t="s">
        <v>135</v>
      </c>
      <c r="H82" s="4">
        <v>1515</v>
      </c>
      <c r="I82" s="53">
        <v>0.17499999999999999</v>
      </c>
      <c r="J82" s="53">
        <v>0.15</v>
      </c>
      <c r="K82" s="53">
        <v>0.7</v>
      </c>
      <c r="L82" s="4">
        <v>0</v>
      </c>
      <c r="M82" s="4">
        <v>0</v>
      </c>
      <c r="N82" s="4" t="s">
        <v>631</v>
      </c>
      <c r="O82" s="4" t="s">
        <v>631</v>
      </c>
      <c r="P82" s="4">
        <v>0.03</v>
      </c>
      <c r="Q82" s="4">
        <v>0.02</v>
      </c>
      <c r="R82" s="53" t="s">
        <v>631</v>
      </c>
      <c r="S82" s="53" t="s">
        <v>631</v>
      </c>
      <c r="T82" s="53">
        <v>0</v>
      </c>
      <c r="U82" s="53" t="s">
        <v>631</v>
      </c>
      <c r="V82" s="53" t="s">
        <v>631</v>
      </c>
      <c r="W82" s="53" t="s">
        <v>631</v>
      </c>
      <c r="X82" s="53">
        <v>0</v>
      </c>
      <c r="Y82" s="53" t="s">
        <v>631</v>
      </c>
      <c r="Z82" s="53" t="s">
        <v>631</v>
      </c>
      <c r="AA82" s="53" t="s">
        <v>631</v>
      </c>
      <c r="AB82" s="42">
        <f>IF(J82&lt;=0.04,0,IF((BA82-AL82*BF$4*炼钢参数表!$X$5/1000-AM82*BG$4*炼钢参数表!$X$5/1000)&lt;=0.03,0,IF((J82/100/0.1769/炼钢参数表!K83*1000)&gt;(K82-炼钢参数表!J83)/100/0.6566/炼钢参数表!L83*1000,IF(K82&lt;1.6,(K82-炼钢参数表!J83)/100/0.6566/炼钢参数表!L83*1000,(K82-0.08-炼钢参数表!J83)/100/0.6566/炼钢参数表!L83*1000),IF(K82&lt;1.6,J82/100/0.1769/炼钢参数表!K83*1000,(J82-0.08)/100/0.1769/炼钢参数表!K83*1000))))</f>
        <v>9.1742453911201896</v>
      </c>
      <c r="AC82" s="8">
        <f>IF((BA82-AB82*$BB$4*0.9/1000-AL82*BF$4*炼钢参数表!$X$5/1000-AM82*BG$4*炼钢参数表!$X$5/1000)&lt;(K82-炼钢参数表!J83-AB82*0.6566*炼钢参数表!L83/10)*0.082,0,(K82-炼钢参数表!J83-AB82*0.6566*炼钢参数表!L83/10)/100/($AC$3/100)/炼钢参数表!L83*1000)</f>
        <v>0</v>
      </c>
      <c r="AD82" s="8">
        <f>IF((BA82-AB82*$BB$4*0.9/1000-AC82*$BC$4*0.9/1000-AL82*BF$4*炼钢参数表!$X$5/1000-AM82*BG$4*炼钢参数表!$X$5/1000)&lt;=(K82-炼钢参数表!J83-AB82*0.6566*炼钢参数表!L83/10-AC82*($AC$3/100)*炼钢参数表!L83/10)*0.02,0,((K82-炼钢参数表!J83-AB82*0.6566*炼钢参数表!L83/10-AC82*($AC$3/100)*炼钢参数表!L83/10)/100/($AD$3/100)/炼钢参数表!L83*1000))</f>
        <v>0</v>
      </c>
      <c r="AE82" s="8">
        <f>(K82-炼钢参数表!J83-AB82*0.6566*炼钢参数表!L83/10-AC82*($AC$3/100)*炼钢参数表!L83/10-AD82*($AD$3/100)*炼钢参数表!L83/10)/100/($AE$3/100)/炼钢参数表!L83*1000</f>
        <v>0</v>
      </c>
      <c r="AF82" s="8">
        <v>0</v>
      </c>
      <c r="AG82" s="8">
        <f>IF(J82&lt;=0.04,0,((J82-(AB82*0.1769*炼钢参数表!K83/1000*100))/100/炼钢参数表!K83/($AG$3/100)*1000))</f>
        <v>0.34899071066155002</v>
      </c>
      <c r="AH82" s="8">
        <v>1.4</v>
      </c>
      <c r="AI82" s="8">
        <f>IF(N82="",0,IF(N82&lt;=0.002,0,((N82)/100)/($AI$3/100)/炼钢参数表!M82*1000))</f>
        <v>0</v>
      </c>
      <c r="AJ82" s="8">
        <f>IF(O82="",0,IF(O82&lt;=0.002,0,((O82)/100)/($AJ$3/100)/炼钢参数表!N82*1000))</f>
        <v>0</v>
      </c>
      <c r="AK82" s="8">
        <f>IF(P82="",0,IF(P82&lt;=0.002,0,((P82+0.005)/100)/($AK$3/100)/炼钢参数表!O82*1000))</f>
        <v>0.69851913942442001</v>
      </c>
      <c r="AL82" s="8">
        <f>IF((BA82-J82*0.00003-K82*0.00024)&lt;=0.05,0,IF(T82="",0,IF(T82&lt;=0.03,0,IF(((BA82-J82*0.00003-K82*0.00024)-0.05)/0.18/100/($AL$3/100)/炼钢参数表!P83*1000&lt;=T82/100/($AL$3/100)/炼钢参数表!P83*1000,((BA82-J82*0.00003-K82*0.00024)-0.05)/0.18/100/($AL$3/100)/炼钢参数表!P83*1000,T82/100/($AL$3/100)/炼钢参数表!P83*1000))))</f>
        <v>0</v>
      </c>
      <c r="AM82" s="8">
        <f>IF(T82="",0,IF(T82&lt;=0.03,0,((T82-AL82*($AL$3/100)*炼钢参数表!P83/10)/100/($AM$3/100)/炼钢参数表!P83*1000)))</f>
        <v>0</v>
      </c>
      <c r="AN82" s="8">
        <f>IF(U82="",0,IF(U82&lt;=0.02,0,(U82/100)/($AN$3/100)/炼钢参数表!Q83*1000))</f>
        <v>0</v>
      </c>
      <c r="AO82" s="8">
        <f>IF(V82="",0,IF(V82&lt;=0.02,0,(V82/100)/($AO$3/100)/炼钢参数表!R83*1000))</f>
        <v>0</v>
      </c>
      <c r="AP82" s="8">
        <f>IF(W82="",0,IF(W82&lt;=0.02,0,(W82/100)/($AP$3/100)/炼钢参数表!S83*1000))</f>
        <v>0</v>
      </c>
      <c r="AQ82" s="8">
        <f>IF(X82="",0,IF(X82&lt;=0.0002,0,(X82/100)/($AQ$3/100)/炼钢参数表!T83*1000))</f>
        <v>0</v>
      </c>
      <c r="AR82" s="8">
        <f>IF(Y82="",0,IF(Y82&lt;=0.02,0,(Y82/100)/($AR$3/100)/炼钢参数表!U83*1000))</f>
        <v>0</v>
      </c>
      <c r="AS82" s="8">
        <f>IF(L82&lt;=0.04,0,((L82-0.04)/100)/($AS$3/100)/炼钢参数表!V83*1000)</f>
        <v>0</v>
      </c>
      <c r="AT82" s="8">
        <f>IF(M82&lt;=0.03,0,((M82-0.03)/100)/($AT$3/100)/炼钢参数表!W83*1000)</f>
        <v>0</v>
      </c>
      <c r="AU82" s="6"/>
      <c r="AV82" s="8">
        <f t="shared" si="6"/>
        <v>11.6217552412062</v>
      </c>
      <c r="AW82" s="8" cm="1">
        <f t="array" ref="AW82">SUMPRODUCT($AB$4:$AU$4,AB82:AU82)/1000</f>
        <v>99.664009207422694</v>
      </c>
      <c r="AX82" s="53"/>
      <c r="AY82" s="2" t="str">
        <f t="shared" si="7"/>
        <v>SS400-M</v>
      </c>
      <c r="AZ82" s="37">
        <f>VLOOKUP(AY82,炼钢参数表!$F$5:$J$1027,4,0)</f>
        <v>4.6666666666666697E-2</v>
      </c>
      <c r="BA82" s="37">
        <f t="shared" si="8"/>
        <v>0.12833333333333299</v>
      </c>
      <c r="BB82" s="37">
        <f>AB82*$BB$4*炼钢参数表!$X$5/1000</f>
        <v>1.4201731865454099E-2</v>
      </c>
      <c r="BC82" s="37">
        <f>AC82*$BC$4*炼钢参数表!$X$5/1000</f>
        <v>0</v>
      </c>
      <c r="BD82" s="37">
        <f>AD82*$BD$4*炼钢参数表!$X$5/1000</f>
        <v>0</v>
      </c>
      <c r="BE82" s="37">
        <f>AE82*$BE$4*炼钢参数表!$X$5/1000</f>
        <v>0</v>
      </c>
      <c r="BF82" s="37">
        <f>AL82*$BF$4*炼钢参数表!$X$5/1000</f>
        <v>0</v>
      </c>
      <c r="BG82" s="37">
        <f>AM82*$BG$4*炼钢参数表!$X$5/1000</f>
        <v>0</v>
      </c>
      <c r="BH82" s="37">
        <f t="shared" si="9"/>
        <v>1.4201731865454099E-2</v>
      </c>
      <c r="BI82" s="37">
        <f t="shared" si="10"/>
        <v>6.0868398532120803E-2</v>
      </c>
      <c r="BJ82" s="37">
        <f t="shared" si="11"/>
        <v>-0.114131601467879</v>
      </c>
      <c r="BK82" s="7"/>
      <c r="BL82" s="7"/>
    </row>
    <row r="83" spans="1:64" s="18" customFormat="1" x14ac:dyDescent="0.3">
      <c r="A83" s="21">
        <v>79</v>
      </c>
      <c r="B83" s="4" t="s">
        <v>136</v>
      </c>
      <c r="C83" s="4" t="s">
        <v>26</v>
      </c>
      <c r="D83" s="4">
        <v>3</v>
      </c>
      <c r="E83" s="4">
        <v>10</v>
      </c>
      <c r="F83" s="4" t="s">
        <v>137</v>
      </c>
      <c r="G83" s="50" t="s">
        <v>138</v>
      </c>
      <c r="H83" s="4">
        <v>1515</v>
      </c>
      <c r="I83" s="51">
        <v>0.16</v>
      </c>
      <c r="J83" s="52">
        <v>0.15</v>
      </c>
      <c r="K83" s="52">
        <v>0.9</v>
      </c>
      <c r="L83" s="51">
        <v>1.4999999999999999E-2</v>
      </c>
      <c r="M83" s="51">
        <v>0.01</v>
      </c>
      <c r="N83" s="51"/>
      <c r="O83" s="51"/>
      <c r="P83" s="51">
        <v>4.4999999999999998E-2</v>
      </c>
      <c r="Q83" s="51">
        <v>0.02</v>
      </c>
      <c r="R83" s="51" t="s">
        <v>631</v>
      </c>
      <c r="S83" s="32"/>
      <c r="T83" s="52"/>
      <c r="U83" s="52"/>
      <c r="V83" s="52"/>
      <c r="W83" s="52"/>
      <c r="X83" s="32" t="s">
        <v>631</v>
      </c>
      <c r="Y83" s="53" t="s">
        <v>631</v>
      </c>
      <c r="Z83" s="4">
        <v>45</v>
      </c>
      <c r="AA83" s="53" t="s">
        <v>631</v>
      </c>
      <c r="AB83" s="42">
        <f>IF(J83&lt;=0.04,0,IF((BA83-AL83*BF$4*炼钢参数表!$X$5/1000-AM83*BG$4*炼钢参数表!$X$5/1000)&lt;=0.03,0,IF((J83/100/0.1769/炼钢参数表!K83*1000)&gt;(K83-炼钢参数表!J83)/100/0.6566/炼钢参数表!L83*1000,IF(K83&lt;1.6,(K83-炼钢参数表!J83)/100/0.6566/炼钢参数表!L83*1000,(K83-0.08-炼钢参数表!J83)/100/0.6566/炼钢参数表!L83*1000),IF(K83&lt;1.6,J83/100/0.1769/炼钢参数表!K83*1000,(J83-0.08)/100/0.1769/炼钢参数表!K83*1000))))</f>
        <v>10.5992085924251</v>
      </c>
      <c r="AC83" s="8">
        <f>IF((BA83-AB83*$BB$4*0.9/1000-AL83*BF$4*炼钢参数表!$X$5/1000-AM83*BG$4*炼钢参数表!$X$5/1000)&lt;(K83-炼钢参数表!J83-AB83*0.6566*炼钢参数表!L83/10)*0.082,0,(K83-炼钢参数表!J83-AB83*0.6566*炼钢参数表!L83/10)/100/($AC$3/100)/炼钢参数表!L83*1000)</f>
        <v>1.4814818881418399</v>
      </c>
      <c r="AD83" s="8">
        <f>IF((BA83-AB83*$BB$4*0.9/1000-AC83*$BC$4*0.9/1000-AL83*BF$4*炼钢参数表!$X$5/1000-AM83*BG$4*炼钢参数表!$X$5/1000)&lt;=(K83-炼钢参数表!J83-AB83*0.6566*炼钢参数表!L83/10-AC83*($AC$3/100)*炼钢参数表!L83/10)*0.02,0,((K83-炼钢参数表!J83-AB83*0.6566*炼钢参数表!L83/10-AC83*($AC$3/100)*炼钢参数表!L83/10)/100/($AD$3/100)/炼钢参数表!L83*1000))</f>
        <v>0</v>
      </c>
      <c r="AE83" s="8">
        <f>(K83-炼钢参数表!J83-AB83*0.6566*炼钢参数表!L83/10-AC83*($AC$3/100)*炼钢参数表!L83/10-AD83*($AD$3/100)*炼钢参数表!L83/10)/100/($AE$3/100)/炼钢参数表!L83*1000</f>
        <v>0</v>
      </c>
      <c r="AF83" s="8">
        <v>0</v>
      </c>
      <c r="AG83" s="8">
        <f>IF(J83&lt;=0.04,0,((J83-(AB83*0.1769*炼钢参数表!K83/1000*100))/100/炼钢参数表!K83/($AG$3/100)*1000))</f>
        <v>0</v>
      </c>
      <c r="AH83" s="8">
        <v>1.4</v>
      </c>
      <c r="AI83" s="8">
        <f>IF(N83="",0,IF(N83&lt;=0.002,0,((N83)/100)/($AI$3/100)/炼钢参数表!M83*1000))</f>
        <v>0</v>
      </c>
      <c r="AJ83" s="8">
        <f>IF(O83="",0,IF(O83&lt;=0.002,0,((O83)/100)/($AJ$3/100)/炼钢参数表!N83*1000))</f>
        <v>0</v>
      </c>
      <c r="AK83" s="8">
        <f>IF(P83="",0,IF(P83&lt;=0.002,0,((P83+0.005)/100)/($AK$3/100)/炼钢参数表!O83*1000))</f>
        <v>0.99788448489202897</v>
      </c>
      <c r="AL83" s="8">
        <f>IF((BA83-J83*0.00003-K83*0.00024)&lt;=0.05,0,IF(T83="",0,IF(T83&lt;=0.03,0,IF(((BA83-J83*0.00003-K83*0.00024)-0.05)/0.18/100/($AL$3/100)/炼钢参数表!P83*1000&lt;=T83/100/($AL$3/100)/炼钢参数表!P83*1000,((BA83-J83*0.00003-K83*0.00024)-0.05)/0.18/100/($AL$3/100)/炼钢参数表!P83*1000,T83/100/($AL$3/100)/炼钢参数表!P83*1000))))</f>
        <v>0</v>
      </c>
      <c r="AM83" s="8">
        <f>IF(T83="",0,IF(T83&lt;=0.03,0,((T83-AL83*($AL$3/100)*炼钢参数表!P83/10)/100/($AM$3/100)/炼钢参数表!P83*1000)))</f>
        <v>0</v>
      </c>
      <c r="AN83" s="8">
        <f>IF(U83="",0,IF(U83&lt;=0.02,0,(U83/100)/($AN$3/100)/炼钢参数表!Q83*1000))</f>
        <v>0</v>
      </c>
      <c r="AO83" s="8">
        <f>IF(V83="",0,IF(V83&lt;=0.02,0,(V83/100)/($AO$3/100)/炼钢参数表!R83*1000))</f>
        <v>0</v>
      </c>
      <c r="AP83" s="8">
        <f>IF(W83="",0,IF(W83&lt;=0.02,0,(W83/100)/($AP$3/100)/炼钢参数表!S83*1000))</f>
        <v>0</v>
      </c>
      <c r="AQ83" s="8">
        <f>IF(X83="",0,IF(X83&lt;=0.0002,0,(X83/100)/($AQ$3/100)/炼钢参数表!T83*1000))</f>
        <v>0</v>
      </c>
      <c r="AR83" s="8">
        <f>IF(Y83="",0,IF(Y83&lt;=0.02,0,(Y83/100)/($AR$3/100)/炼钢参数表!U83*1000))</f>
        <v>0</v>
      </c>
      <c r="AS83" s="8">
        <f>IF(L83&lt;=0.04,0,((L83-0.04)/100)/($AS$3/100)/炼钢参数表!V83*1000)</f>
        <v>0</v>
      </c>
      <c r="AT83" s="8">
        <f>IF(M83&lt;=0.03,0,((M83-0.03)/100)/($AT$3/100)/炼钢参数表!W83*1000)</f>
        <v>0</v>
      </c>
      <c r="AU83" s="6"/>
      <c r="AV83" s="8">
        <f t="shared" si="6"/>
        <v>14.478574965459</v>
      </c>
      <c r="AW83" s="8" cm="1">
        <f t="array" ref="AW83">SUMPRODUCT($AB$4:$AU$4,AB83:AU83)/1000</f>
        <v>121.744715005874</v>
      </c>
      <c r="AX83" s="53"/>
      <c r="AY83" s="2" t="str">
        <f t="shared" si="7"/>
        <v>Q390B-1</v>
      </c>
      <c r="AZ83" s="37">
        <f>VLOOKUP(AY83,炼钢参数表!$F$5:$J$1027,4,0)</f>
        <v>6.0666666666666702E-2</v>
      </c>
      <c r="BA83" s="37">
        <f t="shared" si="8"/>
        <v>9.9333333333333301E-2</v>
      </c>
      <c r="BB83" s="37">
        <f>AB83*$BB$4*炼钢参数表!$X$5/1000</f>
        <v>1.6407574901074098E-2</v>
      </c>
      <c r="BC83" s="37">
        <f>AC83*$BC$4*炼钢参数表!$X$5/1000</f>
        <v>8.9200024485020304E-3</v>
      </c>
      <c r="BD83" s="37">
        <f>AD83*$BD$4*炼钢参数表!$X$5/1000</f>
        <v>0</v>
      </c>
      <c r="BE83" s="37">
        <f>AE83*$BE$4*炼钢参数表!$X$5/1000</f>
        <v>0</v>
      </c>
      <c r="BF83" s="37">
        <f>AL83*$BF$4*炼钢参数表!$X$5/1000</f>
        <v>0</v>
      </c>
      <c r="BG83" s="37">
        <f>AM83*$BG$4*炼钢参数表!$X$5/1000</f>
        <v>0</v>
      </c>
      <c r="BH83" s="37">
        <f t="shared" si="9"/>
        <v>2.5327577349576101E-2</v>
      </c>
      <c r="BI83" s="37">
        <f t="shared" si="10"/>
        <v>8.5994244016242796E-2</v>
      </c>
      <c r="BJ83" s="37">
        <f t="shared" si="11"/>
        <v>-7.4005755983757193E-2</v>
      </c>
      <c r="BK83" s="7"/>
      <c r="BL83" s="7"/>
    </row>
    <row r="84" spans="1:64" s="18" customFormat="1" x14ac:dyDescent="0.3">
      <c r="A84" s="21">
        <v>80</v>
      </c>
      <c r="B84" s="60" t="s">
        <v>136</v>
      </c>
      <c r="C84" s="60" t="s">
        <v>90</v>
      </c>
      <c r="D84" s="60">
        <v>10.01</v>
      </c>
      <c r="E84" s="60">
        <v>16.5</v>
      </c>
      <c r="F84" s="60" t="s">
        <v>139</v>
      </c>
      <c r="G84" s="61" t="s">
        <v>138</v>
      </c>
      <c r="H84" s="60">
        <v>1515</v>
      </c>
      <c r="I84" s="62">
        <v>0.16</v>
      </c>
      <c r="J84" s="63">
        <v>0.15</v>
      </c>
      <c r="K84" s="63">
        <v>1.05</v>
      </c>
      <c r="L84" s="62">
        <v>1.4999999999999999E-2</v>
      </c>
      <c r="M84" s="62">
        <v>0.01</v>
      </c>
      <c r="N84" s="62"/>
      <c r="O84" s="62"/>
      <c r="P84" s="62">
        <v>4.4999999999999998E-2</v>
      </c>
      <c r="Q84" s="62">
        <v>0.02</v>
      </c>
      <c r="R84" s="62" t="s">
        <v>631</v>
      </c>
      <c r="S84" s="64"/>
      <c r="T84" s="63"/>
      <c r="U84" s="63"/>
      <c r="V84" s="63"/>
      <c r="W84" s="63"/>
      <c r="X84" s="64" t="s">
        <v>631</v>
      </c>
      <c r="Y84" s="65" t="s">
        <v>631</v>
      </c>
      <c r="Z84" s="60">
        <v>45</v>
      </c>
      <c r="AA84" s="65" t="s">
        <v>631</v>
      </c>
      <c r="AB84" s="66">
        <f>IF(J84&lt;=0.04,0,IF((BA84-AL84*BF$4*炼钢参数表!$X$5/1000-AM84*BG$4*炼钢参数表!$X$5/1000)&lt;=0.03,0,IF((J84/100/0.1769/炼钢参数表!K84*1000)&gt;(K84-炼钢参数表!J84)/100/0.6566/炼钢参数表!L84*1000,IF(K84&lt;1.6,(K84-炼钢参数表!J84)/100/0.6566/炼钢参数表!L84*1000,(K84-0.08-炼钢参数表!J84)/100/0.6566/炼钢参数表!L84*1000),IF(K84&lt;1.6,J84/100/0.1769/炼钢参数表!K84*1000,(J84-0.08)/100/0.1769/炼钢参数表!K84*1000))))</f>
        <v>10.5992085924251</v>
      </c>
      <c r="AC84" s="67">
        <f>IF((BA84-AB84*$BB$4*0.9/1000-AL84*BF$4*炼钢参数表!$X$5/1000-AM84*BG$4*炼钢参数表!$X$5/1000)&lt;(K84-炼钢参数表!J84-AB84*0.6566*炼钢参数表!L84/10)*0.082,0,(K84-炼钢参数表!J84-AB84*0.6566*炼钢参数表!L84/10)/100/($AC$3/100)/炼钢参数表!L84*1000)</f>
        <v>3.4755771133633102</v>
      </c>
      <c r="AD84" s="67">
        <f>IF((BA84-AB84*$BB$4*0.9/1000-AC84*$BC$4*0.9/1000-AL84*BF$4*炼钢参数表!$X$5/1000-AM84*BG$4*炼钢参数表!$X$5/1000)&lt;=(K84-炼钢参数表!J84-AB84*0.6566*炼钢参数表!L84/10-AC84*($AC$3/100)*炼钢参数表!L84/10)*0.02,0,((K84-炼钢参数表!J84-AB84*0.6566*炼钢参数表!L84/10-AC84*($AC$3/100)*炼钢参数表!L84/10)/100/($AD$3/100)/炼钢参数表!L84*1000))</f>
        <v>0</v>
      </c>
      <c r="AE84" s="67">
        <f>(K84-炼钢参数表!J84-AB84*0.6566*炼钢参数表!L84/10-AC84*($AC$3/100)*炼钢参数表!L84/10-AD84*($AD$3/100)*炼钢参数表!L84/10)/100/($AE$3/100)/炼钢参数表!L84*1000</f>
        <v>0</v>
      </c>
      <c r="AF84" s="8">
        <v>0</v>
      </c>
      <c r="AG84" s="67">
        <f>IF(J84&lt;=0.04,0,((J84-(AB84*0.1769*炼钢参数表!K84/1000*100))/100/炼钢参数表!K84/($AG$3/100)*1000))</f>
        <v>0</v>
      </c>
      <c r="AH84" s="67">
        <v>1.33</v>
      </c>
      <c r="AI84" s="8">
        <f>IF(N84="",0,IF(N84&lt;=0.002,0,((N84)/100)/($AI$3/100)/炼钢参数表!M84*1000))</f>
        <v>0</v>
      </c>
      <c r="AJ84" s="8">
        <f>IF(O84="",0,IF(O84&lt;=0.002,0,((O84)/100)/($AJ$3/100)/炼钢参数表!N84*1000))</f>
        <v>0</v>
      </c>
      <c r="AK84" s="8">
        <f>IF(P84="",0,IF(P84&lt;=0.002,0,((P84+0.005)/100)/($AK$3/100)/炼钢参数表!O84*1000))</f>
        <v>0.99788448489202897</v>
      </c>
      <c r="AL84" s="67">
        <f>IF((BA84-J84*0.00003-K84*0.00024)&lt;=0.05,0,IF(T84="",0,IF(T84&lt;=0.03,0,IF(((BA84-J84*0.00003-K84*0.00024)-0.05)/0.18/100/($AL$3/100)/炼钢参数表!P84*1000&lt;=T84/100/($AL$3/100)/炼钢参数表!P84*1000,((BA84-J84*0.00003-K84*0.00024)-0.05)/0.18/100/($AL$3/100)/炼钢参数表!P84*1000,T84/100/($AL$3/100)/炼钢参数表!P84*1000))))</f>
        <v>0</v>
      </c>
      <c r="AM84" s="67">
        <f>IF(T84="",0,IF(T84&lt;=0.03,0,((T84-AL84*($AL$3/100)*炼钢参数表!P84/10)/100/($AM$3/100)/炼钢参数表!P84*1000)))</f>
        <v>0</v>
      </c>
      <c r="AN84" s="67">
        <f>IF(U84="",0,IF(U84&lt;=0.02,0,(U84/100)/($AN$3/100)/炼钢参数表!Q84*1000))</f>
        <v>0</v>
      </c>
      <c r="AO84" s="67">
        <f>IF(V84="",0,IF(V84&lt;=0.02,0,(V84/100)/($AO$3/100)/炼钢参数表!R84*1000))</f>
        <v>0</v>
      </c>
      <c r="AP84" s="67">
        <f>IF(W84="",0,IF(W84&lt;=0.02,0,(W84/100)/($AP$3/100)/炼钢参数表!S84*1000))</f>
        <v>0</v>
      </c>
      <c r="AQ84" s="67">
        <f>IF(X84="",0,IF(X84&lt;=0.0002,0,(X84/100)/($AQ$3/100)/炼钢参数表!T84*1000))</f>
        <v>0</v>
      </c>
      <c r="AR84" s="67">
        <f>IF(Y84="",0,IF(Y84&lt;=0.02,0,(Y84/100)/($AR$3/100)/炼钢参数表!U84*1000))</f>
        <v>0</v>
      </c>
      <c r="AS84" s="67">
        <f>IF(L84&lt;=0.04,0,((L84-0.04)/100)/($AS$3/100)/炼钢参数表!V84*1000)</f>
        <v>0</v>
      </c>
      <c r="AT84" s="67">
        <f>IF(M84&lt;=0.03,0,((M84-0.03)/100)/($AT$3/100)/炼钢参数表!W84*1000)</f>
        <v>0</v>
      </c>
      <c r="AU84" s="68"/>
      <c r="AV84" s="67">
        <f t="shared" si="6"/>
        <v>16.4026701906804</v>
      </c>
      <c r="AW84" s="67" cm="1">
        <f t="array" ref="AW84">SUMPRODUCT($AB$4:$AU$4,AB84:AU84)/1000</f>
        <v>132.233918889292</v>
      </c>
      <c r="AY84" s="16" t="str">
        <f t="shared" si="7"/>
        <v>Q390B-2</v>
      </c>
      <c r="AZ84" s="48">
        <f>VLOOKUP(AY84,炼钢参数表!$F$5:$J$1027,4,0)</f>
        <v>6.4823529411764697E-2</v>
      </c>
      <c r="BA84" s="48">
        <f t="shared" si="8"/>
        <v>9.5176470588235307E-2</v>
      </c>
      <c r="BB84" s="48">
        <f>AB84*$BB$4*炼钢参数表!$X$5/1000</f>
        <v>1.6407574901074098E-2</v>
      </c>
      <c r="BC84" s="48">
        <f>AC84*$BC$4*炼钢参数表!$X$5/1000</f>
        <v>2.0926449799560501E-2</v>
      </c>
      <c r="BD84" s="48">
        <f>AD84*$BD$4*炼钢参数表!$X$5/1000</f>
        <v>0</v>
      </c>
      <c r="BE84" s="48">
        <f>AE84*$BE$4*炼钢参数表!$X$5/1000</f>
        <v>0</v>
      </c>
      <c r="BF84" s="48">
        <f>AL84*$BF$4*炼钢参数表!$X$5/1000</f>
        <v>0</v>
      </c>
      <c r="BG84" s="48">
        <f>AM84*$BG$4*炼钢参数表!$X$5/1000</f>
        <v>0</v>
      </c>
      <c r="BH84" s="48">
        <f t="shared" si="9"/>
        <v>3.7334024700634502E-2</v>
      </c>
      <c r="BI84" s="48">
        <f t="shared" si="10"/>
        <v>0.102157554112399</v>
      </c>
      <c r="BJ84" s="48">
        <f t="shared" si="11"/>
        <v>-5.7842445887600798E-2</v>
      </c>
      <c r="BK84" s="69"/>
      <c r="BL84" s="70"/>
    </row>
    <row r="85" spans="1:64" s="18" customFormat="1" x14ac:dyDescent="0.3">
      <c r="A85" s="21">
        <v>81</v>
      </c>
      <c r="B85" s="4" t="s">
        <v>136</v>
      </c>
      <c r="C85" s="4" t="s">
        <v>23</v>
      </c>
      <c r="D85" s="4">
        <v>16.510000000000002</v>
      </c>
      <c r="E85" s="4">
        <v>28</v>
      </c>
      <c r="F85" s="4" t="s">
        <v>140</v>
      </c>
      <c r="G85" s="50" t="s">
        <v>138</v>
      </c>
      <c r="H85" s="4">
        <v>1515</v>
      </c>
      <c r="I85" s="51">
        <v>0.16</v>
      </c>
      <c r="J85" s="52">
        <v>0.15</v>
      </c>
      <c r="K85" s="52">
        <v>1.1000000000000001</v>
      </c>
      <c r="L85" s="51">
        <v>1.4999999999999999E-2</v>
      </c>
      <c r="M85" s="51">
        <v>6.0000000000000001E-3</v>
      </c>
      <c r="N85" s="51"/>
      <c r="O85" s="51">
        <v>1.4999999999999999E-2</v>
      </c>
      <c r="P85" s="51">
        <v>0.04</v>
      </c>
      <c r="Q85" s="51">
        <v>0.02</v>
      </c>
      <c r="R85" s="51" t="s">
        <v>631</v>
      </c>
      <c r="S85" s="32"/>
      <c r="T85" s="52"/>
      <c r="U85" s="52"/>
      <c r="V85" s="52"/>
      <c r="W85" s="52"/>
      <c r="X85" s="32" t="s">
        <v>631</v>
      </c>
      <c r="Y85" s="53" t="s">
        <v>631</v>
      </c>
      <c r="Z85" s="4">
        <v>45</v>
      </c>
      <c r="AA85" s="53" t="s">
        <v>631</v>
      </c>
      <c r="AB85" s="42">
        <f>IF(J85&lt;=0.04,0,IF((BA85-AL85*BF$4*炼钢参数表!$X$5/1000-AM85*BG$4*炼钢参数表!$X$5/1000)&lt;=0.03,0,IF((J85/100/0.1769/炼钢参数表!K85*1000)&gt;(K85-炼钢参数表!J85)/100/0.6566/炼钢参数表!L85*1000,IF(K85&lt;1.6,(K85-炼钢参数表!J85)/100/0.6566/炼钢参数表!L85*1000,(K85-0.08-炼钢参数表!J85)/100/0.6566/炼钢参数表!L85*1000),IF(K85&lt;1.6,J85/100/0.1769/炼钢参数表!K85*1000,(J85-0.08)/100/0.1769/炼钢参数表!K85*1000))))</f>
        <v>10.5992085924251</v>
      </c>
      <c r="AC85" s="8">
        <f>IF((BA85-AB85*$BB$4*0.9/1000-AL85*BF$4*炼钢参数表!$X$5/1000-AM85*BG$4*炼钢参数表!$X$5/1000)&lt;(K85-炼钢参数表!J85-AB85*0.6566*炼钢参数表!L85/10)*0.082,0,(K85-炼钢参数表!J85-AB85*0.6566*炼钢参数表!L85/10)/100/($AC$3/100)/炼钢参数表!L85*1000)</f>
        <v>4.0647862468134504</v>
      </c>
      <c r="AD85" s="8">
        <f>IF((BA85-AB85*$BB$4*0.9/1000-AC85*$BC$4*0.9/1000-AL85*BF$4*炼钢参数表!$X$5/1000-AM85*BG$4*炼钢参数表!$X$5/1000)&lt;=(K85-炼钢参数表!J85-AB85*0.6566*炼钢参数表!L85/10-AC85*($AC$3/100)*炼钢参数表!L85/10)*0.02,0,((K85-炼钢参数表!J85-AB85*0.6566*炼钢参数表!L85/10-AC85*($AC$3/100)*炼钢参数表!L85/10)/100/($AD$3/100)/炼钢参数表!L85*1000))</f>
        <v>0</v>
      </c>
      <c r="AE85" s="8">
        <f>(K85-炼钢参数表!J85-AB85*0.6566*炼钢参数表!L85/10-AC85*($AC$3/100)*炼钢参数表!L85/10-AD85*($AD$3/100)*炼钢参数表!L85/10)/100/($AE$3/100)/炼钢参数表!L85*1000</f>
        <v>0</v>
      </c>
      <c r="AF85" s="8">
        <v>0</v>
      </c>
      <c r="AG85" s="8">
        <f>IF(J85&lt;=0.04,0,((J85-(AB85*0.1769*炼钢参数表!K85/1000*100))/100/炼钢参数表!K85/($AG$3/100)*1000))</f>
        <v>0</v>
      </c>
      <c r="AH85" s="8">
        <v>1.33</v>
      </c>
      <c r="AI85" s="8">
        <f>IF(N85="",0,IF(N85&lt;=0.002,0,((N85)/100)/($AI$3/100)/炼钢参数表!M85*1000))</f>
        <v>0</v>
      </c>
      <c r="AJ85" s="8">
        <f>IF(O85="",0,IF(O85&lt;=0.002,0,((O85)/100)/($AJ$3/100)/炼钢参数表!N85*1000))</f>
        <v>0.23533398599292099</v>
      </c>
      <c r="AK85" s="8">
        <f>IF(P85="",0,IF(P85&lt;=0.002,0,((P85+0.005)/100)/($AK$3/100)/炼钢参数表!O85*1000))</f>
        <v>0.89809603640282598</v>
      </c>
      <c r="AL85" s="8">
        <f>IF((BA85-J85*0.00003-K85*0.00024)&lt;=0.05,0,IF(T85="",0,IF(T85&lt;=0.03,0,IF(((BA85-J85*0.00003-K85*0.00024)-0.05)/0.18/100/($AL$3/100)/炼钢参数表!P85*1000&lt;=T85/100/($AL$3/100)/炼钢参数表!P85*1000,((BA85-J85*0.00003-K85*0.00024)-0.05)/0.18/100/($AL$3/100)/炼钢参数表!P85*1000,T85/100/($AL$3/100)/炼钢参数表!P85*1000))))</f>
        <v>0</v>
      </c>
      <c r="AM85" s="8">
        <f>IF(T85="",0,IF(T85&lt;=0.03,0,((T85-AL85*($AL$3/100)*炼钢参数表!P85/10)/100/($AM$3/100)/炼钢参数表!P85*1000)))</f>
        <v>0</v>
      </c>
      <c r="AN85" s="8">
        <f>IF(U85="",0,IF(U85&lt;=0.02,0,(U85/100)/($AN$3/100)/炼钢参数表!Q85*1000))</f>
        <v>0</v>
      </c>
      <c r="AO85" s="8">
        <f>IF(V85="",0,IF(V85&lt;=0.02,0,(V85/100)/($AO$3/100)/炼钢参数表!R85*1000))</f>
        <v>0</v>
      </c>
      <c r="AP85" s="8">
        <f>IF(W85="",0,IF(W85&lt;=0.02,0,(W85/100)/($AP$3/100)/炼钢参数表!S85*1000))</f>
        <v>0</v>
      </c>
      <c r="AQ85" s="8">
        <f>IF(X85="",0,IF(X85&lt;=0.0002,0,(X85/100)/($AQ$3/100)/炼钢参数表!T85*1000))</f>
        <v>0</v>
      </c>
      <c r="AR85" s="8">
        <f>IF(Y85="",0,IF(Y85&lt;=0.02,0,(Y85/100)/($AR$3/100)/炼钢参数表!U85*1000))</f>
        <v>0</v>
      </c>
      <c r="AS85" s="8">
        <f>IF(L85&lt;=0.04,0,((L85-0.04)/100)/($AS$3/100)/炼钢参数表!V85*1000)</f>
        <v>0</v>
      </c>
      <c r="AT85" s="8">
        <f>IF(M85&lt;=0.03,0,((M85-0.03)/100)/($AT$3/100)/炼钢参数表!W85*1000)</f>
        <v>0</v>
      </c>
      <c r="AU85" s="6"/>
      <c r="AV85" s="8">
        <f t="shared" si="6"/>
        <v>17.127424861634299</v>
      </c>
      <c r="AW85" s="8" cm="1">
        <f t="array" ref="AW85">SUMPRODUCT($AB$4:$AU$4,AB85:AU85)/1000</f>
        <v>184.078575016359</v>
      </c>
      <c r="AY85" s="2" t="str">
        <f t="shared" si="7"/>
        <v>Q390B-3</v>
      </c>
      <c r="AZ85" s="37">
        <f>VLOOKUP(AY85,炼钢参数表!$F$5:$J$1027,4,0)</f>
        <v>7.0193548387096794E-2</v>
      </c>
      <c r="BA85" s="37">
        <f t="shared" si="8"/>
        <v>8.9806451612903196E-2</v>
      </c>
      <c r="BB85" s="37">
        <f>AB85*$BB$4*炼钢参数表!$X$5/1000</f>
        <v>1.6407574901074098E-2</v>
      </c>
      <c r="BC85" s="37">
        <f>AC85*$BC$4*炼钢参数表!$X$5/1000</f>
        <v>2.4474077992063799E-2</v>
      </c>
      <c r="BD85" s="37">
        <f>AD85*$BD$4*炼钢参数表!$X$5/1000</f>
        <v>0</v>
      </c>
      <c r="BE85" s="37">
        <f>AE85*$BE$4*炼钢参数表!$X$5/1000</f>
        <v>0</v>
      </c>
      <c r="BF85" s="37">
        <f>AL85*$BF$4*炼钢参数表!$X$5/1000</f>
        <v>0</v>
      </c>
      <c r="BG85" s="37">
        <f>AM85*$BG$4*炼钢参数表!$X$5/1000</f>
        <v>0</v>
      </c>
      <c r="BH85" s="37">
        <f t="shared" si="9"/>
        <v>4.0881652893137797E-2</v>
      </c>
      <c r="BI85" s="37">
        <f t="shared" si="10"/>
        <v>0.111075201280235</v>
      </c>
      <c r="BJ85" s="37">
        <f t="shared" si="11"/>
        <v>-4.8924798719765399E-2</v>
      </c>
      <c r="BK85" s="54"/>
      <c r="BL85" s="7"/>
    </row>
    <row r="86" spans="1:64" s="18" customFormat="1" x14ac:dyDescent="0.3">
      <c r="A86" s="21">
        <v>82</v>
      </c>
      <c r="B86" s="4" t="s">
        <v>141</v>
      </c>
      <c r="C86" s="4" t="s">
        <v>23</v>
      </c>
      <c r="D86" s="4">
        <v>3</v>
      </c>
      <c r="E86" s="4">
        <v>10</v>
      </c>
      <c r="F86" s="4" t="s">
        <v>142</v>
      </c>
      <c r="G86" s="50" t="s">
        <v>143</v>
      </c>
      <c r="H86" s="4">
        <v>1516</v>
      </c>
      <c r="I86" s="51">
        <v>0.14000000000000001</v>
      </c>
      <c r="J86" s="52">
        <v>0.15</v>
      </c>
      <c r="K86" s="52">
        <v>1.1000000000000001</v>
      </c>
      <c r="L86" s="51">
        <v>1.4999999999999999E-2</v>
      </c>
      <c r="M86" s="51">
        <v>0.01</v>
      </c>
      <c r="N86" s="51"/>
      <c r="O86" s="51">
        <v>1.2E-2</v>
      </c>
      <c r="P86" s="51">
        <v>0.04</v>
      </c>
      <c r="Q86" s="51">
        <v>0.02</v>
      </c>
      <c r="R86" s="51" t="s">
        <v>631</v>
      </c>
      <c r="S86" s="32"/>
      <c r="T86" s="52"/>
      <c r="U86" s="52"/>
      <c r="V86" s="52"/>
      <c r="W86" s="52"/>
      <c r="X86" s="32" t="s">
        <v>631</v>
      </c>
      <c r="Y86" s="53" t="s">
        <v>631</v>
      </c>
      <c r="Z86" s="4">
        <v>45</v>
      </c>
      <c r="AA86" s="53"/>
      <c r="AB86" s="42">
        <f>IF(J86&lt;=0.04,0,IF((BA86-AL86*BF$4*炼钢参数表!$X$5/1000-AM86*BG$4*炼钢参数表!$X$5/1000)&lt;=0.03,0,IF((J86/100/0.1769/炼钢参数表!K86*1000)&gt;(K86-炼钢参数表!J86)/100/0.6566/炼钢参数表!L86*1000,IF(K86&lt;1.6,(K86-炼钢参数表!J86)/100/0.6566/炼钢参数表!L86*1000,(K86-0.08-炼钢参数表!J86)/100/0.6566/炼钢参数表!L86*1000),IF(K86&lt;1.6,J86/100/0.1769/炼钢参数表!K86*1000,(J86-0.08)/100/0.1769/炼钢参数表!K86*1000))))</f>
        <v>10.5992085924251</v>
      </c>
      <c r="AC86" s="8">
        <f>IF((BA86-AB86*$BB$4*0.9/1000-AL86*BF$4*炼钢参数表!$X$5/1000-AM86*BG$4*炼钢参数表!$X$5/1000)&lt;(K86-炼钢参数表!J86-AB86*0.6566*炼钢参数表!L86/10)*0.082,0,(K86-炼钢参数表!J86-AB86*0.6566*炼钢参数表!L86/10)/100/($AC$3/100)/炼钢参数表!L86*1000)</f>
        <v>4.1915574630201702</v>
      </c>
      <c r="AD86" s="8">
        <f>IF((BA86-AB86*$BB$4*0.9/1000-AC86*$BC$4*0.9/1000-AL86*BF$4*炼钢参数表!$X$5/1000-AM86*BG$4*炼钢参数表!$X$5/1000)&lt;=(K86-炼钢参数表!J86-AB86*0.6566*炼钢参数表!L86/10-AC86*($AC$3/100)*炼钢参数表!L86/10)*0.02,0,((K86-炼钢参数表!J86-AB86*0.6566*炼钢参数表!L86/10-AC86*($AC$3/100)*炼钢参数表!L86/10)/100/($AD$3/100)/炼钢参数表!L86*1000))</f>
        <v>0</v>
      </c>
      <c r="AE86" s="8">
        <f>(K86-炼钢参数表!J86-AB86*0.6566*炼钢参数表!L86/10-AC86*($AC$3/100)*炼钢参数表!L86/10-AD86*($AD$3/100)*炼钢参数表!L86/10)/100/($AE$3/100)/炼钢参数表!L86*1000</f>
        <v>0</v>
      </c>
      <c r="AF86" s="8">
        <v>0</v>
      </c>
      <c r="AG86" s="8">
        <f>IF(J86&lt;=0.04,0,((J86-(AB86*0.1769*炼钢参数表!K86/1000*100))/100/炼钢参数表!K86/($AG$3/100)*1000))</f>
        <v>0</v>
      </c>
      <c r="AH86" s="8">
        <v>1.3508811360283699</v>
      </c>
      <c r="AI86" s="8">
        <f>IF(N86="",0,IF(N86&lt;=0.002,0,((N86)/100)/($AI$3/100)/炼钢参数表!M86*1000))</f>
        <v>0</v>
      </c>
      <c r="AJ86" s="8">
        <f>IF(O86="",0,IF(O86&lt;=0.002,0,((O86)/100)/($AJ$3/100)/炼钢参数表!N86*1000))</f>
        <v>0.18826718879433699</v>
      </c>
      <c r="AK86" s="8">
        <f>IF(P86="",0,IF(P86&lt;=0.002,0,((P86+0.005)/100)/($AK$3/100)/炼钢参数表!O86*1000))</f>
        <v>0.89809603640282598</v>
      </c>
      <c r="AL86" s="8">
        <f>IF((BA86-J86*0.00003-K86*0.00024)&lt;=0.05,0,IF(T86="",0,IF(T86&lt;=0.03,0,IF(((BA86-J86*0.00003-K86*0.00024)-0.05)/0.18/100/($AL$3/100)/炼钢参数表!P86*1000&lt;=T86/100/($AL$3/100)/炼钢参数表!P86*1000,((BA86-J86*0.00003-K86*0.00024)-0.05)/0.18/100/($AL$3/100)/炼钢参数表!P86*1000,T86/100/($AL$3/100)/炼钢参数表!P86*1000))))</f>
        <v>0</v>
      </c>
      <c r="AM86" s="8">
        <f>IF(T86="",0,IF(T86&lt;=0.03,0,((T86-AL86*($AL$3/100)*炼钢参数表!P86/10)/100/($AM$3/100)/炼钢参数表!P86*1000)))</f>
        <v>0</v>
      </c>
      <c r="AN86" s="8">
        <f>IF(U86="",0,IF(U86&lt;=0.02,0,(U86/100)/($AN$3/100)/炼钢参数表!Q86*1000))</f>
        <v>0</v>
      </c>
      <c r="AO86" s="8">
        <f>IF(V86="",0,IF(V86&lt;=0.02,0,(V86/100)/($AO$3/100)/炼钢参数表!R86*1000))</f>
        <v>0</v>
      </c>
      <c r="AP86" s="8">
        <f>IF(W86="",0,IF(W86&lt;=0.02,0,(W86/100)/($AP$3/100)/炼钢参数表!S86*1000))</f>
        <v>0</v>
      </c>
      <c r="AQ86" s="8">
        <f>IF(X86="",0,IF(X86&lt;=0.0002,0,(X86/100)/($AQ$3/100)/炼钢参数表!T86*1000))</f>
        <v>0</v>
      </c>
      <c r="AR86" s="8">
        <f>IF(Y86="",0,IF(Y86&lt;=0.02,0,(Y86/100)/($AR$3/100)/炼钢参数表!U86*1000))</f>
        <v>0</v>
      </c>
      <c r="AS86" s="8">
        <f>IF(L86&lt;=0.04,0,((L86-0.04)/100)/($AS$3/100)/炼钢参数表!V86*1000)</f>
        <v>0</v>
      </c>
      <c r="AT86" s="8">
        <f>IF(M86&lt;=0.03,0,((M86-0.03)/100)/($AT$3/100)/炼钢参数表!W86*1000)</f>
        <v>0</v>
      </c>
      <c r="AU86" s="6"/>
      <c r="AV86" s="8">
        <f t="shared" si="6"/>
        <v>17.228010416670799</v>
      </c>
      <c r="AW86" s="8" cm="1">
        <f t="array" ref="AW86">SUMPRODUCT($AB$4:$AU$4,AB86:AU86)/1000</f>
        <v>175.174173594216</v>
      </c>
      <c r="AY86" s="2" t="str">
        <f t="shared" si="7"/>
        <v>Q420B-1</v>
      </c>
      <c r="AZ86" s="37">
        <f>VLOOKUP(AY86,炼钢参数表!$F$5:$J$1027,4,0)</f>
        <v>6.38461538461539E-2</v>
      </c>
      <c r="BA86" s="37">
        <f t="shared" si="8"/>
        <v>7.61538461538461E-2</v>
      </c>
      <c r="BB86" s="37">
        <f>AB86*$BB$4*炼钢参数表!$X$5/1000</f>
        <v>1.6407574901074098E-2</v>
      </c>
      <c r="BC86" s="37">
        <f>AC86*$BC$4*炼钢参数表!$X$5/1000</f>
        <v>2.5237367484844501E-2</v>
      </c>
      <c r="BD86" s="37">
        <f>AD86*$BD$4*炼钢参数表!$X$5/1000</f>
        <v>0</v>
      </c>
      <c r="BE86" s="37">
        <f>AE86*$BE$4*炼钢参数表!$X$5/1000</f>
        <v>0</v>
      </c>
      <c r="BF86" s="37">
        <f>AL86*$BF$4*炼钢参数表!$X$5/1000</f>
        <v>0</v>
      </c>
      <c r="BG86" s="37">
        <f>AM86*$BG$4*炼钢参数表!$X$5/1000</f>
        <v>0</v>
      </c>
      <c r="BH86" s="37">
        <f t="shared" si="9"/>
        <v>4.1644942385918503E-2</v>
      </c>
      <c r="BI86" s="37">
        <f t="shared" si="10"/>
        <v>0.10549109623207201</v>
      </c>
      <c r="BJ86" s="37">
        <f t="shared" si="11"/>
        <v>-3.4508903767927597E-2</v>
      </c>
      <c r="BK86" s="54"/>
      <c r="BL86" s="7"/>
    </row>
    <row r="87" spans="1:64" s="18" customFormat="1" x14ac:dyDescent="0.3">
      <c r="A87" s="21">
        <v>83</v>
      </c>
      <c r="B87" s="4" t="s">
        <v>141</v>
      </c>
      <c r="C87" s="4" t="s">
        <v>26</v>
      </c>
      <c r="D87" s="4">
        <v>10.01</v>
      </c>
      <c r="E87" s="4">
        <v>25</v>
      </c>
      <c r="F87" s="4" t="s">
        <v>144</v>
      </c>
      <c r="G87" s="50" t="s">
        <v>143</v>
      </c>
      <c r="H87" s="4">
        <v>1516</v>
      </c>
      <c r="I87" s="51">
        <v>0.14000000000000001</v>
      </c>
      <c r="J87" s="52">
        <v>0.15</v>
      </c>
      <c r="K87" s="52">
        <v>1.2</v>
      </c>
      <c r="L87" s="51">
        <v>1.4999999999999999E-2</v>
      </c>
      <c r="M87" s="51">
        <v>0.01</v>
      </c>
      <c r="N87" s="51"/>
      <c r="O87" s="51">
        <v>1.2E-2</v>
      </c>
      <c r="P87" s="51">
        <v>0.04</v>
      </c>
      <c r="Q87" s="51">
        <v>0.02</v>
      </c>
      <c r="R87" s="51" t="s">
        <v>631</v>
      </c>
      <c r="S87" s="32"/>
      <c r="T87" s="52"/>
      <c r="U87" s="52"/>
      <c r="V87" s="52"/>
      <c r="W87" s="52"/>
      <c r="X87" s="32" t="s">
        <v>631</v>
      </c>
      <c r="Y87" s="53" t="s">
        <v>631</v>
      </c>
      <c r="Z87" s="4">
        <v>45</v>
      </c>
      <c r="AA87" s="53"/>
      <c r="AB87" s="42">
        <f>IF(J87&lt;=0.04,0,IF((BA87-AL87*BF$4*炼钢参数表!$X$5/1000-AM87*BG$4*炼钢参数表!$X$5/1000)&lt;=0.03,0,IF((J87/100/0.1769/炼钢参数表!K87*1000)&gt;(K87-炼钢参数表!J87)/100/0.6566/炼钢参数表!L87*1000,IF(K87&lt;1.6,(K87-炼钢参数表!J87)/100/0.6566/炼钢参数表!L87*1000,(K87-0.08-炼钢参数表!J87)/100/0.6566/炼钢参数表!L87*1000),IF(K87&lt;1.6,J87/100/0.1769/炼钢参数表!K87*1000,(J87-0.08)/100/0.1769/炼钢参数表!K87*1000))))</f>
        <v>10.5992085924251</v>
      </c>
      <c r="AC87" s="8">
        <f>IF((BA87-AB87*$BB$4*0.9/1000-AL87*BF$4*炼钢参数表!$X$5/1000-AM87*BG$4*炼钢参数表!$X$5/1000)&lt;(K87-炼钢参数表!J87-AB87*0.6566*炼钢参数表!L87/10)*0.082,0,(K87-炼钢参数表!J87-AB87*0.6566*炼钢参数表!L87/10)/100/($AC$3/100)/炼钢参数表!L87*1000)</f>
        <v>5.54579848784386</v>
      </c>
      <c r="AD87" s="8">
        <f>IF((BA87-AB87*$BB$4*0.9/1000-AC87*$BC$4*0.9/1000-AL87*BF$4*炼钢参数表!$X$5/1000-AM87*BG$4*炼钢参数表!$X$5/1000)&lt;=(K87-炼钢参数表!J87-AB87*0.6566*炼钢参数表!L87/10-AC87*($AC$3/100)*炼钢参数表!L87/10)*0.02,0,((K87-炼钢参数表!J87-AB87*0.6566*炼钢参数表!L87/10-AC87*($AC$3/100)*炼钢参数表!L87/10)/100/($AD$3/100)/炼钢参数表!L87*1000))</f>
        <v>0</v>
      </c>
      <c r="AE87" s="8">
        <f>(K87-炼钢参数表!J87-AB87*0.6566*炼钢参数表!L87/10-AC87*($AC$3/100)*炼钢参数表!L87/10-AD87*($AD$3/100)*炼钢参数表!L87/10)/100/($AE$3/100)/炼钢参数表!L87*1000</f>
        <v>0</v>
      </c>
      <c r="AF87" s="8">
        <v>0</v>
      </c>
      <c r="AG87" s="8">
        <f>IF(J87&lt;=0.04,0,((J87-(AB87*0.1769*炼钢参数表!K87/1000*100))/100/炼钢参数表!K87/($AG$3/100)*1000))</f>
        <v>0</v>
      </c>
      <c r="AH87" s="8">
        <v>1.33</v>
      </c>
      <c r="AI87" s="8">
        <f>IF(N87="",0,IF(N87&lt;=0.002,0,((N87)/100)/($AI$3/100)/炼钢参数表!M87*1000))</f>
        <v>0</v>
      </c>
      <c r="AJ87" s="8">
        <f>IF(O87="",0,IF(O87&lt;=0.002,0,((O87)/100)/($AJ$3/100)/炼钢参数表!N87*1000))</f>
        <v>0.18826718879433699</v>
      </c>
      <c r="AK87" s="8">
        <f>IF(P87="",0,IF(P87&lt;=0.002,0,((P87+0.005)/100)/($AK$3/100)/炼钢参数表!O87*1000))</f>
        <v>0.89809603640282598</v>
      </c>
      <c r="AL87" s="8">
        <f>IF((BA87-J87*0.00003-K87*0.00024)&lt;=0.05,0,IF(T87="",0,IF(T87&lt;=0.03,0,IF(((BA87-J87*0.00003-K87*0.00024)-0.05)/0.18/100/($AL$3/100)/炼钢参数表!P87*1000&lt;=T87/100/($AL$3/100)/炼钢参数表!P87*1000,((BA87-J87*0.00003-K87*0.00024)-0.05)/0.18/100/($AL$3/100)/炼钢参数表!P87*1000,T87/100/($AL$3/100)/炼钢参数表!P87*1000))))</f>
        <v>0</v>
      </c>
      <c r="AM87" s="8">
        <f>IF(T87="",0,IF(T87&lt;=0.03,0,((T87-AL87*($AL$3/100)*炼钢参数表!P87/10)/100/($AM$3/100)/炼钢参数表!P87*1000)))</f>
        <v>0</v>
      </c>
      <c r="AN87" s="8">
        <f>IF(U87="",0,IF(U87&lt;=0.02,0,(U87/100)/($AN$3/100)/炼钢参数表!Q87*1000))</f>
        <v>0</v>
      </c>
      <c r="AO87" s="8">
        <f>IF(V87="",0,IF(V87&lt;=0.02,0,(V87/100)/($AO$3/100)/炼钢参数表!R87*1000))</f>
        <v>0</v>
      </c>
      <c r="AP87" s="8">
        <f>IF(W87="",0,IF(W87&lt;=0.02,0,(W87/100)/($AP$3/100)/炼钢参数表!S87*1000))</f>
        <v>0</v>
      </c>
      <c r="AQ87" s="8">
        <f>IF(X87="",0,IF(X87&lt;=0.0002,0,(X87/100)/($AQ$3/100)/炼钢参数表!T87*1000))</f>
        <v>0</v>
      </c>
      <c r="AR87" s="8">
        <f>IF(Y87="",0,IF(Y87&lt;=0.02,0,(Y87/100)/($AR$3/100)/炼钢参数表!U87*1000))</f>
        <v>0</v>
      </c>
      <c r="AS87" s="8">
        <f>IF(L87&lt;=0.04,0,((L87-0.04)/100)/($AS$3/100)/炼钢参数表!V87*1000)</f>
        <v>0</v>
      </c>
      <c r="AT87" s="8">
        <f>IF(M87&lt;=0.03,0,((M87-0.03)/100)/($AT$3/100)/炼钢参数表!W87*1000)</f>
        <v>0</v>
      </c>
      <c r="AU87" s="6"/>
      <c r="AV87" s="8">
        <f t="shared" si="6"/>
        <v>18.561370305466099</v>
      </c>
      <c r="AW87" s="8" cm="1">
        <f t="array" ref="AW87">SUMPRODUCT($AB$4:$AU$4,AB87:AU87)/1000</f>
        <v>182.89311646594501</v>
      </c>
      <c r="AY87" s="2" t="str">
        <f t="shared" si="7"/>
        <v>Q420B-2</v>
      </c>
      <c r="AZ87" s="37">
        <f>VLOOKUP(AY87,炼钢参数表!$F$5:$J$1027,4,0)</f>
        <v>5.9184782608695599E-2</v>
      </c>
      <c r="BA87" s="37">
        <f t="shared" si="8"/>
        <v>8.08152173913044E-2</v>
      </c>
      <c r="BB87" s="37">
        <f>AB87*$BB$4*炼钢参数表!$X$5/1000</f>
        <v>1.6407574901074098E-2</v>
      </c>
      <c r="BC87" s="37">
        <f>AC87*$BC$4*炼钢参数表!$X$5/1000</f>
        <v>3.3391252695307898E-2</v>
      </c>
      <c r="BD87" s="37">
        <f>AD87*$BD$4*炼钢参数表!$X$5/1000</f>
        <v>0</v>
      </c>
      <c r="BE87" s="37">
        <f>AE87*$BE$4*炼钢参数表!$X$5/1000</f>
        <v>0</v>
      </c>
      <c r="BF87" s="37">
        <f>AL87*$BF$4*炼钢参数表!$X$5/1000</f>
        <v>0</v>
      </c>
      <c r="BG87" s="37">
        <f>AM87*$BG$4*炼钢参数表!$X$5/1000</f>
        <v>0</v>
      </c>
      <c r="BH87" s="37">
        <f t="shared" si="9"/>
        <v>4.9798827596381899E-2</v>
      </c>
      <c r="BI87" s="37">
        <f t="shared" si="10"/>
        <v>0.108983610205078</v>
      </c>
      <c r="BJ87" s="37">
        <f t="shared" si="11"/>
        <v>-3.1016389794922501E-2</v>
      </c>
      <c r="BK87" s="54"/>
      <c r="BL87" s="7"/>
    </row>
    <row r="88" spans="1:64" s="18" customFormat="1" x14ac:dyDescent="0.3">
      <c r="A88" s="21">
        <v>84</v>
      </c>
      <c r="B88" s="4" t="s">
        <v>145</v>
      </c>
      <c r="C88" s="4" t="s">
        <v>23</v>
      </c>
      <c r="D88" s="4">
        <v>3</v>
      </c>
      <c r="E88" s="4">
        <v>10</v>
      </c>
      <c r="F88" s="4" t="s">
        <v>142</v>
      </c>
      <c r="G88" s="50" t="s">
        <v>143</v>
      </c>
      <c r="H88" s="4">
        <v>1516</v>
      </c>
      <c r="I88" s="51">
        <v>0.14000000000000001</v>
      </c>
      <c r="J88" s="52">
        <v>0.15</v>
      </c>
      <c r="K88" s="52">
        <v>1.1000000000000001</v>
      </c>
      <c r="L88" s="51">
        <v>1.4999999999999999E-2</v>
      </c>
      <c r="M88" s="51">
        <v>0.01</v>
      </c>
      <c r="N88" s="51"/>
      <c r="O88" s="51">
        <v>1.2E-2</v>
      </c>
      <c r="P88" s="51">
        <v>0.04</v>
      </c>
      <c r="Q88" s="51">
        <v>0.02</v>
      </c>
      <c r="R88" s="51" t="s">
        <v>631</v>
      </c>
      <c r="S88" s="32"/>
      <c r="T88" s="52"/>
      <c r="U88" s="52"/>
      <c r="V88" s="52"/>
      <c r="W88" s="52"/>
      <c r="X88" s="32" t="s">
        <v>631</v>
      </c>
      <c r="Y88" s="53" t="s">
        <v>631</v>
      </c>
      <c r="Z88" s="4">
        <v>45</v>
      </c>
      <c r="AA88" s="53"/>
      <c r="AB88" s="42">
        <f>IF(J88&lt;=0.04,0,IF((BA88-AL88*BF$4*炼钢参数表!$X$5/1000-AM88*BG$4*炼钢参数表!$X$5/1000)&lt;=0.03,0,IF((J88/100/0.1769/炼钢参数表!K88*1000)&gt;(K88-炼钢参数表!J88)/100/0.6566/炼钢参数表!L88*1000,IF(K88&lt;1.6,(K88-炼钢参数表!J88)/100/0.6566/炼钢参数表!L88*1000,(K88-0.08-炼钢参数表!J88)/100/0.6566/炼钢参数表!L88*1000),IF(K88&lt;1.6,J88/100/0.1769/炼钢参数表!K88*1000,(J88-0.08)/100/0.1769/炼钢参数表!K88*1000))))</f>
        <v>10.5992085924251</v>
      </c>
      <c r="AC88" s="8">
        <f>IF((BA88-AB88*$BB$4*0.9/1000-AL88*BF$4*炼钢参数表!$X$5/1000-AM88*BG$4*炼钢参数表!$X$5/1000)&lt;(K88-炼钢参数表!J88-AB88*0.6566*炼钢参数表!L88/10)*0.082,0,(K88-炼钢参数表!J88-AB88*0.6566*炼钢参数表!L88/10)/100/($AC$3/100)/炼钢参数表!L88*1000)</f>
        <v>4.1915574630201702</v>
      </c>
      <c r="AD88" s="8">
        <f>IF((BA88-AB88*$BB$4*0.9/1000-AC88*$BC$4*0.9/1000-AL88*BF$4*炼钢参数表!$X$5/1000-AM88*BG$4*炼钢参数表!$X$5/1000)&lt;=(K88-炼钢参数表!J88-AB88*0.6566*炼钢参数表!L88/10-AC88*($AC$3/100)*炼钢参数表!L88/10)*0.02,0,((K88-炼钢参数表!J88-AB88*0.6566*炼钢参数表!L88/10-AC88*($AC$3/100)*炼钢参数表!L88/10)/100/($AD$3/100)/炼钢参数表!L88*1000))</f>
        <v>0</v>
      </c>
      <c r="AE88" s="8">
        <f>(K88-炼钢参数表!J88-AB88*0.6566*炼钢参数表!L88/10-AC88*($AC$3/100)*炼钢参数表!L88/10-AD88*($AD$3/100)*炼钢参数表!L88/10)/100/($AE$3/100)/炼钢参数表!L88*1000</f>
        <v>0</v>
      </c>
      <c r="AF88" s="8">
        <v>0</v>
      </c>
      <c r="AG88" s="8">
        <f>IF(J88&lt;=0.04,0,((J88-(AB88*0.1769*炼钢参数表!K88/1000*100))/100/炼钢参数表!K88/($AG$3/100)*1000))</f>
        <v>0</v>
      </c>
      <c r="AH88" s="8">
        <v>1.3508811360283699</v>
      </c>
      <c r="AI88" s="8">
        <f>IF(N88="",0,IF(N88&lt;=0.002,0,((N88)/100)/($AI$3/100)/炼钢参数表!M88*1000))</f>
        <v>0</v>
      </c>
      <c r="AJ88" s="8">
        <f>IF(O88="",0,IF(O88&lt;=0.002,0,((O88)/100)/($AJ$3/100)/炼钢参数表!N88*1000))</f>
        <v>0.18826718879433699</v>
      </c>
      <c r="AK88" s="8">
        <f>IF(P88="",0,IF(P88&lt;=0.002,0,((P88+0.005)/100)/($AK$3/100)/炼钢参数表!O88*1000))</f>
        <v>0.89809603640282598</v>
      </c>
      <c r="AL88" s="8">
        <f>IF((BA88-J88*0.00003-K88*0.00024)&lt;=0.05,0,IF(T88="",0,IF(T88&lt;=0.03,0,IF(((BA88-J88*0.00003-K88*0.00024)-0.05)/0.18/100/($AL$3/100)/炼钢参数表!P88*1000&lt;=T88/100/($AL$3/100)/炼钢参数表!P88*1000,((BA88-J88*0.00003-K88*0.00024)-0.05)/0.18/100/($AL$3/100)/炼钢参数表!P88*1000,T88/100/($AL$3/100)/炼钢参数表!P88*1000))))</f>
        <v>0</v>
      </c>
      <c r="AM88" s="8">
        <f>IF(T88="",0,IF(T88&lt;=0.03,0,((T88-AL88*($AL$3/100)*炼钢参数表!P88/10)/100/($AM$3/100)/炼钢参数表!P88*1000)))</f>
        <v>0</v>
      </c>
      <c r="AN88" s="8">
        <f>IF(U88="",0,IF(U88&lt;=0.02,0,(U88/100)/($AN$3/100)/炼钢参数表!Q88*1000))</f>
        <v>0</v>
      </c>
      <c r="AO88" s="8">
        <f>IF(V88="",0,IF(V88&lt;=0.02,0,(V88/100)/($AO$3/100)/炼钢参数表!R88*1000))</f>
        <v>0</v>
      </c>
      <c r="AP88" s="8">
        <f>IF(W88="",0,IF(W88&lt;=0.02,0,(W88/100)/($AP$3/100)/炼钢参数表!S88*1000))</f>
        <v>0</v>
      </c>
      <c r="AQ88" s="8">
        <f>IF(X88="",0,IF(X88&lt;=0.0002,0,(X88/100)/($AQ$3/100)/炼钢参数表!T88*1000))</f>
        <v>0</v>
      </c>
      <c r="AR88" s="8">
        <f>IF(Y88="",0,IF(Y88&lt;=0.02,0,(Y88/100)/($AR$3/100)/炼钢参数表!U88*1000))</f>
        <v>0</v>
      </c>
      <c r="AS88" s="8">
        <f>IF(L88&lt;=0.04,0,((L88-0.04)/100)/($AS$3/100)/炼钢参数表!V88*1000)</f>
        <v>0</v>
      </c>
      <c r="AT88" s="8">
        <f>IF(M88&lt;=0.03,0,((M88-0.03)/100)/($AT$3/100)/炼钢参数表!W88*1000)</f>
        <v>0</v>
      </c>
      <c r="AU88" s="6"/>
      <c r="AV88" s="8">
        <f t="shared" si="6"/>
        <v>17.228010416670799</v>
      </c>
      <c r="AW88" s="8" cm="1">
        <f t="array" ref="AW88">SUMPRODUCT($AB$4:$AU$4,AB88:AU88)/1000</f>
        <v>175.174173594216</v>
      </c>
      <c r="AY88" s="2" t="str">
        <f t="shared" si="7"/>
        <v>Q420B-1</v>
      </c>
      <c r="AZ88" s="37">
        <f>VLOOKUP(AY88,炼钢参数表!$F$5:$J$1027,4,0)</f>
        <v>6.38461538461539E-2</v>
      </c>
      <c r="BA88" s="37">
        <f t="shared" si="8"/>
        <v>7.61538461538461E-2</v>
      </c>
      <c r="BB88" s="37">
        <f>AB88*$BB$4*炼钢参数表!$X$5/1000</f>
        <v>1.6407574901074098E-2</v>
      </c>
      <c r="BC88" s="37">
        <f>AC88*$BC$4*炼钢参数表!$X$5/1000</f>
        <v>2.5237367484844501E-2</v>
      </c>
      <c r="BD88" s="37">
        <f>AD88*$BD$4*炼钢参数表!$X$5/1000</f>
        <v>0</v>
      </c>
      <c r="BE88" s="37">
        <f>AE88*$BE$4*炼钢参数表!$X$5/1000</f>
        <v>0</v>
      </c>
      <c r="BF88" s="37">
        <f>AL88*$BF$4*炼钢参数表!$X$5/1000</f>
        <v>0</v>
      </c>
      <c r="BG88" s="37">
        <f>AM88*$BG$4*炼钢参数表!$X$5/1000</f>
        <v>0</v>
      </c>
      <c r="BH88" s="37">
        <f t="shared" si="9"/>
        <v>4.1644942385918503E-2</v>
      </c>
      <c r="BI88" s="37">
        <f t="shared" si="10"/>
        <v>0.10549109623207201</v>
      </c>
      <c r="BJ88" s="37">
        <f t="shared" si="11"/>
        <v>-3.4508903767927597E-2</v>
      </c>
      <c r="BK88" s="54"/>
      <c r="BL88" s="7"/>
    </row>
    <row r="89" spans="1:64" s="18" customFormat="1" x14ac:dyDescent="0.3">
      <c r="A89" s="21">
        <v>85</v>
      </c>
      <c r="B89" s="4" t="s">
        <v>145</v>
      </c>
      <c r="C89" s="4" t="s">
        <v>26</v>
      </c>
      <c r="D89" s="4">
        <v>10.01</v>
      </c>
      <c r="E89" s="4">
        <v>25</v>
      </c>
      <c r="F89" s="4" t="s">
        <v>144</v>
      </c>
      <c r="G89" s="50" t="s">
        <v>143</v>
      </c>
      <c r="H89" s="4">
        <v>1516</v>
      </c>
      <c r="I89" s="51">
        <v>0.14000000000000001</v>
      </c>
      <c r="J89" s="52">
        <v>0.15</v>
      </c>
      <c r="K89" s="52">
        <v>1.2</v>
      </c>
      <c r="L89" s="51">
        <v>1.4999999999999999E-2</v>
      </c>
      <c r="M89" s="51">
        <v>0.01</v>
      </c>
      <c r="N89" s="51"/>
      <c r="O89" s="51">
        <v>1.2E-2</v>
      </c>
      <c r="P89" s="51">
        <v>0.04</v>
      </c>
      <c r="Q89" s="51">
        <v>0.02</v>
      </c>
      <c r="R89" s="51" t="s">
        <v>631</v>
      </c>
      <c r="S89" s="32"/>
      <c r="T89" s="52"/>
      <c r="U89" s="52"/>
      <c r="V89" s="52"/>
      <c r="W89" s="52"/>
      <c r="X89" s="32" t="s">
        <v>631</v>
      </c>
      <c r="Y89" s="53" t="s">
        <v>631</v>
      </c>
      <c r="Z89" s="4">
        <v>45</v>
      </c>
      <c r="AA89" s="53"/>
      <c r="AB89" s="42">
        <f>IF(J89&lt;=0.04,0,IF((BA89-AL89*BF$4*炼钢参数表!$X$5/1000-AM89*BG$4*炼钢参数表!$X$5/1000)&lt;=0.03,0,IF((J89/100/0.1769/炼钢参数表!K89*1000)&gt;(K89-炼钢参数表!J89)/100/0.6566/炼钢参数表!L89*1000,IF(K89&lt;1.6,(K89-炼钢参数表!J89)/100/0.6566/炼钢参数表!L89*1000,(K89-0.08-炼钢参数表!J89)/100/0.6566/炼钢参数表!L89*1000),IF(K89&lt;1.6,J89/100/0.1769/炼钢参数表!K89*1000,(J89-0.08)/100/0.1769/炼钢参数表!K89*1000))))</f>
        <v>10.5992085924251</v>
      </c>
      <c r="AC89" s="8">
        <f>IF((BA89-AB89*$BB$4*0.9/1000-AL89*BF$4*炼钢参数表!$X$5/1000-AM89*BG$4*炼钢参数表!$X$5/1000)&lt;(K89-炼钢参数表!J89-AB89*0.6566*炼钢参数表!L89/10)*0.082,0,(K89-炼钢参数表!J89-AB89*0.6566*炼钢参数表!L89/10)/100/($AC$3/100)/炼钢参数表!L89*1000)</f>
        <v>5.54579848784386</v>
      </c>
      <c r="AD89" s="8">
        <f>IF((BA89-AB89*$BB$4*0.9/1000-AC89*$BC$4*0.9/1000-AL89*BF$4*炼钢参数表!$X$5/1000-AM89*BG$4*炼钢参数表!$X$5/1000)&lt;=(K89-炼钢参数表!J89-AB89*0.6566*炼钢参数表!L89/10-AC89*($AC$3/100)*炼钢参数表!L89/10)*0.02,0,((K89-炼钢参数表!J89-AB89*0.6566*炼钢参数表!L89/10-AC89*($AC$3/100)*炼钢参数表!L89/10)/100/($AD$3/100)/炼钢参数表!L89*1000))</f>
        <v>0</v>
      </c>
      <c r="AE89" s="8">
        <f>(K89-炼钢参数表!J89-AB89*0.6566*炼钢参数表!L89/10-AC89*($AC$3/100)*炼钢参数表!L89/10-AD89*($AD$3/100)*炼钢参数表!L89/10)/100/($AE$3/100)/炼钢参数表!L89*1000</f>
        <v>0</v>
      </c>
      <c r="AF89" s="8">
        <v>0</v>
      </c>
      <c r="AG89" s="8">
        <f>IF(J89&lt;=0.04,0,((J89-(AB89*0.1769*炼钢参数表!K89/1000*100))/100/炼钢参数表!K89/($AG$3/100)*1000))</f>
        <v>0</v>
      </c>
      <c r="AH89" s="8">
        <v>1.33</v>
      </c>
      <c r="AI89" s="8">
        <f>IF(N89="",0,IF(N89&lt;=0.002,0,((N89)/100)/($AI$3/100)/炼钢参数表!M89*1000))</f>
        <v>0</v>
      </c>
      <c r="AJ89" s="8">
        <f>IF(O89="",0,IF(O89&lt;=0.002,0,((O89)/100)/($AJ$3/100)/炼钢参数表!N89*1000))</f>
        <v>0.18826718879433699</v>
      </c>
      <c r="AK89" s="8">
        <f>IF(P89="",0,IF(P89&lt;=0.002,0,((P89+0.005)/100)/($AK$3/100)/炼钢参数表!O89*1000))</f>
        <v>0.89809603640282598</v>
      </c>
      <c r="AL89" s="8">
        <f>IF((BA89-J89*0.00003-K89*0.00024)&lt;=0.05,0,IF(T89="",0,IF(T89&lt;=0.03,0,IF(((BA89-J89*0.00003-K89*0.00024)-0.05)/0.18/100/($AL$3/100)/炼钢参数表!P89*1000&lt;=T89/100/($AL$3/100)/炼钢参数表!P89*1000,((BA89-J89*0.00003-K89*0.00024)-0.05)/0.18/100/($AL$3/100)/炼钢参数表!P89*1000,T89/100/($AL$3/100)/炼钢参数表!P89*1000))))</f>
        <v>0</v>
      </c>
      <c r="AM89" s="8">
        <f>IF(T89="",0,IF(T89&lt;=0.03,0,((T89-AL89*($AL$3/100)*炼钢参数表!P89/10)/100/($AM$3/100)/炼钢参数表!P89*1000)))</f>
        <v>0</v>
      </c>
      <c r="AN89" s="8">
        <f>IF(U89="",0,IF(U89&lt;=0.02,0,(U89/100)/($AN$3/100)/炼钢参数表!Q89*1000))</f>
        <v>0</v>
      </c>
      <c r="AO89" s="8">
        <f>IF(V89="",0,IF(V89&lt;=0.02,0,(V89/100)/($AO$3/100)/炼钢参数表!R89*1000))</f>
        <v>0</v>
      </c>
      <c r="AP89" s="8">
        <f>IF(W89="",0,IF(W89&lt;=0.02,0,(W89/100)/($AP$3/100)/炼钢参数表!S89*1000))</f>
        <v>0</v>
      </c>
      <c r="AQ89" s="8">
        <f>IF(X89="",0,IF(X89&lt;=0.0002,0,(X89/100)/($AQ$3/100)/炼钢参数表!T89*1000))</f>
        <v>0</v>
      </c>
      <c r="AR89" s="8">
        <f>IF(Y89="",0,IF(Y89&lt;=0.02,0,(Y89/100)/($AR$3/100)/炼钢参数表!U89*1000))</f>
        <v>0</v>
      </c>
      <c r="AS89" s="8">
        <f>IF(L89&lt;=0.04,0,((L89-0.04)/100)/($AS$3/100)/炼钢参数表!V89*1000)</f>
        <v>0</v>
      </c>
      <c r="AT89" s="8">
        <f>IF(M89&lt;=0.03,0,((M89-0.03)/100)/($AT$3/100)/炼钢参数表!W89*1000)</f>
        <v>0</v>
      </c>
      <c r="AU89" s="6"/>
      <c r="AV89" s="8">
        <f t="shared" si="6"/>
        <v>18.561370305466099</v>
      </c>
      <c r="AW89" s="8" cm="1">
        <f t="array" ref="AW89">SUMPRODUCT($AB$4:$AU$4,AB89:AU89)/1000</f>
        <v>182.89311646594501</v>
      </c>
      <c r="AY89" s="2" t="str">
        <f t="shared" si="7"/>
        <v>Q420B-2</v>
      </c>
      <c r="AZ89" s="37">
        <f>VLOOKUP(AY89,炼钢参数表!$F$5:$J$1027,4,0)</f>
        <v>5.9184782608695599E-2</v>
      </c>
      <c r="BA89" s="37">
        <f t="shared" si="8"/>
        <v>8.08152173913044E-2</v>
      </c>
      <c r="BB89" s="37">
        <f>AB89*$BB$4*炼钢参数表!$X$5/1000</f>
        <v>1.6407574901074098E-2</v>
      </c>
      <c r="BC89" s="37">
        <f>AC89*$BC$4*炼钢参数表!$X$5/1000</f>
        <v>3.3391252695307898E-2</v>
      </c>
      <c r="BD89" s="37">
        <f>AD89*$BD$4*炼钢参数表!$X$5/1000</f>
        <v>0</v>
      </c>
      <c r="BE89" s="37">
        <f>AE89*$BE$4*炼钢参数表!$X$5/1000</f>
        <v>0</v>
      </c>
      <c r="BF89" s="37">
        <f>AL89*$BF$4*炼钢参数表!$X$5/1000</f>
        <v>0</v>
      </c>
      <c r="BG89" s="37">
        <f>AM89*$BG$4*炼钢参数表!$X$5/1000</f>
        <v>0</v>
      </c>
      <c r="BH89" s="37">
        <f t="shared" si="9"/>
        <v>4.9798827596381899E-2</v>
      </c>
      <c r="BI89" s="37">
        <f t="shared" si="10"/>
        <v>0.108983610205078</v>
      </c>
      <c r="BJ89" s="37">
        <f t="shared" si="11"/>
        <v>-3.1016389794922501E-2</v>
      </c>
      <c r="BK89" s="54"/>
      <c r="BL89" s="7"/>
    </row>
    <row r="90" spans="1:64" s="18" customFormat="1" x14ac:dyDescent="0.3">
      <c r="A90" s="21">
        <v>86</v>
      </c>
      <c r="B90" s="4" t="s">
        <v>146</v>
      </c>
      <c r="C90" s="4" t="s">
        <v>23</v>
      </c>
      <c r="D90" s="4">
        <v>3</v>
      </c>
      <c r="E90" s="4">
        <v>10</v>
      </c>
      <c r="F90" s="4" t="s">
        <v>142</v>
      </c>
      <c r="G90" s="50" t="s">
        <v>143</v>
      </c>
      <c r="H90" s="4">
        <v>1516</v>
      </c>
      <c r="I90" s="51">
        <v>0.14000000000000001</v>
      </c>
      <c r="J90" s="52">
        <v>0.15</v>
      </c>
      <c r="K90" s="52">
        <v>1.1000000000000001</v>
      </c>
      <c r="L90" s="51">
        <v>1.4999999999999999E-2</v>
      </c>
      <c r="M90" s="51">
        <v>0.01</v>
      </c>
      <c r="N90" s="51"/>
      <c r="O90" s="51">
        <v>1.2E-2</v>
      </c>
      <c r="P90" s="51">
        <v>0.04</v>
      </c>
      <c r="Q90" s="51">
        <v>0.02</v>
      </c>
      <c r="R90" s="51" t="s">
        <v>631</v>
      </c>
      <c r="S90" s="32"/>
      <c r="T90" s="52"/>
      <c r="U90" s="52"/>
      <c r="V90" s="52"/>
      <c r="W90" s="52"/>
      <c r="X90" s="32" t="s">
        <v>631</v>
      </c>
      <c r="Y90" s="53" t="s">
        <v>631</v>
      </c>
      <c r="Z90" s="4">
        <v>45</v>
      </c>
      <c r="AA90" s="53"/>
      <c r="AB90" s="42">
        <f>IF(J90&lt;=0.04,0,IF((BA90-AL90*BF$4*炼钢参数表!$X$5/1000-AM90*BG$4*炼钢参数表!$X$5/1000)&lt;=0.03,0,IF((J90/100/0.1769/炼钢参数表!K90*1000)&gt;(K90-炼钢参数表!J90)/100/0.6566/炼钢参数表!L90*1000,IF(K90&lt;1.6,(K90-炼钢参数表!J90)/100/0.6566/炼钢参数表!L90*1000,(K90-0.08-炼钢参数表!J90)/100/0.6566/炼钢参数表!L90*1000),IF(K90&lt;1.6,J90/100/0.1769/炼钢参数表!K90*1000,(J90-0.08)/100/0.1769/炼钢参数表!K90*1000))))</f>
        <v>10.5992085924251</v>
      </c>
      <c r="AC90" s="8">
        <f>IF((BA90-AB90*$BB$4*0.9/1000-AL90*BF$4*炼钢参数表!$X$5/1000-AM90*BG$4*炼钢参数表!$X$5/1000)&lt;(K90-炼钢参数表!J90-AB90*0.6566*炼钢参数表!L90/10)*0.082,0,(K90-炼钢参数表!J90-AB90*0.6566*炼钢参数表!L90/10)/100/($AC$3/100)/炼钢参数表!L90*1000)</f>
        <v>4.1915574630201702</v>
      </c>
      <c r="AD90" s="8">
        <f>IF((BA90-AB90*$BB$4*0.9/1000-AC90*$BC$4*0.9/1000-AL90*BF$4*炼钢参数表!$X$5/1000-AM90*BG$4*炼钢参数表!$X$5/1000)&lt;=(K90-炼钢参数表!J90-AB90*0.6566*炼钢参数表!L90/10-AC90*($AC$3/100)*炼钢参数表!L90/10)*0.02,0,((K90-炼钢参数表!J90-AB90*0.6566*炼钢参数表!L90/10-AC90*($AC$3/100)*炼钢参数表!L90/10)/100/($AD$3/100)/炼钢参数表!L90*1000))</f>
        <v>0</v>
      </c>
      <c r="AE90" s="8">
        <f>(K90-炼钢参数表!J90-AB90*0.6566*炼钢参数表!L90/10-AC90*($AC$3/100)*炼钢参数表!L90/10-AD90*($AD$3/100)*炼钢参数表!L90/10)/100/($AE$3/100)/炼钢参数表!L90*1000</f>
        <v>0</v>
      </c>
      <c r="AF90" s="8">
        <v>0</v>
      </c>
      <c r="AG90" s="8">
        <f>IF(J90&lt;=0.04,0,((J90-(AB90*0.1769*炼钢参数表!K90/1000*100))/100/炼钢参数表!K90/($AG$3/100)*1000))</f>
        <v>0</v>
      </c>
      <c r="AH90" s="8">
        <v>1.3508811360283699</v>
      </c>
      <c r="AI90" s="8">
        <f>IF(N90="",0,IF(N90&lt;=0.002,0,((N90)/100)/($AI$3/100)/炼钢参数表!M90*1000))</f>
        <v>0</v>
      </c>
      <c r="AJ90" s="8">
        <f>IF(O90="",0,IF(O90&lt;=0.002,0,((O90)/100)/($AJ$3/100)/炼钢参数表!N90*1000))</f>
        <v>0.18826718879433699</v>
      </c>
      <c r="AK90" s="8">
        <f>IF(P90="",0,IF(P90&lt;=0.002,0,((P90+0.005)/100)/($AK$3/100)/炼钢参数表!O90*1000))</f>
        <v>0.89809603640282598</v>
      </c>
      <c r="AL90" s="8">
        <f>IF((BA90-J90*0.00003-K90*0.00024)&lt;=0.05,0,IF(T90="",0,IF(T90&lt;=0.03,0,IF(((BA90-J90*0.00003-K90*0.00024)-0.05)/0.18/100/($AL$3/100)/炼钢参数表!P90*1000&lt;=T90/100/($AL$3/100)/炼钢参数表!P90*1000,((BA90-J90*0.00003-K90*0.00024)-0.05)/0.18/100/($AL$3/100)/炼钢参数表!P90*1000,T90/100/($AL$3/100)/炼钢参数表!P90*1000))))</f>
        <v>0</v>
      </c>
      <c r="AM90" s="8">
        <f>IF(T90="",0,IF(T90&lt;=0.03,0,((T90-AL90*($AL$3/100)*炼钢参数表!P90/10)/100/($AM$3/100)/炼钢参数表!P90*1000)))</f>
        <v>0</v>
      </c>
      <c r="AN90" s="8">
        <f>IF(U90="",0,IF(U90&lt;=0.02,0,(U90/100)/($AN$3/100)/炼钢参数表!Q90*1000))</f>
        <v>0</v>
      </c>
      <c r="AO90" s="8">
        <f>IF(V90="",0,IF(V90&lt;=0.02,0,(V90/100)/($AO$3/100)/炼钢参数表!R90*1000))</f>
        <v>0</v>
      </c>
      <c r="AP90" s="8">
        <f>IF(W90="",0,IF(W90&lt;=0.02,0,(W90/100)/($AP$3/100)/炼钢参数表!S90*1000))</f>
        <v>0</v>
      </c>
      <c r="AQ90" s="8">
        <f>IF(X90="",0,IF(X90&lt;=0.0002,0,(X90/100)/($AQ$3/100)/炼钢参数表!T90*1000))</f>
        <v>0</v>
      </c>
      <c r="AR90" s="8">
        <f>IF(Y90="",0,IF(Y90&lt;=0.02,0,(Y90/100)/($AR$3/100)/炼钢参数表!U90*1000))</f>
        <v>0</v>
      </c>
      <c r="AS90" s="8">
        <f>IF(L90&lt;=0.04,0,((L90-0.04)/100)/($AS$3/100)/炼钢参数表!V90*1000)</f>
        <v>0</v>
      </c>
      <c r="AT90" s="8">
        <f>IF(M90&lt;=0.03,0,((M90-0.03)/100)/($AT$3/100)/炼钢参数表!W90*1000)</f>
        <v>0</v>
      </c>
      <c r="AU90" s="6"/>
      <c r="AV90" s="8">
        <f t="shared" si="6"/>
        <v>17.228010416670799</v>
      </c>
      <c r="AW90" s="8" cm="1">
        <f t="array" ref="AW90">SUMPRODUCT($AB$4:$AU$4,AB90:AU90)/1000</f>
        <v>175.174173594216</v>
      </c>
      <c r="AY90" s="2" t="str">
        <f t="shared" si="7"/>
        <v>Q420B-1</v>
      </c>
      <c r="AZ90" s="37">
        <f>VLOOKUP(AY90,炼钢参数表!$F$5:$J$1027,4,0)</f>
        <v>6.38461538461539E-2</v>
      </c>
      <c r="BA90" s="37">
        <f t="shared" si="8"/>
        <v>7.61538461538461E-2</v>
      </c>
      <c r="BB90" s="37">
        <f>AB90*$BB$4*炼钢参数表!$X$5/1000</f>
        <v>1.6407574901074098E-2</v>
      </c>
      <c r="BC90" s="37">
        <f>AC90*$BC$4*炼钢参数表!$X$5/1000</f>
        <v>2.5237367484844501E-2</v>
      </c>
      <c r="BD90" s="37">
        <f>AD90*$BD$4*炼钢参数表!$X$5/1000</f>
        <v>0</v>
      </c>
      <c r="BE90" s="37">
        <f>AE90*$BE$4*炼钢参数表!$X$5/1000</f>
        <v>0</v>
      </c>
      <c r="BF90" s="37">
        <f>AL90*$BF$4*炼钢参数表!$X$5/1000</f>
        <v>0</v>
      </c>
      <c r="BG90" s="37">
        <f>AM90*$BG$4*炼钢参数表!$X$5/1000</f>
        <v>0</v>
      </c>
      <c r="BH90" s="37">
        <f t="shared" si="9"/>
        <v>4.1644942385918503E-2</v>
      </c>
      <c r="BI90" s="37">
        <f t="shared" si="10"/>
        <v>0.10549109623207201</v>
      </c>
      <c r="BJ90" s="37">
        <f t="shared" si="11"/>
        <v>-3.4508903767927597E-2</v>
      </c>
      <c r="BK90" s="54"/>
      <c r="BL90" s="7"/>
    </row>
    <row r="91" spans="1:64" s="18" customFormat="1" x14ac:dyDescent="0.3">
      <c r="A91" s="21">
        <v>87</v>
      </c>
      <c r="B91" s="4" t="s">
        <v>146</v>
      </c>
      <c r="C91" s="4" t="s">
        <v>26</v>
      </c>
      <c r="D91" s="4">
        <v>10.01</v>
      </c>
      <c r="E91" s="4">
        <v>25</v>
      </c>
      <c r="F91" s="4" t="s">
        <v>144</v>
      </c>
      <c r="G91" s="50" t="s">
        <v>143</v>
      </c>
      <c r="H91" s="4">
        <v>1516</v>
      </c>
      <c r="I91" s="51">
        <v>0.14000000000000001</v>
      </c>
      <c r="J91" s="52">
        <v>0.15</v>
      </c>
      <c r="K91" s="52">
        <v>1.2</v>
      </c>
      <c r="L91" s="51">
        <v>1.4999999999999999E-2</v>
      </c>
      <c r="M91" s="51">
        <v>0.01</v>
      </c>
      <c r="N91" s="51"/>
      <c r="O91" s="51">
        <v>1.2E-2</v>
      </c>
      <c r="P91" s="51">
        <v>0.04</v>
      </c>
      <c r="Q91" s="51">
        <v>0.02</v>
      </c>
      <c r="R91" s="51" t="s">
        <v>631</v>
      </c>
      <c r="S91" s="32"/>
      <c r="T91" s="52"/>
      <c r="U91" s="52"/>
      <c r="V91" s="52"/>
      <c r="W91" s="52"/>
      <c r="X91" s="32" t="s">
        <v>631</v>
      </c>
      <c r="Y91" s="53" t="s">
        <v>631</v>
      </c>
      <c r="Z91" s="4">
        <v>45</v>
      </c>
      <c r="AA91" s="53"/>
      <c r="AB91" s="42">
        <f>IF(J91&lt;=0.04,0,IF((BA91-AL91*BF$4*炼钢参数表!$X$5/1000-AM91*BG$4*炼钢参数表!$X$5/1000)&lt;=0.03,0,IF((J91/100/0.1769/炼钢参数表!K91*1000)&gt;(K91-炼钢参数表!J91)/100/0.6566/炼钢参数表!L91*1000,IF(K91&lt;1.6,(K91-炼钢参数表!J91)/100/0.6566/炼钢参数表!L91*1000,(K91-0.08-炼钢参数表!J91)/100/0.6566/炼钢参数表!L91*1000),IF(K91&lt;1.6,J91/100/0.1769/炼钢参数表!K91*1000,(J91-0.08)/100/0.1769/炼钢参数表!K91*1000))))</f>
        <v>10.5992085924251</v>
      </c>
      <c r="AC91" s="8">
        <f>IF((BA91-AB91*$BB$4*0.9/1000-AL91*BF$4*炼钢参数表!$X$5/1000-AM91*BG$4*炼钢参数表!$X$5/1000)&lt;(K91-炼钢参数表!J91-AB91*0.6566*炼钢参数表!L91/10)*0.082,0,(K91-炼钢参数表!J91-AB91*0.6566*炼钢参数表!L91/10)/100/($AC$3/100)/炼钢参数表!L91*1000)</f>
        <v>5.54579848784386</v>
      </c>
      <c r="AD91" s="8">
        <f>IF((BA91-AB91*$BB$4*0.9/1000-AC91*$BC$4*0.9/1000-AL91*BF$4*炼钢参数表!$X$5/1000-AM91*BG$4*炼钢参数表!$X$5/1000)&lt;=(K91-炼钢参数表!J91-AB91*0.6566*炼钢参数表!L91/10-AC91*($AC$3/100)*炼钢参数表!L91/10)*0.02,0,((K91-炼钢参数表!J91-AB91*0.6566*炼钢参数表!L91/10-AC91*($AC$3/100)*炼钢参数表!L91/10)/100/($AD$3/100)/炼钢参数表!L91*1000))</f>
        <v>0</v>
      </c>
      <c r="AE91" s="8">
        <f>(K91-炼钢参数表!J91-AB91*0.6566*炼钢参数表!L91/10-AC91*($AC$3/100)*炼钢参数表!L91/10-AD91*($AD$3/100)*炼钢参数表!L91/10)/100/($AE$3/100)/炼钢参数表!L91*1000</f>
        <v>0</v>
      </c>
      <c r="AF91" s="8">
        <v>0</v>
      </c>
      <c r="AG91" s="8">
        <f>IF(J91&lt;=0.04,0,((J91-(AB91*0.1769*炼钢参数表!K91/1000*100))/100/炼钢参数表!K91/($AG$3/100)*1000))</f>
        <v>0</v>
      </c>
      <c r="AH91" s="8">
        <v>1.33</v>
      </c>
      <c r="AI91" s="8">
        <f>IF(N91="",0,IF(N91&lt;=0.002,0,((N91)/100)/($AI$3/100)/炼钢参数表!M91*1000))</f>
        <v>0</v>
      </c>
      <c r="AJ91" s="8">
        <f>IF(O91="",0,IF(O91&lt;=0.002,0,((O91)/100)/($AJ$3/100)/炼钢参数表!N91*1000))</f>
        <v>0.18826718879433699</v>
      </c>
      <c r="AK91" s="8">
        <f>IF(P91="",0,IF(P91&lt;=0.002,0,((P91+0.005)/100)/($AK$3/100)/炼钢参数表!O91*1000))</f>
        <v>0.89809603640282598</v>
      </c>
      <c r="AL91" s="8">
        <f>IF((BA91-J91*0.00003-K91*0.00024)&lt;=0.05,0,IF(T91="",0,IF(T91&lt;=0.03,0,IF(((BA91-J91*0.00003-K91*0.00024)-0.05)/0.18/100/($AL$3/100)/炼钢参数表!P91*1000&lt;=T91/100/($AL$3/100)/炼钢参数表!P91*1000,((BA91-J91*0.00003-K91*0.00024)-0.05)/0.18/100/($AL$3/100)/炼钢参数表!P91*1000,T91/100/($AL$3/100)/炼钢参数表!P91*1000))))</f>
        <v>0</v>
      </c>
      <c r="AM91" s="8">
        <f>IF(T91="",0,IF(T91&lt;=0.03,0,((T91-AL91*($AL$3/100)*炼钢参数表!P91/10)/100/($AM$3/100)/炼钢参数表!P91*1000)))</f>
        <v>0</v>
      </c>
      <c r="AN91" s="8">
        <f>IF(U91="",0,IF(U91&lt;=0.02,0,(U91/100)/($AN$3/100)/炼钢参数表!Q91*1000))</f>
        <v>0</v>
      </c>
      <c r="AO91" s="8">
        <f>IF(V91="",0,IF(V91&lt;=0.02,0,(V91/100)/($AO$3/100)/炼钢参数表!R91*1000))</f>
        <v>0</v>
      </c>
      <c r="AP91" s="8">
        <f>IF(W91="",0,IF(W91&lt;=0.02,0,(W91/100)/($AP$3/100)/炼钢参数表!S91*1000))</f>
        <v>0</v>
      </c>
      <c r="AQ91" s="8">
        <f>IF(X91="",0,IF(X91&lt;=0.0002,0,(X91/100)/($AQ$3/100)/炼钢参数表!T91*1000))</f>
        <v>0</v>
      </c>
      <c r="AR91" s="8">
        <f>IF(Y91="",0,IF(Y91&lt;=0.02,0,(Y91/100)/($AR$3/100)/炼钢参数表!U91*1000))</f>
        <v>0</v>
      </c>
      <c r="AS91" s="8">
        <f>IF(L91&lt;=0.04,0,((L91-0.04)/100)/($AS$3/100)/炼钢参数表!V91*1000)</f>
        <v>0</v>
      </c>
      <c r="AT91" s="8">
        <f>IF(M91&lt;=0.03,0,((M91-0.03)/100)/($AT$3/100)/炼钢参数表!W91*1000)</f>
        <v>0</v>
      </c>
      <c r="AU91" s="6"/>
      <c r="AV91" s="8">
        <f t="shared" si="6"/>
        <v>18.561370305466099</v>
      </c>
      <c r="AW91" s="8" cm="1">
        <f t="array" ref="AW91">SUMPRODUCT($AB$4:$AU$4,AB91:AU91)/1000</f>
        <v>182.89311646594501</v>
      </c>
      <c r="AY91" s="2" t="str">
        <f t="shared" si="7"/>
        <v>Q420B-2</v>
      </c>
      <c r="AZ91" s="37">
        <f>VLOOKUP(AY91,炼钢参数表!$F$5:$J$1027,4,0)</f>
        <v>5.9184782608695599E-2</v>
      </c>
      <c r="BA91" s="37">
        <f t="shared" si="8"/>
        <v>8.08152173913044E-2</v>
      </c>
      <c r="BB91" s="37">
        <f>AB91*$BB$4*炼钢参数表!$X$5/1000</f>
        <v>1.6407574901074098E-2</v>
      </c>
      <c r="BC91" s="37">
        <f>AC91*$BC$4*炼钢参数表!$X$5/1000</f>
        <v>3.3391252695307898E-2</v>
      </c>
      <c r="BD91" s="37">
        <f>AD91*$BD$4*炼钢参数表!$X$5/1000</f>
        <v>0</v>
      </c>
      <c r="BE91" s="37">
        <f>AE91*$BE$4*炼钢参数表!$X$5/1000</f>
        <v>0</v>
      </c>
      <c r="BF91" s="37">
        <f>AL91*$BF$4*炼钢参数表!$X$5/1000</f>
        <v>0</v>
      </c>
      <c r="BG91" s="37">
        <f>AM91*$BG$4*炼钢参数表!$X$5/1000</f>
        <v>0</v>
      </c>
      <c r="BH91" s="37">
        <f t="shared" si="9"/>
        <v>4.9798827596381899E-2</v>
      </c>
      <c r="BI91" s="37">
        <f t="shared" si="10"/>
        <v>0.108983610205078</v>
      </c>
      <c r="BJ91" s="37">
        <f t="shared" si="11"/>
        <v>-3.1016389794922501E-2</v>
      </c>
      <c r="BK91" s="54"/>
      <c r="BL91" s="7"/>
    </row>
    <row r="92" spans="1:64" s="18" customFormat="1" x14ac:dyDescent="0.3">
      <c r="A92" s="21">
        <v>88</v>
      </c>
      <c r="B92" s="4" t="s">
        <v>147</v>
      </c>
      <c r="C92" s="4" t="s">
        <v>23</v>
      </c>
      <c r="D92" s="4">
        <v>3</v>
      </c>
      <c r="E92" s="4">
        <v>10</v>
      </c>
      <c r="F92" s="4" t="s">
        <v>142</v>
      </c>
      <c r="G92" s="50" t="s">
        <v>143</v>
      </c>
      <c r="H92" s="4">
        <v>1516</v>
      </c>
      <c r="I92" s="51">
        <v>0.14000000000000001</v>
      </c>
      <c r="J92" s="52">
        <v>0.15</v>
      </c>
      <c r="K92" s="52">
        <v>1.1000000000000001</v>
      </c>
      <c r="L92" s="51">
        <v>1.4999999999999999E-2</v>
      </c>
      <c r="M92" s="51">
        <v>0.01</v>
      </c>
      <c r="N92" s="51"/>
      <c r="O92" s="51">
        <v>1.2E-2</v>
      </c>
      <c r="P92" s="51">
        <v>0.04</v>
      </c>
      <c r="Q92" s="51">
        <v>0.02</v>
      </c>
      <c r="R92" s="51" t="s">
        <v>631</v>
      </c>
      <c r="S92" s="32"/>
      <c r="T92" s="52"/>
      <c r="U92" s="52"/>
      <c r="V92" s="52"/>
      <c r="W92" s="52"/>
      <c r="X92" s="32" t="s">
        <v>631</v>
      </c>
      <c r="Y92" s="53" t="s">
        <v>631</v>
      </c>
      <c r="Z92" s="4">
        <v>45</v>
      </c>
      <c r="AA92" s="53"/>
      <c r="AB92" s="42">
        <f>IF(J92&lt;=0.04,0,IF((BA92-AL92*BF$4*炼钢参数表!$X$5/1000-AM92*BG$4*炼钢参数表!$X$5/1000)&lt;=0.03,0,IF((J92/100/0.1769/炼钢参数表!K92*1000)&gt;(K92-炼钢参数表!J92)/100/0.6566/炼钢参数表!L92*1000,IF(K92&lt;1.6,(K92-炼钢参数表!J92)/100/0.6566/炼钢参数表!L92*1000,(K92-0.08-炼钢参数表!J92)/100/0.6566/炼钢参数表!L92*1000),IF(K92&lt;1.6,J92/100/0.1769/炼钢参数表!K92*1000,(J92-0.08)/100/0.1769/炼钢参数表!K92*1000))))</f>
        <v>10.5992085924251</v>
      </c>
      <c r="AC92" s="8">
        <f>IF((BA92-AB92*$BB$4*0.9/1000-AL92*BF$4*炼钢参数表!$X$5/1000-AM92*BG$4*炼钢参数表!$X$5/1000)&lt;(K92-炼钢参数表!J92-AB92*0.6566*炼钢参数表!L92/10)*0.082,0,(K92-炼钢参数表!J92-AB92*0.6566*炼钢参数表!L92/10)/100/($AC$3/100)/炼钢参数表!L92*1000)</f>
        <v>4.1915574630201702</v>
      </c>
      <c r="AD92" s="8">
        <f>IF((BA92-AB92*$BB$4*0.9/1000-AC92*$BC$4*0.9/1000-AL92*BF$4*炼钢参数表!$X$5/1000-AM92*BG$4*炼钢参数表!$X$5/1000)&lt;=(K92-炼钢参数表!J92-AB92*0.6566*炼钢参数表!L92/10-AC92*($AC$3/100)*炼钢参数表!L92/10)*0.02,0,((K92-炼钢参数表!J92-AB92*0.6566*炼钢参数表!L92/10-AC92*($AC$3/100)*炼钢参数表!L92/10)/100/($AD$3/100)/炼钢参数表!L92*1000))</f>
        <v>0</v>
      </c>
      <c r="AE92" s="8">
        <f>(K92-炼钢参数表!J92-AB92*0.6566*炼钢参数表!L92/10-AC92*($AC$3/100)*炼钢参数表!L92/10-AD92*($AD$3/100)*炼钢参数表!L92/10)/100/($AE$3/100)/炼钢参数表!L92*1000</f>
        <v>0</v>
      </c>
      <c r="AF92" s="8">
        <v>0</v>
      </c>
      <c r="AG92" s="8">
        <f>IF(J92&lt;=0.04,0,((J92-(AB92*0.1769*炼钢参数表!K92/1000*100))/100/炼钢参数表!K92/($AG$3/100)*1000))</f>
        <v>0</v>
      </c>
      <c r="AH92" s="8">
        <v>1.3508811360283699</v>
      </c>
      <c r="AI92" s="8">
        <f>IF(N92="",0,IF(N92&lt;=0.002,0,((N92)/100)/($AI$3/100)/炼钢参数表!M92*1000))</f>
        <v>0</v>
      </c>
      <c r="AJ92" s="8">
        <f>IF(O92="",0,IF(O92&lt;=0.002,0,((O92)/100)/($AJ$3/100)/炼钢参数表!N92*1000))</f>
        <v>0.18826718879433699</v>
      </c>
      <c r="AK92" s="8">
        <f>IF(P92="",0,IF(P92&lt;=0.002,0,((P92+0.005)/100)/($AK$3/100)/炼钢参数表!O92*1000))</f>
        <v>0.89809603640282598</v>
      </c>
      <c r="AL92" s="8">
        <f>IF((BA92-J92*0.00003-K92*0.00024)&lt;=0.05,0,IF(T92="",0,IF(T92&lt;=0.03,0,IF(((BA92-J92*0.00003-K92*0.00024)-0.05)/0.18/100/($AL$3/100)/炼钢参数表!P92*1000&lt;=T92/100/($AL$3/100)/炼钢参数表!P92*1000,((BA92-J92*0.00003-K92*0.00024)-0.05)/0.18/100/($AL$3/100)/炼钢参数表!P92*1000,T92/100/($AL$3/100)/炼钢参数表!P92*1000))))</f>
        <v>0</v>
      </c>
      <c r="AM92" s="8">
        <f>IF(T92="",0,IF(T92&lt;=0.03,0,((T92-AL92*($AL$3/100)*炼钢参数表!P92/10)/100/($AM$3/100)/炼钢参数表!P92*1000)))</f>
        <v>0</v>
      </c>
      <c r="AN92" s="8">
        <f>IF(U92="",0,IF(U92&lt;=0.02,0,(U92/100)/($AN$3/100)/炼钢参数表!Q92*1000))</f>
        <v>0</v>
      </c>
      <c r="AO92" s="8">
        <f>IF(V92="",0,IF(V92&lt;=0.02,0,(V92/100)/($AO$3/100)/炼钢参数表!R92*1000))</f>
        <v>0</v>
      </c>
      <c r="AP92" s="8">
        <f>IF(W92="",0,IF(W92&lt;=0.02,0,(W92/100)/($AP$3/100)/炼钢参数表!S92*1000))</f>
        <v>0</v>
      </c>
      <c r="AQ92" s="8">
        <f>IF(X92="",0,IF(X92&lt;=0.0002,0,(X92/100)/($AQ$3/100)/炼钢参数表!T92*1000))</f>
        <v>0</v>
      </c>
      <c r="AR92" s="8">
        <f>IF(Y92="",0,IF(Y92&lt;=0.02,0,(Y92/100)/($AR$3/100)/炼钢参数表!U92*1000))</f>
        <v>0</v>
      </c>
      <c r="AS92" s="8">
        <f>IF(L92&lt;=0.04,0,((L92-0.04)/100)/($AS$3/100)/炼钢参数表!V92*1000)</f>
        <v>0</v>
      </c>
      <c r="AT92" s="8">
        <f>IF(M92&lt;=0.03,0,((M92-0.03)/100)/($AT$3/100)/炼钢参数表!W92*1000)</f>
        <v>0</v>
      </c>
      <c r="AU92" s="6"/>
      <c r="AV92" s="8">
        <f t="shared" si="6"/>
        <v>17.228010416670799</v>
      </c>
      <c r="AW92" s="8" cm="1">
        <f t="array" ref="AW92">SUMPRODUCT($AB$4:$AU$4,AB92:AU92)/1000</f>
        <v>175.174173594216</v>
      </c>
      <c r="AY92" s="2" t="str">
        <f t="shared" si="7"/>
        <v>Q420B-1</v>
      </c>
      <c r="AZ92" s="37">
        <f>VLOOKUP(AY92,炼钢参数表!$F$5:$J$1027,4,0)</f>
        <v>6.38461538461539E-2</v>
      </c>
      <c r="BA92" s="37">
        <f t="shared" si="8"/>
        <v>7.61538461538461E-2</v>
      </c>
      <c r="BB92" s="37">
        <f>AB92*$BB$4*炼钢参数表!$X$5/1000</f>
        <v>1.6407574901074098E-2</v>
      </c>
      <c r="BC92" s="37">
        <f>AC92*$BC$4*炼钢参数表!$X$5/1000</f>
        <v>2.5237367484844501E-2</v>
      </c>
      <c r="BD92" s="37">
        <f>AD92*$BD$4*炼钢参数表!$X$5/1000</f>
        <v>0</v>
      </c>
      <c r="BE92" s="37">
        <f>AE92*$BE$4*炼钢参数表!$X$5/1000</f>
        <v>0</v>
      </c>
      <c r="BF92" s="37">
        <f>AL92*$BF$4*炼钢参数表!$X$5/1000</f>
        <v>0</v>
      </c>
      <c r="BG92" s="37">
        <f>AM92*$BG$4*炼钢参数表!$X$5/1000</f>
        <v>0</v>
      </c>
      <c r="BH92" s="37">
        <f t="shared" si="9"/>
        <v>4.1644942385918503E-2</v>
      </c>
      <c r="BI92" s="37">
        <f t="shared" si="10"/>
        <v>0.10549109623207201</v>
      </c>
      <c r="BJ92" s="37">
        <f t="shared" si="11"/>
        <v>-3.4508903767927597E-2</v>
      </c>
      <c r="BK92" s="54"/>
      <c r="BL92" s="7"/>
    </row>
    <row r="93" spans="1:64" s="18" customFormat="1" x14ac:dyDescent="0.3">
      <c r="A93" s="21">
        <v>89</v>
      </c>
      <c r="B93" s="4" t="s">
        <v>147</v>
      </c>
      <c r="C93" s="4" t="s">
        <v>26</v>
      </c>
      <c r="D93" s="4">
        <v>10.01</v>
      </c>
      <c r="E93" s="4">
        <v>25</v>
      </c>
      <c r="F93" s="4" t="s">
        <v>144</v>
      </c>
      <c r="G93" s="50" t="s">
        <v>143</v>
      </c>
      <c r="H93" s="4">
        <v>1516</v>
      </c>
      <c r="I93" s="51">
        <v>0.14000000000000001</v>
      </c>
      <c r="J93" s="52">
        <v>0.15</v>
      </c>
      <c r="K93" s="52">
        <v>1.2</v>
      </c>
      <c r="L93" s="51">
        <v>1.4999999999999999E-2</v>
      </c>
      <c r="M93" s="51">
        <v>0.01</v>
      </c>
      <c r="N93" s="51"/>
      <c r="O93" s="51">
        <v>1.2E-2</v>
      </c>
      <c r="P93" s="51">
        <v>0.04</v>
      </c>
      <c r="Q93" s="51">
        <v>0.02</v>
      </c>
      <c r="R93" s="51" t="s">
        <v>631</v>
      </c>
      <c r="S93" s="32"/>
      <c r="T93" s="52"/>
      <c r="U93" s="52"/>
      <c r="V93" s="52"/>
      <c r="W93" s="52"/>
      <c r="X93" s="32" t="s">
        <v>631</v>
      </c>
      <c r="Y93" s="53" t="s">
        <v>631</v>
      </c>
      <c r="Z93" s="4">
        <v>45</v>
      </c>
      <c r="AA93" s="53"/>
      <c r="AB93" s="42">
        <f>IF(J93&lt;=0.04,0,IF((BA93-AL93*BF$4*炼钢参数表!$X$5/1000-AM93*BG$4*炼钢参数表!$X$5/1000)&lt;=0.03,0,IF((J93/100/0.1769/炼钢参数表!K93*1000)&gt;(K93-炼钢参数表!J93)/100/0.6566/炼钢参数表!L93*1000,IF(K93&lt;1.6,(K93-炼钢参数表!J93)/100/0.6566/炼钢参数表!L93*1000,(K93-0.08-炼钢参数表!J93)/100/0.6566/炼钢参数表!L93*1000),IF(K93&lt;1.6,J93/100/0.1769/炼钢参数表!K93*1000,(J93-0.08)/100/0.1769/炼钢参数表!K93*1000))))</f>
        <v>10.5992085924251</v>
      </c>
      <c r="AC93" s="8">
        <f>IF((BA93-AB93*$BB$4*0.9/1000-AL93*BF$4*炼钢参数表!$X$5/1000-AM93*BG$4*炼钢参数表!$X$5/1000)&lt;(K93-炼钢参数表!J93-AB93*0.6566*炼钢参数表!L93/10)*0.082,0,(K93-炼钢参数表!J93-AB93*0.6566*炼钢参数表!L93/10)/100/($AC$3/100)/炼钢参数表!L93*1000)</f>
        <v>5.54579848784386</v>
      </c>
      <c r="AD93" s="8">
        <f>IF((BA93-AB93*$BB$4*0.9/1000-AC93*$BC$4*0.9/1000-AL93*BF$4*炼钢参数表!$X$5/1000-AM93*BG$4*炼钢参数表!$X$5/1000)&lt;=(K93-炼钢参数表!J93-AB93*0.6566*炼钢参数表!L93/10-AC93*($AC$3/100)*炼钢参数表!L93/10)*0.02,0,((K93-炼钢参数表!J93-AB93*0.6566*炼钢参数表!L93/10-AC93*($AC$3/100)*炼钢参数表!L93/10)/100/($AD$3/100)/炼钢参数表!L93*1000))</f>
        <v>0</v>
      </c>
      <c r="AE93" s="8">
        <f>(K93-炼钢参数表!J93-AB93*0.6566*炼钢参数表!L93/10-AC93*($AC$3/100)*炼钢参数表!L93/10-AD93*($AD$3/100)*炼钢参数表!L93/10)/100/($AE$3/100)/炼钢参数表!L93*1000</f>
        <v>0</v>
      </c>
      <c r="AF93" s="8">
        <v>0</v>
      </c>
      <c r="AG93" s="8">
        <f>IF(J93&lt;=0.04,0,((J93-(AB93*0.1769*炼钢参数表!K93/1000*100))/100/炼钢参数表!K93/($AG$3/100)*1000))</f>
        <v>0</v>
      </c>
      <c r="AH93" s="8">
        <v>1.33</v>
      </c>
      <c r="AI93" s="8">
        <f>IF(N93="",0,IF(N93&lt;=0.002,0,((N93)/100)/($AI$3/100)/炼钢参数表!M93*1000))</f>
        <v>0</v>
      </c>
      <c r="AJ93" s="8">
        <f>IF(O93="",0,IF(O93&lt;=0.002,0,((O93)/100)/($AJ$3/100)/炼钢参数表!N93*1000))</f>
        <v>0.18826718879433699</v>
      </c>
      <c r="AK93" s="8">
        <f>IF(P93="",0,IF(P93&lt;=0.002,0,((P93+0.005)/100)/($AK$3/100)/炼钢参数表!O93*1000))</f>
        <v>0.89809603640282598</v>
      </c>
      <c r="AL93" s="8">
        <f>IF((BA93-J93*0.00003-K93*0.00024)&lt;=0.05,0,IF(T93="",0,IF(T93&lt;=0.03,0,IF(((BA93-J93*0.00003-K93*0.00024)-0.05)/0.18/100/($AL$3/100)/炼钢参数表!P93*1000&lt;=T93/100/($AL$3/100)/炼钢参数表!P93*1000,((BA93-J93*0.00003-K93*0.00024)-0.05)/0.18/100/($AL$3/100)/炼钢参数表!P93*1000,T93/100/($AL$3/100)/炼钢参数表!P93*1000))))</f>
        <v>0</v>
      </c>
      <c r="AM93" s="8">
        <f>IF(T93="",0,IF(T93&lt;=0.03,0,((T93-AL93*($AL$3/100)*炼钢参数表!P93/10)/100/($AM$3/100)/炼钢参数表!P93*1000)))</f>
        <v>0</v>
      </c>
      <c r="AN93" s="8">
        <f>IF(U93="",0,IF(U93&lt;=0.02,0,(U93/100)/($AN$3/100)/炼钢参数表!Q93*1000))</f>
        <v>0</v>
      </c>
      <c r="AO93" s="8">
        <f>IF(V93="",0,IF(V93&lt;=0.02,0,(V93/100)/($AO$3/100)/炼钢参数表!R93*1000))</f>
        <v>0</v>
      </c>
      <c r="AP93" s="8">
        <f>IF(W93="",0,IF(W93&lt;=0.02,0,(W93/100)/($AP$3/100)/炼钢参数表!S93*1000))</f>
        <v>0</v>
      </c>
      <c r="AQ93" s="8">
        <f>IF(X93="",0,IF(X93&lt;=0.0002,0,(X93/100)/($AQ$3/100)/炼钢参数表!T93*1000))</f>
        <v>0</v>
      </c>
      <c r="AR93" s="8">
        <f>IF(Y93="",0,IF(Y93&lt;=0.02,0,(Y93/100)/($AR$3/100)/炼钢参数表!U93*1000))</f>
        <v>0</v>
      </c>
      <c r="AS93" s="8">
        <f>IF(L93&lt;=0.04,0,((L93-0.04)/100)/($AS$3/100)/炼钢参数表!V93*1000)</f>
        <v>0</v>
      </c>
      <c r="AT93" s="8">
        <f>IF(M93&lt;=0.03,0,((M93-0.03)/100)/($AT$3/100)/炼钢参数表!W93*1000)</f>
        <v>0</v>
      </c>
      <c r="AU93" s="6"/>
      <c r="AV93" s="8">
        <f t="shared" si="6"/>
        <v>18.561370305466099</v>
      </c>
      <c r="AW93" s="8" cm="1">
        <f t="array" ref="AW93">SUMPRODUCT($AB$4:$AU$4,AB93:AU93)/1000</f>
        <v>182.89311646594501</v>
      </c>
      <c r="AY93" s="2" t="str">
        <f t="shared" si="7"/>
        <v>Q420B-2</v>
      </c>
      <c r="AZ93" s="37">
        <f>VLOOKUP(AY93,炼钢参数表!$F$5:$J$1027,4,0)</f>
        <v>5.9184782608695599E-2</v>
      </c>
      <c r="BA93" s="37">
        <f t="shared" si="8"/>
        <v>8.08152173913044E-2</v>
      </c>
      <c r="BB93" s="37">
        <f>AB93*$BB$4*炼钢参数表!$X$5/1000</f>
        <v>1.6407574901074098E-2</v>
      </c>
      <c r="BC93" s="37">
        <f>AC93*$BC$4*炼钢参数表!$X$5/1000</f>
        <v>3.3391252695307898E-2</v>
      </c>
      <c r="BD93" s="37">
        <f>AD93*$BD$4*炼钢参数表!$X$5/1000</f>
        <v>0</v>
      </c>
      <c r="BE93" s="37">
        <f>AE93*$BE$4*炼钢参数表!$X$5/1000</f>
        <v>0</v>
      </c>
      <c r="BF93" s="37">
        <f>AL93*$BF$4*炼钢参数表!$X$5/1000</f>
        <v>0</v>
      </c>
      <c r="BG93" s="37">
        <f>AM93*$BG$4*炼钢参数表!$X$5/1000</f>
        <v>0</v>
      </c>
      <c r="BH93" s="37">
        <f t="shared" si="9"/>
        <v>4.9798827596381899E-2</v>
      </c>
      <c r="BI93" s="37">
        <f t="shared" si="10"/>
        <v>0.108983610205078</v>
      </c>
      <c r="BJ93" s="37">
        <f t="shared" si="11"/>
        <v>-3.1016389794922501E-2</v>
      </c>
      <c r="BK93" s="54"/>
      <c r="BL93" s="7"/>
    </row>
    <row r="94" spans="1:64" s="18" customFormat="1" x14ac:dyDescent="0.3">
      <c r="A94" s="21">
        <v>90</v>
      </c>
      <c r="B94" s="4" t="s">
        <v>148</v>
      </c>
      <c r="C94" s="4" t="s">
        <v>23</v>
      </c>
      <c r="D94" s="4">
        <v>3</v>
      </c>
      <c r="E94" s="4">
        <v>10</v>
      </c>
      <c r="F94" s="4" t="s">
        <v>149</v>
      </c>
      <c r="G94" s="50" t="s">
        <v>150</v>
      </c>
      <c r="H94" s="4">
        <v>1516</v>
      </c>
      <c r="I94" s="51">
        <v>0.14000000000000001</v>
      </c>
      <c r="J94" s="52">
        <v>0.15</v>
      </c>
      <c r="K94" s="52">
        <v>1.1000000000000001</v>
      </c>
      <c r="L94" s="51">
        <v>1.4999999999999999E-2</v>
      </c>
      <c r="M94" s="51">
        <v>6.0000000000000001E-3</v>
      </c>
      <c r="N94" s="51"/>
      <c r="O94" s="51">
        <v>0.02</v>
      </c>
      <c r="P94" s="51">
        <v>3.5000000000000003E-2</v>
      </c>
      <c r="Q94" s="51">
        <v>0.02</v>
      </c>
      <c r="R94" s="51" t="s">
        <v>631</v>
      </c>
      <c r="S94" s="32"/>
      <c r="T94" s="52"/>
      <c r="U94" s="52"/>
      <c r="V94" s="52"/>
      <c r="W94" s="52"/>
      <c r="X94" s="32" t="s">
        <v>631</v>
      </c>
      <c r="Y94" s="53" t="s">
        <v>631</v>
      </c>
      <c r="Z94" s="4">
        <v>45</v>
      </c>
      <c r="AA94" s="53"/>
      <c r="AB94" s="42">
        <f>IF(J94&lt;=0.04,0,IF((BA94-AL94*BF$4*炼钢参数表!$X$5/1000-AM94*BG$4*炼钢参数表!$X$5/1000)&lt;=0.03,0,IF((J94/100/0.1769/炼钢参数表!K94*1000)&gt;(K94-炼钢参数表!J94)/100/0.6566/炼钢参数表!L94*1000,IF(K94&lt;1.6,(K94-炼钢参数表!J94)/100/0.6566/炼钢参数表!L94*1000,(K94-0.08-炼钢参数表!J94)/100/0.6566/炼钢参数表!L94*1000),IF(K94&lt;1.6,J94/100/0.1769/炼钢参数表!K94*1000,(J94-0.08)/100/0.1769/炼钢参数表!K94*1000))))</f>
        <v>10.5992085924251</v>
      </c>
      <c r="AC94" s="8">
        <f>IF((BA94-AB94*$BB$4*0.9/1000-AL94*BF$4*炼钢参数表!$X$5/1000-AM94*BG$4*炼钢参数表!$X$5/1000)&lt;(K94-炼钢参数表!J94-AB94*0.6566*炼钢参数表!L94/10)*0.082,0,(K94-炼钢参数表!J94-AB94*0.6566*炼钢参数表!L94/10)/100/($AC$3/100)/炼钢参数表!L94*1000)</f>
        <v>3.9527116669166298</v>
      </c>
      <c r="AD94" s="8">
        <f>IF((BA94-AB94*$BB$4*0.9/1000-AC94*$BC$4*0.9/1000-AL94*BF$4*炼钢参数表!$X$5/1000-AM94*BG$4*炼钢参数表!$X$5/1000)&lt;=(K94-炼钢参数表!J94-AB94*0.6566*炼钢参数表!L94/10-AC94*($AC$3/100)*炼钢参数表!L94/10)*0.02,0,((K94-炼钢参数表!J94-AB94*0.6566*炼钢参数表!L94/10-AC94*($AC$3/100)*炼钢参数表!L94/10)/100/($AD$3/100)/炼钢参数表!L94*1000))</f>
        <v>0</v>
      </c>
      <c r="AE94" s="8">
        <f>(K94-炼钢参数表!J94-AB94*0.6566*炼钢参数表!L94/10-AC94*($AC$3/100)*炼钢参数表!L94/10-AD94*($AD$3/100)*炼钢参数表!L94/10)/100/($AE$3/100)/炼钢参数表!L94*1000</f>
        <v>0</v>
      </c>
      <c r="AF94" s="8">
        <v>0</v>
      </c>
      <c r="AG94" s="8">
        <f>IF(J94&lt;=0.04,0,((J94-(AB94*0.1769*炼钢参数表!K94/1000*100))/100/炼钢参数表!K94/($AG$3/100)*1000))</f>
        <v>0</v>
      </c>
      <c r="AH94" s="8">
        <v>1.3662663130713899</v>
      </c>
      <c r="AI94" s="8">
        <f>IF(N94="",0,IF(N94&lt;=0.002,0,((N94)/100)/($AI$3/100)/炼钢参数表!M94*1000))</f>
        <v>0</v>
      </c>
      <c r="AJ94" s="8">
        <f>IF(O94="",0,IF(O94&lt;=0.002,0,((O94)/100)/($AJ$3/100)/炼钢参数表!N94*1000))</f>
        <v>0.31377864799056099</v>
      </c>
      <c r="AK94" s="8">
        <f>IF(P94="",0,IF(P94&lt;=0.002,0,((P94+0.005)/100)/($AK$3/100)/炼钢参数表!O94*1000))</f>
        <v>0.798307587913623</v>
      </c>
      <c r="AL94" s="8">
        <f>IF((BA94-J94*0.00003-K94*0.00024)&lt;=0.05,0,IF(T94="",0,IF(T94&lt;=0.03,0,IF(((BA94-J94*0.00003-K94*0.00024)-0.05)/0.18/100/($AL$3/100)/炼钢参数表!P94*1000&lt;=T94/100/($AL$3/100)/炼钢参数表!P94*1000,((BA94-J94*0.00003-K94*0.00024)-0.05)/0.18/100/($AL$3/100)/炼钢参数表!P94*1000,T94/100/($AL$3/100)/炼钢参数表!P94*1000))))</f>
        <v>0</v>
      </c>
      <c r="AM94" s="8">
        <f>IF(T94="",0,IF(T94&lt;=0.03,0,((T94-AL94*($AL$3/100)*炼钢参数表!P94/10)/100/($AM$3/100)/炼钢参数表!P94*1000)))</f>
        <v>0</v>
      </c>
      <c r="AN94" s="8">
        <f>IF(U94="",0,IF(U94&lt;=0.02,0,(U94/100)/($AN$3/100)/炼钢参数表!Q94*1000))</f>
        <v>0</v>
      </c>
      <c r="AO94" s="8">
        <f>IF(V94="",0,IF(V94&lt;=0.02,0,(V94/100)/($AO$3/100)/炼钢参数表!R94*1000))</f>
        <v>0</v>
      </c>
      <c r="AP94" s="8">
        <f>IF(W94="",0,IF(W94&lt;=0.02,0,(W94/100)/($AP$3/100)/炼钢参数表!S94*1000))</f>
        <v>0</v>
      </c>
      <c r="AQ94" s="8">
        <f>IF(X94="",0,IF(X94&lt;=0.0002,0,(X94/100)/($AQ$3/100)/炼钢参数表!T94*1000))</f>
        <v>0</v>
      </c>
      <c r="AR94" s="8">
        <f>IF(Y94="",0,IF(Y94&lt;=0.02,0,(Y94/100)/($AR$3/100)/炼钢参数表!U94*1000))</f>
        <v>0</v>
      </c>
      <c r="AS94" s="8">
        <f>IF(L94&lt;=0.04,0,((L94-0.04)/100)/($AS$3/100)/炼钢参数表!V94*1000)</f>
        <v>0</v>
      </c>
      <c r="AT94" s="8">
        <f>IF(M94&lt;=0.03,0,((M94-0.03)/100)/($AT$3/100)/炼钢参数表!W94*1000)</f>
        <v>0</v>
      </c>
      <c r="AU94" s="6"/>
      <c r="AV94" s="8">
        <f t="shared" si="6"/>
        <v>17.030272808317299</v>
      </c>
      <c r="AW94" s="8" cm="1">
        <f t="array" ref="AW94">SUMPRODUCT($AB$4:$AU$4,AB94:AU94)/1000</f>
        <v>198.70437363787099</v>
      </c>
      <c r="AY94" s="2" t="str">
        <f t="shared" si="7"/>
        <v>Q420C-1</v>
      </c>
      <c r="AZ94" s="37">
        <f>VLOOKUP(AY94,炼钢参数表!$F$5:$J$1027,4,0)</f>
        <v>7.0999999999999994E-2</v>
      </c>
      <c r="BA94" s="37">
        <f t="shared" si="8"/>
        <v>6.9000000000000006E-2</v>
      </c>
      <c r="BB94" s="37">
        <f>AB94*$BB$4*炼钢参数表!$X$5/1000</f>
        <v>1.6407574901074098E-2</v>
      </c>
      <c r="BC94" s="37">
        <f>AC94*$BC$4*炼钢参数表!$X$5/1000</f>
        <v>2.3799276946505001E-2</v>
      </c>
      <c r="BD94" s="37">
        <f>AD94*$BD$4*炼钢参数表!$X$5/1000</f>
        <v>0</v>
      </c>
      <c r="BE94" s="37">
        <f>AE94*$BE$4*炼钢参数表!$X$5/1000</f>
        <v>0</v>
      </c>
      <c r="BF94" s="37">
        <f>AL94*$BF$4*炼钢参数表!$X$5/1000</f>
        <v>0</v>
      </c>
      <c r="BG94" s="37">
        <f>AM94*$BG$4*炼钢参数表!$X$5/1000</f>
        <v>0</v>
      </c>
      <c r="BH94" s="37">
        <f t="shared" si="9"/>
        <v>4.0206851847579099E-2</v>
      </c>
      <c r="BI94" s="37">
        <f t="shared" si="10"/>
        <v>0.111206851847579</v>
      </c>
      <c r="BJ94" s="37">
        <f t="shared" si="11"/>
        <v>-2.87931481524209E-2</v>
      </c>
      <c r="BK94" s="54"/>
      <c r="BL94" s="7"/>
    </row>
    <row r="95" spans="1:64" s="18" customFormat="1" x14ac:dyDescent="0.3">
      <c r="A95" s="21">
        <v>91</v>
      </c>
      <c r="B95" s="4" t="s">
        <v>148</v>
      </c>
      <c r="C95" s="4" t="s">
        <v>26</v>
      </c>
      <c r="D95" s="4">
        <v>10.01</v>
      </c>
      <c r="E95" s="4">
        <v>24</v>
      </c>
      <c r="F95" s="4" t="s">
        <v>151</v>
      </c>
      <c r="G95" s="50" t="s">
        <v>150</v>
      </c>
      <c r="H95" s="4">
        <v>1516</v>
      </c>
      <c r="I95" s="51">
        <v>0.14000000000000001</v>
      </c>
      <c r="J95" s="52">
        <v>0.15</v>
      </c>
      <c r="K95" s="52">
        <v>1.2</v>
      </c>
      <c r="L95" s="51">
        <v>1.4999999999999999E-2</v>
      </c>
      <c r="M95" s="51">
        <v>5.0000000000000001E-3</v>
      </c>
      <c r="N95" s="51"/>
      <c r="O95" s="51">
        <v>0.02</v>
      </c>
      <c r="P95" s="51">
        <v>3.5000000000000003E-2</v>
      </c>
      <c r="Q95" s="51">
        <v>0.02</v>
      </c>
      <c r="R95" s="51" t="s">
        <v>631</v>
      </c>
      <c r="S95" s="32"/>
      <c r="T95" s="52"/>
      <c r="U95" s="52"/>
      <c r="V95" s="52"/>
      <c r="W95" s="52"/>
      <c r="X95" s="32" t="s">
        <v>631</v>
      </c>
      <c r="Y95" s="53" t="s">
        <v>631</v>
      </c>
      <c r="Z95" s="4">
        <v>45</v>
      </c>
      <c r="AA95" s="53"/>
      <c r="AB95" s="42">
        <f>IF(J95&lt;=0.04,0,IF((BA95-AL95*BF$4*炼钢参数表!$X$5/1000-AM95*BG$4*炼钢参数表!$X$5/1000)&lt;=0.03,0,IF((J95/100/0.1769/炼钢参数表!K95*1000)&gt;(K95-炼钢参数表!J95)/100/0.6566/炼钢参数表!L95*1000,IF(K95&lt;1.6,(K95-炼钢参数表!J95)/100/0.6566/炼钢参数表!L95*1000,(K95-0.08-炼钢参数表!J95)/100/0.6566/炼钢参数表!L95*1000),IF(K95&lt;1.6,J95/100/0.1769/炼钢参数表!K95*1000,(J95-0.08)/100/0.1769/炼钢参数表!K95*1000))))</f>
        <v>10.5992085924251</v>
      </c>
      <c r="AC95" s="8">
        <f>IF((BA95-AB95*$BB$4*0.9/1000-AL95*BF$4*炼钢参数表!$X$5/1000-AM95*BG$4*炼钢参数表!$X$5/1000)&lt;(K95-炼钢参数表!J95-AB95*0.6566*炼钢参数表!L95/10)*0.082,0,(K95-炼钢参数表!J95-AB95*0.6566*炼钢参数表!L95/10)/100/($AC$3/100)/炼钢参数表!L95*1000)</f>
        <v>5.2749563824972299</v>
      </c>
      <c r="AD95" s="8">
        <f>IF((BA95-AB95*$BB$4*0.9/1000-AC95*$BC$4*0.9/1000-AL95*BF$4*炼钢参数表!$X$5/1000-AM95*BG$4*炼钢参数表!$X$5/1000)&lt;=(K95-炼钢参数表!J95-AB95*0.6566*炼钢参数表!L95/10-AC95*($AC$3/100)*炼钢参数表!L95/10)*0.02,0,((K95-炼钢参数表!J95-AB95*0.6566*炼钢参数表!L95/10-AC95*($AC$3/100)*炼钢参数表!L95/10)/100/($AD$3/100)/炼钢参数表!L95*1000))</f>
        <v>0</v>
      </c>
      <c r="AE95" s="8">
        <f>(K95-炼钢参数表!J95-AB95*0.6566*炼钢参数表!L95/10-AC95*($AC$3/100)*炼钢参数表!L95/10-AD95*($AD$3/100)*炼钢参数表!L95/10)/100/($AE$3/100)/炼钢参数表!L95*1000</f>
        <v>0</v>
      </c>
      <c r="AF95" s="8">
        <v>0</v>
      </c>
      <c r="AG95" s="8">
        <f>IF(J95&lt;=0.04,0,((J95-(AB95*0.1769*炼钢参数表!K95/1000*100))/100/炼钢参数表!K95/($AG$3/100)*1000))</f>
        <v>0</v>
      </c>
      <c r="AH95" s="8">
        <v>1.42001633532601</v>
      </c>
      <c r="AI95" s="8">
        <f>IF(N95="",0,IF(N95&lt;=0.002,0,((N95)/100)/($AI$3/100)/炼钢参数表!M95*1000))</f>
        <v>0</v>
      </c>
      <c r="AJ95" s="8">
        <f>IF(O95="",0,IF(O95&lt;=0.002,0,((O95)/100)/($AJ$3/100)/炼钢参数表!N95*1000))</f>
        <v>0.31377864799056099</v>
      </c>
      <c r="AK95" s="8">
        <f>IF(P95="",0,IF(P95&lt;=0.002,0,((P95+0.005)/100)/($AK$3/100)/炼钢参数表!O95*1000))</f>
        <v>0.798307587913623</v>
      </c>
      <c r="AL95" s="8">
        <f>IF((BA95-J95*0.00003-K95*0.00024)&lt;=0.05,0,IF(T95="",0,IF(T95&lt;=0.03,0,IF(((BA95-J95*0.00003-K95*0.00024)-0.05)/0.18/100/($AL$3/100)/炼钢参数表!P95*1000&lt;=T95/100/($AL$3/100)/炼钢参数表!P95*1000,((BA95-J95*0.00003-K95*0.00024)-0.05)/0.18/100/($AL$3/100)/炼钢参数表!P95*1000,T95/100/($AL$3/100)/炼钢参数表!P95*1000))))</f>
        <v>0</v>
      </c>
      <c r="AM95" s="8">
        <f>IF(T95="",0,IF(T95&lt;=0.03,0,((T95-AL95*($AL$3/100)*炼钢参数表!P95/10)/100/($AM$3/100)/炼钢参数表!P95*1000)))</f>
        <v>0</v>
      </c>
      <c r="AN95" s="8">
        <f>IF(U95="",0,IF(U95&lt;=0.02,0,(U95/100)/($AN$3/100)/炼钢参数表!Q95*1000))</f>
        <v>0</v>
      </c>
      <c r="AO95" s="8">
        <f>IF(V95="",0,IF(V95&lt;=0.02,0,(V95/100)/($AO$3/100)/炼钢参数表!R95*1000))</f>
        <v>0</v>
      </c>
      <c r="AP95" s="8">
        <f>IF(W95="",0,IF(W95&lt;=0.02,0,(W95/100)/($AP$3/100)/炼钢参数表!S95*1000))</f>
        <v>0</v>
      </c>
      <c r="AQ95" s="8">
        <f>IF(X95="",0,IF(X95&lt;=0.0002,0,(X95/100)/($AQ$3/100)/炼钢参数表!T95*1000))</f>
        <v>0</v>
      </c>
      <c r="AR95" s="8">
        <f>IF(Y95="",0,IF(Y95&lt;=0.02,0,(Y95/100)/($AR$3/100)/炼钢参数表!U95*1000))</f>
        <v>0</v>
      </c>
      <c r="AS95" s="8">
        <f>IF(L95&lt;=0.04,0,((L95-0.04)/100)/($AS$3/100)/炼钢参数表!V95*1000)</f>
        <v>0</v>
      </c>
      <c r="AT95" s="8">
        <f>IF(M95&lt;=0.03,0,((M95-0.03)/100)/($AT$3/100)/炼钢参数表!W95*1000)</f>
        <v>0</v>
      </c>
      <c r="AU95" s="6"/>
      <c r="AV95" s="8">
        <f t="shared" si="6"/>
        <v>18.406267546152499</v>
      </c>
      <c r="AW95" s="8" cm="1">
        <f t="array" ref="AW95">SUMPRODUCT($AB$4:$AU$4,AB95:AU95)/1000</f>
        <v>207.89697161941501</v>
      </c>
      <c r="AY95" s="2" t="str">
        <f t="shared" si="7"/>
        <v>Q420C-2</v>
      </c>
      <c r="AZ95" s="37">
        <f>VLOOKUP(AY95,炼钢参数表!$F$5:$J$1027,4,0)</f>
        <v>7.9666666666666705E-2</v>
      </c>
      <c r="BA95" s="37">
        <f t="shared" si="8"/>
        <v>6.0333333333333301E-2</v>
      </c>
      <c r="BB95" s="37">
        <f>AB95*$BB$4*炼钢参数表!$X$5/1000</f>
        <v>1.6407574901074098E-2</v>
      </c>
      <c r="BC95" s="37">
        <f>AC95*$BC$4*炼钢参数表!$X$5/1000</f>
        <v>3.1760512379015803E-2</v>
      </c>
      <c r="BD95" s="37">
        <f>AD95*$BD$4*炼钢参数表!$X$5/1000</f>
        <v>0</v>
      </c>
      <c r="BE95" s="37">
        <f>AE95*$BE$4*炼钢参数表!$X$5/1000</f>
        <v>0</v>
      </c>
      <c r="BF95" s="37">
        <f>AL95*$BF$4*炼钢参数表!$X$5/1000</f>
        <v>0</v>
      </c>
      <c r="BG95" s="37">
        <f>AM95*$BG$4*炼钢参数表!$X$5/1000</f>
        <v>0</v>
      </c>
      <c r="BH95" s="37">
        <f t="shared" si="9"/>
        <v>4.8168087280089901E-2</v>
      </c>
      <c r="BI95" s="37">
        <f t="shared" si="10"/>
        <v>0.127834753946757</v>
      </c>
      <c r="BJ95" s="37">
        <f t="shared" si="11"/>
        <v>-1.21652460532434E-2</v>
      </c>
      <c r="BK95" s="54"/>
      <c r="BL95" s="7"/>
    </row>
    <row r="96" spans="1:64" s="18" customFormat="1" x14ac:dyDescent="0.3">
      <c r="A96" s="21">
        <v>92</v>
      </c>
      <c r="B96" s="4" t="s">
        <v>152</v>
      </c>
      <c r="C96" s="4" t="s">
        <v>23</v>
      </c>
      <c r="D96" s="4">
        <v>3</v>
      </c>
      <c r="E96" s="4">
        <v>10</v>
      </c>
      <c r="F96" s="4" t="s">
        <v>149</v>
      </c>
      <c r="G96" s="4" t="s">
        <v>150</v>
      </c>
      <c r="H96" s="4">
        <v>1516</v>
      </c>
      <c r="I96" s="4">
        <v>0.14000000000000001</v>
      </c>
      <c r="J96" s="4">
        <v>0.15</v>
      </c>
      <c r="K96" s="4">
        <v>1.1000000000000001</v>
      </c>
      <c r="L96" s="4">
        <v>1.4999999999999999E-2</v>
      </c>
      <c r="M96" s="4">
        <v>6.0000000000000001E-3</v>
      </c>
      <c r="N96" s="4">
        <v>0</v>
      </c>
      <c r="O96" s="4">
        <v>0.02</v>
      </c>
      <c r="P96" s="4">
        <v>3.5000000000000003E-2</v>
      </c>
      <c r="Q96" s="4">
        <v>0.02</v>
      </c>
      <c r="R96" s="4" t="s">
        <v>631</v>
      </c>
      <c r="S96" s="4">
        <v>0</v>
      </c>
      <c r="T96" s="4">
        <v>0</v>
      </c>
      <c r="U96" s="4">
        <v>0</v>
      </c>
      <c r="V96" s="4">
        <v>0</v>
      </c>
      <c r="W96" s="4" t="s">
        <v>631</v>
      </c>
      <c r="X96" s="4" t="s">
        <v>631</v>
      </c>
      <c r="Y96" s="4"/>
      <c r="Z96" s="4">
        <v>45</v>
      </c>
      <c r="AA96" s="53"/>
      <c r="AB96" s="42">
        <f>IF(J96&lt;=0.04,0,IF((BA96-AL96*BF$4*炼钢参数表!$X$5/1000-AM96*BG$4*炼钢参数表!$X$5/1000)&lt;=0.03,0,IF((J96/100/0.1769/炼钢参数表!K96*1000)&gt;(K96-炼钢参数表!J96)/100/0.6566/炼钢参数表!L96*1000,IF(K96&lt;1.6,(K96-炼钢参数表!J96)/100/0.6566/炼钢参数表!L96*1000,(K96-0.08-炼钢参数表!J96)/100/0.6566/炼钢参数表!L96*1000),IF(K96&lt;1.6,J96/100/0.1769/炼钢参数表!K96*1000,(J96-0.08)/100/0.1769/炼钢参数表!K96*1000))))</f>
        <v>10.5992085924251</v>
      </c>
      <c r="AC96" s="8">
        <f>IF((BA96-AB96*$BB$4*0.9/1000-AL96*BF$4*炼钢参数表!$X$5/1000-AM96*BG$4*炼钢参数表!$X$5/1000)&lt;(K96-炼钢参数表!J96-AB96*0.6566*炼钢参数表!L96/10)*0.082,0,(K96-炼钢参数表!J96-AB96*0.6566*炼钢参数表!L96/10)/100/($AC$3/100)/炼钢参数表!L96*1000)</f>
        <v>3.9527116669166298</v>
      </c>
      <c r="AD96" s="8">
        <f>IF((BA96-AB96*$BB$4*0.9/1000-AC96*$BC$4*0.9/1000-AL96*BF$4*炼钢参数表!$X$5/1000-AM96*BG$4*炼钢参数表!$X$5/1000)&lt;=(K96-炼钢参数表!J96-AB96*0.6566*炼钢参数表!L96/10-AC96*($AC$3/100)*炼钢参数表!L96/10)*0.02,0,((K96-炼钢参数表!J96-AB96*0.6566*炼钢参数表!L96/10-AC96*($AC$3/100)*炼钢参数表!L96/10)/100/($AD$3/100)/炼钢参数表!L96*1000))</f>
        <v>0</v>
      </c>
      <c r="AE96" s="8">
        <f>(K96-炼钢参数表!J96-AB96*0.6566*炼钢参数表!L96/10-AC96*($AC$3/100)*炼钢参数表!L96/10-AD96*($AD$3/100)*炼钢参数表!L96/10)/100/($AE$3/100)/炼钢参数表!L96*1000</f>
        <v>0</v>
      </c>
      <c r="AF96" s="8">
        <v>0</v>
      </c>
      <c r="AG96" s="8">
        <f>IF(J96&lt;=0.04,0,((J96-(AB96*0.1769*炼钢参数表!K96/1000*100))/100/炼钢参数表!K96/($AG$3/100)*1000))</f>
        <v>0</v>
      </c>
      <c r="AH96" s="8">
        <v>1.3662663130713899</v>
      </c>
      <c r="AI96" s="8">
        <f>IF(N96="",0,IF(N96&lt;=0.002,0,((N96)/100)/($AI$3/100)/炼钢参数表!M96*1000))</f>
        <v>0</v>
      </c>
      <c r="AJ96" s="8">
        <f>IF(O96="",0,IF(O96&lt;=0.002,0,((O96)/100)/($AJ$3/100)/炼钢参数表!N96*1000))</f>
        <v>0.31377864799056099</v>
      </c>
      <c r="AK96" s="8">
        <f>IF(P96="",0,IF(P96&lt;=0.002,0,((P96+0.005)/100)/($AK$3/100)/炼钢参数表!O96*1000))</f>
        <v>0.798307587913623</v>
      </c>
      <c r="AL96" s="8">
        <f>IF((BA96-J96*0.00003-K96*0.00024)&lt;=0.05,0,IF(T96="",0,IF(T96&lt;=0.03,0,IF(((BA96-J96*0.00003-K96*0.00024)-0.05)/0.18/100/($AL$3/100)/炼钢参数表!P96*1000&lt;=T96/100/($AL$3/100)/炼钢参数表!P96*1000,((BA96-J96*0.00003-K96*0.00024)-0.05)/0.18/100/($AL$3/100)/炼钢参数表!P96*1000,T96/100/($AL$3/100)/炼钢参数表!P96*1000))))</f>
        <v>0</v>
      </c>
      <c r="AM96" s="8">
        <f>IF(T96="",0,IF(T96&lt;=0.03,0,((T96-AL96*($AL$3/100)*炼钢参数表!P96/10)/100/($AM$3/100)/炼钢参数表!P96*1000)))</f>
        <v>0</v>
      </c>
      <c r="AN96" s="8">
        <f>IF(U96="",0,IF(U96&lt;=0.02,0,(U96/100)/($AN$3/100)/炼钢参数表!Q96*1000))</f>
        <v>0</v>
      </c>
      <c r="AO96" s="8">
        <f>IF(V96="",0,IF(V96&lt;=0.02,0,(V96/100)/($AO$3/100)/炼钢参数表!R96*1000))</f>
        <v>0</v>
      </c>
      <c r="AP96" s="8">
        <f>IF(W96="",0,IF(W96&lt;=0.02,0,(W96/100)/($AP$3/100)/炼钢参数表!S96*1000))</f>
        <v>0</v>
      </c>
      <c r="AQ96" s="8">
        <f>IF(X96="",0,IF(X96&lt;=0.0002,0,(X96/100)/($AQ$3/100)/炼钢参数表!T96*1000))</f>
        <v>0</v>
      </c>
      <c r="AR96" s="8">
        <f>IF(Y96="",0,IF(Y96&lt;=0.02,0,(Y96/100)/($AR$3/100)/炼钢参数表!U96*1000))</f>
        <v>0</v>
      </c>
      <c r="AS96" s="8">
        <f>IF(L96&lt;=0.04,0,((L96-0.04)/100)/($AS$3/100)/炼钢参数表!V96*1000)</f>
        <v>0</v>
      </c>
      <c r="AT96" s="8">
        <f>IF(M96&lt;=0.03,0,((M96-0.03)/100)/($AT$3/100)/炼钢参数表!W96*1000)</f>
        <v>0</v>
      </c>
      <c r="AU96" s="6"/>
      <c r="AV96" s="8">
        <f t="shared" si="6"/>
        <v>17.030272808317299</v>
      </c>
      <c r="AW96" s="8" cm="1">
        <f t="array" ref="AW96">SUMPRODUCT($AB$4:$AU$4,AB96:AU96)/1000</f>
        <v>198.70437363787099</v>
      </c>
      <c r="AY96" s="2" t="str">
        <f t="shared" si="7"/>
        <v>Q420C-1</v>
      </c>
      <c r="AZ96" s="37">
        <f>VLOOKUP(AY96,炼钢参数表!$F$5:$J$1027,4,0)</f>
        <v>7.0999999999999994E-2</v>
      </c>
      <c r="BA96" s="37">
        <f t="shared" si="8"/>
        <v>6.9000000000000006E-2</v>
      </c>
      <c r="BB96" s="37">
        <f>AB96*$BB$4*炼钢参数表!$X$5/1000</f>
        <v>1.6407574901074098E-2</v>
      </c>
      <c r="BC96" s="37">
        <f>AC96*$BC$4*炼钢参数表!$X$5/1000</f>
        <v>2.3799276946505001E-2</v>
      </c>
      <c r="BD96" s="37">
        <f>AD96*$BD$4*炼钢参数表!$X$5/1000</f>
        <v>0</v>
      </c>
      <c r="BE96" s="37">
        <f>AE96*$BE$4*炼钢参数表!$X$5/1000</f>
        <v>0</v>
      </c>
      <c r="BF96" s="37">
        <f>AL96*$BF$4*炼钢参数表!$X$5/1000</f>
        <v>0</v>
      </c>
      <c r="BG96" s="37">
        <f>AM96*$BG$4*炼钢参数表!$X$5/1000</f>
        <v>0</v>
      </c>
      <c r="BH96" s="37">
        <f t="shared" si="9"/>
        <v>4.0206851847579099E-2</v>
      </c>
      <c r="BI96" s="37">
        <f t="shared" si="10"/>
        <v>0.111206851847579</v>
      </c>
      <c r="BJ96" s="37">
        <f t="shared" si="11"/>
        <v>-2.87931481524209E-2</v>
      </c>
      <c r="BK96" s="54"/>
      <c r="BL96" s="7"/>
    </row>
    <row r="97" spans="1:65" s="18" customFormat="1" x14ac:dyDescent="0.3">
      <c r="A97" s="21">
        <v>93</v>
      </c>
      <c r="B97" s="4" t="s">
        <v>152</v>
      </c>
      <c r="C97" s="4" t="s">
        <v>26</v>
      </c>
      <c r="D97" s="4">
        <v>10.01</v>
      </c>
      <c r="E97" s="4">
        <v>24</v>
      </c>
      <c r="F97" s="4" t="s">
        <v>151</v>
      </c>
      <c r="G97" s="4" t="s">
        <v>150</v>
      </c>
      <c r="H97" s="4">
        <v>1516</v>
      </c>
      <c r="I97" s="4">
        <v>0.14000000000000001</v>
      </c>
      <c r="J97" s="4">
        <v>0.15</v>
      </c>
      <c r="K97" s="4">
        <v>1.2</v>
      </c>
      <c r="L97" s="4">
        <v>1.4999999999999999E-2</v>
      </c>
      <c r="M97" s="4">
        <v>5.0000000000000001E-3</v>
      </c>
      <c r="N97" s="4">
        <v>0</v>
      </c>
      <c r="O97" s="4">
        <v>0.02</v>
      </c>
      <c r="P97" s="4">
        <v>3.5000000000000003E-2</v>
      </c>
      <c r="Q97" s="4">
        <v>0.02</v>
      </c>
      <c r="R97" s="4" t="s">
        <v>631</v>
      </c>
      <c r="S97" s="4">
        <v>0</v>
      </c>
      <c r="T97" s="4">
        <v>0</v>
      </c>
      <c r="U97" s="4">
        <v>0</v>
      </c>
      <c r="V97" s="4">
        <v>0</v>
      </c>
      <c r="W97" s="4" t="s">
        <v>631</v>
      </c>
      <c r="X97" s="4" t="s">
        <v>631</v>
      </c>
      <c r="Y97" s="4"/>
      <c r="Z97" s="4">
        <v>45</v>
      </c>
      <c r="AA97" s="53"/>
      <c r="AB97" s="42">
        <f>IF(J97&lt;=0.04,0,IF((BA97-AL97*BF$4*炼钢参数表!$X$5/1000-AM97*BG$4*炼钢参数表!$X$5/1000)&lt;=0.03,0,IF((J97/100/0.1769/炼钢参数表!K97*1000)&gt;(K97-炼钢参数表!J97)/100/0.6566/炼钢参数表!L97*1000,IF(K97&lt;1.6,(K97-炼钢参数表!J97)/100/0.6566/炼钢参数表!L97*1000,(K97-0.08-炼钢参数表!J97)/100/0.6566/炼钢参数表!L97*1000),IF(K97&lt;1.6,J97/100/0.1769/炼钢参数表!K97*1000,(J97-0.08)/100/0.1769/炼钢参数表!K97*1000))))</f>
        <v>10.5992085924251</v>
      </c>
      <c r="AC97" s="8">
        <f>IF((BA97-AB97*$BB$4*0.9/1000-AL97*BF$4*炼钢参数表!$X$5/1000-AM97*BG$4*炼钢参数表!$X$5/1000)&lt;(K97-炼钢参数表!J97-AB97*0.6566*炼钢参数表!L97/10)*0.082,0,(K97-炼钢参数表!J97-AB97*0.6566*炼钢参数表!L97/10)/100/($AC$3/100)/炼钢参数表!L97*1000)</f>
        <v>5.2749563824972299</v>
      </c>
      <c r="AD97" s="8">
        <f>IF((BA97-AB97*$BB$4*0.9/1000-AC97*$BC$4*0.9/1000-AL97*BF$4*炼钢参数表!$X$5/1000-AM97*BG$4*炼钢参数表!$X$5/1000)&lt;=(K97-炼钢参数表!J97-AB97*0.6566*炼钢参数表!L97/10-AC97*($AC$3/100)*炼钢参数表!L97/10)*0.02,0,((K97-炼钢参数表!J97-AB97*0.6566*炼钢参数表!L97/10-AC97*($AC$3/100)*炼钢参数表!L97/10)/100/($AD$3/100)/炼钢参数表!L97*1000))</f>
        <v>0</v>
      </c>
      <c r="AE97" s="8">
        <f>(K97-炼钢参数表!J97-AB97*0.6566*炼钢参数表!L97/10-AC97*($AC$3/100)*炼钢参数表!L97/10-AD97*($AD$3/100)*炼钢参数表!L97/10)/100/($AE$3/100)/炼钢参数表!L97*1000</f>
        <v>0</v>
      </c>
      <c r="AF97" s="8">
        <v>0</v>
      </c>
      <c r="AG97" s="8">
        <f>IF(J97&lt;=0.04,0,((J97-(AB97*0.1769*炼钢参数表!K97/1000*100))/100/炼钢参数表!K97/($AG$3/100)*1000))</f>
        <v>0</v>
      </c>
      <c r="AH97" s="8">
        <v>1.42001633532601</v>
      </c>
      <c r="AI97" s="8">
        <f>IF(N97="",0,IF(N97&lt;=0.002,0,((N97)/100)/($AI$3/100)/炼钢参数表!M97*1000))</f>
        <v>0</v>
      </c>
      <c r="AJ97" s="8">
        <f>IF(O97="",0,IF(O97&lt;=0.002,0,((O97)/100)/($AJ$3/100)/炼钢参数表!N97*1000))</f>
        <v>0.31377864799056099</v>
      </c>
      <c r="AK97" s="8">
        <f>IF(P97="",0,IF(P97&lt;=0.002,0,((P97+0.005)/100)/($AK$3/100)/炼钢参数表!O97*1000))</f>
        <v>0.798307587913623</v>
      </c>
      <c r="AL97" s="8">
        <f>IF((BA97-J97*0.00003-K97*0.00024)&lt;=0.05,0,IF(T97="",0,IF(T97&lt;=0.03,0,IF(((BA97-J97*0.00003-K97*0.00024)-0.05)/0.18/100/($AL$3/100)/炼钢参数表!P97*1000&lt;=T97/100/($AL$3/100)/炼钢参数表!P97*1000,((BA97-J97*0.00003-K97*0.00024)-0.05)/0.18/100/($AL$3/100)/炼钢参数表!P97*1000,T97/100/($AL$3/100)/炼钢参数表!P97*1000))))</f>
        <v>0</v>
      </c>
      <c r="AM97" s="8">
        <f>IF(T97="",0,IF(T97&lt;=0.03,0,((T97-AL97*($AL$3/100)*炼钢参数表!P97/10)/100/($AM$3/100)/炼钢参数表!P97*1000)))</f>
        <v>0</v>
      </c>
      <c r="AN97" s="8">
        <f>IF(U97="",0,IF(U97&lt;=0.02,0,(U97/100)/($AN$3/100)/炼钢参数表!Q97*1000))</f>
        <v>0</v>
      </c>
      <c r="AO97" s="8">
        <f>IF(V97="",0,IF(V97&lt;=0.02,0,(V97/100)/($AO$3/100)/炼钢参数表!R97*1000))</f>
        <v>0</v>
      </c>
      <c r="AP97" s="8">
        <f>IF(W97="",0,IF(W97&lt;=0.02,0,(W97/100)/($AP$3/100)/炼钢参数表!S97*1000))</f>
        <v>0</v>
      </c>
      <c r="AQ97" s="8">
        <f>IF(X97="",0,IF(X97&lt;=0.0002,0,(X97/100)/($AQ$3/100)/炼钢参数表!T97*1000))</f>
        <v>0</v>
      </c>
      <c r="AR97" s="8">
        <f>IF(Y97="",0,IF(Y97&lt;=0.02,0,(Y97/100)/($AR$3/100)/炼钢参数表!U97*1000))</f>
        <v>0</v>
      </c>
      <c r="AS97" s="8">
        <f>IF(L97&lt;=0.04,0,((L97-0.04)/100)/($AS$3/100)/炼钢参数表!V97*1000)</f>
        <v>0</v>
      </c>
      <c r="AT97" s="8">
        <f>IF(M97&lt;=0.03,0,((M97-0.03)/100)/($AT$3/100)/炼钢参数表!W97*1000)</f>
        <v>0</v>
      </c>
      <c r="AU97" s="6"/>
      <c r="AV97" s="8">
        <f t="shared" si="6"/>
        <v>18.406267546152499</v>
      </c>
      <c r="AW97" s="8" cm="1">
        <f t="array" ref="AW97">SUMPRODUCT($AB$4:$AU$4,AB97:AU97)/1000</f>
        <v>207.89697161941501</v>
      </c>
      <c r="AY97" s="2" t="str">
        <f t="shared" si="7"/>
        <v>Q420C-2</v>
      </c>
      <c r="AZ97" s="37">
        <f>VLOOKUP(AY97,炼钢参数表!$F$5:$J$1027,4,0)</f>
        <v>7.9666666666666705E-2</v>
      </c>
      <c r="BA97" s="37">
        <f t="shared" si="8"/>
        <v>6.0333333333333301E-2</v>
      </c>
      <c r="BB97" s="37">
        <f>AB97*$BB$4*炼钢参数表!$X$5/1000</f>
        <v>1.6407574901074098E-2</v>
      </c>
      <c r="BC97" s="37">
        <f>AC97*$BC$4*炼钢参数表!$X$5/1000</f>
        <v>3.1760512379015803E-2</v>
      </c>
      <c r="BD97" s="37">
        <f>AD97*$BD$4*炼钢参数表!$X$5/1000</f>
        <v>0</v>
      </c>
      <c r="BE97" s="37">
        <f>AE97*$BE$4*炼钢参数表!$X$5/1000</f>
        <v>0</v>
      </c>
      <c r="BF97" s="37">
        <f>AL97*$BF$4*炼钢参数表!$X$5/1000</f>
        <v>0</v>
      </c>
      <c r="BG97" s="37">
        <f>AM97*$BG$4*炼钢参数表!$X$5/1000</f>
        <v>0</v>
      </c>
      <c r="BH97" s="37">
        <f t="shared" si="9"/>
        <v>4.8168087280089901E-2</v>
      </c>
      <c r="BI97" s="37">
        <f t="shared" si="10"/>
        <v>0.127834753946757</v>
      </c>
      <c r="BJ97" s="37">
        <f t="shared" si="11"/>
        <v>-1.21652460532434E-2</v>
      </c>
      <c r="BK97" s="54"/>
      <c r="BL97" s="7"/>
    </row>
    <row r="98" spans="1:65" s="18" customFormat="1" x14ac:dyDescent="0.3">
      <c r="A98" s="21">
        <v>94</v>
      </c>
      <c r="B98" s="4" t="s">
        <v>153</v>
      </c>
      <c r="C98" s="4" t="s">
        <v>23</v>
      </c>
      <c r="D98" s="4">
        <v>3</v>
      </c>
      <c r="E98" s="4">
        <v>10</v>
      </c>
      <c r="F98" s="4" t="s">
        <v>154</v>
      </c>
      <c r="G98" s="50" t="s">
        <v>155</v>
      </c>
      <c r="H98" s="4">
        <v>1516</v>
      </c>
      <c r="I98" s="51">
        <v>0.14000000000000001</v>
      </c>
      <c r="J98" s="52">
        <v>0.15</v>
      </c>
      <c r="K98" s="52">
        <v>1.1000000000000001</v>
      </c>
      <c r="L98" s="51">
        <v>1.2E-2</v>
      </c>
      <c r="M98" s="51">
        <v>5.0000000000000001E-3</v>
      </c>
      <c r="N98" s="51"/>
      <c r="O98" s="51">
        <v>0.02</v>
      </c>
      <c r="P98" s="51">
        <v>3.5000000000000003E-2</v>
      </c>
      <c r="Q98" s="51">
        <v>0.02</v>
      </c>
      <c r="R98" s="51" t="s">
        <v>631</v>
      </c>
      <c r="S98" s="32"/>
      <c r="T98" s="52"/>
      <c r="U98" s="52"/>
      <c r="V98" s="52"/>
      <c r="W98" s="52"/>
      <c r="X98" s="32" t="s">
        <v>631</v>
      </c>
      <c r="Y98" s="53" t="s">
        <v>631</v>
      </c>
      <c r="Z98" s="4">
        <v>45</v>
      </c>
      <c r="AA98" s="53"/>
      <c r="AB98" s="42">
        <f>IF(J98&lt;=0.04,0,IF((BA98-AL98*BF$4*炼钢参数表!$X$5/1000-AM98*BG$4*炼钢参数表!$X$5/1000)&lt;=0.03,0,IF((J98/100/0.1769/炼钢参数表!K98*1000)&gt;(K98-炼钢参数表!J98)/100/0.6566/炼钢参数表!L98*1000,IF(K98&lt;1.6,(K98-炼钢参数表!J98)/100/0.6566/炼钢参数表!L98*1000,(K98-0.08-炼钢参数表!J98)/100/0.6566/炼钢参数表!L98*1000),IF(K98&lt;1.6,J98/100/0.1769/炼钢参数表!K98*1000,(J98-0.08)/100/0.1769/炼钢参数表!K98*1000))))</f>
        <v>10.5992085924251</v>
      </c>
      <c r="AC98" s="8">
        <f>IF((BA98-AB98*$BB$4*0.9/1000-AL98*BF$4*炼钢参数表!$X$5/1000-AM98*BG$4*炼钢参数表!$X$5/1000)&lt;(K98-炼钢参数表!J98-AB98*0.6566*炼钢参数表!L98/10)*0.082,0,(K98-炼钢参数表!J98-AB98*0.6566*炼钢参数表!L98/10)/100/($AC$3/100)/炼钢参数表!L98*1000)</f>
        <v>4.5203650017089902</v>
      </c>
      <c r="AD98" s="8">
        <f>IF((BA98-AB98*$BB$4*0.9/1000-AC98*$BC$4*0.9/1000-AL98*BF$4*炼钢参数表!$X$5/1000-AM98*BG$4*炼钢参数表!$X$5/1000)&lt;=(K98-炼钢参数表!J98-AB98*0.6566*炼钢参数表!L98/10-AC98*($AC$3/100)*炼钢参数表!L98/10)*0.02,0,((K98-炼钢参数表!J98-AB98*0.6566*炼钢参数表!L98/10-AC98*($AC$3/100)*炼钢参数表!L98/10)/100/($AD$3/100)/炼钢参数表!L98*1000))</f>
        <v>0</v>
      </c>
      <c r="AE98" s="8">
        <f>(K98-炼钢参数表!J98-AB98*0.6566*炼钢参数表!L98/10-AC98*($AC$3/100)*炼钢参数表!L98/10-AD98*($AD$3/100)*炼钢参数表!L98/10)/100/($AE$3/100)/炼钢参数表!L98*1000</f>
        <v>0</v>
      </c>
      <c r="AF98" s="8">
        <v>0</v>
      </c>
      <c r="AG98" s="8">
        <f>IF(J98&lt;=0.04,0,((J98-(AB98*0.1769*炼钢参数表!K98/1000*100))/100/炼钢参数表!K98/($AG$3/100)*1000))</f>
        <v>0</v>
      </c>
      <c r="AH98" s="8">
        <v>1.33</v>
      </c>
      <c r="AI98" s="8">
        <f>IF(N98="",0,IF(N98&lt;=0.002,0,((N98)/100)/($AI$3/100)/炼钢参数表!M98*1000))</f>
        <v>0</v>
      </c>
      <c r="AJ98" s="8">
        <f>IF(O98="",0,IF(O98&lt;=0.002,0,((O98)/100)/($AJ$3/100)/炼钢参数表!N98*1000))</f>
        <v>0.31377864799056099</v>
      </c>
      <c r="AK98" s="8">
        <f>IF(P98="",0,IF(P98&lt;=0.002,0,((P98+0.005)/100)/($AK$3/100)/炼钢参数表!O98*1000))</f>
        <v>0.798307587913623</v>
      </c>
      <c r="AL98" s="8">
        <f>IF((BA98-J98*0.00003-K98*0.00024)&lt;=0.05,0,IF(T98="",0,IF(T98&lt;=0.03,0,IF(((BA98-J98*0.00003-K98*0.00024)-0.05)/0.18/100/($AL$3/100)/炼钢参数表!P98*1000&lt;=T98/100/($AL$3/100)/炼钢参数表!P98*1000,((BA98-J98*0.00003-K98*0.00024)-0.05)/0.18/100/($AL$3/100)/炼钢参数表!P98*1000,T98/100/($AL$3/100)/炼钢参数表!P98*1000))))</f>
        <v>0</v>
      </c>
      <c r="AM98" s="8">
        <f>IF(T98="",0,IF(T98&lt;=0.03,0,((T98-AL98*($AL$3/100)*炼钢参数表!P98/10)/100/($AM$3/100)/炼钢参数表!P98*1000)))</f>
        <v>0</v>
      </c>
      <c r="AN98" s="8">
        <f>IF(U98="",0,IF(U98&lt;=0.02,0,(U98/100)/($AN$3/100)/炼钢参数表!Q98*1000))</f>
        <v>0</v>
      </c>
      <c r="AO98" s="8">
        <f>IF(V98="",0,IF(V98&lt;=0.02,0,(V98/100)/($AO$3/100)/炼钢参数表!R98*1000))</f>
        <v>0</v>
      </c>
      <c r="AP98" s="8">
        <f>IF(W98="",0,IF(W98&lt;=0.02,0,(W98/100)/($AP$3/100)/炼钢参数表!S98*1000))</f>
        <v>0</v>
      </c>
      <c r="AQ98" s="8">
        <f>IF(X98="",0,IF(X98&lt;=0.0002,0,(X98/100)/($AQ$3/100)/炼钢参数表!T98*1000))</f>
        <v>0</v>
      </c>
      <c r="AR98" s="8">
        <f>IF(Y98="",0,IF(Y98&lt;=0.02,0,(Y98/100)/($AR$3/100)/炼钢参数表!U98*1000))</f>
        <v>0</v>
      </c>
      <c r="AS98" s="8">
        <f>IF(L98&lt;=0.04,0,((L98-0.04)/100)/($AS$3/100)/炼钢参数表!V98*1000)</f>
        <v>0</v>
      </c>
      <c r="AT98" s="8">
        <f>IF(M98&lt;=0.03,0,((M98-0.03)/100)/($AT$3/100)/炼钢参数表!W98*1000)</f>
        <v>0</v>
      </c>
      <c r="AU98" s="6"/>
      <c r="AV98" s="8">
        <f t="shared" ref="AV98:AV136" si="12">SUM(AB98:AU98)</f>
        <v>17.561659830038298</v>
      </c>
      <c r="AW98" s="8" cm="1">
        <f t="array" ref="AW98">SUMPRODUCT($AB$4:$AU$4,AB98:AU98)/1000</f>
        <v>201.32532431786899</v>
      </c>
      <c r="AY98" s="2" t="str">
        <f t="shared" ref="AY98:AY127" si="13">F98</f>
        <v>Q420MD-1</v>
      </c>
      <c r="AZ98" s="37">
        <f>VLOOKUP(AY98,炼钢参数表!$F$5:$J$1027,4,0)</f>
        <v>4.8500000000000001E-2</v>
      </c>
      <c r="BA98" s="37">
        <f t="shared" ref="BA98:BA127" si="14">I98-AZ98</f>
        <v>9.1499999999999998E-2</v>
      </c>
      <c r="BB98" s="37">
        <f>AB98*$BB$4*炼钢参数表!$X$5/1000</f>
        <v>1.6407574901074098E-2</v>
      </c>
      <c r="BC98" s="37">
        <f>AC98*$BC$4*炼钢参数表!$X$5/1000</f>
        <v>2.7217117675289799E-2</v>
      </c>
      <c r="BD98" s="37">
        <f>AD98*$BD$4*炼钢参数表!$X$5/1000</f>
        <v>0</v>
      </c>
      <c r="BE98" s="37">
        <f>AE98*$BE$4*炼钢参数表!$X$5/1000</f>
        <v>0</v>
      </c>
      <c r="BF98" s="37">
        <f>AL98*$BF$4*炼钢参数表!$X$5/1000</f>
        <v>0</v>
      </c>
      <c r="BG98" s="37">
        <f>AM98*$BG$4*炼钢参数表!$X$5/1000</f>
        <v>0</v>
      </c>
      <c r="BH98" s="37">
        <f t="shared" ref="BH98:BH127" si="15">SUM(BB98:BG98)</f>
        <v>4.3624692576363901E-2</v>
      </c>
      <c r="BI98" s="37">
        <f t="shared" ref="BI98:BI127" si="16">AZ98+BH98</f>
        <v>9.2124692576363895E-2</v>
      </c>
      <c r="BJ98" s="37">
        <f t="shared" ref="BJ98:BJ127" si="17">BI98-I98</f>
        <v>-4.7875307423636097E-2</v>
      </c>
      <c r="BK98" s="54"/>
      <c r="BL98" s="7"/>
    </row>
    <row r="99" spans="1:65" s="18" customFormat="1" x14ac:dyDescent="0.3">
      <c r="A99" s="21">
        <v>95</v>
      </c>
      <c r="B99" s="4" t="s">
        <v>153</v>
      </c>
      <c r="C99" s="4" t="s">
        <v>26</v>
      </c>
      <c r="D99" s="4">
        <v>10.01</v>
      </c>
      <c r="E99" s="4">
        <v>25</v>
      </c>
      <c r="F99" s="4" t="s">
        <v>156</v>
      </c>
      <c r="G99" s="50" t="s">
        <v>155</v>
      </c>
      <c r="H99" s="4">
        <v>1516</v>
      </c>
      <c r="I99" s="51">
        <v>0.14000000000000001</v>
      </c>
      <c r="J99" s="52">
        <v>0.15</v>
      </c>
      <c r="K99" s="52">
        <v>1.2</v>
      </c>
      <c r="L99" s="51">
        <v>1.2E-2</v>
      </c>
      <c r="M99" s="51">
        <v>5.0000000000000001E-3</v>
      </c>
      <c r="N99" s="51"/>
      <c r="O99" s="51">
        <v>0.02</v>
      </c>
      <c r="P99" s="51">
        <v>3.5000000000000003E-2</v>
      </c>
      <c r="Q99" s="51">
        <v>0.02</v>
      </c>
      <c r="R99" s="51" t="s">
        <v>631</v>
      </c>
      <c r="S99" s="32"/>
      <c r="T99" s="52"/>
      <c r="U99" s="52"/>
      <c r="V99" s="52"/>
      <c r="W99" s="52"/>
      <c r="X99" s="32" t="s">
        <v>631</v>
      </c>
      <c r="Y99" s="53" t="s">
        <v>631</v>
      </c>
      <c r="Z99" s="4">
        <v>45</v>
      </c>
      <c r="AA99" s="53"/>
      <c r="AB99" s="42">
        <f>IF(J99&lt;=0.04,0,IF((BA99-AL99*BF$4*炼钢参数表!$X$5/1000-AM99*BG$4*炼钢参数表!$X$5/1000)&lt;=0.03,0,IF((J99/100/0.1769/炼钢参数表!K99*1000)&gt;(K99-炼钢参数表!J99)/100/0.6566/炼钢参数表!L99*1000,IF(K99&lt;1.6,(K99-炼钢参数表!J99)/100/0.6566/炼钢参数表!L99*1000,(K99-0.08-炼钢参数表!J99)/100/0.6566/炼钢参数表!L99*1000),IF(K99&lt;1.6,J99/100/0.1769/炼钢参数表!K99*1000,(J99-0.08)/100/0.1769/炼钢参数表!K99*1000))))</f>
        <v>10.5992085924251</v>
      </c>
      <c r="AC99" s="8">
        <f>IF((BA99-AB99*$BB$4*0.9/1000-AL99*BF$4*炼钢参数表!$X$5/1000-AM99*BG$4*炼钢参数表!$X$5/1000)&lt;(K99-炼钢参数表!J99-AB99*0.6566*炼钢参数表!L99/10)*0.082,0,(K99-炼钢参数表!J99-AB99*0.6566*炼钢参数表!L99/10)/100/($AC$3/100)/炼钢参数表!L99*1000)</f>
        <v>5.7650988201693503</v>
      </c>
      <c r="AD99" s="8">
        <f>IF((BA99-AB99*$BB$4*0.9/1000-AC99*$BC$4*0.9/1000-AL99*BF$4*炼钢参数表!$X$5/1000-AM99*BG$4*炼钢参数表!$X$5/1000)&lt;=(K99-炼钢参数表!J99-AB99*0.6566*炼钢参数表!L99/10-AC99*($AC$3/100)*炼钢参数表!L99/10)*0.02,0,((K99-炼钢参数表!J99-AB99*0.6566*炼钢参数表!L99/10-AC99*($AC$3/100)*炼钢参数表!L99/10)/100/($AD$3/100)/炼钢参数表!L99*1000))</f>
        <v>0</v>
      </c>
      <c r="AE99" s="8">
        <f>(K99-炼钢参数表!J99-AB99*0.6566*炼钢参数表!L99/10-AC99*($AC$3/100)*炼钢参数表!L99/10-AD99*($AD$3/100)*炼钢参数表!L99/10)/100/($AE$3/100)/炼钢参数表!L99*1000</f>
        <v>0</v>
      </c>
      <c r="AF99" s="8">
        <v>0</v>
      </c>
      <c r="AG99" s="8">
        <f>IF(J99&lt;=0.04,0,((J99-(AB99*0.1769*炼钢参数表!K99/1000*100))/100/炼钢参数表!K99/($AG$3/100)*1000))</f>
        <v>0</v>
      </c>
      <c r="AH99" s="8">
        <v>1.33</v>
      </c>
      <c r="AI99" s="8">
        <f>IF(N99="",0,IF(N99&lt;=0.002,0,((N99)/100)/($AI$3/100)/炼钢参数表!M99*1000))</f>
        <v>0</v>
      </c>
      <c r="AJ99" s="8">
        <f>IF(O99="",0,IF(O99&lt;=0.002,0,((O99)/100)/($AJ$3/100)/炼钢参数表!N99*1000))</f>
        <v>0.31377864799056099</v>
      </c>
      <c r="AK99" s="8">
        <f>IF(P99="",0,IF(P99&lt;=0.002,0,((P99+0.005)/100)/($AK$3/100)/炼钢参数表!O99*1000))</f>
        <v>0.798307587913623</v>
      </c>
      <c r="AL99" s="8">
        <f>IF((BA99-J99*0.00003-K99*0.00024)&lt;=0.05,0,IF(T99="",0,IF(T99&lt;=0.03,0,IF(((BA99-J99*0.00003-K99*0.00024)-0.05)/0.18/100/($AL$3/100)/炼钢参数表!P99*1000&lt;=T99/100/($AL$3/100)/炼钢参数表!P99*1000,((BA99-J99*0.00003-K99*0.00024)-0.05)/0.18/100/($AL$3/100)/炼钢参数表!P99*1000,T99/100/($AL$3/100)/炼钢参数表!P99*1000))))</f>
        <v>0</v>
      </c>
      <c r="AM99" s="8">
        <f>IF(T99="",0,IF(T99&lt;=0.03,0,((T99-AL99*($AL$3/100)*炼钢参数表!P99/10)/100/($AM$3/100)/炼钢参数表!P99*1000)))</f>
        <v>0</v>
      </c>
      <c r="AN99" s="8">
        <f>IF(U99="",0,IF(U99&lt;=0.02,0,(U99/100)/($AN$3/100)/炼钢参数表!Q99*1000))</f>
        <v>0</v>
      </c>
      <c r="AO99" s="8">
        <f>IF(V99="",0,IF(V99&lt;=0.02,0,(V99/100)/($AO$3/100)/炼钢参数表!R99*1000))</f>
        <v>0</v>
      </c>
      <c r="AP99" s="8">
        <f>IF(W99="",0,IF(W99&lt;=0.02,0,(W99/100)/($AP$3/100)/炼钢参数表!S99*1000))</f>
        <v>0</v>
      </c>
      <c r="AQ99" s="8">
        <f>IF(X99="",0,IF(X99&lt;=0.0002,0,(X99/100)/($AQ$3/100)/炼钢参数表!T99*1000))</f>
        <v>0</v>
      </c>
      <c r="AR99" s="8">
        <f>IF(Y99="",0,IF(Y99&lt;=0.02,0,(Y99/100)/($AR$3/100)/炼钢参数表!U99*1000))</f>
        <v>0</v>
      </c>
      <c r="AS99" s="8">
        <f>IF(L99&lt;=0.04,0,((L99-0.04)/100)/($AS$3/100)/炼钢参数表!V99*1000)</f>
        <v>0</v>
      </c>
      <c r="AT99" s="8">
        <f>IF(M99&lt;=0.03,0,((M99-0.03)/100)/($AT$3/100)/炼钢参数表!W99*1000)</f>
        <v>0</v>
      </c>
      <c r="AU99" s="6"/>
      <c r="AV99" s="8">
        <f t="shared" si="12"/>
        <v>18.806393648498599</v>
      </c>
      <c r="AW99" s="8" cm="1">
        <f t="array" ref="AW99">SUMPRODUCT($AB$4:$AU$4,AB99:AU99)/1000</f>
        <v>208.848803946262</v>
      </c>
      <c r="AY99" s="2" t="str">
        <f t="shared" si="13"/>
        <v>Q420MD-2</v>
      </c>
      <c r="AZ99" s="37">
        <f>VLOOKUP(AY99,炼钢参数表!$F$5:$J$1027,4,0)</f>
        <v>5.7000000000000002E-2</v>
      </c>
      <c r="BA99" s="37">
        <f t="shared" si="14"/>
        <v>8.3000000000000004E-2</v>
      </c>
      <c r="BB99" s="37">
        <f>AB99*$BB$4*炼钢参数表!$X$5/1000</f>
        <v>1.6407574901074098E-2</v>
      </c>
      <c r="BC99" s="37">
        <f>AC99*$BC$4*炼钢参数表!$X$5/1000</f>
        <v>3.4711659996239597E-2</v>
      </c>
      <c r="BD99" s="37">
        <f>AD99*$BD$4*炼钢参数表!$X$5/1000</f>
        <v>0</v>
      </c>
      <c r="BE99" s="37">
        <f>AE99*$BE$4*炼钢参数表!$X$5/1000</f>
        <v>0</v>
      </c>
      <c r="BF99" s="37">
        <f>AL99*$BF$4*炼钢参数表!$X$5/1000</f>
        <v>0</v>
      </c>
      <c r="BG99" s="37">
        <f>AM99*$BG$4*炼钢参数表!$X$5/1000</f>
        <v>0</v>
      </c>
      <c r="BH99" s="37">
        <f t="shared" si="15"/>
        <v>5.1119234897313702E-2</v>
      </c>
      <c r="BI99" s="37">
        <f t="shared" si="16"/>
        <v>0.108119234897314</v>
      </c>
      <c r="BJ99" s="37">
        <f t="shared" si="17"/>
        <v>-3.1880765102686302E-2</v>
      </c>
      <c r="BK99" s="54"/>
      <c r="BL99" s="7"/>
    </row>
    <row r="100" spans="1:65" s="18" customFormat="1" x14ac:dyDescent="0.3">
      <c r="A100" s="21">
        <v>96</v>
      </c>
      <c r="B100" s="4" t="s">
        <v>157</v>
      </c>
      <c r="C100" s="4" t="s">
        <v>23</v>
      </c>
      <c r="D100" s="4">
        <v>3</v>
      </c>
      <c r="E100" s="4">
        <v>10</v>
      </c>
      <c r="F100" s="4" t="s">
        <v>154</v>
      </c>
      <c r="G100" s="50" t="s">
        <v>155</v>
      </c>
      <c r="H100" s="4">
        <v>1516</v>
      </c>
      <c r="I100" s="51">
        <v>0.14000000000000001</v>
      </c>
      <c r="J100" s="52">
        <v>0.15</v>
      </c>
      <c r="K100" s="52">
        <v>1.1000000000000001</v>
      </c>
      <c r="L100" s="51">
        <v>1.2E-2</v>
      </c>
      <c r="M100" s="51">
        <v>5.0000000000000001E-3</v>
      </c>
      <c r="N100" s="51"/>
      <c r="O100" s="51">
        <v>0.02</v>
      </c>
      <c r="P100" s="51">
        <v>3.5000000000000003E-2</v>
      </c>
      <c r="Q100" s="51">
        <v>0.02</v>
      </c>
      <c r="R100" s="51" t="s">
        <v>631</v>
      </c>
      <c r="S100" s="32"/>
      <c r="T100" s="52"/>
      <c r="U100" s="52"/>
      <c r="V100" s="52"/>
      <c r="W100" s="52"/>
      <c r="X100" s="32" t="s">
        <v>631</v>
      </c>
      <c r="Y100" s="53" t="s">
        <v>631</v>
      </c>
      <c r="Z100" s="4">
        <v>45</v>
      </c>
      <c r="AA100" s="53"/>
      <c r="AB100" s="42">
        <f>IF(J100&lt;=0.04,0,IF((BA100-AL100*BF$4*炼钢参数表!$X$5/1000-AM100*BG$4*炼钢参数表!$X$5/1000)&lt;=0.03,0,IF((J100/100/0.1769/炼钢参数表!K100*1000)&gt;(K100-炼钢参数表!J100)/100/0.6566/炼钢参数表!L100*1000,IF(K100&lt;1.6,(K100-炼钢参数表!J100)/100/0.6566/炼钢参数表!L100*1000,(K100-0.08-炼钢参数表!J100)/100/0.6566/炼钢参数表!L100*1000),IF(K100&lt;1.6,J100/100/0.1769/炼钢参数表!K100*1000,(J100-0.08)/100/0.1769/炼钢参数表!K100*1000))))</f>
        <v>10.5992085924251</v>
      </c>
      <c r="AC100" s="8">
        <f>IF((BA100-AB100*$BB$4*0.9/1000-AL100*BF$4*炼钢参数表!$X$5/1000-AM100*BG$4*炼钢参数表!$X$5/1000)&lt;(K100-炼钢参数表!J100-AB100*0.6566*炼钢参数表!L100/10)*0.082,0,(K100-炼钢参数表!J100-AB100*0.6566*炼钢参数表!L100/10)/100/($AC$3/100)/炼钢参数表!L100*1000)</f>
        <v>4.5203650017089902</v>
      </c>
      <c r="AD100" s="8">
        <f>IF((BA100-AB100*$BB$4*0.9/1000-AC100*$BC$4*0.9/1000-AL100*BF$4*炼钢参数表!$X$5/1000-AM100*BG$4*炼钢参数表!$X$5/1000)&lt;=(K100-炼钢参数表!J100-AB100*0.6566*炼钢参数表!L100/10-AC100*($AC$3/100)*炼钢参数表!L100/10)*0.02,0,((K100-炼钢参数表!J100-AB100*0.6566*炼钢参数表!L100/10-AC100*($AC$3/100)*炼钢参数表!L100/10)/100/($AD$3/100)/炼钢参数表!L100*1000))</f>
        <v>0</v>
      </c>
      <c r="AE100" s="8">
        <f>(K100-炼钢参数表!J100-AB100*0.6566*炼钢参数表!L100/10-AC100*($AC$3/100)*炼钢参数表!L100/10-AD100*($AD$3/100)*炼钢参数表!L100/10)/100/($AE$3/100)/炼钢参数表!L100*1000</f>
        <v>0</v>
      </c>
      <c r="AF100" s="8">
        <v>0</v>
      </c>
      <c r="AG100" s="8">
        <f>IF(J100&lt;=0.04,0,((J100-(AB100*0.1769*炼钢参数表!K100/1000*100))/100/炼钢参数表!K100/($AG$3/100)*1000))</f>
        <v>0</v>
      </c>
      <c r="AH100" s="8">
        <v>1.33</v>
      </c>
      <c r="AI100" s="8">
        <f>IF(N100="",0,IF(N100&lt;=0.002,0,((N100)/100)/($AI$3/100)/炼钢参数表!M100*1000))</f>
        <v>0</v>
      </c>
      <c r="AJ100" s="8">
        <f>IF(O100="",0,IF(O100&lt;=0.002,0,((O100)/100)/($AJ$3/100)/炼钢参数表!N100*1000))</f>
        <v>0.31377864799056099</v>
      </c>
      <c r="AK100" s="8">
        <f>IF(P100="",0,IF(P100&lt;=0.002,0,((P100+0.005)/100)/($AK$3/100)/炼钢参数表!O100*1000))</f>
        <v>0.798307587913623</v>
      </c>
      <c r="AL100" s="8">
        <f>IF((BA100-J100*0.00003-K100*0.00024)&lt;=0.05,0,IF(T100="",0,IF(T100&lt;=0.03,0,IF(((BA100-J100*0.00003-K100*0.00024)-0.05)/0.18/100/($AL$3/100)/炼钢参数表!P100*1000&lt;=T100/100/($AL$3/100)/炼钢参数表!P100*1000,((BA100-J100*0.00003-K100*0.00024)-0.05)/0.18/100/($AL$3/100)/炼钢参数表!P100*1000,T100/100/($AL$3/100)/炼钢参数表!P100*1000))))</f>
        <v>0</v>
      </c>
      <c r="AM100" s="8">
        <f>IF(T100="",0,IF(T100&lt;=0.03,0,((T100-AL100*($AL$3/100)*炼钢参数表!P100/10)/100/($AM$3/100)/炼钢参数表!P100*1000)))</f>
        <v>0</v>
      </c>
      <c r="AN100" s="8">
        <f>IF(U100="",0,IF(U100&lt;=0.02,0,(U100/100)/($AN$3/100)/炼钢参数表!Q100*1000))</f>
        <v>0</v>
      </c>
      <c r="AO100" s="8">
        <f>IF(V100="",0,IF(V100&lt;=0.02,0,(V100/100)/($AO$3/100)/炼钢参数表!R100*1000))</f>
        <v>0</v>
      </c>
      <c r="AP100" s="8">
        <f>IF(W100="",0,IF(W100&lt;=0.02,0,(W100/100)/($AP$3/100)/炼钢参数表!S100*1000))</f>
        <v>0</v>
      </c>
      <c r="AQ100" s="8">
        <f>IF(X100="",0,IF(X100&lt;=0.0002,0,(X100/100)/($AQ$3/100)/炼钢参数表!T100*1000))</f>
        <v>0</v>
      </c>
      <c r="AR100" s="8">
        <f>IF(Y100="",0,IF(Y100&lt;=0.02,0,(Y100/100)/($AR$3/100)/炼钢参数表!U100*1000))</f>
        <v>0</v>
      </c>
      <c r="AS100" s="8">
        <f>IF(L100&lt;=0.04,0,((L100-0.04)/100)/($AS$3/100)/炼钢参数表!V100*1000)</f>
        <v>0</v>
      </c>
      <c r="AT100" s="8">
        <f>IF(M100&lt;=0.03,0,((M100-0.03)/100)/($AT$3/100)/炼钢参数表!W100*1000)</f>
        <v>0</v>
      </c>
      <c r="AU100" s="6"/>
      <c r="AV100" s="8">
        <f t="shared" si="12"/>
        <v>17.561659830038298</v>
      </c>
      <c r="AW100" s="8" cm="1">
        <f t="array" ref="AW100">SUMPRODUCT($AB$4:$AU$4,AB100:AU100)/1000</f>
        <v>201.32532431786899</v>
      </c>
      <c r="AY100" s="2" t="str">
        <f t="shared" si="13"/>
        <v>Q420MD-1</v>
      </c>
      <c r="AZ100" s="37">
        <f>VLOOKUP(AY100,炼钢参数表!$F$5:$J$1027,4,0)</f>
        <v>4.8500000000000001E-2</v>
      </c>
      <c r="BA100" s="37">
        <f t="shared" si="14"/>
        <v>9.1499999999999998E-2</v>
      </c>
      <c r="BB100" s="37">
        <f>AB100*$BB$4*炼钢参数表!$X$5/1000</f>
        <v>1.6407574901074098E-2</v>
      </c>
      <c r="BC100" s="37">
        <f>AC100*$BC$4*炼钢参数表!$X$5/1000</f>
        <v>2.7217117675289799E-2</v>
      </c>
      <c r="BD100" s="37">
        <f>AD100*$BD$4*炼钢参数表!$X$5/1000</f>
        <v>0</v>
      </c>
      <c r="BE100" s="37">
        <f>AE100*$BE$4*炼钢参数表!$X$5/1000</f>
        <v>0</v>
      </c>
      <c r="BF100" s="37">
        <f>AL100*$BF$4*炼钢参数表!$X$5/1000</f>
        <v>0</v>
      </c>
      <c r="BG100" s="37">
        <f>AM100*$BG$4*炼钢参数表!$X$5/1000</f>
        <v>0</v>
      </c>
      <c r="BH100" s="37">
        <f t="shared" si="15"/>
        <v>4.3624692576363901E-2</v>
      </c>
      <c r="BI100" s="37">
        <f t="shared" si="16"/>
        <v>9.2124692576363895E-2</v>
      </c>
      <c r="BJ100" s="37">
        <f t="shared" si="17"/>
        <v>-4.7875307423636097E-2</v>
      </c>
      <c r="BK100" s="54"/>
      <c r="BL100" s="7"/>
    </row>
    <row r="101" spans="1:65" s="18" customFormat="1" x14ac:dyDescent="0.3">
      <c r="A101" s="21">
        <v>97</v>
      </c>
      <c r="B101" s="4" t="s">
        <v>157</v>
      </c>
      <c r="C101" s="4" t="s">
        <v>26</v>
      </c>
      <c r="D101" s="4">
        <v>10.01</v>
      </c>
      <c r="E101" s="4">
        <v>25</v>
      </c>
      <c r="F101" s="4" t="s">
        <v>156</v>
      </c>
      <c r="G101" s="50" t="s">
        <v>155</v>
      </c>
      <c r="H101" s="4">
        <v>1516</v>
      </c>
      <c r="I101" s="51">
        <v>0.14000000000000001</v>
      </c>
      <c r="J101" s="52">
        <v>0.15</v>
      </c>
      <c r="K101" s="52">
        <v>1.2</v>
      </c>
      <c r="L101" s="51">
        <v>1.2E-2</v>
      </c>
      <c r="M101" s="51">
        <v>5.0000000000000001E-3</v>
      </c>
      <c r="N101" s="51"/>
      <c r="O101" s="51">
        <v>0.02</v>
      </c>
      <c r="P101" s="51">
        <v>3.5000000000000003E-2</v>
      </c>
      <c r="Q101" s="51">
        <v>0.02</v>
      </c>
      <c r="R101" s="51" t="s">
        <v>631</v>
      </c>
      <c r="S101" s="32"/>
      <c r="T101" s="52"/>
      <c r="U101" s="52"/>
      <c r="V101" s="52"/>
      <c r="W101" s="52"/>
      <c r="X101" s="32" t="s">
        <v>631</v>
      </c>
      <c r="Y101" s="53" t="s">
        <v>631</v>
      </c>
      <c r="Z101" s="4">
        <v>45</v>
      </c>
      <c r="AA101" s="53"/>
      <c r="AB101" s="42">
        <f>IF(J101&lt;=0.04,0,IF((BA101-AL101*BF$4*炼钢参数表!$X$5/1000-AM101*BG$4*炼钢参数表!$X$5/1000)&lt;=0.03,0,IF((J101/100/0.1769/炼钢参数表!K101*1000)&gt;(K101-炼钢参数表!J101)/100/0.6566/炼钢参数表!L101*1000,IF(K101&lt;1.6,(K101-炼钢参数表!J101)/100/0.6566/炼钢参数表!L101*1000,(K101-0.08-炼钢参数表!J101)/100/0.6566/炼钢参数表!L101*1000),IF(K101&lt;1.6,J101/100/0.1769/炼钢参数表!K101*1000,(J101-0.08)/100/0.1769/炼钢参数表!K101*1000))))</f>
        <v>10.5992085924251</v>
      </c>
      <c r="AC101" s="8">
        <f>IF((BA101-AB101*$BB$4*0.9/1000-AL101*BF$4*炼钢参数表!$X$5/1000-AM101*BG$4*炼钢参数表!$X$5/1000)&lt;(K101-炼钢参数表!J101-AB101*0.6566*炼钢参数表!L101/10)*0.082,0,(K101-炼钢参数表!J101-AB101*0.6566*炼钢参数表!L101/10)/100/($AC$3/100)/炼钢参数表!L101*1000)</f>
        <v>5.7650988201693503</v>
      </c>
      <c r="AD101" s="8">
        <f>IF((BA101-AB101*$BB$4*0.9/1000-AC101*$BC$4*0.9/1000-AL101*BF$4*炼钢参数表!$X$5/1000-AM101*BG$4*炼钢参数表!$X$5/1000)&lt;=(K101-炼钢参数表!J101-AB101*0.6566*炼钢参数表!L101/10-AC101*($AC$3/100)*炼钢参数表!L101/10)*0.02,0,((K101-炼钢参数表!J101-AB101*0.6566*炼钢参数表!L101/10-AC101*($AC$3/100)*炼钢参数表!L101/10)/100/($AD$3/100)/炼钢参数表!L101*1000))</f>
        <v>0</v>
      </c>
      <c r="AE101" s="8">
        <f>(K101-炼钢参数表!J101-AB101*0.6566*炼钢参数表!L101/10-AC101*($AC$3/100)*炼钢参数表!L101/10-AD101*($AD$3/100)*炼钢参数表!L101/10)/100/($AE$3/100)/炼钢参数表!L101*1000</f>
        <v>0</v>
      </c>
      <c r="AF101" s="8">
        <v>0</v>
      </c>
      <c r="AG101" s="8">
        <f>IF(J101&lt;=0.04,0,((J101-(AB101*0.1769*炼钢参数表!K101/1000*100))/100/炼钢参数表!K101/($AG$3/100)*1000))</f>
        <v>0</v>
      </c>
      <c r="AH101" s="8">
        <v>1.33</v>
      </c>
      <c r="AI101" s="8">
        <f>IF(N101="",0,IF(N101&lt;=0.002,0,((N101)/100)/($AI$3/100)/炼钢参数表!M101*1000))</f>
        <v>0</v>
      </c>
      <c r="AJ101" s="8">
        <f>IF(O101="",0,IF(O101&lt;=0.002,0,((O101)/100)/($AJ$3/100)/炼钢参数表!N101*1000))</f>
        <v>0.31377864799056099</v>
      </c>
      <c r="AK101" s="8">
        <f>IF(P101="",0,IF(P101&lt;=0.002,0,((P101+0.005)/100)/($AK$3/100)/炼钢参数表!O101*1000))</f>
        <v>0.798307587913623</v>
      </c>
      <c r="AL101" s="8">
        <f>IF((BA101-J101*0.00003-K101*0.00024)&lt;=0.05,0,IF(T101="",0,IF(T101&lt;=0.03,0,IF(((BA101-J101*0.00003-K101*0.00024)-0.05)/0.18/100/($AL$3/100)/炼钢参数表!P101*1000&lt;=T101/100/($AL$3/100)/炼钢参数表!P101*1000,((BA101-J101*0.00003-K101*0.00024)-0.05)/0.18/100/($AL$3/100)/炼钢参数表!P101*1000,T101/100/($AL$3/100)/炼钢参数表!P101*1000))))</f>
        <v>0</v>
      </c>
      <c r="AM101" s="8">
        <f>IF(T101="",0,IF(T101&lt;=0.03,0,((T101-AL101*($AL$3/100)*炼钢参数表!P101/10)/100/($AM$3/100)/炼钢参数表!P101*1000)))</f>
        <v>0</v>
      </c>
      <c r="AN101" s="8">
        <f>IF(U101="",0,IF(U101&lt;=0.02,0,(U101/100)/($AN$3/100)/炼钢参数表!Q101*1000))</f>
        <v>0</v>
      </c>
      <c r="AO101" s="8">
        <f>IF(V101="",0,IF(V101&lt;=0.02,0,(V101/100)/($AO$3/100)/炼钢参数表!R101*1000))</f>
        <v>0</v>
      </c>
      <c r="AP101" s="8">
        <f>IF(W101="",0,IF(W101&lt;=0.02,0,(W101/100)/($AP$3/100)/炼钢参数表!S101*1000))</f>
        <v>0</v>
      </c>
      <c r="AQ101" s="8">
        <f>IF(X101="",0,IF(X101&lt;=0.0002,0,(X101/100)/($AQ$3/100)/炼钢参数表!T101*1000))</f>
        <v>0</v>
      </c>
      <c r="AR101" s="8">
        <f>IF(Y101="",0,IF(Y101&lt;=0.02,0,(Y101/100)/($AR$3/100)/炼钢参数表!U101*1000))</f>
        <v>0</v>
      </c>
      <c r="AS101" s="8">
        <f>IF(L101&lt;=0.04,0,((L101-0.04)/100)/($AS$3/100)/炼钢参数表!V101*1000)</f>
        <v>0</v>
      </c>
      <c r="AT101" s="8">
        <f>IF(M101&lt;=0.03,0,((M101-0.03)/100)/($AT$3/100)/炼钢参数表!W101*1000)</f>
        <v>0</v>
      </c>
      <c r="AU101" s="6"/>
      <c r="AV101" s="8">
        <f t="shared" si="12"/>
        <v>18.806393648498599</v>
      </c>
      <c r="AW101" s="8" cm="1">
        <f t="array" ref="AW101">SUMPRODUCT($AB$4:$AU$4,AB101:AU101)/1000</f>
        <v>208.848803946262</v>
      </c>
      <c r="AY101" s="2" t="str">
        <f t="shared" si="13"/>
        <v>Q420MD-2</v>
      </c>
      <c r="AZ101" s="37">
        <f>VLOOKUP(AY101,炼钢参数表!$F$5:$J$1027,4,0)</f>
        <v>5.7000000000000002E-2</v>
      </c>
      <c r="BA101" s="37">
        <f t="shared" si="14"/>
        <v>8.3000000000000004E-2</v>
      </c>
      <c r="BB101" s="37">
        <f>AB101*$BB$4*炼钢参数表!$X$5/1000</f>
        <v>1.6407574901074098E-2</v>
      </c>
      <c r="BC101" s="37">
        <f>AC101*$BC$4*炼钢参数表!$X$5/1000</f>
        <v>3.4711659996239597E-2</v>
      </c>
      <c r="BD101" s="37">
        <f>AD101*$BD$4*炼钢参数表!$X$5/1000</f>
        <v>0</v>
      </c>
      <c r="BE101" s="37">
        <f>AE101*$BE$4*炼钢参数表!$X$5/1000</f>
        <v>0</v>
      </c>
      <c r="BF101" s="37">
        <f>AL101*$BF$4*炼钢参数表!$X$5/1000</f>
        <v>0</v>
      </c>
      <c r="BG101" s="37">
        <f>AM101*$BG$4*炼钢参数表!$X$5/1000</f>
        <v>0</v>
      </c>
      <c r="BH101" s="37">
        <f t="shared" si="15"/>
        <v>5.1119234897313702E-2</v>
      </c>
      <c r="BI101" s="37">
        <f t="shared" si="16"/>
        <v>0.108119234897314</v>
      </c>
      <c r="BJ101" s="37">
        <f t="shared" si="17"/>
        <v>-3.1880765102686302E-2</v>
      </c>
      <c r="BK101" s="54"/>
      <c r="BL101" s="7"/>
    </row>
    <row r="102" spans="1:65" s="18" customFormat="1" x14ac:dyDescent="0.3">
      <c r="A102" s="21">
        <v>98</v>
      </c>
      <c r="B102" s="4" t="s">
        <v>158</v>
      </c>
      <c r="C102" s="4" t="s">
        <v>23</v>
      </c>
      <c r="D102" s="4">
        <v>3</v>
      </c>
      <c r="E102" s="4">
        <v>10</v>
      </c>
      <c r="F102" s="4" t="s">
        <v>154</v>
      </c>
      <c r="G102" s="50" t="s">
        <v>155</v>
      </c>
      <c r="H102" s="4">
        <v>1516</v>
      </c>
      <c r="I102" s="51">
        <v>0.14000000000000001</v>
      </c>
      <c r="J102" s="52">
        <v>0.15</v>
      </c>
      <c r="K102" s="52">
        <v>1.1000000000000001</v>
      </c>
      <c r="L102" s="51">
        <v>1.2E-2</v>
      </c>
      <c r="M102" s="51">
        <v>5.0000000000000001E-3</v>
      </c>
      <c r="N102" s="51"/>
      <c r="O102" s="51">
        <v>0.02</v>
      </c>
      <c r="P102" s="51">
        <v>3.5000000000000003E-2</v>
      </c>
      <c r="Q102" s="51">
        <v>0.02</v>
      </c>
      <c r="R102" s="51" t="s">
        <v>631</v>
      </c>
      <c r="S102" s="32"/>
      <c r="T102" s="52"/>
      <c r="U102" s="52"/>
      <c r="V102" s="52"/>
      <c r="W102" s="52"/>
      <c r="X102" s="32" t="s">
        <v>631</v>
      </c>
      <c r="Y102" s="53" t="s">
        <v>631</v>
      </c>
      <c r="Z102" s="4">
        <v>45</v>
      </c>
      <c r="AA102" s="53"/>
      <c r="AB102" s="42">
        <f>IF(J102&lt;=0.04,0,IF((BA102-AL102*BF$4*炼钢参数表!$X$5/1000-AM102*BG$4*炼钢参数表!$X$5/1000)&lt;=0.03,0,IF((J102/100/0.1769/炼钢参数表!K102*1000)&gt;(K102-炼钢参数表!J102)/100/0.6566/炼钢参数表!L102*1000,IF(K102&lt;1.6,(K102-炼钢参数表!J102)/100/0.6566/炼钢参数表!L102*1000,(K102-0.08-炼钢参数表!J102)/100/0.6566/炼钢参数表!L102*1000),IF(K102&lt;1.6,J102/100/0.1769/炼钢参数表!K102*1000,(J102-0.08)/100/0.1769/炼钢参数表!K102*1000))))</f>
        <v>10.5992085924251</v>
      </c>
      <c r="AC102" s="8">
        <f>IF((BA102-AB102*$BB$4*0.9/1000-AL102*BF$4*炼钢参数表!$X$5/1000-AM102*BG$4*炼钢参数表!$X$5/1000)&lt;(K102-炼钢参数表!J102-AB102*0.6566*炼钢参数表!L102/10)*0.082,0,(K102-炼钢参数表!J102-AB102*0.6566*炼钢参数表!L102/10)/100/($AC$3/100)/炼钢参数表!L102*1000)</f>
        <v>4.5203650017089902</v>
      </c>
      <c r="AD102" s="8">
        <f>IF((BA102-AB102*$BB$4*0.9/1000-AC102*$BC$4*0.9/1000-AL102*BF$4*炼钢参数表!$X$5/1000-AM102*BG$4*炼钢参数表!$X$5/1000)&lt;=(K102-炼钢参数表!J102-AB102*0.6566*炼钢参数表!L102/10-AC102*($AC$3/100)*炼钢参数表!L102/10)*0.02,0,((K102-炼钢参数表!J102-AB102*0.6566*炼钢参数表!L102/10-AC102*($AC$3/100)*炼钢参数表!L102/10)/100/($AD$3/100)/炼钢参数表!L102*1000))</f>
        <v>0</v>
      </c>
      <c r="AE102" s="8">
        <f>(K102-炼钢参数表!J102-AB102*0.6566*炼钢参数表!L102/10-AC102*($AC$3/100)*炼钢参数表!L102/10-AD102*($AD$3/100)*炼钢参数表!L102/10)/100/($AE$3/100)/炼钢参数表!L102*1000</f>
        <v>0</v>
      </c>
      <c r="AF102" s="8">
        <v>0</v>
      </c>
      <c r="AG102" s="8">
        <f>IF(J102&lt;=0.04,0,((J102-(AB102*0.1769*炼钢参数表!K102/1000*100))/100/炼钢参数表!K102/($AG$3/100)*1000))</f>
        <v>0</v>
      </c>
      <c r="AH102" s="8">
        <v>1.33</v>
      </c>
      <c r="AI102" s="8">
        <f>IF(N102="",0,IF(N102&lt;=0.002,0,((N102)/100)/($AI$3/100)/炼钢参数表!M102*1000))</f>
        <v>0</v>
      </c>
      <c r="AJ102" s="8">
        <f>IF(O102="",0,IF(O102&lt;=0.002,0,((O102)/100)/($AJ$3/100)/炼钢参数表!N102*1000))</f>
        <v>0.31377864799056099</v>
      </c>
      <c r="AK102" s="8">
        <f>IF(P102="",0,IF(P102&lt;=0.002,0,((P102+0.005)/100)/($AK$3/100)/炼钢参数表!O102*1000))</f>
        <v>0.798307587913623</v>
      </c>
      <c r="AL102" s="8">
        <f>IF((BA102-J102*0.00003-K102*0.00024)&lt;=0.05,0,IF(T102="",0,IF(T102&lt;=0.03,0,IF(((BA102-J102*0.00003-K102*0.00024)-0.05)/0.18/100/($AL$3/100)/炼钢参数表!P102*1000&lt;=T102/100/($AL$3/100)/炼钢参数表!P102*1000,((BA102-J102*0.00003-K102*0.00024)-0.05)/0.18/100/($AL$3/100)/炼钢参数表!P102*1000,T102/100/($AL$3/100)/炼钢参数表!P102*1000))))</f>
        <v>0</v>
      </c>
      <c r="AM102" s="8">
        <f>IF(T102="",0,IF(T102&lt;=0.03,0,((T102-AL102*($AL$3/100)*炼钢参数表!P102/10)/100/($AM$3/100)/炼钢参数表!P102*1000)))</f>
        <v>0</v>
      </c>
      <c r="AN102" s="8">
        <f>IF(U102="",0,IF(U102&lt;=0.02,0,(U102/100)/($AN$3/100)/炼钢参数表!Q102*1000))</f>
        <v>0</v>
      </c>
      <c r="AO102" s="8">
        <f>IF(V102="",0,IF(V102&lt;=0.02,0,(V102/100)/($AO$3/100)/炼钢参数表!R102*1000))</f>
        <v>0</v>
      </c>
      <c r="AP102" s="8">
        <f>IF(W102="",0,IF(W102&lt;=0.02,0,(W102/100)/($AP$3/100)/炼钢参数表!S102*1000))</f>
        <v>0</v>
      </c>
      <c r="AQ102" s="8">
        <f>IF(X102="",0,IF(X102&lt;=0.0002,0,(X102/100)/($AQ$3/100)/炼钢参数表!T102*1000))</f>
        <v>0</v>
      </c>
      <c r="AR102" s="8">
        <f>IF(Y102="",0,IF(Y102&lt;=0.02,0,(Y102/100)/($AR$3/100)/炼钢参数表!U102*1000))</f>
        <v>0</v>
      </c>
      <c r="AS102" s="8">
        <f>IF(L102&lt;=0.04,0,((L102-0.04)/100)/($AS$3/100)/炼钢参数表!V102*1000)</f>
        <v>0</v>
      </c>
      <c r="AT102" s="8">
        <f>IF(M102&lt;=0.03,0,((M102-0.03)/100)/($AT$3/100)/炼钢参数表!W102*1000)</f>
        <v>0</v>
      </c>
      <c r="AU102" s="6"/>
      <c r="AV102" s="8">
        <f t="shared" si="12"/>
        <v>17.561659830038298</v>
      </c>
      <c r="AW102" s="8" cm="1">
        <f t="array" ref="AW102">SUMPRODUCT($AB$4:$AU$4,AB102:AU102)/1000</f>
        <v>201.32532431786899</v>
      </c>
      <c r="AY102" s="2" t="str">
        <f t="shared" si="13"/>
        <v>Q420MD-1</v>
      </c>
      <c r="AZ102" s="37">
        <f>VLOOKUP(AY102,炼钢参数表!$F$5:$J$1027,4,0)</f>
        <v>4.8500000000000001E-2</v>
      </c>
      <c r="BA102" s="37">
        <f t="shared" si="14"/>
        <v>9.1499999999999998E-2</v>
      </c>
      <c r="BB102" s="37">
        <f>AB102*$BB$4*炼钢参数表!$X$5/1000</f>
        <v>1.6407574901074098E-2</v>
      </c>
      <c r="BC102" s="37">
        <f>AC102*$BC$4*炼钢参数表!$X$5/1000</f>
        <v>2.7217117675289799E-2</v>
      </c>
      <c r="BD102" s="37">
        <f>AD102*$BD$4*炼钢参数表!$X$5/1000</f>
        <v>0</v>
      </c>
      <c r="BE102" s="37">
        <f>AE102*$BE$4*炼钢参数表!$X$5/1000</f>
        <v>0</v>
      </c>
      <c r="BF102" s="37">
        <f>AL102*$BF$4*炼钢参数表!$X$5/1000</f>
        <v>0</v>
      </c>
      <c r="BG102" s="37">
        <f>AM102*$BG$4*炼钢参数表!$X$5/1000</f>
        <v>0</v>
      </c>
      <c r="BH102" s="37">
        <f t="shared" si="15"/>
        <v>4.3624692576363901E-2</v>
      </c>
      <c r="BI102" s="37">
        <f t="shared" si="16"/>
        <v>9.2124692576363895E-2</v>
      </c>
      <c r="BJ102" s="37">
        <f t="shared" si="17"/>
        <v>-4.7875307423636097E-2</v>
      </c>
      <c r="BK102" s="54"/>
      <c r="BL102" s="7"/>
    </row>
    <row r="103" spans="1:65" s="18" customFormat="1" x14ac:dyDescent="0.3">
      <c r="A103" s="21">
        <v>99</v>
      </c>
      <c r="B103" s="4" t="s">
        <v>158</v>
      </c>
      <c r="C103" s="4" t="s">
        <v>26</v>
      </c>
      <c r="D103" s="4">
        <v>10.01</v>
      </c>
      <c r="E103" s="4">
        <v>25</v>
      </c>
      <c r="F103" s="4" t="s">
        <v>156</v>
      </c>
      <c r="G103" s="50" t="s">
        <v>155</v>
      </c>
      <c r="H103" s="4">
        <v>1516</v>
      </c>
      <c r="I103" s="51">
        <v>0.14000000000000001</v>
      </c>
      <c r="J103" s="52">
        <v>0.15</v>
      </c>
      <c r="K103" s="52">
        <v>1.2</v>
      </c>
      <c r="L103" s="51">
        <v>1.2E-2</v>
      </c>
      <c r="M103" s="51">
        <v>5.0000000000000001E-3</v>
      </c>
      <c r="N103" s="51"/>
      <c r="O103" s="51">
        <v>0.02</v>
      </c>
      <c r="P103" s="51">
        <v>3.5000000000000003E-2</v>
      </c>
      <c r="Q103" s="51">
        <v>0.02</v>
      </c>
      <c r="R103" s="51" t="s">
        <v>631</v>
      </c>
      <c r="S103" s="32"/>
      <c r="T103" s="52"/>
      <c r="U103" s="52"/>
      <c r="V103" s="52"/>
      <c r="W103" s="52"/>
      <c r="X103" s="32" t="s">
        <v>631</v>
      </c>
      <c r="Y103" s="53" t="s">
        <v>631</v>
      </c>
      <c r="Z103" s="4">
        <v>45</v>
      </c>
      <c r="AA103" s="53"/>
      <c r="AB103" s="42">
        <f>IF(J103&lt;=0.04,0,IF((BA103-AL103*BF$4*炼钢参数表!$X$5/1000-AM103*BG$4*炼钢参数表!$X$5/1000)&lt;=0.03,0,IF((J103/100/0.1769/炼钢参数表!K103*1000)&gt;(K103-炼钢参数表!J103)/100/0.6566/炼钢参数表!L103*1000,IF(K103&lt;1.6,(K103-炼钢参数表!J103)/100/0.6566/炼钢参数表!L103*1000,(K103-0.08-炼钢参数表!J103)/100/0.6566/炼钢参数表!L103*1000),IF(K103&lt;1.6,J103/100/0.1769/炼钢参数表!K103*1000,(J103-0.08)/100/0.1769/炼钢参数表!K103*1000))))</f>
        <v>10.5992085924251</v>
      </c>
      <c r="AC103" s="8">
        <f>IF((BA103-AB103*$BB$4*0.9/1000-AL103*BF$4*炼钢参数表!$X$5/1000-AM103*BG$4*炼钢参数表!$X$5/1000)&lt;(K103-炼钢参数表!J103-AB103*0.6566*炼钢参数表!L103/10)*0.082,0,(K103-炼钢参数表!J103-AB103*0.6566*炼钢参数表!L103/10)/100/($AC$3/100)/炼钢参数表!L103*1000)</f>
        <v>5.7650988201693503</v>
      </c>
      <c r="AD103" s="8">
        <f>IF((BA103-AB103*$BB$4*0.9/1000-AC103*$BC$4*0.9/1000-AL103*BF$4*炼钢参数表!$X$5/1000-AM103*BG$4*炼钢参数表!$X$5/1000)&lt;=(K103-炼钢参数表!J103-AB103*0.6566*炼钢参数表!L103/10-AC103*($AC$3/100)*炼钢参数表!L103/10)*0.02,0,((K103-炼钢参数表!J103-AB103*0.6566*炼钢参数表!L103/10-AC103*($AC$3/100)*炼钢参数表!L103/10)/100/($AD$3/100)/炼钢参数表!L103*1000))</f>
        <v>0</v>
      </c>
      <c r="AE103" s="8">
        <f>(K103-炼钢参数表!J103-AB103*0.6566*炼钢参数表!L103/10-AC103*($AC$3/100)*炼钢参数表!L103/10-AD103*($AD$3/100)*炼钢参数表!L103/10)/100/($AE$3/100)/炼钢参数表!L103*1000</f>
        <v>0</v>
      </c>
      <c r="AF103" s="8">
        <v>0</v>
      </c>
      <c r="AG103" s="8">
        <f>IF(J103&lt;=0.04,0,((J103-(AB103*0.1769*炼钢参数表!K103/1000*100))/100/炼钢参数表!K103/($AG$3/100)*1000))</f>
        <v>0</v>
      </c>
      <c r="AH103" s="8">
        <v>1.33</v>
      </c>
      <c r="AI103" s="8">
        <f>IF(N103="",0,IF(N103&lt;=0.002,0,((N103)/100)/($AI$3/100)/炼钢参数表!M103*1000))</f>
        <v>0</v>
      </c>
      <c r="AJ103" s="8">
        <f>IF(O103="",0,IF(O103&lt;=0.002,0,((O103)/100)/($AJ$3/100)/炼钢参数表!N103*1000))</f>
        <v>0.31377864799056099</v>
      </c>
      <c r="AK103" s="8">
        <f>IF(P103="",0,IF(P103&lt;=0.002,0,((P103+0.005)/100)/($AK$3/100)/炼钢参数表!O103*1000))</f>
        <v>0.798307587913623</v>
      </c>
      <c r="AL103" s="8">
        <f>IF((BA103-J103*0.00003-K103*0.00024)&lt;=0.05,0,IF(T103="",0,IF(T103&lt;=0.03,0,IF(((BA103-J103*0.00003-K103*0.00024)-0.05)/0.18/100/($AL$3/100)/炼钢参数表!P103*1000&lt;=T103/100/($AL$3/100)/炼钢参数表!P103*1000,((BA103-J103*0.00003-K103*0.00024)-0.05)/0.18/100/($AL$3/100)/炼钢参数表!P103*1000,T103/100/($AL$3/100)/炼钢参数表!P103*1000))))</f>
        <v>0</v>
      </c>
      <c r="AM103" s="8">
        <f>IF(T103="",0,IF(T103&lt;=0.03,0,((T103-AL103*($AL$3/100)*炼钢参数表!P103/10)/100/($AM$3/100)/炼钢参数表!P103*1000)))</f>
        <v>0</v>
      </c>
      <c r="AN103" s="8">
        <f>IF(U103="",0,IF(U103&lt;=0.02,0,(U103/100)/($AN$3/100)/炼钢参数表!Q103*1000))</f>
        <v>0</v>
      </c>
      <c r="AO103" s="8">
        <f>IF(V103="",0,IF(V103&lt;=0.02,0,(V103/100)/($AO$3/100)/炼钢参数表!R103*1000))</f>
        <v>0</v>
      </c>
      <c r="AP103" s="8">
        <f>IF(W103="",0,IF(W103&lt;=0.02,0,(W103/100)/($AP$3/100)/炼钢参数表!S103*1000))</f>
        <v>0</v>
      </c>
      <c r="AQ103" s="8">
        <f>IF(X103="",0,IF(X103&lt;=0.0002,0,(X103/100)/($AQ$3/100)/炼钢参数表!T103*1000))</f>
        <v>0</v>
      </c>
      <c r="AR103" s="8">
        <f>IF(Y103="",0,IF(Y103&lt;=0.02,0,(Y103/100)/($AR$3/100)/炼钢参数表!U103*1000))</f>
        <v>0</v>
      </c>
      <c r="AS103" s="8">
        <f>IF(L103&lt;=0.04,0,((L103-0.04)/100)/($AS$3/100)/炼钢参数表!V103*1000)</f>
        <v>0</v>
      </c>
      <c r="AT103" s="8">
        <f>IF(M103&lt;=0.03,0,((M103-0.03)/100)/($AT$3/100)/炼钢参数表!W103*1000)</f>
        <v>0</v>
      </c>
      <c r="AU103" s="6"/>
      <c r="AV103" s="8">
        <f t="shared" si="12"/>
        <v>18.806393648498599</v>
      </c>
      <c r="AW103" s="8" cm="1">
        <f t="array" ref="AW103">SUMPRODUCT($AB$4:$AU$4,AB103:AU103)/1000</f>
        <v>208.848803946262</v>
      </c>
      <c r="AY103" s="2" t="str">
        <f t="shared" si="13"/>
        <v>Q420MD-2</v>
      </c>
      <c r="AZ103" s="37">
        <f>VLOOKUP(AY103,炼钢参数表!$F$5:$J$1027,4,0)</f>
        <v>5.7000000000000002E-2</v>
      </c>
      <c r="BA103" s="37">
        <f t="shared" si="14"/>
        <v>8.3000000000000004E-2</v>
      </c>
      <c r="BB103" s="37">
        <f>AB103*$BB$4*炼钢参数表!$X$5/1000</f>
        <v>1.6407574901074098E-2</v>
      </c>
      <c r="BC103" s="37">
        <f>AC103*$BC$4*炼钢参数表!$X$5/1000</f>
        <v>3.4711659996239597E-2</v>
      </c>
      <c r="BD103" s="37">
        <f>AD103*$BD$4*炼钢参数表!$X$5/1000</f>
        <v>0</v>
      </c>
      <c r="BE103" s="37">
        <f>AE103*$BE$4*炼钢参数表!$X$5/1000</f>
        <v>0</v>
      </c>
      <c r="BF103" s="37">
        <f>AL103*$BF$4*炼钢参数表!$X$5/1000</f>
        <v>0</v>
      </c>
      <c r="BG103" s="37">
        <f>AM103*$BG$4*炼钢参数表!$X$5/1000</f>
        <v>0</v>
      </c>
      <c r="BH103" s="37">
        <f t="shared" si="15"/>
        <v>5.1119234897313702E-2</v>
      </c>
      <c r="BI103" s="37">
        <f t="shared" si="16"/>
        <v>0.108119234897314</v>
      </c>
      <c r="BJ103" s="37">
        <f t="shared" si="17"/>
        <v>-3.1880765102686302E-2</v>
      </c>
      <c r="BK103" s="54"/>
      <c r="BL103" s="7"/>
    </row>
    <row r="104" spans="1:65" s="18" customFormat="1" x14ac:dyDescent="0.3">
      <c r="A104" s="21">
        <v>100</v>
      </c>
      <c r="B104" s="4" t="s">
        <v>159</v>
      </c>
      <c r="C104" s="4" t="s">
        <v>23</v>
      </c>
      <c r="D104" s="4">
        <v>3</v>
      </c>
      <c r="E104" s="4">
        <v>10.49</v>
      </c>
      <c r="F104" s="4" t="s">
        <v>160</v>
      </c>
      <c r="G104" s="50" t="s">
        <v>161</v>
      </c>
      <c r="H104" s="4">
        <v>1516</v>
      </c>
      <c r="I104" s="51">
        <v>0.13</v>
      </c>
      <c r="J104" s="52">
        <v>0.15</v>
      </c>
      <c r="K104" s="52">
        <v>1.35</v>
      </c>
      <c r="L104" s="51">
        <v>0.01</v>
      </c>
      <c r="M104" s="51">
        <v>4.0000000000000001E-3</v>
      </c>
      <c r="N104" s="51"/>
      <c r="O104" s="51">
        <v>2.5000000000000001E-2</v>
      </c>
      <c r="P104" s="51">
        <v>1.4999999999999999E-2</v>
      </c>
      <c r="Q104" s="51">
        <v>0.02</v>
      </c>
      <c r="R104" s="51" t="s">
        <v>631</v>
      </c>
      <c r="S104" s="32"/>
      <c r="T104" s="52"/>
      <c r="U104" s="52"/>
      <c r="V104" s="52"/>
      <c r="W104" s="52"/>
      <c r="X104" s="32" t="s">
        <v>631</v>
      </c>
      <c r="Y104" s="53" t="s">
        <v>631</v>
      </c>
      <c r="Z104" s="4">
        <v>45</v>
      </c>
      <c r="AA104" s="53"/>
      <c r="AB104" s="42">
        <f>IF(J104&lt;=0.04,0,IF((BA104-AL104*BF$4*炼钢参数表!$X$5/1000-AM104*BG$4*炼钢参数表!$X$5/1000)&lt;=0.03,0,IF((J104/100/0.1769/炼钢参数表!K104*1000)&gt;(K104-炼钢参数表!J104)/100/0.6566/炼钢参数表!L104*1000,IF(K104&lt;1.6,(K104-炼钢参数表!J104)/100/0.6566/炼钢参数表!L104*1000,(K104-0.08-炼钢参数表!J104)/100/0.6566/炼钢参数表!L104*1000),IF(K104&lt;1.6,J104/100/0.1769/炼钢参数表!K104*1000,(J104-0.08)/100/0.1769/炼钢参数表!K104*1000))))</f>
        <v>10.5992085924251</v>
      </c>
      <c r="AC104" s="8">
        <f>IF((BA104-AB104*$BB$4*0.9/1000-AL104*BF$4*炼钢参数表!$X$5/1000-AM104*BG$4*炼钢参数表!$X$5/1000)&lt;(K104-炼钢参数表!J104-AB104*0.6566*炼钢参数表!L104/10)*0.082,0,(K104-炼钢参数表!J104-AB104*0.6566*炼钢参数表!L104/10)/100/($AC$3/100)/炼钢参数表!L104*1000)</f>
        <v>7.8647322392206203</v>
      </c>
      <c r="AD104" s="8">
        <f>IF((BA104-AB104*$BB$4*0.9/1000-AC104*$BC$4*0.9/1000-AL104*BF$4*炼钢参数表!$X$5/1000-AM104*BG$4*炼钢参数表!$X$5/1000)&lt;=(K104-炼钢参数表!J104-AB104*0.6566*炼钢参数表!L104/10-AC104*($AC$3/100)*炼钢参数表!L104/10)*0.02,0,((K104-炼钢参数表!J104-AB104*0.6566*炼钢参数表!L104/10-AC104*($AC$3/100)*炼钢参数表!L104/10)/100/($AD$3/100)/炼钢参数表!L104*1000))</f>
        <v>0</v>
      </c>
      <c r="AE104" s="8">
        <f>(K104-炼钢参数表!J104-AB104*0.6566*炼钢参数表!L104/10-AC104*($AC$3/100)*炼钢参数表!L104/10-AD104*($AD$3/100)*炼钢参数表!L104/10)/100/($AE$3/100)/炼钢参数表!L104*1000</f>
        <v>0</v>
      </c>
      <c r="AF104" s="8">
        <v>0</v>
      </c>
      <c r="AG104" s="8">
        <f>IF(J104&lt;=0.04,0,((J104-(AB104*0.1769*炼钢参数表!K104/1000*100))/100/炼钢参数表!K104/($AG$3/100)*1000))</f>
        <v>0</v>
      </c>
      <c r="AH104" s="8">
        <v>1.33</v>
      </c>
      <c r="AI104" s="8">
        <f>IF(N104="",0,IF(N104&lt;=0.002,0,((N104)/100)/($AI$3/100)/炼钢参数表!M104*1000))</f>
        <v>0</v>
      </c>
      <c r="AJ104" s="8">
        <f>IF(O104="",0,IF(O104&lt;=0.002,0,((O104)/100)/($AJ$3/100)/炼钢参数表!N104*1000))</f>
        <v>0.39222330998820198</v>
      </c>
      <c r="AK104" s="8">
        <f>IF(P104="",0,IF(P104&lt;=0.002,0,((P104+0.005)/100)/($AK$3/100)/炼钢参数表!O104*1000))</f>
        <v>0.399153793956812</v>
      </c>
      <c r="AL104" s="8">
        <f>IF((BA104-J104*0.00003-K104*0.00024)&lt;=0.05,0,IF(T104="",0,IF(T104&lt;=0.03,0,IF(((BA104-J104*0.00003-K104*0.00024)-0.05)/0.18/100/($AL$3/100)/炼钢参数表!P104*1000&lt;=T104/100/($AL$3/100)/炼钢参数表!P104*1000,((BA104-J104*0.00003-K104*0.00024)-0.05)/0.18/100/($AL$3/100)/炼钢参数表!P104*1000,T104/100/($AL$3/100)/炼钢参数表!P104*1000))))</f>
        <v>0</v>
      </c>
      <c r="AM104" s="8">
        <f>IF(T104="",0,IF(T104&lt;=0.03,0,((T104-AL104*($AL$3/100)*炼钢参数表!P104/10)/100/($AM$3/100)/炼钢参数表!P104*1000)))</f>
        <v>0</v>
      </c>
      <c r="AN104" s="8">
        <f>IF(U104="",0,IF(U104&lt;=0.02,0,(U104/100)/($AN$3/100)/炼钢参数表!Q104*1000))</f>
        <v>0</v>
      </c>
      <c r="AO104" s="8">
        <f>IF(V104="",0,IF(V104&lt;=0.02,0,(V104/100)/($AO$3/100)/炼钢参数表!R104*1000))</f>
        <v>0</v>
      </c>
      <c r="AP104" s="8">
        <f>IF(W104="",0,IF(W104&lt;=0.02,0,(W104/100)/($AP$3/100)/炼钢参数表!S104*1000))</f>
        <v>0</v>
      </c>
      <c r="AQ104" s="8">
        <f>IF(X104="",0,IF(X104&lt;=0.0002,0,(X104/100)/($AQ$3/100)/炼钢参数表!T104*1000))</f>
        <v>0</v>
      </c>
      <c r="AR104" s="8">
        <f>IF(Y104="",0,IF(Y104&lt;=0.02,0,(Y104/100)/($AR$3/100)/炼钢参数表!U104*1000))</f>
        <v>0</v>
      </c>
      <c r="AS104" s="8">
        <f>IF(L104&lt;=0.04,0,((L104-0.04)/100)/($AS$3/100)/炼钢参数表!V104*1000)</f>
        <v>0</v>
      </c>
      <c r="AT104" s="8">
        <f>IF(M104&lt;=0.03,0,((M104-0.03)/100)/($AT$3/100)/炼钢参数表!W104*1000)</f>
        <v>0</v>
      </c>
      <c r="AU104" s="6"/>
      <c r="AV104" s="8">
        <f t="shared" si="12"/>
        <v>20.585317935590702</v>
      </c>
      <c r="AW104" s="8" cm="1">
        <f t="array" ref="AW104">SUMPRODUCT($AB$4:$AU$4,AB104:AU104)/1000</f>
        <v>228.82666471632399</v>
      </c>
      <c r="AY104" s="2" t="str">
        <f t="shared" si="13"/>
        <v>Q420ME-1</v>
      </c>
      <c r="AZ104" s="37">
        <f>VLOOKUP(AY104,炼钢参数表!$F$5:$J$1027,4,0)</f>
        <v>4.4999999999999998E-2</v>
      </c>
      <c r="BA104" s="37">
        <f t="shared" si="14"/>
        <v>8.5000000000000006E-2</v>
      </c>
      <c r="BB104" s="37">
        <f>AB104*$BB$4*炼钢参数表!$X$5/1000</f>
        <v>1.6407574901074098E-2</v>
      </c>
      <c r="BC104" s="37">
        <f>AC104*$BC$4*炼钢参数表!$X$5/1000</f>
        <v>4.7353552812347301E-2</v>
      </c>
      <c r="BD104" s="37">
        <f>AD104*$BD$4*炼钢参数表!$X$5/1000</f>
        <v>0</v>
      </c>
      <c r="BE104" s="37">
        <f>AE104*$BE$4*炼钢参数表!$X$5/1000</f>
        <v>0</v>
      </c>
      <c r="BF104" s="37">
        <f>AL104*$BF$4*炼钢参数表!$X$5/1000</f>
        <v>0</v>
      </c>
      <c r="BG104" s="37">
        <f>AM104*$BG$4*炼钢参数表!$X$5/1000</f>
        <v>0</v>
      </c>
      <c r="BH104" s="37">
        <f t="shared" si="15"/>
        <v>6.3761127713421406E-2</v>
      </c>
      <c r="BI104" s="37">
        <f t="shared" si="16"/>
        <v>0.108761127713421</v>
      </c>
      <c r="BJ104" s="37">
        <f t="shared" si="17"/>
        <v>-2.12388722865786E-2</v>
      </c>
      <c r="BK104" s="54"/>
      <c r="BL104" s="7"/>
    </row>
    <row r="105" spans="1:65" s="18" customFormat="1" x14ac:dyDescent="0.3">
      <c r="A105" s="21">
        <v>101</v>
      </c>
      <c r="B105" s="4" t="s">
        <v>159</v>
      </c>
      <c r="C105" s="4" t="s">
        <v>26</v>
      </c>
      <c r="D105" s="4">
        <v>10.5</v>
      </c>
      <c r="E105" s="4">
        <v>20</v>
      </c>
      <c r="F105" s="4" t="s">
        <v>162</v>
      </c>
      <c r="G105" s="50" t="s">
        <v>161</v>
      </c>
      <c r="H105" s="4">
        <v>1516</v>
      </c>
      <c r="I105" s="51">
        <v>0.13</v>
      </c>
      <c r="J105" s="52">
        <v>0.15</v>
      </c>
      <c r="K105" s="52">
        <v>1.45</v>
      </c>
      <c r="L105" s="51">
        <v>0.01</v>
      </c>
      <c r="M105" s="51">
        <v>4.0000000000000001E-3</v>
      </c>
      <c r="N105" s="51"/>
      <c r="O105" s="51">
        <v>0.03</v>
      </c>
      <c r="P105" s="51">
        <v>1.4999999999999999E-2</v>
      </c>
      <c r="Q105" s="51">
        <v>0.02</v>
      </c>
      <c r="R105" s="51" t="s">
        <v>631</v>
      </c>
      <c r="S105" s="32"/>
      <c r="T105" s="52"/>
      <c r="U105" s="52"/>
      <c r="V105" s="52"/>
      <c r="W105" s="52"/>
      <c r="X105" s="32" t="s">
        <v>631</v>
      </c>
      <c r="Y105" s="53" t="s">
        <v>631</v>
      </c>
      <c r="Z105" s="4">
        <v>45</v>
      </c>
      <c r="AA105" s="53"/>
      <c r="AB105" s="42">
        <f>IF(J105&lt;=0.04,0,IF((BA105-AL105*BF$4*炼钢参数表!$X$5/1000-AM105*BG$4*炼钢参数表!$X$5/1000)&lt;=0.03,0,IF((J105/100/0.1769/炼钢参数表!K105*1000)&gt;(K105-炼钢参数表!J105)/100/0.6566/炼钢参数表!L105*1000,IF(K105&lt;1.6,(K105-炼钢参数表!J105)/100/0.6566/炼钢参数表!L105*1000,(K105-0.08-炼钢参数表!J105)/100/0.6566/炼钢参数表!L105*1000),IF(K105&lt;1.6,J105/100/0.1769/炼钢参数表!K105*1000,(J105-0.08)/100/0.1769/炼钢参数表!K105*1000))))</f>
        <v>10.5992085924251</v>
      </c>
      <c r="AC105" s="8">
        <f>IF((BA105-AB105*$BB$4*0.9/1000-AL105*BF$4*炼钢参数表!$X$5/1000-AM105*BG$4*炼钢参数表!$X$5/1000)&lt;(K105-炼钢参数表!J105-AB105*0.6566*炼钢参数表!L105/10)*0.082,0,(K105-炼钢参数表!J105-AB105*0.6566*炼钢参数表!L105/10)/100/($AC$3/100)/炼钢参数表!L105*1000)</f>
        <v>9.2325716001660698</v>
      </c>
      <c r="AD105" s="8">
        <f>IF((BA105-AB105*$BB$4*0.9/1000-AC105*$BC$4*0.9/1000-AL105*BF$4*炼钢参数表!$X$5/1000-AM105*BG$4*炼钢参数表!$X$5/1000)&lt;=(K105-炼钢参数表!J105-AB105*0.6566*炼钢参数表!L105/10-AC105*($AC$3/100)*炼钢参数表!L105/10)*0.02,0,((K105-炼钢参数表!J105-AB105*0.6566*炼钢参数表!L105/10-AC105*($AC$3/100)*炼钢参数表!L105/10)/100/($AD$3/100)/炼钢参数表!L105*1000))</f>
        <v>0</v>
      </c>
      <c r="AE105" s="8">
        <f>(K105-炼钢参数表!J105-AB105*0.6566*炼钢参数表!L105/10-AC105*($AC$3/100)*炼钢参数表!L105/10-AD105*($AD$3/100)*炼钢参数表!L105/10)/100/($AE$3/100)/炼钢参数表!L105*1000</f>
        <v>0</v>
      </c>
      <c r="AF105" s="8">
        <v>0</v>
      </c>
      <c r="AG105" s="8">
        <f>IF(J105&lt;=0.04,0,((J105-(AB105*0.1769*炼钢参数表!K105/1000*100))/100/炼钢参数表!K105/($AG$3/100)*1000))</f>
        <v>0</v>
      </c>
      <c r="AH105" s="8">
        <v>1.33</v>
      </c>
      <c r="AI105" s="8">
        <f>IF(N105="",0,IF(N105&lt;=0.002,0,((N105)/100)/($AI$3/100)/炼钢参数表!M105*1000))</f>
        <v>0</v>
      </c>
      <c r="AJ105" s="8">
        <f>IF(O105="",0,IF(O105&lt;=0.002,0,((O105)/100)/($AJ$3/100)/炼钢参数表!N105*1000))</f>
        <v>0.47066797198584198</v>
      </c>
      <c r="AK105" s="8">
        <f>IF(P105="",0,IF(P105&lt;=0.002,0,((P105+0.005)/100)/($AK$3/100)/炼钢参数表!O105*1000))</f>
        <v>0.399153793956812</v>
      </c>
      <c r="AL105" s="8">
        <f>IF((BA105-J105*0.00003-K105*0.00024)&lt;=0.05,0,IF(T105="",0,IF(T105&lt;=0.03,0,IF(((BA105-J105*0.00003-K105*0.00024)-0.05)/0.18/100/($AL$3/100)/炼钢参数表!P105*1000&lt;=T105/100/($AL$3/100)/炼钢参数表!P105*1000,((BA105-J105*0.00003-K105*0.00024)-0.05)/0.18/100/($AL$3/100)/炼钢参数表!P105*1000,T105/100/($AL$3/100)/炼钢参数表!P105*1000))))</f>
        <v>0</v>
      </c>
      <c r="AM105" s="8">
        <f>IF(T105="",0,IF(T105&lt;=0.03,0,((T105-AL105*($AL$3/100)*炼钢参数表!P105/10)/100/($AM$3/100)/炼钢参数表!P105*1000)))</f>
        <v>0</v>
      </c>
      <c r="AN105" s="8">
        <f>IF(U105="",0,IF(U105&lt;=0.02,0,(U105/100)/($AN$3/100)/炼钢参数表!Q105*1000))</f>
        <v>0</v>
      </c>
      <c r="AO105" s="8">
        <f>IF(V105="",0,IF(V105&lt;=0.02,0,(V105/100)/($AO$3/100)/炼钢参数表!R105*1000))</f>
        <v>0</v>
      </c>
      <c r="AP105" s="8">
        <f>IF(W105="",0,IF(W105&lt;=0.02,0,(W105/100)/($AP$3/100)/炼钢参数表!S105*1000))</f>
        <v>0</v>
      </c>
      <c r="AQ105" s="8">
        <f>IF(X105="",0,IF(X105&lt;=0.0002,0,(X105/100)/($AQ$3/100)/炼钢参数表!T105*1000))</f>
        <v>0</v>
      </c>
      <c r="AR105" s="8">
        <f>IF(Y105="",0,IF(Y105&lt;=0.02,0,(Y105/100)/($AR$3/100)/炼钢参数表!U105*1000))</f>
        <v>0</v>
      </c>
      <c r="AS105" s="8">
        <f>IF(L105&lt;=0.04,0,((L105-0.04)/100)/($AS$3/100)/炼钢参数表!V105*1000)</f>
        <v>0</v>
      </c>
      <c r="AT105" s="8">
        <f>IF(M105&lt;=0.03,0,((M105-0.03)/100)/($AT$3/100)/炼钢参数表!W105*1000)</f>
        <v>0</v>
      </c>
      <c r="AU105" s="6"/>
      <c r="AV105" s="8">
        <f t="shared" si="12"/>
        <v>22.031601958533798</v>
      </c>
      <c r="AW105" s="8" cm="1">
        <f t="array" ref="AW105">SUMPRODUCT($AB$4:$AU$4,AB105:AU105)/1000</f>
        <v>253.98933060033599</v>
      </c>
      <c r="AY105" s="2" t="str">
        <f t="shared" si="13"/>
        <v>Q420ME-2</v>
      </c>
      <c r="AZ105" s="37">
        <f>VLOOKUP(AY105,炼钢参数表!$F$5:$J$1027,4,0)</f>
        <v>0.05</v>
      </c>
      <c r="BA105" s="37">
        <f t="shared" si="14"/>
        <v>0.08</v>
      </c>
      <c r="BB105" s="37">
        <f>AB105*$BB$4*炼钢参数表!$X$5/1000</f>
        <v>1.6407574901074098E-2</v>
      </c>
      <c r="BC105" s="37">
        <f>AC105*$BC$4*炼钢参数表!$X$5/1000</f>
        <v>5.5589313604599899E-2</v>
      </c>
      <c r="BD105" s="37">
        <f>AD105*$BD$4*炼钢参数表!$X$5/1000</f>
        <v>0</v>
      </c>
      <c r="BE105" s="37">
        <f>AE105*$BE$4*炼钢参数表!$X$5/1000</f>
        <v>0</v>
      </c>
      <c r="BF105" s="37">
        <f>AL105*$BF$4*炼钢参数表!$X$5/1000</f>
        <v>0</v>
      </c>
      <c r="BG105" s="37">
        <f>AM105*$BG$4*炼钢参数表!$X$5/1000</f>
        <v>0</v>
      </c>
      <c r="BH105" s="37">
        <f t="shared" si="15"/>
        <v>7.1996888505673901E-2</v>
      </c>
      <c r="BI105" s="37">
        <f t="shared" si="16"/>
        <v>0.121996888505674</v>
      </c>
      <c r="BJ105" s="37">
        <f t="shared" si="17"/>
        <v>-8.0031114943260595E-3</v>
      </c>
      <c r="BK105" s="54"/>
      <c r="BL105" s="7"/>
      <c r="BM105" s="18" t="s">
        <v>633</v>
      </c>
    </row>
    <row r="106" spans="1:65" s="18" customFormat="1" x14ac:dyDescent="0.3">
      <c r="A106" s="21">
        <v>102</v>
      </c>
      <c r="B106" s="4" t="s">
        <v>163</v>
      </c>
      <c r="C106" s="4" t="s">
        <v>23</v>
      </c>
      <c r="D106" s="4">
        <v>3</v>
      </c>
      <c r="E106" s="4">
        <v>10.3</v>
      </c>
      <c r="F106" s="4" t="s">
        <v>164</v>
      </c>
      <c r="G106" s="50" t="s">
        <v>165</v>
      </c>
      <c r="H106" s="4">
        <v>1520</v>
      </c>
      <c r="I106" s="51">
        <v>7.0000000000000007E-2</v>
      </c>
      <c r="J106" s="52">
        <v>0.16</v>
      </c>
      <c r="K106" s="52">
        <v>1.1499999999999999</v>
      </c>
      <c r="L106" s="51">
        <v>1.7999999999999999E-2</v>
      </c>
      <c r="M106" s="51">
        <v>5.0000000000000001E-3</v>
      </c>
      <c r="N106" s="51"/>
      <c r="O106" s="51">
        <v>1.4999999999999999E-2</v>
      </c>
      <c r="P106" s="51">
        <v>0.05</v>
      </c>
      <c r="Q106" s="51">
        <v>2.5000000000000001E-2</v>
      </c>
      <c r="R106" s="51" t="s">
        <v>631</v>
      </c>
      <c r="S106" s="32"/>
      <c r="T106" s="52"/>
      <c r="U106" s="52"/>
      <c r="V106" s="52"/>
      <c r="W106" s="52"/>
      <c r="X106" s="32" t="s">
        <v>631</v>
      </c>
      <c r="Y106" s="53" t="s">
        <v>631</v>
      </c>
      <c r="Z106" s="4">
        <v>50</v>
      </c>
      <c r="AA106" s="53"/>
      <c r="AB106" s="42">
        <f>IF(J106&lt;=0.04,0,IF((BA106-AL106*BF$4*炼钢参数表!$X$5/1000-AM106*BG$4*炼钢参数表!$X$5/1000)&lt;=0.03,0,IF((J106/100/0.1769/炼钢参数表!K106*1000)&gt;(K106-炼钢参数表!J106)/100/0.6566/炼钢参数表!L106*1000,IF(K106&lt;1.6,(K106-炼钢参数表!J106)/100/0.6566/炼钢参数表!L106*1000,(K106-0.08-炼钢参数表!J106)/100/0.6566/炼钢参数表!L106*1000),IF(K106&lt;1.6,J106/100/0.1769/炼钢参数表!K106*1000,(J106-0.08)/100/0.1769/炼钢参数表!K106*1000))))</f>
        <v>0</v>
      </c>
      <c r="AC106" s="8">
        <f>IF((BA106-AB106*$BB$4*0.9/1000-AL106*BF$4*炼钢参数表!$X$5/1000-AM106*BG$4*炼钢参数表!$X$5/1000)&lt;(K106-炼钢参数表!J106-AB106*0.6566*炼钢参数表!L106/10)*0.082,0,(K106-炼钢参数表!J106-AB106*0.6566*炼钢参数表!L106/10)/100/($AC$3/100)/炼钢参数表!L106*1000)</f>
        <v>0</v>
      </c>
      <c r="AD106" s="8">
        <f>IF((BA106-AB106*$BB$4*0.9/1000-AC106*$BC$4*0.9/1000-AL106*BF$4*炼钢参数表!$X$5/1000-AM106*BG$4*炼钢参数表!$X$5/1000)&lt;=(K106-炼钢参数表!J106-AB106*0.6566*炼钢参数表!L106/10-AC106*($AC$3/100)*炼钢参数表!L106/10)*0.02,0,((K106-炼钢参数表!J106-AB106*0.6566*炼钢参数表!L106/10-AC106*($AC$3/100)*炼钢参数表!L106/10)/100/($AD$3/100)/炼钢参数表!L106*1000))</f>
        <v>0</v>
      </c>
      <c r="AE106" s="8">
        <f>(K106-炼钢参数表!J106-AB106*0.6566*炼钢参数表!L106/10-AC106*($AC$3/100)*炼钢参数表!L106/10-AD106*($AD$3/100)*炼钢参数表!L106/10)/100/($AE$3/100)/炼钢参数表!L106*1000</f>
        <v>13.2845353931695</v>
      </c>
      <c r="AF106" s="8">
        <v>0</v>
      </c>
      <c r="AG106" s="8">
        <f>IF(J106&lt;=0.04,0,((J106-(AB106*0.1769*炼钢参数表!K106/1000*100))/100/炼钢参数表!K106/($AG$3/100)*1000))</f>
        <v>2.7689325764917601</v>
      </c>
      <c r="AH106" s="8">
        <v>1.9</v>
      </c>
      <c r="AI106" s="8">
        <f>IF(N106="",0,IF(N106&lt;=0.002,0,((N106)/100)/($AI$3/100)/炼钢参数表!M106*1000))</f>
        <v>0</v>
      </c>
      <c r="AJ106" s="8">
        <f>IF(O106="",0,IF(O106&lt;=0.002,0,((O106)/100)/($AJ$3/100)/炼钢参数表!N106*1000))</f>
        <v>0.23533398599292099</v>
      </c>
      <c r="AK106" s="8">
        <f>IF(P106="",0,IF(P106&lt;=0.002,0,((P106+0.005)/100)/($AK$3/100)/炼钢参数表!O106*1000))</f>
        <v>1.0976729333812301</v>
      </c>
      <c r="AL106" s="8">
        <f>IF((BA106-J106*0.00003-K106*0.00024)&lt;=0.05,0,IF(T106="",0,IF(T106&lt;=0.03,0,IF(((BA106-J106*0.00003-K106*0.00024)-0.05)/0.18/100/($AL$3/100)/炼钢参数表!P106*1000&lt;=T106/100/($AL$3/100)/炼钢参数表!P106*1000,((BA106-J106*0.00003-K106*0.00024)-0.05)/0.18/100/($AL$3/100)/炼钢参数表!P106*1000,T106/100/($AL$3/100)/炼钢参数表!P106*1000))))</f>
        <v>0</v>
      </c>
      <c r="AM106" s="8">
        <f>IF(T106="",0,IF(T106&lt;=0.03,0,((T106-AL106*($AL$3/100)*炼钢参数表!P106/10)/100/($AM$3/100)/炼钢参数表!P106*1000)))</f>
        <v>0</v>
      </c>
      <c r="AN106" s="8">
        <f>IF(U106="",0,IF(U106&lt;=0.02,0,(U106/100)/($AN$3/100)/炼钢参数表!Q106*1000))</f>
        <v>0</v>
      </c>
      <c r="AO106" s="8">
        <f>IF(V106="",0,IF(V106&lt;=0.02,0,(V106/100)/($AO$3/100)/炼钢参数表!R106*1000))</f>
        <v>0</v>
      </c>
      <c r="AP106" s="8">
        <f>IF(W106="",0,IF(W106&lt;=0.02,0,(W106/100)/($AP$3/100)/炼钢参数表!S106*1000))</f>
        <v>0</v>
      </c>
      <c r="AQ106" s="8">
        <f>IF(X106="",0,IF(X106&lt;=0.0002,0,(X106/100)/($AQ$3/100)/炼钢参数表!T106*1000))</f>
        <v>0</v>
      </c>
      <c r="AR106" s="8">
        <f>IF(Y106="",0,IF(Y106&lt;=0.02,0,(Y106/100)/($AR$3/100)/炼钢参数表!U106*1000))</f>
        <v>0</v>
      </c>
      <c r="AS106" s="8">
        <f>IF(L106&lt;=0.04,0,((L106-0.04)/100)/($AS$3/100)/炼钢参数表!V106*1000)</f>
        <v>0</v>
      </c>
      <c r="AT106" s="8">
        <f>IF(M106&lt;=0.03,0,((M106-0.03)/100)/($AT$3/100)/炼钢参数表!W106*1000)</f>
        <v>0</v>
      </c>
      <c r="AU106" s="6"/>
      <c r="AV106" s="8">
        <f t="shared" si="12"/>
        <v>19.2864748890354</v>
      </c>
      <c r="AW106" s="8" cm="1">
        <f t="array" ref="AW106">SUMPRODUCT($AB$4:$AU$4,AB106:AU106)/1000</f>
        <v>245.59118917021999</v>
      </c>
      <c r="AY106" s="2" t="str">
        <f t="shared" si="13"/>
        <v>Q460C-1</v>
      </c>
      <c r="AZ106" s="37">
        <f>VLOOKUP(AY106,炼钢参数表!$F$5:$J$1027,4,0)</f>
        <v>0.05</v>
      </c>
      <c r="BA106" s="37">
        <f t="shared" si="14"/>
        <v>0.02</v>
      </c>
      <c r="BB106" s="37">
        <f>AB106*$BB$4*炼钢参数表!$X$5/1000</f>
        <v>0</v>
      </c>
      <c r="BC106" s="37">
        <f>AC106*$BC$4*炼钢参数表!$X$5/1000</f>
        <v>0</v>
      </c>
      <c r="BD106" s="37">
        <f>AD106*$BD$4*炼钢参数表!$X$5/1000</f>
        <v>0</v>
      </c>
      <c r="BE106" s="37">
        <f>AE106*$BE$4*炼钢参数表!$X$5/1000</f>
        <v>7.6518923864656099E-3</v>
      </c>
      <c r="BF106" s="37">
        <f>AL106*$BF$4*炼钢参数表!$X$5/1000</f>
        <v>0</v>
      </c>
      <c r="BG106" s="37">
        <f>AM106*$BG$4*炼钢参数表!$X$5/1000</f>
        <v>0</v>
      </c>
      <c r="BH106" s="37">
        <f t="shared" si="15"/>
        <v>7.6518923864656099E-3</v>
      </c>
      <c r="BI106" s="37">
        <f t="shared" si="16"/>
        <v>5.7651892386465599E-2</v>
      </c>
      <c r="BJ106" s="37">
        <f t="shared" si="17"/>
        <v>-1.2348107613534399E-2</v>
      </c>
      <c r="BK106" s="54"/>
      <c r="BL106" s="7"/>
    </row>
    <row r="107" spans="1:65" s="18" customFormat="1" x14ac:dyDescent="0.3">
      <c r="A107" s="21">
        <v>103</v>
      </c>
      <c r="B107" s="4" t="s">
        <v>163</v>
      </c>
      <c r="C107" s="4" t="s">
        <v>26</v>
      </c>
      <c r="D107" s="4">
        <v>10.31</v>
      </c>
      <c r="E107" s="4">
        <v>16.5</v>
      </c>
      <c r="F107" s="4" t="s">
        <v>166</v>
      </c>
      <c r="G107" s="50" t="s">
        <v>165</v>
      </c>
      <c r="H107" s="4">
        <v>1520</v>
      </c>
      <c r="I107" s="51">
        <v>7.0000000000000007E-2</v>
      </c>
      <c r="J107" s="52">
        <v>0.16</v>
      </c>
      <c r="K107" s="52">
        <v>1.1499999999999999</v>
      </c>
      <c r="L107" s="51">
        <v>1.7999999999999999E-2</v>
      </c>
      <c r="M107" s="51">
        <v>5.0000000000000001E-3</v>
      </c>
      <c r="N107" s="51"/>
      <c r="O107" s="51">
        <v>0.02</v>
      </c>
      <c r="P107" s="51">
        <v>5.5E-2</v>
      </c>
      <c r="Q107" s="51">
        <v>2.5000000000000001E-2</v>
      </c>
      <c r="R107" s="51" t="s">
        <v>631</v>
      </c>
      <c r="S107" s="32"/>
      <c r="T107" s="52"/>
      <c r="U107" s="52"/>
      <c r="V107" s="52"/>
      <c r="W107" s="52"/>
      <c r="X107" s="32" t="s">
        <v>631</v>
      </c>
      <c r="Y107" s="53" t="s">
        <v>631</v>
      </c>
      <c r="Z107" s="4">
        <v>50</v>
      </c>
      <c r="AA107" s="53"/>
      <c r="AB107" s="42">
        <f>IF(J107&lt;=0.04,0,IF((BA107-AL107*BF$4*炼钢参数表!$X$5/1000-AM107*BG$4*炼钢参数表!$X$5/1000)&lt;=0.03,0,IF((J107/100/0.1769/炼钢参数表!K107*1000)&gt;(K107-炼钢参数表!J107)/100/0.6566/炼钢参数表!L107*1000,IF(K107&lt;1.6,(K107-炼钢参数表!J107)/100/0.6566/炼钢参数表!L107*1000,(K107-0.08-炼钢参数表!J107)/100/0.6566/炼钢参数表!L107*1000),IF(K107&lt;1.6,J107/100/0.1769/炼钢参数表!K107*1000,(J107-0.08)/100/0.1769/炼钢参数表!K107*1000))))</f>
        <v>0</v>
      </c>
      <c r="AC107" s="8">
        <f>IF((BA107-AB107*$BB$4*0.9/1000-AL107*BF$4*炼钢参数表!$X$5/1000-AM107*BG$4*炼钢参数表!$X$5/1000)&lt;(K107-炼钢参数表!J107-AB107*0.6566*炼钢参数表!L107/10)*0.082,0,(K107-炼钢参数表!J107-AB107*0.6566*炼钢参数表!L107/10)/100/($AC$3/100)/炼钢参数表!L107*1000)</f>
        <v>0</v>
      </c>
      <c r="AD107" s="8">
        <f>IF((BA107-AB107*$BB$4*0.9/1000-AC107*$BC$4*0.9/1000-AL107*BF$4*炼钢参数表!$X$5/1000-AM107*BG$4*炼钢参数表!$X$5/1000)&lt;=(K107-炼钢参数表!J107-AB107*0.6566*炼钢参数表!L107/10-AC107*($AC$3/100)*炼钢参数表!L107/10)*0.02,0,((K107-炼钢参数表!J107-AB107*0.6566*炼钢参数表!L107/10-AC107*($AC$3/100)*炼钢参数表!L107/10)/100/($AD$3/100)/炼钢参数表!L107*1000))</f>
        <v>0</v>
      </c>
      <c r="AE107" s="8">
        <f>(K107-炼钢参数表!J107-AB107*0.6566*炼钢参数表!L107/10-AC107*($AC$3/100)*炼钢参数表!L107/10-AD107*($AD$3/100)*炼钢参数表!L107/10)/100/($AE$3/100)/炼钢参数表!L107*1000</f>
        <v>13.154664501593199</v>
      </c>
      <c r="AF107" s="8">
        <v>0</v>
      </c>
      <c r="AG107" s="8">
        <f>IF(J107&lt;=0.04,0,((J107-(AB107*0.1769*炼钢参数表!K107/1000*100))/100/炼钢参数表!K107/($AG$3/100)*1000))</f>
        <v>2.7689325764917601</v>
      </c>
      <c r="AH107" s="8">
        <v>1.9</v>
      </c>
      <c r="AI107" s="8">
        <f>IF(N107="",0,IF(N107&lt;=0.002,0,((N107)/100)/($AI$3/100)/炼钢参数表!M107*1000))</f>
        <v>0</v>
      </c>
      <c r="AJ107" s="8">
        <f>IF(O107="",0,IF(O107&lt;=0.002,0,((O107)/100)/($AJ$3/100)/炼钢参数表!N107*1000))</f>
        <v>0.31377864799056099</v>
      </c>
      <c r="AK107" s="8">
        <f>IF(P107="",0,IF(P107&lt;=0.002,0,((P107+0.005)/100)/($AK$3/100)/炼钢参数表!O107*1000))</f>
        <v>1.1974613818704301</v>
      </c>
      <c r="AL107" s="8">
        <f>IF((BA107-J107*0.00003-K107*0.00024)&lt;=0.05,0,IF(T107="",0,IF(T107&lt;=0.03,0,IF(((BA107-J107*0.00003-K107*0.00024)-0.05)/0.18/100/($AL$3/100)/炼钢参数表!P107*1000&lt;=T107/100/($AL$3/100)/炼钢参数表!P107*1000,((BA107-J107*0.00003-K107*0.00024)-0.05)/0.18/100/($AL$3/100)/炼钢参数表!P107*1000,T107/100/($AL$3/100)/炼钢参数表!P107*1000))))</f>
        <v>0</v>
      </c>
      <c r="AM107" s="8">
        <f>IF(T107="",0,IF(T107&lt;=0.03,0,((T107-AL107*($AL$3/100)*炼钢参数表!P107/10)/100/($AM$3/100)/炼钢参数表!P107*1000)))</f>
        <v>0</v>
      </c>
      <c r="AN107" s="8">
        <f>IF(U107="",0,IF(U107&lt;=0.02,0,(U107/100)/($AN$3/100)/炼钢参数表!Q107*1000))</f>
        <v>0</v>
      </c>
      <c r="AO107" s="8">
        <f>IF(V107="",0,IF(V107&lt;=0.02,0,(V107/100)/($AO$3/100)/炼钢参数表!R107*1000))</f>
        <v>0</v>
      </c>
      <c r="AP107" s="8">
        <f>IF(W107="",0,IF(W107&lt;=0.02,0,(W107/100)/($AP$3/100)/炼钢参数表!S107*1000))</f>
        <v>0</v>
      </c>
      <c r="AQ107" s="8">
        <f>IF(X107="",0,IF(X107&lt;=0.0002,0,(X107/100)/($AQ$3/100)/炼钢参数表!T107*1000))</f>
        <v>0</v>
      </c>
      <c r="AR107" s="8">
        <f>IF(Y107="",0,IF(Y107&lt;=0.02,0,(Y107/100)/($AR$3/100)/炼钢参数表!U107*1000))</f>
        <v>0</v>
      </c>
      <c r="AS107" s="8">
        <f>IF(L107&lt;=0.04,0,((L107-0.04)/100)/($AS$3/100)/炼钢参数表!V107*1000)</f>
        <v>0</v>
      </c>
      <c r="AT107" s="8">
        <f>IF(M107&lt;=0.03,0,((M107-0.03)/100)/($AT$3/100)/炼钢参数表!W107*1000)</f>
        <v>0</v>
      </c>
      <c r="AU107" s="6"/>
      <c r="AV107" s="8">
        <f t="shared" si="12"/>
        <v>19.334837107946001</v>
      </c>
      <c r="AW107" s="8" cm="1">
        <f t="array" ref="AW107">SUMPRODUCT($AB$4:$AU$4,AB107:AU107)/1000</f>
        <v>263.79644752650898</v>
      </c>
      <c r="AY107" s="2" t="str">
        <f t="shared" si="13"/>
        <v>Q460C-2</v>
      </c>
      <c r="AZ107" s="37">
        <f>VLOOKUP(AY107,炼钢参数表!$F$5:$J$1027,4,0)</f>
        <v>0.05</v>
      </c>
      <c r="BA107" s="37">
        <f t="shared" si="14"/>
        <v>0.02</v>
      </c>
      <c r="BB107" s="37">
        <f>AB107*$BB$4*炼钢参数表!$X$5/1000</f>
        <v>0</v>
      </c>
      <c r="BC107" s="37">
        <f>AC107*$BC$4*炼钢参数表!$X$5/1000</f>
        <v>0</v>
      </c>
      <c r="BD107" s="37">
        <f>AD107*$BD$4*炼钢参数表!$X$5/1000</f>
        <v>0</v>
      </c>
      <c r="BE107" s="37">
        <f>AE107*$BE$4*炼钢参数表!$X$5/1000</f>
        <v>7.5770867529176998E-3</v>
      </c>
      <c r="BF107" s="37">
        <f>AL107*$BF$4*炼钢参数表!$X$5/1000</f>
        <v>0</v>
      </c>
      <c r="BG107" s="37">
        <f>AM107*$BG$4*炼钢参数表!$X$5/1000</f>
        <v>0</v>
      </c>
      <c r="BH107" s="37">
        <f t="shared" si="15"/>
        <v>7.5770867529176998E-3</v>
      </c>
      <c r="BI107" s="37">
        <f t="shared" si="16"/>
        <v>5.75770867529177E-2</v>
      </c>
      <c r="BJ107" s="37">
        <f t="shared" si="17"/>
        <v>-1.24229132470823E-2</v>
      </c>
      <c r="BK107" s="54"/>
      <c r="BL107" s="7"/>
    </row>
    <row r="108" spans="1:65" s="18" customFormat="1" x14ac:dyDescent="0.3">
      <c r="A108" s="21">
        <v>104</v>
      </c>
      <c r="B108" s="4" t="s">
        <v>167</v>
      </c>
      <c r="C108" s="4" t="s">
        <v>23</v>
      </c>
      <c r="D108" s="4">
        <v>1.5</v>
      </c>
      <c r="E108" s="4">
        <v>10.3</v>
      </c>
      <c r="F108" s="4" t="s">
        <v>168</v>
      </c>
      <c r="G108" s="50" t="s">
        <v>169</v>
      </c>
      <c r="H108" s="4">
        <v>1520</v>
      </c>
      <c r="I108" s="51">
        <v>7.0000000000000007E-2</v>
      </c>
      <c r="J108" s="52">
        <v>0.16</v>
      </c>
      <c r="K108" s="52">
        <v>1.1499999999999999</v>
      </c>
      <c r="L108" s="51">
        <v>1.7999999999999999E-2</v>
      </c>
      <c r="M108" s="51">
        <v>5.0000000000000001E-3</v>
      </c>
      <c r="N108" s="51"/>
      <c r="O108" s="51">
        <v>1.4999999999999999E-2</v>
      </c>
      <c r="P108" s="51">
        <v>0.05</v>
      </c>
      <c r="Q108" s="51">
        <v>2.5000000000000001E-2</v>
      </c>
      <c r="R108" s="51" t="s">
        <v>631</v>
      </c>
      <c r="S108" s="32"/>
      <c r="T108" s="52"/>
      <c r="U108" s="52"/>
      <c r="V108" s="52"/>
      <c r="W108" s="52"/>
      <c r="X108" s="32" t="s">
        <v>631</v>
      </c>
      <c r="Y108" s="53" t="s">
        <v>631</v>
      </c>
      <c r="Z108" s="4">
        <v>50</v>
      </c>
      <c r="AA108" s="53"/>
      <c r="AB108" s="42">
        <f>IF(J108&lt;=0.04,0,IF((BA108-AL108*BF$4*炼钢参数表!$X$5/1000-AM108*BG$4*炼钢参数表!$X$5/1000)&lt;=0.03,0,IF((J108/100/0.1769/炼钢参数表!K108*1000)&gt;(K108-炼钢参数表!J108)/100/0.6566/炼钢参数表!L108*1000,IF(K108&lt;1.6,(K108-炼钢参数表!J108)/100/0.6566/炼钢参数表!L108*1000,(K108-0.08-炼钢参数表!J108)/100/0.6566/炼钢参数表!L108*1000),IF(K108&lt;1.6,J108/100/0.1769/炼钢参数表!K108*1000,(J108-0.08)/100/0.1769/炼钢参数表!K108*1000))))</f>
        <v>0</v>
      </c>
      <c r="AC108" s="8">
        <f>IF((BA108-AB108*$BB$4*0.9/1000-AL108*BF$4*炼钢参数表!$X$5/1000-AM108*BG$4*炼钢参数表!$X$5/1000)&lt;(K108-炼钢参数表!J108-AB108*0.6566*炼钢参数表!L108/10)*0.082,0,(K108-炼钢参数表!J108-AB108*0.6566*炼钢参数表!L108/10)/100/($AC$3/100)/炼钢参数表!L108*1000)</f>
        <v>0</v>
      </c>
      <c r="AD108" s="8">
        <f>IF((BA108-AB108*$BB$4*0.9/1000-AC108*$BC$4*0.9/1000-AL108*BF$4*炼钢参数表!$X$5/1000-AM108*BG$4*炼钢参数表!$X$5/1000)&lt;=(K108-炼钢参数表!J108-AB108*0.6566*炼钢参数表!L108/10-AC108*($AC$3/100)*炼钢参数表!L108/10)*0.02,0,((K108-炼钢参数表!J108-AB108*0.6566*炼钢参数表!L108/10-AC108*($AC$3/100)*炼钢参数表!L108/10)/100/($AD$3/100)/炼钢参数表!L108*1000))</f>
        <v>13.5248904756708</v>
      </c>
      <c r="AE108" s="8">
        <f>(K108-炼钢参数表!J108-AB108*0.6566*炼钢参数表!L108/10-AC108*($AC$3/100)*炼钢参数表!L108/10-AD108*($AD$3/100)*炼钢参数表!L108/10)/100/($AE$3/100)/炼钢参数表!L108*1000</f>
        <v>0</v>
      </c>
      <c r="AF108" s="8">
        <v>0</v>
      </c>
      <c r="AG108" s="8">
        <f>IF(J108&lt;=0.04,0,((J108-(AB108*0.1769*炼钢参数表!K108/1000*100))/100/炼钢参数表!K108/($AG$3/100)*1000))</f>
        <v>2.7689325764917601</v>
      </c>
      <c r="AH108" s="8">
        <v>1.9</v>
      </c>
      <c r="AI108" s="8">
        <f>IF(N108="",0,IF(N108&lt;=0.002,0,((N108)/100)/($AI$3/100)/炼钢参数表!M108*1000))</f>
        <v>0</v>
      </c>
      <c r="AJ108" s="8">
        <f>IF(O108="",0,IF(O108&lt;=0.002,0,((O108)/100)/($AJ$3/100)/炼钢参数表!N108*1000))</f>
        <v>0.23533398599292099</v>
      </c>
      <c r="AK108" s="8">
        <f>IF(P108="",0,IF(P108&lt;=0.002,0,((P108+0.005)/100)/($AK$3/100)/炼钢参数表!O108*1000))</f>
        <v>1.0976729333812301</v>
      </c>
      <c r="AL108" s="8">
        <f>IF((BA108-J108*0.00003-K108*0.00024)&lt;=0.05,0,IF(T108="",0,IF(T108&lt;=0.03,0,IF(((BA108-J108*0.00003-K108*0.00024)-0.05)/0.18/100/($AL$3/100)/炼钢参数表!P108*1000&lt;=T108/100/($AL$3/100)/炼钢参数表!P108*1000,((BA108-J108*0.00003-K108*0.00024)-0.05)/0.18/100/($AL$3/100)/炼钢参数表!P108*1000,T108/100/($AL$3/100)/炼钢参数表!P108*1000))))</f>
        <v>0</v>
      </c>
      <c r="AM108" s="8">
        <f>IF(T108="",0,IF(T108&lt;=0.03,0,((T108-AL108*($AL$3/100)*炼钢参数表!P108/10)/100/($AM$3/100)/炼钢参数表!P108*1000)))</f>
        <v>0</v>
      </c>
      <c r="AN108" s="8">
        <f>IF(U108="",0,IF(U108&lt;=0.02,0,(U108/100)/($AN$3/100)/炼钢参数表!Q108*1000))</f>
        <v>0</v>
      </c>
      <c r="AO108" s="8">
        <f>IF(V108="",0,IF(V108&lt;=0.02,0,(V108/100)/($AO$3/100)/炼钢参数表!R108*1000))</f>
        <v>0</v>
      </c>
      <c r="AP108" s="8">
        <f>IF(W108="",0,IF(W108&lt;=0.02,0,(W108/100)/($AP$3/100)/炼钢参数表!S108*1000))</f>
        <v>0</v>
      </c>
      <c r="AQ108" s="8">
        <f>IF(X108="",0,IF(X108&lt;=0.0002,0,(X108/100)/($AQ$3/100)/炼钢参数表!T108*1000))</f>
        <v>0</v>
      </c>
      <c r="AR108" s="8">
        <f>IF(Y108="",0,IF(Y108&lt;=0.02,0,(Y108/100)/($AR$3/100)/炼钢参数表!U108*1000))</f>
        <v>0</v>
      </c>
      <c r="AS108" s="8">
        <f>IF(L108&lt;=0.04,0,((L108-0.04)/100)/($AS$3/100)/炼钢参数表!V108*1000)</f>
        <v>0</v>
      </c>
      <c r="AT108" s="8">
        <f>IF(M108&lt;=0.03,0,((M108-0.03)/100)/($AT$3/100)/炼钢参数表!W108*1000)</f>
        <v>0</v>
      </c>
      <c r="AU108" s="6"/>
      <c r="AV108" s="8">
        <f t="shared" si="12"/>
        <v>19.526829971536699</v>
      </c>
      <c r="AW108" s="8" cm="1">
        <f t="array" ref="AW108">SUMPRODUCT($AB$4:$AU$4,AB108:AU108)/1000</f>
        <v>238.455642329401</v>
      </c>
      <c r="AY108" s="2" t="str">
        <f t="shared" si="13"/>
        <v>Q460MC-1</v>
      </c>
      <c r="AZ108" s="37">
        <f>VLOOKUP(AY108,炼钢参数表!$F$5:$J$1027,4,0)</f>
        <v>4.9000000000000002E-2</v>
      </c>
      <c r="BA108" s="37">
        <f t="shared" si="14"/>
        <v>2.1000000000000001E-2</v>
      </c>
      <c r="BB108" s="37">
        <f>AB108*$BB$4*炼钢参数表!$X$5/1000</f>
        <v>0</v>
      </c>
      <c r="BC108" s="37">
        <f>AC108*$BC$4*炼钢参数表!$X$5/1000</f>
        <v>0</v>
      </c>
      <c r="BD108" s="37">
        <f>AD108*$BD$4*炼钢参数表!$X$5/1000</f>
        <v>1.8258602142155599E-2</v>
      </c>
      <c r="BE108" s="37">
        <f>AE108*$BE$4*炼钢参数表!$X$5/1000</f>
        <v>0</v>
      </c>
      <c r="BF108" s="37">
        <f>AL108*$BF$4*炼钢参数表!$X$5/1000</f>
        <v>0</v>
      </c>
      <c r="BG108" s="37">
        <f>AM108*$BG$4*炼钢参数表!$X$5/1000</f>
        <v>0</v>
      </c>
      <c r="BH108" s="37">
        <f t="shared" si="15"/>
        <v>1.8258602142155599E-2</v>
      </c>
      <c r="BI108" s="37">
        <f t="shared" si="16"/>
        <v>6.7258602142155594E-2</v>
      </c>
      <c r="BJ108" s="37">
        <f t="shared" si="17"/>
        <v>-2.74139785784444E-3</v>
      </c>
      <c r="BK108" s="54"/>
      <c r="BL108" s="7"/>
    </row>
    <row r="109" spans="1:65" s="18" customFormat="1" x14ac:dyDescent="0.3">
      <c r="A109" s="21">
        <v>105</v>
      </c>
      <c r="B109" s="4" t="s">
        <v>167</v>
      </c>
      <c r="C109" s="4" t="s">
        <v>26</v>
      </c>
      <c r="D109" s="4">
        <v>10.31</v>
      </c>
      <c r="E109" s="4">
        <v>16.5</v>
      </c>
      <c r="F109" s="4" t="s">
        <v>170</v>
      </c>
      <c r="G109" s="50" t="s">
        <v>169</v>
      </c>
      <c r="H109" s="4">
        <v>1520</v>
      </c>
      <c r="I109" s="51">
        <v>7.0000000000000007E-2</v>
      </c>
      <c r="J109" s="52">
        <v>0.16</v>
      </c>
      <c r="K109" s="52">
        <v>1.1499999999999999</v>
      </c>
      <c r="L109" s="51">
        <v>1.7999999999999999E-2</v>
      </c>
      <c r="M109" s="51">
        <v>5.0000000000000001E-3</v>
      </c>
      <c r="N109" s="51"/>
      <c r="O109" s="51">
        <v>0.02</v>
      </c>
      <c r="P109" s="51">
        <v>5.5E-2</v>
      </c>
      <c r="Q109" s="51">
        <v>2.5000000000000001E-2</v>
      </c>
      <c r="R109" s="51" t="s">
        <v>631</v>
      </c>
      <c r="S109" s="32"/>
      <c r="T109" s="52"/>
      <c r="U109" s="52"/>
      <c r="V109" s="52"/>
      <c r="W109" s="52"/>
      <c r="X109" s="32" t="s">
        <v>631</v>
      </c>
      <c r="Y109" s="53" t="s">
        <v>631</v>
      </c>
      <c r="Z109" s="4">
        <v>50</v>
      </c>
      <c r="AA109" s="53"/>
      <c r="AB109" s="42">
        <f>IF(J109&lt;=0.04,0,IF((BA109-AL109*BF$4*炼钢参数表!$X$5/1000-AM109*BG$4*炼钢参数表!$X$5/1000)&lt;=0.03,0,IF((J109/100/0.1769/炼钢参数表!K109*1000)&gt;(K109-炼钢参数表!J109)/100/0.6566/炼钢参数表!L109*1000,IF(K109&lt;1.6,(K109-炼钢参数表!J109)/100/0.6566/炼钢参数表!L109*1000,(K109-0.08-炼钢参数表!J109)/100/0.6566/炼钢参数表!L109*1000),IF(K109&lt;1.6,J109/100/0.1769/炼钢参数表!K109*1000,(J109-0.08)/100/0.1769/炼钢参数表!K109*1000))))</f>
        <v>0</v>
      </c>
      <c r="AC109" s="8">
        <f>IF((BA109-AB109*$BB$4*0.9/1000-AL109*BF$4*炼钢参数表!$X$5/1000-AM109*BG$4*炼钢参数表!$X$5/1000)&lt;(K109-炼钢参数表!J109-AB109*0.6566*炼钢参数表!L109/10)*0.082,0,(K109-炼钢参数表!J109-AB109*0.6566*炼钢参数表!L109/10)/100/($AC$3/100)/炼钢参数表!L109*1000)</f>
        <v>0</v>
      </c>
      <c r="AD109" s="8">
        <f>IF((BA109-AB109*$BB$4*0.9/1000-AC109*$BC$4*0.9/1000-AL109*BF$4*炼钢参数表!$X$5/1000-AM109*BG$4*炼钢参数表!$X$5/1000)&lt;=(K109-炼钢参数表!J109-AB109*0.6566*炼钢参数表!L109/10-AC109*($AC$3/100)*炼钢参数表!L109/10)*0.02,0,((K109-炼钢参数表!J109-AB109*0.6566*炼钢参数表!L109/10-AC109*($AC$3/100)*炼钢参数表!L109/10)/100/($AD$3/100)/炼钢参数表!L109*1000))</f>
        <v>13.278038488122499</v>
      </c>
      <c r="AE109" s="8">
        <f>(K109-炼钢参数表!J109-AB109*0.6566*炼钢参数表!L109/10-AC109*($AC$3/100)*炼钢参数表!L109/10-AD109*($AD$3/100)*炼钢参数表!L109/10)/100/($AE$3/100)/炼钢参数表!L109*1000</f>
        <v>0</v>
      </c>
      <c r="AF109" s="8">
        <v>0</v>
      </c>
      <c r="AG109" s="8">
        <f>IF(J109&lt;=0.04,0,((J109-(AB109*0.1769*炼钢参数表!K109/1000*100))/100/炼钢参数表!K109/($AG$3/100)*1000))</f>
        <v>2.7689325764917601</v>
      </c>
      <c r="AH109" s="8">
        <v>1.9</v>
      </c>
      <c r="AI109" s="8">
        <f>IF(N109="",0,IF(N109&lt;=0.002,0,((N109)/100)/($AI$3/100)/炼钢参数表!M109*1000))</f>
        <v>0</v>
      </c>
      <c r="AJ109" s="8">
        <f>IF(O109="",0,IF(O109&lt;=0.002,0,((O109)/100)/($AJ$3/100)/炼钢参数表!N109*1000))</f>
        <v>0.31377864799056099</v>
      </c>
      <c r="AK109" s="8">
        <f>IF(P109="",0,IF(P109&lt;=0.002,0,((P109+0.005)/100)/($AK$3/100)/炼钢参数表!O109*1000))</f>
        <v>1.1974613818704301</v>
      </c>
      <c r="AL109" s="8">
        <f>IF((BA109-J109*0.00003-K109*0.00024)&lt;=0.05,0,IF(T109="",0,IF(T109&lt;=0.03,0,IF(((BA109-J109*0.00003-K109*0.00024)-0.05)/0.18/100/($AL$3/100)/炼钢参数表!P109*1000&lt;=T109/100/($AL$3/100)/炼钢参数表!P109*1000,((BA109-J109*0.00003-K109*0.00024)-0.05)/0.18/100/($AL$3/100)/炼钢参数表!P109*1000,T109/100/($AL$3/100)/炼钢参数表!P109*1000))))</f>
        <v>0</v>
      </c>
      <c r="AM109" s="8">
        <f>IF(T109="",0,IF(T109&lt;=0.03,0,((T109-AL109*($AL$3/100)*炼钢参数表!P109/10)/100/($AM$3/100)/炼钢参数表!P109*1000)))</f>
        <v>0</v>
      </c>
      <c r="AN109" s="8">
        <f>IF(U109="",0,IF(U109&lt;=0.02,0,(U109/100)/($AN$3/100)/炼钢参数表!Q109*1000))</f>
        <v>0</v>
      </c>
      <c r="AO109" s="8">
        <f>IF(V109="",0,IF(V109&lt;=0.02,0,(V109/100)/($AO$3/100)/炼钢参数表!R109*1000))</f>
        <v>0</v>
      </c>
      <c r="AP109" s="8">
        <f>IF(W109="",0,IF(W109&lt;=0.02,0,(W109/100)/($AP$3/100)/炼钢参数表!S109*1000))</f>
        <v>0</v>
      </c>
      <c r="AQ109" s="8">
        <f>IF(X109="",0,IF(X109&lt;=0.0002,0,(X109/100)/($AQ$3/100)/炼钢参数表!T109*1000))</f>
        <v>0</v>
      </c>
      <c r="AR109" s="8">
        <f>IF(Y109="",0,IF(Y109&lt;=0.02,0,(Y109/100)/($AR$3/100)/炼钢参数表!U109*1000))</f>
        <v>0</v>
      </c>
      <c r="AS109" s="8">
        <f>IF(L109&lt;=0.04,0,((L109-0.04)/100)/($AS$3/100)/炼钢参数表!V109*1000)</f>
        <v>0</v>
      </c>
      <c r="AT109" s="8">
        <f>IF(M109&lt;=0.03,0,((M109-0.03)/100)/($AT$3/100)/炼钢参数表!W109*1000)</f>
        <v>0</v>
      </c>
      <c r="AU109" s="6"/>
      <c r="AV109" s="8">
        <f t="shared" si="12"/>
        <v>19.458211094475299</v>
      </c>
      <c r="AW109" s="8" cm="1">
        <f t="array" ref="AW109">SUMPRODUCT($AB$4:$AU$4,AB109:AU109)/1000</f>
        <v>255.84454790581401</v>
      </c>
      <c r="AY109" s="2" t="str">
        <f t="shared" si="13"/>
        <v>Q460MC-2</v>
      </c>
      <c r="AZ109" s="37">
        <f>VLOOKUP(AY109,炼钢参数表!$F$5:$J$1027,4,0)</f>
        <v>4.6333333333333303E-2</v>
      </c>
      <c r="BA109" s="37">
        <f t="shared" si="14"/>
        <v>2.36666666666667E-2</v>
      </c>
      <c r="BB109" s="37">
        <f>AB109*$BB$4*炼钢参数表!$X$5/1000</f>
        <v>0</v>
      </c>
      <c r="BC109" s="37">
        <f>AC109*$BC$4*炼钢参数表!$X$5/1000</f>
        <v>0</v>
      </c>
      <c r="BD109" s="37">
        <f>AD109*$BD$4*炼钢参数表!$X$5/1000</f>
        <v>1.7925351958965399E-2</v>
      </c>
      <c r="BE109" s="37">
        <f>AE109*$BE$4*炼钢参数表!$X$5/1000</f>
        <v>0</v>
      </c>
      <c r="BF109" s="37">
        <f>AL109*$BF$4*炼钢参数表!$X$5/1000</f>
        <v>0</v>
      </c>
      <c r="BG109" s="37">
        <f>AM109*$BG$4*炼钢参数表!$X$5/1000</f>
        <v>0</v>
      </c>
      <c r="BH109" s="37">
        <f t="shared" si="15"/>
        <v>1.7925351958965399E-2</v>
      </c>
      <c r="BI109" s="37">
        <f t="shared" si="16"/>
        <v>6.4258685292298695E-2</v>
      </c>
      <c r="BJ109" s="37">
        <f t="shared" si="17"/>
        <v>-5.7413147077013098E-3</v>
      </c>
      <c r="BK109" s="54"/>
      <c r="BL109" s="7"/>
    </row>
    <row r="110" spans="1:65" s="18" customFormat="1" x14ac:dyDescent="0.3">
      <c r="A110" s="21">
        <v>106</v>
      </c>
      <c r="B110" s="4" t="s">
        <v>171</v>
      </c>
      <c r="C110" s="4" t="s">
        <v>23</v>
      </c>
      <c r="D110" s="4">
        <v>16.010000000000002</v>
      </c>
      <c r="E110" s="4">
        <v>25.4</v>
      </c>
      <c r="F110" s="4" t="s">
        <v>172</v>
      </c>
      <c r="G110" s="4" t="s">
        <v>173</v>
      </c>
      <c r="H110" s="4">
        <v>1520</v>
      </c>
      <c r="I110" s="4">
        <v>0.14000000000000001</v>
      </c>
      <c r="J110" s="4">
        <v>0.16</v>
      </c>
      <c r="K110" s="4">
        <v>1.4</v>
      </c>
      <c r="L110" s="4">
        <v>1.4999999999999999E-2</v>
      </c>
      <c r="M110" s="4">
        <v>5.0000000000000001E-3</v>
      </c>
      <c r="N110" s="4">
        <v>0</v>
      </c>
      <c r="O110" s="4">
        <v>0.03</v>
      </c>
      <c r="P110" s="4">
        <v>0.03</v>
      </c>
      <c r="Q110" s="4" t="s">
        <v>631</v>
      </c>
      <c r="R110" s="4">
        <v>2.5000000000000001E-2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/>
      <c r="Y110" s="4" t="s">
        <v>631</v>
      </c>
      <c r="Z110" s="4">
        <v>40</v>
      </c>
      <c r="AA110" s="53"/>
      <c r="AB110" s="42">
        <f>IF(J110&lt;=0.04,0,IF((BA110-AL110*BF$4*炼钢参数表!$X$5/1000-AM110*BG$4*炼钢参数表!$X$5/1000)&lt;=0.03,0,IF((J110/100/0.1769/炼钢参数表!K110*1000)&gt;(K110-炼钢参数表!J110)/100/0.6566/炼钢参数表!L110*1000,IF(K110&lt;1.6,(K110-炼钢参数表!J110)/100/0.6566/炼钢参数表!L110*1000,(K110-0.08-炼钢参数表!J110)/100/0.6566/炼钢参数表!L110*1000),IF(K110&lt;1.6,J110/100/0.1769/炼钢参数表!K110*1000,(J110-0.08)/100/0.1769/炼钢参数表!K110*1000))))</f>
        <v>11.305822498586799</v>
      </c>
      <c r="AC110" s="8">
        <f>IF((BA110-AB110*$BB$4*0.9/1000-AL110*BF$4*炼钢参数表!$X$5/1000-AM110*BG$4*炼钢参数表!$X$5/1000)&lt;(K110-炼钢参数表!J110-AB110*0.6566*炼钢参数表!L110/10)*0.082,0,(K110-炼钢参数表!J110-AB110*0.6566*炼钢参数表!L110/10)/100/($AC$3/100)/炼钢参数表!L110*1000)</f>
        <v>7.6996566839188096</v>
      </c>
      <c r="AD110" s="8">
        <f>IF((BA110-AB110*$BB$4*0.9/1000-AC110*$BC$4*0.9/1000-AL110*BF$4*炼钢参数表!$X$5/1000-AM110*BG$4*炼钢参数表!$X$5/1000)&lt;=(K110-炼钢参数表!J110-AB110*0.6566*炼钢参数表!L110/10-AC110*($AC$3/100)*炼钢参数表!L110/10)*0.02,0,((K110-炼钢参数表!J110-AB110*0.6566*炼钢参数表!L110/10-AC110*($AC$3/100)*炼钢参数表!L110/10)/100/($AD$3/100)/炼钢参数表!L110*1000))</f>
        <v>0</v>
      </c>
      <c r="AE110" s="8">
        <f>(K110-炼钢参数表!J110-AB110*0.6566*炼钢参数表!L110/10-AC110*($AC$3/100)*炼钢参数表!L110/10-AD110*($AD$3/100)*炼钢参数表!L110/10)/100/($AE$3/100)/炼钢参数表!L110*1000</f>
        <v>0</v>
      </c>
      <c r="AF110" s="8">
        <v>0</v>
      </c>
      <c r="AG110" s="8">
        <f>IF(J110&lt;=0.04,0,((J110-(AB110*0.1769*炼钢参数表!K110/1000*100))/100/炼钢参数表!K110/($AG$3/100)*1000))</f>
        <v>0</v>
      </c>
      <c r="AH110" s="8">
        <v>1.4</v>
      </c>
      <c r="AI110" s="8">
        <f>IF(N110="",0,IF(N110&lt;=0.002,0,((N110)/100)/($AI$3/100)/炼钢参数表!M110*1000))</f>
        <v>0</v>
      </c>
      <c r="AJ110" s="8">
        <f>IF(O110="",0,IF(O110&lt;=0.002,0,((O110)/100)/($AJ$3/100)/炼钢参数表!N110*1000))</f>
        <v>0.47066797198584198</v>
      </c>
      <c r="AK110" s="8">
        <f>IF(P110="",0,IF(P110&lt;=0.002,0,((P110+0.005)/100)/($AK$3/100)/炼钢参数表!O110*1000))</f>
        <v>0.69851913942442001</v>
      </c>
      <c r="AL110" s="8">
        <f>IF((BA110-J110*0.00003-K110*0.00024)&lt;=0.05,0,IF(T110="",0,IF(T110&lt;=0.03,0,IF(((BA110-J110*0.00003-K110*0.00024)-0.05)/0.18/100/($AL$3/100)/炼钢参数表!P110*1000&lt;=T110/100/($AL$3/100)/炼钢参数表!P110*1000,((BA110-J110*0.00003-K110*0.00024)-0.05)/0.18/100/($AL$3/100)/炼钢参数表!P110*1000,T110/100/($AL$3/100)/炼钢参数表!P110*1000))))</f>
        <v>0</v>
      </c>
      <c r="AM110" s="8">
        <f>IF(T110="",0,IF(T110&lt;=0.03,0,((T110-AL110*($AL$3/100)*炼钢参数表!P110/10)/100/($AM$3/100)/炼钢参数表!P110*1000)))</f>
        <v>0</v>
      </c>
      <c r="AN110" s="8">
        <f>IF(U110="",0,IF(U110&lt;=0.02,0,(U110/100)/($AN$3/100)/炼钢参数表!Q110*1000))</f>
        <v>0</v>
      </c>
      <c r="AO110" s="8">
        <f>IF(V110="",0,IF(V110&lt;=0.02,0,(V110/100)/($AO$3/100)/炼钢参数表!R110*1000))</f>
        <v>0</v>
      </c>
      <c r="AP110" s="8">
        <f>IF(W110="",0,IF(W110&lt;=0.02,0,(W110/100)/($AP$3/100)/炼钢参数表!S110*1000))</f>
        <v>0</v>
      </c>
      <c r="AQ110" s="8">
        <f>IF(X110="",0,IF(X110&lt;=0.0002,0,(X110/100)/($AQ$3/100)/炼钢参数表!T110*1000))</f>
        <v>0</v>
      </c>
      <c r="AR110" s="8">
        <f>IF(Y110="",0,IF(Y110&lt;=0.02,0,(Y110/100)/($AR$3/100)/炼钢参数表!U110*1000))</f>
        <v>0</v>
      </c>
      <c r="AS110" s="8">
        <f>IF(L110&lt;=0.04,0,((L110-0.04)/100)/($AS$3/100)/炼钢参数表!V110*1000)</f>
        <v>0</v>
      </c>
      <c r="AT110" s="8">
        <f>IF(M110&lt;=0.03,0,((M110-0.03)/100)/($AT$3/100)/炼钢参数表!W110*1000)</f>
        <v>0</v>
      </c>
      <c r="AU110" s="6"/>
      <c r="AV110" s="8">
        <f t="shared" si="12"/>
        <v>21.5746662939159</v>
      </c>
      <c r="AW110" s="8" cm="1">
        <f t="array" ref="AW110">SUMPRODUCT($AB$4:$AU$4,AB110:AU110)/1000</f>
        <v>257.32680118752302</v>
      </c>
      <c r="AY110" s="2" t="str">
        <f t="shared" si="13"/>
        <v>Q460MC(YZ)-2</v>
      </c>
      <c r="AZ110" s="37">
        <f>VLOOKUP(AY110,炼钢参数表!$F$5:$J$1027,4,0)</f>
        <v>4.3400000000000001E-2</v>
      </c>
      <c r="BA110" s="37">
        <f t="shared" si="14"/>
        <v>9.6600000000000005E-2</v>
      </c>
      <c r="BB110" s="37">
        <f>AB110*$BB$4*炼钢参数表!$X$5/1000</f>
        <v>1.7501413227812301E-2</v>
      </c>
      <c r="BC110" s="37">
        <f>AC110*$BC$4*炼钢参数表!$X$5/1000</f>
        <v>4.6359632893875201E-2</v>
      </c>
      <c r="BD110" s="37">
        <f>AD110*$BD$4*炼钢参数表!$X$5/1000</f>
        <v>0</v>
      </c>
      <c r="BE110" s="37">
        <f>AE110*$BE$4*炼钢参数表!$X$5/1000</f>
        <v>0</v>
      </c>
      <c r="BF110" s="37">
        <f>AL110*$BF$4*炼钢参数表!$X$5/1000</f>
        <v>0</v>
      </c>
      <c r="BG110" s="37">
        <f>AM110*$BG$4*炼钢参数表!$X$5/1000</f>
        <v>0</v>
      </c>
      <c r="BH110" s="37">
        <f t="shared" si="15"/>
        <v>6.3861046121687498E-2</v>
      </c>
      <c r="BI110" s="37">
        <f t="shared" si="16"/>
        <v>0.10726104612168801</v>
      </c>
      <c r="BJ110" s="37">
        <f t="shared" si="17"/>
        <v>-3.27389538783125E-2</v>
      </c>
      <c r="BK110" s="54"/>
      <c r="BL110" s="7"/>
    </row>
    <row r="111" spans="1:65" s="18" customFormat="1" x14ac:dyDescent="0.3">
      <c r="A111" s="21">
        <v>107</v>
      </c>
      <c r="B111" s="4" t="s">
        <v>174</v>
      </c>
      <c r="C111" s="4" t="s">
        <v>23</v>
      </c>
      <c r="D111" s="4">
        <v>3</v>
      </c>
      <c r="E111" s="4">
        <v>10.3</v>
      </c>
      <c r="F111" s="4" t="s">
        <v>175</v>
      </c>
      <c r="G111" s="50" t="s">
        <v>176</v>
      </c>
      <c r="H111" s="4">
        <v>1520</v>
      </c>
      <c r="I111" s="51">
        <v>7.0000000000000007E-2</v>
      </c>
      <c r="J111" s="52">
        <v>0.16</v>
      </c>
      <c r="K111" s="52">
        <v>1.3</v>
      </c>
      <c r="L111" s="51">
        <v>1.7999999999999999E-2</v>
      </c>
      <c r="M111" s="51">
        <v>3.0000000000000001E-3</v>
      </c>
      <c r="N111" s="51"/>
      <c r="O111" s="51">
        <v>1.4999999999999999E-2</v>
      </c>
      <c r="P111" s="51">
        <v>5.5E-2</v>
      </c>
      <c r="Q111" s="51">
        <v>2.5000000000000001E-2</v>
      </c>
      <c r="R111" s="51" t="s">
        <v>631</v>
      </c>
      <c r="S111" s="32"/>
      <c r="T111" s="52"/>
      <c r="U111" s="52"/>
      <c r="V111" s="52"/>
      <c r="W111" s="52"/>
      <c r="X111" s="32" t="s">
        <v>631</v>
      </c>
      <c r="Y111" s="53" t="s">
        <v>631</v>
      </c>
      <c r="Z111" s="4">
        <v>50</v>
      </c>
      <c r="AA111" s="53"/>
      <c r="AB111" s="42">
        <f>IF(J111&lt;=0.04,0,IF((BA111-AL111*BF$4*炼钢参数表!$X$5/1000-AM111*BG$4*炼钢参数表!$X$5/1000)&lt;=0.03,0,IF((J111/100/0.1769/炼钢参数表!K111*1000)&gt;(K111-炼钢参数表!J111)/100/0.6566/炼钢参数表!L111*1000,IF(K111&lt;1.6,(K111-炼钢参数表!J111)/100/0.6566/炼钢参数表!L111*1000,(K111-0.08-炼钢参数表!J111)/100/0.6566/炼钢参数表!L111*1000),IF(K111&lt;1.6,J111/100/0.1769/炼钢参数表!K111*1000,(J111-0.08)/100/0.1769/炼钢参数表!K111*1000))))</f>
        <v>0</v>
      </c>
      <c r="AC111" s="8">
        <f>IF((BA111-AB111*$BB$4*0.9/1000-AL111*BF$4*炼钢参数表!$X$5/1000-AM111*BG$4*炼钢参数表!$X$5/1000)&lt;(K111-炼钢参数表!J111-AB111*0.6566*炼钢参数表!L111/10)*0.082,0,(K111-炼钢参数表!J111-AB111*0.6566*炼钢参数表!L111/10)/100/($AC$3/100)/炼钢参数表!L111*1000)</f>
        <v>0</v>
      </c>
      <c r="AD111" s="8">
        <f>IF((BA111-AB111*$BB$4*0.9/1000-AC111*$BC$4*0.9/1000-AL111*BF$4*炼钢参数表!$X$5/1000-AM111*BG$4*炼钢参数表!$X$5/1000)&lt;=(K111-炼钢参数表!J111-AB111*0.6566*炼钢参数表!L111/10-AC111*($AC$3/100)*炼钢参数表!L111/10)*0.02,0,((K111-炼钢参数表!J111-AB111*0.6566*炼钢参数表!L111/10-AC111*($AC$3/100)*炼钢参数表!L111/10)/100/($AD$3/100)/炼钢参数表!L111*1000))</f>
        <v>15.465926630392399</v>
      </c>
      <c r="AE111" s="8">
        <f>(K111-炼钢参数表!J111-AB111*0.6566*炼钢参数表!L111/10-AC111*($AC$3/100)*炼钢参数表!L111/10-AD111*($AD$3/100)*炼钢参数表!L111/10)/100/($AE$3/100)/炼钢参数表!L111*1000</f>
        <v>0</v>
      </c>
      <c r="AF111" s="8">
        <v>0</v>
      </c>
      <c r="AG111" s="8">
        <f>IF(J111&lt;=0.04,0,((J111-(AB111*0.1769*炼钢参数表!K111/1000*100))/100/炼钢参数表!K111/($AG$3/100)*1000))</f>
        <v>2.7689325764917601</v>
      </c>
      <c r="AH111" s="8">
        <v>1.9</v>
      </c>
      <c r="AI111" s="8">
        <f>IF(N111="",0,IF(N111&lt;=0.002,0,((N111)/100)/($AI$3/100)/炼钢参数表!M111*1000))</f>
        <v>0</v>
      </c>
      <c r="AJ111" s="8">
        <f>IF(O111="",0,IF(O111&lt;=0.002,0,((O111)/100)/($AJ$3/100)/炼钢参数表!N111*1000))</f>
        <v>0.23533398599292099</v>
      </c>
      <c r="AK111" s="8">
        <f>IF(P111="",0,IF(P111&lt;=0.002,0,((P111+0.005)/100)/($AK$3/100)/炼钢参数表!O111*1000))</f>
        <v>1.1974613818704301</v>
      </c>
      <c r="AL111" s="8">
        <f>IF((BA111-J111*0.00003-K111*0.00024)&lt;=0.05,0,IF(T111="",0,IF(T111&lt;=0.03,0,IF(((BA111-J111*0.00003-K111*0.00024)-0.05)/0.18/100/($AL$3/100)/炼钢参数表!P111*1000&lt;=T111/100/($AL$3/100)/炼钢参数表!P111*1000,((BA111-J111*0.00003-K111*0.00024)-0.05)/0.18/100/($AL$3/100)/炼钢参数表!P111*1000,T111/100/($AL$3/100)/炼钢参数表!P111*1000))))</f>
        <v>0</v>
      </c>
      <c r="AM111" s="8">
        <f>IF(T111="",0,IF(T111&lt;=0.03,0,((T111-AL111*($AL$3/100)*炼钢参数表!P111/10)/100/($AM$3/100)/炼钢参数表!P111*1000)))</f>
        <v>0</v>
      </c>
      <c r="AN111" s="8">
        <f>IF(U111="",0,IF(U111&lt;=0.02,0,(U111/100)/($AN$3/100)/炼钢参数表!Q111*1000))</f>
        <v>0</v>
      </c>
      <c r="AO111" s="8">
        <f>IF(V111="",0,IF(V111&lt;=0.02,0,(V111/100)/($AO$3/100)/炼钢参数表!R111*1000))</f>
        <v>0</v>
      </c>
      <c r="AP111" s="8">
        <f>IF(W111="",0,IF(W111&lt;=0.02,0,(W111/100)/($AP$3/100)/炼钢参数表!S111*1000))</f>
        <v>0</v>
      </c>
      <c r="AQ111" s="8">
        <f>IF(X111="",0,IF(X111&lt;=0.0002,0,(X111/100)/($AQ$3/100)/炼钢参数表!T111*1000))</f>
        <v>0</v>
      </c>
      <c r="AR111" s="8">
        <f>IF(Y111="",0,IF(Y111&lt;=0.02,0,(Y111/100)/($AR$3/100)/炼钢参数表!U111*1000))</f>
        <v>0</v>
      </c>
      <c r="AS111" s="8">
        <f>IF(L111&lt;=0.04,0,((L111-0.04)/100)/($AS$3/100)/炼钢参数表!V111*1000)</f>
        <v>0</v>
      </c>
      <c r="AT111" s="8">
        <f>IF(M111&lt;=0.03,0,((M111-0.03)/100)/($AT$3/100)/炼钢参数表!W111*1000)</f>
        <v>0</v>
      </c>
      <c r="AU111" s="6"/>
      <c r="AV111" s="8">
        <f t="shared" si="12"/>
        <v>21.5676545747475</v>
      </c>
      <c r="AW111" s="8" cm="1">
        <f t="array" ref="AW111">SUMPRODUCT($AB$4:$AU$4,AB111:AU111)/1000</f>
        <v>255.86201101117001</v>
      </c>
      <c r="AY111" s="2" t="str">
        <f t="shared" si="13"/>
        <v>Q460MD-1</v>
      </c>
      <c r="AZ111" s="37">
        <f>VLOOKUP(AY111,炼钢参数表!$F$5:$J$1027,4,0)</f>
        <v>4.3400000000000001E-2</v>
      </c>
      <c r="BA111" s="37">
        <f t="shared" si="14"/>
        <v>2.6599999999999999E-2</v>
      </c>
      <c r="BB111" s="37">
        <f>AB111*$BB$4*炼钢参数表!$X$5/1000</f>
        <v>0</v>
      </c>
      <c r="BC111" s="37">
        <f>AC111*$BC$4*炼钢参数表!$X$5/1000</f>
        <v>0</v>
      </c>
      <c r="BD111" s="37">
        <f>AD111*$BD$4*炼钢参数表!$X$5/1000</f>
        <v>2.0879000951029798E-2</v>
      </c>
      <c r="BE111" s="37">
        <f>AE111*$BE$4*炼钢参数表!$X$5/1000</f>
        <v>0</v>
      </c>
      <c r="BF111" s="37">
        <f>AL111*$BF$4*炼钢参数表!$X$5/1000</f>
        <v>0</v>
      </c>
      <c r="BG111" s="37">
        <f>AM111*$BG$4*炼钢参数表!$X$5/1000</f>
        <v>0</v>
      </c>
      <c r="BH111" s="37">
        <f t="shared" si="15"/>
        <v>2.0879000951029798E-2</v>
      </c>
      <c r="BI111" s="37">
        <f t="shared" si="16"/>
        <v>6.4279000951029799E-2</v>
      </c>
      <c r="BJ111" s="37">
        <f t="shared" si="17"/>
        <v>-5.7209990489702498E-3</v>
      </c>
      <c r="BK111" s="54"/>
      <c r="BL111" s="7"/>
    </row>
    <row r="112" spans="1:65" s="18" customFormat="1" x14ac:dyDescent="0.3">
      <c r="A112" s="21">
        <v>108</v>
      </c>
      <c r="B112" s="4" t="s">
        <v>174</v>
      </c>
      <c r="C112" s="4" t="s">
        <v>26</v>
      </c>
      <c r="D112" s="4">
        <v>10.31</v>
      </c>
      <c r="E112" s="4">
        <v>16.5</v>
      </c>
      <c r="F112" s="4" t="s">
        <v>177</v>
      </c>
      <c r="G112" s="50" t="s">
        <v>176</v>
      </c>
      <c r="H112" s="4">
        <v>1520</v>
      </c>
      <c r="I112" s="51">
        <v>7.0000000000000007E-2</v>
      </c>
      <c r="J112" s="52">
        <v>0.16</v>
      </c>
      <c r="K112" s="52">
        <v>1.35</v>
      </c>
      <c r="L112" s="51">
        <v>1.7999999999999999E-2</v>
      </c>
      <c r="M112" s="51">
        <v>3.0000000000000001E-3</v>
      </c>
      <c r="N112" s="51"/>
      <c r="O112" s="51">
        <v>1.4999999999999999E-2</v>
      </c>
      <c r="P112" s="51">
        <v>6.5000000000000002E-2</v>
      </c>
      <c r="Q112" s="51">
        <v>2.5000000000000001E-2</v>
      </c>
      <c r="R112" s="51" t="s">
        <v>631</v>
      </c>
      <c r="S112" s="32"/>
      <c r="T112" s="52"/>
      <c r="U112" s="52"/>
      <c r="V112" s="52"/>
      <c r="W112" s="52"/>
      <c r="X112" s="32" t="s">
        <v>631</v>
      </c>
      <c r="Y112" s="53" t="s">
        <v>631</v>
      </c>
      <c r="Z112" s="4"/>
      <c r="AA112" s="53"/>
      <c r="AB112" s="42">
        <f>IF(J112&lt;=0.04,0,IF((BA112-AL112*BF$4*炼钢参数表!$X$5/1000-AM112*BG$4*炼钢参数表!$X$5/1000)&lt;=0.03,0,IF((J112/100/0.1769/炼钢参数表!K112*1000)&gt;(K112-炼钢参数表!J112)/100/0.6566/炼钢参数表!L112*1000,IF(K112&lt;1.6,(K112-炼钢参数表!J112)/100/0.6566/炼钢参数表!L112*1000,(K112-0.08-炼钢参数表!J112)/100/0.6566/炼钢参数表!L112*1000),IF(K112&lt;1.6,J112/100/0.1769/炼钢参数表!K112*1000,(J112-0.08)/100/0.1769/炼钢参数表!K112*1000))))</f>
        <v>0</v>
      </c>
      <c r="AC112" s="8">
        <f>IF((BA112-AB112*$BB$4*0.9/1000-AL112*BF$4*炼钢参数表!$X$5/1000-AM112*BG$4*炼钢参数表!$X$5/1000)&lt;(K112-炼钢参数表!J112-AB112*0.6566*炼钢参数表!L112/10)*0.082,0,(K112-炼钢参数表!J112-AB112*0.6566*炼钢参数表!L112/10)/100/($AC$3/100)/炼钢参数表!L112*1000)</f>
        <v>0</v>
      </c>
      <c r="AD112" s="8">
        <f>IF((BA112-AB112*$BB$4*0.9/1000-AC112*$BC$4*0.9/1000-AL112*BF$4*炼钢参数表!$X$5/1000-AM112*BG$4*炼钢参数表!$X$5/1000)&lt;=(K112-炼钢参数表!J112-AB112*0.6566*炼钢参数表!L112/10-AC112*($AC$3/100)*炼钢参数表!L112/10)*0.02,0,((K112-炼钢参数表!J112-AB112*0.6566*炼钢参数表!L112/10-AC112*($AC$3/100)*炼钢参数表!L112/10)/100/($AD$3/100)/炼钢参数表!L112*1000))</f>
        <v>16.115537123940499</v>
      </c>
      <c r="AE112" s="8">
        <f>(K112-炼钢参数表!J112-AB112*0.6566*炼钢参数表!L112/10-AC112*($AC$3/100)*炼钢参数表!L112/10-AD112*($AD$3/100)*炼钢参数表!L112/10)/100/($AE$3/100)/炼钢参数表!L112*1000</f>
        <v>0</v>
      </c>
      <c r="AF112" s="8">
        <v>0</v>
      </c>
      <c r="AG112" s="8">
        <f>IF(J112&lt;=0.04,0,((J112-(AB112*0.1769*炼钢参数表!K112/1000*100))/100/炼钢参数表!K112/($AG$3/100)*1000))</f>
        <v>2.7689325764917601</v>
      </c>
      <c r="AH112" s="8">
        <v>1.9</v>
      </c>
      <c r="AI112" s="8">
        <f>IF(N112="",0,IF(N112&lt;=0.002,0,((N112)/100)/($AI$3/100)/炼钢参数表!M112*1000))</f>
        <v>0</v>
      </c>
      <c r="AJ112" s="8">
        <f>IF(O112="",0,IF(O112&lt;=0.002,0,((O112)/100)/($AJ$3/100)/炼钢参数表!N112*1000))</f>
        <v>0.23533398599292099</v>
      </c>
      <c r="AK112" s="8">
        <f>IF(P112="",0,IF(P112&lt;=0.002,0,((P112+0.005)/100)/($AK$3/100)/炼钢参数表!O112*1000))</f>
        <v>1.39703827884884</v>
      </c>
      <c r="AL112" s="8">
        <f>IF((BA112-J112*0.00003-K112*0.00024)&lt;=0.05,0,IF(T112="",0,IF(T112&lt;=0.03,0,IF(((BA112-J112*0.00003-K112*0.00024)-0.05)/0.18/100/($AL$3/100)/炼钢参数表!P112*1000&lt;=T112/100/($AL$3/100)/炼钢参数表!P112*1000,((BA112-J112*0.00003-K112*0.00024)-0.05)/0.18/100/($AL$3/100)/炼钢参数表!P112*1000,T112/100/($AL$3/100)/炼钢参数表!P112*1000))))</f>
        <v>0</v>
      </c>
      <c r="AM112" s="8">
        <f>IF(T112="",0,IF(T112&lt;=0.03,0,((T112-AL112*($AL$3/100)*炼钢参数表!P112/10)/100/($AM$3/100)/炼钢参数表!P112*1000)))</f>
        <v>0</v>
      </c>
      <c r="AN112" s="8">
        <f>IF(U112="",0,IF(U112&lt;=0.02,0,(U112/100)/($AN$3/100)/炼钢参数表!Q112*1000))</f>
        <v>0</v>
      </c>
      <c r="AO112" s="8">
        <f>IF(V112="",0,IF(V112&lt;=0.02,0,(V112/100)/($AO$3/100)/炼钢参数表!R112*1000))</f>
        <v>0</v>
      </c>
      <c r="AP112" s="8">
        <f>IF(W112="",0,IF(W112&lt;=0.02,0,(W112/100)/($AP$3/100)/炼钢参数表!S112*1000))</f>
        <v>0</v>
      </c>
      <c r="AQ112" s="8">
        <f>IF(X112="",0,IF(X112&lt;=0.0002,0,(X112/100)/($AQ$3/100)/炼钢参数表!T112*1000))</f>
        <v>0</v>
      </c>
      <c r="AR112" s="8">
        <f>IF(Y112="",0,IF(Y112&lt;=0.02,0,(Y112/100)/($AR$3/100)/炼钢参数表!U112*1000))</f>
        <v>0</v>
      </c>
      <c r="AS112" s="8">
        <f>IF(L112&lt;=0.04,0,((L112-0.04)/100)/($AS$3/100)/炼钢参数表!V112*1000)</f>
        <v>0</v>
      </c>
      <c r="AT112" s="8">
        <f>IF(M112&lt;=0.03,0,((M112-0.03)/100)/($AT$3/100)/炼钢参数表!W112*1000)</f>
        <v>0</v>
      </c>
      <c r="AU112" s="6"/>
      <c r="AV112" s="8">
        <f t="shared" si="12"/>
        <v>22.416841965273999</v>
      </c>
      <c r="AW112" s="8" cm="1">
        <f t="array" ref="AW112">SUMPRODUCT($AB$4:$AU$4,AB112:AU112)/1000</f>
        <v>265.68753247927202</v>
      </c>
      <c r="AY112" s="2" t="str">
        <f t="shared" si="13"/>
        <v>Q460MD-2</v>
      </c>
      <c r="AZ112" s="37">
        <f>VLOOKUP(AY112,炼钢参数表!$F$5:$J$1027,4,0)</f>
        <v>4.3400000000000001E-2</v>
      </c>
      <c r="BA112" s="37">
        <f t="shared" si="14"/>
        <v>2.6599999999999999E-2</v>
      </c>
      <c r="BB112" s="37">
        <f>AB112*$BB$4*炼钢参数表!$X$5/1000</f>
        <v>0</v>
      </c>
      <c r="BC112" s="37">
        <f>AC112*$BC$4*炼钢参数表!$X$5/1000</f>
        <v>0</v>
      </c>
      <c r="BD112" s="37">
        <f>AD112*$BD$4*炼钢参数表!$X$5/1000</f>
        <v>2.1755975117319699E-2</v>
      </c>
      <c r="BE112" s="37">
        <f>AE112*$BE$4*炼钢参数表!$X$5/1000</f>
        <v>0</v>
      </c>
      <c r="BF112" s="37">
        <f>AL112*$BF$4*炼钢参数表!$X$5/1000</f>
        <v>0</v>
      </c>
      <c r="BG112" s="37">
        <f>AM112*$BG$4*炼钢参数表!$X$5/1000</f>
        <v>0</v>
      </c>
      <c r="BH112" s="37">
        <f t="shared" si="15"/>
        <v>2.1755975117319699E-2</v>
      </c>
      <c r="BI112" s="37">
        <f t="shared" si="16"/>
        <v>6.51559751173197E-2</v>
      </c>
      <c r="BJ112" s="37">
        <f t="shared" si="17"/>
        <v>-4.8440248826803504E-3</v>
      </c>
      <c r="BK112" s="54"/>
      <c r="BL112" s="7"/>
    </row>
    <row r="113" spans="1:64" s="18" customFormat="1" x14ac:dyDescent="0.3">
      <c r="A113" s="21">
        <v>109</v>
      </c>
      <c r="B113" s="4" t="s">
        <v>178</v>
      </c>
      <c r="C113" s="4" t="s">
        <v>23</v>
      </c>
      <c r="D113" s="4">
        <v>3</v>
      </c>
      <c r="E113" s="4">
        <v>10.3</v>
      </c>
      <c r="F113" s="4" t="s">
        <v>179</v>
      </c>
      <c r="G113" s="50" t="s">
        <v>180</v>
      </c>
      <c r="H113" s="4">
        <v>1521</v>
      </c>
      <c r="I113" s="51">
        <v>7.0000000000000007E-2</v>
      </c>
      <c r="J113" s="52">
        <v>0.15</v>
      </c>
      <c r="K113" s="52">
        <v>1.4</v>
      </c>
      <c r="L113" s="51">
        <v>0.02</v>
      </c>
      <c r="M113" s="51">
        <v>0.01</v>
      </c>
      <c r="N113" s="51" t="s">
        <v>631</v>
      </c>
      <c r="O113" s="51">
        <v>0.02</v>
      </c>
      <c r="P113" s="51">
        <v>5.5E-2</v>
      </c>
      <c r="Q113" s="51">
        <v>2.5000000000000001E-2</v>
      </c>
      <c r="R113" s="51" t="s">
        <v>631</v>
      </c>
      <c r="S113" s="32" t="s">
        <v>631</v>
      </c>
      <c r="T113" s="52"/>
      <c r="U113" s="52"/>
      <c r="V113" s="52"/>
      <c r="W113" s="52"/>
      <c r="X113" s="32" t="s">
        <v>631</v>
      </c>
      <c r="Y113" s="53" t="s">
        <v>631</v>
      </c>
      <c r="Z113" s="4"/>
      <c r="AA113" s="53"/>
      <c r="AB113" s="42">
        <f>IF(J113&lt;=0.04,0,IF((BA113-AL113*BF$4*炼钢参数表!$X$5/1000-AM113*BG$4*炼钢参数表!$X$5/1000)&lt;=0.03,0,IF((J113/100/0.1769/炼钢参数表!K113*1000)&gt;(K113-炼钢参数表!J113)/100/0.6566/炼钢参数表!L113*1000,IF(K113&lt;1.6,(K113-炼钢参数表!J113)/100/0.6566/炼钢参数表!L113*1000,(K113-0.08-炼钢参数表!J113)/100/0.6566/炼钢参数表!L113*1000),IF(K113&lt;1.6,J113/100/0.1769/炼钢参数表!K113*1000,(J113-0.08)/100/0.1769/炼钢参数表!K113*1000))))</f>
        <v>0</v>
      </c>
      <c r="AC113" s="8">
        <f>IF((BA113-AB113*$BB$4*0.9/1000-AL113*BF$4*炼钢参数表!$X$5/1000-AM113*BG$4*炼钢参数表!$X$5/1000)&lt;(K113-炼钢参数表!J113-AB113*0.6566*炼钢参数表!L113/10)*0.082,0,(K113-炼钢参数表!J113-AB113*0.6566*炼钢参数表!L113/10)/100/($AC$3/100)/炼钢参数表!L113*1000)</f>
        <v>0</v>
      </c>
      <c r="AD113" s="8">
        <f>IF((BA113-AB113*$BB$4*0.9/1000-AC113*$BC$4*0.9/1000-AL113*BF$4*炼钢参数表!$X$5/1000-AM113*BG$4*炼钢参数表!$X$5/1000)&lt;=(K113-炼钢参数表!J113-AB113*0.6566*炼钢参数表!L113/10-AC113*($AC$3/100)*炼钢参数表!L113/10)*0.02,0,((K113-炼钢参数表!J113-AB113*0.6566*炼钢参数表!L113/10-AC113*($AC$3/100)*炼钢参数表!L113/10)/100/($AD$3/100)/炼钢参数表!L113*1000))</f>
        <v>16.765147617488601</v>
      </c>
      <c r="AE113" s="8">
        <f>(K113-炼钢参数表!J113-AB113*0.6566*炼钢参数表!L113/10-AC113*($AC$3/100)*炼钢参数表!L113/10-AD113*($AD$3/100)*炼钢参数表!L113/10)/100/($AE$3/100)/炼钢参数表!L113*1000</f>
        <v>0</v>
      </c>
      <c r="AF113" s="8">
        <v>0</v>
      </c>
      <c r="AG113" s="8">
        <f>IF(J113&lt;=0.04,0,((J113-(AB113*0.1769*炼钢参数表!K113/1000*100))/100/炼钢参数表!K113/($AG$3/100)*1000))</f>
        <v>2.5958742904610301</v>
      </c>
      <c r="AH113" s="8">
        <v>1.9</v>
      </c>
      <c r="AI113" s="8">
        <f>IF(N113="",0,IF(N113&lt;=0.002,0,((N113)/100)/($AI$3/100)/炼钢参数表!M113*1000))</f>
        <v>0</v>
      </c>
      <c r="AJ113" s="8">
        <f>IF(O113="",0,IF(O113&lt;=0.002,0,((O113)/100)/($AJ$3/100)/炼钢参数表!N113*1000))</f>
        <v>0.31377864799056099</v>
      </c>
      <c r="AK113" s="8">
        <f>IF(P113="",0,IF(P113&lt;=0.002,0,((P113+0.005)/100)/($AK$3/100)/炼钢参数表!O113*1000))</f>
        <v>1.1974613818704301</v>
      </c>
      <c r="AL113" s="8">
        <f>IF((BA113-J113*0.00003-K113*0.00024)&lt;=0.05,0,IF(T113="",0,IF(T113&lt;=0.03,0,IF(((BA113-J113*0.00003-K113*0.00024)-0.05)/0.18/100/($AL$3/100)/炼钢参数表!P113*1000&lt;=T113/100/($AL$3/100)/炼钢参数表!P113*1000,((BA113-J113*0.00003-K113*0.00024)-0.05)/0.18/100/($AL$3/100)/炼钢参数表!P113*1000,T113/100/($AL$3/100)/炼钢参数表!P113*1000))))</f>
        <v>0</v>
      </c>
      <c r="AM113" s="8">
        <f>IF(T113="",0,IF(T113&lt;=0.03,0,((T113-AL113*($AL$3/100)*炼钢参数表!P113/10)/100/($AM$3/100)/炼钢参数表!P113*1000)))</f>
        <v>0</v>
      </c>
      <c r="AN113" s="8">
        <f>IF(U113="",0,IF(U113&lt;=0.02,0,(U113/100)/($AN$3/100)/炼钢参数表!Q113*1000))</f>
        <v>0</v>
      </c>
      <c r="AO113" s="8">
        <f>IF(V113="",0,IF(V113&lt;=0.02,0,(V113/100)/($AO$3/100)/炼钢参数表!R113*1000))</f>
        <v>0</v>
      </c>
      <c r="AP113" s="8">
        <f>IF(W113="",0,IF(W113&lt;=0.02,0,(W113/100)/($AP$3/100)/炼钢参数表!S113*1000))</f>
        <v>0</v>
      </c>
      <c r="AQ113" s="8">
        <f>IF(X113="",0,IF(X113&lt;=0.0002,0,(X113/100)/($AQ$3/100)/炼钢参数表!T113*1000))</f>
        <v>0</v>
      </c>
      <c r="AR113" s="8">
        <f>IF(Y113="",0,IF(Y113&lt;=0.02,0,(Y113/100)/($AR$3/100)/炼钢参数表!U113*1000))</f>
        <v>0</v>
      </c>
      <c r="AS113" s="8">
        <f>IF(L113&lt;=0.04,0,((L113-0.04)/100)/($AS$3/100)/炼钢参数表!V113*1000)</f>
        <v>0</v>
      </c>
      <c r="AT113" s="8">
        <f>IF(M113&lt;=0.03,0,((M113-0.03)/100)/($AT$3/100)/炼钢参数表!W113*1000)</f>
        <v>0</v>
      </c>
      <c r="AU113" s="6"/>
      <c r="AV113" s="8">
        <f t="shared" si="12"/>
        <v>22.772261937810601</v>
      </c>
      <c r="AW113" s="8" cm="1">
        <f t="array" ref="AW113">SUMPRODUCT($AB$4:$AU$4,AB113:AU113)/1000</f>
        <v>281.90275736499399</v>
      </c>
      <c r="AY113" s="2" t="str">
        <f t="shared" si="13"/>
        <v>Q500MC-1</v>
      </c>
      <c r="AZ113" s="37">
        <f>VLOOKUP(AY113,炼钢参数表!$F$5:$J$1027,4,0)</f>
        <v>4.3400000000000001E-2</v>
      </c>
      <c r="BA113" s="37">
        <f t="shared" si="14"/>
        <v>2.6599999999999999E-2</v>
      </c>
      <c r="BB113" s="37">
        <f>AB113*$BB$4*炼钢参数表!$X$5/1000</f>
        <v>0</v>
      </c>
      <c r="BC113" s="37">
        <f>AC113*$BC$4*炼钢参数表!$X$5/1000</f>
        <v>0</v>
      </c>
      <c r="BD113" s="37">
        <f>AD113*$BD$4*炼钢参数表!$X$5/1000</f>
        <v>2.26329492836095E-2</v>
      </c>
      <c r="BE113" s="37">
        <f>AE113*$BE$4*炼钢参数表!$X$5/1000</f>
        <v>0</v>
      </c>
      <c r="BF113" s="37">
        <f>AL113*$BF$4*炼钢参数表!$X$5/1000</f>
        <v>0</v>
      </c>
      <c r="BG113" s="37">
        <f>AM113*$BG$4*炼钢参数表!$X$5/1000</f>
        <v>0</v>
      </c>
      <c r="BH113" s="37">
        <f t="shared" si="15"/>
        <v>2.26329492836095E-2</v>
      </c>
      <c r="BI113" s="37">
        <f t="shared" si="16"/>
        <v>6.6032949283609504E-2</v>
      </c>
      <c r="BJ113" s="37">
        <f t="shared" si="17"/>
        <v>-3.9670507163904597E-3</v>
      </c>
      <c r="BK113" s="54"/>
      <c r="BL113" s="7"/>
    </row>
    <row r="114" spans="1:64" s="18" customFormat="1" x14ac:dyDescent="0.3">
      <c r="A114" s="21">
        <v>110</v>
      </c>
      <c r="B114" s="4" t="s">
        <v>178</v>
      </c>
      <c r="C114" s="4" t="s">
        <v>26</v>
      </c>
      <c r="D114" s="4">
        <v>10.31</v>
      </c>
      <c r="E114" s="4">
        <v>16.5</v>
      </c>
      <c r="F114" s="4" t="s">
        <v>181</v>
      </c>
      <c r="G114" s="50" t="s">
        <v>180</v>
      </c>
      <c r="H114" s="4">
        <v>1521</v>
      </c>
      <c r="I114" s="51">
        <v>7.0000000000000007E-2</v>
      </c>
      <c r="J114" s="52">
        <v>0.15</v>
      </c>
      <c r="K114" s="52">
        <v>1.5</v>
      </c>
      <c r="L114" s="51">
        <v>0.02</v>
      </c>
      <c r="M114" s="51">
        <v>0.01</v>
      </c>
      <c r="N114" s="51" t="s">
        <v>631</v>
      </c>
      <c r="O114" s="51">
        <v>0.02</v>
      </c>
      <c r="P114" s="51">
        <v>5.5E-2</v>
      </c>
      <c r="Q114" s="51">
        <v>2.5000000000000001E-2</v>
      </c>
      <c r="R114" s="51" t="s">
        <v>631</v>
      </c>
      <c r="S114" s="32" t="s">
        <v>631</v>
      </c>
      <c r="T114" s="52"/>
      <c r="U114" s="52"/>
      <c r="V114" s="52"/>
      <c r="W114" s="52"/>
      <c r="X114" s="32" t="s">
        <v>631</v>
      </c>
      <c r="Y114" s="53" t="s">
        <v>631</v>
      </c>
      <c r="Z114" s="4"/>
      <c r="AA114" s="53"/>
      <c r="AB114" s="42">
        <f>IF(J114&lt;=0.04,0,IF((BA114-AL114*BF$4*炼钢参数表!$X$5/1000-AM114*BG$4*炼钢参数表!$X$5/1000)&lt;=0.03,0,IF((J114/100/0.1769/炼钢参数表!K114*1000)&gt;(K114-炼钢参数表!J114)/100/0.6566/炼钢参数表!L114*1000,IF(K114&lt;1.6,(K114-炼钢参数表!J114)/100/0.6566/炼钢参数表!L114*1000,(K114-0.08-炼钢参数表!J114)/100/0.6566/炼钢参数表!L114*1000),IF(K114&lt;1.6,J114/100/0.1769/炼钢参数表!K114*1000,(J114-0.08)/100/0.1769/炼钢参数表!K114*1000))))</f>
        <v>10.5992085924251</v>
      </c>
      <c r="AC114" s="8">
        <f>IF((BA114-AB114*$BB$4*0.9/1000-AL114*BF$4*炼钢参数表!$X$5/1000-AM114*BG$4*炼钢参数表!$X$5/1000)&lt;(K114-炼钢参数表!J114-AB114*0.6566*炼钢参数表!L114/10)*0.082,0,(K114-炼钢参数表!J114-AB114*0.6566*炼钢参数表!L114/10)/100/($AC$3/100)/炼钢参数表!L114*1000)</f>
        <v>0</v>
      </c>
      <c r="AD114" s="8">
        <f>IF((BA114-AB114*$BB$4*0.9/1000-AC114*$BC$4*0.9/1000-AL114*BF$4*炼钢参数表!$X$5/1000-AM114*BG$4*炼钢参数表!$X$5/1000)&lt;=(K114-炼钢参数表!J114-AB114*0.6566*炼钢参数表!L114/10-AC114*($AC$3/100)*炼钢参数表!L114/10)*0.02,0,((K114-炼钢参数表!J114-AB114*0.6566*炼钢参数表!L114/10-AC114*($AC$3/100)*炼钢参数表!L114/10)/100/($AD$3/100)/炼钢参数表!L114*1000))</f>
        <v>9.4515058561728704</v>
      </c>
      <c r="AE114" s="8">
        <f>(K114-炼钢参数表!J114-AB114*0.6566*炼钢参数表!L114/10-AC114*($AC$3/100)*炼钢参数表!L114/10-AD114*($AD$3/100)*炼钢参数表!L114/10)/100/($AE$3/100)/炼钢参数表!L114*1000</f>
        <v>0</v>
      </c>
      <c r="AF114" s="8">
        <v>0</v>
      </c>
      <c r="AG114" s="8">
        <f>IF(J114&lt;=0.04,0,((J114-(AB114*0.1769*炼钢参数表!K114/1000*100))/100/炼钢参数表!K114/($AG$3/100)*1000))</f>
        <v>0</v>
      </c>
      <c r="AH114" s="8">
        <v>1.9</v>
      </c>
      <c r="AI114" s="8">
        <f>IF(N114="",0,IF(N114&lt;=0.002,0,((N114)/100)/($AI$3/100)/炼钢参数表!M114*1000))</f>
        <v>0</v>
      </c>
      <c r="AJ114" s="8">
        <f>IF(O114="",0,IF(O114&lt;=0.002,0,((O114)/100)/($AJ$3/100)/炼钢参数表!N114*1000))</f>
        <v>0.31377864799056099</v>
      </c>
      <c r="AK114" s="8">
        <f>IF(P114="",0,IF(P114&lt;=0.002,0,((P114+0.005)/100)/($AK$3/100)/炼钢参数表!O114*1000))</f>
        <v>1.1974613818704301</v>
      </c>
      <c r="AL114" s="8">
        <f>IF((BA114-J114*0.00003-K114*0.00024)&lt;=0.05,0,IF(T114="",0,IF(T114&lt;=0.03,0,IF(((BA114-J114*0.00003-K114*0.00024)-0.05)/0.18/100/($AL$3/100)/炼钢参数表!P114*1000&lt;=T114/100/($AL$3/100)/炼钢参数表!P114*1000,((BA114-J114*0.00003-K114*0.00024)-0.05)/0.18/100/($AL$3/100)/炼钢参数表!P114*1000,T114/100/($AL$3/100)/炼钢参数表!P114*1000))))</f>
        <v>0</v>
      </c>
      <c r="AM114" s="8">
        <f>IF(T114="",0,IF(T114&lt;=0.03,0,((T114-AL114*($AL$3/100)*炼钢参数表!P114/10)/100/($AM$3/100)/炼钢参数表!P114*1000)))</f>
        <v>0</v>
      </c>
      <c r="AN114" s="8">
        <f>IF(U114="",0,IF(U114&lt;=0.02,0,(U114/100)/($AN$3/100)/炼钢参数表!Q114*1000))</f>
        <v>0</v>
      </c>
      <c r="AO114" s="8">
        <f>IF(V114="",0,IF(V114&lt;=0.02,0,(V114/100)/($AO$3/100)/炼钢参数表!R114*1000))</f>
        <v>0</v>
      </c>
      <c r="AP114" s="8">
        <f>IF(W114="",0,IF(W114&lt;=0.02,0,(W114/100)/($AP$3/100)/炼钢参数表!S114*1000))</f>
        <v>0</v>
      </c>
      <c r="AQ114" s="8">
        <f>IF(X114="",0,IF(X114&lt;=0.0002,0,(X114/100)/($AQ$3/100)/炼钢参数表!T114*1000))</f>
        <v>0</v>
      </c>
      <c r="AR114" s="8">
        <f>IF(Y114="",0,IF(Y114&lt;=0.02,0,(Y114/100)/($AR$3/100)/炼钢参数表!U114*1000))</f>
        <v>0</v>
      </c>
      <c r="AS114" s="8">
        <f>IF(L114&lt;=0.04,0,((L114-0.04)/100)/($AS$3/100)/炼钢参数表!V114*1000)</f>
        <v>0</v>
      </c>
      <c r="AT114" s="8">
        <f>IF(M114&lt;=0.03,0,((M114-0.03)/100)/($AT$3/100)/炼钢参数表!W114*1000)</f>
        <v>0</v>
      </c>
      <c r="AU114" s="6"/>
      <c r="AV114" s="8">
        <f t="shared" si="12"/>
        <v>23.461954478458999</v>
      </c>
      <c r="AW114" s="8" cm="1">
        <f t="array" ref="AW114">SUMPRODUCT($AB$4:$AU$4,AB114:AU114)/1000</f>
        <v>269.40423041310999</v>
      </c>
      <c r="AY114" s="2" t="str">
        <f t="shared" si="13"/>
        <v>Q500MC-2</v>
      </c>
      <c r="AZ114" s="37">
        <f>VLOOKUP(AY114,炼钢参数表!$F$5:$J$1027,4,0)</f>
        <v>3.5000000000000003E-2</v>
      </c>
      <c r="BA114" s="37">
        <f t="shared" si="14"/>
        <v>3.5000000000000003E-2</v>
      </c>
      <c r="BB114" s="37">
        <f>AB114*$BB$4*炼钢参数表!$X$5/1000</f>
        <v>1.6407574901074098E-2</v>
      </c>
      <c r="BC114" s="37">
        <f>AC114*$BC$4*炼钢参数表!$X$5/1000</f>
        <v>0</v>
      </c>
      <c r="BD114" s="37">
        <f>AD114*$BD$4*炼钢参数表!$X$5/1000</f>
        <v>1.27595329058334E-2</v>
      </c>
      <c r="BE114" s="37">
        <f>AE114*$BE$4*炼钢参数表!$X$5/1000</f>
        <v>0</v>
      </c>
      <c r="BF114" s="37">
        <f>AL114*$BF$4*炼钢参数表!$X$5/1000</f>
        <v>0</v>
      </c>
      <c r="BG114" s="37">
        <f>AM114*$BG$4*炼钢参数表!$X$5/1000</f>
        <v>0</v>
      </c>
      <c r="BH114" s="37">
        <f t="shared" si="15"/>
        <v>2.91671078069074E-2</v>
      </c>
      <c r="BI114" s="37">
        <f t="shared" si="16"/>
        <v>6.4167107806907403E-2</v>
      </c>
      <c r="BJ114" s="37">
        <f t="shared" si="17"/>
        <v>-5.8328921930925802E-3</v>
      </c>
      <c r="BK114" s="54"/>
      <c r="BL114" s="7"/>
    </row>
    <row r="115" spans="1:64" s="18" customFormat="1" x14ac:dyDescent="0.3">
      <c r="A115" s="21">
        <v>111</v>
      </c>
      <c r="B115" s="4" t="s">
        <v>182</v>
      </c>
      <c r="C115" s="4" t="s">
        <v>23</v>
      </c>
      <c r="D115" s="4">
        <v>3</v>
      </c>
      <c r="E115" s="4">
        <v>10.3</v>
      </c>
      <c r="F115" s="4" t="s">
        <v>183</v>
      </c>
      <c r="G115" s="50" t="s">
        <v>184</v>
      </c>
      <c r="H115" s="4">
        <v>1521</v>
      </c>
      <c r="I115" s="51">
        <v>7.0000000000000007E-2</v>
      </c>
      <c r="J115" s="52">
        <v>0.15</v>
      </c>
      <c r="K115" s="52">
        <v>1.2</v>
      </c>
      <c r="L115" s="51">
        <v>1.4999999999999999E-2</v>
      </c>
      <c r="M115" s="51">
        <v>5.0000000000000001E-3</v>
      </c>
      <c r="N115" s="51" t="s">
        <v>631</v>
      </c>
      <c r="O115" s="51">
        <v>0.03</v>
      </c>
      <c r="P115" s="51">
        <v>0.04</v>
      </c>
      <c r="Q115" s="51">
        <v>2.5000000000000001E-2</v>
      </c>
      <c r="R115" s="51" t="s">
        <v>631</v>
      </c>
      <c r="S115" s="32" t="s">
        <v>631</v>
      </c>
      <c r="T115" s="52"/>
      <c r="U115" s="52"/>
      <c r="V115" s="52"/>
      <c r="W115" s="52"/>
      <c r="X115" s="32" t="s">
        <v>631</v>
      </c>
      <c r="Y115" s="53" t="s">
        <v>631</v>
      </c>
      <c r="Z115" s="4"/>
      <c r="AA115" s="53"/>
      <c r="AB115" s="42">
        <f>IF(J115&lt;=0.04,0,IF((BA115-AL115*BF$4*炼钢参数表!$X$5/1000-AM115*BG$4*炼钢参数表!$X$5/1000)&lt;=0.03,0,IF((J115/100/0.1769/炼钢参数表!K115*1000)&gt;(K115-炼钢参数表!J115)/100/0.6566/炼钢参数表!L115*1000,IF(K115&lt;1.6,(K115-炼钢参数表!J115)/100/0.6566/炼钢参数表!L115*1000,(K115-0.08-炼钢参数表!J115)/100/0.6566/炼钢参数表!L115*1000),IF(K115&lt;1.6,J115/100/0.1769/炼钢参数表!K115*1000,(J115-0.08)/100/0.1769/炼钢参数表!K115*1000))))</f>
        <v>10.5992085924251</v>
      </c>
      <c r="AC115" s="8">
        <f>IF((BA115-AB115*$BB$4*0.9/1000-AL115*BF$4*炼钢参数表!$X$5/1000-AM115*BG$4*炼钢参数表!$X$5/1000)&lt;(K115-炼钢参数表!J115-AB115*0.6566*炼钢参数表!L115/10)*0.082,0,(K115-炼钢参数表!J115-AB115*0.6566*炼钢参数表!L115/10)/100/($AC$3/100)/炼钢参数表!L115*1000)</f>
        <v>0</v>
      </c>
      <c r="AD115" s="8">
        <f>IF((BA115-AB115*$BB$4*0.9/1000-AC115*$BC$4*0.9/1000-AL115*BF$4*炼钢参数表!$X$5/1000-AM115*BG$4*炼钢参数表!$X$5/1000)&lt;=(K115-炼钢参数表!J115-AB115*0.6566*炼钢参数表!L115/10-AC115*($AC$3/100)*炼钢参数表!L115/10)*0.02,0,((K115-炼钢参数表!J115-AB115*0.6566*炼钢参数表!L115/10-AC115*($AC$3/100)*炼钢参数表!L115/10)/100/($AD$3/100)/炼钢参数表!L115*1000))</f>
        <v>5.5538428948844603</v>
      </c>
      <c r="AE115" s="8">
        <f>(K115-炼钢参数表!J115-AB115*0.6566*炼钢参数表!L115/10-AC115*($AC$3/100)*炼钢参数表!L115/10-AD115*($AD$3/100)*炼钢参数表!L115/10)/100/($AE$3/100)/炼钢参数表!L115*1000</f>
        <v>0</v>
      </c>
      <c r="AF115" s="8">
        <v>0</v>
      </c>
      <c r="AG115" s="8">
        <f>IF(J115&lt;=0.04,0,((J115-(AB115*0.1769*炼钢参数表!K115/1000*100))/100/炼钢参数表!K115/($AG$3/100)*1000))</f>
        <v>0</v>
      </c>
      <c r="AH115" s="8">
        <v>1.9</v>
      </c>
      <c r="AI115" s="8">
        <f>IF(N115="",0,IF(N115&lt;=0.002,0,((N115)/100)/($AI$3/100)/炼钢参数表!M115*1000))</f>
        <v>0</v>
      </c>
      <c r="AJ115" s="8">
        <f>IF(O115="",0,IF(O115&lt;=0.002,0,((O115)/100)/($AJ$3/100)/炼钢参数表!N115*1000))</f>
        <v>0.47066797198584198</v>
      </c>
      <c r="AK115" s="8">
        <f>IF(P115="",0,IF(P115&lt;=0.002,0,((P115+0.005)/100)/($AK$3/100)/炼钢参数表!O115*1000))</f>
        <v>0.89809603640282598</v>
      </c>
      <c r="AL115" s="8">
        <f>IF((BA115-J115*0.00003-K115*0.00024)&lt;=0.05,0,IF(T115="",0,IF(T115&lt;=0.03,0,IF(((BA115-J115*0.00003-K115*0.00024)-0.05)/0.18/100/($AL$3/100)/炼钢参数表!P115*1000&lt;=T115/100/($AL$3/100)/炼钢参数表!P115*1000,((BA115-J115*0.00003-K115*0.00024)-0.05)/0.18/100/($AL$3/100)/炼钢参数表!P115*1000,T115/100/($AL$3/100)/炼钢参数表!P115*1000))))</f>
        <v>0</v>
      </c>
      <c r="AM115" s="8">
        <f>IF(T115="",0,IF(T115&lt;=0.03,0,((T115-AL115*($AL$3/100)*炼钢参数表!P115/10)/100/($AM$3/100)/炼钢参数表!P115*1000)))</f>
        <v>0</v>
      </c>
      <c r="AN115" s="8">
        <f>IF(U115="",0,IF(U115&lt;=0.02,0,(U115/100)/($AN$3/100)/炼钢参数表!Q115*1000))</f>
        <v>0</v>
      </c>
      <c r="AO115" s="8">
        <f>IF(V115="",0,IF(V115&lt;=0.02,0,(V115/100)/($AO$3/100)/炼钢参数表!R115*1000))</f>
        <v>0</v>
      </c>
      <c r="AP115" s="8">
        <f>IF(W115="",0,IF(W115&lt;=0.02,0,(W115/100)/($AP$3/100)/炼钢参数表!S115*1000))</f>
        <v>0</v>
      </c>
      <c r="AQ115" s="8">
        <f>IF(X115="",0,IF(X115&lt;=0.0002,0,(X115/100)/($AQ$3/100)/炼钢参数表!T115*1000))</f>
        <v>0</v>
      </c>
      <c r="AR115" s="8">
        <f>IF(Y115="",0,IF(Y115&lt;=0.02,0,(Y115/100)/($AR$3/100)/炼钢参数表!U115*1000))</f>
        <v>0</v>
      </c>
      <c r="AS115" s="8">
        <f>IF(L115&lt;=0.04,0,((L115-0.04)/100)/($AS$3/100)/炼钢参数表!V115*1000)</f>
        <v>0</v>
      </c>
      <c r="AT115" s="8">
        <f>IF(M115&lt;=0.03,0,((M115-0.03)/100)/($AT$3/100)/炼钢参数表!W115*1000)</f>
        <v>0</v>
      </c>
      <c r="AU115" s="6"/>
      <c r="AV115" s="8">
        <f t="shared" si="12"/>
        <v>19.421815495698201</v>
      </c>
      <c r="AW115" s="8" cm="1">
        <f t="array" ref="AW115">SUMPRODUCT($AB$4:$AU$4,AB115:AU115)/1000</f>
        <v>265.859200204064</v>
      </c>
      <c r="AY115" s="2" t="str">
        <f t="shared" si="13"/>
        <v>Q500MD-1</v>
      </c>
      <c r="AZ115" s="37">
        <f>VLOOKUP(AY115,炼钢参数表!$F$5:$J$1027,4,0)</f>
        <v>3.5000000000000003E-2</v>
      </c>
      <c r="BA115" s="37">
        <f t="shared" si="14"/>
        <v>3.5000000000000003E-2</v>
      </c>
      <c r="BB115" s="37">
        <f>AB115*$BB$4*炼钢参数表!$X$5/1000</f>
        <v>1.6407574901074098E-2</v>
      </c>
      <c r="BC115" s="37">
        <f>AC115*$BC$4*炼钢参数表!$X$5/1000</f>
        <v>0</v>
      </c>
      <c r="BD115" s="37">
        <f>AD115*$BD$4*炼钢参数表!$X$5/1000</f>
        <v>7.4976879080940204E-3</v>
      </c>
      <c r="BE115" s="37">
        <f>AE115*$BE$4*炼钢参数表!$X$5/1000</f>
        <v>0</v>
      </c>
      <c r="BF115" s="37">
        <f>AL115*$BF$4*炼钢参数表!$X$5/1000</f>
        <v>0</v>
      </c>
      <c r="BG115" s="37">
        <f>AM115*$BG$4*炼钢参数表!$X$5/1000</f>
        <v>0</v>
      </c>
      <c r="BH115" s="37">
        <f t="shared" si="15"/>
        <v>2.3905262809168101E-2</v>
      </c>
      <c r="BI115" s="37">
        <f t="shared" si="16"/>
        <v>5.89052628091681E-2</v>
      </c>
      <c r="BJ115" s="37">
        <f t="shared" si="17"/>
        <v>-1.1094737190831899E-2</v>
      </c>
      <c r="BK115" s="54"/>
      <c r="BL115" s="7"/>
    </row>
    <row r="116" spans="1:64" s="18" customFormat="1" x14ac:dyDescent="0.3">
      <c r="A116" s="21">
        <v>112</v>
      </c>
      <c r="B116" s="4" t="s">
        <v>182</v>
      </c>
      <c r="C116" s="4" t="s">
        <v>26</v>
      </c>
      <c r="D116" s="4">
        <v>10.31</v>
      </c>
      <c r="E116" s="4">
        <v>16.5</v>
      </c>
      <c r="F116" s="4" t="s">
        <v>185</v>
      </c>
      <c r="G116" s="50" t="s">
        <v>184</v>
      </c>
      <c r="H116" s="4">
        <v>1521</v>
      </c>
      <c r="I116" s="51">
        <v>7.0000000000000007E-2</v>
      </c>
      <c r="J116" s="52">
        <v>0.15</v>
      </c>
      <c r="K116" s="52">
        <v>1.3</v>
      </c>
      <c r="L116" s="51">
        <v>1.4999999999999999E-2</v>
      </c>
      <c r="M116" s="51">
        <v>5.0000000000000001E-3</v>
      </c>
      <c r="N116" s="51" t="s">
        <v>631</v>
      </c>
      <c r="O116" s="51">
        <v>0.03</v>
      </c>
      <c r="P116" s="51">
        <v>0.04</v>
      </c>
      <c r="Q116" s="51">
        <v>2.5000000000000001E-2</v>
      </c>
      <c r="R116" s="51" t="s">
        <v>631</v>
      </c>
      <c r="S116" s="32" t="s">
        <v>631</v>
      </c>
      <c r="T116" s="52"/>
      <c r="U116" s="52"/>
      <c r="V116" s="52"/>
      <c r="W116" s="52"/>
      <c r="X116" s="32" t="s">
        <v>631</v>
      </c>
      <c r="Y116" s="53" t="s">
        <v>631</v>
      </c>
      <c r="Z116" s="4"/>
      <c r="AA116" s="53"/>
      <c r="AB116" s="42">
        <f>IF(J116&lt;=0.04,0,IF((BA116-AL116*BF$4*炼钢参数表!$X$5/1000-AM116*BG$4*炼钢参数表!$X$5/1000)&lt;=0.03,0,IF((J116/100/0.1769/炼钢参数表!K116*1000)&gt;(K116-炼钢参数表!J116)/100/0.6566/炼钢参数表!L116*1000,IF(K116&lt;1.6,(K116-炼钢参数表!J116)/100/0.6566/炼钢参数表!L116*1000,(K116-0.08-炼钢参数表!J116)/100/0.6566/炼钢参数表!L116*1000),IF(K116&lt;1.6,J116/100/0.1769/炼钢参数表!K116*1000,(J116-0.08)/100/0.1769/炼钢参数表!K116*1000))))</f>
        <v>10.5992085924251</v>
      </c>
      <c r="AC116" s="8">
        <f>IF((BA116-AB116*$BB$4*0.9/1000-AL116*BF$4*炼钢参数表!$X$5/1000-AM116*BG$4*炼钢参数表!$X$5/1000)&lt;(K116-炼钢参数表!J116-AB116*0.6566*炼钢参数表!L116/10)*0.082,0,(K116-炼钢参数表!J116-AB116*0.6566*炼钢参数表!L116/10)/100/($AC$3/100)/炼钢参数表!L116*1000)</f>
        <v>0</v>
      </c>
      <c r="AD116" s="8">
        <f>IF((BA116-AB116*$BB$4*0.9/1000-AC116*$BC$4*0.9/1000-AL116*BF$4*炼钢参数表!$X$5/1000-AM116*BG$4*炼钢参数表!$X$5/1000)&lt;=(K116-炼钢参数表!J116-AB116*0.6566*炼钢参数表!L116/10-AC116*($AC$3/100)*炼钢参数表!L116/10)*0.02,0,((K116-炼钢参数表!J116-AB116*0.6566*炼钢参数表!L116/10-AC116*($AC$3/100)*炼钢参数表!L116/10)/100/($AD$3/100)/炼钢参数表!L116*1000))</f>
        <v>6.8530638819805896</v>
      </c>
      <c r="AE116" s="8">
        <f>(K116-炼钢参数表!J116-AB116*0.6566*炼钢参数表!L116/10-AC116*($AC$3/100)*炼钢参数表!L116/10-AD116*($AD$3/100)*炼钢参数表!L116/10)/100/($AE$3/100)/炼钢参数表!L116*1000</f>
        <v>0</v>
      </c>
      <c r="AF116" s="8">
        <v>0</v>
      </c>
      <c r="AG116" s="8">
        <f>IF(J116&lt;=0.04,0,((J116-(AB116*0.1769*炼钢参数表!K116/1000*100))/100/炼钢参数表!K116/($AG$3/100)*1000))</f>
        <v>0</v>
      </c>
      <c r="AH116" s="8">
        <v>1.9</v>
      </c>
      <c r="AI116" s="8">
        <f>IF(N116="",0,IF(N116&lt;=0.002,0,((N116)/100)/($AI$3/100)/炼钢参数表!M116*1000))</f>
        <v>0</v>
      </c>
      <c r="AJ116" s="8">
        <f>IF(O116="",0,IF(O116&lt;=0.002,0,((O116)/100)/($AJ$3/100)/炼钢参数表!N116*1000))</f>
        <v>0.47066797198584198</v>
      </c>
      <c r="AK116" s="8">
        <f>IF(P116="",0,IF(P116&lt;=0.002,0,((P116+0.005)/100)/($AK$3/100)/炼钢参数表!O116*1000))</f>
        <v>0.89809603640282598</v>
      </c>
      <c r="AL116" s="8">
        <f>IF((BA116-J116*0.00003-K116*0.00024)&lt;=0.05,0,IF(T116="",0,IF(T116&lt;=0.03,0,IF(((BA116-J116*0.00003-K116*0.00024)-0.05)/0.18/100/($AL$3/100)/炼钢参数表!P116*1000&lt;=T116/100/($AL$3/100)/炼钢参数表!P116*1000,((BA116-J116*0.00003-K116*0.00024)-0.05)/0.18/100/($AL$3/100)/炼钢参数表!P116*1000,T116/100/($AL$3/100)/炼钢参数表!P116*1000))))</f>
        <v>0</v>
      </c>
      <c r="AM116" s="8">
        <f>IF(T116="",0,IF(T116&lt;=0.03,0,((T116-AL116*($AL$3/100)*炼钢参数表!P116/10)/100/($AM$3/100)/炼钢参数表!P116*1000)))</f>
        <v>0</v>
      </c>
      <c r="AN116" s="8">
        <f>IF(U116="",0,IF(U116&lt;=0.02,0,(U116/100)/($AN$3/100)/炼钢参数表!Q116*1000))</f>
        <v>0</v>
      </c>
      <c r="AO116" s="8">
        <f>IF(V116="",0,IF(V116&lt;=0.02,0,(V116/100)/($AO$3/100)/炼钢参数表!R116*1000))</f>
        <v>0</v>
      </c>
      <c r="AP116" s="8">
        <f>IF(W116="",0,IF(W116&lt;=0.02,0,(W116/100)/($AP$3/100)/炼钢参数表!S116*1000))</f>
        <v>0</v>
      </c>
      <c r="AQ116" s="8">
        <f>IF(X116="",0,IF(X116&lt;=0.0002,0,(X116/100)/($AQ$3/100)/炼钢参数表!T116*1000))</f>
        <v>0</v>
      </c>
      <c r="AR116" s="8">
        <f>IF(Y116="",0,IF(Y116&lt;=0.02,0,(Y116/100)/($AR$3/100)/炼钢参数表!U116*1000))</f>
        <v>0</v>
      </c>
      <c r="AS116" s="8">
        <f>IF(L116&lt;=0.04,0,((L116-0.04)/100)/($AS$3/100)/炼钢参数表!V116*1000)</f>
        <v>0</v>
      </c>
      <c r="AT116" s="8">
        <f>IF(M116&lt;=0.03,0,((M116-0.03)/100)/($AT$3/100)/炼钢参数表!W116*1000)</f>
        <v>0</v>
      </c>
      <c r="AU116" s="6"/>
      <c r="AV116" s="8">
        <f t="shared" si="12"/>
        <v>20.7210364827944</v>
      </c>
      <c r="AW116" s="8" cm="1">
        <f t="array" ref="AW116">SUMPRODUCT($AB$4:$AU$4,AB116:AU116)/1000</f>
        <v>275.902293409626</v>
      </c>
      <c r="AY116" s="2" t="str">
        <f t="shared" si="13"/>
        <v>Q500MD-2</v>
      </c>
      <c r="AZ116" s="37">
        <f>VLOOKUP(AY116,炼钢参数表!$F$5:$J$1027,4,0)</f>
        <v>3.5000000000000003E-2</v>
      </c>
      <c r="BA116" s="37">
        <f t="shared" si="14"/>
        <v>3.5000000000000003E-2</v>
      </c>
      <c r="BB116" s="37">
        <f>AB116*$BB$4*炼钢参数表!$X$5/1000</f>
        <v>1.6407574901074098E-2</v>
      </c>
      <c r="BC116" s="37">
        <f>AC116*$BC$4*炼钢参数表!$X$5/1000</f>
        <v>0</v>
      </c>
      <c r="BD116" s="37">
        <f>AD116*$BD$4*炼钢参数表!$X$5/1000</f>
        <v>9.2516362406737992E-3</v>
      </c>
      <c r="BE116" s="37">
        <f>AE116*$BE$4*炼钢参数表!$X$5/1000</f>
        <v>0</v>
      </c>
      <c r="BF116" s="37">
        <f>AL116*$BF$4*炼钢参数表!$X$5/1000</f>
        <v>0</v>
      </c>
      <c r="BG116" s="37">
        <f>AM116*$BG$4*炼钢参数表!$X$5/1000</f>
        <v>0</v>
      </c>
      <c r="BH116" s="37">
        <f t="shared" si="15"/>
        <v>2.5659211141747899E-2</v>
      </c>
      <c r="BI116" s="37">
        <f t="shared" si="16"/>
        <v>6.0659211141747903E-2</v>
      </c>
      <c r="BJ116" s="37">
        <f t="shared" si="17"/>
        <v>-9.3407888582521508E-3</v>
      </c>
      <c r="BK116" s="54"/>
      <c r="BL116" s="7"/>
    </row>
    <row r="117" spans="1:64" s="18" customFormat="1" x14ac:dyDescent="0.3">
      <c r="A117" s="21">
        <v>113</v>
      </c>
      <c r="B117" s="4" t="s">
        <v>186</v>
      </c>
      <c r="C117" s="4" t="s">
        <v>23</v>
      </c>
      <c r="D117" s="4">
        <v>3</v>
      </c>
      <c r="E117" s="4">
        <v>12</v>
      </c>
      <c r="F117" s="4" t="s">
        <v>186</v>
      </c>
      <c r="G117" s="50" t="s">
        <v>187</v>
      </c>
      <c r="H117" s="4">
        <v>1520</v>
      </c>
      <c r="I117" s="51">
        <v>7.0000000000000007E-2</v>
      </c>
      <c r="J117" s="52">
        <v>0.15</v>
      </c>
      <c r="K117" s="52">
        <v>1.45</v>
      </c>
      <c r="L117" s="51">
        <v>1.4999999999999999E-2</v>
      </c>
      <c r="M117" s="51">
        <v>4.0000000000000001E-3</v>
      </c>
      <c r="N117" s="51"/>
      <c r="O117" s="51">
        <v>0.02</v>
      </c>
      <c r="P117" s="51">
        <v>0.08</v>
      </c>
      <c r="Q117" s="51">
        <v>2.5000000000000001E-2</v>
      </c>
      <c r="R117" s="51" t="s">
        <v>631</v>
      </c>
      <c r="S117" s="32"/>
      <c r="T117" s="52"/>
      <c r="U117" s="52"/>
      <c r="V117" s="52"/>
      <c r="W117" s="52"/>
      <c r="X117" s="32" t="s">
        <v>631</v>
      </c>
      <c r="Y117" s="53" t="s">
        <v>631</v>
      </c>
      <c r="Z117" s="4">
        <v>50</v>
      </c>
      <c r="AA117" s="53"/>
      <c r="AB117" s="42">
        <f>IF(J117&lt;=0.04,0,IF((BA117-AL117*BF$4*炼钢参数表!$X$5/1000-AM117*BG$4*炼钢参数表!$X$5/1000)&lt;=0.03,0,IF((J117/100/0.1769/炼钢参数表!K117*1000)&gt;(K117-炼钢参数表!J117)/100/0.6566/炼钢参数表!L117*1000,IF(K117&lt;1.6,(K117-炼钢参数表!J117)/100/0.6566/炼钢参数表!L117*1000,(K117-0.08-炼钢参数表!J117)/100/0.6566/炼钢参数表!L117*1000),IF(K117&lt;1.6,J117/100/0.1769/炼钢参数表!K117*1000,(J117-0.08)/100/0.1769/炼钢参数表!K117*1000))))</f>
        <v>10.5992085924251</v>
      </c>
      <c r="AC117" s="8">
        <f>IF((BA117-AB117*$BB$4*0.9/1000-AL117*BF$4*炼钢参数表!$X$5/1000-AM117*BG$4*炼钢参数表!$X$5/1000)&lt;(K117-炼钢参数表!J117-AB117*0.6566*炼钢参数表!L117/10)*0.082,0,(K117-炼钢参数表!J117-AB117*0.6566*炼钢参数表!L117/10)/100/($AC$3/100)/炼钢参数表!L117*1000)</f>
        <v>0</v>
      </c>
      <c r="AD117" s="8">
        <f>IF((BA117-AB117*$BB$4*0.9/1000-AC117*$BC$4*0.9/1000-AL117*BF$4*炼钢参数表!$X$5/1000-AM117*BG$4*炼钢参数表!$X$5/1000)&lt;=(K117-炼钢参数表!J117-AB117*0.6566*炼钢参数表!L117/10-AC117*($AC$3/100)*炼钢参数表!L117/10)*0.02,0,((K117-炼钢参数表!J117-AB117*0.6566*炼钢参数表!L117/10-AC117*($AC$3/100)*炼钢参数表!L117/10)/100/($AD$3/100)/炼钢参数表!L117*1000))</f>
        <v>8.8018953626247995</v>
      </c>
      <c r="AE117" s="8">
        <f>(K117-炼钢参数表!J117-AB117*0.6566*炼钢参数表!L117/10-AC117*($AC$3/100)*炼钢参数表!L117/10-AD117*($AD$3/100)*炼钢参数表!L117/10)/100/($AE$3/100)/炼钢参数表!L117*1000</f>
        <v>0</v>
      </c>
      <c r="AF117" s="8">
        <v>0</v>
      </c>
      <c r="AG117" s="8">
        <f>IF(J117&lt;=0.04,0,((J117-(AB117*0.1769*炼钢参数表!K117/1000*100))/100/炼钢参数表!K117/($AG$3/100)*1000))</f>
        <v>0</v>
      </c>
      <c r="AH117" s="8">
        <v>1.9</v>
      </c>
      <c r="AI117" s="8">
        <f>IF(N117="",0,IF(N117&lt;=0.002,0,((N117)/100)/($AI$3/100)/炼钢参数表!M117*1000))</f>
        <v>0</v>
      </c>
      <c r="AJ117" s="8">
        <f>IF(O117="",0,IF(O117&lt;=0.002,0,((O117)/100)/($AJ$3/100)/炼钢参数表!N117*1000))</f>
        <v>0.31377864799056099</v>
      </c>
      <c r="AK117" s="8">
        <f>IF(P117="",0,IF(P117&lt;=0.002,0,((P117+0.005)/100)/($AK$3/100)/炼钢参数表!O117*1000))</f>
        <v>1.69640362431645</v>
      </c>
      <c r="AL117" s="8">
        <f>IF((BA117-J117*0.00003-K117*0.00024)&lt;=0.05,0,IF(T117="",0,IF(T117&lt;=0.03,0,IF(((BA117-J117*0.00003-K117*0.00024)-0.05)/0.18/100/($AL$3/100)/炼钢参数表!P117*1000&lt;=T117/100/($AL$3/100)/炼钢参数表!P117*1000,((BA117-J117*0.00003-K117*0.00024)-0.05)/0.18/100/($AL$3/100)/炼钢参数表!P117*1000,T117/100/($AL$3/100)/炼钢参数表!P117*1000))))</f>
        <v>0</v>
      </c>
      <c r="AM117" s="8">
        <f>IF(T117="",0,IF(T117&lt;=0.03,0,((T117-AL117*($AL$3/100)*炼钢参数表!P117/10)/100/($AM$3/100)/炼钢参数表!P117*1000)))</f>
        <v>0</v>
      </c>
      <c r="AN117" s="8">
        <f>IF(U117="",0,IF(U117&lt;=0.02,0,(U117/100)/($AN$3/100)/炼钢参数表!Q117*1000))</f>
        <v>0</v>
      </c>
      <c r="AO117" s="8">
        <f>IF(V117="",0,IF(V117&lt;=0.02,0,(V117/100)/($AO$3/100)/炼钢参数表!R117*1000))</f>
        <v>0</v>
      </c>
      <c r="AP117" s="8">
        <f>IF(W117="",0,IF(W117&lt;=0.02,0,(W117/100)/($AP$3/100)/炼钢参数表!S117*1000))</f>
        <v>0</v>
      </c>
      <c r="AQ117" s="8">
        <f>IF(X117="",0,IF(X117&lt;=0.0002,0,(X117/100)/($AQ$3/100)/炼钢参数表!T117*1000))</f>
        <v>0</v>
      </c>
      <c r="AR117" s="8">
        <f>IF(Y117="",0,IF(Y117&lt;=0.02,0,(Y117/100)/($AR$3/100)/炼钢参数表!U117*1000))</f>
        <v>0</v>
      </c>
      <c r="AS117" s="8">
        <f>IF(L117&lt;=0.04,0,((L117-0.04)/100)/($AS$3/100)/炼钢参数表!V117*1000)</f>
        <v>0</v>
      </c>
      <c r="AT117" s="8">
        <f>IF(M117&lt;=0.03,0,((M117-0.03)/100)/($AT$3/100)/炼钢参数表!W117*1000)</f>
        <v>0</v>
      </c>
      <c r="AU117" s="6"/>
      <c r="AV117" s="8">
        <f t="shared" si="12"/>
        <v>23.311286227356899</v>
      </c>
      <c r="AW117" s="8" cm="1">
        <f t="array" ref="AW117">SUMPRODUCT($AB$4:$AU$4,AB117:AU117)/1000</f>
        <v>276.39262097363098</v>
      </c>
      <c r="AY117" s="2" t="str">
        <f t="shared" si="13"/>
        <v>Q550MD</v>
      </c>
      <c r="AZ117" s="37">
        <f>VLOOKUP(AY117,炼钢参数表!$F$5:$J$1027,4,0)</f>
        <v>3.5000000000000003E-2</v>
      </c>
      <c r="BA117" s="37">
        <f t="shared" si="14"/>
        <v>3.5000000000000003E-2</v>
      </c>
      <c r="BB117" s="37">
        <f>AB117*$BB$4*炼钢参数表!$X$5/1000</f>
        <v>1.6407574901074098E-2</v>
      </c>
      <c r="BC117" s="37">
        <f>AC117*$BC$4*炼钢参数表!$X$5/1000</f>
        <v>0</v>
      </c>
      <c r="BD117" s="37">
        <f>AD117*$BD$4*炼钢参数表!$X$5/1000</f>
        <v>1.1882558739543501E-2</v>
      </c>
      <c r="BE117" s="37">
        <f>AE117*$BE$4*炼钢参数表!$X$5/1000</f>
        <v>0</v>
      </c>
      <c r="BF117" s="37">
        <f>AL117*$BF$4*炼钢参数表!$X$5/1000</f>
        <v>0</v>
      </c>
      <c r="BG117" s="37">
        <f>AM117*$BG$4*炼钢参数表!$X$5/1000</f>
        <v>0</v>
      </c>
      <c r="BH117" s="37">
        <f t="shared" si="15"/>
        <v>2.8290133640617499E-2</v>
      </c>
      <c r="BI117" s="37">
        <f t="shared" si="16"/>
        <v>6.3290133640617502E-2</v>
      </c>
      <c r="BJ117" s="37">
        <f t="shared" si="17"/>
        <v>-6.7098663593824796E-3</v>
      </c>
      <c r="BK117" s="54"/>
      <c r="BL117" s="7"/>
    </row>
    <row r="118" spans="1:64" s="18" customFormat="1" x14ac:dyDescent="0.3">
      <c r="A118" s="21">
        <v>114</v>
      </c>
      <c r="B118" s="4" t="s">
        <v>188</v>
      </c>
      <c r="C118" s="4" t="s">
        <v>23</v>
      </c>
      <c r="D118" s="4">
        <v>3</v>
      </c>
      <c r="E118" s="4">
        <v>10</v>
      </c>
      <c r="F118" s="4" t="s">
        <v>189</v>
      </c>
      <c r="G118" s="50" t="s">
        <v>190</v>
      </c>
      <c r="H118" s="4">
        <v>1514</v>
      </c>
      <c r="I118" s="51">
        <v>0.15</v>
      </c>
      <c r="J118" s="52">
        <v>0.2</v>
      </c>
      <c r="K118" s="52">
        <v>1.35</v>
      </c>
      <c r="L118" s="51">
        <v>1.4999999999999999E-2</v>
      </c>
      <c r="M118" s="51">
        <v>5.0000000000000001E-3</v>
      </c>
      <c r="N118" s="51"/>
      <c r="O118" s="51">
        <v>1.4999999999999999E-2</v>
      </c>
      <c r="P118" s="51">
        <v>1.4999999999999999E-2</v>
      </c>
      <c r="Q118" s="51">
        <v>2.5000000000000001E-2</v>
      </c>
      <c r="R118" s="51" t="s">
        <v>631</v>
      </c>
      <c r="S118" s="32"/>
      <c r="T118" s="52"/>
      <c r="U118" s="52"/>
      <c r="V118" s="52"/>
      <c r="W118" s="52"/>
      <c r="X118" s="32" t="s">
        <v>631</v>
      </c>
      <c r="Y118" s="53" t="s">
        <v>631</v>
      </c>
      <c r="Z118" s="4">
        <v>45</v>
      </c>
      <c r="AA118" s="53"/>
      <c r="AB118" s="42">
        <f>IF(J118&lt;=0.04,0,IF((BA118-AL118*BF$4*炼钢参数表!$X$5/1000-AM118*BG$4*炼钢参数表!$X$5/1000)&lt;=0.03,0,IF((J118/100/0.1769/炼钢参数表!K118*1000)&gt;(K118-炼钢参数表!J118)/100/0.6566/炼钢参数表!L118*1000,IF(K118&lt;1.6,(K118-炼钢参数表!J118)/100/0.6566/炼钢参数表!L118*1000,(K118-0.08-炼钢参数表!J118)/100/0.6566/炼钢参数表!L118*1000),IF(K118&lt;1.6,J118/100/0.1769/炼钢参数表!K118*1000,(J118-0.08)/100/0.1769/炼钢参数表!K118*1000))))</f>
        <v>14.132278123233499</v>
      </c>
      <c r="AC118" s="8">
        <f>IF((BA118-AB118*$BB$4*0.9/1000-AL118*BF$4*炼钢参数表!$X$5/1000-AM118*BG$4*炼钢参数表!$X$5/1000)&lt;(K118-炼钢参数表!J118-AB118*0.6566*炼钢参数表!L118/10)*0.082,0,(K118-炼钢参数表!J118-AB118*0.6566*炼钢参数表!L118/10)/100/($AC$3/100)/炼钢参数表!L118*1000)</f>
        <v>4.5840828098145403</v>
      </c>
      <c r="AD118" s="8">
        <f>IF((BA118-AB118*$BB$4*0.9/1000-AC118*$BC$4*0.9/1000-AL118*BF$4*炼钢参数表!$X$5/1000-AM118*BG$4*炼钢参数表!$X$5/1000)&lt;=(K118-炼钢参数表!J118-AB118*0.6566*炼钢参数表!L118/10-AC118*($AC$3/100)*炼钢参数表!L118/10)*0.02,0,((K118-炼钢参数表!J118-AB118*0.6566*炼钢参数表!L118/10-AC118*($AC$3/100)*炼钢参数表!L118/10)/100/($AD$3/100)/炼钢参数表!L118*1000))</f>
        <v>0</v>
      </c>
      <c r="AE118" s="8">
        <f>(K118-炼钢参数表!J118-AB118*0.6566*炼钢参数表!L118/10-AC118*($AC$3/100)*炼钢参数表!L118/10-AD118*($AD$3/100)*炼钢参数表!L118/10)/100/($AE$3/100)/炼钢参数表!L118*1000</f>
        <v>0</v>
      </c>
      <c r="AF118" s="8">
        <v>0</v>
      </c>
      <c r="AG118" s="8">
        <f>IF(J118&lt;=0.04,0,((J118-(AB118*0.1769*炼钢参数表!K118/1000*100))/100/炼钢参数表!K118/($AG$3/100)*1000))</f>
        <v>0</v>
      </c>
      <c r="AH118" s="8">
        <v>1.4</v>
      </c>
      <c r="AI118" s="8">
        <f>IF(N118="",0,IF(N118&lt;=0.002,0,((N118)/100)/($AI$3/100)/炼钢参数表!M118*1000))</f>
        <v>0</v>
      </c>
      <c r="AJ118" s="8">
        <f>IF(O118="",0,IF(O118&lt;=0.002,0,((O118)/100)/($AJ$3/100)/炼钢参数表!N118*1000))</f>
        <v>0.23533398599292099</v>
      </c>
      <c r="AK118" s="8">
        <f>IF(P118="",0,IF(P118&lt;=0.002,0,((P118+0.005)/100)/($AK$3/100)/炼钢参数表!O118*1000))</f>
        <v>0.399153793956812</v>
      </c>
      <c r="AL118" s="8">
        <f>IF((BA118-J118*0.00003-K118*0.00024)&lt;=0.05,0,IF(T118="",0,IF(T118&lt;=0.03,0,IF(((BA118-J118*0.00003-K118*0.00024)-0.05)/0.18/100/($AL$3/100)/炼钢参数表!P118*1000&lt;=T118/100/($AL$3/100)/炼钢参数表!P118*1000,((BA118-J118*0.00003-K118*0.00024)-0.05)/0.18/100/($AL$3/100)/炼钢参数表!P118*1000,T118/100/($AL$3/100)/炼钢参数表!P118*1000))))</f>
        <v>0</v>
      </c>
      <c r="AM118" s="8">
        <f>IF(T118="",0,IF(T118&lt;=0.03,0,((T118-AL118*($AL$3/100)*炼钢参数表!P118/10)/100/($AM$3/100)/炼钢参数表!P118*1000)))</f>
        <v>0</v>
      </c>
      <c r="AN118" s="8">
        <f>IF(U118="",0,IF(U118&lt;=0.02,0,(U118/100)/($AN$3/100)/炼钢参数表!Q118*1000))</f>
        <v>0</v>
      </c>
      <c r="AO118" s="8">
        <f>IF(V118="",0,IF(V118&lt;=0.02,0,(V118/100)/($AO$3/100)/炼钢参数表!R118*1000))</f>
        <v>0</v>
      </c>
      <c r="AP118" s="8">
        <f>IF(W118="",0,IF(W118&lt;=0.02,0,(W118/100)/($AP$3/100)/炼钢参数表!S118*1000))</f>
        <v>0</v>
      </c>
      <c r="AQ118" s="8">
        <f>IF(X118="",0,IF(X118&lt;=0.0002,0,(X118/100)/($AQ$3/100)/炼钢参数表!T118*1000))</f>
        <v>0</v>
      </c>
      <c r="AR118" s="8">
        <f>IF(Y118="",0,IF(Y118&lt;=0.02,0,(Y118/100)/($AR$3/100)/炼钢参数表!U118*1000))</f>
        <v>0</v>
      </c>
      <c r="AS118" s="8">
        <f>IF(L118&lt;=0.04,0,((L118-0.04)/100)/($AS$3/100)/炼钢参数表!V118*1000)</f>
        <v>0</v>
      </c>
      <c r="AT118" s="8">
        <f>IF(M118&lt;=0.03,0,((M118-0.03)/100)/($AT$3/100)/炼钢参数表!W118*1000)</f>
        <v>0</v>
      </c>
      <c r="AU118" s="6"/>
      <c r="AV118" s="8">
        <f t="shared" si="12"/>
        <v>20.750848712997701</v>
      </c>
      <c r="AW118" s="8" cm="1">
        <f t="array" ref="AW118">SUMPRODUCT($AB$4:$AU$4,AB118:AU118)/1000</f>
        <v>195.937117277086</v>
      </c>
      <c r="AY118" s="2" t="str">
        <f t="shared" si="13"/>
        <v>Q390GJB-1</v>
      </c>
      <c r="AZ118" s="37">
        <f>VLOOKUP(AY118,炼钢参数表!$F$5:$J$1027,4,0)</f>
        <v>5.5E-2</v>
      </c>
      <c r="BA118" s="37">
        <f t="shared" si="14"/>
        <v>9.5000000000000001E-2</v>
      </c>
      <c r="BB118" s="37">
        <f>AB118*$BB$4*炼钢参数表!$X$5/1000</f>
        <v>2.1876766534765401E-2</v>
      </c>
      <c r="BC118" s="37">
        <f>AC118*$BC$4*炼钢参数表!$X$5/1000</f>
        <v>2.7600762597893298E-2</v>
      </c>
      <c r="BD118" s="37">
        <f>AD118*$BD$4*炼钢参数表!$X$5/1000</f>
        <v>0</v>
      </c>
      <c r="BE118" s="37">
        <f>AE118*$BE$4*炼钢参数表!$X$5/1000</f>
        <v>0</v>
      </c>
      <c r="BF118" s="37">
        <f>AL118*$BF$4*炼钢参数表!$X$5/1000</f>
        <v>0</v>
      </c>
      <c r="BG118" s="37">
        <f>AM118*$BG$4*炼钢参数表!$X$5/1000</f>
        <v>0</v>
      </c>
      <c r="BH118" s="37">
        <f t="shared" si="15"/>
        <v>4.9477529132658703E-2</v>
      </c>
      <c r="BI118" s="37">
        <f t="shared" si="16"/>
        <v>0.10447752913265899</v>
      </c>
      <c r="BJ118" s="37">
        <f t="shared" si="17"/>
        <v>-4.5522470867341298E-2</v>
      </c>
      <c r="BK118" s="54"/>
      <c r="BL118" s="7"/>
    </row>
    <row r="119" spans="1:64" s="18" customFormat="1" x14ac:dyDescent="0.3">
      <c r="A119" s="21">
        <v>115</v>
      </c>
      <c r="B119" s="4" t="s">
        <v>188</v>
      </c>
      <c r="C119" s="4" t="s">
        <v>26</v>
      </c>
      <c r="D119" s="4">
        <v>10.01</v>
      </c>
      <c r="E119" s="4">
        <v>25.4</v>
      </c>
      <c r="F119" s="4" t="s">
        <v>191</v>
      </c>
      <c r="G119" s="50" t="s">
        <v>190</v>
      </c>
      <c r="H119" s="4">
        <v>1514</v>
      </c>
      <c r="I119" s="51">
        <v>0.15</v>
      </c>
      <c r="J119" s="52">
        <v>0.2</v>
      </c>
      <c r="K119" s="52">
        <v>1.45</v>
      </c>
      <c r="L119" s="51">
        <v>1.4999999999999999E-2</v>
      </c>
      <c r="M119" s="51">
        <v>5.0000000000000001E-3</v>
      </c>
      <c r="N119" s="51"/>
      <c r="O119" s="51">
        <v>1.7999999999999999E-2</v>
      </c>
      <c r="P119" s="51">
        <v>1.4999999999999999E-2</v>
      </c>
      <c r="Q119" s="51">
        <v>2.5000000000000001E-2</v>
      </c>
      <c r="R119" s="51" t="s">
        <v>631</v>
      </c>
      <c r="S119" s="32"/>
      <c r="T119" s="52"/>
      <c r="U119" s="52"/>
      <c r="V119" s="52"/>
      <c r="W119" s="52"/>
      <c r="X119" s="32" t="s">
        <v>631</v>
      </c>
      <c r="Y119" s="53" t="s">
        <v>631</v>
      </c>
      <c r="Z119" s="4">
        <v>45</v>
      </c>
      <c r="AA119" s="53"/>
      <c r="AB119" s="42">
        <f>IF(J119&lt;=0.04,0,IF((BA119-AL119*BF$4*炼钢参数表!$X$5/1000-AM119*BG$4*炼钢参数表!$X$5/1000)&lt;=0.03,0,IF((J119/100/0.1769/炼钢参数表!K119*1000)&gt;(K119-炼钢参数表!J119)/100/0.6566/炼钢参数表!L119*1000,IF(K119&lt;1.6,(K119-炼钢参数表!J119)/100/0.6566/炼钢参数表!L119*1000,(K119-0.08-炼钢参数表!J119)/100/0.6566/炼钢参数表!L119*1000),IF(K119&lt;1.6,J119/100/0.1769/炼钢参数表!K119*1000,(J119-0.08)/100/0.1769/炼钢参数表!K119*1000))))</f>
        <v>14.132278123233499</v>
      </c>
      <c r="AC119" s="8">
        <f>IF((BA119-AB119*$BB$4*0.9/1000-AL119*BF$4*炼钢参数表!$X$5/1000-AM119*BG$4*炼钢参数表!$X$5/1000)&lt;(K119-炼钢参数表!J119-AB119*0.6566*炼钢参数表!L119/10)*0.082,0,(K119-炼钢参数表!J119-AB119*0.6566*炼钢参数表!L119/10)/100/($AC$3/100)/炼钢参数表!L119*1000)</f>
        <v>6.0263717131200103</v>
      </c>
      <c r="AD119" s="8">
        <f>IF((BA119-AB119*$BB$4*0.9/1000-AC119*$BC$4*0.9/1000-AL119*BF$4*炼钢参数表!$X$5/1000-AM119*BG$4*炼钢参数表!$X$5/1000)&lt;=(K119-炼钢参数表!J119-AB119*0.6566*炼钢参数表!L119/10-AC119*($AC$3/100)*炼钢参数表!L119/10)*0.02,0,((K119-炼钢参数表!J119-AB119*0.6566*炼钢参数表!L119/10-AC119*($AC$3/100)*炼钢参数表!L119/10)/100/($AD$3/100)/炼钢参数表!L119*1000))</f>
        <v>0</v>
      </c>
      <c r="AE119" s="8">
        <f>(K119-炼钢参数表!J119-AB119*0.6566*炼钢参数表!L119/10-AC119*($AC$3/100)*炼钢参数表!L119/10-AD119*($AD$3/100)*炼钢参数表!L119/10)/100/($AE$3/100)/炼钢参数表!L119*1000</f>
        <v>0</v>
      </c>
      <c r="AF119" s="8">
        <v>0</v>
      </c>
      <c r="AG119" s="8">
        <f>IF(J119&lt;=0.04,0,((J119-(AB119*0.1769*炼钢参数表!K119/1000*100))/100/炼钢参数表!K119/($AG$3/100)*1000))</f>
        <v>0</v>
      </c>
      <c r="AH119" s="8">
        <v>1.4</v>
      </c>
      <c r="AI119" s="8">
        <f>IF(N119="",0,IF(N119&lt;=0.002,0,((N119)/100)/($AI$3/100)/炼钢参数表!M119*1000))</f>
        <v>0</v>
      </c>
      <c r="AJ119" s="8">
        <f>IF(O119="",0,IF(O119&lt;=0.002,0,((O119)/100)/($AJ$3/100)/炼钢参数表!N119*1000))</f>
        <v>0.28240078319150502</v>
      </c>
      <c r="AK119" s="8">
        <f>IF(P119="",0,IF(P119&lt;=0.002,0,((P119+0.005)/100)/($AK$3/100)/炼钢参数表!O119*1000))</f>
        <v>0.399153793956812</v>
      </c>
      <c r="AL119" s="8">
        <f>IF((BA119-J119*0.00003-K119*0.00024)&lt;=0.05,0,IF(T119="",0,IF(T119&lt;=0.03,0,IF(((BA119-J119*0.00003-K119*0.00024)-0.05)/0.18/100/($AL$3/100)/炼钢参数表!P119*1000&lt;=T119/100/($AL$3/100)/炼钢参数表!P119*1000,((BA119-J119*0.00003-K119*0.00024)-0.05)/0.18/100/($AL$3/100)/炼钢参数表!P119*1000,T119/100/($AL$3/100)/炼钢参数表!P119*1000))))</f>
        <v>0</v>
      </c>
      <c r="AM119" s="8">
        <f>IF(T119="",0,IF(T119&lt;=0.03,0,((T119-AL119*($AL$3/100)*炼钢参数表!P119/10)/100/($AM$3/100)/炼钢参数表!P119*1000)))</f>
        <v>0</v>
      </c>
      <c r="AN119" s="8">
        <f>IF(U119="",0,IF(U119&lt;=0.02,0,(U119/100)/($AN$3/100)/炼钢参数表!Q119*1000))</f>
        <v>0</v>
      </c>
      <c r="AO119" s="8">
        <f>IF(V119="",0,IF(V119&lt;=0.02,0,(V119/100)/($AO$3/100)/炼钢参数表!R119*1000))</f>
        <v>0</v>
      </c>
      <c r="AP119" s="8">
        <f>IF(W119="",0,IF(W119&lt;=0.02,0,(W119/100)/($AP$3/100)/炼钢参数表!S119*1000))</f>
        <v>0</v>
      </c>
      <c r="AQ119" s="8">
        <f>IF(X119="",0,IF(X119&lt;=0.0002,0,(X119/100)/($AQ$3/100)/炼钢参数表!T119*1000))</f>
        <v>0</v>
      </c>
      <c r="AR119" s="8">
        <f>IF(Y119="",0,IF(Y119&lt;=0.02,0,(Y119/100)/($AR$3/100)/炼钢参数表!U119*1000))</f>
        <v>0</v>
      </c>
      <c r="AS119" s="8">
        <f>IF(L119&lt;=0.04,0,((L119-0.04)/100)/($AS$3/100)/炼钢参数表!V119*1000)</f>
        <v>0</v>
      </c>
      <c r="AT119" s="8">
        <f>IF(M119&lt;=0.03,0,((M119-0.03)/100)/($AT$3/100)/炼钢参数表!W119*1000)</f>
        <v>0</v>
      </c>
      <c r="AU119" s="6"/>
      <c r="AV119" s="8">
        <f t="shared" si="12"/>
        <v>22.2402044135018</v>
      </c>
      <c r="AW119" s="8" cm="1">
        <f t="array" ref="AW119">SUMPRODUCT($AB$4:$AU$4,AB119:AU119)/1000</f>
        <v>214.791732301671</v>
      </c>
      <c r="AY119" s="2" t="str">
        <f t="shared" si="13"/>
        <v>Q390GJB-2</v>
      </c>
      <c r="AZ119" s="37">
        <f>VLOOKUP(AY119,炼钢参数表!$F$5:$J$1027,4,0)</f>
        <v>5.5457142857142899E-2</v>
      </c>
      <c r="BA119" s="37">
        <f t="shared" si="14"/>
        <v>9.4542857142857095E-2</v>
      </c>
      <c r="BB119" s="37">
        <f>AB119*$BB$4*炼钢参数表!$X$5/1000</f>
        <v>2.1876766534765401E-2</v>
      </c>
      <c r="BC119" s="37">
        <f>AC119*$BC$4*炼钢参数表!$X$5/1000</f>
        <v>3.6284784084695598E-2</v>
      </c>
      <c r="BD119" s="37">
        <f>AD119*$BD$4*炼钢参数表!$X$5/1000</f>
        <v>0</v>
      </c>
      <c r="BE119" s="37">
        <f>AE119*$BE$4*炼钢参数表!$X$5/1000</f>
        <v>0</v>
      </c>
      <c r="BF119" s="37">
        <f>AL119*$BF$4*炼钢参数表!$X$5/1000</f>
        <v>0</v>
      </c>
      <c r="BG119" s="37">
        <f>AM119*$BG$4*炼钢参数表!$X$5/1000</f>
        <v>0</v>
      </c>
      <c r="BH119" s="37">
        <f t="shared" si="15"/>
        <v>5.8161550619461003E-2</v>
      </c>
      <c r="BI119" s="37">
        <f t="shared" si="16"/>
        <v>0.113618693476604</v>
      </c>
      <c r="BJ119" s="37">
        <f t="shared" si="17"/>
        <v>-3.6381306523396099E-2</v>
      </c>
      <c r="BK119" s="54"/>
      <c r="BL119" s="7"/>
    </row>
    <row r="120" spans="1:64" s="18" customFormat="1" x14ac:dyDescent="0.3">
      <c r="A120" s="21">
        <v>116</v>
      </c>
      <c r="B120" s="4" t="s">
        <v>192</v>
      </c>
      <c r="C120" s="4" t="s">
        <v>26</v>
      </c>
      <c r="D120" s="4">
        <v>2</v>
      </c>
      <c r="E120" s="4">
        <v>9.99</v>
      </c>
      <c r="F120" s="4" t="s">
        <v>193</v>
      </c>
      <c r="G120" s="50" t="s">
        <v>194</v>
      </c>
      <c r="H120" s="4">
        <v>1517</v>
      </c>
      <c r="I120" s="51">
        <v>0.16</v>
      </c>
      <c r="J120" s="52">
        <v>0.1</v>
      </c>
      <c r="K120" s="52">
        <v>0.7</v>
      </c>
      <c r="L120" s="51">
        <v>1.4999999999999999E-2</v>
      </c>
      <c r="M120" s="51">
        <v>8.0000000000000002E-3</v>
      </c>
      <c r="N120" s="51" t="s">
        <v>631</v>
      </c>
      <c r="O120" s="51">
        <v>6.0000000000000001E-3</v>
      </c>
      <c r="P120" s="51">
        <v>0.03</v>
      </c>
      <c r="Q120" s="51">
        <v>0.02</v>
      </c>
      <c r="R120" s="51" t="s">
        <v>631</v>
      </c>
      <c r="S120" s="32"/>
      <c r="T120" s="52"/>
      <c r="U120" s="52"/>
      <c r="V120" s="52"/>
      <c r="W120" s="52"/>
      <c r="X120" s="32"/>
      <c r="Y120" s="53" t="s">
        <v>631</v>
      </c>
      <c r="Z120" s="4"/>
      <c r="AA120" s="53" t="s">
        <v>631</v>
      </c>
      <c r="AB120" s="42">
        <f>IF(J120&lt;=0.04,0,IF((BA120-AL120*BF$4*炼钢参数表!$X$5/1000-AM120*BG$4*炼钢参数表!$X$5/1000)&lt;=0.03,0,IF((J120/100/0.1769/炼钢参数表!K120*1000)&gt;(K120-炼钢参数表!J120)/100/0.6566/炼钢参数表!L120*1000,IF(K120&lt;1.6,(K120-炼钢参数表!J120)/100/0.6566/炼钢参数表!L120*1000,(K120-0.08-炼钢参数表!J120)/100/0.6566/炼钢参数表!L120*1000),IF(K120&lt;1.6,J120/100/0.1769/炼钢参数表!K120*1000,(J120-0.08)/100/0.1769/炼钢参数表!K120*1000))))</f>
        <v>7.0661390616167301</v>
      </c>
      <c r="AC120" s="8">
        <f>IF((BA120-AB120*$BB$4*0.9/1000-AL120*BF$4*炼钢参数表!$X$5/1000-AM120*BG$4*炼钢参数表!$X$5/1000)&lt;(K120-炼钢参数表!J120-AB120*0.6566*炼钢参数表!L120/10)*0.082,0,(K120-炼钢参数表!J120-AB120*0.6566*炼钢参数表!L120/10)/100/($AC$3/100)/炼钢参数表!L120*1000)</f>
        <v>1.7712478416286099</v>
      </c>
      <c r="AD120" s="8">
        <f>IF((BA120-AB120*$BB$4*0.9/1000-AC120*$BC$4*0.9/1000-AL120*BF$4*炼钢参数表!$X$5/1000-AM120*BG$4*炼钢参数表!$X$5/1000)&lt;=(K120-炼钢参数表!J120-AB120*0.6566*炼钢参数表!L120/10-AC120*($AC$3/100)*炼钢参数表!L120/10)*0.02,0,((K120-炼钢参数表!J120-AB120*0.6566*炼钢参数表!L120/10-AC120*($AC$3/100)*炼钢参数表!L120/10)/100/($AD$3/100)/炼钢参数表!L120*1000))</f>
        <v>0</v>
      </c>
      <c r="AE120" s="8">
        <f>(K120-炼钢参数表!J120-AB120*0.6566*炼钢参数表!L120/10-AC120*($AC$3/100)*炼钢参数表!L120/10-AD120*($AD$3/100)*炼钢参数表!L120/10)/100/($AE$3/100)/炼钢参数表!L120*1000</f>
        <v>0</v>
      </c>
      <c r="AF120" s="8">
        <v>0</v>
      </c>
      <c r="AG120" s="8">
        <f>IF(J120&lt;=0.04,0,((J120-(AB120*0.1769*炼钢参数表!K120/1000*100))/100/炼钢参数表!K120/($AG$3/100)*1000))</f>
        <v>0</v>
      </c>
      <c r="AH120" s="8">
        <v>1.4</v>
      </c>
      <c r="AI120" s="8">
        <f>IF(N120="",0,IF(N120&lt;=0.002,0,((N120)/100)/($AI$3/100)/炼钢参数表!M120*1000))</f>
        <v>0</v>
      </c>
      <c r="AJ120" s="8">
        <f>IF(O120="",0,IF(O120&lt;=0.002,0,((O120)/100)/($AJ$3/100)/炼钢参数表!N120*1000))</f>
        <v>9.4133594397168494E-2</v>
      </c>
      <c r="AK120" s="8">
        <f>IF(P120="",0,IF(P120&lt;=0.002,0,((P120+0.005)/100)/($AK$3/100)/炼钢参数表!O120*1000))</f>
        <v>0.69851913942442001</v>
      </c>
      <c r="AL120" s="8">
        <f>IF((BA120-J120*0.00003-K120*0.00024)&lt;=0.05,0,IF(T120="",0,IF(T120&lt;=0.03,0,IF(((BA120-J120*0.00003-K120*0.00024)-0.05)/0.18/100/($AL$3/100)/炼钢参数表!P120*1000&lt;=T120/100/($AL$3/100)/炼钢参数表!P120*1000,((BA120-J120*0.00003-K120*0.00024)-0.05)/0.18/100/($AL$3/100)/炼钢参数表!P120*1000,T120/100/($AL$3/100)/炼钢参数表!P120*1000))))</f>
        <v>0</v>
      </c>
      <c r="AM120" s="8">
        <f>IF(T120="",0,IF(T120&lt;=0.03,0,((T120-AL120*($AL$3/100)*炼钢参数表!P120/10)/100/($AM$3/100)/炼钢参数表!P120*1000)))</f>
        <v>0</v>
      </c>
      <c r="AN120" s="8">
        <f>IF(U120="",0,IF(U120&lt;=0.02,0,(U120/100)/($AN$3/100)/炼钢参数表!Q120*1000))</f>
        <v>0</v>
      </c>
      <c r="AO120" s="8">
        <f>IF(V120="",0,IF(V120&lt;=0.02,0,(V120/100)/($AO$3/100)/炼钢参数表!R120*1000))</f>
        <v>0</v>
      </c>
      <c r="AP120" s="8">
        <f>IF(W120="",0,IF(W120&lt;=0.02,0,(W120/100)/($AP$3/100)/炼钢参数表!S120*1000))</f>
        <v>0</v>
      </c>
      <c r="AQ120" s="8">
        <f>IF(X120="",0,IF(X120&lt;=0.0002,0,(X120/100)/($AQ$3/100)/炼钢参数表!T120*1000))</f>
        <v>0</v>
      </c>
      <c r="AR120" s="8">
        <f>IF(Y120="",0,IF(Y120&lt;=0.02,0,(Y120/100)/($AR$3/100)/炼钢参数表!U120*1000))</f>
        <v>0</v>
      </c>
      <c r="AS120" s="8">
        <f>IF(L120&lt;=0.04,0,((L120-0.04)/100)/($AS$3/100)/炼钢参数表!V120*1000)</f>
        <v>0</v>
      </c>
      <c r="AT120" s="8">
        <f>IF(M120&lt;=0.03,0,((M120-0.03)/100)/($AT$3/100)/炼钢参数表!W120*1000)</f>
        <v>0</v>
      </c>
      <c r="AU120" s="6"/>
      <c r="AV120" s="8">
        <f t="shared" si="12"/>
        <v>11.030039637066899</v>
      </c>
      <c r="AW120" s="8" cm="1">
        <f t="array" ref="AW120">SUMPRODUCT($AB$4:$AU$4,AB120:AU120)/1000</f>
        <v>117.398176402468</v>
      </c>
      <c r="AY120" s="2" t="str">
        <f t="shared" si="13"/>
        <v>A572Gr50-1</v>
      </c>
      <c r="AZ120" s="37">
        <f>VLOOKUP(AY120,炼钢参数表!$F$5:$J$1027,4,0)</f>
        <v>7.2219780219780205E-2</v>
      </c>
      <c r="BA120" s="37">
        <f t="shared" si="14"/>
        <v>8.7780219780219798E-2</v>
      </c>
      <c r="BB120" s="37">
        <f>AB120*$BB$4*炼钢参数表!$X$5/1000</f>
        <v>1.09383832673827E-2</v>
      </c>
      <c r="BC120" s="37">
        <f>AC120*$BC$4*炼钢参数表!$X$5/1000</f>
        <v>1.06646832544459E-2</v>
      </c>
      <c r="BD120" s="37">
        <f>AD120*$BD$4*炼钢参数表!$X$5/1000</f>
        <v>0</v>
      </c>
      <c r="BE120" s="37">
        <f>AE120*$BE$4*炼钢参数表!$X$5/1000</f>
        <v>0</v>
      </c>
      <c r="BF120" s="37">
        <f>AL120*$BF$4*炼钢参数表!$X$5/1000</f>
        <v>0</v>
      </c>
      <c r="BG120" s="37">
        <f>AM120*$BG$4*炼钢参数表!$X$5/1000</f>
        <v>0</v>
      </c>
      <c r="BH120" s="37">
        <f t="shared" si="15"/>
        <v>2.1603066521828598E-2</v>
      </c>
      <c r="BI120" s="37">
        <f t="shared" si="16"/>
        <v>9.3822846741608804E-2</v>
      </c>
      <c r="BJ120" s="37">
        <f t="shared" si="17"/>
        <v>-6.61771532583912E-2</v>
      </c>
      <c r="BK120" s="54"/>
      <c r="BL120" s="7"/>
    </row>
    <row r="121" spans="1:64" s="18" customFormat="1" x14ac:dyDescent="0.3">
      <c r="A121" s="21">
        <v>117</v>
      </c>
      <c r="B121" s="4" t="s">
        <v>192</v>
      </c>
      <c r="C121" s="4" t="s">
        <v>23</v>
      </c>
      <c r="D121" s="4">
        <v>10</v>
      </c>
      <c r="E121" s="4">
        <v>15.99</v>
      </c>
      <c r="F121" s="4" t="s">
        <v>195</v>
      </c>
      <c r="G121" s="50" t="s">
        <v>194</v>
      </c>
      <c r="H121" s="4">
        <v>1516</v>
      </c>
      <c r="I121" s="51">
        <v>0.16</v>
      </c>
      <c r="J121" s="52">
        <v>0.1</v>
      </c>
      <c r="K121" s="52">
        <v>0.85</v>
      </c>
      <c r="L121" s="51">
        <v>1.4999999999999999E-2</v>
      </c>
      <c r="M121" s="51">
        <v>0.01</v>
      </c>
      <c r="N121" s="51" t="s">
        <v>631</v>
      </c>
      <c r="O121" s="51">
        <v>6.0000000000000001E-3</v>
      </c>
      <c r="P121" s="51">
        <v>0.03</v>
      </c>
      <c r="Q121" s="51">
        <v>0.02</v>
      </c>
      <c r="R121" s="51" t="s">
        <v>631</v>
      </c>
      <c r="S121" s="32"/>
      <c r="T121" s="52"/>
      <c r="U121" s="52"/>
      <c r="V121" s="52"/>
      <c r="W121" s="52"/>
      <c r="X121" s="32"/>
      <c r="Y121" s="53" t="s">
        <v>631</v>
      </c>
      <c r="Z121" s="4"/>
      <c r="AA121" s="53" t="s">
        <v>631</v>
      </c>
      <c r="AB121" s="42">
        <f>IF(J121&lt;=0.04,0,IF((BA121-AL121*BF$4*炼钢参数表!$X$5/1000-AM121*BG$4*炼钢参数表!$X$5/1000)&lt;=0.03,0,IF((J121/100/0.1769/炼钢参数表!K121*1000)&gt;(K121-炼钢参数表!J121)/100/0.6566/炼钢参数表!L121*1000,IF(K121&lt;1.6,(K121-炼钢参数表!J121)/100/0.6566/炼钢参数表!L121*1000,(K121-0.08-炼钢参数表!J121)/100/0.6566/炼钢参数表!L121*1000),IF(K121&lt;1.6,J121/100/0.1769/炼钢参数表!K121*1000,(J121-0.08)/100/0.1769/炼钢参数表!K121*1000))))</f>
        <v>7.0661390616167301</v>
      </c>
      <c r="AC121" s="8">
        <f>IF((BA121-AB121*$BB$4*0.9/1000-AL121*BF$4*炼钢参数表!$X$5/1000-AM121*BG$4*炼钢参数表!$X$5/1000)&lt;(K121-炼钢参数表!J121-AB121*0.6566*炼钢参数表!L121/10)*0.082,0,(K121-炼钢参数表!J121-AB121*0.6566*炼钢参数表!L121/10)/100/($AC$3/100)/炼钢参数表!L121*1000)</f>
        <v>3.8063110317688502</v>
      </c>
      <c r="AD121" s="8">
        <f>IF((BA121-AB121*$BB$4*0.9/1000-AC121*$BC$4*0.9/1000-AL121*BF$4*炼钢参数表!$X$5/1000-AM121*BG$4*炼钢参数表!$X$5/1000)&lt;=(K121-炼钢参数表!J121-AB121*0.6566*炼钢参数表!L121/10-AC121*($AC$3/100)*炼钢参数表!L121/10)*0.02,0,((K121-炼钢参数表!J121-AB121*0.6566*炼钢参数表!L121/10-AC121*($AC$3/100)*炼钢参数表!L121/10)/100/($AD$3/100)/炼钢参数表!L121*1000))</f>
        <v>0</v>
      </c>
      <c r="AE121" s="8">
        <f>(K121-炼钢参数表!J121-AB121*0.6566*炼钢参数表!L121/10-AC121*($AC$3/100)*炼钢参数表!L121/10-AD121*($AD$3/100)*炼钢参数表!L121/10)/100/($AE$3/100)/炼钢参数表!L121*1000</f>
        <v>0</v>
      </c>
      <c r="AF121" s="8">
        <v>0</v>
      </c>
      <c r="AG121" s="8">
        <f>IF(J121&lt;=0.04,0,((J121-(AB121*0.1769*炼钢参数表!K121/1000*100))/100/炼钢参数表!K121/($AG$3/100)*1000))</f>
        <v>0</v>
      </c>
      <c r="AH121" s="8">
        <v>1.4</v>
      </c>
      <c r="AI121" s="8">
        <f>IF(N121="",0,IF(N121&lt;=0.002,0,((N121)/100)/($AI$3/100)/炼钢参数表!M121*1000))</f>
        <v>0</v>
      </c>
      <c r="AJ121" s="8">
        <f>IF(O121="",0,IF(O121&lt;=0.002,0,((O121)/100)/($AJ$3/100)/炼钢参数表!N121*1000))</f>
        <v>9.4133594397168494E-2</v>
      </c>
      <c r="AK121" s="8">
        <f>IF(P121="",0,IF(P121&lt;=0.002,0,((P121+0.005)/100)/($AK$3/100)/炼钢参数表!O121*1000))</f>
        <v>0.69851913942442001</v>
      </c>
      <c r="AL121" s="8">
        <f>IF((BA121-J121*0.00003-K121*0.00024)&lt;=0.05,0,IF(T121="",0,IF(T121&lt;=0.03,0,IF(((BA121-J121*0.00003-K121*0.00024)-0.05)/0.18/100/($AL$3/100)/炼钢参数表!P121*1000&lt;=T121/100/($AL$3/100)/炼钢参数表!P121*1000,((BA121-J121*0.00003-K121*0.00024)-0.05)/0.18/100/($AL$3/100)/炼钢参数表!P121*1000,T121/100/($AL$3/100)/炼钢参数表!P121*1000))))</f>
        <v>0</v>
      </c>
      <c r="AM121" s="8">
        <f>IF(T121="",0,IF(T121&lt;=0.03,0,((T121-AL121*($AL$3/100)*炼钢参数表!P121/10)/100/($AM$3/100)/炼钢参数表!P121*1000)))</f>
        <v>0</v>
      </c>
      <c r="AN121" s="8">
        <f>IF(U121="",0,IF(U121&lt;=0.02,0,(U121/100)/($AN$3/100)/炼钢参数表!Q121*1000))</f>
        <v>0</v>
      </c>
      <c r="AO121" s="8">
        <f>IF(V121="",0,IF(V121&lt;=0.02,0,(V121/100)/($AO$3/100)/炼钢参数表!R121*1000))</f>
        <v>0</v>
      </c>
      <c r="AP121" s="8">
        <f>IF(W121="",0,IF(W121&lt;=0.02,0,(W121/100)/($AP$3/100)/炼钢参数表!S121*1000))</f>
        <v>0</v>
      </c>
      <c r="AQ121" s="8">
        <f>IF(X121="",0,IF(X121&lt;=0.0002,0,(X121/100)/($AQ$3/100)/炼钢参数表!T121*1000))</f>
        <v>0</v>
      </c>
      <c r="AR121" s="8">
        <f>IF(Y121="",0,IF(Y121&lt;=0.02,0,(Y121/100)/($AR$3/100)/炼钢参数表!U121*1000))</f>
        <v>0</v>
      </c>
      <c r="AS121" s="8">
        <f>IF(L121&lt;=0.04,0,((L121-0.04)/100)/($AS$3/100)/炼钢参数表!V121*1000)</f>
        <v>0</v>
      </c>
      <c r="AT121" s="8">
        <f>IF(M121&lt;=0.03,0,((M121-0.03)/100)/($AT$3/100)/炼钢参数表!W121*1000)</f>
        <v>0</v>
      </c>
      <c r="AU121" s="6"/>
      <c r="AV121" s="8">
        <f t="shared" si="12"/>
        <v>13.0651028272072</v>
      </c>
      <c r="AW121" s="8" cm="1">
        <f t="array" ref="AW121">SUMPRODUCT($AB$4:$AU$4,AB121:AU121)/1000</f>
        <v>129.698602587121</v>
      </c>
      <c r="AY121" s="2" t="str">
        <f t="shared" si="13"/>
        <v>A572Gr50-2</v>
      </c>
      <c r="AZ121" s="37">
        <f>VLOOKUP(AY121,炼钢参数表!$F$5:$J$1027,4,0)</f>
        <v>6.8746268656716403E-2</v>
      </c>
      <c r="BA121" s="37">
        <f t="shared" si="14"/>
        <v>9.1253731343283601E-2</v>
      </c>
      <c r="BB121" s="37">
        <f>AB121*$BB$4*炼钢参数表!$X$5/1000</f>
        <v>1.09383832673827E-2</v>
      </c>
      <c r="BC121" s="37">
        <f>AC121*$BC$4*炼钢参数表!$X$5/1000</f>
        <v>2.2917798722280301E-2</v>
      </c>
      <c r="BD121" s="37">
        <f>AD121*$BD$4*炼钢参数表!$X$5/1000</f>
        <v>0</v>
      </c>
      <c r="BE121" s="37">
        <f>AE121*$BE$4*炼钢参数表!$X$5/1000</f>
        <v>0</v>
      </c>
      <c r="BF121" s="37">
        <f>AL121*$BF$4*炼钢参数表!$X$5/1000</f>
        <v>0</v>
      </c>
      <c r="BG121" s="37">
        <f>AM121*$BG$4*炼钢参数表!$X$5/1000</f>
        <v>0</v>
      </c>
      <c r="BH121" s="37">
        <f t="shared" si="15"/>
        <v>3.3856181989663003E-2</v>
      </c>
      <c r="BI121" s="37">
        <f t="shared" si="16"/>
        <v>0.102602450646379</v>
      </c>
      <c r="BJ121" s="37">
        <f t="shared" si="17"/>
        <v>-5.7397549353620597E-2</v>
      </c>
      <c r="BK121" s="54"/>
      <c r="BL121" s="7"/>
    </row>
    <row r="122" spans="1:64" s="18" customFormat="1" x14ac:dyDescent="0.3">
      <c r="A122" s="21">
        <v>118</v>
      </c>
      <c r="B122" s="4" t="s">
        <v>192</v>
      </c>
      <c r="C122" s="4" t="s">
        <v>90</v>
      </c>
      <c r="D122" s="4">
        <v>16</v>
      </c>
      <c r="E122" s="4">
        <v>28</v>
      </c>
      <c r="F122" s="4" t="s">
        <v>196</v>
      </c>
      <c r="G122" s="50" t="s">
        <v>194</v>
      </c>
      <c r="H122" s="4">
        <v>1515</v>
      </c>
      <c r="I122" s="51">
        <v>0.16</v>
      </c>
      <c r="J122" s="52">
        <v>0.1</v>
      </c>
      <c r="K122" s="52">
        <v>1.1499999999999999</v>
      </c>
      <c r="L122" s="51">
        <v>1.4999999999999999E-2</v>
      </c>
      <c r="M122" s="51">
        <v>8.0000000000000002E-3</v>
      </c>
      <c r="N122" s="51" t="s">
        <v>631</v>
      </c>
      <c r="O122" s="51">
        <v>1.4999999999999999E-2</v>
      </c>
      <c r="P122" s="51">
        <v>2.5000000000000001E-2</v>
      </c>
      <c r="Q122" s="51">
        <v>0.02</v>
      </c>
      <c r="R122" s="51" t="s">
        <v>631</v>
      </c>
      <c r="S122" s="32"/>
      <c r="T122" s="52"/>
      <c r="U122" s="52"/>
      <c r="V122" s="52"/>
      <c r="W122" s="52"/>
      <c r="X122" s="32"/>
      <c r="Y122" s="53" t="s">
        <v>631</v>
      </c>
      <c r="Z122" s="4"/>
      <c r="AA122" s="53" t="s">
        <v>631</v>
      </c>
      <c r="AB122" s="42">
        <f>IF(J122&lt;=0.04,0,IF((BA122-AL122*BF$4*炼钢参数表!$X$5/1000-AM122*BG$4*炼钢参数表!$X$5/1000)&lt;=0.03,0,IF((J122/100/0.1769/炼钢参数表!K122*1000)&gt;(K122-炼钢参数表!J122)/100/0.6566/炼钢参数表!L122*1000,IF(K122&lt;1.6,(K122-炼钢参数表!J122)/100/0.6566/炼钢参数表!L122*1000,(K122-0.08-炼钢参数表!J122)/100/0.6566/炼钢参数表!L122*1000),IF(K122&lt;1.6,J122/100/0.1769/炼钢参数表!K122*1000,(J122-0.08)/100/0.1769/炼钢参数表!K122*1000))))</f>
        <v>7.0661390616167301</v>
      </c>
      <c r="AC122" s="8">
        <f>IF((BA122-AB122*$BB$4*0.9/1000-AL122*BF$4*炼钢参数表!$X$5/1000-AM122*BG$4*炼钢参数表!$X$5/1000)&lt;(K122-炼钢参数表!J122-AB122*0.6566*炼钢参数表!L122/10)*0.082,0,(K122-炼钢参数表!J122-AB122*0.6566*炼钢参数表!L122/10)/100/($AC$3/100)/炼钢参数表!L122*1000)</f>
        <v>7.7486797077397602</v>
      </c>
      <c r="AD122" s="8">
        <f>IF((BA122-AB122*$BB$4*0.9/1000-AC122*$BC$4*0.9/1000-AL122*BF$4*炼钢参数表!$X$5/1000-AM122*BG$4*炼钢参数表!$X$5/1000)&lt;=(K122-炼钢参数表!J122-AB122*0.6566*炼钢参数表!L122/10-AC122*($AC$3/100)*炼钢参数表!L122/10)*0.02,0,((K122-炼钢参数表!J122-AB122*0.6566*炼钢参数表!L122/10-AC122*($AC$3/100)*炼钢参数表!L122/10)/100/($AD$3/100)/炼钢参数表!L122*1000))</f>
        <v>0</v>
      </c>
      <c r="AE122" s="8">
        <f>(K122-炼钢参数表!J122-AB122*0.6566*炼钢参数表!L122/10-AC122*($AC$3/100)*炼钢参数表!L122/10-AD122*($AD$3/100)*炼钢参数表!L122/10)/100/($AE$3/100)/炼钢参数表!L122*1000</f>
        <v>0</v>
      </c>
      <c r="AF122" s="8">
        <v>0</v>
      </c>
      <c r="AG122" s="8">
        <f>IF(J122&lt;=0.04,0,((J122-(AB122*0.1769*炼钢参数表!K122/1000*100))/100/炼钢参数表!K122/($AG$3/100)*1000))</f>
        <v>0</v>
      </c>
      <c r="AH122" s="8">
        <v>1.40380370176341</v>
      </c>
      <c r="AI122" s="8">
        <f>IF(N122="",0,IF(N122&lt;=0.002,0,((N122)/100)/($AI$3/100)/炼钢参数表!M122*1000))</f>
        <v>0</v>
      </c>
      <c r="AJ122" s="8">
        <f>IF(O122="",0,IF(O122&lt;=0.002,0,((O122)/100)/($AJ$3/100)/炼钢参数表!N122*1000))</f>
        <v>0.23533398599292099</v>
      </c>
      <c r="AK122" s="8">
        <f>IF(P122="",0,IF(P122&lt;=0.002,0,((P122+0.005)/100)/($AK$3/100)/炼钢参数表!O122*1000))</f>
        <v>0.59873069093521702</v>
      </c>
      <c r="AL122" s="8">
        <f>IF((BA122-J122*0.00003-K122*0.00024)&lt;=0.05,0,IF(T122="",0,IF(T122&lt;=0.03,0,IF(((BA122-J122*0.00003-K122*0.00024)-0.05)/0.18/100/($AL$3/100)/炼钢参数表!P122*1000&lt;=T122/100/($AL$3/100)/炼钢参数表!P122*1000,((BA122-J122*0.00003-K122*0.00024)-0.05)/0.18/100/($AL$3/100)/炼钢参数表!P122*1000,T122/100/($AL$3/100)/炼钢参数表!P122*1000))))</f>
        <v>0</v>
      </c>
      <c r="AM122" s="8">
        <f>IF(T122="",0,IF(T122&lt;=0.03,0,((T122-AL122*($AL$3/100)*炼钢参数表!P122/10)/100/($AM$3/100)/炼钢参数表!P122*1000)))</f>
        <v>0</v>
      </c>
      <c r="AN122" s="8">
        <f>IF(U122="",0,IF(U122&lt;=0.02,0,(U122/100)/($AN$3/100)/炼钢参数表!Q122*1000))</f>
        <v>0</v>
      </c>
      <c r="AO122" s="8">
        <f>IF(V122="",0,IF(V122&lt;=0.02,0,(V122/100)/($AO$3/100)/炼钢参数表!R122*1000))</f>
        <v>0</v>
      </c>
      <c r="AP122" s="8">
        <f>IF(W122="",0,IF(W122&lt;=0.02,0,(W122/100)/($AP$3/100)/炼钢参数表!S122*1000))</f>
        <v>0</v>
      </c>
      <c r="AQ122" s="8">
        <f>IF(X122="",0,IF(X122&lt;=0.0002,0,(X122/100)/($AQ$3/100)/炼钢参数表!T122*1000))</f>
        <v>0</v>
      </c>
      <c r="AR122" s="8">
        <f>IF(Y122="",0,IF(Y122&lt;=0.02,0,(Y122/100)/($AR$3/100)/炼钢参数表!U122*1000))</f>
        <v>0</v>
      </c>
      <c r="AS122" s="8">
        <f>IF(L122&lt;=0.04,0,((L122-0.04)/100)/($AS$3/100)/炼钢参数表!V122*1000)</f>
        <v>0</v>
      </c>
      <c r="AT122" s="8">
        <f>IF(M122&lt;=0.03,0,((M122-0.03)/100)/($AT$3/100)/炼钢参数表!W122*1000)</f>
        <v>0</v>
      </c>
      <c r="AU122" s="6"/>
      <c r="AV122" s="8">
        <f t="shared" si="12"/>
        <v>17.052687148048001</v>
      </c>
      <c r="AW122" s="8" cm="1">
        <f t="array" ref="AW122">SUMPRODUCT($AB$4:$AU$4,AB122:AU122)/1000</f>
        <v>181.62142276305201</v>
      </c>
      <c r="AY122" s="2" t="str">
        <f t="shared" si="13"/>
        <v>A572Gr50-3</v>
      </c>
      <c r="AZ122" s="37">
        <f>VLOOKUP(AY122,炼钢参数表!$F$5:$J$1027,4,0)</f>
        <v>7.6913043478260903E-2</v>
      </c>
      <c r="BA122" s="37">
        <f t="shared" si="14"/>
        <v>8.30869565217391E-2</v>
      </c>
      <c r="BB122" s="37">
        <f>AB122*$BB$4*炼钢参数表!$X$5/1000</f>
        <v>1.09383832673827E-2</v>
      </c>
      <c r="BC122" s="37">
        <f>AC122*$BC$4*炼钢参数表!$X$5/1000</f>
        <v>4.6654800520301097E-2</v>
      </c>
      <c r="BD122" s="37">
        <f>AD122*$BD$4*炼钢参数表!$X$5/1000</f>
        <v>0</v>
      </c>
      <c r="BE122" s="37">
        <f>AE122*$BE$4*炼钢参数表!$X$5/1000</f>
        <v>0</v>
      </c>
      <c r="BF122" s="37">
        <f>AL122*$BF$4*炼钢参数表!$X$5/1000</f>
        <v>0</v>
      </c>
      <c r="BG122" s="37">
        <f>AM122*$BG$4*炼钢参数表!$X$5/1000</f>
        <v>0</v>
      </c>
      <c r="BH122" s="37">
        <f t="shared" si="15"/>
        <v>5.7593183787683799E-2</v>
      </c>
      <c r="BI122" s="37">
        <f t="shared" si="16"/>
        <v>0.13450622726594499</v>
      </c>
      <c r="BJ122" s="37">
        <f t="shared" si="17"/>
        <v>-2.5493772734055301E-2</v>
      </c>
      <c r="BK122" s="54"/>
      <c r="BL122" s="7"/>
    </row>
    <row r="123" spans="1:64" s="18" customFormat="1" x14ac:dyDescent="0.3">
      <c r="A123" s="21">
        <v>119</v>
      </c>
      <c r="B123" s="4" t="s">
        <v>197</v>
      </c>
      <c r="C123" s="4" t="s">
        <v>26</v>
      </c>
      <c r="D123" s="4">
        <v>2</v>
      </c>
      <c r="E123" s="4">
        <v>9.99</v>
      </c>
      <c r="F123" s="4" t="s">
        <v>198</v>
      </c>
      <c r="G123" s="50" t="s">
        <v>199</v>
      </c>
      <c r="H123" s="4">
        <v>1517</v>
      </c>
      <c r="I123" s="51">
        <v>0.16</v>
      </c>
      <c r="J123" s="52">
        <v>0.02</v>
      </c>
      <c r="K123" s="52">
        <v>0.7</v>
      </c>
      <c r="L123" s="51">
        <v>1.4999999999999999E-2</v>
      </c>
      <c r="M123" s="51">
        <v>8.0000000000000002E-3</v>
      </c>
      <c r="N123" s="51" t="s">
        <v>631</v>
      </c>
      <c r="O123" s="51">
        <v>6.0000000000000001E-3</v>
      </c>
      <c r="P123" s="51">
        <v>0.03</v>
      </c>
      <c r="Q123" s="51">
        <v>0.02</v>
      </c>
      <c r="R123" s="51" t="s">
        <v>631</v>
      </c>
      <c r="S123" s="32"/>
      <c r="T123" s="52"/>
      <c r="U123" s="52"/>
      <c r="V123" s="52"/>
      <c r="W123" s="52"/>
      <c r="X123" s="32"/>
      <c r="Y123" s="53" t="s">
        <v>631</v>
      </c>
      <c r="Z123" s="4">
        <v>45</v>
      </c>
      <c r="AA123" s="53" t="s">
        <v>631</v>
      </c>
      <c r="AB123" s="42">
        <f>IF(J123&lt;=0.04,0,IF((BA123-AL123*BF$4*炼钢参数表!$X$5/1000-AM123*BG$4*炼钢参数表!$X$5/1000)&lt;=0.03,0,IF((J123/100/0.1769/炼钢参数表!K123*1000)&gt;(K123-炼钢参数表!J123)/100/0.6566/炼钢参数表!L123*1000,IF(K123&lt;1.6,(K123-炼钢参数表!J123)/100/0.6566/炼钢参数表!L123*1000,(K123-0.08-炼钢参数表!J123)/100/0.6566/炼钢参数表!L123*1000),IF(K123&lt;1.6,J123/100/0.1769/炼钢参数表!K123*1000,(J123-0.08)/100/0.1769/炼钢参数表!K123*1000))))</f>
        <v>0</v>
      </c>
      <c r="AC123" s="8">
        <f>IF((BA123-AB123*$BB$4*0.9/1000-AL123*BF$4*炼钢参数表!$X$5/1000-AM123*BG$4*炼钢参数表!$X$5/1000)&lt;(K123-炼钢参数表!J123-AB123*0.6566*炼钢参数表!L123/10)*0.082,0,(K123-炼钢参数表!J123-AB123*0.6566*炼钢参数表!L123/10)/100/($AC$3/100)/炼钢参数表!L123*1000)</f>
        <v>8.1158468749429993</v>
      </c>
      <c r="AD123" s="8">
        <f>IF((BA123-AB123*$BB$4*0.9/1000-AC123*$BC$4*0.9/1000-AL123*BF$4*炼钢参数表!$X$5/1000-AM123*BG$4*炼钢参数表!$X$5/1000)&lt;=(K123-炼钢参数表!J123-AB123*0.6566*炼钢参数表!L123/10-AC123*($AC$3/100)*炼钢参数表!L123/10)*0.02,0,((K123-炼钢参数表!J123-AB123*0.6566*炼钢参数表!L123/10-AC123*($AC$3/100)*炼钢参数表!L123/10)/100/($AD$3/100)/炼钢参数表!L123*1000))</f>
        <v>0</v>
      </c>
      <c r="AE123" s="8">
        <f>(K123-炼钢参数表!J123-AB123*0.6566*炼钢参数表!L123/10-AC123*($AC$3/100)*炼钢参数表!L123/10-AD123*($AD$3/100)*炼钢参数表!L123/10)/100/($AE$3/100)/炼钢参数表!L123*1000</f>
        <v>0</v>
      </c>
      <c r="AF123" s="8">
        <v>0</v>
      </c>
      <c r="AG123" s="8">
        <f>IF(J123&lt;=0.04,0,((J123-(AB123*0.1769*炼钢参数表!K123/1000*100))/100/炼钢参数表!K123/($AG$3/100)*1000))</f>
        <v>0</v>
      </c>
      <c r="AH123" s="8">
        <v>1.8</v>
      </c>
      <c r="AI123" s="8">
        <f>IF(N123="",0,IF(N123&lt;=0.002,0,((N123)/100)/($AI$3/100)/炼钢参数表!M123*1000))</f>
        <v>0</v>
      </c>
      <c r="AJ123" s="8">
        <f>IF(O123="",0,IF(O123&lt;=0.002,0,((O123)/100)/($AJ$3/100)/炼钢参数表!N123*1000))</f>
        <v>9.4133594397168494E-2</v>
      </c>
      <c r="AK123" s="8">
        <f>IF(P123="",0,IF(P123&lt;=0.002,0,((P123+0.005)/100)/($AK$3/100)/炼钢参数表!O123*1000))</f>
        <v>0.69851913942442001</v>
      </c>
      <c r="AL123" s="8">
        <f>IF((BA123-J123*0.00003-K123*0.00024)&lt;=0.05,0,IF(T123="",0,IF(T123&lt;=0.03,0,IF(((BA123-J123*0.00003-K123*0.00024)-0.05)/0.18/100/($AL$3/100)/炼钢参数表!P123*1000&lt;=T123/100/($AL$3/100)/炼钢参数表!P123*1000,((BA123-J123*0.00003-K123*0.00024)-0.05)/0.18/100/($AL$3/100)/炼钢参数表!P123*1000,T123/100/($AL$3/100)/炼钢参数表!P123*1000))))</f>
        <v>0</v>
      </c>
      <c r="AM123" s="8">
        <f>IF(T123="",0,IF(T123&lt;=0.03,0,((T123-AL123*($AL$3/100)*炼钢参数表!P123/10)/100/($AM$3/100)/炼钢参数表!P123*1000)))</f>
        <v>0</v>
      </c>
      <c r="AN123" s="8">
        <f>IF(U123="",0,IF(U123&lt;=0.02,0,(U123/100)/($AN$3/100)/炼钢参数表!Q123*1000))</f>
        <v>0</v>
      </c>
      <c r="AO123" s="8">
        <f>IF(V123="",0,IF(V123&lt;=0.02,0,(V123/100)/($AO$3/100)/炼钢参数表!R123*1000))</f>
        <v>0</v>
      </c>
      <c r="AP123" s="8">
        <f>IF(W123="",0,IF(W123&lt;=0.02,0,(W123/100)/($AP$3/100)/炼钢参数表!S123*1000))</f>
        <v>0</v>
      </c>
      <c r="AQ123" s="8">
        <f>IF(X123="",0,IF(X123&lt;=0.0002,0,(X123/100)/($AQ$3/100)/炼钢参数表!T123*1000))</f>
        <v>0</v>
      </c>
      <c r="AR123" s="8">
        <f>IF(Y123="",0,IF(Y123&lt;=0.02,0,(Y123/100)/($AR$3/100)/炼钢参数表!U123*1000))</f>
        <v>0</v>
      </c>
      <c r="AS123" s="8">
        <f>IF(L123&lt;=0.04,0,((L123-0.04)/100)/($AS$3/100)/炼钢参数表!V123*1000)</f>
        <v>0</v>
      </c>
      <c r="AT123" s="8">
        <f>IF(M123&lt;=0.03,0,((M123-0.03)/100)/($AT$3/100)/炼钢参数表!W123*1000)</f>
        <v>0</v>
      </c>
      <c r="AU123" s="6"/>
      <c r="AV123" s="8">
        <f t="shared" si="12"/>
        <v>10.708499608764599</v>
      </c>
      <c r="AW123" s="8" cm="1">
        <f t="array" ref="AW123">SUMPRODUCT($AB$4:$AU$4,AB123:AU123)/1000</f>
        <v>126.349131225324</v>
      </c>
      <c r="AY123" s="2" t="str">
        <f t="shared" si="13"/>
        <v>A572Gr50-DX1</v>
      </c>
      <c r="AZ123" s="37">
        <f>VLOOKUP(AY123,炼钢参数表!$F$5:$J$1027,4,0)</f>
        <v>6.93333333333334E-2</v>
      </c>
      <c r="BA123" s="37">
        <f t="shared" si="14"/>
        <v>9.0666666666666604E-2</v>
      </c>
      <c r="BB123" s="37">
        <f>AB123*$BB$4*炼钢参数表!$X$5/1000</f>
        <v>0</v>
      </c>
      <c r="BC123" s="37">
        <f>AC123*$BC$4*炼钢参数表!$X$5/1000</f>
        <v>4.8865514034031797E-2</v>
      </c>
      <c r="BD123" s="37">
        <f>AD123*$BD$4*炼钢参数表!$X$5/1000</f>
        <v>0</v>
      </c>
      <c r="BE123" s="37">
        <f>AE123*$BE$4*炼钢参数表!$X$5/1000</f>
        <v>0</v>
      </c>
      <c r="BF123" s="37">
        <f>AL123*$BF$4*炼钢参数表!$X$5/1000</f>
        <v>0</v>
      </c>
      <c r="BG123" s="37">
        <f>AM123*$BG$4*炼钢参数表!$X$5/1000</f>
        <v>0</v>
      </c>
      <c r="BH123" s="37">
        <f t="shared" si="15"/>
        <v>4.8865514034031797E-2</v>
      </c>
      <c r="BI123" s="37">
        <f t="shared" si="16"/>
        <v>0.118198847367365</v>
      </c>
      <c r="BJ123" s="37">
        <f t="shared" si="17"/>
        <v>-4.18011526326348E-2</v>
      </c>
      <c r="BK123" s="54"/>
      <c r="BL123" s="7"/>
    </row>
    <row r="124" spans="1:64" s="18" customFormat="1" x14ac:dyDescent="0.3">
      <c r="A124" s="21">
        <v>120</v>
      </c>
      <c r="B124" s="4" t="s">
        <v>197</v>
      </c>
      <c r="C124" s="4" t="s">
        <v>23</v>
      </c>
      <c r="D124" s="4">
        <v>10</v>
      </c>
      <c r="E124" s="4">
        <v>15.99</v>
      </c>
      <c r="F124" s="4" t="s">
        <v>200</v>
      </c>
      <c r="G124" s="50" t="s">
        <v>199</v>
      </c>
      <c r="H124" s="4">
        <v>1516</v>
      </c>
      <c r="I124" s="51">
        <v>0.16</v>
      </c>
      <c r="J124" s="52">
        <v>0.02</v>
      </c>
      <c r="K124" s="52">
        <v>0.85</v>
      </c>
      <c r="L124" s="51">
        <v>1.4999999999999999E-2</v>
      </c>
      <c r="M124" s="51">
        <v>0.01</v>
      </c>
      <c r="N124" s="51" t="s">
        <v>631</v>
      </c>
      <c r="O124" s="51">
        <v>6.0000000000000001E-3</v>
      </c>
      <c r="P124" s="51">
        <v>0.03</v>
      </c>
      <c r="Q124" s="51">
        <v>0.02</v>
      </c>
      <c r="R124" s="51" t="s">
        <v>631</v>
      </c>
      <c r="S124" s="32"/>
      <c r="T124" s="52"/>
      <c r="U124" s="52"/>
      <c r="V124" s="52"/>
      <c r="W124" s="52"/>
      <c r="X124" s="32"/>
      <c r="Y124" s="53" t="s">
        <v>631</v>
      </c>
      <c r="Z124" s="4"/>
      <c r="AA124" s="53" t="s">
        <v>631</v>
      </c>
      <c r="AB124" s="42">
        <f>IF(J124&lt;=0.04,0,IF((BA124-AL124*BF$4*炼钢参数表!$X$5/1000-AM124*BG$4*炼钢参数表!$X$5/1000)&lt;=0.03,0,IF((J124/100/0.1769/炼钢参数表!K124*1000)&gt;(K124-炼钢参数表!J124)/100/0.6566/炼钢参数表!L124*1000,IF(K124&lt;1.6,(K124-炼钢参数表!J124)/100/0.6566/炼钢参数表!L124*1000,(K124-0.08-炼钢参数表!J124)/100/0.6566/炼钢参数表!L124*1000),IF(K124&lt;1.6,J124/100/0.1769/炼钢参数表!K124*1000,(J124-0.08)/100/0.1769/炼钢参数表!K124*1000))))</f>
        <v>0</v>
      </c>
      <c r="AC124" s="8">
        <f>IF((BA124-AB124*$BB$4*0.9/1000-AL124*BF$4*炼钢参数表!$X$5/1000-AM124*BG$4*炼钢参数表!$X$5/1000)&lt;(K124-炼钢参数表!J124-AB124*0.6566*炼钢参数表!L124/10)*0.082,0,(K124-炼钢参数表!J124-AB124*0.6566*炼钢参数表!L124/10)/100/($AC$3/100)/炼钢参数表!L124*1000)</f>
        <v>10.1676059163612</v>
      </c>
      <c r="AD124" s="8">
        <f>IF((BA124-AB124*$BB$4*0.9/1000-AC124*$BC$4*0.9/1000-AL124*BF$4*炼钢参数表!$X$5/1000-AM124*BG$4*炼钢参数表!$X$5/1000)&lt;=(K124-炼钢参数表!J124-AB124*0.6566*炼钢参数表!L124/10-AC124*($AC$3/100)*炼钢参数表!L124/10)*0.02,0,((K124-炼钢参数表!J124-AB124*0.6566*炼钢参数表!L124/10-AC124*($AC$3/100)*炼钢参数表!L124/10)/100/($AD$3/100)/炼钢参数表!L124*1000))</f>
        <v>0</v>
      </c>
      <c r="AE124" s="8">
        <f>(K124-炼钢参数表!J124-AB124*0.6566*炼钢参数表!L124/10-AC124*($AC$3/100)*炼钢参数表!L124/10-AD124*($AD$3/100)*炼钢参数表!L124/10)/100/($AE$3/100)/炼钢参数表!L124*1000</f>
        <v>0</v>
      </c>
      <c r="AF124" s="8">
        <v>0</v>
      </c>
      <c r="AG124" s="8">
        <f>IF(J124&lt;=0.04,0,((J124-(AB124*0.1769*炼钢参数表!K124/1000*100))/100/炼钢参数表!K124/($AG$3/100)*1000))</f>
        <v>0</v>
      </c>
      <c r="AH124" s="8">
        <v>1.8</v>
      </c>
      <c r="AI124" s="8">
        <f>IF(N124="",0,IF(N124&lt;=0.002,0,((N124)/100)/($AI$3/100)/炼钢参数表!M124*1000))</f>
        <v>0</v>
      </c>
      <c r="AJ124" s="8">
        <f>IF(O124="",0,IF(O124&lt;=0.002,0,((O124)/100)/($AJ$3/100)/炼钢参数表!N124*1000))</f>
        <v>9.4133594397168494E-2</v>
      </c>
      <c r="AK124" s="8">
        <f>IF(P124="",0,IF(P124&lt;=0.002,0,((P124+0.005)/100)/($AK$3/100)/炼钢参数表!O124*1000))</f>
        <v>0.69851913942442001</v>
      </c>
      <c r="AL124" s="8">
        <f>IF((BA124-J124*0.00003-K124*0.00024)&lt;=0.05,0,IF(T124="",0,IF(T124&lt;=0.03,0,IF(((BA124-J124*0.00003-K124*0.00024)-0.05)/0.18/100/($AL$3/100)/炼钢参数表!P124*1000&lt;=T124/100/($AL$3/100)/炼钢参数表!P124*1000,((BA124-J124*0.00003-K124*0.00024)-0.05)/0.18/100/($AL$3/100)/炼钢参数表!P124*1000,T124/100/($AL$3/100)/炼钢参数表!P124*1000))))</f>
        <v>0</v>
      </c>
      <c r="AM124" s="8">
        <f>IF(T124="",0,IF(T124&lt;=0.03,0,((T124-AL124*($AL$3/100)*炼钢参数表!P124/10)/100/($AM$3/100)/炼钢参数表!P124*1000)))</f>
        <v>0</v>
      </c>
      <c r="AN124" s="8">
        <f>IF(U124="",0,IF(U124&lt;=0.02,0,(U124/100)/($AN$3/100)/炼钢参数表!Q124*1000))</f>
        <v>0</v>
      </c>
      <c r="AO124" s="8">
        <f>IF(V124="",0,IF(V124&lt;=0.02,0,(V124/100)/($AO$3/100)/炼钢参数表!R124*1000))</f>
        <v>0</v>
      </c>
      <c r="AP124" s="8">
        <f>IF(W124="",0,IF(W124&lt;=0.02,0,(W124/100)/($AP$3/100)/炼钢参数表!S124*1000))</f>
        <v>0</v>
      </c>
      <c r="AQ124" s="8">
        <f>IF(X124="",0,IF(X124&lt;=0.0002,0,(X124/100)/($AQ$3/100)/炼钢参数表!T124*1000))</f>
        <v>0</v>
      </c>
      <c r="AR124" s="8">
        <f>IF(Y124="",0,IF(Y124&lt;=0.02,0,(Y124/100)/($AR$3/100)/炼钢参数表!U124*1000))</f>
        <v>0</v>
      </c>
      <c r="AS124" s="8">
        <f>IF(L124&lt;=0.04,0,((L124-0.04)/100)/($AS$3/100)/炼钢参数表!V124*1000)</f>
        <v>0</v>
      </c>
      <c r="AT124" s="8">
        <f>IF(M124&lt;=0.03,0,((M124-0.03)/100)/($AT$3/100)/炼钢参数表!W124*1000)</f>
        <v>0</v>
      </c>
      <c r="AU124" s="6"/>
      <c r="AV124" s="8">
        <f t="shared" si="12"/>
        <v>12.7602586501828</v>
      </c>
      <c r="AW124" s="8" cm="1">
        <f t="array" ref="AW124">SUMPRODUCT($AB$4:$AU$4,AB124:AU124)/1000</f>
        <v>138.75047127212599</v>
      </c>
      <c r="AY124" s="2" t="str">
        <f t="shared" si="13"/>
        <v>A572Gr50-DX2</v>
      </c>
      <c r="AZ124" s="37">
        <f>VLOOKUP(AY124,炼钢参数表!$F$5:$J$1027,4,0)</f>
        <v>6.93333333333334E-2</v>
      </c>
      <c r="BA124" s="37">
        <f t="shared" si="14"/>
        <v>9.0666666666666604E-2</v>
      </c>
      <c r="BB124" s="37">
        <f>AB124*$BB$4*炼钢参数表!$X$5/1000</f>
        <v>0</v>
      </c>
      <c r="BC124" s="37">
        <f>AC124*$BC$4*炼钢参数表!$X$5/1000</f>
        <v>6.1219155222410698E-2</v>
      </c>
      <c r="BD124" s="37">
        <f>AD124*$BD$4*炼钢参数表!$X$5/1000</f>
        <v>0</v>
      </c>
      <c r="BE124" s="37">
        <f>AE124*$BE$4*炼钢参数表!$X$5/1000</f>
        <v>0</v>
      </c>
      <c r="BF124" s="37">
        <f>AL124*$BF$4*炼钢参数表!$X$5/1000</f>
        <v>0</v>
      </c>
      <c r="BG124" s="37">
        <f>AM124*$BG$4*炼钢参数表!$X$5/1000</f>
        <v>0</v>
      </c>
      <c r="BH124" s="37">
        <f t="shared" si="15"/>
        <v>6.1219155222410698E-2</v>
      </c>
      <c r="BI124" s="37">
        <f t="shared" si="16"/>
        <v>0.130552488555744</v>
      </c>
      <c r="BJ124" s="37">
        <f t="shared" si="17"/>
        <v>-2.9447511444255899E-2</v>
      </c>
      <c r="BK124" s="54"/>
      <c r="BL124" s="7"/>
    </row>
    <row r="125" spans="1:64" s="18" customFormat="1" x14ac:dyDescent="0.3">
      <c r="A125" s="21">
        <v>121</v>
      </c>
      <c r="B125" s="4" t="s">
        <v>197</v>
      </c>
      <c r="C125" s="4" t="s">
        <v>90</v>
      </c>
      <c r="D125" s="4">
        <v>16</v>
      </c>
      <c r="E125" s="4">
        <v>28</v>
      </c>
      <c r="F125" s="4" t="s">
        <v>201</v>
      </c>
      <c r="G125" s="50" t="s">
        <v>199</v>
      </c>
      <c r="H125" s="4">
        <v>1515</v>
      </c>
      <c r="I125" s="51">
        <v>0.16</v>
      </c>
      <c r="J125" s="52">
        <v>0.02</v>
      </c>
      <c r="K125" s="52">
        <v>1.1499999999999999</v>
      </c>
      <c r="L125" s="51">
        <v>1.4999999999999999E-2</v>
      </c>
      <c r="M125" s="51">
        <v>8.0000000000000002E-3</v>
      </c>
      <c r="N125" s="51" t="s">
        <v>631</v>
      </c>
      <c r="O125" s="51">
        <v>1.4999999999999999E-2</v>
      </c>
      <c r="P125" s="51">
        <v>2.5000000000000001E-2</v>
      </c>
      <c r="Q125" s="51">
        <v>0.02</v>
      </c>
      <c r="R125" s="51" t="s">
        <v>631</v>
      </c>
      <c r="S125" s="32"/>
      <c r="T125" s="52"/>
      <c r="U125" s="52"/>
      <c r="V125" s="52"/>
      <c r="W125" s="52"/>
      <c r="X125" s="32"/>
      <c r="Y125" s="53" t="s">
        <v>631</v>
      </c>
      <c r="Z125" s="4"/>
      <c r="AA125" s="53" t="s">
        <v>631</v>
      </c>
      <c r="AB125" s="42">
        <f>IF(J125&lt;=0.04,0,IF((BA125-AL125*BF$4*炼钢参数表!$X$5/1000-AM125*BG$4*炼钢参数表!$X$5/1000)&lt;=0.03,0,IF((J125/100/0.1769/炼钢参数表!K125*1000)&gt;(K125-炼钢参数表!J125)/100/0.6566/炼钢参数表!L125*1000,IF(K125&lt;1.6,(K125-炼钢参数表!J125)/100/0.6566/炼钢参数表!L125*1000,(K125-0.08-炼钢参数表!J125)/100/0.6566/炼钢参数表!L125*1000),IF(K125&lt;1.6,J125/100/0.1769/炼钢参数表!K125*1000,(J125-0.08)/100/0.1769/炼钢参数表!K125*1000))))</f>
        <v>0</v>
      </c>
      <c r="AC125" s="8">
        <f>IF((BA125-AB125*$BB$4*0.9/1000-AL125*BF$4*炼钢参数表!$X$5/1000-AM125*BG$4*炼钢参数表!$X$5/1000)&lt;(K125-炼钢参数表!J125-AB125*0.6566*炼钢参数表!L125/10)*0.082,0,(K125-炼钢参数表!J125-AB125*0.6566*炼钢参数表!L125/10)/100/($AC$3/100)/炼钢参数表!L125*1000)</f>
        <v>14.271123999197499</v>
      </c>
      <c r="AD125" s="8">
        <f>IF((BA125-AB125*$BB$4*0.9/1000-AC125*$BC$4*0.9/1000-AL125*BF$4*炼钢参数表!$X$5/1000-AM125*BG$4*炼钢参数表!$X$5/1000)&lt;=(K125-炼钢参数表!J125-AB125*0.6566*炼钢参数表!L125/10-AC125*($AC$3/100)*炼钢参数表!L125/10)*0.02,0,((K125-炼钢参数表!J125-AB125*0.6566*炼钢参数表!L125/10-AC125*($AC$3/100)*炼钢参数表!L125/10)/100/($AD$3/100)/炼钢参数表!L125*1000))</f>
        <v>0</v>
      </c>
      <c r="AE125" s="8">
        <f>(K125-炼钢参数表!J125-AB125*0.6566*炼钢参数表!L125/10-AC125*($AC$3/100)*炼钢参数表!L125/10-AD125*($AD$3/100)*炼钢参数表!L125/10)/100/($AE$3/100)/炼钢参数表!L125*1000</f>
        <v>0</v>
      </c>
      <c r="AF125" s="8">
        <v>0</v>
      </c>
      <c r="AG125" s="8">
        <f>IF(J125&lt;=0.04,0,((J125-(AB125*0.1769*炼钢参数表!K125/1000*100))/100/炼钢参数表!K125/($AG$3/100)*1000))</f>
        <v>0</v>
      </c>
      <c r="AH125" s="8">
        <v>1.8</v>
      </c>
      <c r="AI125" s="8">
        <f>IF(N125="",0,IF(N125&lt;=0.002,0,((N125)/100)/($AI$3/100)/炼钢参数表!M125*1000))</f>
        <v>0</v>
      </c>
      <c r="AJ125" s="8">
        <f>IF(O125="",0,IF(O125&lt;=0.002,0,((O125)/100)/($AJ$3/100)/炼钢参数表!N125*1000))</f>
        <v>0.23533398599292099</v>
      </c>
      <c r="AK125" s="8">
        <f>IF(P125="",0,IF(P125&lt;=0.002,0,((P125+0.005)/100)/($AK$3/100)/炼钢参数表!O125*1000))</f>
        <v>0.59873069093521702</v>
      </c>
      <c r="AL125" s="8">
        <f>IF((BA125-J125*0.00003-K125*0.00024)&lt;=0.05,0,IF(T125="",0,IF(T125&lt;=0.03,0,IF(((BA125-J125*0.00003-K125*0.00024)-0.05)/0.18/100/($AL$3/100)/炼钢参数表!P125*1000&lt;=T125/100/($AL$3/100)/炼钢参数表!P125*1000,((BA125-J125*0.00003-K125*0.00024)-0.05)/0.18/100/($AL$3/100)/炼钢参数表!P125*1000,T125/100/($AL$3/100)/炼钢参数表!P125*1000))))</f>
        <v>0</v>
      </c>
      <c r="AM125" s="8">
        <f>IF(T125="",0,IF(T125&lt;=0.03,0,((T125-AL125*($AL$3/100)*炼钢参数表!P125/10)/100/($AM$3/100)/炼钢参数表!P125*1000)))</f>
        <v>0</v>
      </c>
      <c r="AN125" s="8">
        <f>IF(U125="",0,IF(U125&lt;=0.02,0,(U125/100)/($AN$3/100)/炼钢参数表!Q125*1000))</f>
        <v>0</v>
      </c>
      <c r="AO125" s="8">
        <f>IF(V125="",0,IF(V125&lt;=0.02,0,(V125/100)/($AO$3/100)/炼钢参数表!R125*1000))</f>
        <v>0</v>
      </c>
      <c r="AP125" s="8">
        <f>IF(W125="",0,IF(W125&lt;=0.02,0,(W125/100)/($AP$3/100)/炼钢参数表!S125*1000))</f>
        <v>0</v>
      </c>
      <c r="AQ125" s="8">
        <f>IF(X125="",0,IF(X125&lt;=0.0002,0,(X125/100)/($AQ$3/100)/炼钢参数表!T125*1000))</f>
        <v>0</v>
      </c>
      <c r="AR125" s="8">
        <f>IF(Y125="",0,IF(Y125&lt;=0.02,0,(Y125/100)/($AR$3/100)/炼钢参数表!U125*1000))</f>
        <v>0</v>
      </c>
      <c r="AS125" s="8">
        <f>IF(L125&lt;=0.04,0,((L125-0.04)/100)/($AS$3/100)/炼钢参数表!V125*1000)</f>
        <v>0</v>
      </c>
      <c r="AT125" s="8">
        <f>IF(M125&lt;=0.03,0,((M125-0.03)/100)/($AT$3/100)/炼钢参数表!W125*1000)</f>
        <v>0</v>
      </c>
      <c r="AU125" s="6"/>
      <c r="AV125" s="8">
        <f t="shared" si="12"/>
        <v>16.9051886761257</v>
      </c>
      <c r="AW125" s="8" cm="1">
        <f t="array" ref="AW125">SUMPRODUCT($AB$4:$AU$4,AB125:AU125)/1000</f>
        <v>191.56235446812701</v>
      </c>
      <c r="AY125" s="2" t="str">
        <f t="shared" si="13"/>
        <v>A572Gr50-DX3</v>
      </c>
      <c r="AZ125" s="37">
        <f>VLOOKUP(AY125,炼钢参数表!$F$5:$J$1027,4,0)</f>
        <v>6.93333333333334E-2</v>
      </c>
      <c r="BA125" s="37">
        <f t="shared" si="14"/>
        <v>9.0666666666666604E-2</v>
      </c>
      <c r="BB125" s="37">
        <f>AB125*$BB$4*炼钢参数表!$X$5/1000</f>
        <v>0</v>
      </c>
      <c r="BC125" s="37">
        <f>AC125*$BC$4*炼钢参数表!$X$5/1000</f>
        <v>8.5926437599168307E-2</v>
      </c>
      <c r="BD125" s="37">
        <f>AD125*$BD$4*炼钢参数表!$X$5/1000</f>
        <v>0</v>
      </c>
      <c r="BE125" s="37">
        <f>AE125*$BE$4*炼钢参数表!$X$5/1000</f>
        <v>0</v>
      </c>
      <c r="BF125" s="37">
        <f>AL125*$BF$4*炼钢参数表!$X$5/1000</f>
        <v>0</v>
      </c>
      <c r="BG125" s="37">
        <f>AM125*$BG$4*炼钢参数表!$X$5/1000</f>
        <v>0</v>
      </c>
      <c r="BH125" s="37">
        <f t="shared" si="15"/>
        <v>8.5926437599168307E-2</v>
      </c>
      <c r="BI125" s="37">
        <f t="shared" si="16"/>
        <v>0.15525977093250201</v>
      </c>
      <c r="BJ125" s="37">
        <f t="shared" si="17"/>
        <v>-4.7402290674982998E-3</v>
      </c>
      <c r="BK125" s="54"/>
      <c r="BL125" s="7"/>
    </row>
    <row r="126" spans="1:64" s="18" customFormat="1" x14ac:dyDescent="0.3">
      <c r="A126" s="21">
        <v>122</v>
      </c>
      <c r="B126" s="4" t="s">
        <v>202</v>
      </c>
      <c r="C126" s="4" t="s">
        <v>23</v>
      </c>
      <c r="D126" s="4">
        <v>2</v>
      </c>
      <c r="E126" s="4">
        <v>9.99</v>
      </c>
      <c r="F126" s="4" t="s">
        <v>203</v>
      </c>
      <c r="G126" s="50" t="s">
        <v>204</v>
      </c>
      <c r="H126" s="4">
        <v>1515</v>
      </c>
      <c r="I126" s="51">
        <v>0.16</v>
      </c>
      <c r="J126" s="52">
        <v>0.1</v>
      </c>
      <c r="K126" s="52">
        <v>0.85</v>
      </c>
      <c r="L126" s="51">
        <v>1.4999999999999999E-2</v>
      </c>
      <c r="M126" s="51">
        <v>8.0000000000000002E-3</v>
      </c>
      <c r="N126" s="51" t="s">
        <v>631</v>
      </c>
      <c r="O126" s="51">
        <v>1.4999999999999999E-2</v>
      </c>
      <c r="P126" s="51">
        <v>0.03</v>
      </c>
      <c r="Q126" s="51">
        <v>0.02</v>
      </c>
      <c r="R126" s="51" t="s">
        <v>631</v>
      </c>
      <c r="S126" s="32" t="s">
        <v>631</v>
      </c>
      <c r="T126" s="52"/>
      <c r="U126" s="52"/>
      <c r="V126" s="52"/>
      <c r="W126" s="52"/>
      <c r="X126" s="32" t="s">
        <v>631</v>
      </c>
      <c r="Y126" s="53" t="s">
        <v>631</v>
      </c>
      <c r="Z126" s="4"/>
      <c r="AA126" s="53"/>
      <c r="AB126" s="42">
        <f>IF(J126&lt;=0.04,0,IF((BA126-AL126*BF$4*炼钢参数表!$X$5/1000-AM126*BG$4*炼钢参数表!$X$5/1000)&lt;=0.03,0,IF((J126/100/0.1769/炼钢参数表!K126*1000)&gt;(K126-炼钢参数表!J126)/100/0.6566/炼钢参数表!L126*1000,IF(K126&lt;1.6,(K126-炼钢参数表!J126)/100/0.6566/炼钢参数表!L126*1000,(K126-0.08-炼钢参数表!J126)/100/0.6566/炼钢参数表!L126*1000),IF(K126&lt;1.6,J126/100/0.1769/炼钢参数表!K126*1000,(J126-0.08)/100/0.1769/炼钢参数表!K126*1000))))</f>
        <v>7.0661390616167301</v>
      </c>
      <c r="AC126" s="8">
        <f>IF((BA126-AB126*$BB$4*0.9/1000-AL126*BF$4*炼钢参数表!$X$5/1000-AM126*BG$4*炼钢参数表!$X$5/1000)&lt;(K126-炼钢参数表!J126-AB126*0.6566*炼钢参数表!L126/10)*0.082,0,(K126-炼钢参数表!J126-AB126*0.6566*炼钢参数表!L126/10)/100/($AC$3/100)/炼钢参数表!L126*1000)</f>
        <v>3.9482668977853801</v>
      </c>
      <c r="AD126" s="8">
        <f>IF((BA126-AB126*$BB$4*0.9/1000-AC126*$BC$4*0.9/1000-AL126*BF$4*炼钢参数表!$X$5/1000-AM126*BG$4*炼钢参数表!$X$5/1000)&lt;=(K126-炼钢参数表!J126-AB126*0.6566*炼钢参数表!L126/10-AC126*($AC$3/100)*炼钢参数表!L126/10)*0.02,0,((K126-炼钢参数表!J126-AB126*0.6566*炼钢参数表!L126/10-AC126*($AC$3/100)*炼钢参数表!L126/10)/100/($AD$3/100)/炼钢参数表!L126*1000))</f>
        <v>0</v>
      </c>
      <c r="AE126" s="8">
        <f>(K126-炼钢参数表!J126-AB126*0.6566*炼钢参数表!L126/10-AC126*($AC$3/100)*炼钢参数表!L126/10-AD126*($AD$3/100)*炼钢参数表!L126/10)/100/($AE$3/100)/炼钢参数表!L126*1000</f>
        <v>0</v>
      </c>
      <c r="AF126" s="8">
        <v>0</v>
      </c>
      <c r="AG126" s="8">
        <f>IF(J126&lt;=0.04,0,((J126-(AB126*0.1769*炼钢参数表!K126/1000*100))/100/炼钢参数表!K126/($AG$3/100)*1000))</f>
        <v>0</v>
      </c>
      <c r="AH126" s="8">
        <v>1.6</v>
      </c>
      <c r="AI126" s="8">
        <f>IF(N126="",0,IF(N126&lt;=0.002,0,((N126)/100)/($AI$3/100)/炼钢参数表!M126*1000))</f>
        <v>0</v>
      </c>
      <c r="AJ126" s="8">
        <f>IF(O126="",0,IF(O126&lt;=0.002,0,((O126)/100)/($AJ$3/100)/炼钢参数表!N126*1000))</f>
        <v>0.23533398599292099</v>
      </c>
      <c r="AK126" s="8">
        <f>IF(P126="",0,IF(P126&lt;=0.002,0,((P126+0.005)/100)/($AK$3/100)/炼钢参数表!O126*1000))</f>
        <v>0.69851913942442001</v>
      </c>
      <c r="AL126" s="8">
        <f>IF((BA126-J126*0.00003-K126*0.00024)&lt;=0.05,0,IF(T126="",0,IF(T126&lt;=0.03,0,IF(((BA126-J126*0.00003-K126*0.00024)-0.05)/0.18/100/($AL$3/100)/炼钢参数表!P126*1000&lt;=T126/100/($AL$3/100)/炼钢参数表!P126*1000,((BA126-J126*0.00003-K126*0.00024)-0.05)/0.18/100/($AL$3/100)/炼钢参数表!P126*1000,T126/100/($AL$3/100)/炼钢参数表!P126*1000))))</f>
        <v>0</v>
      </c>
      <c r="AM126" s="8">
        <f>IF(T126="",0,IF(T126&lt;=0.03,0,((T126-AL126*($AL$3/100)*炼钢参数表!P126/10)/100/($AM$3/100)/炼钢参数表!P126*1000)))</f>
        <v>0</v>
      </c>
      <c r="AN126" s="8">
        <f>IF(U126="",0,IF(U126&lt;=0.02,0,(U126/100)/($AN$3/100)/炼钢参数表!Q126*1000))</f>
        <v>0</v>
      </c>
      <c r="AO126" s="8">
        <f>IF(V126="",0,IF(V126&lt;=0.02,0,(V126/100)/($AO$3/100)/炼钢参数表!R126*1000))</f>
        <v>0</v>
      </c>
      <c r="AP126" s="8">
        <f>IF(W126="",0,IF(W126&lt;=0.02,0,(W126/100)/($AP$3/100)/炼钢参数表!S126*1000))</f>
        <v>0</v>
      </c>
      <c r="AQ126" s="8">
        <f>IF(X126="",0,IF(X126&lt;=0.0002,0,(X126/100)/($AQ$3/100)/炼钢参数表!T126*1000))</f>
        <v>0</v>
      </c>
      <c r="AR126" s="8">
        <f>IF(Y126="",0,IF(Y126&lt;=0.02,0,(Y126/100)/($AR$3/100)/炼钢参数表!U126*1000))</f>
        <v>0</v>
      </c>
      <c r="AS126" s="8">
        <f>IF(L126&lt;=0.04,0,((L126-0.04)/100)/($AS$3/100)/炼钢参数表!V126*1000)</f>
        <v>0</v>
      </c>
      <c r="AT126" s="8">
        <f>IF(M126&lt;=0.03,0,((M126-0.03)/100)/($AT$3/100)/炼钢参数表!W126*1000)</f>
        <v>0</v>
      </c>
      <c r="AU126" s="6"/>
      <c r="AV126" s="8">
        <f t="shared" si="12"/>
        <v>13.548259084819501</v>
      </c>
      <c r="AW126" s="8" cm="1">
        <f t="array" ref="AW126">SUMPRODUCT($AB$4:$AU$4,AB126:AU126)/1000</f>
        <v>165.435243179607</v>
      </c>
      <c r="AY126" s="2" t="str">
        <f t="shared" si="13"/>
        <v>A572GR60-1</v>
      </c>
      <c r="AZ126" s="37">
        <f>VLOOKUP(AY126,炼钢参数表!$F$5:$J$1027,4,0)</f>
        <v>6.93333333333334E-2</v>
      </c>
      <c r="BA126" s="37">
        <f t="shared" si="14"/>
        <v>9.0666666666666604E-2</v>
      </c>
      <c r="BB126" s="37">
        <f>AB126*$BB$4*炼钢参数表!$X$5/1000</f>
        <v>1.09383832673827E-2</v>
      </c>
      <c r="BC126" s="37">
        <f>AC126*$BC$4*炼钢参数表!$X$5/1000</f>
        <v>2.37725149915658E-2</v>
      </c>
      <c r="BD126" s="37">
        <f>AD126*$BD$4*炼钢参数表!$X$5/1000</f>
        <v>0</v>
      </c>
      <c r="BE126" s="37">
        <f>AE126*$BE$4*炼钢参数表!$X$5/1000</f>
        <v>0</v>
      </c>
      <c r="BF126" s="37">
        <f>AL126*$BF$4*炼钢参数表!$X$5/1000</f>
        <v>0</v>
      </c>
      <c r="BG126" s="37">
        <f>AM126*$BG$4*炼钢参数表!$X$5/1000</f>
        <v>0</v>
      </c>
      <c r="BH126" s="37">
        <f t="shared" si="15"/>
        <v>3.4710898258948499E-2</v>
      </c>
      <c r="BI126" s="37">
        <f t="shared" si="16"/>
        <v>0.104044231592282</v>
      </c>
      <c r="BJ126" s="37">
        <f t="shared" si="17"/>
        <v>-5.5955768407718098E-2</v>
      </c>
      <c r="BK126" s="54"/>
      <c r="BL126" s="7"/>
    </row>
    <row r="127" spans="1:64" s="18" customFormat="1" x14ac:dyDescent="0.3">
      <c r="A127" s="21">
        <v>123</v>
      </c>
      <c r="B127" s="4" t="s">
        <v>202</v>
      </c>
      <c r="C127" s="4" t="s">
        <v>26</v>
      </c>
      <c r="D127" s="4">
        <v>10</v>
      </c>
      <c r="E127" s="4">
        <v>15.99</v>
      </c>
      <c r="F127" s="4" t="s">
        <v>205</v>
      </c>
      <c r="G127" s="50" t="s">
        <v>204</v>
      </c>
      <c r="H127" s="4">
        <v>1515</v>
      </c>
      <c r="I127" s="51">
        <v>0.16</v>
      </c>
      <c r="J127" s="52">
        <v>0.1</v>
      </c>
      <c r="K127" s="52">
        <v>0.95</v>
      </c>
      <c r="L127" s="51">
        <v>1.4999999999999999E-2</v>
      </c>
      <c r="M127" s="51">
        <v>8.0000000000000002E-3</v>
      </c>
      <c r="N127" s="51" t="s">
        <v>631</v>
      </c>
      <c r="O127" s="51">
        <v>0.02</v>
      </c>
      <c r="P127" s="51">
        <v>0.03</v>
      </c>
      <c r="Q127" s="51">
        <v>0.02</v>
      </c>
      <c r="R127" s="51" t="s">
        <v>631</v>
      </c>
      <c r="S127" s="32" t="s">
        <v>631</v>
      </c>
      <c r="T127" s="52"/>
      <c r="U127" s="52"/>
      <c r="V127" s="52"/>
      <c r="W127" s="52"/>
      <c r="X127" s="32" t="s">
        <v>631</v>
      </c>
      <c r="Y127" s="53" t="s">
        <v>631</v>
      </c>
      <c r="Z127" s="4"/>
      <c r="AA127" s="53"/>
      <c r="AB127" s="42">
        <f>IF(J127&lt;=0.04,0,IF((BA127-AL127*BF$4*炼钢参数表!$X$5/1000-AM127*BG$4*炼钢参数表!$X$5/1000)&lt;=0.03,0,IF((J127/100/0.1769/炼钢参数表!K127*1000)&gt;(K127-炼钢参数表!J127)/100/0.6566/炼钢参数表!L127*1000,IF(K127&lt;1.6,(K127-炼钢参数表!J127)/100/0.6566/炼钢参数表!L127*1000,(K127-0.08-炼钢参数表!J127)/100/0.6566/炼钢参数表!L127*1000),IF(K127&lt;1.6,J127/100/0.1769/炼钢参数表!K127*1000,(J127-0.08)/100/0.1769/炼钢参数表!K127*1000))))</f>
        <v>7.0661390616167301</v>
      </c>
      <c r="AC127" s="8">
        <f>IF((BA127-AB127*$BB$4*0.9/1000-AL127*BF$4*炼钢参数表!$X$5/1000-AM127*BG$4*炼钢参数表!$X$5/1000)&lt;(K127-炼钢参数表!J127-AB127*0.6566*炼钢参数表!L127/10)*0.082,0,(K127-炼钢参数表!J127-AB127*0.6566*炼钢参数表!L127/10)/100/($AC$3/100)/炼钢参数表!L127*1000)</f>
        <v>5.3115467941943502</v>
      </c>
      <c r="AD127" s="8">
        <f>IF((BA127-AB127*$BB$4*0.9/1000-AC127*$BC$4*0.9/1000-AL127*BF$4*炼钢参数表!$X$5/1000-AM127*BG$4*炼钢参数表!$X$5/1000)&lt;=(K127-炼钢参数表!J127-AB127*0.6566*炼钢参数表!L127/10-AC127*($AC$3/100)*炼钢参数表!L127/10)*0.02,0,((K127-炼钢参数表!J127-AB127*0.6566*炼钢参数表!L127/10-AC127*($AC$3/100)*炼钢参数表!L127/10)/100/($AD$3/100)/炼钢参数表!L127*1000))</f>
        <v>0</v>
      </c>
      <c r="AE127" s="8">
        <f>(K127-炼钢参数表!J127-AB127*0.6566*炼钢参数表!L127/10-AC127*($AC$3/100)*炼钢参数表!L127/10-AD127*($AD$3/100)*炼钢参数表!L127/10)/100/($AE$3/100)/炼钢参数表!L127*1000</f>
        <v>0</v>
      </c>
      <c r="AF127" s="8">
        <v>0</v>
      </c>
      <c r="AG127" s="8">
        <f>IF(J127&lt;=0.04,0,((J127-(AB127*0.1769*炼钢参数表!K127/1000*100))/100/炼钢参数表!K127/($AG$3/100)*1000))</f>
        <v>0</v>
      </c>
      <c r="AH127" s="8">
        <v>1.6</v>
      </c>
      <c r="AI127" s="8">
        <f>IF(N127="",0,IF(N127&lt;=0.002,0,((N127)/100)/($AI$3/100)/炼钢参数表!M127*1000))</f>
        <v>0</v>
      </c>
      <c r="AJ127" s="8">
        <f>IF(O127="",0,IF(O127&lt;=0.002,0,((O127)/100)/($AJ$3/100)/炼钢参数表!N127*1000))</f>
        <v>0.31377864799056099</v>
      </c>
      <c r="AK127" s="8">
        <f>IF(P127="",0,IF(P127&lt;=0.002,0,((P127+0.005)/100)/($AK$3/100)/炼钢参数表!O127*1000))</f>
        <v>0.69851913942442001</v>
      </c>
      <c r="AL127" s="8">
        <f>IF((BA127-J127*0.00003-K127*0.00024)&lt;=0.05,0,IF(T127="",0,IF(T127&lt;=0.03,0,IF(((BA127-J127*0.00003-K127*0.00024)-0.05)/0.18/100/($AL$3/100)/炼钢参数表!P127*1000&lt;=T127/100/($AL$3/100)/炼钢参数表!P127*1000,((BA127-J127*0.00003-K127*0.00024)-0.05)/0.18/100/($AL$3/100)/炼钢参数表!P127*1000,T127/100/($AL$3/100)/炼钢参数表!P127*1000))))</f>
        <v>0</v>
      </c>
      <c r="AM127" s="8">
        <f>IF(T127="",0,IF(T127&lt;=0.03,0,((T127-AL127*($AL$3/100)*炼钢参数表!P127/10)/100/($AM$3/100)/炼钢参数表!P127*1000)))</f>
        <v>0</v>
      </c>
      <c r="AN127" s="8">
        <f>IF(U127="",0,IF(U127&lt;=0.02,0,(U127/100)/($AN$3/100)/炼钢参数表!Q127*1000))</f>
        <v>0</v>
      </c>
      <c r="AO127" s="8">
        <f>IF(V127="",0,IF(V127&lt;=0.02,0,(V127/100)/($AO$3/100)/炼钢参数表!R127*1000))</f>
        <v>0</v>
      </c>
      <c r="AP127" s="8">
        <f>IF(W127="",0,IF(W127&lt;=0.02,0,(W127/100)/($AP$3/100)/炼钢参数表!S127*1000))</f>
        <v>0</v>
      </c>
      <c r="AQ127" s="8">
        <f>IF(X127="",0,IF(X127&lt;=0.0002,0,(X127/100)/($AQ$3/100)/炼钢参数表!T127*1000))</f>
        <v>0</v>
      </c>
      <c r="AR127" s="8">
        <f>IF(Y127="",0,IF(Y127&lt;=0.02,0,(Y127/100)/($AR$3/100)/炼钢参数表!U127*1000))</f>
        <v>0</v>
      </c>
      <c r="AS127" s="8">
        <f>IF(L127&lt;=0.04,0,((L127-0.04)/100)/($AS$3/100)/炼钢参数表!V127*1000)</f>
        <v>0</v>
      </c>
      <c r="AT127" s="8">
        <f>IF(M127&lt;=0.03,0,((M127-0.03)/100)/($AT$3/100)/炼钢参数表!W127*1000)</f>
        <v>0</v>
      </c>
      <c r="AU127" s="6"/>
      <c r="AV127" s="8">
        <f t="shared" si="12"/>
        <v>14.9899836432261</v>
      </c>
      <c r="AW127" s="8" cm="1">
        <f t="array" ref="AW127">SUMPRODUCT($AB$4:$AU$4,AB127:AU127)/1000</f>
        <v>190.570350530181</v>
      </c>
      <c r="AY127" s="2" t="str">
        <f t="shared" si="13"/>
        <v>A572GR60-2</v>
      </c>
      <c r="AZ127" s="37">
        <f>VLOOKUP(AY127,炼钢参数表!$F$5:$J$1027,4,0)</f>
        <v>4.2000000000000003E-2</v>
      </c>
      <c r="BA127" s="37">
        <f t="shared" si="14"/>
        <v>0.11799999999999999</v>
      </c>
      <c r="BB127" s="37">
        <f>AB127*$BB$4*炼钢参数表!$X$5/1000</f>
        <v>1.09383832673827E-2</v>
      </c>
      <c r="BC127" s="37">
        <f>AC127*$BC$4*炼钢参数表!$X$5/1000</f>
        <v>3.1980823247844202E-2</v>
      </c>
      <c r="BD127" s="37">
        <f>AD127*$BD$4*炼钢参数表!$X$5/1000</f>
        <v>0</v>
      </c>
      <c r="BE127" s="37">
        <f>AE127*$BE$4*炼钢参数表!$X$5/1000</f>
        <v>0</v>
      </c>
      <c r="BF127" s="37">
        <f>AL127*$BF$4*炼钢参数表!$X$5/1000</f>
        <v>0</v>
      </c>
      <c r="BG127" s="37">
        <f>AM127*$BG$4*炼钢参数表!$X$5/1000</f>
        <v>0</v>
      </c>
      <c r="BH127" s="37">
        <f t="shared" si="15"/>
        <v>4.2919206515226897E-2</v>
      </c>
      <c r="BI127" s="37">
        <f t="shared" si="16"/>
        <v>8.49192065152269E-2</v>
      </c>
      <c r="BJ127" s="37">
        <f t="shared" si="17"/>
        <v>-7.5080793484773103E-2</v>
      </c>
      <c r="BK127" s="54"/>
      <c r="BL127" s="7"/>
    </row>
    <row r="128" spans="1:64" s="18" customFormat="1" x14ac:dyDescent="0.3">
      <c r="A128" s="21">
        <v>124</v>
      </c>
      <c r="B128" s="4" t="s">
        <v>202</v>
      </c>
      <c r="C128" s="4" t="s">
        <v>90</v>
      </c>
      <c r="D128" s="4">
        <v>16</v>
      </c>
      <c r="E128" s="4">
        <v>28</v>
      </c>
      <c r="F128" s="4" t="s">
        <v>206</v>
      </c>
      <c r="G128" s="50" t="s">
        <v>204</v>
      </c>
      <c r="H128" s="4">
        <v>1515</v>
      </c>
      <c r="I128" s="51">
        <v>0.16</v>
      </c>
      <c r="J128" s="52">
        <v>0.1</v>
      </c>
      <c r="K128" s="52">
        <v>1.1499999999999999</v>
      </c>
      <c r="L128" s="51">
        <v>1.4999999999999999E-2</v>
      </c>
      <c r="M128" s="51">
        <v>8.0000000000000002E-3</v>
      </c>
      <c r="N128" s="51" t="s">
        <v>631</v>
      </c>
      <c r="O128" s="51">
        <v>0.02</v>
      </c>
      <c r="P128" s="51">
        <v>0.03</v>
      </c>
      <c r="Q128" s="51">
        <v>0.02</v>
      </c>
      <c r="R128" s="51" t="s">
        <v>631</v>
      </c>
      <c r="S128" s="32" t="s">
        <v>631</v>
      </c>
      <c r="T128" s="52"/>
      <c r="U128" s="52"/>
      <c r="V128" s="52"/>
      <c r="W128" s="52"/>
      <c r="X128" s="32" t="s">
        <v>631</v>
      </c>
      <c r="Y128" s="53" t="s">
        <v>631</v>
      </c>
      <c r="Z128" s="4"/>
      <c r="AA128" s="53"/>
      <c r="AB128" s="42">
        <f>IF(J128&lt;=0.04,0,IF((BA128-AL128*BF$4*炼钢参数表!$X$5/1000-AM128*BG$4*炼钢参数表!$X$5/1000)&lt;=0.03,0,IF((J128/100/0.1769/炼钢参数表!K128*1000)&gt;(K128-炼钢参数表!J128)/100/0.6566/炼钢参数表!L128*1000,IF(K128&lt;1.6,(K128-炼钢参数表!J128)/100/0.6566/炼钢参数表!L128*1000,(K128-0.08-炼钢参数表!J128)/100/0.6566/炼钢参数表!L128*1000),IF(K128&lt;1.6,J128/100/0.1769/炼钢参数表!K128*1000,(J128-0.08)/100/0.1769/炼钢参数表!K128*1000))))</f>
        <v>7.0661390616167301</v>
      </c>
      <c r="AC128" s="8">
        <f>IF((BA128-AB128*$BB$4*0.9/1000-AL128*BF$4*炼钢参数表!$X$5/1000-AM128*BG$4*炼钢参数表!$X$5/1000)&lt;(K128-炼钢参数表!J128-AB128*0.6566*炼钢参数表!L128/10)*0.082,0,(K128-炼钢参数表!J128-AB128*0.6566*炼钢参数表!L128/10)/100/($AC$3/100)/炼钢参数表!L128*1000)</f>
        <v>8.0472255160852502</v>
      </c>
      <c r="AD128" s="8">
        <f>IF((BA128-AB128*$BB$4*0.9/1000-AC128*$BC$4*0.9/1000-AL128*BF$4*炼钢参数表!$X$5/1000-AM128*BG$4*炼钢参数表!$X$5/1000)&lt;=(K128-炼钢参数表!J128-AB128*0.6566*炼钢参数表!L128/10-AC128*($AC$3/100)*炼钢参数表!L128/10)*0.02,0,((K128-炼钢参数表!J128-AB128*0.6566*炼钢参数表!L128/10-AC128*($AC$3/100)*炼钢参数表!L128/10)/100/($AD$3/100)/炼钢参数表!L128*1000))</f>
        <v>0</v>
      </c>
      <c r="AE128" s="8">
        <f>(K128-炼钢参数表!J128-AB128*0.6566*炼钢参数表!L128/10-AC128*($AC$3/100)*炼钢参数表!L128/10-AD128*($AD$3/100)*炼钢参数表!L128/10)/100/($AE$3/100)/炼钢参数表!L128*1000</f>
        <v>0</v>
      </c>
      <c r="AF128" s="8">
        <v>0</v>
      </c>
      <c r="AG128" s="8">
        <f>IF(J128&lt;=0.04,0,((J128-(AB128*0.1769*炼钢参数表!K128/1000*100))/100/炼钢参数表!K128/($AG$3/100)*1000))</f>
        <v>0</v>
      </c>
      <c r="AH128" s="8">
        <v>1.6</v>
      </c>
      <c r="AI128" s="8">
        <f>IF(N128="",0,IF(N128&lt;=0.002,0,((N128)/100)/($AI$3/100)/炼钢参数表!M128*1000))</f>
        <v>0</v>
      </c>
      <c r="AJ128" s="8">
        <f>IF(O128="",0,IF(O128&lt;=0.002,0,((O128)/100)/($AJ$3/100)/炼钢参数表!N128*1000))</f>
        <v>0.31377864799056099</v>
      </c>
      <c r="AK128" s="8">
        <f>IF(P128="",0,IF(P128&lt;=0.002,0,((P128+0.005)/100)/($AK$3/100)/炼钢参数表!O128*1000))</f>
        <v>0.69851913942442001</v>
      </c>
      <c r="AL128" s="8">
        <f>IF((BA128-J128*0.00003-K128*0.00024)&lt;=0.05,0,IF(T128="",0,IF(T128&lt;=0.03,0,IF(((BA128-J128*0.00003-K128*0.00024)-0.05)/0.18/100/($AL$3/100)/炼钢参数表!P128*1000&lt;=T128/100/($AL$3/100)/炼钢参数表!P128*1000,((BA128-J128*0.00003-K128*0.00024)-0.05)/0.18/100/($AL$3/100)/炼钢参数表!P128*1000,T128/100/($AL$3/100)/炼钢参数表!P128*1000))))</f>
        <v>0</v>
      </c>
      <c r="AM128" s="8">
        <f>IF(T128="",0,IF(T128&lt;=0.03,0,((T128-AL128*($AL$3/100)*炼钢参数表!P128/10)/100/($AM$3/100)/炼钢参数表!P128*1000)))</f>
        <v>0</v>
      </c>
      <c r="AN128" s="8">
        <f>IF(U128="",0,IF(U128&lt;=0.02,0,(U128/100)/($AN$3/100)/炼钢参数表!Q128*1000))</f>
        <v>0</v>
      </c>
      <c r="AO128" s="8">
        <f>IF(V128="",0,IF(V128&lt;=0.02,0,(V128/100)/($AO$3/100)/炼钢参数表!R128*1000))</f>
        <v>0</v>
      </c>
      <c r="AP128" s="8">
        <f>IF(W128="",0,IF(W128&lt;=0.02,0,(W128/100)/($AP$3/100)/炼钢参数表!S128*1000))</f>
        <v>0</v>
      </c>
      <c r="AQ128" s="8">
        <f>IF(X128="",0,IF(X128&lt;=0.0002,0,(X128/100)/($AQ$3/100)/炼钢参数表!T128*1000))</f>
        <v>0</v>
      </c>
      <c r="AR128" s="8">
        <f>IF(Y128="",0,IF(Y128&lt;=0.02,0,(Y128/100)/($AR$3/100)/炼钢参数表!U128*1000))</f>
        <v>0</v>
      </c>
      <c r="AS128" s="8">
        <f>IF(L128&lt;=0.04,0,((L128-0.04)/100)/($AS$3/100)/炼钢参数表!V128*1000)</f>
        <v>0</v>
      </c>
      <c r="AT128" s="8">
        <f>IF(M128&lt;=0.03,0,((M128-0.03)/100)/($AT$3/100)/炼钢参数表!W128*1000)</f>
        <v>0</v>
      </c>
      <c r="AU128" s="6"/>
      <c r="AV128" s="8">
        <f t="shared" si="12"/>
        <v>17.725662365117</v>
      </c>
      <c r="AW128" s="8" cm="1">
        <f t="array" ref="AW128">SUMPRODUCT($AB$4:$AU$4,AB128:AU128)/1000</f>
        <v>207.105470592584</v>
      </c>
      <c r="AY128" s="2" t="str">
        <f t="shared" ref="AY128:AY138" si="18">F128</f>
        <v>A572GR60-3</v>
      </c>
      <c r="AZ128" s="37">
        <f>VLOOKUP(AY128,炼钢参数表!$F$5:$J$1027,4,0)</f>
        <v>4.2000000000000003E-2</v>
      </c>
      <c r="BA128" s="37">
        <f t="shared" ref="BA128:BA138" si="19">I128-AZ128</f>
        <v>0.11799999999999999</v>
      </c>
      <c r="BB128" s="37">
        <f>AB128*$BB$4*炼钢参数表!$X$5/1000</f>
        <v>1.09383832673827E-2</v>
      </c>
      <c r="BC128" s="37">
        <f>AC128*$BC$4*炼钢参数表!$X$5/1000</f>
        <v>4.8452344832349302E-2</v>
      </c>
      <c r="BD128" s="37">
        <f>AD128*$BD$4*炼钢参数表!$X$5/1000</f>
        <v>0</v>
      </c>
      <c r="BE128" s="37">
        <f>AE128*$BE$4*炼钢参数表!$X$5/1000</f>
        <v>0</v>
      </c>
      <c r="BF128" s="37">
        <f>AL128*$BF$4*炼钢参数表!$X$5/1000</f>
        <v>0</v>
      </c>
      <c r="BG128" s="37">
        <f>AM128*$BG$4*炼钢参数表!$X$5/1000</f>
        <v>0</v>
      </c>
      <c r="BH128" s="37">
        <f t="shared" ref="BH128:BH138" si="20">SUM(BB128:BG128)</f>
        <v>5.9390728099731997E-2</v>
      </c>
      <c r="BI128" s="37">
        <f t="shared" ref="BI128:BI138" si="21">AZ128+BH128</f>
        <v>0.101390728099732</v>
      </c>
      <c r="BJ128" s="37">
        <f t="shared" ref="BJ128:BJ138" si="22">BI128-I128</f>
        <v>-5.8609271900267997E-2</v>
      </c>
      <c r="BK128" s="54"/>
      <c r="BL128" s="7"/>
    </row>
    <row r="129" spans="1:65" s="20" customFormat="1" x14ac:dyDescent="0.3">
      <c r="A129" s="21">
        <v>125</v>
      </c>
      <c r="B129" s="71" t="s">
        <v>207</v>
      </c>
      <c r="C129" s="71" t="s">
        <v>23</v>
      </c>
      <c r="D129" s="71">
        <v>3</v>
      </c>
      <c r="E129" s="71">
        <v>9.99</v>
      </c>
      <c r="F129" s="71" t="s">
        <v>208</v>
      </c>
      <c r="G129" s="72" t="s">
        <v>209</v>
      </c>
      <c r="H129" s="71">
        <v>1516</v>
      </c>
      <c r="I129" s="73">
        <v>0.15</v>
      </c>
      <c r="J129" s="74">
        <v>0.2</v>
      </c>
      <c r="K129" s="74">
        <v>1.25</v>
      </c>
      <c r="L129" s="73">
        <v>0.01</v>
      </c>
      <c r="M129" s="73">
        <v>4.0000000000000001E-3</v>
      </c>
      <c r="N129" s="73" t="s">
        <v>631</v>
      </c>
      <c r="O129" s="73">
        <v>2.5000000000000001E-2</v>
      </c>
      <c r="P129" s="73">
        <v>2.5000000000000001E-2</v>
      </c>
      <c r="Q129" s="73">
        <v>0.02</v>
      </c>
      <c r="R129" s="73" t="s">
        <v>631</v>
      </c>
      <c r="S129" s="75"/>
      <c r="T129" s="74"/>
      <c r="U129" s="74"/>
      <c r="V129" s="74"/>
      <c r="W129" s="74"/>
      <c r="X129" s="75" t="s">
        <v>631</v>
      </c>
      <c r="Y129" s="76" t="s">
        <v>631</v>
      </c>
      <c r="Z129" s="71">
        <v>40</v>
      </c>
      <c r="AA129" s="76" t="s">
        <v>631</v>
      </c>
      <c r="AB129" s="42">
        <f>IF(J129&lt;=0.04,0,IF((BA129-AL129*BF$4*炼钢参数表!$X$5/1000-AM129*BG$4*炼钢参数表!$X$5/1000)&lt;=0.03,0,IF((J129/100/0.1769/炼钢参数表!K129*1000)&gt;(K129-炼钢参数表!J129)/100/0.6566/炼钢参数表!L129*1000,IF(K129&lt;1.6,(K129-炼钢参数表!J129)/100/0.6566/炼钢参数表!L129*1000,(K129-0.08-炼钢参数表!J129)/100/0.6566/炼钢参数表!L129*1000),IF(K129&lt;1.6,J129/100/0.1769/炼钢参数表!K129*1000,(J129-0.08)/100/0.1769/炼钢参数表!K129*1000))))</f>
        <v>14.132278123233499</v>
      </c>
      <c r="AC129" s="8">
        <f>IF((BA129-AB129*$BB$4*0.9/1000-AL129*BF$4*炼钢参数表!$X$5/1000-AM129*BG$4*炼钢参数表!$X$5/1000)&lt;(K129-炼钢参数表!J129-AB129*0.6566*炼钢参数表!L129/10)*0.082,0,(K129-炼钢参数表!J129-AB129*0.6566*炼钢参数表!L129/10)/100/($AC$3/100)/炼钢参数表!L129*1000)</f>
        <v>3.3906429673896299</v>
      </c>
      <c r="AD129" s="8">
        <f>IF((BA129-AB129*$BB$4*0.9/1000-AC129*$BC$4*0.9/1000-AL129*BF$4*炼钢参数表!$X$5/1000-AM129*BG$4*炼钢参数表!$X$5/1000)&lt;=(K129-炼钢参数表!J129-AB129*0.6566*炼钢参数表!L129/10-AC129*($AC$3/100)*炼钢参数表!L129/10)*0.02,0,((K129-炼钢参数表!J129-AB129*0.6566*炼钢参数表!L129/10-AC129*($AC$3/100)*炼钢参数表!L129/10)/100/($AD$3/100)/炼钢参数表!L129*1000))</f>
        <v>0</v>
      </c>
      <c r="AE129" s="8">
        <f>(K129-炼钢参数表!J129-AB129*0.6566*炼钢参数表!L129/10-AC129*($AC$3/100)*炼钢参数表!L129/10-AD129*($AD$3/100)*炼钢参数表!L129/10)/100/($AE$3/100)/炼钢参数表!L129*1000</f>
        <v>0</v>
      </c>
      <c r="AF129" s="8">
        <v>0</v>
      </c>
      <c r="AG129" s="8">
        <f>IF(J129&lt;=0.04,0,((J129-(AB129*0.1769*炼钢参数表!K129/1000*100))/100/炼钢参数表!K129/($AG$3/100)*1000))</f>
        <v>0</v>
      </c>
      <c r="AH129" s="8">
        <v>1.4</v>
      </c>
      <c r="AI129" s="8">
        <f>IF(N129="",0,IF(N129&lt;=0.002,0,((N129)/100)/($AI$3/100)/炼钢参数表!M129*1000))</f>
        <v>0</v>
      </c>
      <c r="AJ129" s="8">
        <f>IF(O129="",0,IF(O129&lt;=0.002,0,((O129)/100)/($AJ$3/100)/炼钢参数表!N129*1000))</f>
        <v>0.39222330998820198</v>
      </c>
      <c r="AK129" s="8">
        <f>IF(P129="",0,IF(P129&lt;=0.002,0,((P129+0.005)/100)/($AK$3/100)/炼钢参数表!O129*1000))</f>
        <v>0.59873069093521702</v>
      </c>
      <c r="AL129" s="8">
        <f>IF((BA129-J129*0.00003-K129*0.00024)&lt;=0.05,0,IF(T129="",0,IF(T129&lt;=0.03,0,IF(((BA129-J129*0.00003-K129*0.00024)-0.05)/0.18/100/($AL$3/100)/炼钢参数表!P129*1000&lt;=T129/100/($AL$3/100)/炼钢参数表!P129*1000,((BA129-J129*0.00003-K129*0.00024)-0.05)/0.18/100/($AL$3/100)/炼钢参数表!P129*1000,T129/100/($AL$3/100)/炼钢参数表!P129*1000))))</f>
        <v>0</v>
      </c>
      <c r="AM129" s="8">
        <f>IF(T129="",0,IF(T129&lt;=0.03,0,((T129-AL129*($AL$3/100)*炼钢参数表!P129/10)/100/($AM$3/100)/炼钢参数表!P129*1000)))</f>
        <v>0</v>
      </c>
      <c r="AN129" s="8">
        <f>IF(U129="",0,IF(U129&lt;=0.02,0,(U129/100)/($AN$3/100)/炼钢参数表!Q129*1000))</f>
        <v>0</v>
      </c>
      <c r="AO129" s="8">
        <f>IF(V129="",0,IF(V129&lt;=0.02,0,(V129/100)/($AO$3/100)/炼钢参数表!R129*1000))</f>
        <v>0</v>
      </c>
      <c r="AP129" s="8">
        <f>IF(W129="",0,IF(W129&lt;=0.02,0,(W129/100)/($AP$3/100)/炼钢参数表!S129*1000))</f>
        <v>0</v>
      </c>
      <c r="AQ129" s="8">
        <f>IF(X129="",0,IF(X129&lt;=0.0002,0,(X129/100)/($AQ$3/100)/炼钢参数表!T129*1000))</f>
        <v>0</v>
      </c>
      <c r="AR129" s="8">
        <f>IF(Y129="",0,IF(Y129&lt;=0.02,0,(Y129/100)/($AR$3/100)/炼钢参数表!U129*1000))</f>
        <v>0</v>
      </c>
      <c r="AS129" s="8">
        <f>IF(L129&lt;=0.04,0,((L129-0.04)/100)/($AS$3/100)/炼钢参数表!V129*1000)</f>
        <v>0</v>
      </c>
      <c r="AT129" s="8">
        <f>IF(M129&lt;=0.03,0,((M129-0.03)/100)/($AT$3/100)/炼钢参数表!W129*1000)</f>
        <v>0</v>
      </c>
      <c r="AU129" s="74"/>
      <c r="AV129" s="8">
        <f t="shared" si="12"/>
        <v>19.913875091546501</v>
      </c>
      <c r="AW129" s="8" cm="1">
        <f t="array" ref="AW129">SUMPRODUCT($AB$4:$AU$4,AB129:AU129)/1000</f>
        <v>227.317857720804</v>
      </c>
      <c r="AY129" s="71" t="str">
        <f t="shared" si="18"/>
        <v>A572GR65-1</v>
      </c>
      <c r="AZ129" s="77">
        <f>VLOOKUP(AY129,炼钢参数表!$F$5:$J$1027,4,0)</f>
        <v>7.0250000000000007E-2</v>
      </c>
      <c r="BA129" s="77">
        <f t="shared" si="19"/>
        <v>7.9750000000000001E-2</v>
      </c>
      <c r="BB129" s="77">
        <f>AB129*$BB$4*炼钢参数表!$X$5/1000</f>
        <v>2.1876766534765401E-2</v>
      </c>
      <c r="BC129" s="77">
        <f>AC129*$BC$4*炼钢参数表!$X$5/1000</f>
        <v>2.0415061306652899E-2</v>
      </c>
      <c r="BD129" s="77">
        <f>AD129*$BD$4*炼钢参数表!$X$5/1000</f>
        <v>0</v>
      </c>
      <c r="BE129" s="77">
        <f>AE129*$BE$4*炼钢参数表!$X$5/1000</f>
        <v>0</v>
      </c>
      <c r="BF129" s="77">
        <f>AL129*$BF$4*炼钢参数表!$X$5/1000</f>
        <v>0</v>
      </c>
      <c r="BG129" s="77">
        <f>AM129*$BG$4*炼钢参数表!$X$5/1000</f>
        <v>0</v>
      </c>
      <c r="BH129" s="77">
        <f t="shared" si="20"/>
        <v>4.22918278414183E-2</v>
      </c>
      <c r="BI129" s="77">
        <f t="shared" si="21"/>
        <v>0.112541827841418</v>
      </c>
      <c r="BJ129" s="77">
        <f t="shared" si="22"/>
        <v>-3.7458172158581597E-2</v>
      </c>
      <c r="BK129" s="78"/>
      <c r="BL129" s="76"/>
    </row>
    <row r="130" spans="1:65" s="18" customFormat="1" x14ac:dyDescent="0.3">
      <c r="A130" s="21">
        <v>126</v>
      </c>
      <c r="B130" s="4" t="s">
        <v>207</v>
      </c>
      <c r="C130" s="4" t="s">
        <v>26</v>
      </c>
      <c r="D130" s="4">
        <v>10</v>
      </c>
      <c r="E130" s="4">
        <v>20</v>
      </c>
      <c r="F130" s="4" t="s">
        <v>210</v>
      </c>
      <c r="G130" s="50" t="s">
        <v>209</v>
      </c>
      <c r="H130" s="4">
        <v>1515</v>
      </c>
      <c r="I130" s="51">
        <v>0.15</v>
      </c>
      <c r="J130" s="52">
        <v>0.2</v>
      </c>
      <c r="K130" s="52">
        <v>1.35</v>
      </c>
      <c r="L130" s="51">
        <v>0.01</v>
      </c>
      <c r="M130" s="51">
        <v>4.0000000000000001E-3</v>
      </c>
      <c r="N130" s="51" t="s">
        <v>631</v>
      </c>
      <c r="O130" s="51">
        <v>0.03</v>
      </c>
      <c r="P130" s="51">
        <v>2.5000000000000001E-2</v>
      </c>
      <c r="Q130" s="51">
        <v>0.02</v>
      </c>
      <c r="R130" s="51" t="s">
        <v>631</v>
      </c>
      <c r="S130" s="32"/>
      <c r="T130" s="52"/>
      <c r="U130" s="52"/>
      <c r="V130" s="52"/>
      <c r="W130" s="52"/>
      <c r="X130" s="32" t="s">
        <v>631</v>
      </c>
      <c r="Y130" s="53" t="s">
        <v>631</v>
      </c>
      <c r="Z130" s="4">
        <v>40</v>
      </c>
      <c r="AA130" s="53" t="s">
        <v>631</v>
      </c>
      <c r="AB130" s="42">
        <f>IF(J130&lt;=0.04,0,IF((BA130-AL130*BF$4*炼钢参数表!$X$5/1000-AM130*BG$4*炼钢参数表!$X$5/1000)&lt;=0.03,0,IF((J130/100/0.1769/炼钢参数表!K130*1000)&gt;(K130-炼钢参数表!J130)/100/0.6566/炼钢参数表!L130*1000,IF(K130&lt;1.6,(K130-炼钢参数表!J130)/100/0.6566/炼钢参数表!L130*1000,(K130-0.08-炼钢参数表!J130)/100/0.6566/炼钢参数表!L130*1000),IF(K130&lt;1.6,J130/100/0.1769/炼钢参数表!K130*1000,(J130-0.08)/100/0.1769/炼钢参数表!K130*1000))))</f>
        <v>14.132278123233499</v>
      </c>
      <c r="AC130" s="8">
        <f>IF((BA130-AB130*$BB$4*0.9/1000-AL130*BF$4*炼钢参数表!$X$5/1000-AM130*BG$4*炼钢参数表!$X$5/1000)&lt;(K130-炼钢参数表!J130-AB130*0.6566*炼钢参数表!L130/10)*0.082,0,(K130-炼钢参数表!J130-AB130*0.6566*炼钢参数表!L130/10)/100/($AC$3/100)/炼钢参数表!L130*1000)</f>
        <v>4.5967841753090202</v>
      </c>
      <c r="AD130" s="8">
        <f>IF((BA130-AB130*$BB$4*0.9/1000-AC130*$BC$4*0.9/1000-AL130*BF$4*炼钢参数表!$X$5/1000-AM130*BG$4*炼钢参数表!$X$5/1000)&lt;=(K130-炼钢参数表!J130-AB130*0.6566*炼钢参数表!L130/10-AC130*($AC$3/100)*炼钢参数表!L130/10)*0.02,0,((K130-炼钢参数表!J130-AB130*0.6566*炼钢参数表!L130/10-AC130*($AC$3/100)*炼钢参数表!L130/10)/100/($AD$3/100)/炼钢参数表!L130*1000))</f>
        <v>0</v>
      </c>
      <c r="AE130" s="8">
        <f>(K130-炼钢参数表!J130-AB130*0.6566*炼钢参数表!L130/10-AC130*($AC$3/100)*炼钢参数表!L130/10-AD130*($AD$3/100)*炼钢参数表!L130/10)/100/($AE$3/100)/炼钢参数表!L130*1000</f>
        <v>0</v>
      </c>
      <c r="AF130" s="8">
        <v>0</v>
      </c>
      <c r="AG130" s="8">
        <f>IF(J130&lt;=0.04,0,((J130-(AB130*0.1769*炼钢参数表!K130/1000*100))/100/炼钢参数表!K130/($AG$3/100)*1000))</f>
        <v>0</v>
      </c>
      <c r="AH130" s="8">
        <v>1.4</v>
      </c>
      <c r="AI130" s="8">
        <f>IF(N130="",0,IF(N130&lt;=0.002,0,((N130)/100)/($AI$3/100)/炼钢参数表!M130*1000))</f>
        <v>0</v>
      </c>
      <c r="AJ130" s="8">
        <f>IF(O130="",0,IF(O130&lt;=0.002,0,((O130)/100)/($AJ$3/100)/炼钢参数表!N130*1000))</f>
        <v>0.47066797198584198</v>
      </c>
      <c r="AK130" s="8">
        <f>IF(P130="",0,IF(P130&lt;=0.002,0,((P130+0.005)/100)/($AK$3/100)/炼钢参数表!O130*1000))</f>
        <v>0.59873069093521702</v>
      </c>
      <c r="AL130" s="8">
        <f>IF((BA130-J130*0.00003-K130*0.00024)&lt;=0.05,0,IF(T130="",0,IF(T130&lt;=0.03,0,IF(((BA130-J130*0.00003-K130*0.00024)-0.05)/0.18/100/($AL$3/100)/炼钢参数表!P130*1000&lt;=T130/100/($AL$3/100)/炼钢参数表!P130*1000,((BA130-J130*0.00003-K130*0.00024)-0.05)/0.18/100/($AL$3/100)/炼钢参数表!P130*1000,T130/100/($AL$3/100)/炼钢参数表!P130*1000))))</f>
        <v>0</v>
      </c>
      <c r="AM130" s="8">
        <f>IF(T130="",0,IF(T130&lt;=0.03,0,((T130-AL130*($AL$3/100)*炼钢参数表!P130/10)/100/($AM$3/100)/炼钢参数表!P130*1000)))</f>
        <v>0</v>
      </c>
      <c r="AN130" s="8">
        <f>IF(U130="",0,IF(U130&lt;=0.02,0,(U130/100)/($AN$3/100)/炼钢参数表!Q130*1000))</f>
        <v>0</v>
      </c>
      <c r="AO130" s="8">
        <f>IF(V130="",0,IF(V130&lt;=0.02,0,(V130/100)/($AO$3/100)/炼钢参数表!R130*1000))</f>
        <v>0</v>
      </c>
      <c r="AP130" s="8">
        <f>IF(W130="",0,IF(W130&lt;=0.02,0,(W130/100)/($AP$3/100)/炼钢参数表!S130*1000))</f>
        <v>0</v>
      </c>
      <c r="AQ130" s="8">
        <f>IF(X130="",0,IF(X130&lt;=0.0002,0,(X130/100)/($AQ$3/100)/炼钢参数表!T130*1000))</f>
        <v>0</v>
      </c>
      <c r="AR130" s="8">
        <f>IF(Y130="",0,IF(Y130&lt;=0.02,0,(Y130/100)/($AR$3/100)/炼钢参数表!U130*1000))</f>
        <v>0</v>
      </c>
      <c r="AS130" s="8">
        <f>IF(L130&lt;=0.04,0,((L130-0.04)/100)/($AS$3/100)/炼钢参数表!V130*1000)</f>
        <v>0</v>
      </c>
      <c r="AT130" s="8">
        <f>IF(M130&lt;=0.03,0,((M130-0.03)/100)/($AT$3/100)/炼钢参数表!W130*1000)</f>
        <v>0</v>
      </c>
      <c r="AU130" s="6"/>
      <c r="AV130" s="8">
        <f t="shared" si="12"/>
        <v>21.1984609614635</v>
      </c>
      <c r="AW130" s="8" cm="1">
        <f t="array" ref="AW130">SUMPRODUCT($AB$4:$AU$4,AB130:AU130)/1000</f>
        <v>251.503179901127</v>
      </c>
      <c r="AY130" s="2" t="str">
        <f t="shared" si="18"/>
        <v>A572GR65-2</v>
      </c>
      <c r="AZ130" s="37">
        <f>VLOOKUP(AY130,炼钢参数表!$F$5:$J$1027,4,0)</f>
        <v>7.1619047619047596E-2</v>
      </c>
      <c r="BA130" s="37">
        <f t="shared" si="19"/>
        <v>7.8380952380952398E-2</v>
      </c>
      <c r="BB130" s="37">
        <f>AB130*$BB$4*炼钢参数表!$X$5/1000</f>
        <v>2.1876766534765401E-2</v>
      </c>
      <c r="BC130" s="37">
        <f>AC130*$BC$4*炼钢参数表!$X$5/1000</f>
        <v>2.7677237519535599E-2</v>
      </c>
      <c r="BD130" s="37">
        <f>AD130*$BD$4*炼钢参数表!$X$5/1000</f>
        <v>0</v>
      </c>
      <c r="BE130" s="37">
        <f>AE130*$BE$4*炼钢参数表!$X$5/1000</f>
        <v>0</v>
      </c>
      <c r="BF130" s="37">
        <f>AL130*$BF$4*炼钢参数表!$X$5/1000</f>
        <v>0</v>
      </c>
      <c r="BG130" s="37">
        <f>AM130*$BG$4*炼钢参数表!$X$5/1000</f>
        <v>0</v>
      </c>
      <c r="BH130" s="37">
        <f t="shared" si="20"/>
        <v>4.9554004054301E-2</v>
      </c>
      <c r="BI130" s="37">
        <f t="shared" si="21"/>
        <v>0.12117305167334901</v>
      </c>
      <c r="BJ130" s="37">
        <f t="shared" si="22"/>
        <v>-2.8826948326651398E-2</v>
      </c>
      <c r="BK130" s="54"/>
      <c r="BL130" s="7"/>
    </row>
    <row r="131" spans="1:65" s="18" customFormat="1" x14ac:dyDescent="0.3">
      <c r="A131" s="21">
        <v>127</v>
      </c>
      <c r="B131" s="4" t="s">
        <v>211</v>
      </c>
      <c r="C131" s="4" t="s">
        <v>23</v>
      </c>
      <c r="D131" s="4">
        <v>3</v>
      </c>
      <c r="E131" s="4">
        <v>9.99</v>
      </c>
      <c r="F131" s="4" t="s">
        <v>212</v>
      </c>
      <c r="G131" s="50" t="s">
        <v>213</v>
      </c>
      <c r="H131" s="4">
        <v>1516</v>
      </c>
      <c r="I131" s="51">
        <v>0.15</v>
      </c>
      <c r="J131" s="52">
        <v>0.02</v>
      </c>
      <c r="K131" s="52">
        <v>1.25</v>
      </c>
      <c r="L131" s="51">
        <v>0.01</v>
      </c>
      <c r="M131" s="51">
        <v>4.0000000000000001E-3</v>
      </c>
      <c r="N131" s="51" t="s">
        <v>631</v>
      </c>
      <c r="O131" s="51">
        <v>2.5000000000000001E-2</v>
      </c>
      <c r="P131" s="51">
        <v>2.5000000000000001E-2</v>
      </c>
      <c r="Q131" s="51">
        <v>0.02</v>
      </c>
      <c r="R131" s="51" t="s">
        <v>631</v>
      </c>
      <c r="S131" s="32"/>
      <c r="T131" s="52"/>
      <c r="U131" s="52"/>
      <c r="V131" s="52"/>
      <c r="W131" s="52"/>
      <c r="X131" s="32" t="s">
        <v>631</v>
      </c>
      <c r="Y131" s="53" t="s">
        <v>631</v>
      </c>
      <c r="Z131" s="4">
        <v>40</v>
      </c>
      <c r="AA131" s="53" t="s">
        <v>631</v>
      </c>
      <c r="AB131" s="42">
        <f>IF(J131&lt;=0.04,0,IF((BA131-AL131*BF$4*炼钢参数表!$X$5/1000-AM131*BG$4*炼钢参数表!$X$5/1000)&lt;=0.03,0,IF((J131/100/0.1769/炼钢参数表!K131*1000)&gt;(K131-炼钢参数表!J131)/100/0.6566/炼钢参数表!L131*1000,IF(K131&lt;1.6,(K131-炼钢参数表!J131)/100/0.6566/炼钢参数表!L131*1000,(K131-0.08-炼钢参数表!J131)/100/0.6566/炼钢参数表!L131*1000),IF(K131&lt;1.6,J131/100/0.1769/炼钢参数表!K131*1000,(J131-0.08)/100/0.1769/炼钢参数表!K131*1000))))</f>
        <v>0</v>
      </c>
      <c r="AC131" s="8">
        <f>IF((BA131-AB131*$BB$4*0.9/1000-AL131*BF$4*炼钢参数表!$X$5/1000-AM131*BG$4*炼钢参数表!$X$5/1000)&lt;(K131-炼钢参数表!J131-AB131*0.6566*炼钢参数表!L131/10)*0.082,0,(K131-炼钢参数表!J131-AB131*0.6566*炼钢参数表!L131/10)/100/($AC$3/100)/炼钢参数表!L131*1000)</f>
        <v>15.4771023690978</v>
      </c>
      <c r="AD131" s="8">
        <f>IF((BA131-AB131*$BB$4*0.9/1000-AC131*$BC$4*0.9/1000-AL131*BF$4*炼钢参数表!$X$5/1000-AM131*BG$4*炼钢参数表!$X$5/1000)&lt;=(K131-炼钢参数表!J131-AB131*0.6566*炼钢参数表!L131/10-AC131*($AC$3/100)*炼钢参数表!L131/10)*0.02,0,((K131-炼钢参数表!J131-AB131*0.6566*炼钢参数表!L131/10-AC131*($AC$3/100)*炼钢参数表!L131/10)/100/($AD$3/100)/炼钢参数表!L131*1000))</f>
        <v>0</v>
      </c>
      <c r="AE131" s="8">
        <f>(K131-炼钢参数表!J131-AB131*0.6566*炼钢参数表!L131/10-AC131*($AC$3/100)*炼钢参数表!L131/10-AD131*($AD$3/100)*炼钢参数表!L131/10)/100/($AE$3/100)/炼钢参数表!L131*1000</f>
        <v>0</v>
      </c>
      <c r="AF131" s="8">
        <v>0</v>
      </c>
      <c r="AG131" s="8">
        <f>IF(J131&lt;=0.04,0,((J131-(AB131*0.1769*炼钢参数表!K131/1000*100))/100/炼钢参数表!K131/($AG$3/100)*1000))</f>
        <v>0</v>
      </c>
      <c r="AH131" s="8">
        <v>2.2000000000000002</v>
      </c>
      <c r="AI131" s="8">
        <f>IF(N131="",0,IF(N131&lt;=0.002,0,((N131)/100)/($AI$3/100)/炼钢参数表!M131*1000))</f>
        <v>0</v>
      </c>
      <c r="AJ131" s="8">
        <f>IF(O131="",0,IF(O131&lt;=0.002,0,((O131)/100)/($AJ$3/100)/炼钢参数表!N131*1000))</f>
        <v>0.39222330998820198</v>
      </c>
      <c r="AK131" s="8">
        <f>IF(P131="",0,IF(P131&lt;=0.002,0,((P131+0.005)/100)/($AK$3/100)/炼钢参数表!O131*1000))</f>
        <v>0.59873069093521702</v>
      </c>
      <c r="AL131" s="8">
        <f>IF((BA131-J131*0.00003-K131*0.00024)&lt;=0.05,0,IF(T131="",0,IF(T131&lt;=0.03,0,IF(((BA131-J131*0.00003-K131*0.00024)-0.05)/0.18/100/($AL$3/100)/炼钢参数表!P131*1000&lt;=T131/100/($AL$3/100)/炼钢参数表!P131*1000,((BA131-J131*0.00003-K131*0.00024)-0.05)/0.18/100/($AL$3/100)/炼钢参数表!P131*1000,T131/100/($AL$3/100)/炼钢参数表!P131*1000))))</f>
        <v>0</v>
      </c>
      <c r="AM131" s="8">
        <f>IF(T131="",0,IF(T131&lt;=0.03,0,((T131-AL131*($AL$3/100)*炼钢参数表!P131/10)/100/($AM$3/100)/炼钢参数表!P131*1000)))</f>
        <v>0</v>
      </c>
      <c r="AN131" s="8">
        <f>IF(U131="",0,IF(U131&lt;=0.02,0,(U131/100)/($AN$3/100)/炼钢参数表!Q131*1000))</f>
        <v>0</v>
      </c>
      <c r="AO131" s="8">
        <f>IF(V131="",0,IF(V131&lt;=0.02,0,(V131/100)/($AO$3/100)/炼钢参数表!R131*1000))</f>
        <v>0</v>
      </c>
      <c r="AP131" s="8">
        <f>IF(W131="",0,IF(W131&lt;=0.02,0,(W131/100)/($AP$3/100)/炼钢参数表!S131*1000))</f>
        <v>0</v>
      </c>
      <c r="AQ131" s="8">
        <f>IF(X131="",0,IF(X131&lt;=0.0002,0,(X131/100)/($AQ$3/100)/炼钢参数表!T131*1000))</f>
        <v>0</v>
      </c>
      <c r="AR131" s="8">
        <f>IF(Y131="",0,IF(Y131&lt;=0.02,0,(Y131/100)/($AR$3/100)/炼钢参数表!U131*1000))</f>
        <v>0</v>
      </c>
      <c r="AS131" s="8">
        <f>IF(L131&lt;=0.04,0,((L131-0.04)/100)/($AS$3/100)/炼钢参数表!V131*1000)</f>
        <v>0</v>
      </c>
      <c r="AT131" s="8">
        <f>IF(M131&lt;=0.03,0,((M131-0.03)/100)/($AT$3/100)/炼钢参数表!W131*1000)</f>
        <v>0</v>
      </c>
      <c r="AU131" s="6"/>
      <c r="AV131" s="8">
        <f t="shared" si="12"/>
        <v>18.668056370021201</v>
      </c>
      <c r="AW131" s="8" cm="1">
        <f t="array" ref="AW131">SUMPRODUCT($AB$4:$AU$4,AB131:AU131)/1000</f>
        <v>241.57666552456101</v>
      </c>
      <c r="AY131" s="2" t="str">
        <f t="shared" si="18"/>
        <v>A572GR65-T1</v>
      </c>
      <c r="AZ131" s="37">
        <f>VLOOKUP(AY131,炼钢参数表!$F$5:$J$1027,4,0)</f>
        <v>5.1999999999999998E-2</v>
      </c>
      <c r="BA131" s="37">
        <f t="shared" si="19"/>
        <v>9.8000000000000004E-2</v>
      </c>
      <c r="BB131" s="37">
        <f>AB131*$BB$4*炼钢参数表!$X$5/1000</f>
        <v>0</v>
      </c>
      <c r="BC131" s="37">
        <f>AC131*$BC$4*炼钢参数表!$X$5/1000</f>
        <v>9.3187633364337705E-2</v>
      </c>
      <c r="BD131" s="37">
        <f>AD131*$BD$4*炼钢参数表!$X$5/1000</f>
        <v>0</v>
      </c>
      <c r="BE131" s="37">
        <f>AE131*$BE$4*炼钢参数表!$X$5/1000</f>
        <v>0</v>
      </c>
      <c r="BF131" s="37">
        <f>AL131*$BF$4*炼钢参数表!$X$5/1000</f>
        <v>0</v>
      </c>
      <c r="BG131" s="37">
        <f>AM131*$BG$4*炼钢参数表!$X$5/1000</f>
        <v>0</v>
      </c>
      <c r="BH131" s="37">
        <f t="shared" si="20"/>
        <v>9.3187633364337705E-2</v>
      </c>
      <c r="BI131" s="37">
        <f t="shared" si="21"/>
        <v>0.14518763336433799</v>
      </c>
      <c r="BJ131" s="37">
        <f t="shared" si="22"/>
        <v>-4.8123666356623103E-3</v>
      </c>
      <c r="BK131" s="54"/>
      <c r="BL131" s="7"/>
    </row>
    <row r="132" spans="1:65" s="18" customFormat="1" x14ac:dyDescent="0.3">
      <c r="A132" s="21">
        <v>128</v>
      </c>
      <c r="B132" s="4" t="s">
        <v>211</v>
      </c>
      <c r="C132" s="4" t="s">
        <v>26</v>
      </c>
      <c r="D132" s="4">
        <v>10</v>
      </c>
      <c r="E132" s="4">
        <v>20</v>
      </c>
      <c r="F132" s="4" t="s">
        <v>214</v>
      </c>
      <c r="G132" s="50" t="s">
        <v>213</v>
      </c>
      <c r="H132" s="4">
        <v>1515</v>
      </c>
      <c r="I132" s="51">
        <v>0.15</v>
      </c>
      <c r="J132" s="52">
        <v>0.02</v>
      </c>
      <c r="K132" s="52">
        <v>1.35</v>
      </c>
      <c r="L132" s="51">
        <v>0.01</v>
      </c>
      <c r="M132" s="51">
        <v>4.0000000000000001E-3</v>
      </c>
      <c r="N132" s="51" t="s">
        <v>631</v>
      </c>
      <c r="O132" s="51">
        <v>0.03</v>
      </c>
      <c r="P132" s="51">
        <v>2.5000000000000001E-2</v>
      </c>
      <c r="Q132" s="51">
        <v>0.02</v>
      </c>
      <c r="R132" s="51" t="s">
        <v>631</v>
      </c>
      <c r="S132" s="32"/>
      <c r="T132" s="52"/>
      <c r="U132" s="52"/>
      <c r="V132" s="52"/>
      <c r="W132" s="52"/>
      <c r="X132" s="32" t="s">
        <v>631</v>
      </c>
      <c r="Y132" s="53" t="s">
        <v>631</v>
      </c>
      <c r="Z132" s="4">
        <v>40</v>
      </c>
      <c r="AA132" s="53" t="s">
        <v>631</v>
      </c>
      <c r="AB132" s="42">
        <f>IF(J132&lt;=0.04,0,IF((BA132-AL132*BF$4*炼钢参数表!$X$5/1000-AM132*BG$4*炼钢参数表!$X$5/1000)&lt;=0.03,0,IF((J132/100/0.1769/炼钢参数表!K132*1000)&gt;(K132-炼钢参数表!J132)/100/0.6566/炼钢参数表!L132*1000,IF(K132&lt;1.6,(K132-炼钢参数表!J132)/100/0.6566/炼钢参数表!L132*1000,(K132-0.08-炼钢参数表!J132)/100/0.6566/炼钢参数表!L132*1000),IF(K132&lt;1.6,J132/100/0.1769/炼钢参数表!K132*1000,(J132-0.08)/100/0.1769/炼钢参数表!K132*1000))))</f>
        <v>0</v>
      </c>
      <c r="AC132" s="8">
        <f>IF((BA132-AB132*$BB$4*0.9/1000-AL132*BF$4*炼钢参数表!$X$5/1000-AM132*BG$4*炼钢参数表!$X$5/1000)&lt;(K132-炼钢参数表!J132-AB132*0.6566*炼钢参数表!L132/10)*0.082,0,(K132-炼钢参数表!J132-AB132*0.6566*炼钢参数表!L132/10)/100/($AC$3/100)/炼钢参数表!L132*1000)</f>
        <v>0</v>
      </c>
      <c r="AD132" s="8">
        <f>IF((BA132-AB132*$BB$4*0.9/1000-AC132*$BC$4*0.9/1000-AL132*BF$4*炼钢参数表!$X$5/1000-AM132*BG$4*炼钢参数表!$X$5/1000)&lt;=(K132-炼钢参数表!J132-AB132*0.6566*炼钢参数表!L132/10-AC132*($AC$3/100)*炼钢参数表!L132/10)*0.02,0,((K132-炼钢参数表!J132-AB132*0.6566*炼钢参数表!L132/10-AC132*($AC$3/100)*炼钢参数表!L132/10)/100/($AD$3/100)/炼钢参数表!L132*1000))</f>
        <v>15.6815973142504</v>
      </c>
      <c r="AE132" s="8">
        <f>(K132-炼钢参数表!J132-AB132*0.6566*炼钢参数表!L132/10-AC132*($AC$3/100)*炼钢参数表!L132/10-AD132*($AD$3/100)*炼钢参数表!L132/10)/100/($AE$3/100)/炼钢参数表!L132*1000</f>
        <v>0</v>
      </c>
      <c r="AF132" s="8">
        <v>0</v>
      </c>
      <c r="AG132" s="8">
        <f>IF(J132&lt;=0.04,0,((J132-(AB132*0.1769*炼钢参数表!K132/1000*100))/100/炼钢参数表!K132/($AG$3/100)*1000))</f>
        <v>0</v>
      </c>
      <c r="AH132" s="8">
        <v>2.2000000000000002</v>
      </c>
      <c r="AI132" s="8">
        <f>IF(N132="",0,IF(N132&lt;=0.002,0,((N132)/100)/($AI$3/100)/炼钢参数表!M132*1000))</f>
        <v>0</v>
      </c>
      <c r="AJ132" s="8">
        <f>IF(O132="",0,IF(O132&lt;=0.002,0,((O132)/100)/($AJ$3/100)/炼钢参数表!N132*1000))</f>
        <v>0.47066797198584198</v>
      </c>
      <c r="AK132" s="8">
        <f>IF(P132="",0,IF(P132&lt;=0.002,0,((P132+0.005)/100)/($AK$3/100)/炼钢参数表!O132*1000))</f>
        <v>0.59873069093521702</v>
      </c>
      <c r="AL132" s="8">
        <f>IF((BA132-J132*0.00003-K132*0.00024)&lt;=0.05,0,IF(T132="",0,IF(T132&lt;=0.03,0,IF(((BA132-J132*0.00003-K132*0.00024)-0.05)/0.18/100/($AL$3/100)/炼钢参数表!P132*1000&lt;=T132/100/($AL$3/100)/炼钢参数表!P132*1000,((BA132-J132*0.00003-K132*0.00024)-0.05)/0.18/100/($AL$3/100)/炼钢参数表!P132*1000,T132/100/($AL$3/100)/炼钢参数表!P132*1000))))</f>
        <v>0</v>
      </c>
      <c r="AM132" s="8">
        <f>IF(T132="",0,IF(T132&lt;=0.03,0,((T132-AL132*($AL$3/100)*炼钢参数表!P132/10)/100/($AM$3/100)/炼钢参数表!P132*1000)))</f>
        <v>0</v>
      </c>
      <c r="AN132" s="8">
        <f>IF(U132="",0,IF(U132&lt;=0.02,0,(U132/100)/($AN$3/100)/炼钢参数表!Q132*1000))</f>
        <v>0</v>
      </c>
      <c r="AO132" s="8">
        <f>IF(V132="",0,IF(V132&lt;=0.02,0,(V132/100)/($AO$3/100)/炼钢参数表!R132*1000))</f>
        <v>0</v>
      </c>
      <c r="AP132" s="8">
        <f>IF(W132="",0,IF(W132&lt;=0.02,0,(W132/100)/($AP$3/100)/炼钢参数表!S132*1000))</f>
        <v>0</v>
      </c>
      <c r="AQ132" s="8">
        <f>IF(X132="",0,IF(X132&lt;=0.0002,0,(X132/100)/($AQ$3/100)/炼钢参数表!T132*1000))</f>
        <v>0</v>
      </c>
      <c r="AR132" s="8">
        <f>IF(Y132="",0,IF(Y132&lt;=0.02,0,(Y132/100)/($AR$3/100)/炼钢参数表!U132*1000))</f>
        <v>0</v>
      </c>
      <c r="AS132" s="8">
        <f>IF(L132&lt;=0.04,0,((L132-0.04)/100)/($AS$3/100)/炼钢参数表!V132*1000)</f>
        <v>0</v>
      </c>
      <c r="AT132" s="8">
        <f>IF(M132&lt;=0.03,0,((M132-0.03)/100)/($AT$3/100)/炼钢参数表!W132*1000)</f>
        <v>0</v>
      </c>
      <c r="AU132" s="6"/>
      <c r="AV132" s="8">
        <f t="shared" si="12"/>
        <v>18.950995977171399</v>
      </c>
      <c r="AW132" s="8" cm="1">
        <f t="array" ref="AW132">SUMPRODUCT($AB$4:$AU$4,AB132:AU132)/1000</f>
        <v>286.14446461545901</v>
      </c>
      <c r="AY132" s="2" t="str">
        <f t="shared" si="18"/>
        <v>A572GR65-T2</v>
      </c>
      <c r="AZ132" s="37">
        <f>VLOOKUP(AY132,炼钢参数表!$F$5:$J$1027,4,0)</f>
        <v>5.9499999999999997E-2</v>
      </c>
      <c r="BA132" s="37">
        <f t="shared" si="19"/>
        <v>9.0499999999999997E-2</v>
      </c>
      <c r="BB132" s="37">
        <f>AB132*$BB$4*炼钢参数表!$X$5/1000</f>
        <v>0</v>
      </c>
      <c r="BC132" s="37">
        <f>AC132*$BC$4*炼钢参数表!$X$5/1000</f>
        <v>0</v>
      </c>
      <c r="BD132" s="37">
        <f>AD132*$BD$4*炼钢参数表!$X$5/1000</f>
        <v>2.1170156374238001E-2</v>
      </c>
      <c r="BE132" s="37">
        <f>AE132*$BE$4*炼钢参数表!$X$5/1000</f>
        <v>0</v>
      </c>
      <c r="BF132" s="37">
        <f>AL132*$BF$4*炼钢参数表!$X$5/1000</f>
        <v>0</v>
      </c>
      <c r="BG132" s="37">
        <f>AM132*$BG$4*炼钢参数表!$X$5/1000</f>
        <v>0</v>
      </c>
      <c r="BH132" s="37">
        <f t="shared" si="20"/>
        <v>2.1170156374238001E-2</v>
      </c>
      <c r="BI132" s="37">
        <f t="shared" si="21"/>
        <v>8.0670156374237995E-2</v>
      </c>
      <c r="BJ132" s="37">
        <f t="shared" si="22"/>
        <v>-6.9329843625762E-2</v>
      </c>
      <c r="BK132" s="54"/>
      <c r="BL132" s="7"/>
      <c r="BM132" s="18" t="s">
        <v>633</v>
      </c>
    </row>
    <row r="133" spans="1:65" s="18" customFormat="1" x14ac:dyDescent="0.3">
      <c r="A133" s="21">
        <v>129</v>
      </c>
      <c r="B133" s="4" t="s">
        <v>215</v>
      </c>
      <c r="C133" s="4" t="s">
        <v>23</v>
      </c>
      <c r="D133" s="4">
        <v>3</v>
      </c>
      <c r="E133" s="4">
        <v>10</v>
      </c>
      <c r="F133" s="4" t="s">
        <v>215</v>
      </c>
      <c r="G133" s="4" t="s">
        <v>216</v>
      </c>
      <c r="H133" s="4">
        <v>1504</v>
      </c>
      <c r="I133" s="4">
        <v>0.26</v>
      </c>
      <c r="J133" s="4">
        <v>0.23</v>
      </c>
      <c r="K133" s="4">
        <v>1.25</v>
      </c>
      <c r="L133" s="4">
        <v>0</v>
      </c>
      <c r="M133" s="4">
        <v>0</v>
      </c>
      <c r="N133" s="4" t="s">
        <v>631</v>
      </c>
      <c r="O133" s="4" t="s">
        <v>631</v>
      </c>
      <c r="P133" s="4">
        <v>2.5000000000000001E-2</v>
      </c>
      <c r="Q133" s="4" t="s">
        <v>631</v>
      </c>
      <c r="R133" s="4">
        <v>0.03</v>
      </c>
      <c r="S133" s="4" t="s">
        <v>631</v>
      </c>
      <c r="T133" s="4">
        <v>0.16</v>
      </c>
      <c r="U133" s="4">
        <v>0</v>
      </c>
      <c r="V133" s="4">
        <v>0</v>
      </c>
      <c r="W133" s="4" t="s">
        <v>631</v>
      </c>
      <c r="X133" s="4">
        <v>2.3E-3</v>
      </c>
      <c r="Y133" s="4" t="s">
        <v>631</v>
      </c>
      <c r="Z133" s="4" t="s">
        <v>631</v>
      </c>
      <c r="AA133" s="53"/>
      <c r="AB133" s="42">
        <f>IF(J133&lt;=0.04,0,IF((BA133-AL133*BF$4*炼钢参数表!$X$5/1000-AM133*BG$4*炼钢参数表!$X$5/1000)&lt;=0.03,0,IF((J133/100/0.1769/炼钢参数表!K133*1000)&gt;(K133-炼钢参数表!J133)/100/0.6566/炼钢参数表!L133*1000,IF(K133&lt;1.6,(K133-炼钢参数表!J133)/100/0.6566/炼钢参数表!L133*1000,(K133-0.08-炼钢参数表!J133)/100/0.6566/炼钢参数表!L133*1000),IF(K133&lt;1.6,J133/100/0.1769/炼钢参数表!K133*1000,(J133-0.08)/100/0.1769/炼钢参数表!K133*1000))))</f>
        <v>16.2521198417185</v>
      </c>
      <c r="AC133" s="8">
        <f>IF((BA133-AB133*$BB$4*0.9/1000-AL133*BF$4*炼钢参数表!$X$5/1000-AM133*BG$4*炼钢参数表!$X$5/1000)&lt;(K133-炼钢参数表!J133-AB133*0.6566*炼钢参数表!L133/10)*0.082,0,(K133-炼钢参数表!J133-AB133*0.6566*炼钢参数表!L133/10)/100/($AC$3/100)/炼钢参数表!L133*1000)</f>
        <v>0.61864768519052604</v>
      </c>
      <c r="AD133" s="8">
        <f>IF((BA133-AB133*$BB$4*0.9/1000-AC133*$BC$4*0.9/1000-AL133*BF$4*炼钢参数表!$X$5/1000-AM133*BG$4*炼钢参数表!$X$5/1000)&lt;=(K133-炼钢参数表!J133-AB133*0.6566*炼钢参数表!L133/10-AC133*($AC$3/100)*炼钢参数表!L133/10)*0.02,0,((K133-炼钢参数表!J133-AB133*0.6566*炼钢参数表!L133/10-AC133*($AC$3/100)*炼钢参数表!L133/10)/100/($AD$3/100)/炼钢参数表!L133*1000))</f>
        <v>0</v>
      </c>
      <c r="AE133" s="8">
        <f>(K133-炼钢参数表!J133-AB133*0.6566*炼钢参数表!L133/10-AC133*($AC$3/100)*炼钢参数表!L133/10-AD133*($AD$3/100)*炼钢参数表!L133/10)/100/($AE$3/100)/炼钢参数表!L133*1000</f>
        <v>0</v>
      </c>
      <c r="AF133" s="8">
        <v>0</v>
      </c>
      <c r="AG133" s="8">
        <f>IF(J133&lt;=0.04,0,((J133-(AB133*0.1769*炼钢参数表!K133/1000*100))/100/炼钢参数表!K133/($AG$3/100)*1000))</f>
        <v>0</v>
      </c>
      <c r="AH133" s="8">
        <v>1.8</v>
      </c>
      <c r="AI133" s="8">
        <f>IF(N133="",0,IF(N133&lt;=0.002,0,((N133)/100)/($AI$3/100)/炼钢参数表!M133*1000))</f>
        <v>0</v>
      </c>
      <c r="AJ133" s="8">
        <f>IF(O133="",0,IF(O133&lt;=0.002,0,((O133)/100)/($AJ$3/100)/炼钢参数表!N133*1000))</f>
        <v>0</v>
      </c>
      <c r="AK133" s="8">
        <f>IF(P133="",0,IF(P133&lt;=0.002,0,((P133+0.005)/100)/($AK$3/100)/炼钢参数表!O133*1000))</f>
        <v>0.59873069093521702</v>
      </c>
      <c r="AL133" s="8">
        <f>IF((BA133-J133*0.00003-K133*0.00024)&lt;=0.05,0,IF(T133="",0,IF(T133&lt;=0.03,0,IF(((BA133-J133*0.00003-K133*0.00024)-0.05)/0.18/100/($AL$3/100)/炼钢参数表!P133*1000&lt;=T133/100/($AL$3/100)/炼钢参数表!P133*1000,((BA133-J133*0.00003-K133*0.00024)-0.05)/0.18/100/($AL$3/100)/炼钢参数表!P133*1000,T133/100/($AL$3/100)/炼钢参数表!P133*1000))))</f>
        <v>3.2051282051282102</v>
      </c>
      <c r="AM133" s="8">
        <f>IF(T133="",0,IF(T133&lt;=0.03,0,((T133-AL133*($AL$3/100)*炼钢参数表!P133/10)/100/($AM$3/100)/炼钢参数表!P133*1000)))</f>
        <v>0</v>
      </c>
      <c r="AN133" s="8">
        <f>IF(U133="",0,IF(U133&lt;=0.02,0,(U133/100)/($AN$3/100)/炼钢参数表!Q133*1000))</f>
        <v>0</v>
      </c>
      <c r="AO133" s="8">
        <f>IF(V133="",0,IF(V133&lt;=0.02,0,(V133/100)/($AO$3/100)/炼钢参数表!R133*1000))</f>
        <v>0</v>
      </c>
      <c r="AP133" s="8">
        <f>IF(W133="",0,IF(W133&lt;=0.02,0,(W133/100)/($AP$3/100)/炼钢参数表!S133*1000))</f>
        <v>0</v>
      </c>
      <c r="AQ133" s="8">
        <f>IF(X133="",0,IF(X133&lt;=0.0002,0,(X133/100)/($AQ$3/100)/炼钢参数表!T133*1000))</f>
        <v>0.182539682539683</v>
      </c>
      <c r="AR133" s="8">
        <f>IF(Y133="",0,IF(Y133&lt;=0.02,0,(Y133/100)/($AR$3/100)/炼钢参数表!U133*1000))</f>
        <v>0</v>
      </c>
      <c r="AS133" s="8">
        <f>IF(L133&lt;=0.04,0,((L133-0.04)/100)/($AS$3/100)/炼钢参数表!V133*1000)</f>
        <v>0</v>
      </c>
      <c r="AT133" s="8">
        <f>IF(M133&lt;=0.03,0,((M133-0.03)/100)/($AT$3/100)/炼钢参数表!W133*1000)</f>
        <v>0</v>
      </c>
      <c r="AU133" s="6"/>
      <c r="AV133" s="8">
        <f t="shared" si="12"/>
        <v>22.657166105512101</v>
      </c>
      <c r="AW133" s="8" cm="1">
        <f t="array" ref="AW133">SUMPRODUCT($AB$4:$AU$4,AB133:AU133)/1000</f>
        <v>175.84804371785799</v>
      </c>
      <c r="AY133" s="2" t="str">
        <f t="shared" si="18"/>
        <v>26MnB5</v>
      </c>
      <c r="AZ133" s="37">
        <f>VLOOKUP(AY133,炼钢参数表!$F$5:$J$1027,4,0)</f>
        <v>0.13500000000000001</v>
      </c>
      <c r="BA133" s="37">
        <f t="shared" si="19"/>
        <v>0.125</v>
      </c>
      <c r="BB133" s="37">
        <f>AB133*$BB$4*炼钢参数表!$X$5/1000</f>
        <v>2.5158281514980198E-2</v>
      </c>
      <c r="BC133" s="37">
        <f>AC133*$BC$4*炼钢参数表!$X$5/1000</f>
        <v>3.7248777125321601E-3</v>
      </c>
      <c r="BD133" s="37">
        <f>AD133*$BD$4*炼钢参数表!$X$5/1000</f>
        <v>0</v>
      </c>
      <c r="BE133" s="37">
        <f>AE133*$BE$4*炼钢参数表!$X$5/1000</f>
        <v>0</v>
      </c>
      <c r="BF133" s="37">
        <f>AL133*$BF$4*炼钢参数表!$X$5/1000</f>
        <v>2.8846153846153799E-2</v>
      </c>
      <c r="BG133" s="37">
        <f>AM133*$BG$4*炼钢参数表!$X$5/1000</f>
        <v>0</v>
      </c>
      <c r="BH133" s="37">
        <f t="shared" si="20"/>
        <v>5.7729313073666202E-2</v>
      </c>
      <c r="BI133" s="37">
        <f t="shared" si="21"/>
        <v>0.192729313073666</v>
      </c>
      <c r="BJ133" s="37">
        <f t="shared" si="22"/>
        <v>-6.7270686926333798E-2</v>
      </c>
      <c r="BK133" s="54"/>
      <c r="BL133" s="7"/>
    </row>
    <row r="134" spans="1:65" s="18" customFormat="1" x14ac:dyDescent="0.3">
      <c r="A134" s="21">
        <v>130</v>
      </c>
      <c r="B134" s="4" t="s">
        <v>217</v>
      </c>
      <c r="C134" s="89" t="s">
        <v>23</v>
      </c>
      <c r="D134" s="4">
        <v>3</v>
      </c>
      <c r="E134" s="4">
        <v>12.5</v>
      </c>
      <c r="F134" s="4" t="s">
        <v>218</v>
      </c>
      <c r="G134" s="50" t="s">
        <v>219</v>
      </c>
      <c r="H134" s="4">
        <v>1514</v>
      </c>
      <c r="I134" s="51">
        <v>0.16</v>
      </c>
      <c r="J134" s="52">
        <v>0.23</v>
      </c>
      <c r="K134" s="52">
        <v>1.1499999999999999</v>
      </c>
      <c r="L134" s="51">
        <v>1.4999999999999999E-2</v>
      </c>
      <c r="M134" s="51">
        <v>3.0000000000000001E-3</v>
      </c>
      <c r="N134" s="51" t="s">
        <v>631</v>
      </c>
      <c r="O134" s="51">
        <v>0.01</v>
      </c>
      <c r="P134" s="51">
        <v>1.4999999999999999E-2</v>
      </c>
      <c r="Q134" s="51">
        <v>0.03</v>
      </c>
      <c r="R134" s="51" t="s">
        <v>631</v>
      </c>
      <c r="S134" s="32"/>
      <c r="T134" s="52"/>
      <c r="U134" s="52"/>
      <c r="V134" s="52"/>
      <c r="W134" s="52"/>
      <c r="X134" s="32" t="s">
        <v>631</v>
      </c>
      <c r="Y134" s="53" t="s">
        <v>631</v>
      </c>
      <c r="Z134" s="4">
        <v>45</v>
      </c>
      <c r="AA134" s="53" t="s">
        <v>631</v>
      </c>
      <c r="AB134" s="42">
        <f>IF(J134&lt;=0.04,0,IF((BA134-AL134*BF$4*炼钢参数表!$X$5/1000-AM134*BG$4*炼钢参数表!$X$5/1000)&lt;=0.03,0,IF((J134/100/0.1769/炼钢参数表!K134*1000)&gt;(K134-炼钢参数表!J134)/100/0.6566/炼钢参数表!L134*1000,IF(K134&lt;1.6,(K134-炼钢参数表!J134)/100/0.6566/炼钢参数表!L134*1000,(K134-0.08-炼钢参数表!J134)/100/0.6566/炼钢参数表!L134*1000),IF(K134&lt;1.6,J134/100/0.1769/炼钢参数表!K134*1000,(J134-0.08)/100/0.1769/炼钢参数表!K134*1000))))</f>
        <v>16.0303231862346</v>
      </c>
      <c r="AC134" s="8">
        <f>IF((BA134-AB134*$BB$4*0.9/1000-AL134*BF$4*炼钢参数表!$X$5/1000-AM134*BG$4*炼钢参数表!$X$5/1000)&lt;(K134-炼钢参数表!J134-AB134*0.6566*炼钢参数表!L134/10)*0.082,0,(K134-炼钢参数表!J134-AB134*0.6566*炼钢参数表!L134/10)/100/($AC$3/100)/炼钢参数表!L134*1000)</f>
        <v>0</v>
      </c>
      <c r="AD134" s="8">
        <f>IF((BA134-AB134*$BB$4*0.9/1000-AC134*$BC$4*0.9/1000-AL134*BF$4*炼钢参数表!$X$5/1000-AM134*BG$4*炼钢参数表!$X$5/1000)&lt;=(K134-炼钢参数表!J134-AB134*0.6566*炼钢参数表!L134/10-AC134*($AC$3/100)*炼钢参数表!L134/10)*0.02,0,((K134-炼钢参数表!J134-AB134*0.6566*炼钢参数表!L134/10-AC134*($AC$3/100)*炼钢参数表!L134/10)/100/($AD$3/100)/炼钢参数表!L134*1000))</f>
        <v>0</v>
      </c>
      <c r="AE134" s="8">
        <f>(K134-炼钢参数表!J134-AB134*0.6566*炼钢参数表!L134/10-AC134*($AC$3/100)*炼钢参数表!L134/10-AD134*($AD$3/100)*炼钢参数表!L134/10)/100/($AE$3/100)/炼钢参数表!L134*1000</f>
        <v>0</v>
      </c>
      <c r="AF134" s="8">
        <v>0</v>
      </c>
      <c r="AG134" s="8">
        <f>IF(J134&lt;=0.04,0,((J134-(AB134*0.1769*炼钢参数表!K134/1000*100))/100/炼钢参数表!K134/($AG$3/100)*1000))</f>
        <v>5.4320681649039797E-2</v>
      </c>
      <c r="AH134" s="8">
        <v>1.6</v>
      </c>
      <c r="AI134" s="8">
        <f>IF(N134="",0,IF(N134&lt;=0.002,0,((N134)/100)/($AI$3/100)/炼钢参数表!M134*1000))</f>
        <v>0</v>
      </c>
      <c r="AJ134" s="8">
        <f>IF(O134="",0,IF(O134&lt;=0.002,0,((O134)/100)/($AJ$3/100)/炼钢参数表!N134*1000))</f>
        <v>0.15688932399528099</v>
      </c>
      <c r="AK134" s="8">
        <f>IF(P134="",0,IF(P134&lt;=0.002,0,((P134+0.005)/100)/($AK$3/100)/炼钢参数表!O134*1000))</f>
        <v>0.399153793956812</v>
      </c>
      <c r="AL134" s="8">
        <f>IF((BA134-J134*0.00003-K134*0.00024)&lt;=0.05,0,IF(T134="",0,IF(T134&lt;=0.03,0,IF(((BA134-J134*0.00003-K134*0.00024)-0.05)/0.18/100/($AL$3/100)/炼钢参数表!P134*1000&lt;=T134/100/($AL$3/100)/炼钢参数表!P134*1000,((BA134-J134*0.00003-K134*0.00024)-0.05)/0.18/100/($AL$3/100)/炼钢参数表!P134*1000,T134/100/($AL$3/100)/炼钢参数表!P134*1000))))</f>
        <v>0</v>
      </c>
      <c r="AM134" s="8">
        <f>IF(T134="",0,IF(T134&lt;=0.03,0,((T134-AL134*($AL$3/100)*炼钢参数表!P134/10)/100/($AM$3/100)/炼钢参数表!P134*1000)))</f>
        <v>0</v>
      </c>
      <c r="AN134" s="8">
        <f>IF(U134="",0,IF(U134&lt;=0.02,0,(U134/100)/($AN$3/100)/炼钢参数表!Q134*1000))</f>
        <v>0</v>
      </c>
      <c r="AO134" s="8">
        <f>IF(V134="",0,IF(V134&lt;=0.02,0,(V134/100)/($AO$3/100)/炼钢参数表!R134*1000))</f>
        <v>0</v>
      </c>
      <c r="AP134" s="8">
        <f>IF(W134="",0,IF(W134&lt;=0.02,0,(W134/100)/($AP$3/100)/炼钢参数表!S134*1000))</f>
        <v>0</v>
      </c>
      <c r="AQ134" s="8">
        <f>IF(X134="",0,IF(X134&lt;=0.0002,0,(X134/100)/($AQ$3/100)/炼钢参数表!T134*1000))</f>
        <v>0</v>
      </c>
      <c r="AR134" s="8">
        <f>IF(Y134="",0,IF(Y134&lt;=0.02,0,(Y134/100)/($AR$3/100)/炼钢参数表!U134*1000))</f>
        <v>0</v>
      </c>
      <c r="AS134" s="8">
        <f>IF(L134&lt;=0.04,0,((L134-0.04)/100)/($AS$3/100)/炼钢参数表!V134*1000)</f>
        <v>0</v>
      </c>
      <c r="AT134" s="8">
        <f>IF(M134&lt;=0.03,0,((M134-0.03)/100)/($AT$3/100)/炼钢参数表!W134*1000)</f>
        <v>0</v>
      </c>
      <c r="AU134" s="6"/>
      <c r="AV134" s="8">
        <f t="shared" si="12"/>
        <v>18.240686985835701</v>
      </c>
      <c r="AW134" s="8" cm="1">
        <f t="array" ref="AW134">SUMPRODUCT($AB$4:$AU$4,AB134:AU134)/1000</f>
        <v>166.38028561863601</v>
      </c>
      <c r="AY134" s="2" t="str">
        <f t="shared" si="18"/>
        <v>SA516 Gr70-1</v>
      </c>
      <c r="AZ134" s="37">
        <f>VLOOKUP(AY134,炼钢参数表!$F$5:$J$1027,4,0)</f>
        <v>5.1999999999999998E-2</v>
      </c>
      <c r="BA134" s="37">
        <f t="shared" si="19"/>
        <v>0.108</v>
      </c>
      <c r="BB134" s="37">
        <f>AB134*$BB$4*炼钢参数表!$X$5/1000</f>
        <v>2.4814940292291102E-2</v>
      </c>
      <c r="BC134" s="37">
        <f>AC134*$BC$4*炼钢参数表!$X$5/1000</f>
        <v>0</v>
      </c>
      <c r="BD134" s="37">
        <f>AD134*$BD$4*炼钢参数表!$X$5/1000</f>
        <v>0</v>
      </c>
      <c r="BE134" s="37">
        <f>AE134*$BE$4*炼钢参数表!$X$5/1000</f>
        <v>0</v>
      </c>
      <c r="BF134" s="37">
        <f>AL134*$BF$4*炼钢参数表!$X$5/1000</f>
        <v>0</v>
      </c>
      <c r="BG134" s="37">
        <f>AM134*$BG$4*炼钢参数表!$X$5/1000</f>
        <v>0</v>
      </c>
      <c r="BH134" s="37">
        <f t="shared" si="20"/>
        <v>2.4814940292291102E-2</v>
      </c>
      <c r="BI134" s="37">
        <f t="shared" si="21"/>
        <v>7.6814940292291106E-2</v>
      </c>
      <c r="BJ134" s="37">
        <f t="shared" si="22"/>
        <v>-8.3185059707708897E-2</v>
      </c>
      <c r="BK134" s="54"/>
      <c r="BL134" s="7"/>
    </row>
    <row r="135" spans="1:65" s="18" customFormat="1" x14ac:dyDescent="0.3">
      <c r="A135" s="21">
        <v>131</v>
      </c>
      <c r="B135" s="4" t="s">
        <v>220</v>
      </c>
      <c r="C135" s="4" t="s">
        <v>23</v>
      </c>
      <c r="D135" s="4">
        <v>1.5</v>
      </c>
      <c r="E135" s="4">
        <v>12</v>
      </c>
      <c r="F135" s="4" t="s">
        <v>221</v>
      </c>
      <c r="G135" s="50" t="s">
        <v>222</v>
      </c>
      <c r="H135" s="4">
        <v>1520</v>
      </c>
      <c r="I135" s="51">
        <v>0.15</v>
      </c>
      <c r="J135" s="52">
        <v>0.1</v>
      </c>
      <c r="K135" s="52">
        <v>0.3</v>
      </c>
      <c r="L135" s="51">
        <v>0.02</v>
      </c>
      <c r="M135" s="51">
        <v>0.01</v>
      </c>
      <c r="N135" s="51"/>
      <c r="O135" s="51" t="s">
        <v>631</v>
      </c>
      <c r="P135" s="51" t="s">
        <v>631</v>
      </c>
      <c r="Q135" s="51">
        <v>1.4999999999999999E-2</v>
      </c>
      <c r="R135" s="51" t="s">
        <v>631</v>
      </c>
      <c r="S135" s="32"/>
      <c r="T135" s="52"/>
      <c r="U135" s="52"/>
      <c r="V135" s="52"/>
      <c r="W135" s="52"/>
      <c r="X135" s="32" t="s">
        <v>631</v>
      </c>
      <c r="Y135" s="53" t="s">
        <v>631</v>
      </c>
      <c r="Z135" s="4">
        <v>50</v>
      </c>
      <c r="AA135" s="53" t="s">
        <v>637</v>
      </c>
      <c r="AB135" s="42">
        <f>IF(J135&lt;=0.04,0,IF((BA135-AL135*BF$4*炼钢参数表!$X$5/1000-AM135*BG$4*炼钢参数表!$X$5/1000)&lt;=0.03,0,IF((J135/100/0.1769/炼钢参数表!K135*1000)&gt;(K135-炼钢参数表!J135)/100/0.6566/炼钢参数表!L135*1000,IF(K135&lt;1.6,(K135-炼钢参数表!J135)/100/0.6566/炼钢参数表!L135*1000,(K135-0.08-炼钢参数表!J135)/100/0.6566/炼钢参数表!L135*1000),IF(K135&lt;1.6,J135/100/0.1769/炼钢参数表!K135*1000,(J135-0.08)/100/0.1769/炼钢参数表!K135*1000))))</f>
        <v>2.7353423373934498</v>
      </c>
      <c r="AC135" s="8">
        <f>IF((BA135-AB135*$BB$4*0.9/1000-AL135*BF$4*炼钢参数表!$X$5/1000-AM135*BG$4*炼钢参数表!$X$5/1000)&lt;(K135-炼钢参数表!J135-AB135*0.6566*炼钢参数表!L135/10)*0.082,0,(K135-炼钢参数表!J135-AB135*0.6566*炼钢参数表!L135/10)/100/($AC$3/100)/炼钢参数表!L135*1000)</f>
        <v>0</v>
      </c>
      <c r="AD135" s="8">
        <f>IF((BA135-AB135*$BB$4*0.9/1000-AC135*$BC$4*0.9/1000-AL135*BF$4*炼钢参数表!$X$5/1000-AM135*BG$4*炼钢参数表!$X$5/1000)&lt;=(K135-炼钢参数表!J135-AB135*0.6566*炼钢参数表!L135/10-AC135*($AC$3/100)*炼钢参数表!L135/10)*0.02,0,((K135-炼钢参数表!J135-AB135*0.6566*炼钢参数表!L135/10-AC135*($AC$3/100)*炼钢参数表!L135/10)/100/($AD$3/100)/炼钢参数表!L135*1000))</f>
        <v>0</v>
      </c>
      <c r="AE135" s="8">
        <f>(K135-炼钢参数表!J135-AB135*0.6566*炼钢参数表!L135/10-AC135*($AC$3/100)*炼钢参数表!L135/10-AD135*($AD$3/100)*炼钢参数表!L135/10)/100/($AE$3/100)/炼钢参数表!L135*1000</f>
        <v>0</v>
      </c>
      <c r="AF135" s="8">
        <v>0</v>
      </c>
      <c r="AG135" s="8">
        <f>IF(J135&lt;=0.04,0,((J135-(AB135*0.1769*炼钢参数表!K135/1000*100))/100/炼钢参数表!K135/($AG$3/100)*1000))</f>
        <v>1.0606644614635199</v>
      </c>
      <c r="AH135" s="8">
        <v>1.3</v>
      </c>
      <c r="AI135" s="8">
        <f>IF(N135="",0,IF(N135&lt;=0.002,0,((N135)/100)/($AI$3/100)/炼钢参数表!M135*1000))</f>
        <v>0</v>
      </c>
      <c r="AJ135" s="8">
        <f>IF(O135="",0,IF(O135&lt;=0.002,0,((O135)/100)/($AJ$3/100)/炼钢参数表!N135*1000))</f>
        <v>0</v>
      </c>
      <c r="AK135" s="8">
        <f>IF(P135="",0,IF(P135&lt;=0.002,0,((P135+0.005)/100)/($AK$3/100)/炼钢参数表!O135*1000))</f>
        <v>0</v>
      </c>
      <c r="AL135" s="8">
        <f>IF((BA135-J135*0.00003-K135*0.00024)&lt;=0.05,0,IF(T135="",0,IF(T135&lt;=0.03,0,IF(((BA135-J135*0.00003-K135*0.00024)-0.05)/0.18/100/($AL$3/100)/炼钢参数表!P135*1000&lt;=T135/100/($AL$3/100)/炼钢参数表!P135*1000,((BA135-J135*0.00003-K135*0.00024)-0.05)/0.18/100/($AL$3/100)/炼钢参数表!P135*1000,T135/100/($AL$3/100)/炼钢参数表!P135*1000))))</f>
        <v>0</v>
      </c>
      <c r="AM135" s="8">
        <f>IF(T135="",0,IF(T135&lt;=0.03,0,((T135-AL135*($AL$3/100)*炼钢参数表!P135/10)/100/($AM$3/100)/炼钢参数表!P135*1000)))</f>
        <v>0</v>
      </c>
      <c r="AN135" s="8">
        <f>IF(U135="",0,IF(U135&lt;=0.02,0,(U135/100)/($AN$3/100)/炼钢参数表!Q135*1000))</f>
        <v>0</v>
      </c>
      <c r="AO135" s="8">
        <f>IF(V135="",0,IF(V135&lt;=0.02,0,(V135/100)/($AO$3/100)/炼钢参数表!R135*1000))</f>
        <v>0</v>
      </c>
      <c r="AP135" s="8">
        <f>IF(W135="",0,IF(W135&lt;=0.02,0,(W135/100)/($AP$3/100)/炼钢参数表!S135*1000))</f>
        <v>0</v>
      </c>
      <c r="AQ135" s="8">
        <f>IF(X135="",0,IF(X135&lt;=0.0002,0,(X135/100)/($AQ$3/100)/炼钢参数表!T135*1000))</f>
        <v>0</v>
      </c>
      <c r="AR135" s="8">
        <f>IF(Y135="",0,IF(Y135&lt;=0.02,0,(Y135/100)/($AR$3/100)/炼钢参数表!U135*1000))</f>
        <v>0</v>
      </c>
      <c r="AS135" s="8">
        <f>IF(L135&lt;=0.04,0,((L135-0.04)/100)/($AS$3/100)/炼钢参数表!V135*1000)</f>
        <v>0</v>
      </c>
      <c r="AT135" s="8">
        <f>IF(M135&lt;=0.03,0,((M135-0.03)/100)/($AT$3/100)/炼钢参数表!W135*1000)</f>
        <v>0</v>
      </c>
      <c r="AU135" s="6"/>
      <c r="AV135" s="8">
        <f t="shared" si="12"/>
        <v>5.0960067988569699</v>
      </c>
      <c r="AW135" s="8" cm="1">
        <f t="array" ref="AW135">SUMPRODUCT($AB$4:$AU$4,AB135:AU135)/1000</f>
        <v>49.377382541945202</v>
      </c>
      <c r="AY135" s="2" t="str">
        <f t="shared" si="18"/>
        <v>S235JR-1</v>
      </c>
      <c r="AZ135" s="37">
        <f>VLOOKUP(AY135,炼钢参数表!$F$5:$J$1027,4,0)</f>
        <v>7.2042105263157893E-2</v>
      </c>
      <c r="BA135" s="37">
        <f t="shared" si="19"/>
        <v>7.7957894736842101E-2</v>
      </c>
      <c r="BB135" s="37">
        <f>AB135*$BB$4*炼钢参数表!$X$5/1000</f>
        <v>4.2343099382850602E-3</v>
      </c>
      <c r="BC135" s="37">
        <f>AC135*$BC$4*炼钢参数表!$X$5/1000</f>
        <v>0</v>
      </c>
      <c r="BD135" s="37">
        <f>AD135*$BD$4*炼钢参数表!$X$5/1000</f>
        <v>0</v>
      </c>
      <c r="BE135" s="37">
        <f>AE135*$BE$4*炼钢参数表!$X$5/1000</f>
        <v>0</v>
      </c>
      <c r="BF135" s="37">
        <f>AL135*$BF$4*炼钢参数表!$X$5/1000</f>
        <v>0</v>
      </c>
      <c r="BG135" s="37">
        <f>AM135*$BG$4*炼钢参数表!$X$5/1000</f>
        <v>0</v>
      </c>
      <c r="BH135" s="37">
        <f t="shared" si="20"/>
        <v>4.2343099382850602E-3</v>
      </c>
      <c r="BI135" s="37">
        <f t="shared" si="21"/>
        <v>7.6276415201443001E-2</v>
      </c>
      <c r="BJ135" s="37">
        <f t="shared" si="22"/>
        <v>-7.3723584798556993E-2</v>
      </c>
      <c r="BK135" s="54"/>
      <c r="BL135" s="7"/>
    </row>
    <row r="136" spans="1:65" s="18" customFormat="1" x14ac:dyDescent="0.3">
      <c r="A136" s="21">
        <v>132</v>
      </c>
      <c r="B136" s="4" t="s">
        <v>220</v>
      </c>
      <c r="C136" s="4" t="s">
        <v>26</v>
      </c>
      <c r="D136" s="4">
        <v>12.01</v>
      </c>
      <c r="E136" s="4">
        <v>25.4</v>
      </c>
      <c r="F136" s="4" t="s">
        <v>223</v>
      </c>
      <c r="G136" s="50" t="s">
        <v>222</v>
      </c>
      <c r="H136" s="4">
        <v>1521</v>
      </c>
      <c r="I136" s="51">
        <v>0.15</v>
      </c>
      <c r="J136" s="52">
        <v>0.1</v>
      </c>
      <c r="K136" s="52">
        <v>0.4</v>
      </c>
      <c r="L136" s="51">
        <v>0.02</v>
      </c>
      <c r="M136" s="51">
        <v>0.01</v>
      </c>
      <c r="N136" s="51"/>
      <c r="O136" s="51" t="s">
        <v>631</v>
      </c>
      <c r="P136" s="51" t="s">
        <v>631</v>
      </c>
      <c r="Q136" s="51">
        <v>1.4999999999999999E-2</v>
      </c>
      <c r="R136" s="51" t="s">
        <v>631</v>
      </c>
      <c r="S136" s="32"/>
      <c r="T136" s="52"/>
      <c r="U136" s="52"/>
      <c r="V136" s="52"/>
      <c r="W136" s="52"/>
      <c r="X136" s="32" t="s">
        <v>631</v>
      </c>
      <c r="Y136" s="53" t="s">
        <v>631</v>
      </c>
      <c r="Z136" s="4">
        <v>50</v>
      </c>
      <c r="AA136" s="53" t="s">
        <v>637</v>
      </c>
      <c r="AB136" s="42">
        <f>IF(J136&lt;=0.04,0,IF((BA136-AL136*BF$4*炼钢参数表!$X$5/1000-AM136*BG$4*炼钢参数表!$X$5/1000)&lt;=0.03,0,IF((J136/100/0.1769/炼钢参数表!K136*1000)&gt;(K136-炼钢参数表!J136)/100/0.6566/炼钢参数表!L136*1000,IF(K136&lt;1.6,(K136-炼钢参数表!J136)/100/0.6566/炼钢参数表!L136*1000,(K136-0.08-炼钢参数表!J136)/100/0.6566/炼钢参数表!L136*1000),IF(K136&lt;1.6,J136/100/0.1769/炼钢参数表!K136*1000,(J136-0.08)/100/0.1769/炼钢参数表!K136*1000))))</f>
        <v>3.91579301534808</v>
      </c>
      <c r="AC136" s="8">
        <f>IF((BA136-AB136*$BB$4*0.9/1000-AL136*BF$4*炼钢参数表!$X$5/1000-AM136*BG$4*炼钢参数表!$X$5/1000)&lt;(K136-炼钢参数表!J136-AB136*0.6566*炼钢参数表!L136/10)*0.082,0,(K136-炼钢参数表!J136-AB136*0.6566*炼钢参数表!L136/10)/100/($AC$3/100)/炼钢参数表!L136*1000)</f>
        <v>0</v>
      </c>
      <c r="AD136" s="8">
        <f>IF((BA136-AB136*$BB$4*0.9/1000-AC136*$BC$4*0.9/1000-AL136*BF$4*炼钢参数表!$X$5/1000-AM136*BG$4*炼钢参数表!$X$5/1000)&lt;=(K136-炼钢参数表!J136-AB136*0.6566*炼钢参数表!L136/10-AC136*($AC$3/100)*炼钢参数表!L136/10)*0.02,0,((K136-炼钢参数表!J136-AB136*0.6566*炼钢参数表!L136/10-AC136*($AC$3/100)*炼钢参数表!L136/10)/100/($AD$3/100)/炼钢参数表!L136*1000))</f>
        <v>0</v>
      </c>
      <c r="AE136" s="8">
        <f>(K136-炼钢参数表!J136-AB136*0.6566*炼钢参数表!L136/10-AC136*($AC$3/100)*炼钢参数表!L136/10-AD136*($AD$3/100)*炼钢参数表!L136/10)/100/($AE$3/100)/炼钢参数表!L136*1000</f>
        <v>0</v>
      </c>
      <c r="AF136" s="8">
        <v>0</v>
      </c>
      <c r="AG136" s="8">
        <f>IF(J136&lt;=0.04,0,((J136-(AB136*0.1769*炼钢参数表!K136/1000*100))/100/炼钢参数表!K136/($AG$3/100)*1000))</f>
        <v>0.77155782304433596</v>
      </c>
      <c r="AH136" s="8">
        <v>1.3</v>
      </c>
      <c r="AI136" s="8">
        <f>IF(N136="",0,IF(N136&lt;=0.002,0,((N136)/100)/($AI$3/100)/炼钢参数表!M136*1000))</f>
        <v>0</v>
      </c>
      <c r="AJ136" s="8">
        <f>IF(O136="",0,IF(O136&lt;=0.002,0,((O136)/100)/($AJ$3/100)/炼钢参数表!N136*1000))</f>
        <v>0</v>
      </c>
      <c r="AK136" s="8">
        <f>IF(P136="",0,IF(P136&lt;=0.002,0,((P136+0.005)/100)/($AK$3/100)/炼钢参数表!O136*1000))</f>
        <v>0</v>
      </c>
      <c r="AL136" s="8">
        <f>IF((BA136-J136*0.00003-K136*0.00024)&lt;=0.05,0,IF(T136="",0,IF(T136&lt;=0.03,0,IF(((BA136-J136*0.00003-K136*0.00024)-0.05)/0.18/100/($AL$3/100)/炼钢参数表!P136*1000&lt;=T136/100/($AL$3/100)/炼钢参数表!P136*1000,((BA136-J136*0.00003-K136*0.00024)-0.05)/0.18/100/($AL$3/100)/炼钢参数表!P136*1000,T136/100/($AL$3/100)/炼钢参数表!P136*1000))))</f>
        <v>0</v>
      </c>
      <c r="AM136" s="8">
        <f>IF(T136="",0,IF(T136&lt;=0.03,0,((T136-AL136*($AL$3/100)*炼钢参数表!P136/10)/100/($AM$3/100)/炼钢参数表!P136*1000)))</f>
        <v>0</v>
      </c>
      <c r="AN136" s="8">
        <f>IF(U136="",0,IF(U136&lt;=0.02,0,(U136/100)/($AN$3/100)/炼钢参数表!Q136*1000))</f>
        <v>0</v>
      </c>
      <c r="AO136" s="8">
        <f>IF(V136="",0,IF(V136&lt;=0.02,0,(V136/100)/($AO$3/100)/炼钢参数表!R136*1000))</f>
        <v>0</v>
      </c>
      <c r="AP136" s="8">
        <f>IF(W136="",0,IF(W136&lt;=0.02,0,(W136/100)/($AP$3/100)/炼钢参数表!S136*1000))</f>
        <v>0</v>
      </c>
      <c r="AQ136" s="8">
        <f>IF(X136="",0,IF(X136&lt;=0.0002,0,(X136/100)/($AQ$3/100)/炼钢参数表!T136*1000))</f>
        <v>0</v>
      </c>
      <c r="AR136" s="8">
        <f>IF(Y136="",0,IF(Y136&lt;=0.02,0,(Y136/100)/($AR$3/100)/炼钢参数表!U136*1000))</f>
        <v>0</v>
      </c>
      <c r="AS136" s="8">
        <f>IF(L136&lt;=0.04,0,((L136-0.04)/100)/($AS$3/100)/炼钢参数表!V136*1000)</f>
        <v>0</v>
      </c>
      <c r="AT136" s="8">
        <f>IF(M136&lt;=0.03,0,((M136-0.03)/100)/($AT$3/100)/炼钢参数表!W136*1000)</f>
        <v>0</v>
      </c>
      <c r="AU136" s="6"/>
      <c r="AV136" s="8">
        <f t="shared" si="12"/>
        <v>5.9873508383924197</v>
      </c>
      <c r="AW136" s="8" cm="1">
        <f t="array" ref="AW136">SUMPRODUCT($AB$4:$AU$4,AB136:AU136)/1000</f>
        <v>54.281805333737601</v>
      </c>
      <c r="AY136" s="2" t="str">
        <f t="shared" si="18"/>
        <v>S235JR-2</v>
      </c>
      <c r="AZ136" s="37">
        <f>VLOOKUP(AY136,炼钢参数表!$F$5:$J$1027,4,0)</f>
        <v>7.6249999999999998E-2</v>
      </c>
      <c r="BA136" s="37">
        <f t="shared" si="19"/>
        <v>7.3749999999999996E-2</v>
      </c>
      <c r="BB136" s="37">
        <f>AB136*$BB$4*炼钢参数表!$X$5/1000</f>
        <v>6.0616475877588302E-3</v>
      </c>
      <c r="BC136" s="37">
        <f>AC136*$BC$4*炼钢参数表!$X$5/1000</f>
        <v>0</v>
      </c>
      <c r="BD136" s="37">
        <f>AD136*$BD$4*炼钢参数表!$X$5/1000</f>
        <v>0</v>
      </c>
      <c r="BE136" s="37">
        <f>AE136*$BE$4*炼钢参数表!$X$5/1000</f>
        <v>0</v>
      </c>
      <c r="BF136" s="37">
        <f>AL136*$BF$4*炼钢参数表!$X$5/1000</f>
        <v>0</v>
      </c>
      <c r="BG136" s="37">
        <f>AM136*$BG$4*炼钢参数表!$X$5/1000</f>
        <v>0</v>
      </c>
      <c r="BH136" s="37">
        <f t="shared" si="20"/>
        <v>6.0616475877588302E-3</v>
      </c>
      <c r="BI136" s="37">
        <f t="shared" si="21"/>
        <v>8.2311647587758802E-2</v>
      </c>
      <c r="BJ136" s="37">
        <f t="shared" si="22"/>
        <v>-6.7688352412241207E-2</v>
      </c>
      <c r="BK136" s="54"/>
      <c r="BL136" s="7"/>
    </row>
    <row r="137" spans="1:65" s="18" customFormat="1" x14ac:dyDescent="0.3">
      <c r="A137" s="21">
        <v>133</v>
      </c>
      <c r="B137" s="4" t="s">
        <v>224</v>
      </c>
      <c r="C137" s="4" t="s">
        <v>23</v>
      </c>
      <c r="D137" s="4">
        <v>1.5</v>
      </c>
      <c r="E137" s="4">
        <v>12</v>
      </c>
      <c r="F137" s="4" t="s">
        <v>225</v>
      </c>
      <c r="G137" s="50" t="s">
        <v>226</v>
      </c>
      <c r="H137" s="4">
        <v>1521</v>
      </c>
      <c r="I137" s="51">
        <v>0.15</v>
      </c>
      <c r="J137" s="52">
        <v>0.02</v>
      </c>
      <c r="K137" s="52">
        <v>0.35</v>
      </c>
      <c r="L137" s="51">
        <v>0.02</v>
      </c>
      <c r="M137" s="51">
        <v>0.01</v>
      </c>
      <c r="N137" s="51"/>
      <c r="O137" s="51" t="s">
        <v>631</v>
      </c>
      <c r="P137" s="51" t="s">
        <v>631</v>
      </c>
      <c r="Q137" s="51">
        <v>1.4999999999999999E-2</v>
      </c>
      <c r="R137" s="51" t="s">
        <v>631</v>
      </c>
      <c r="S137" s="32"/>
      <c r="T137" s="52"/>
      <c r="U137" s="52"/>
      <c r="V137" s="52"/>
      <c r="W137" s="52"/>
      <c r="X137" s="32" t="s">
        <v>631</v>
      </c>
      <c r="Y137" s="53" t="s">
        <v>631</v>
      </c>
      <c r="Z137" s="4">
        <v>50</v>
      </c>
      <c r="AA137" s="53"/>
      <c r="AB137" s="42">
        <f>IF(J137&lt;=0.04,0,IF((BA137-AL137*BF$4*炼钢参数表!$X$5/1000-AM137*BG$4*炼钢参数表!$X$5/1000)&lt;=0.03,0,IF((J137/100/0.1769/炼钢参数表!K137*1000)&gt;(K137-炼钢参数表!J137)/100/0.6566/炼钢参数表!L137*1000,IF(K137&lt;1.6,(K137-炼钢参数表!J137)/100/0.6566/炼钢参数表!L137*1000,(K137-0.08-炼钢参数表!J137)/100/0.6566/炼钢参数表!L137*1000),IF(K137&lt;1.6,J137/100/0.1769/炼钢参数表!K137*1000,(J137-0.08)/100/0.1769/炼钢参数表!K137*1000))))</f>
        <v>0</v>
      </c>
      <c r="AC137" s="8">
        <f>IF((BA137-AB137*$BB$4*0.9/1000-AL137*BF$4*炼钢参数表!$X$5/1000-AM137*BG$4*炼钢参数表!$X$5/1000)&lt;(K137-炼钢参数表!J137-AB137*0.6566*炼钢参数表!L137/10)*0.082,0,(K137-炼钢参数表!J137-AB137*0.6566*炼钢参数表!L137/10)/100/($AC$3/100)/炼钢参数表!L137*1000)</f>
        <v>2.9032390436067201</v>
      </c>
      <c r="AD137" s="8">
        <f>IF((BA137-AB137*$BB$4*0.9/1000-AC137*$BC$4*0.9/1000-AL137*BF$4*炼钢参数表!$X$5/1000-AM137*BG$4*炼钢参数表!$X$5/1000)&lt;=(K137-炼钢参数表!J137-AB137*0.6566*炼钢参数表!L137/10-AC137*($AC$3/100)*炼钢参数表!L137/10)*0.02,0,((K137-炼钢参数表!J137-AB137*0.6566*炼钢参数表!L137/10-AC137*($AC$3/100)*炼钢参数表!L137/10)/100/($AD$3/100)/炼钢参数表!L137*1000))</f>
        <v>0</v>
      </c>
      <c r="AE137" s="8">
        <f>(K137-炼钢参数表!J137-AB137*0.6566*炼钢参数表!L137/10-AC137*($AC$3/100)*炼钢参数表!L137/10-AD137*($AD$3/100)*炼钢参数表!L137/10)/100/($AE$3/100)/炼钢参数表!L137*1000</f>
        <v>0</v>
      </c>
      <c r="AF137" s="8">
        <v>0</v>
      </c>
      <c r="AG137" s="8">
        <f>IF(J137&lt;=0.04,0,((J137-(AB137*0.1769*炼钢参数表!K137/1000*100))/100/炼钢参数表!K137/($AG$3/100)*1000))</f>
        <v>0</v>
      </c>
      <c r="AH137" s="8">
        <v>1.7</v>
      </c>
      <c r="AI137" s="8">
        <f>IF(N137="",0,IF(N137&lt;=0.002,0,((N137)/100)/($AI$3/100)/炼钢参数表!M137*1000))</f>
        <v>0</v>
      </c>
      <c r="AJ137" s="8">
        <f>IF(O137="",0,IF(O137&lt;=0.002,0,((O137)/100)/($AJ$3/100)/炼钢参数表!N137*1000))</f>
        <v>0</v>
      </c>
      <c r="AK137" s="8">
        <f>IF(P137="",0,IF(P137&lt;=0.002,0,((P137+0.005)/100)/($AK$3/100)/炼钢参数表!O137*1000))</f>
        <v>0</v>
      </c>
      <c r="AL137" s="8">
        <f>IF((BA137-J137*0.00003-K137*0.00024)&lt;=0.05,0,IF(T137="",0,IF(T137&lt;=0.03,0,IF(((BA137-J137*0.00003-K137*0.00024)-0.05)/0.18/100/($AL$3/100)/炼钢参数表!P137*1000&lt;=T137/100/($AL$3/100)/炼钢参数表!P137*1000,((BA137-J137*0.00003-K137*0.00024)-0.05)/0.18/100/($AL$3/100)/炼钢参数表!P137*1000,T137/100/($AL$3/100)/炼钢参数表!P137*1000))))</f>
        <v>0</v>
      </c>
      <c r="AM137" s="8">
        <f>IF(T137="",0,IF(T137&lt;=0.03,0,((T137-AL137*($AL$3/100)*炼钢参数表!P137/10)/100/($AM$3/100)/炼钢参数表!P137*1000)))</f>
        <v>0</v>
      </c>
      <c r="AN137" s="8">
        <f>IF(U137="",0,IF(U137&lt;=0.02,0,(U137/100)/($AN$3/100)/炼钢参数表!Q137*1000))</f>
        <v>0</v>
      </c>
      <c r="AO137" s="8">
        <f>IF(V137="",0,IF(V137&lt;=0.02,0,(V137/100)/($AO$3/100)/炼钢参数表!R137*1000))</f>
        <v>0</v>
      </c>
      <c r="AP137" s="8">
        <f>IF(W137="",0,IF(W137&lt;=0.02,0,(W137/100)/($AP$3/100)/炼钢参数表!S137*1000))</f>
        <v>0</v>
      </c>
      <c r="AQ137" s="8">
        <f>IF(X137="",0,IF(X137&lt;=0.0002,0,(X137/100)/($AQ$3/100)/炼钢参数表!T137*1000))</f>
        <v>0</v>
      </c>
      <c r="AR137" s="8">
        <f>IF(Y137="",0,IF(Y137&lt;=0.02,0,(Y137/100)/($AR$3/100)/炼钢参数表!U137*1000))</f>
        <v>0</v>
      </c>
      <c r="AS137" s="8">
        <f>IF(L137&lt;=0.04,0,((L137-0.04)/100)/($AS$3/100)/炼钢参数表!V137*1000)</f>
        <v>0</v>
      </c>
      <c r="AT137" s="8">
        <f>IF(M137&lt;=0.03,0,((M137-0.03)/100)/($AT$3/100)/炼钢参数表!W137*1000)</f>
        <v>0</v>
      </c>
      <c r="AU137" s="6"/>
      <c r="AV137" s="8">
        <f t="shared" ref="AV137:AV200" si="23">SUM(AB137:AU137)</f>
        <v>4.6032390436067203</v>
      </c>
      <c r="AW137" s="8" cm="1">
        <f t="array" ref="AW137">SUMPRODUCT($AB$4:$AU$4,AB137:AU137)/1000</f>
        <v>55.521082006932602</v>
      </c>
      <c r="AY137" s="2" t="str">
        <f t="shared" si="18"/>
        <v>S235JR-DX1</v>
      </c>
      <c r="AZ137" s="37">
        <f>VLOOKUP(AY137,炼钢参数表!$F$5:$J$1027,4,0)</f>
        <v>9.8000000000000004E-2</v>
      </c>
      <c r="BA137" s="37">
        <f t="shared" si="19"/>
        <v>5.1999999999999998E-2</v>
      </c>
      <c r="BB137" s="37">
        <f>AB137*$BB$4*炼钢参数表!$X$5/1000</f>
        <v>0</v>
      </c>
      <c r="BC137" s="37">
        <f>AC137*$BC$4*炼钢参数表!$X$5/1000</f>
        <v>1.74804022815561E-2</v>
      </c>
      <c r="BD137" s="37">
        <f>AD137*$BD$4*炼钢参数表!$X$5/1000</f>
        <v>0</v>
      </c>
      <c r="BE137" s="37">
        <f>AE137*$BE$4*炼钢参数表!$X$5/1000</f>
        <v>0</v>
      </c>
      <c r="BF137" s="37">
        <f>AL137*$BF$4*炼钢参数表!$X$5/1000</f>
        <v>0</v>
      </c>
      <c r="BG137" s="37">
        <f>AM137*$BG$4*炼钢参数表!$X$5/1000</f>
        <v>0</v>
      </c>
      <c r="BH137" s="37">
        <f t="shared" si="20"/>
        <v>1.74804022815561E-2</v>
      </c>
      <c r="BI137" s="37">
        <f t="shared" si="21"/>
        <v>0.115480402281556</v>
      </c>
      <c r="BJ137" s="37">
        <f t="shared" si="22"/>
        <v>-3.4519597718443901E-2</v>
      </c>
      <c r="BK137" s="54"/>
      <c r="BL137" s="7"/>
    </row>
    <row r="138" spans="1:65" s="18" customFormat="1" x14ac:dyDescent="0.3">
      <c r="A138" s="21">
        <v>134</v>
      </c>
      <c r="B138" s="4" t="s">
        <v>224</v>
      </c>
      <c r="C138" s="4" t="s">
        <v>26</v>
      </c>
      <c r="D138" s="4">
        <v>12.01</v>
      </c>
      <c r="E138" s="4">
        <v>25.4</v>
      </c>
      <c r="F138" s="4" t="s">
        <v>227</v>
      </c>
      <c r="G138" s="50" t="s">
        <v>226</v>
      </c>
      <c r="H138" s="4">
        <v>1521</v>
      </c>
      <c r="I138" s="51">
        <v>0.15</v>
      </c>
      <c r="J138" s="52">
        <v>0.02</v>
      </c>
      <c r="K138" s="52">
        <v>0.45</v>
      </c>
      <c r="L138" s="51">
        <v>0.02</v>
      </c>
      <c r="M138" s="51">
        <v>0.01</v>
      </c>
      <c r="N138" s="51"/>
      <c r="O138" s="51" t="s">
        <v>631</v>
      </c>
      <c r="P138" s="51" t="s">
        <v>631</v>
      </c>
      <c r="Q138" s="51">
        <v>1.4999999999999999E-2</v>
      </c>
      <c r="R138" s="51" t="s">
        <v>631</v>
      </c>
      <c r="S138" s="32"/>
      <c r="T138" s="52"/>
      <c r="U138" s="52"/>
      <c r="V138" s="52"/>
      <c r="W138" s="52"/>
      <c r="X138" s="32" t="s">
        <v>631</v>
      </c>
      <c r="Y138" s="53" t="s">
        <v>631</v>
      </c>
      <c r="Z138" s="4">
        <v>50</v>
      </c>
      <c r="AA138" s="53"/>
      <c r="AB138" s="42">
        <f>IF(J138&lt;=0.04,0,IF((BA138-AL138*BF$4*炼钢参数表!$X$5/1000-AM138*BG$4*炼钢参数表!$X$5/1000)&lt;=0.03,0,IF((J138/100/0.1769/炼钢参数表!K138*1000)&gt;(K138-炼钢参数表!J138)/100/0.6566/炼钢参数表!L138*1000,IF(K138&lt;1.6,(K138-炼钢参数表!J138)/100/0.6566/炼钢参数表!L138*1000,(K138-0.08-炼钢参数表!J138)/100/0.6566/炼钢参数表!L138*1000),IF(K138&lt;1.6,J138/100/0.1769/炼钢参数表!K138*1000,(J138-0.08)/100/0.1769/炼钢参数表!K138*1000))))</f>
        <v>0</v>
      </c>
      <c r="AC138" s="8">
        <f>IF((BA138-AB138*$BB$4*0.9/1000-AL138*BF$4*炼钢参数表!$X$5/1000-AM138*BG$4*炼钢参数表!$X$5/1000)&lt;(K138-炼钢参数表!J138-AB138*0.6566*炼钢参数表!L138/10)*0.082,0,(K138-炼钢参数表!J138-AB138*0.6566*炼钢参数表!L138/10)/100/($AC$3/100)/炼钢参数表!L138*1000)</f>
        <v>4.2710784045521697</v>
      </c>
      <c r="AD138" s="8">
        <f>IF((BA138-AB138*$BB$4*0.9/1000-AC138*$BC$4*0.9/1000-AL138*BF$4*炼钢参数表!$X$5/1000-AM138*BG$4*炼钢参数表!$X$5/1000)&lt;=(K138-炼钢参数表!J138-AB138*0.6566*炼钢参数表!L138/10-AC138*($AC$3/100)*炼钢参数表!L138/10)*0.02,0,((K138-炼钢参数表!J138-AB138*0.6566*炼钢参数表!L138/10-AC138*($AC$3/100)*炼钢参数表!L138/10)/100/($AD$3/100)/炼钢参数表!L138*1000))</f>
        <v>0</v>
      </c>
      <c r="AE138" s="8">
        <f>(K138-炼钢参数表!J138-AB138*0.6566*炼钢参数表!L138/10-AC138*($AC$3/100)*炼钢参数表!L138/10-AD138*($AD$3/100)*炼钢参数表!L138/10)/100/($AE$3/100)/炼钢参数表!L138*1000</f>
        <v>0</v>
      </c>
      <c r="AF138" s="8">
        <v>0</v>
      </c>
      <c r="AG138" s="8">
        <f>IF(J138&lt;=0.04,0,((J138-(AB138*0.1769*炼钢参数表!K138/1000*100))/100/炼钢参数表!K138/($AG$3/100)*1000))</f>
        <v>0</v>
      </c>
      <c r="AH138" s="8">
        <v>1.7</v>
      </c>
      <c r="AI138" s="8">
        <f>IF(N138="",0,IF(N138&lt;=0.002,0,((N138)/100)/($AI$3/100)/炼钢参数表!M138*1000))</f>
        <v>0</v>
      </c>
      <c r="AJ138" s="8">
        <f>IF(O138="",0,IF(O138&lt;=0.002,0,((O138)/100)/($AJ$3/100)/炼钢参数表!N138*1000))</f>
        <v>0</v>
      </c>
      <c r="AK138" s="8">
        <f>IF(P138="",0,IF(P138&lt;=0.002,0,((P138+0.005)/100)/($AK$3/100)/炼钢参数表!O138*1000))</f>
        <v>0</v>
      </c>
      <c r="AL138" s="8">
        <f>IF((BA138-J138*0.00003-K138*0.00024)&lt;=0.05,0,IF(T138="",0,IF(T138&lt;=0.03,0,IF(((BA138-J138*0.00003-K138*0.00024)-0.05)/0.18/100/($AL$3/100)/炼钢参数表!P138*1000&lt;=T138/100/($AL$3/100)/炼钢参数表!P138*1000,((BA138-J138*0.00003-K138*0.00024)-0.05)/0.18/100/($AL$3/100)/炼钢参数表!P138*1000,T138/100/($AL$3/100)/炼钢参数表!P138*1000))))</f>
        <v>0</v>
      </c>
      <c r="AM138" s="8">
        <f>IF(T138="",0,IF(T138&lt;=0.03,0,((T138-AL138*($AL$3/100)*炼钢参数表!P138/10)/100/($AM$3/100)/炼钢参数表!P138*1000)))</f>
        <v>0</v>
      </c>
      <c r="AN138" s="8">
        <f>IF(U138="",0,IF(U138&lt;=0.02,0,(U138/100)/($AN$3/100)/炼钢参数表!Q138*1000))</f>
        <v>0</v>
      </c>
      <c r="AO138" s="8">
        <f>IF(V138="",0,IF(V138&lt;=0.02,0,(V138/100)/($AO$3/100)/炼钢参数表!R138*1000))</f>
        <v>0</v>
      </c>
      <c r="AP138" s="8">
        <f>IF(W138="",0,IF(W138&lt;=0.02,0,(W138/100)/($AP$3/100)/炼钢参数表!S138*1000))</f>
        <v>0</v>
      </c>
      <c r="AQ138" s="8">
        <f>IF(X138="",0,IF(X138&lt;=0.0002,0,(X138/100)/($AQ$3/100)/炼钢参数表!T138*1000))</f>
        <v>0</v>
      </c>
      <c r="AR138" s="8">
        <f>IF(Y138="",0,IF(Y138&lt;=0.02,0,(Y138/100)/($AR$3/100)/炼钢参数表!U138*1000))</f>
        <v>0</v>
      </c>
      <c r="AS138" s="8">
        <f>IF(L138&lt;=0.04,0,((L138-0.04)/100)/($AS$3/100)/炼钢参数表!V138*1000)</f>
        <v>0</v>
      </c>
      <c r="AT138" s="8">
        <f>IF(M138&lt;=0.03,0,((M138-0.03)/100)/($AT$3/100)/炼钢参数表!W138*1000)</f>
        <v>0</v>
      </c>
      <c r="AU138" s="6"/>
      <c r="AV138" s="8">
        <f t="shared" si="23"/>
        <v>5.9710784045521699</v>
      </c>
      <c r="AW138" s="8" cm="1">
        <f t="array" ref="AW138">SUMPRODUCT($AB$4:$AU$4,AB138:AU138)/1000</f>
        <v>63.788642038133901</v>
      </c>
      <c r="AY138" s="2" t="str">
        <f t="shared" si="18"/>
        <v>S235JR-DX2</v>
      </c>
      <c r="AZ138" s="37">
        <f>VLOOKUP(AY138,炼钢参数表!$F$5:$J$1027,4,0)</f>
        <v>9.8000000000000004E-2</v>
      </c>
      <c r="BA138" s="37">
        <f t="shared" si="19"/>
        <v>5.1999999999999998E-2</v>
      </c>
      <c r="BB138" s="37">
        <f>AB138*$BB$4*炼钢参数表!$X$5/1000</f>
        <v>0</v>
      </c>
      <c r="BC138" s="37">
        <f>AC138*$BC$4*炼钢参数表!$X$5/1000</f>
        <v>2.5716163073808598E-2</v>
      </c>
      <c r="BD138" s="37">
        <f>AD138*$BD$4*炼钢参数表!$X$5/1000</f>
        <v>0</v>
      </c>
      <c r="BE138" s="37">
        <f>AE138*$BE$4*炼钢参数表!$X$5/1000</f>
        <v>0</v>
      </c>
      <c r="BF138" s="37">
        <f>AL138*$BF$4*炼钢参数表!$X$5/1000</f>
        <v>0</v>
      </c>
      <c r="BG138" s="37">
        <f>AM138*$BG$4*炼钢参数表!$X$5/1000</f>
        <v>0</v>
      </c>
      <c r="BH138" s="37">
        <f t="shared" si="20"/>
        <v>2.5716163073808598E-2</v>
      </c>
      <c r="BI138" s="37">
        <f t="shared" si="21"/>
        <v>0.123716163073809</v>
      </c>
      <c r="BJ138" s="37">
        <f t="shared" si="22"/>
        <v>-2.6283836926191399E-2</v>
      </c>
      <c r="BK138" s="54"/>
      <c r="BL138" s="7"/>
    </row>
    <row r="139" spans="1:65" s="18" customFormat="1" x14ac:dyDescent="0.3">
      <c r="A139" s="21">
        <v>135</v>
      </c>
      <c r="B139" s="4" t="s">
        <v>228</v>
      </c>
      <c r="C139" s="4" t="s">
        <v>23</v>
      </c>
      <c r="D139" s="4">
        <v>1.5</v>
      </c>
      <c r="E139" s="4">
        <v>12</v>
      </c>
      <c r="F139" s="4" t="s">
        <v>229</v>
      </c>
      <c r="G139" s="50" t="s">
        <v>230</v>
      </c>
      <c r="H139" s="4">
        <v>1520</v>
      </c>
      <c r="I139" s="51">
        <v>0.15</v>
      </c>
      <c r="J139" s="52">
        <v>0.1</v>
      </c>
      <c r="K139" s="52">
        <v>0.4</v>
      </c>
      <c r="L139" s="51">
        <v>1.4999999999999999E-2</v>
      </c>
      <c r="M139" s="51">
        <v>8.0000000000000002E-3</v>
      </c>
      <c r="N139" s="51"/>
      <c r="O139" s="51" t="s">
        <v>631</v>
      </c>
      <c r="P139" s="51" t="s">
        <v>631</v>
      </c>
      <c r="Q139" s="51">
        <v>2.5000000000000001E-2</v>
      </c>
      <c r="R139" s="51" t="s">
        <v>631</v>
      </c>
      <c r="S139" s="32" t="s">
        <v>631</v>
      </c>
      <c r="T139" s="52"/>
      <c r="U139" s="52"/>
      <c r="V139" s="52"/>
      <c r="W139" s="52"/>
      <c r="X139" s="32" t="s">
        <v>631</v>
      </c>
      <c r="Y139" s="53" t="s">
        <v>631</v>
      </c>
      <c r="Z139" s="4">
        <v>50</v>
      </c>
      <c r="AA139" s="53"/>
      <c r="AB139" s="42">
        <f>IF(J139&lt;=0.04,0,IF((BA139-AL139*BF$4*炼钢参数表!$X$5/1000-AM139*BG$4*炼钢参数表!$X$5/1000)&lt;=0.03,0,IF((J139/100/0.1769/炼钢参数表!K139*1000)&gt;(K139-炼钢参数表!J139)/100/0.6566/炼钢参数表!L139*1000,IF(K139&lt;1.6,(K139-炼钢参数表!J139)/100/0.6566/炼钢参数表!L139*1000,(K139-0.08-炼钢参数表!J139)/100/0.6566/炼钢参数表!L139*1000),IF(K139&lt;1.6,J139/100/0.1769/炼钢参数表!K139*1000,(J139-0.08)/100/0.1769/炼钢参数表!K139*1000))))</f>
        <v>4.0755717456035097</v>
      </c>
      <c r="AC139" s="8">
        <f>IF((BA139-AB139*$BB$4*0.9/1000-AL139*BF$4*炼钢参数表!$X$5/1000-AM139*BG$4*炼钢参数表!$X$5/1000)&lt;(K139-炼钢参数表!J139-AB139*0.6566*炼钢参数表!L139/10)*0.082,0,(K139-炼钢参数表!J139-AB139*0.6566*炼钢参数表!L139/10)/100/($AC$3/100)/炼钢参数表!L139*1000)</f>
        <v>0</v>
      </c>
      <c r="AD139" s="8">
        <f>IF((BA139-AB139*$BB$4*0.9/1000-AC139*$BC$4*0.9/1000-AL139*BF$4*炼钢参数表!$X$5/1000-AM139*BG$4*炼钢参数表!$X$5/1000)&lt;=(K139-炼钢参数表!J139-AB139*0.6566*炼钢参数表!L139/10-AC139*($AC$3/100)*炼钢参数表!L139/10)*0.02,0,((K139-炼钢参数表!J139-AB139*0.6566*炼钢参数表!L139/10-AC139*($AC$3/100)*炼钢参数表!L139/10)/100/($AD$3/100)/炼钢参数表!L139*1000))</f>
        <v>0</v>
      </c>
      <c r="AE139" s="8">
        <f>(K139-炼钢参数表!J139-AB139*0.6566*炼钢参数表!L139/10-AC139*($AC$3/100)*炼钢参数表!L139/10-AD139*($AD$3/100)*炼钢参数表!L139/10)/100/($AE$3/100)/炼钢参数表!L139*1000</f>
        <v>0</v>
      </c>
      <c r="AF139" s="8">
        <v>0</v>
      </c>
      <c r="AG139" s="8">
        <f>IF(J139&lt;=0.04,0,((J139-(AB139*0.1769*炼钢参数表!K139/1000*100))/100/炼钢参数表!K139/($AG$3/100)*1000))</f>
        <v>0.73242608085662297</v>
      </c>
      <c r="AH139" s="8">
        <v>1.4</v>
      </c>
      <c r="AI139" s="8">
        <f>IF(N139="",0,IF(N139&lt;=0.002,0,((N139)/100)/($AI$3/100)/炼钢参数表!M139*1000))</f>
        <v>0</v>
      </c>
      <c r="AJ139" s="8">
        <f>IF(O139="",0,IF(O139&lt;=0.002,0,((O139)/100)/($AJ$3/100)/炼钢参数表!N139*1000))</f>
        <v>0</v>
      </c>
      <c r="AK139" s="8">
        <f>IF(P139="",0,IF(P139&lt;=0.002,0,((P139+0.005)/100)/($AK$3/100)/炼钢参数表!O139*1000))</f>
        <v>0</v>
      </c>
      <c r="AL139" s="8">
        <f>IF((BA139-J139*0.00003-K139*0.00024)&lt;=0.05,0,IF(T139="",0,IF(T139&lt;=0.03,0,IF(((BA139-J139*0.00003-K139*0.00024)-0.05)/0.18/100/($AL$3/100)/炼钢参数表!P139*1000&lt;=T139/100/($AL$3/100)/炼钢参数表!P139*1000,((BA139-J139*0.00003-K139*0.00024)-0.05)/0.18/100/($AL$3/100)/炼钢参数表!P139*1000,T139/100/($AL$3/100)/炼钢参数表!P139*1000))))</f>
        <v>0</v>
      </c>
      <c r="AM139" s="8">
        <f>IF(T139="",0,IF(T139&lt;=0.03,0,((T139-AL139*($AL$3/100)*炼钢参数表!P139/10)/100/($AM$3/100)/炼钢参数表!P139*1000)))</f>
        <v>0</v>
      </c>
      <c r="AN139" s="8">
        <f>IF(U139="",0,IF(U139&lt;=0.02,0,(U139/100)/($AN$3/100)/炼钢参数表!Q139*1000))</f>
        <v>0</v>
      </c>
      <c r="AO139" s="8">
        <f>IF(V139="",0,IF(V139&lt;=0.02,0,(V139/100)/($AO$3/100)/炼钢参数表!R139*1000))</f>
        <v>0</v>
      </c>
      <c r="AP139" s="8">
        <f>IF(W139="",0,IF(W139&lt;=0.02,0,(W139/100)/($AP$3/100)/炼钢参数表!S139*1000))</f>
        <v>0</v>
      </c>
      <c r="AQ139" s="8">
        <f>IF(X139="",0,IF(X139&lt;=0.0002,0,(X139/100)/($AQ$3/100)/炼钢参数表!T139*1000))</f>
        <v>0</v>
      </c>
      <c r="AR139" s="8">
        <f>IF(Y139="",0,IF(Y139&lt;=0.02,0,(Y139/100)/($AR$3/100)/炼钢参数表!U139*1000))</f>
        <v>0</v>
      </c>
      <c r="AS139" s="8">
        <f>IF(L139&lt;=0.04,0,((L139-0.04)/100)/($AS$3/100)/炼钢参数表!V139*1000)</f>
        <v>0</v>
      </c>
      <c r="AT139" s="8">
        <f>IF(M139&lt;=0.03,0,((M139-0.03)/100)/($AT$3/100)/炼钢参数表!W139*1000)</f>
        <v>0</v>
      </c>
      <c r="AU139" s="6"/>
      <c r="AV139" s="8">
        <f t="shared" si="23"/>
        <v>6.2079978264601303</v>
      </c>
      <c r="AW139" s="8" cm="1">
        <f t="array" ref="AW139">SUMPRODUCT($AB$4:$AU$4,AB139:AU139)/1000</f>
        <v>57.179355428645401</v>
      </c>
      <c r="AY139" s="2" t="str">
        <f t="shared" ref="AY139:AY198" si="24">F139</f>
        <v>S235J0-1</v>
      </c>
      <c r="AZ139" s="37">
        <f>VLOOKUP(AY139,炼钢参数表!$F$5:$J$1027,4,0)</f>
        <v>9.8000000000000004E-2</v>
      </c>
      <c r="BA139" s="37">
        <f t="shared" ref="BA139:BA191" si="25">I139-AZ139</f>
        <v>5.1999999999999998E-2</v>
      </c>
      <c r="BB139" s="37">
        <f>AB139*$BB$4*炼钢参数表!$X$5/1000</f>
        <v>6.3089850621942398E-3</v>
      </c>
      <c r="BC139" s="37">
        <f>AC139*$BC$4*炼钢参数表!$X$5/1000</f>
        <v>0</v>
      </c>
      <c r="BD139" s="37">
        <f>AD139*$BD$4*炼钢参数表!$X$5/1000</f>
        <v>0</v>
      </c>
      <c r="BE139" s="37">
        <f>AE139*$BE$4*炼钢参数表!$X$5/1000</f>
        <v>0</v>
      </c>
      <c r="BF139" s="37">
        <f>AL139*$BF$4*炼钢参数表!$X$5/1000</f>
        <v>0</v>
      </c>
      <c r="BG139" s="37">
        <f>AM139*$BG$4*炼钢参数表!$X$5/1000</f>
        <v>0</v>
      </c>
      <c r="BH139" s="37">
        <f t="shared" ref="BH139:BH198" si="26">SUM(BB139:BG139)</f>
        <v>6.3089850621942398E-3</v>
      </c>
      <c r="BI139" s="37">
        <f t="shared" ref="BI139:BI198" si="27">AZ139+BH139</f>
        <v>0.10430898506219401</v>
      </c>
      <c r="BJ139" s="37">
        <f t="shared" ref="BJ139:BJ198" si="28">BI139-I139</f>
        <v>-4.56910149378058E-2</v>
      </c>
      <c r="BK139" s="54"/>
      <c r="BL139" s="7"/>
    </row>
    <row r="140" spans="1:65" s="18" customFormat="1" x14ac:dyDescent="0.3">
      <c r="A140" s="21">
        <v>136</v>
      </c>
      <c r="B140" s="4" t="s">
        <v>228</v>
      </c>
      <c r="C140" s="4" t="s">
        <v>26</v>
      </c>
      <c r="D140" s="4">
        <v>12.01</v>
      </c>
      <c r="E140" s="4">
        <v>25.4</v>
      </c>
      <c r="F140" s="4" t="s">
        <v>231</v>
      </c>
      <c r="G140" s="50" t="s">
        <v>230</v>
      </c>
      <c r="H140" s="4">
        <v>1520</v>
      </c>
      <c r="I140" s="51">
        <v>0.15</v>
      </c>
      <c r="J140" s="52">
        <v>0.1</v>
      </c>
      <c r="K140" s="52">
        <v>0.5</v>
      </c>
      <c r="L140" s="51">
        <v>1.4999999999999999E-2</v>
      </c>
      <c r="M140" s="51">
        <v>8.0000000000000002E-3</v>
      </c>
      <c r="N140" s="51"/>
      <c r="O140" s="51" t="s">
        <v>631</v>
      </c>
      <c r="P140" s="51" t="s">
        <v>631</v>
      </c>
      <c r="Q140" s="51">
        <v>2.5000000000000001E-2</v>
      </c>
      <c r="R140" s="51" t="s">
        <v>631</v>
      </c>
      <c r="S140" s="32" t="s">
        <v>631</v>
      </c>
      <c r="T140" s="52"/>
      <c r="U140" s="52"/>
      <c r="V140" s="52"/>
      <c r="W140" s="52"/>
      <c r="X140" s="32" t="s">
        <v>631</v>
      </c>
      <c r="Y140" s="53" t="s">
        <v>631</v>
      </c>
      <c r="Z140" s="4">
        <v>50</v>
      </c>
      <c r="AA140" s="53"/>
      <c r="AB140" s="42">
        <f>IF(J140&lt;=0.04,0,IF((BA140-AL140*BF$4*炼钢参数表!$X$5/1000-AM140*BG$4*炼钢参数表!$X$5/1000)&lt;=0.03,0,IF((J140/100/0.1769/炼钢参数表!K140*1000)&gt;(K140-炼钢参数表!J140)/100/0.6566/炼钢参数表!L140*1000,IF(K140&lt;1.6,(K140-炼钢参数表!J140)/100/0.6566/炼钢参数表!L140*1000,(K140-0.08-炼钢参数表!J140)/100/0.6566/炼钢参数表!L140*1000),IF(K140&lt;1.6,J140/100/0.1769/炼钢参数表!K140*1000,(J140-0.08)/100/0.1769/炼钢参数表!K140*1000))))</f>
        <v>5.62965058091467</v>
      </c>
      <c r="AC140" s="8">
        <f>IF((BA140-AB140*$BB$4*0.9/1000-AL140*BF$4*炼钢参数表!$X$5/1000-AM140*BG$4*炼钢参数表!$X$5/1000)&lt;(K140-炼钢参数表!J140-AB140*0.6566*炼钢参数表!L140/10)*0.082,0,(K140-炼钢参数表!J140-AB140*0.6566*炼钢参数表!L140/10)/100/($AC$3/100)/炼钢参数表!L140*1000)</f>
        <v>0</v>
      </c>
      <c r="AD140" s="8">
        <f>IF((BA140-AB140*$BB$4*0.9/1000-AC140*$BC$4*0.9/1000-AL140*BF$4*炼钢参数表!$X$5/1000-AM140*BG$4*炼钢参数表!$X$5/1000)&lt;=(K140-炼钢参数表!J140-AB140*0.6566*炼钢参数表!L140/10-AC140*($AC$3/100)*炼钢参数表!L140/10)*0.02,0,((K140-炼钢参数表!J140-AB140*0.6566*炼钢参数表!L140/10-AC140*($AC$3/100)*炼钢参数表!L140/10)/100/($AD$3/100)/炼钢参数表!L140*1000))</f>
        <v>0</v>
      </c>
      <c r="AE140" s="8">
        <f>(K140-炼钢参数表!J140-AB140*0.6566*炼钢参数表!L140/10-AC140*($AC$3/100)*炼钢参数表!L140/10-AD140*($AD$3/100)*炼钢参数表!L140/10)/100/($AE$3/100)/炼钢参数表!L140*1000</f>
        <v>0</v>
      </c>
      <c r="AF140" s="8">
        <v>0</v>
      </c>
      <c r="AG140" s="8">
        <f>IF(J140&lt;=0.04,0,((J140-(AB140*0.1769*炼钢参数表!K140/1000*100))/100/炼钢参数表!K140/($AG$3/100)*1000))</f>
        <v>0.35181339088494401</v>
      </c>
      <c r="AH140" s="8">
        <v>1.4</v>
      </c>
      <c r="AI140" s="8">
        <f>IF(N140="",0,IF(N140&lt;=0.002,0,((N140)/100)/($AI$3/100)/炼钢参数表!M140*1000))</f>
        <v>0</v>
      </c>
      <c r="AJ140" s="8">
        <f>IF(O140="",0,IF(O140&lt;=0.002,0,((O140)/100)/($AJ$3/100)/炼钢参数表!N140*1000))</f>
        <v>0</v>
      </c>
      <c r="AK140" s="8">
        <f>IF(P140="",0,IF(P140&lt;=0.002,0,((P140+0.005)/100)/($AK$3/100)/炼钢参数表!O140*1000))</f>
        <v>0</v>
      </c>
      <c r="AL140" s="8">
        <f>IF((BA140-J140*0.00003-K140*0.00024)&lt;=0.05,0,IF(T140="",0,IF(T140&lt;=0.03,0,IF(((BA140-J140*0.00003-K140*0.00024)-0.05)/0.18/100/($AL$3/100)/炼钢参数表!P140*1000&lt;=T140/100/($AL$3/100)/炼钢参数表!P140*1000,((BA140-J140*0.00003-K140*0.00024)-0.05)/0.18/100/($AL$3/100)/炼钢参数表!P140*1000,T140/100/($AL$3/100)/炼钢参数表!P140*1000))))</f>
        <v>0</v>
      </c>
      <c r="AM140" s="8">
        <f>IF(T140="",0,IF(T140&lt;=0.03,0,((T140-AL140*($AL$3/100)*炼钢参数表!P140/10)/100/($AM$3/100)/炼钢参数表!P140*1000)))</f>
        <v>0</v>
      </c>
      <c r="AN140" s="8">
        <f>IF(U140="",0,IF(U140&lt;=0.02,0,(U140/100)/($AN$3/100)/炼钢参数表!Q140*1000))</f>
        <v>0</v>
      </c>
      <c r="AO140" s="8">
        <f>IF(V140="",0,IF(V140&lt;=0.02,0,(V140/100)/($AO$3/100)/炼钢参数表!R140*1000))</f>
        <v>0</v>
      </c>
      <c r="AP140" s="8">
        <f>IF(W140="",0,IF(W140&lt;=0.02,0,(W140/100)/($AP$3/100)/炼钢参数表!S140*1000))</f>
        <v>0</v>
      </c>
      <c r="AQ140" s="8">
        <f>IF(X140="",0,IF(X140&lt;=0.0002,0,(X140/100)/($AQ$3/100)/炼钢参数表!T140*1000))</f>
        <v>0</v>
      </c>
      <c r="AR140" s="8">
        <f>IF(Y140="",0,IF(Y140&lt;=0.02,0,(Y140/100)/($AR$3/100)/炼钢参数表!U140*1000))</f>
        <v>0</v>
      </c>
      <c r="AS140" s="8">
        <f>IF(L140&lt;=0.04,0,((L140-0.04)/100)/($AS$3/100)/炼钢参数表!V140*1000)</f>
        <v>0</v>
      </c>
      <c r="AT140" s="8">
        <f>IF(M140&lt;=0.03,0,((M140-0.03)/100)/($AT$3/100)/炼钢参数表!W140*1000)</f>
        <v>0</v>
      </c>
      <c r="AU140" s="6"/>
      <c r="AV140" s="8">
        <f t="shared" si="23"/>
        <v>7.3814639717996098</v>
      </c>
      <c r="AW140" s="8" cm="1">
        <f t="array" ref="AW140">SUMPRODUCT($AB$4:$AU$4,AB140:AU140)/1000</f>
        <v>63.636092505834199</v>
      </c>
      <c r="AY140" s="2" t="str">
        <f t="shared" si="24"/>
        <v>S235J0-2</v>
      </c>
      <c r="AZ140" s="37">
        <f>VLOOKUP(AY140,炼钢参数表!$F$5:$J$1027,4,0)</f>
        <v>9.8000000000000004E-2</v>
      </c>
      <c r="BA140" s="37">
        <f t="shared" si="25"/>
        <v>5.1999999999999998E-2</v>
      </c>
      <c r="BB140" s="37">
        <f>AB140*$BB$4*炼钢参数表!$X$5/1000</f>
        <v>8.7146990992559101E-3</v>
      </c>
      <c r="BC140" s="37">
        <f>AC140*$BC$4*炼钢参数表!$X$5/1000</f>
        <v>0</v>
      </c>
      <c r="BD140" s="37">
        <f>AD140*$BD$4*炼钢参数表!$X$5/1000</f>
        <v>0</v>
      </c>
      <c r="BE140" s="37">
        <f>AE140*$BE$4*炼钢参数表!$X$5/1000</f>
        <v>0</v>
      </c>
      <c r="BF140" s="37">
        <f>AL140*$BF$4*炼钢参数表!$X$5/1000</f>
        <v>0</v>
      </c>
      <c r="BG140" s="37">
        <f>AM140*$BG$4*炼钢参数表!$X$5/1000</f>
        <v>0</v>
      </c>
      <c r="BH140" s="37">
        <f t="shared" si="26"/>
        <v>8.7146990992559101E-3</v>
      </c>
      <c r="BI140" s="37">
        <f t="shared" si="27"/>
        <v>0.106714699099256</v>
      </c>
      <c r="BJ140" s="37">
        <f t="shared" si="28"/>
        <v>-4.3285300900744103E-2</v>
      </c>
      <c r="BK140" s="54"/>
      <c r="BL140" s="7"/>
    </row>
    <row r="141" spans="1:65" s="18" customFormat="1" x14ac:dyDescent="0.3">
      <c r="A141" s="21">
        <v>137</v>
      </c>
      <c r="B141" s="4" t="s">
        <v>232</v>
      </c>
      <c r="C141" s="4" t="s">
        <v>23</v>
      </c>
      <c r="D141" s="4">
        <v>1.5</v>
      </c>
      <c r="E141" s="4">
        <v>12</v>
      </c>
      <c r="F141" s="4" t="s">
        <v>233</v>
      </c>
      <c r="G141" s="50" t="s">
        <v>234</v>
      </c>
      <c r="H141" s="4">
        <v>1520</v>
      </c>
      <c r="I141" s="51">
        <v>0.15</v>
      </c>
      <c r="J141" s="52">
        <v>0.1</v>
      </c>
      <c r="K141" s="52">
        <v>0.4</v>
      </c>
      <c r="L141" s="51">
        <v>0.01</v>
      </c>
      <c r="M141" s="51">
        <v>5.0000000000000001E-3</v>
      </c>
      <c r="N141" s="51"/>
      <c r="O141" s="51" t="s">
        <v>631</v>
      </c>
      <c r="P141" s="51" t="s">
        <v>631</v>
      </c>
      <c r="Q141" s="51">
        <v>2.5000000000000001E-2</v>
      </c>
      <c r="R141" s="51" t="s">
        <v>631</v>
      </c>
      <c r="S141" s="32" t="s">
        <v>631</v>
      </c>
      <c r="T141" s="52"/>
      <c r="U141" s="52"/>
      <c r="V141" s="52"/>
      <c r="W141" s="52"/>
      <c r="X141" s="32" t="s">
        <v>631</v>
      </c>
      <c r="Y141" s="53" t="s">
        <v>631</v>
      </c>
      <c r="Z141" s="4">
        <v>50</v>
      </c>
      <c r="AA141" s="53"/>
      <c r="AB141" s="42">
        <f>IF(J141&lt;=0.04,0,IF((BA141-AL141*BF$4*炼钢参数表!$X$5/1000-AM141*BG$4*炼钢参数表!$X$5/1000)&lt;=0.03,0,IF((J141/100/0.1769/炼钢参数表!K141*1000)&gt;(K141-炼钢参数表!J141)/100/0.6566/炼钢参数表!L141*1000,IF(K141&lt;1.6,(K141-炼钢参数表!J141)/100/0.6566/炼钢参数表!L141*1000,(K141-0.08-炼钢参数表!J141)/100/0.6566/炼钢参数表!L141*1000),IF(K141&lt;1.6,J141/100/0.1769/炼钢参数表!K141*1000,(J141-0.08)/100/0.1769/炼钢参数表!K141*1000))))</f>
        <v>4.0755717456035097</v>
      </c>
      <c r="AC141" s="8">
        <f>IF((BA141-AB141*$BB$4*0.9/1000-AL141*BF$4*炼钢参数表!$X$5/1000-AM141*BG$4*炼钢参数表!$X$5/1000)&lt;(K141-炼钢参数表!J141-AB141*0.6566*炼钢参数表!L141/10)*0.082,0,(K141-炼钢参数表!J141-AB141*0.6566*炼钢参数表!L141/10)/100/($AC$3/100)/炼钢参数表!L141*1000)</f>
        <v>0</v>
      </c>
      <c r="AD141" s="8">
        <f>IF((BA141-AB141*$BB$4*0.9/1000-AC141*$BC$4*0.9/1000-AL141*BF$4*炼钢参数表!$X$5/1000-AM141*BG$4*炼钢参数表!$X$5/1000)&lt;=(K141-炼钢参数表!J141-AB141*0.6566*炼钢参数表!L141/10-AC141*($AC$3/100)*炼钢参数表!L141/10)*0.02,0,((K141-炼钢参数表!J141-AB141*0.6566*炼钢参数表!L141/10-AC141*($AC$3/100)*炼钢参数表!L141/10)/100/($AD$3/100)/炼钢参数表!L141*1000))</f>
        <v>0</v>
      </c>
      <c r="AE141" s="8">
        <f>(K141-炼钢参数表!J141-AB141*0.6566*炼钢参数表!L141/10-AC141*($AC$3/100)*炼钢参数表!L141/10-AD141*($AD$3/100)*炼钢参数表!L141/10)/100/($AE$3/100)/炼钢参数表!L141*1000</f>
        <v>0</v>
      </c>
      <c r="AF141" s="8">
        <v>0</v>
      </c>
      <c r="AG141" s="8">
        <f>IF(J141&lt;=0.04,0,((J141-(AB141*0.1769*炼钢参数表!K141/1000*100))/100/炼钢参数表!K141/($AG$3/100)*1000))</f>
        <v>0.73242608085662297</v>
      </c>
      <c r="AH141" s="8">
        <v>1.4</v>
      </c>
      <c r="AI141" s="8">
        <f>IF(N141="",0,IF(N141&lt;=0.002,0,((N141)/100)/($AI$3/100)/炼钢参数表!M141*1000))</f>
        <v>0</v>
      </c>
      <c r="AJ141" s="8">
        <f>IF(O141="",0,IF(O141&lt;=0.002,0,((O141)/100)/($AJ$3/100)/炼钢参数表!N141*1000))</f>
        <v>0</v>
      </c>
      <c r="AK141" s="8">
        <f>IF(P141="",0,IF(P141&lt;=0.002,0,((P141+0.005)/100)/($AK$3/100)/炼钢参数表!O141*1000))</f>
        <v>0</v>
      </c>
      <c r="AL141" s="8">
        <f>IF((BA141-J141*0.00003-K141*0.00024)&lt;=0.05,0,IF(T141="",0,IF(T141&lt;=0.03,0,IF(((BA141-J141*0.00003-K141*0.00024)-0.05)/0.18/100/($AL$3/100)/炼钢参数表!P141*1000&lt;=T141/100/($AL$3/100)/炼钢参数表!P141*1000,((BA141-J141*0.00003-K141*0.00024)-0.05)/0.18/100/($AL$3/100)/炼钢参数表!P141*1000,T141/100/($AL$3/100)/炼钢参数表!P141*1000))))</f>
        <v>0</v>
      </c>
      <c r="AM141" s="8">
        <f>IF(T141="",0,IF(T141&lt;=0.03,0,((T141-AL141*($AL$3/100)*炼钢参数表!P141/10)/100/($AM$3/100)/炼钢参数表!P141*1000)))</f>
        <v>0</v>
      </c>
      <c r="AN141" s="8">
        <f>IF(U141="",0,IF(U141&lt;=0.02,0,(U141/100)/($AN$3/100)/炼钢参数表!Q141*1000))</f>
        <v>0</v>
      </c>
      <c r="AO141" s="8">
        <f>IF(V141="",0,IF(V141&lt;=0.02,0,(V141/100)/($AO$3/100)/炼钢参数表!R141*1000))</f>
        <v>0</v>
      </c>
      <c r="AP141" s="8">
        <f>IF(W141="",0,IF(W141&lt;=0.02,0,(W141/100)/($AP$3/100)/炼钢参数表!S141*1000))</f>
        <v>0</v>
      </c>
      <c r="AQ141" s="8">
        <f>IF(X141="",0,IF(X141&lt;=0.0002,0,(X141/100)/($AQ$3/100)/炼钢参数表!T141*1000))</f>
        <v>0</v>
      </c>
      <c r="AR141" s="8">
        <f>IF(Y141="",0,IF(Y141&lt;=0.02,0,(Y141/100)/($AR$3/100)/炼钢参数表!U141*1000))</f>
        <v>0</v>
      </c>
      <c r="AS141" s="8">
        <f>IF(L141&lt;=0.04,0,((L141-0.04)/100)/($AS$3/100)/炼钢参数表!V141*1000)</f>
        <v>0</v>
      </c>
      <c r="AT141" s="8">
        <f>IF(M141&lt;=0.03,0,((M141-0.03)/100)/($AT$3/100)/炼钢参数表!W141*1000)</f>
        <v>0</v>
      </c>
      <c r="AU141" s="6"/>
      <c r="AV141" s="8">
        <f t="shared" si="23"/>
        <v>6.2079978264601303</v>
      </c>
      <c r="AW141" s="8" cm="1">
        <f t="array" ref="AW141">SUMPRODUCT($AB$4:$AU$4,AB141:AU141)/1000</f>
        <v>57.179355428645401</v>
      </c>
      <c r="AY141" s="2" t="str">
        <f t="shared" si="24"/>
        <v>S235J2-1</v>
      </c>
      <c r="AZ141" s="37">
        <f>VLOOKUP(AY141,炼钢参数表!$F$5:$J$1027,4,0)</f>
        <v>9.8000000000000004E-2</v>
      </c>
      <c r="BA141" s="37">
        <f t="shared" si="25"/>
        <v>5.1999999999999998E-2</v>
      </c>
      <c r="BB141" s="37">
        <f>AB141*$BB$4*炼钢参数表!$X$5/1000</f>
        <v>6.3089850621942398E-3</v>
      </c>
      <c r="BC141" s="37">
        <f>AC141*$BC$4*炼钢参数表!$X$5/1000</f>
        <v>0</v>
      </c>
      <c r="BD141" s="37">
        <f>AD141*$BD$4*炼钢参数表!$X$5/1000</f>
        <v>0</v>
      </c>
      <c r="BE141" s="37">
        <f>AE141*$BE$4*炼钢参数表!$X$5/1000</f>
        <v>0</v>
      </c>
      <c r="BF141" s="37">
        <f>AL141*$BF$4*炼钢参数表!$X$5/1000</f>
        <v>0</v>
      </c>
      <c r="BG141" s="37">
        <f>AM141*$BG$4*炼钢参数表!$X$5/1000</f>
        <v>0</v>
      </c>
      <c r="BH141" s="37">
        <f t="shared" si="26"/>
        <v>6.3089850621942398E-3</v>
      </c>
      <c r="BI141" s="37">
        <f t="shared" si="27"/>
        <v>0.10430898506219401</v>
      </c>
      <c r="BJ141" s="37">
        <f t="shared" si="28"/>
        <v>-4.56910149378058E-2</v>
      </c>
      <c r="BK141" s="54"/>
      <c r="BL141" s="7"/>
    </row>
    <row r="142" spans="1:65" s="18" customFormat="1" x14ac:dyDescent="0.3">
      <c r="A142" s="21">
        <v>138</v>
      </c>
      <c r="B142" s="4" t="s">
        <v>232</v>
      </c>
      <c r="C142" s="4" t="s">
        <v>26</v>
      </c>
      <c r="D142" s="4">
        <v>12.01</v>
      </c>
      <c r="E142" s="4">
        <v>25.4</v>
      </c>
      <c r="F142" s="4" t="s">
        <v>235</v>
      </c>
      <c r="G142" s="50" t="s">
        <v>234</v>
      </c>
      <c r="H142" s="4">
        <v>1520</v>
      </c>
      <c r="I142" s="51">
        <v>0.15</v>
      </c>
      <c r="J142" s="52">
        <v>0.1</v>
      </c>
      <c r="K142" s="52">
        <v>0.5</v>
      </c>
      <c r="L142" s="51">
        <v>0.01</v>
      </c>
      <c r="M142" s="51">
        <v>5.0000000000000001E-3</v>
      </c>
      <c r="N142" s="51"/>
      <c r="O142" s="51" t="s">
        <v>631</v>
      </c>
      <c r="P142" s="51" t="s">
        <v>631</v>
      </c>
      <c r="Q142" s="51">
        <v>2.5000000000000001E-2</v>
      </c>
      <c r="R142" s="51" t="s">
        <v>631</v>
      </c>
      <c r="S142" s="32" t="s">
        <v>631</v>
      </c>
      <c r="T142" s="52"/>
      <c r="U142" s="52"/>
      <c r="V142" s="52"/>
      <c r="W142" s="52"/>
      <c r="X142" s="32" t="s">
        <v>631</v>
      </c>
      <c r="Y142" s="53" t="s">
        <v>631</v>
      </c>
      <c r="Z142" s="4">
        <v>50</v>
      </c>
      <c r="AA142" s="53"/>
      <c r="AB142" s="42">
        <f>IF(J142&lt;=0.04,0,IF((BA142-AL142*BF$4*炼钢参数表!$X$5/1000-AM142*BG$4*炼钢参数表!$X$5/1000)&lt;=0.03,0,IF((J142/100/0.1769/炼钢参数表!K142*1000)&gt;(K142-炼钢参数表!J142)/100/0.6566/炼钢参数表!L142*1000,IF(K142&lt;1.6,(K142-炼钢参数表!J142)/100/0.6566/炼钢参数表!L142*1000,(K142-0.08-炼钢参数表!J142)/100/0.6566/炼钢参数表!L142*1000),IF(K142&lt;1.6,J142/100/0.1769/炼钢参数表!K142*1000,(J142-0.08)/100/0.1769/炼钢参数表!K142*1000))))</f>
        <v>5.62965058091467</v>
      </c>
      <c r="AC142" s="8">
        <f>IF((BA142-AB142*$BB$4*0.9/1000-AL142*BF$4*炼钢参数表!$X$5/1000-AM142*BG$4*炼钢参数表!$X$5/1000)&lt;(K142-炼钢参数表!J142-AB142*0.6566*炼钢参数表!L142/10)*0.082,0,(K142-炼钢参数表!J142-AB142*0.6566*炼钢参数表!L142/10)/100/($AC$3/100)/炼钢参数表!L142*1000)</f>
        <v>0</v>
      </c>
      <c r="AD142" s="8">
        <f>IF((BA142-AB142*$BB$4*0.9/1000-AC142*$BC$4*0.9/1000-AL142*BF$4*炼钢参数表!$X$5/1000-AM142*BG$4*炼钢参数表!$X$5/1000)&lt;=(K142-炼钢参数表!J142-AB142*0.6566*炼钢参数表!L142/10-AC142*($AC$3/100)*炼钢参数表!L142/10)*0.02,0,((K142-炼钢参数表!J142-AB142*0.6566*炼钢参数表!L142/10-AC142*($AC$3/100)*炼钢参数表!L142/10)/100/($AD$3/100)/炼钢参数表!L142*1000))</f>
        <v>0</v>
      </c>
      <c r="AE142" s="8">
        <f>(K142-炼钢参数表!J142-AB142*0.6566*炼钢参数表!L142/10-AC142*($AC$3/100)*炼钢参数表!L142/10-AD142*($AD$3/100)*炼钢参数表!L142/10)/100/($AE$3/100)/炼钢参数表!L142*1000</f>
        <v>0</v>
      </c>
      <c r="AF142" s="8">
        <v>0</v>
      </c>
      <c r="AG142" s="8">
        <f>IF(J142&lt;=0.04,0,((J142-(AB142*0.1769*炼钢参数表!K142/1000*100))/100/炼钢参数表!K142/($AG$3/100)*1000))</f>
        <v>0.35181339088494401</v>
      </c>
      <c r="AH142" s="8">
        <v>1.4</v>
      </c>
      <c r="AI142" s="8">
        <f>IF(N142="",0,IF(N142&lt;=0.002,0,((N142)/100)/($AI$3/100)/炼钢参数表!M142*1000))</f>
        <v>0</v>
      </c>
      <c r="AJ142" s="8">
        <f>IF(O142="",0,IF(O142&lt;=0.002,0,((O142)/100)/($AJ$3/100)/炼钢参数表!N142*1000))</f>
        <v>0</v>
      </c>
      <c r="AK142" s="8">
        <f>IF(P142="",0,IF(P142&lt;=0.002,0,((P142+0.005)/100)/($AK$3/100)/炼钢参数表!O142*1000))</f>
        <v>0</v>
      </c>
      <c r="AL142" s="8">
        <f>IF((BA142-J142*0.00003-K142*0.00024)&lt;=0.05,0,IF(T142="",0,IF(T142&lt;=0.03,0,IF(((BA142-J142*0.00003-K142*0.00024)-0.05)/0.18/100/($AL$3/100)/炼钢参数表!P142*1000&lt;=T142/100/($AL$3/100)/炼钢参数表!P142*1000,((BA142-J142*0.00003-K142*0.00024)-0.05)/0.18/100/($AL$3/100)/炼钢参数表!P142*1000,T142/100/($AL$3/100)/炼钢参数表!P142*1000))))</f>
        <v>0</v>
      </c>
      <c r="AM142" s="8">
        <f>IF(T142="",0,IF(T142&lt;=0.03,0,((T142-AL142*($AL$3/100)*炼钢参数表!P142/10)/100/($AM$3/100)/炼钢参数表!P142*1000)))</f>
        <v>0</v>
      </c>
      <c r="AN142" s="8">
        <f>IF(U142="",0,IF(U142&lt;=0.02,0,(U142/100)/($AN$3/100)/炼钢参数表!Q142*1000))</f>
        <v>0</v>
      </c>
      <c r="AO142" s="8">
        <f>IF(V142="",0,IF(V142&lt;=0.02,0,(V142/100)/($AO$3/100)/炼钢参数表!R142*1000))</f>
        <v>0</v>
      </c>
      <c r="AP142" s="8">
        <f>IF(W142="",0,IF(W142&lt;=0.02,0,(W142/100)/($AP$3/100)/炼钢参数表!S142*1000))</f>
        <v>0</v>
      </c>
      <c r="AQ142" s="8">
        <f>IF(X142="",0,IF(X142&lt;=0.0002,0,(X142/100)/($AQ$3/100)/炼钢参数表!T142*1000))</f>
        <v>0</v>
      </c>
      <c r="AR142" s="8">
        <f>IF(Y142="",0,IF(Y142&lt;=0.02,0,(Y142/100)/($AR$3/100)/炼钢参数表!U142*1000))</f>
        <v>0</v>
      </c>
      <c r="AS142" s="8">
        <f>IF(L142&lt;=0.04,0,((L142-0.04)/100)/($AS$3/100)/炼钢参数表!V142*1000)</f>
        <v>0</v>
      </c>
      <c r="AT142" s="8">
        <f>IF(M142&lt;=0.03,0,((M142-0.03)/100)/($AT$3/100)/炼钢参数表!W142*1000)</f>
        <v>0</v>
      </c>
      <c r="AU142" s="6"/>
      <c r="AV142" s="8">
        <f t="shared" si="23"/>
        <v>7.3814639717996098</v>
      </c>
      <c r="AW142" s="8" cm="1">
        <f t="array" ref="AW142">SUMPRODUCT($AB$4:$AU$4,AB142:AU142)/1000</f>
        <v>63.636092505834199</v>
      </c>
      <c r="AY142" s="2" t="str">
        <f t="shared" si="24"/>
        <v>S235J2-2</v>
      </c>
      <c r="AZ142" s="37">
        <f>VLOOKUP(AY142,炼钢参数表!$F$5:$J$1027,4,0)</f>
        <v>9.8000000000000004E-2</v>
      </c>
      <c r="BA142" s="37">
        <f t="shared" si="25"/>
        <v>5.1999999999999998E-2</v>
      </c>
      <c r="BB142" s="37">
        <f>AB142*$BB$4*炼钢参数表!$X$5/1000</f>
        <v>8.7146990992559101E-3</v>
      </c>
      <c r="BC142" s="37">
        <f>AC142*$BC$4*炼钢参数表!$X$5/1000</f>
        <v>0</v>
      </c>
      <c r="BD142" s="37">
        <f>AD142*$BD$4*炼钢参数表!$X$5/1000</f>
        <v>0</v>
      </c>
      <c r="BE142" s="37">
        <f>AE142*$BE$4*炼钢参数表!$X$5/1000</f>
        <v>0</v>
      </c>
      <c r="BF142" s="37">
        <f>AL142*$BF$4*炼钢参数表!$X$5/1000</f>
        <v>0</v>
      </c>
      <c r="BG142" s="37">
        <f>AM142*$BG$4*炼钢参数表!$X$5/1000</f>
        <v>0</v>
      </c>
      <c r="BH142" s="37">
        <f t="shared" si="26"/>
        <v>8.7146990992559101E-3</v>
      </c>
      <c r="BI142" s="37">
        <f t="shared" si="27"/>
        <v>0.106714699099256</v>
      </c>
      <c r="BJ142" s="37">
        <f t="shared" si="28"/>
        <v>-4.3285300900744103E-2</v>
      </c>
      <c r="BK142" s="54"/>
      <c r="BL142" s="7"/>
    </row>
    <row r="143" spans="1:65" s="18" customFormat="1" x14ac:dyDescent="0.3">
      <c r="A143" s="21">
        <v>139</v>
      </c>
      <c r="B143" s="4" t="s">
        <v>236</v>
      </c>
      <c r="C143" s="4" t="s">
        <v>23</v>
      </c>
      <c r="D143" s="4">
        <v>1.5</v>
      </c>
      <c r="E143" s="4">
        <v>12</v>
      </c>
      <c r="F143" s="4" t="s">
        <v>237</v>
      </c>
      <c r="G143" s="50" t="s">
        <v>238</v>
      </c>
      <c r="H143" s="4">
        <v>1519</v>
      </c>
      <c r="I143" s="51">
        <v>0.16</v>
      </c>
      <c r="J143" s="52">
        <v>0.15</v>
      </c>
      <c r="K143" s="52">
        <v>0.4</v>
      </c>
      <c r="L143" s="51">
        <v>0.02</v>
      </c>
      <c r="M143" s="51">
        <v>0.01</v>
      </c>
      <c r="N143" s="51"/>
      <c r="O143" s="51" t="s">
        <v>631</v>
      </c>
      <c r="P143" s="51"/>
      <c r="Q143" s="51">
        <v>0.02</v>
      </c>
      <c r="R143" s="51" t="s">
        <v>631</v>
      </c>
      <c r="S143" s="32"/>
      <c r="T143" s="52"/>
      <c r="U143" s="52"/>
      <c r="V143" s="52"/>
      <c r="W143" s="52"/>
      <c r="X143" s="32" t="s">
        <v>631</v>
      </c>
      <c r="Y143" s="53" t="s">
        <v>631</v>
      </c>
      <c r="Z143" s="4">
        <v>50</v>
      </c>
      <c r="AA143" s="53"/>
      <c r="AB143" s="42">
        <f>IF(J143&lt;=0.04,0,IF((BA143-AL143*BF$4*炼钢参数表!$X$5/1000-AM143*BG$4*炼钢参数表!$X$5/1000)&lt;=0.03,0,IF((J143/100/0.1769/炼钢参数表!K143*1000)&gt;(K143-炼钢参数表!J143)/100/0.6566/炼钢参数表!L143*1000,IF(K143&lt;1.6,(K143-炼钢参数表!J143)/100/0.6566/炼钢参数表!L143*1000,(K143-0.08-炼钢参数表!J143)/100/0.6566/炼钢参数表!L143*1000),IF(K143&lt;1.6,J143/100/0.1769/炼钢参数表!K143*1000,(J143-0.08)/100/0.1769/炼钢参数表!K143*1000))))</f>
        <v>4.3054200053460301</v>
      </c>
      <c r="AC143" s="8">
        <f>IF((BA143-AB143*$BB$4*0.9/1000-AL143*BF$4*炼钢参数表!$X$5/1000-AM143*BG$4*炼钢参数表!$X$5/1000)&lt;(K143-炼钢参数表!J143-AB143*0.6566*炼钢参数表!L143/10)*0.082,0,(K143-炼钢参数表!J143-AB143*0.6566*炼钢参数表!L143/10)/100/($AC$3/100)/炼钢参数表!L143*1000)</f>
        <v>0</v>
      </c>
      <c r="AD143" s="8">
        <f>IF((BA143-AB143*$BB$4*0.9/1000-AC143*$BC$4*0.9/1000-AL143*BF$4*炼钢参数表!$X$5/1000-AM143*BG$4*炼钢参数表!$X$5/1000)&lt;=(K143-炼钢参数表!J143-AB143*0.6566*炼钢参数表!L143/10-AC143*($AC$3/100)*炼钢参数表!L143/10)*0.02,0,((K143-炼钢参数表!J143-AB143*0.6566*炼钢参数表!L143/10-AC143*($AC$3/100)*炼钢参数表!L143/10)/100/($AD$3/100)/炼钢参数表!L143*1000))</f>
        <v>0</v>
      </c>
      <c r="AE143" s="8">
        <f>(K143-炼钢参数表!J143-AB143*0.6566*炼钢参数表!L143/10-AC143*($AC$3/100)*炼钢参数表!L143/10-AD143*($AD$3/100)*炼钢参数表!L143/10)/100/($AE$3/100)/炼钢参数表!L143*1000</f>
        <v>0</v>
      </c>
      <c r="AF143" s="8">
        <v>0</v>
      </c>
      <c r="AG143" s="8">
        <f>IF(J143&lt;=0.04,0,((J143-(AB143*0.1769*炼钢参数表!K143/1000*100))/100/炼钢参数表!K143/($AG$3/100)*1000))</f>
        <v>1.54142489416349</v>
      </c>
      <c r="AH143" s="8">
        <v>1.36742117191473</v>
      </c>
      <c r="AI143" s="8">
        <f>IF(N143="",0,IF(N143&lt;=0.002,0,((N143)/100)/($AI$3/100)/炼钢参数表!M143*1000))</f>
        <v>0</v>
      </c>
      <c r="AJ143" s="8">
        <f>IF(O143="",0,IF(O143&lt;=0.002,0,((O143)/100)/($AJ$3/100)/炼钢参数表!N143*1000))</f>
        <v>0</v>
      </c>
      <c r="AK143" s="8">
        <f>IF(P143="",0,IF(P143&lt;=0.002,0,((P143+0.005)/100)/($AK$3/100)/炼钢参数表!O143*1000))</f>
        <v>0</v>
      </c>
      <c r="AL143" s="8">
        <f>IF((BA143-J143*0.00003-K143*0.00024)&lt;=0.05,0,IF(T143="",0,IF(T143&lt;=0.03,0,IF(((BA143-J143*0.00003-K143*0.00024)-0.05)/0.18/100/($AL$3/100)/炼钢参数表!P143*1000&lt;=T143/100/($AL$3/100)/炼钢参数表!P143*1000,((BA143-J143*0.00003-K143*0.00024)-0.05)/0.18/100/($AL$3/100)/炼钢参数表!P143*1000,T143/100/($AL$3/100)/炼钢参数表!P143*1000))))</f>
        <v>0</v>
      </c>
      <c r="AM143" s="8">
        <f>IF(T143="",0,IF(T143&lt;=0.03,0,((T143-AL143*($AL$3/100)*炼钢参数表!P143/10)/100/($AM$3/100)/炼钢参数表!P143*1000)))</f>
        <v>0</v>
      </c>
      <c r="AN143" s="8">
        <f>IF(U143="",0,IF(U143&lt;=0.02,0,(U143/100)/($AN$3/100)/炼钢参数表!Q143*1000))</f>
        <v>0</v>
      </c>
      <c r="AO143" s="8">
        <f>IF(V143="",0,IF(V143&lt;=0.02,0,(V143/100)/($AO$3/100)/炼钢参数表!R143*1000))</f>
        <v>0</v>
      </c>
      <c r="AP143" s="8">
        <f>IF(W143="",0,IF(W143&lt;=0.02,0,(W143/100)/($AP$3/100)/炼钢参数表!S143*1000))</f>
        <v>0</v>
      </c>
      <c r="AQ143" s="8">
        <f>IF(X143="",0,IF(X143&lt;=0.0002,0,(X143/100)/($AQ$3/100)/炼钢参数表!T143*1000))</f>
        <v>0</v>
      </c>
      <c r="AR143" s="8">
        <f>IF(Y143="",0,IF(Y143&lt;=0.02,0,(Y143/100)/($AR$3/100)/炼钢参数表!U143*1000))</f>
        <v>0</v>
      </c>
      <c r="AS143" s="8">
        <f>IF(L143&lt;=0.04,0,((L143-0.04)/100)/($AS$3/100)/炼钢参数表!V143*1000)</f>
        <v>0</v>
      </c>
      <c r="AT143" s="8">
        <f>IF(M143&lt;=0.03,0,((M143-0.03)/100)/($AT$3/100)/炼钢参数表!W143*1000)</f>
        <v>0</v>
      </c>
      <c r="AU143" s="6"/>
      <c r="AV143" s="8">
        <f t="shared" si="23"/>
        <v>7.2142660714242499</v>
      </c>
      <c r="AW143" s="8" cm="1">
        <f t="array" ref="AW143">SUMPRODUCT($AB$4:$AU$4,AB143:AU143)/1000</f>
        <v>61.8938516043088</v>
      </c>
      <c r="AY143" s="2" t="str">
        <f t="shared" si="24"/>
        <v>S275JR-1</v>
      </c>
      <c r="AZ143" s="37">
        <f>VLOOKUP(AY143,炼钢参数表!$F$5:$J$1027,4,0)</f>
        <v>9.2280000000000001E-2</v>
      </c>
      <c r="BA143" s="37">
        <f t="shared" si="25"/>
        <v>6.7720000000000002E-2</v>
      </c>
      <c r="BB143" s="37">
        <f>AB143*$BB$4*炼钢参数表!$X$5/1000</f>
        <v>6.6647901682756602E-3</v>
      </c>
      <c r="BC143" s="37">
        <f>AC143*$BC$4*炼钢参数表!$X$5/1000</f>
        <v>0</v>
      </c>
      <c r="BD143" s="37">
        <f>AD143*$BD$4*炼钢参数表!$X$5/1000</f>
        <v>0</v>
      </c>
      <c r="BE143" s="37">
        <f>AE143*$BE$4*炼钢参数表!$X$5/1000</f>
        <v>0</v>
      </c>
      <c r="BF143" s="37">
        <f>AL143*$BF$4*炼钢参数表!$X$5/1000</f>
        <v>0</v>
      </c>
      <c r="BG143" s="37">
        <f>AM143*$BG$4*炼钢参数表!$X$5/1000</f>
        <v>0</v>
      </c>
      <c r="BH143" s="37">
        <f t="shared" si="26"/>
        <v>6.6647901682756602E-3</v>
      </c>
      <c r="BI143" s="37">
        <f t="shared" si="27"/>
        <v>9.8944790168275704E-2</v>
      </c>
      <c r="BJ143" s="37">
        <f t="shared" si="28"/>
        <v>-6.10552098317243E-2</v>
      </c>
      <c r="BK143" s="54"/>
      <c r="BL143" s="7"/>
    </row>
    <row r="144" spans="1:65" s="18" customFormat="1" x14ac:dyDescent="0.3">
      <c r="A144" s="21">
        <v>140</v>
      </c>
      <c r="B144" s="4" t="s">
        <v>236</v>
      </c>
      <c r="C144" s="4" t="s">
        <v>26</v>
      </c>
      <c r="D144" s="4">
        <v>12.01</v>
      </c>
      <c r="E144" s="4">
        <v>16</v>
      </c>
      <c r="F144" s="4" t="s">
        <v>239</v>
      </c>
      <c r="G144" s="50" t="s">
        <v>238</v>
      </c>
      <c r="H144" s="4">
        <v>1519</v>
      </c>
      <c r="I144" s="51">
        <v>0.16</v>
      </c>
      <c r="J144" s="52">
        <v>0.15</v>
      </c>
      <c r="K144" s="52">
        <v>0.45</v>
      </c>
      <c r="L144" s="51">
        <v>0.02</v>
      </c>
      <c r="M144" s="51">
        <v>0.01</v>
      </c>
      <c r="N144" s="51"/>
      <c r="O144" s="51" t="s">
        <v>631</v>
      </c>
      <c r="P144" s="51">
        <v>0.01</v>
      </c>
      <c r="Q144" s="51">
        <v>0.02</v>
      </c>
      <c r="R144" s="51" t="s">
        <v>631</v>
      </c>
      <c r="S144" s="32"/>
      <c r="T144" s="52"/>
      <c r="U144" s="52"/>
      <c r="V144" s="52"/>
      <c r="W144" s="52"/>
      <c r="X144" s="32" t="s">
        <v>631</v>
      </c>
      <c r="Y144" s="53" t="s">
        <v>631</v>
      </c>
      <c r="Z144" s="4">
        <v>50</v>
      </c>
      <c r="AA144" s="53"/>
      <c r="AB144" s="42">
        <f>IF(J144&lt;=0.04,0,IF((BA144-AL144*BF$4*炼钢参数表!$X$5/1000-AM144*BG$4*炼钢参数表!$X$5/1000)&lt;=0.03,0,IF((J144/100/0.1769/炼钢参数表!K144*1000)&gt;(K144-炼钢参数表!J144)/100/0.6566/炼钢参数表!L144*1000,IF(K144&lt;1.6,(K144-炼钢参数表!J144)/100/0.6566/炼钢参数表!L144*1000,(K144-0.08-炼钢参数表!J144)/100/0.6566/炼钢参数表!L144*1000),IF(K144&lt;1.6,J144/100/0.1769/炼钢参数表!K144*1000,(J144-0.08)/100/0.1769/炼钢参数表!K144*1000))))</f>
        <v>5.11291936817371</v>
      </c>
      <c r="AC144" s="8">
        <f>IF((BA144-AB144*$BB$4*0.9/1000-AL144*BF$4*炼钢参数表!$X$5/1000-AM144*BG$4*炼钢参数表!$X$5/1000)&lt;(K144-炼钢参数表!J144-AB144*0.6566*炼钢参数表!L144/10)*0.082,0,(K144-炼钢参数表!J144-AB144*0.6566*炼钢参数表!L144/10)/100/($AC$3/100)/炼钢参数表!L144*1000)</f>
        <v>0</v>
      </c>
      <c r="AD144" s="8">
        <f>IF((BA144-AB144*$BB$4*0.9/1000-AC144*$BC$4*0.9/1000-AL144*BF$4*炼钢参数表!$X$5/1000-AM144*BG$4*炼钢参数表!$X$5/1000)&lt;=(K144-炼钢参数表!J144-AB144*0.6566*炼钢参数表!L144/10-AC144*($AC$3/100)*炼钢参数表!L144/10)*0.02,0,((K144-炼钢参数表!J144-AB144*0.6566*炼钢参数表!L144/10-AC144*($AC$3/100)*炼钢参数表!L144/10)/100/($AD$3/100)/炼钢参数表!L144*1000))</f>
        <v>0</v>
      </c>
      <c r="AE144" s="8">
        <f>(K144-炼钢参数表!J144-AB144*0.6566*炼钢参数表!L144/10-AC144*($AC$3/100)*炼钢参数表!L144/10-AD144*($AD$3/100)*炼钢参数表!L144/10)/100/($AE$3/100)/炼钢参数表!L144*1000</f>
        <v>0</v>
      </c>
      <c r="AF144" s="8">
        <v>0</v>
      </c>
      <c r="AG144" s="8">
        <f>IF(J144&lt;=0.04,0,((J144-(AB144*0.1769*炼钢参数表!K144/1000*100))/100/炼钢参数表!K144/($AG$3/100)*1000))</f>
        <v>1.3436585404542001</v>
      </c>
      <c r="AH144" s="8">
        <v>1.37</v>
      </c>
      <c r="AI144" s="8">
        <f>IF(N144="",0,IF(N144&lt;=0.002,0,((N144)/100)/($AI$3/100)/炼钢参数表!M144*1000))</f>
        <v>0</v>
      </c>
      <c r="AJ144" s="8">
        <f>IF(O144="",0,IF(O144&lt;=0.002,0,((O144)/100)/($AJ$3/100)/炼钢参数表!N144*1000))</f>
        <v>0</v>
      </c>
      <c r="AK144" s="8">
        <f>IF(P144="",0,IF(P144&lt;=0.002,0,((P144+0.005)/100)/($AK$3/100)/炼钢参数表!O144*1000))</f>
        <v>0.29936534546760901</v>
      </c>
      <c r="AL144" s="8">
        <f>IF((BA144-J144*0.00003-K144*0.00024)&lt;=0.05,0,IF(T144="",0,IF(T144&lt;=0.03,0,IF(((BA144-J144*0.00003-K144*0.00024)-0.05)/0.18/100/($AL$3/100)/炼钢参数表!P144*1000&lt;=T144/100/($AL$3/100)/炼钢参数表!P144*1000,((BA144-J144*0.00003-K144*0.00024)-0.05)/0.18/100/($AL$3/100)/炼钢参数表!P144*1000,T144/100/($AL$3/100)/炼钢参数表!P144*1000))))</f>
        <v>0</v>
      </c>
      <c r="AM144" s="8">
        <f>IF(T144="",0,IF(T144&lt;=0.03,0,((T144-AL144*($AL$3/100)*炼钢参数表!P144/10)/100/($AM$3/100)/炼钢参数表!P144*1000)))</f>
        <v>0</v>
      </c>
      <c r="AN144" s="8">
        <f>IF(U144="",0,IF(U144&lt;=0.02,0,(U144/100)/($AN$3/100)/炼钢参数表!Q144*1000))</f>
        <v>0</v>
      </c>
      <c r="AO144" s="8">
        <f>IF(V144="",0,IF(V144&lt;=0.02,0,(V144/100)/($AO$3/100)/炼钢参数表!R144*1000))</f>
        <v>0</v>
      </c>
      <c r="AP144" s="8">
        <f>IF(W144="",0,IF(W144&lt;=0.02,0,(W144/100)/($AP$3/100)/炼钢参数表!S144*1000))</f>
        <v>0</v>
      </c>
      <c r="AQ144" s="8">
        <f>IF(X144="",0,IF(X144&lt;=0.0002,0,(X144/100)/($AQ$3/100)/炼钢参数表!T144*1000))</f>
        <v>0</v>
      </c>
      <c r="AR144" s="8">
        <f>IF(Y144="",0,IF(Y144&lt;=0.02,0,(Y144/100)/($AR$3/100)/炼钢参数表!U144*1000))</f>
        <v>0</v>
      </c>
      <c r="AS144" s="8">
        <f>IF(L144&lt;=0.04,0,((L144-0.04)/100)/($AS$3/100)/炼钢参数表!V144*1000)</f>
        <v>0</v>
      </c>
      <c r="AT144" s="8">
        <f>IF(M144&lt;=0.03,0,((M144-0.03)/100)/($AT$3/100)/炼钢参数表!W144*1000)</f>
        <v>0</v>
      </c>
      <c r="AU144" s="6"/>
      <c r="AV144" s="8">
        <f t="shared" si="23"/>
        <v>8.1259432540955192</v>
      </c>
      <c r="AW144" s="8" cm="1">
        <f t="array" ref="AW144">SUMPRODUCT($AB$4:$AU$4,AB144:AU144)/1000</f>
        <v>72.512338204146403</v>
      </c>
      <c r="AY144" s="2" t="str">
        <f t="shared" si="24"/>
        <v>S275JR-2</v>
      </c>
      <c r="AZ144" s="37">
        <f>VLOOKUP(AY144,炼钢参数表!$F$5:$J$1027,4,0)</f>
        <v>7.6285714285714304E-2</v>
      </c>
      <c r="BA144" s="37">
        <f t="shared" si="25"/>
        <v>8.3714285714285699E-2</v>
      </c>
      <c r="BB144" s="37">
        <f>AB144*$BB$4*炼钢参数表!$X$5/1000</f>
        <v>7.9147991819328994E-3</v>
      </c>
      <c r="BC144" s="37">
        <f>AC144*$BC$4*炼钢参数表!$X$5/1000</f>
        <v>0</v>
      </c>
      <c r="BD144" s="37">
        <f>AD144*$BD$4*炼钢参数表!$X$5/1000</f>
        <v>0</v>
      </c>
      <c r="BE144" s="37">
        <f>AE144*$BE$4*炼钢参数表!$X$5/1000</f>
        <v>0</v>
      </c>
      <c r="BF144" s="37">
        <f>AL144*$BF$4*炼钢参数表!$X$5/1000</f>
        <v>0</v>
      </c>
      <c r="BG144" s="37">
        <f>AM144*$BG$4*炼钢参数表!$X$5/1000</f>
        <v>0</v>
      </c>
      <c r="BH144" s="37">
        <f t="shared" si="26"/>
        <v>7.9147991819328994E-3</v>
      </c>
      <c r="BI144" s="37">
        <f t="shared" si="27"/>
        <v>8.4200513467647203E-2</v>
      </c>
      <c r="BJ144" s="37">
        <f t="shared" si="28"/>
        <v>-7.57994865323528E-2</v>
      </c>
      <c r="BK144" s="54"/>
      <c r="BL144" s="7"/>
    </row>
    <row r="145" spans="1:64" s="18" customFormat="1" x14ac:dyDescent="0.3">
      <c r="A145" s="21">
        <v>141</v>
      </c>
      <c r="B145" s="4" t="s">
        <v>236</v>
      </c>
      <c r="C145" s="4" t="s">
        <v>90</v>
      </c>
      <c r="D145" s="4">
        <v>16.010000000000002</v>
      </c>
      <c r="E145" s="4">
        <v>25.4</v>
      </c>
      <c r="F145" s="4" t="s">
        <v>240</v>
      </c>
      <c r="G145" s="50" t="s">
        <v>238</v>
      </c>
      <c r="H145" s="4">
        <v>1519</v>
      </c>
      <c r="I145" s="51">
        <v>0.16</v>
      </c>
      <c r="J145" s="52">
        <v>0.15</v>
      </c>
      <c r="K145" s="52">
        <v>0.65</v>
      </c>
      <c r="L145" s="51">
        <v>0.02</v>
      </c>
      <c r="M145" s="51">
        <v>0.01</v>
      </c>
      <c r="N145" s="51"/>
      <c r="O145" s="51" t="s">
        <v>631</v>
      </c>
      <c r="P145" s="51">
        <v>0.01</v>
      </c>
      <c r="Q145" s="51">
        <v>0.02</v>
      </c>
      <c r="R145" s="51" t="s">
        <v>631</v>
      </c>
      <c r="S145" s="32"/>
      <c r="T145" s="52"/>
      <c r="U145" s="52"/>
      <c r="V145" s="52"/>
      <c r="W145" s="52"/>
      <c r="X145" s="32" t="s">
        <v>631</v>
      </c>
      <c r="Y145" s="53" t="s">
        <v>631</v>
      </c>
      <c r="Z145" s="4">
        <v>50</v>
      </c>
      <c r="AA145" s="53"/>
      <c r="AB145" s="42">
        <f>IF(J145&lt;=0.04,0,IF((BA145-AL145*BF$4*炼钢参数表!$X$5/1000-AM145*BG$4*炼钢参数表!$X$5/1000)&lt;=0.03,0,IF((J145/100/0.1769/炼钢参数表!K145*1000)&gt;(K145-炼钢参数表!J145)/100/0.6566/炼钢参数表!L145*1000,IF(K145&lt;1.6,(K145-炼钢参数表!J145)/100/0.6566/炼钢参数表!L145*1000,(K145-0.08-炼钢参数表!J145)/100/0.6566/炼钢参数表!L145*1000),IF(K145&lt;1.6,J145/100/0.1769/炼钢参数表!K145*1000,(J145-0.08)/100/0.1769/炼钢参数表!K145*1000))))</f>
        <v>8.3661243967583907</v>
      </c>
      <c r="AC145" s="8">
        <f>IF((BA145-AB145*$BB$4*0.9/1000-AL145*BF$4*炼钢参数表!$X$5/1000-AM145*BG$4*炼钢参数表!$X$5/1000)&lt;(K145-炼钢参数表!J145-AB145*0.6566*炼钢参数表!L145/10)*0.082,0,(K145-炼钢参数表!J145-AB145*0.6566*炼钢参数表!L145/10)/100/($AC$3/100)/炼钢参数表!L145*1000)</f>
        <v>0</v>
      </c>
      <c r="AD145" s="8">
        <f>IF((BA145-AB145*$BB$4*0.9/1000-AC145*$BC$4*0.9/1000-AL145*BF$4*炼钢参数表!$X$5/1000-AM145*BG$4*炼钢参数表!$X$5/1000)&lt;=(K145-炼钢参数表!J145-AB145*0.6566*炼钢参数表!L145/10-AC145*($AC$3/100)*炼钢参数表!L145/10)*0.02,0,((K145-炼钢参数表!J145-AB145*0.6566*炼钢参数表!L145/10-AC145*($AC$3/100)*炼钢参数表!L145/10)/100/($AD$3/100)/炼钢参数表!L145*1000))</f>
        <v>0</v>
      </c>
      <c r="AE145" s="8">
        <f>(K145-炼钢参数表!J145-AB145*0.6566*炼钢参数表!L145/10-AC145*($AC$3/100)*炼钢参数表!L145/10-AD145*($AD$3/100)*炼钢参数表!L145/10)/100/($AE$3/100)/炼钢参数表!L145*1000</f>
        <v>0</v>
      </c>
      <c r="AF145" s="8">
        <v>0</v>
      </c>
      <c r="AG145" s="8">
        <f>IF(J145&lt;=0.04,0,((J145-(AB145*0.1769*炼钢参数表!K145/1000*100))/100/炼钢参数表!K145/($AG$3/100)*1000))</f>
        <v>0.54690930944682203</v>
      </c>
      <c r="AH145" s="8">
        <v>1.37</v>
      </c>
      <c r="AI145" s="8">
        <f>IF(N145="",0,IF(N145&lt;=0.002,0,((N145)/100)/($AI$3/100)/炼钢参数表!M145*1000))</f>
        <v>0</v>
      </c>
      <c r="AJ145" s="8">
        <f>IF(O145="",0,IF(O145&lt;=0.002,0,((O145)/100)/($AJ$3/100)/炼钢参数表!N145*1000))</f>
        <v>0</v>
      </c>
      <c r="AK145" s="8">
        <f>IF(P145="",0,IF(P145&lt;=0.002,0,((P145+0.005)/100)/($AK$3/100)/炼钢参数表!O145*1000))</f>
        <v>0.29936534546760901</v>
      </c>
      <c r="AL145" s="8">
        <f>IF((BA145-J145*0.00003-K145*0.00024)&lt;=0.05,0,IF(T145="",0,IF(T145&lt;=0.03,0,IF(((BA145-J145*0.00003-K145*0.00024)-0.05)/0.18/100/($AL$3/100)/炼钢参数表!P145*1000&lt;=T145/100/($AL$3/100)/炼钢参数表!P145*1000,((BA145-J145*0.00003-K145*0.00024)-0.05)/0.18/100/($AL$3/100)/炼钢参数表!P145*1000,T145/100/($AL$3/100)/炼钢参数表!P145*1000))))</f>
        <v>0</v>
      </c>
      <c r="AM145" s="8">
        <f>IF(T145="",0,IF(T145&lt;=0.03,0,((T145-AL145*($AL$3/100)*炼钢参数表!P145/10)/100/($AM$3/100)/炼钢参数表!P145*1000)))</f>
        <v>0</v>
      </c>
      <c r="AN145" s="8">
        <f>IF(U145="",0,IF(U145&lt;=0.02,0,(U145/100)/($AN$3/100)/炼钢参数表!Q145*1000))</f>
        <v>0</v>
      </c>
      <c r="AO145" s="8">
        <f>IF(V145="",0,IF(V145&lt;=0.02,0,(V145/100)/($AO$3/100)/炼钢参数表!R145*1000))</f>
        <v>0</v>
      </c>
      <c r="AP145" s="8">
        <f>IF(W145="",0,IF(W145&lt;=0.02,0,(W145/100)/($AP$3/100)/炼钢参数表!S145*1000))</f>
        <v>0</v>
      </c>
      <c r="AQ145" s="8">
        <f>IF(X145="",0,IF(X145&lt;=0.0002,0,(X145/100)/($AQ$3/100)/炼钢参数表!T145*1000))</f>
        <v>0</v>
      </c>
      <c r="AR145" s="8">
        <f>IF(Y145="",0,IF(Y145&lt;=0.02,0,(Y145/100)/($AR$3/100)/炼钢参数表!U145*1000))</f>
        <v>0</v>
      </c>
      <c r="AS145" s="8">
        <f>IF(L145&lt;=0.04,0,((L145-0.04)/100)/($AS$3/100)/炼钢参数表!V145*1000)</f>
        <v>0</v>
      </c>
      <c r="AT145" s="8">
        <f>IF(M145&lt;=0.03,0,((M145-0.03)/100)/($AT$3/100)/炼钢参数表!W145*1000)</f>
        <v>0</v>
      </c>
      <c r="AU145" s="6"/>
      <c r="AV145" s="8">
        <f t="shared" si="23"/>
        <v>10.5823990516728</v>
      </c>
      <c r="AW145" s="8" cm="1">
        <f t="array" ref="AW145">SUMPRODUCT($AB$4:$AU$4,AB145:AU145)/1000</f>
        <v>86.028441152394905</v>
      </c>
      <c r="AY145" s="2" t="str">
        <f t="shared" si="24"/>
        <v>S275JR-3</v>
      </c>
      <c r="AZ145" s="37">
        <f>VLOOKUP(AY145,炼钢参数表!$F$5:$J$1027,4,0)</f>
        <v>6.63333333333333E-2</v>
      </c>
      <c r="BA145" s="37">
        <f t="shared" si="25"/>
        <v>9.3666666666666704E-2</v>
      </c>
      <c r="BB145" s="37">
        <f>AB145*$BB$4*炼钢参数表!$X$5/1000</f>
        <v>1.2950760566181999E-2</v>
      </c>
      <c r="BC145" s="37">
        <f>AC145*$BC$4*炼钢参数表!$X$5/1000</f>
        <v>0</v>
      </c>
      <c r="BD145" s="37">
        <f>AD145*$BD$4*炼钢参数表!$X$5/1000</f>
        <v>0</v>
      </c>
      <c r="BE145" s="37">
        <f>AE145*$BE$4*炼钢参数表!$X$5/1000</f>
        <v>0</v>
      </c>
      <c r="BF145" s="37">
        <f>AL145*$BF$4*炼钢参数表!$X$5/1000</f>
        <v>0</v>
      </c>
      <c r="BG145" s="37">
        <f>AM145*$BG$4*炼钢参数表!$X$5/1000</f>
        <v>0</v>
      </c>
      <c r="BH145" s="37">
        <f t="shared" si="26"/>
        <v>1.2950760566181999E-2</v>
      </c>
      <c r="BI145" s="37">
        <f t="shared" si="27"/>
        <v>7.9284093899515296E-2</v>
      </c>
      <c r="BJ145" s="37">
        <f t="shared" si="28"/>
        <v>-8.0715906100484694E-2</v>
      </c>
      <c r="BK145" s="54"/>
      <c r="BL145" s="7"/>
    </row>
    <row r="146" spans="1:64" s="18" customFormat="1" x14ac:dyDescent="0.3">
      <c r="A146" s="21">
        <v>142</v>
      </c>
      <c r="B146" s="4" t="s">
        <v>241</v>
      </c>
      <c r="C146" s="4" t="s">
        <v>23</v>
      </c>
      <c r="D146" s="4">
        <v>1.5</v>
      </c>
      <c r="E146" s="4">
        <v>12</v>
      </c>
      <c r="F146" s="4" t="s">
        <v>242</v>
      </c>
      <c r="G146" s="50" t="s">
        <v>243</v>
      </c>
      <c r="H146" s="4">
        <v>1519</v>
      </c>
      <c r="I146" s="51">
        <v>0.16</v>
      </c>
      <c r="J146" s="52">
        <v>0.02</v>
      </c>
      <c r="K146" s="52">
        <v>0.45</v>
      </c>
      <c r="L146" s="51">
        <v>0.02</v>
      </c>
      <c r="M146" s="51">
        <v>0.01</v>
      </c>
      <c r="N146" s="51"/>
      <c r="O146" s="51" t="s">
        <v>631</v>
      </c>
      <c r="P146" s="51"/>
      <c r="Q146" s="51">
        <v>0.02</v>
      </c>
      <c r="R146" s="51" t="s">
        <v>631</v>
      </c>
      <c r="S146" s="32"/>
      <c r="T146" s="52"/>
      <c r="U146" s="52"/>
      <c r="V146" s="52"/>
      <c r="W146" s="52"/>
      <c r="X146" s="32" t="s">
        <v>631</v>
      </c>
      <c r="Y146" s="53" t="s">
        <v>631</v>
      </c>
      <c r="Z146" s="4">
        <v>50</v>
      </c>
      <c r="AA146" s="53"/>
      <c r="AB146" s="42">
        <f>IF(J146&lt;=0.04,0,IF((BA146-AL146*BF$4*炼钢参数表!$X$5/1000-AM146*BG$4*炼钢参数表!$X$5/1000)&lt;=0.03,0,IF((J146/100/0.1769/炼钢参数表!K146*1000)&gt;(K146-炼钢参数表!J146)/100/0.6566/炼钢参数表!L146*1000,IF(K146&lt;1.6,(K146-炼钢参数表!J146)/100/0.6566/炼钢参数表!L146*1000,(K146-0.08-炼钢参数表!J146)/100/0.6566/炼钢参数表!L146*1000),IF(K146&lt;1.6,J146/100/0.1769/炼钢参数表!K146*1000,(J146-0.08)/100/0.1769/炼钢参数表!K146*1000))))</f>
        <v>0</v>
      </c>
      <c r="AC146" s="8">
        <f>IF((BA146-AB146*$BB$4*0.9/1000-AL146*BF$4*炼钢参数表!$X$5/1000-AM146*BG$4*炼钢参数表!$X$5/1000)&lt;(K146-炼钢参数表!J146-AB146*0.6566*炼钢参数表!L146/10)*0.082,0,(K146-炼钢参数表!J146-AB146*0.6566*炼钢参数表!L146/10)/100/($AC$3/100)/炼钢参数表!L146*1000)</f>
        <v>4.5366672138024198</v>
      </c>
      <c r="AD146" s="8">
        <f>IF((BA146-AB146*$BB$4*0.9/1000-AC146*$BC$4*0.9/1000-AL146*BF$4*炼钢参数表!$X$5/1000-AM146*BG$4*炼钢参数表!$X$5/1000)&lt;=(K146-炼钢参数表!J146-AB146*0.6566*炼钢参数表!L146/10-AC146*($AC$3/100)*炼钢参数表!L146/10)*0.02,0,((K146-炼钢参数表!J146-AB146*0.6566*炼钢参数表!L146/10-AC146*($AC$3/100)*炼钢参数表!L146/10)/100/($AD$3/100)/炼钢参数表!L146*1000))</f>
        <v>0</v>
      </c>
      <c r="AE146" s="8">
        <f>(K146-炼钢参数表!J146-AB146*0.6566*炼钢参数表!L146/10-AC146*($AC$3/100)*炼钢参数表!L146/10-AD146*($AD$3/100)*炼钢参数表!L146/10)/100/($AE$3/100)/炼钢参数表!L146*1000</f>
        <v>0</v>
      </c>
      <c r="AF146" s="8">
        <v>0</v>
      </c>
      <c r="AG146" s="8">
        <f>IF(J146&lt;=0.04,0,((J146-(AB146*0.1769*炼钢参数表!K146/1000*100))/100/炼钢参数表!K146/($AG$3/100)*1000))</f>
        <v>0</v>
      </c>
      <c r="AH146" s="8">
        <v>1.62</v>
      </c>
      <c r="AI146" s="8">
        <f>IF(N146="",0,IF(N146&lt;=0.002,0,((N146)/100)/($AI$3/100)/炼钢参数表!M146*1000))</f>
        <v>0</v>
      </c>
      <c r="AJ146" s="8">
        <f>IF(O146="",0,IF(O146&lt;=0.002,0,((O146)/100)/($AJ$3/100)/炼钢参数表!N146*1000))</f>
        <v>0</v>
      </c>
      <c r="AK146" s="8">
        <f>IF(P146="",0,IF(P146&lt;=0.002,0,((P146+0.005)/100)/($AK$3/100)/炼钢参数表!O146*1000))</f>
        <v>0</v>
      </c>
      <c r="AL146" s="8">
        <f>IF((BA146-J146*0.00003-K146*0.00024)&lt;=0.05,0,IF(T146="",0,IF(T146&lt;=0.03,0,IF(((BA146-J146*0.00003-K146*0.00024)-0.05)/0.18/100/($AL$3/100)/炼钢参数表!P146*1000&lt;=T146/100/($AL$3/100)/炼钢参数表!P146*1000,((BA146-J146*0.00003-K146*0.00024)-0.05)/0.18/100/($AL$3/100)/炼钢参数表!P146*1000,T146/100/($AL$3/100)/炼钢参数表!P146*1000))))</f>
        <v>0</v>
      </c>
      <c r="AM146" s="8">
        <f>IF(T146="",0,IF(T146&lt;=0.03,0,((T146-AL146*($AL$3/100)*炼钢参数表!P146/10)/100/($AM$3/100)/炼钢参数表!P146*1000)))</f>
        <v>0</v>
      </c>
      <c r="AN146" s="8">
        <f>IF(U146="",0,IF(U146&lt;=0.02,0,(U146/100)/($AN$3/100)/炼钢参数表!Q146*1000))</f>
        <v>0</v>
      </c>
      <c r="AO146" s="8">
        <f>IF(V146="",0,IF(V146&lt;=0.02,0,(V146/100)/($AO$3/100)/炼钢参数表!R146*1000))</f>
        <v>0</v>
      </c>
      <c r="AP146" s="8">
        <f>IF(W146="",0,IF(W146&lt;=0.02,0,(W146/100)/($AP$3/100)/炼钢参数表!S146*1000))</f>
        <v>0</v>
      </c>
      <c r="AQ146" s="8">
        <f>IF(X146="",0,IF(X146&lt;=0.0002,0,(X146/100)/($AQ$3/100)/炼钢参数表!T146*1000))</f>
        <v>0</v>
      </c>
      <c r="AR146" s="8">
        <f>IF(Y146="",0,IF(Y146&lt;=0.02,0,(Y146/100)/($AR$3/100)/炼钢参数表!U146*1000))</f>
        <v>0</v>
      </c>
      <c r="AS146" s="8">
        <f>IF(L146&lt;=0.04,0,((L146-0.04)/100)/($AS$3/100)/炼钢参数表!V146*1000)</f>
        <v>0</v>
      </c>
      <c r="AT146" s="8">
        <f>IF(M146&lt;=0.03,0,((M146-0.03)/100)/($AT$3/100)/炼钢参数表!W146*1000)</f>
        <v>0</v>
      </c>
      <c r="AU146" s="6"/>
      <c r="AV146" s="8">
        <f t="shared" si="23"/>
        <v>6.1566672138024199</v>
      </c>
      <c r="AW146" s="8" cm="1">
        <f t="array" ref="AW146">SUMPRODUCT($AB$4:$AU$4,AB146:AU146)/1000</f>
        <v>63.6069531595314</v>
      </c>
      <c r="AY146" s="2" t="str">
        <f t="shared" si="24"/>
        <v>S275JR-DX1</v>
      </c>
      <c r="AZ146" s="37">
        <f>VLOOKUP(AY146,炼钢参数表!$F$5:$J$1027,4,0)</f>
        <v>7.2666666666666699E-2</v>
      </c>
      <c r="BA146" s="37">
        <f t="shared" si="25"/>
        <v>8.7333333333333305E-2</v>
      </c>
      <c r="BB146" s="37">
        <f>AB146*$BB$4*炼钢参数表!$X$5/1000</f>
        <v>0</v>
      </c>
      <c r="BC146" s="37">
        <f>AC146*$BC$4*炼钢参数表!$X$5/1000</f>
        <v>2.7315273294304401E-2</v>
      </c>
      <c r="BD146" s="37">
        <f>AD146*$BD$4*炼钢参数表!$X$5/1000</f>
        <v>0</v>
      </c>
      <c r="BE146" s="37">
        <f>AE146*$BE$4*炼钢参数表!$X$5/1000</f>
        <v>0</v>
      </c>
      <c r="BF146" s="37">
        <f>AL146*$BF$4*炼钢参数表!$X$5/1000</f>
        <v>0</v>
      </c>
      <c r="BG146" s="37">
        <f>AM146*$BG$4*炼钢参数表!$X$5/1000</f>
        <v>0</v>
      </c>
      <c r="BH146" s="37">
        <f t="shared" si="26"/>
        <v>2.7315273294304401E-2</v>
      </c>
      <c r="BI146" s="37">
        <f t="shared" si="27"/>
        <v>9.9981939960971003E-2</v>
      </c>
      <c r="BJ146" s="37">
        <f t="shared" si="28"/>
        <v>-6.0018060039029E-2</v>
      </c>
      <c r="BK146" s="54"/>
      <c r="BL146" s="7"/>
    </row>
    <row r="147" spans="1:64" s="18" customFormat="1" x14ac:dyDescent="0.3">
      <c r="A147" s="21">
        <v>143</v>
      </c>
      <c r="B147" s="4" t="s">
        <v>241</v>
      </c>
      <c r="C147" s="4" t="s">
        <v>26</v>
      </c>
      <c r="D147" s="4">
        <v>12.01</v>
      </c>
      <c r="E147" s="4">
        <v>25.4</v>
      </c>
      <c r="F147" s="4" t="s">
        <v>244</v>
      </c>
      <c r="G147" s="50" t="s">
        <v>243</v>
      </c>
      <c r="H147" s="4">
        <v>1519</v>
      </c>
      <c r="I147" s="51">
        <v>0.16</v>
      </c>
      <c r="J147" s="52">
        <v>0.02</v>
      </c>
      <c r="K147" s="52">
        <v>0.5</v>
      </c>
      <c r="L147" s="51">
        <v>0.02</v>
      </c>
      <c r="M147" s="51">
        <v>0.01</v>
      </c>
      <c r="N147" s="51"/>
      <c r="O147" s="51" t="s">
        <v>631</v>
      </c>
      <c r="P147" s="51">
        <v>0.01</v>
      </c>
      <c r="Q147" s="51">
        <v>0.02</v>
      </c>
      <c r="R147" s="51" t="s">
        <v>631</v>
      </c>
      <c r="S147" s="32"/>
      <c r="T147" s="52"/>
      <c r="U147" s="52"/>
      <c r="V147" s="52"/>
      <c r="W147" s="52"/>
      <c r="X147" s="32" t="s">
        <v>631</v>
      </c>
      <c r="Y147" s="53" t="s">
        <v>631</v>
      </c>
      <c r="Z147" s="4">
        <v>50</v>
      </c>
      <c r="AA147" s="53"/>
      <c r="AB147" s="42">
        <f>IF(J147&lt;=0.04,0,IF((BA147-AL147*BF$4*炼钢参数表!$X$5/1000-AM147*BG$4*炼钢参数表!$X$5/1000)&lt;=0.03,0,IF((J147/100/0.1769/炼钢参数表!K147*1000)&gt;(K147-炼钢参数表!J147)/100/0.6566/炼钢参数表!L147*1000,IF(K147&lt;1.6,(K147-炼钢参数表!J147)/100/0.6566/炼钢参数表!L147*1000,(K147-0.08-炼钢参数表!J147)/100/0.6566/炼钢参数表!L147*1000),IF(K147&lt;1.6,J147/100/0.1769/炼钢参数表!K147*1000,(J147-0.08)/100/0.1769/炼钢参数表!K147*1000))))</f>
        <v>0</v>
      </c>
      <c r="AC147" s="8">
        <f>IF((BA147-AB147*$BB$4*0.9/1000-AL147*BF$4*炼钢参数表!$X$5/1000-AM147*BG$4*炼钢参数表!$X$5/1000)&lt;(K147-炼钢参数表!J147-AB147*0.6566*炼钢参数表!L147/10)*0.082,0,(K147-炼钢参数表!J147-AB147*0.6566*炼钢参数表!L147/10)/100/($AC$3/100)/炼钢参数表!L147*1000)</f>
        <v>5.2205868942751401</v>
      </c>
      <c r="AD147" s="8">
        <f>IF((BA147-AB147*$BB$4*0.9/1000-AC147*$BC$4*0.9/1000-AL147*BF$4*炼钢参数表!$X$5/1000-AM147*BG$4*炼钢参数表!$X$5/1000)&lt;=(K147-炼钢参数表!J147-AB147*0.6566*炼钢参数表!L147/10-AC147*($AC$3/100)*炼钢参数表!L147/10)*0.02,0,((K147-炼钢参数表!J147-AB147*0.6566*炼钢参数表!L147/10-AC147*($AC$3/100)*炼钢参数表!L147/10)/100/($AD$3/100)/炼钢参数表!L147*1000))</f>
        <v>0</v>
      </c>
      <c r="AE147" s="8">
        <f>(K147-炼钢参数表!J147-AB147*0.6566*炼钢参数表!L147/10-AC147*($AC$3/100)*炼钢参数表!L147/10-AD147*($AD$3/100)*炼钢参数表!L147/10)/100/($AE$3/100)/炼钢参数表!L147*1000</f>
        <v>0</v>
      </c>
      <c r="AF147" s="8">
        <v>0</v>
      </c>
      <c r="AG147" s="8">
        <f>IF(J147&lt;=0.04,0,((J147-(AB147*0.1769*炼钢参数表!K147/1000*100))/100/炼钢参数表!K147/($AG$3/100)*1000))</f>
        <v>0</v>
      </c>
      <c r="AH147" s="8">
        <v>1.62</v>
      </c>
      <c r="AI147" s="8">
        <f>IF(N147="",0,IF(N147&lt;=0.002,0,((N147)/100)/($AI$3/100)/炼钢参数表!M147*1000))</f>
        <v>0</v>
      </c>
      <c r="AJ147" s="8">
        <f>IF(O147="",0,IF(O147&lt;=0.002,0,((O147)/100)/($AJ$3/100)/炼钢参数表!N147*1000))</f>
        <v>0</v>
      </c>
      <c r="AK147" s="8">
        <f>IF(P147="",0,IF(P147&lt;=0.002,0,((P147+0.005)/100)/($AK$3/100)/炼钢参数表!O147*1000))</f>
        <v>0.29936534546760901</v>
      </c>
      <c r="AL147" s="8">
        <f>IF((BA147-J147*0.00003-K147*0.00024)&lt;=0.05,0,IF(T147="",0,IF(T147&lt;=0.03,0,IF(((BA147-J147*0.00003-K147*0.00024)-0.05)/0.18/100/($AL$3/100)/炼钢参数表!P147*1000&lt;=T147/100/($AL$3/100)/炼钢参数表!P147*1000,((BA147-J147*0.00003-K147*0.00024)-0.05)/0.18/100/($AL$3/100)/炼钢参数表!P147*1000,T147/100/($AL$3/100)/炼钢参数表!P147*1000))))</f>
        <v>0</v>
      </c>
      <c r="AM147" s="8">
        <f>IF(T147="",0,IF(T147&lt;=0.03,0,((T147-AL147*($AL$3/100)*炼钢参数表!P147/10)/100/($AM$3/100)/炼钢参数表!P147*1000)))</f>
        <v>0</v>
      </c>
      <c r="AN147" s="8">
        <f>IF(U147="",0,IF(U147&lt;=0.02,0,(U147/100)/($AN$3/100)/炼钢参数表!Q147*1000))</f>
        <v>0</v>
      </c>
      <c r="AO147" s="8">
        <f>IF(V147="",0,IF(V147&lt;=0.02,0,(V147/100)/($AO$3/100)/炼钢参数表!R147*1000))</f>
        <v>0</v>
      </c>
      <c r="AP147" s="8">
        <f>IF(W147="",0,IF(W147&lt;=0.02,0,(W147/100)/($AP$3/100)/炼钢参数表!S147*1000))</f>
        <v>0</v>
      </c>
      <c r="AQ147" s="8">
        <f>IF(X147="",0,IF(X147&lt;=0.0002,0,(X147/100)/($AQ$3/100)/炼钢参数表!T147*1000))</f>
        <v>0</v>
      </c>
      <c r="AR147" s="8">
        <f>IF(Y147="",0,IF(Y147&lt;=0.02,0,(Y147/100)/($AR$3/100)/炼钢参数表!U147*1000))</f>
        <v>0</v>
      </c>
      <c r="AS147" s="8">
        <f>IF(L147&lt;=0.04,0,((L147-0.04)/100)/($AS$3/100)/炼钢参数表!V147*1000)</f>
        <v>0</v>
      </c>
      <c r="AT147" s="8">
        <f>IF(M147&lt;=0.03,0,((M147-0.03)/100)/($AT$3/100)/炼钢参数表!W147*1000)</f>
        <v>0</v>
      </c>
      <c r="AU147" s="6"/>
      <c r="AV147" s="8">
        <f t="shared" si="23"/>
        <v>7.1399522397427502</v>
      </c>
      <c r="AW147" s="8" cm="1">
        <f t="array" ref="AW147">SUMPRODUCT($AB$4:$AU$4,AB147:AU147)/1000</f>
        <v>74.946695473113394</v>
      </c>
      <c r="AY147" s="2" t="str">
        <f t="shared" si="24"/>
        <v>S275JR-DX2</v>
      </c>
      <c r="AZ147" s="37">
        <f>VLOOKUP(AY147,炼钢参数表!$F$5:$J$1027,4,0)</f>
        <v>7.2666666666666699E-2</v>
      </c>
      <c r="BA147" s="37">
        <f t="shared" si="25"/>
        <v>8.7333333333333305E-2</v>
      </c>
      <c r="BB147" s="37">
        <f>AB147*$BB$4*炼钢参数表!$X$5/1000</f>
        <v>0</v>
      </c>
      <c r="BC147" s="37">
        <f>AC147*$BC$4*炼钢参数表!$X$5/1000</f>
        <v>3.14331536904306E-2</v>
      </c>
      <c r="BD147" s="37">
        <f>AD147*$BD$4*炼钢参数表!$X$5/1000</f>
        <v>0</v>
      </c>
      <c r="BE147" s="37">
        <f>AE147*$BE$4*炼钢参数表!$X$5/1000</f>
        <v>0</v>
      </c>
      <c r="BF147" s="37">
        <f>AL147*$BF$4*炼钢参数表!$X$5/1000</f>
        <v>0</v>
      </c>
      <c r="BG147" s="37">
        <f>AM147*$BG$4*炼钢参数表!$X$5/1000</f>
        <v>0</v>
      </c>
      <c r="BH147" s="37">
        <f t="shared" si="26"/>
        <v>3.14331536904306E-2</v>
      </c>
      <c r="BI147" s="37">
        <f t="shared" si="27"/>
        <v>0.104099820357097</v>
      </c>
      <c r="BJ147" s="37">
        <f t="shared" si="28"/>
        <v>-5.5900179642902698E-2</v>
      </c>
      <c r="BK147" s="54"/>
      <c r="BL147" s="7"/>
    </row>
    <row r="148" spans="1:64" s="18" customFormat="1" x14ac:dyDescent="0.3">
      <c r="A148" s="21">
        <v>144</v>
      </c>
      <c r="B148" s="4" t="s">
        <v>245</v>
      </c>
      <c r="C148" s="4" t="s">
        <v>23</v>
      </c>
      <c r="D148" s="4">
        <v>2</v>
      </c>
      <c r="E148" s="4">
        <v>12</v>
      </c>
      <c r="F148" s="4" t="s">
        <v>246</v>
      </c>
      <c r="G148" s="50" t="s">
        <v>247</v>
      </c>
      <c r="H148" s="4">
        <v>1520</v>
      </c>
      <c r="I148" s="51">
        <v>0.14000000000000001</v>
      </c>
      <c r="J148" s="52">
        <v>0.15</v>
      </c>
      <c r="K148" s="52">
        <v>0.4</v>
      </c>
      <c r="L148" s="51">
        <v>0.02</v>
      </c>
      <c r="M148" s="51">
        <v>0.01</v>
      </c>
      <c r="N148" s="51"/>
      <c r="O148" s="51" t="s">
        <v>631</v>
      </c>
      <c r="P148" s="51"/>
      <c r="Q148" s="51">
        <v>0.02</v>
      </c>
      <c r="R148" s="51" t="s">
        <v>631</v>
      </c>
      <c r="S148" s="32"/>
      <c r="T148" s="52"/>
      <c r="U148" s="52"/>
      <c r="V148" s="52"/>
      <c r="W148" s="52"/>
      <c r="X148" s="32" t="s">
        <v>631</v>
      </c>
      <c r="Y148" s="53" t="s">
        <v>631</v>
      </c>
      <c r="Z148" s="4">
        <v>45</v>
      </c>
      <c r="AA148" s="53"/>
      <c r="AB148" s="42">
        <f>IF(J148&lt;=0.04,0,IF((BA148-AL148*BF$4*炼钢参数表!$X$5/1000-AM148*BG$4*炼钢参数表!$X$5/1000)&lt;=0.03,0,IF((J148/100/0.1769/炼钢参数表!K148*1000)&gt;(K148-炼钢参数表!J148)/100/0.6566/炼钢参数表!L148*1000,IF(K148&lt;1.6,(K148-炼钢参数表!J148)/100/0.6566/炼钢参数表!L148*1000,(K148-0.08-炼钢参数表!J148)/100/0.6566/炼钢参数表!L148*1000),IF(K148&lt;1.6,J148/100/0.1769/炼钢参数表!K148*1000,(J148-0.08)/100/0.1769/炼钢参数表!K148*1000))))</f>
        <v>4.3773220527931</v>
      </c>
      <c r="AC148" s="8">
        <f>IF((BA148-AB148*$BB$4*0.9/1000-AL148*BF$4*炼钢参数表!$X$5/1000-AM148*BG$4*炼钢参数表!$X$5/1000)&lt;(K148-炼钢参数表!J148-AB148*0.6566*炼钢参数表!L148/10)*0.082,0,(K148-炼钢参数表!J148-AB148*0.6566*炼钢参数表!L148/10)/100/($AC$3/100)/炼钢参数表!L148*1000)</f>
        <v>0</v>
      </c>
      <c r="AD148" s="8">
        <f>IF((BA148-AB148*$BB$4*0.9/1000-AC148*$BC$4*0.9/1000-AL148*BF$4*炼钢参数表!$X$5/1000-AM148*BG$4*炼钢参数表!$X$5/1000)&lt;=(K148-炼钢参数表!J148-AB148*0.6566*炼钢参数表!L148/10-AC148*($AC$3/100)*炼钢参数表!L148/10)*0.02,0,((K148-炼钢参数表!J148-AB148*0.6566*炼钢参数表!L148/10-AC148*($AC$3/100)*炼钢参数表!L148/10)/100/($AD$3/100)/炼钢参数表!L148*1000))</f>
        <v>0</v>
      </c>
      <c r="AE148" s="8">
        <f>(K148-炼钢参数表!J148-AB148*0.6566*炼钢参数表!L148/10-AC148*($AC$3/100)*炼钢参数表!L148/10-AD148*($AD$3/100)*炼钢参数表!L148/10)/100/($AE$3/100)/炼钢参数表!L148*1000</f>
        <v>0</v>
      </c>
      <c r="AF148" s="8">
        <v>0</v>
      </c>
      <c r="AG148" s="8">
        <f>IF(J148&lt;=0.04,0,((J148-(AB148*0.1769*炼钢参数表!K148/1000*100))/100/炼钢参数表!K148/($AG$3/100)*1000))</f>
        <v>1.5238152137074601</v>
      </c>
      <c r="AH148" s="8">
        <v>1.36</v>
      </c>
      <c r="AI148" s="8">
        <f>IF(N148="",0,IF(N148&lt;=0.002,0,((N148)/100)/($AI$3/100)/炼钢参数表!M148*1000))</f>
        <v>0</v>
      </c>
      <c r="AJ148" s="8">
        <f>IF(O148="",0,IF(O148&lt;=0.002,0,((O148)/100)/($AJ$3/100)/炼钢参数表!N148*1000))</f>
        <v>0</v>
      </c>
      <c r="AK148" s="8">
        <f>IF(P148="",0,IF(P148&lt;=0.002,0,((P148+0.005)/100)/($AK$3/100)/炼钢参数表!O148*1000))</f>
        <v>0</v>
      </c>
      <c r="AL148" s="8">
        <f>IF((BA148-J148*0.00003-K148*0.00024)&lt;=0.05,0,IF(T148="",0,IF(T148&lt;=0.03,0,IF(((BA148-J148*0.00003-K148*0.00024)-0.05)/0.18/100/($AL$3/100)/炼钢参数表!P148*1000&lt;=T148/100/($AL$3/100)/炼钢参数表!P148*1000,((BA148-J148*0.00003-K148*0.00024)-0.05)/0.18/100/($AL$3/100)/炼钢参数表!P148*1000,T148/100/($AL$3/100)/炼钢参数表!P148*1000))))</f>
        <v>0</v>
      </c>
      <c r="AM148" s="8">
        <f>IF(T148="",0,IF(T148&lt;=0.03,0,((T148-AL148*($AL$3/100)*炼钢参数表!P148/10)/100/($AM$3/100)/炼钢参数表!P148*1000)))</f>
        <v>0</v>
      </c>
      <c r="AN148" s="8">
        <f>IF(U148="",0,IF(U148&lt;=0.02,0,(U148/100)/($AN$3/100)/炼钢参数表!Q148*1000))</f>
        <v>0</v>
      </c>
      <c r="AO148" s="8">
        <f>IF(V148="",0,IF(V148&lt;=0.02,0,(V148/100)/($AO$3/100)/炼钢参数表!R148*1000))</f>
        <v>0</v>
      </c>
      <c r="AP148" s="8">
        <f>IF(W148="",0,IF(W148&lt;=0.02,0,(W148/100)/($AP$3/100)/炼钢参数表!S148*1000))</f>
        <v>0</v>
      </c>
      <c r="AQ148" s="8">
        <f>IF(X148="",0,IF(X148&lt;=0.0002,0,(X148/100)/($AQ$3/100)/炼钢参数表!T148*1000))</f>
        <v>0</v>
      </c>
      <c r="AR148" s="8">
        <f>IF(Y148="",0,IF(Y148&lt;=0.02,0,(Y148/100)/($AR$3/100)/炼钢参数表!U148*1000))</f>
        <v>0</v>
      </c>
      <c r="AS148" s="8">
        <f>IF(L148&lt;=0.04,0,((L148-0.04)/100)/($AS$3/100)/炼钢参数表!V148*1000)</f>
        <v>0</v>
      </c>
      <c r="AT148" s="8">
        <f>IF(M148&lt;=0.03,0,((M148-0.03)/100)/($AT$3/100)/炼钢参数表!W148*1000)</f>
        <v>0</v>
      </c>
      <c r="AU148" s="6"/>
      <c r="AV148" s="8">
        <f t="shared" si="23"/>
        <v>7.26113726650056</v>
      </c>
      <c r="AW148" s="8" cm="1">
        <f t="array" ref="AW148">SUMPRODUCT($AB$4:$AU$4,AB148:AU148)/1000</f>
        <v>62.026815341546403</v>
      </c>
      <c r="AY148" s="2" t="str">
        <f t="shared" si="24"/>
        <v>S275J0-1</v>
      </c>
      <c r="AZ148" s="37">
        <f>VLOOKUP(AY148,炼钢参数表!$F$5:$J$1027,4,0)</f>
        <v>7.2666666666666699E-2</v>
      </c>
      <c r="BA148" s="37">
        <f t="shared" si="25"/>
        <v>6.7333333333333301E-2</v>
      </c>
      <c r="BB148" s="37">
        <f>AB148*$BB$4*炼钢参数表!$X$5/1000</f>
        <v>6.7760945377237196E-3</v>
      </c>
      <c r="BC148" s="37">
        <f>AC148*$BC$4*炼钢参数表!$X$5/1000</f>
        <v>0</v>
      </c>
      <c r="BD148" s="37">
        <f>AD148*$BD$4*炼钢参数表!$X$5/1000</f>
        <v>0</v>
      </c>
      <c r="BE148" s="37">
        <f>AE148*$BE$4*炼钢参数表!$X$5/1000</f>
        <v>0</v>
      </c>
      <c r="BF148" s="37">
        <f>AL148*$BF$4*炼钢参数表!$X$5/1000</f>
        <v>0</v>
      </c>
      <c r="BG148" s="37">
        <f>AM148*$BG$4*炼钢参数表!$X$5/1000</f>
        <v>0</v>
      </c>
      <c r="BH148" s="37">
        <f t="shared" si="26"/>
        <v>6.7760945377237196E-3</v>
      </c>
      <c r="BI148" s="37">
        <f t="shared" si="27"/>
        <v>7.9442761204390394E-2</v>
      </c>
      <c r="BJ148" s="37">
        <f t="shared" si="28"/>
        <v>-6.0557238795609598E-2</v>
      </c>
      <c r="BK148" s="54"/>
      <c r="BL148" s="7"/>
    </row>
    <row r="149" spans="1:64" s="18" customFormat="1" x14ac:dyDescent="0.3">
      <c r="A149" s="21">
        <v>145</v>
      </c>
      <c r="B149" s="4" t="s">
        <v>245</v>
      </c>
      <c r="C149" s="4" t="s">
        <v>26</v>
      </c>
      <c r="D149" s="4">
        <v>12.01</v>
      </c>
      <c r="E149" s="4">
        <v>25.4</v>
      </c>
      <c r="F149" s="4" t="s">
        <v>248</v>
      </c>
      <c r="G149" s="50" t="s">
        <v>247</v>
      </c>
      <c r="H149" s="4">
        <v>1520</v>
      </c>
      <c r="I149" s="51">
        <v>0.14000000000000001</v>
      </c>
      <c r="J149" s="52">
        <v>0.15</v>
      </c>
      <c r="K149" s="52">
        <v>0.45</v>
      </c>
      <c r="L149" s="51">
        <v>0.02</v>
      </c>
      <c r="M149" s="51">
        <v>0.01</v>
      </c>
      <c r="N149" s="51"/>
      <c r="O149" s="51" t="s">
        <v>631</v>
      </c>
      <c r="P149" s="51">
        <v>0.01</v>
      </c>
      <c r="Q149" s="51">
        <v>0.02</v>
      </c>
      <c r="R149" s="51" t="s">
        <v>631</v>
      </c>
      <c r="S149" s="32"/>
      <c r="T149" s="52"/>
      <c r="U149" s="52"/>
      <c r="V149" s="52"/>
      <c r="W149" s="52"/>
      <c r="X149" s="32" t="s">
        <v>631</v>
      </c>
      <c r="Y149" s="53" t="s">
        <v>631</v>
      </c>
      <c r="Z149" s="4">
        <v>50</v>
      </c>
      <c r="AA149" s="53"/>
      <c r="AB149" s="42">
        <f>IF(J149&lt;=0.04,0,IF((BA149-AL149*BF$4*炼钢参数表!$X$5/1000-AM149*BG$4*炼钢参数表!$X$5/1000)&lt;=0.03,0,IF((J149/100/0.1769/炼钢参数表!K149*1000)&gt;(K149-炼钢参数表!J149)/100/0.6566/炼钢参数表!L149*1000,IF(K149&lt;1.6,(K149-炼钢参数表!J149)/100/0.6566/炼钢参数表!L149*1000,(K149-0.08-炼钢参数表!J149)/100/0.6566/炼钢参数表!L149*1000),IF(K149&lt;1.6,J149/100/0.1769/炼钢参数表!K149*1000,(J149-0.08)/100/0.1769/炼钢参数表!K149*1000))))</f>
        <v>5.1543614704486798</v>
      </c>
      <c r="AC149" s="8">
        <f>IF((BA149-AB149*$BB$4*0.9/1000-AL149*BF$4*炼钢参数表!$X$5/1000-AM149*BG$4*炼钢参数表!$X$5/1000)&lt;(K149-炼钢参数表!J149-AB149*0.6566*炼钢参数表!L149/10)*0.082,0,(K149-炼钢参数表!J149-AB149*0.6566*炼钢参数表!L149/10)/100/($AC$3/100)/炼钢参数表!L149*1000)</f>
        <v>0</v>
      </c>
      <c r="AD149" s="8">
        <f>IF((BA149-AB149*$BB$4*0.9/1000-AC149*$BC$4*0.9/1000-AL149*BF$4*炼钢参数表!$X$5/1000-AM149*BG$4*炼钢参数表!$X$5/1000)&lt;=(K149-炼钢参数表!J149-AB149*0.6566*炼钢参数表!L149/10-AC149*($AC$3/100)*炼钢参数表!L149/10)*0.02,0,((K149-炼钢参数表!J149-AB149*0.6566*炼钢参数表!L149/10-AC149*($AC$3/100)*炼钢参数表!L149/10)/100/($AD$3/100)/炼钢参数表!L149*1000))</f>
        <v>0</v>
      </c>
      <c r="AE149" s="8">
        <f>(K149-炼钢参数表!J149-AB149*0.6566*炼钢参数表!L149/10-AC149*($AC$3/100)*炼钢参数表!L149/10-AD149*($AD$3/100)*炼钢参数表!L149/10)/100/($AE$3/100)/炼钢参数表!L149*1000</f>
        <v>0</v>
      </c>
      <c r="AF149" s="8">
        <v>0</v>
      </c>
      <c r="AG149" s="8">
        <f>IF(J149&lt;=0.04,0,((J149-(AB149*0.1769*炼钢参数表!K149/1000*100))/100/炼钢参数表!K149/($AG$3/100)*1000))</f>
        <v>1.3335088687216201</v>
      </c>
      <c r="AH149" s="8">
        <v>1.36</v>
      </c>
      <c r="AI149" s="8">
        <f>IF(N149="",0,IF(N149&lt;=0.002,0,((N149)/100)/($AI$3/100)/炼钢参数表!M149*1000))</f>
        <v>0</v>
      </c>
      <c r="AJ149" s="8">
        <f>IF(O149="",0,IF(O149&lt;=0.002,0,((O149)/100)/($AJ$3/100)/炼钢参数表!N149*1000))</f>
        <v>0</v>
      </c>
      <c r="AK149" s="8">
        <f>IF(P149="",0,IF(P149&lt;=0.002,0,((P149+0.005)/100)/($AK$3/100)/炼钢参数表!O149*1000))</f>
        <v>0.29936534546760901</v>
      </c>
      <c r="AL149" s="8">
        <f>IF((BA149-J149*0.00003-K149*0.00024)&lt;=0.05,0,IF(T149="",0,IF(T149&lt;=0.03,0,IF(((BA149-J149*0.00003-K149*0.00024)-0.05)/0.18/100/($AL$3/100)/炼钢参数表!P149*1000&lt;=T149/100/($AL$3/100)/炼钢参数表!P149*1000,((BA149-J149*0.00003-K149*0.00024)-0.05)/0.18/100/($AL$3/100)/炼钢参数表!P149*1000,T149/100/($AL$3/100)/炼钢参数表!P149*1000))))</f>
        <v>0</v>
      </c>
      <c r="AM149" s="8">
        <f>IF(T149="",0,IF(T149&lt;=0.03,0,((T149-AL149*($AL$3/100)*炼钢参数表!P149/10)/100/($AM$3/100)/炼钢参数表!P149*1000)))</f>
        <v>0</v>
      </c>
      <c r="AN149" s="8">
        <f>IF(U149="",0,IF(U149&lt;=0.02,0,(U149/100)/($AN$3/100)/炼钢参数表!Q149*1000))</f>
        <v>0</v>
      </c>
      <c r="AO149" s="8">
        <f>IF(V149="",0,IF(V149&lt;=0.02,0,(V149/100)/($AO$3/100)/炼钢参数表!R149*1000))</f>
        <v>0</v>
      </c>
      <c r="AP149" s="8">
        <f>IF(W149="",0,IF(W149&lt;=0.02,0,(W149/100)/($AP$3/100)/炼钢参数表!S149*1000))</f>
        <v>0</v>
      </c>
      <c r="AQ149" s="8">
        <f>IF(X149="",0,IF(X149&lt;=0.0002,0,(X149/100)/($AQ$3/100)/炼钢参数表!T149*1000))</f>
        <v>0</v>
      </c>
      <c r="AR149" s="8">
        <f>IF(Y149="",0,IF(Y149&lt;=0.02,0,(Y149/100)/($AR$3/100)/炼钢参数表!U149*1000))</f>
        <v>0</v>
      </c>
      <c r="AS149" s="8">
        <f>IF(L149&lt;=0.04,0,((L149-0.04)/100)/($AS$3/100)/炼钢参数表!V149*1000)</f>
        <v>0</v>
      </c>
      <c r="AT149" s="8">
        <f>IF(M149&lt;=0.03,0,((M149-0.03)/100)/($AT$3/100)/炼钢参数表!W149*1000)</f>
        <v>0</v>
      </c>
      <c r="AU149" s="6"/>
      <c r="AV149" s="8">
        <f t="shared" si="23"/>
        <v>8.1472356846379093</v>
      </c>
      <c r="AW149" s="8" cm="1">
        <f t="array" ref="AW149">SUMPRODUCT($AB$4:$AU$4,AB149:AU149)/1000</f>
        <v>72.461146178122206</v>
      </c>
      <c r="AY149" s="2" t="str">
        <f t="shared" si="24"/>
        <v>S275J0-2</v>
      </c>
      <c r="AZ149" s="37">
        <f>VLOOKUP(AY149,炼钢参数表!$F$5:$J$1027,4,0)</f>
        <v>7.2666666666666699E-2</v>
      </c>
      <c r="BA149" s="37">
        <f t="shared" si="25"/>
        <v>6.7333333333333301E-2</v>
      </c>
      <c r="BB149" s="37">
        <f>AB149*$BB$4*炼钢参数表!$X$5/1000</f>
        <v>7.9789515562545509E-3</v>
      </c>
      <c r="BC149" s="37">
        <f>AC149*$BC$4*炼钢参数表!$X$5/1000</f>
        <v>0</v>
      </c>
      <c r="BD149" s="37">
        <f>AD149*$BD$4*炼钢参数表!$X$5/1000</f>
        <v>0</v>
      </c>
      <c r="BE149" s="37">
        <f>AE149*$BE$4*炼钢参数表!$X$5/1000</f>
        <v>0</v>
      </c>
      <c r="BF149" s="37">
        <f>AL149*$BF$4*炼钢参数表!$X$5/1000</f>
        <v>0</v>
      </c>
      <c r="BG149" s="37">
        <f>AM149*$BG$4*炼钢参数表!$X$5/1000</f>
        <v>0</v>
      </c>
      <c r="BH149" s="37">
        <f t="shared" si="26"/>
        <v>7.9789515562545509E-3</v>
      </c>
      <c r="BI149" s="37">
        <f t="shared" si="27"/>
        <v>8.0645618222921295E-2</v>
      </c>
      <c r="BJ149" s="37">
        <f t="shared" si="28"/>
        <v>-5.9354381777078802E-2</v>
      </c>
      <c r="BK149" s="54"/>
      <c r="BL149" s="7"/>
    </row>
    <row r="150" spans="1:64" s="18" customFormat="1" x14ac:dyDescent="0.3">
      <c r="A150" s="21">
        <v>146</v>
      </c>
      <c r="B150" s="4" t="s">
        <v>249</v>
      </c>
      <c r="C150" s="4" t="s">
        <v>23</v>
      </c>
      <c r="D150" s="4">
        <v>1.5</v>
      </c>
      <c r="E150" s="4">
        <v>12</v>
      </c>
      <c r="F150" s="4" t="s">
        <v>250</v>
      </c>
      <c r="G150" s="50" t="s">
        <v>251</v>
      </c>
      <c r="H150" s="4">
        <v>1520</v>
      </c>
      <c r="I150" s="51">
        <v>0.14000000000000001</v>
      </c>
      <c r="J150" s="52">
        <v>0.15</v>
      </c>
      <c r="K150" s="52">
        <v>0.4</v>
      </c>
      <c r="L150" s="51">
        <v>1.4999999999999999E-2</v>
      </c>
      <c r="M150" s="51">
        <v>0.01</v>
      </c>
      <c r="N150" s="51"/>
      <c r="O150" s="51" t="s">
        <v>631</v>
      </c>
      <c r="P150" s="51"/>
      <c r="Q150" s="51">
        <v>0.02</v>
      </c>
      <c r="R150" s="51" t="s">
        <v>631</v>
      </c>
      <c r="S150" s="32"/>
      <c r="T150" s="52"/>
      <c r="U150" s="52"/>
      <c r="V150" s="52"/>
      <c r="W150" s="52"/>
      <c r="X150" s="32" t="s">
        <v>631</v>
      </c>
      <c r="Y150" s="53" t="s">
        <v>631</v>
      </c>
      <c r="Z150" s="4">
        <v>45</v>
      </c>
      <c r="AA150" s="53"/>
      <c r="AB150" s="42">
        <f>IF(J150&lt;=0.04,0,IF((BA150-AL150*BF$4*炼钢参数表!$X$5/1000-AM150*BG$4*炼钢参数表!$X$5/1000)&lt;=0.03,0,IF((J150/100/0.1769/炼钢参数表!K150*1000)&gt;(K150-炼钢参数表!J150)/100/0.6566/炼钢参数表!L150*1000,IF(K150&lt;1.6,(K150-炼钢参数表!J150)/100/0.6566/炼钢参数表!L150*1000,(K150-0.08-炼钢参数表!J150)/100/0.6566/炼钢参数表!L150*1000),IF(K150&lt;1.6,J150/100/0.1769/炼钢参数表!K150*1000,(J150-0.08)/100/0.1769/炼钢参数表!K150*1000))))</f>
        <v>4.3773220527931</v>
      </c>
      <c r="AC150" s="8">
        <f>IF((BA150-AB150*$BB$4*0.9/1000-AL150*BF$4*炼钢参数表!$X$5/1000-AM150*BG$4*炼钢参数表!$X$5/1000)&lt;(K150-炼钢参数表!J150-AB150*0.6566*炼钢参数表!L150/10)*0.082,0,(K150-炼钢参数表!J150-AB150*0.6566*炼钢参数表!L150/10)/100/($AC$3/100)/炼钢参数表!L150*1000)</f>
        <v>0</v>
      </c>
      <c r="AD150" s="8">
        <f>IF((BA150-AB150*$BB$4*0.9/1000-AC150*$BC$4*0.9/1000-AL150*BF$4*炼钢参数表!$X$5/1000-AM150*BG$4*炼钢参数表!$X$5/1000)&lt;=(K150-炼钢参数表!J150-AB150*0.6566*炼钢参数表!L150/10-AC150*($AC$3/100)*炼钢参数表!L150/10)*0.02,0,((K150-炼钢参数表!J150-AB150*0.6566*炼钢参数表!L150/10-AC150*($AC$3/100)*炼钢参数表!L150/10)/100/($AD$3/100)/炼钢参数表!L150*1000))</f>
        <v>0</v>
      </c>
      <c r="AE150" s="8">
        <f>(K150-炼钢参数表!J150-AB150*0.6566*炼钢参数表!L150/10-AC150*($AC$3/100)*炼钢参数表!L150/10-AD150*($AD$3/100)*炼钢参数表!L150/10)/100/($AE$3/100)/炼钢参数表!L150*1000</f>
        <v>0</v>
      </c>
      <c r="AF150" s="8">
        <v>0</v>
      </c>
      <c r="AG150" s="8">
        <f>IF(J150&lt;=0.04,0,((J150-(AB150*0.1769*炼钢参数表!K150/1000*100))/100/炼钢参数表!K150/($AG$3/100)*1000))</f>
        <v>1.5238152137074601</v>
      </c>
      <c r="AH150" s="8">
        <v>1.36</v>
      </c>
      <c r="AI150" s="8">
        <f>IF(N150="",0,IF(N150&lt;=0.002,0,((N150)/100)/($AI$3/100)/炼钢参数表!M150*1000))</f>
        <v>0</v>
      </c>
      <c r="AJ150" s="8">
        <f>IF(O150="",0,IF(O150&lt;=0.002,0,((O150)/100)/($AJ$3/100)/炼钢参数表!N150*1000))</f>
        <v>0</v>
      </c>
      <c r="AK150" s="8">
        <f>IF(P150="",0,IF(P150&lt;=0.002,0,((P150+0.005)/100)/($AK$3/100)/炼钢参数表!O150*1000))</f>
        <v>0</v>
      </c>
      <c r="AL150" s="8">
        <f>IF((BA150-J150*0.00003-K150*0.00024)&lt;=0.05,0,IF(T150="",0,IF(T150&lt;=0.03,0,IF(((BA150-J150*0.00003-K150*0.00024)-0.05)/0.18/100/($AL$3/100)/炼钢参数表!P150*1000&lt;=T150/100/($AL$3/100)/炼钢参数表!P150*1000,((BA150-J150*0.00003-K150*0.00024)-0.05)/0.18/100/($AL$3/100)/炼钢参数表!P150*1000,T150/100/($AL$3/100)/炼钢参数表!P150*1000))))</f>
        <v>0</v>
      </c>
      <c r="AM150" s="8">
        <f>IF(T150="",0,IF(T150&lt;=0.03,0,((T150-AL150*($AL$3/100)*炼钢参数表!P150/10)/100/($AM$3/100)/炼钢参数表!P150*1000)))</f>
        <v>0</v>
      </c>
      <c r="AN150" s="8">
        <f>IF(U150="",0,IF(U150&lt;=0.02,0,(U150/100)/($AN$3/100)/炼钢参数表!Q150*1000))</f>
        <v>0</v>
      </c>
      <c r="AO150" s="8">
        <f>IF(V150="",0,IF(V150&lt;=0.02,0,(V150/100)/($AO$3/100)/炼钢参数表!R150*1000))</f>
        <v>0</v>
      </c>
      <c r="AP150" s="8">
        <f>IF(W150="",0,IF(W150&lt;=0.02,0,(W150/100)/($AP$3/100)/炼钢参数表!S150*1000))</f>
        <v>0</v>
      </c>
      <c r="AQ150" s="8">
        <f>IF(X150="",0,IF(X150&lt;=0.0002,0,(X150/100)/($AQ$3/100)/炼钢参数表!T150*1000))</f>
        <v>0</v>
      </c>
      <c r="AR150" s="8">
        <f>IF(Y150="",0,IF(Y150&lt;=0.02,0,(Y150/100)/($AR$3/100)/炼钢参数表!U150*1000))</f>
        <v>0</v>
      </c>
      <c r="AS150" s="8">
        <f>IF(L150&lt;=0.04,0,((L150-0.04)/100)/($AS$3/100)/炼钢参数表!V150*1000)</f>
        <v>0</v>
      </c>
      <c r="AT150" s="8">
        <f>IF(M150&lt;=0.03,0,((M150-0.03)/100)/($AT$3/100)/炼钢参数表!W150*1000)</f>
        <v>0</v>
      </c>
      <c r="AU150" s="6"/>
      <c r="AV150" s="8">
        <f t="shared" si="23"/>
        <v>7.26113726650056</v>
      </c>
      <c r="AW150" s="8" cm="1">
        <f t="array" ref="AW150">SUMPRODUCT($AB$4:$AU$4,AB150:AU150)/1000</f>
        <v>62.026815341546403</v>
      </c>
      <c r="AY150" s="2" t="str">
        <f t="shared" si="24"/>
        <v>S275J2-1</v>
      </c>
      <c r="AZ150" s="37">
        <f>VLOOKUP(AY150,炼钢参数表!$F$5:$J$1027,4,0)</f>
        <v>7.2666666666666699E-2</v>
      </c>
      <c r="BA150" s="37">
        <f t="shared" si="25"/>
        <v>6.7333333333333301E-2</v>
      </c>
      <c r="BB150" s="37">
        <f>AB150*$BB$4*炼钢参数表!$X$5/1000</f>
        <v>6.7760945377237196E-3</v>
      </c>
      <c r="BC150" s="37">
        <f>AC150*$BC$4*炼钢参数表!$X$5/1000</f>
        <v>0</v>
      </c>
      <c r="BD150" s="37">
        <f>AD150*$BD$4*炼钢参数表!$X$5/1000</f>
        <v>0</v>
      </c>
      <c r="BE150" s="37">
        <f>AE150*$BE$4*炼钢参数表!$X$5/1000</f>
        <v>0</v>
      </c>
      <c r="BF150" s="37">
        <f>AL150*$BF$4*炼钢参数表!$X$5/1000</f>
        <v>0</v>
      </c>
      <c r="BG150" s="37">
        <f>AM150*$BG$4*炼钢参数表!$X$5/1000</f>
        <v>0</v>
      </c>
      <c r="BH150" s="37">
        <f t="shared" si="26"/>
        <v>6.7760945377237196E-3</v>
      </c>
      <c r="BI150" s="37">
        <f t="shared" si="27"/>
        <v>7.9442761204390394E-2</v>
      </c>
      <c r="BJ150" s="37">
        <f t="shared" si="28"/>
        <v>-6.0557238795609598E-2</v>
      </c>
      <c r="BK150" s="54"/>
      <c r="BL150" s="7"/>
    </row>
    <row r="151" spans="1:64" s="18" customFormat="1" x14ac:dyDescent="0.3">
      <c r="A151" s="21">
        <v>147</v>
      </c>
      <c r="B151" s="4" t="s">
        <v>249</v>
      </c>
      <c r="C151" s="4" t="s">
        <v>26</v>
      </c>
      <c r="D151" s="4">
        <v>12.01</v>
      </c>
      <c r="E151" s="4">
        <v>25.4</v>
      </c>
      <c r="F151" s="4" t="s">
        <v>252</v>
      </c>
      <c r="G151" s="50" t="s">
        <v>251</v>
      </c>
      <c r="H151" s="4">
        <v>1520</v>
      </c>
      <c r="I151" s="51">
        <v>0.14000000000000001</v>
      </c>
      <c r="J151" s="52">
        <v>0.15</v>
      </c>
      <c r="K151" s="52">
        <v>0.45</v>
      </c>
      <c r="L151" s="51">
        <v>1.4999999999999999E-2</v>
      </c>
      <c r="M151" s="51">
        <v>0.01</v>
      </c>
      <c r="N151" s="51"/>
      <c r="O151" s="51" t="s">
        <v>631</v>
      </c>
      <c r="P151" s="51">
        <v>0.01</v>
      </c>
      <c r="Q151" s="51">
        <v>0.02</v>
      </c>
      <c r="R151" s="51" t="s">
        <v>631</v>
      </c>
      <c r="S151" s="32"/>
      <c r="T151" s="52"/>
      <c r="U151" s="52"/>
      <c r="V151" s="52"/>
      <c r="W151" s="52"/>
      <c r="X151" s="32" t="s">
        <v>631</v>
      </c>
      <c r="Y151" s="53" t="s">
        <v>631</v>
      </c>
      <c r="Z151" s="4">
        <v>45</v>
      </c>
      <c r="AA151" s="53"/>
      <c r="AB151" s="42">
        <f>IF(J151&lt;=0.04,0,IF((BA151-AL151*BF$4*炼钢参数表!$X$5/1000-AM151*BG$4*炼钢参数表!$X$5/1000)&lt;=0.03,0,IF((J151/100/0.1769/炼钢参数表!K151*1000)&gt;(K151-炼钢参数表!J151)/100/0.6566/炼钢参数表!L151*1000,IF(K151&lt;1.6,(K151-炼钢参数表!J151)/100/0.6566/炼钢参数表!L151*1000,(K151-0.08-炼钢参数表!J151)/100/0.6566/炼钢参数表!L151*1000),IF(K151&lt;1.6,J151/100/0.1769/炼钢参数表!K151*1000,(J151-0.08)/100/0.1769/炼钢参数表!K151*1000))))</f>
        <v>5.1543614704486798</v>
      </c>
      <c r="AC151" s="8">
        <f>IF((BA151-AB151*$BB$4*0.9/1000-AL151*BF$4*炼钢参数表!$X$5/1000-AM151*BG$4*炼钢参数表!$X$5/1000)&lt;(K151-炼钢参数表!J151-AB151*0.6566*炼钢参数表!L151/10)*0.082,0,(K151-炼钢参数表!J151-AB151*0.6566*炼钢参数表!L151/10)/100/($AC$3/100)/炼钢参数表!L151*1000)</f>
        <v>0</v>
      </c>
      <c r="AD151" s="8">
        <f>IF((BA151-AB151*$BB$4*0.9/1000-AC151*$BC$4*0.9/1000-AL151*BF$4*炼钢参数表!$X$5/1000-AM151*BG$4*炼钢参数表!$X$5/1000)&lt;=(K151-炼钢参数表!J151-AB151*0.6566*炼钢参数表!L151/10-AC151*($AC$3/100)*炼钢参数表!L151/10)*0.02,0,((K151-炼钢参数表!J151-AB151*0.6566*炼钢参数表!L151/10-AC151*($AC$3/100)*炼钢参数表!L151/10)/100/($AD$3/100)/炼钢参数表!L151*1000))</f>
        <v>0</v>
      </c>
      <c r="AE151" s="8">
        <f>(K151-炼钢参数表!J151-AB151*0.6566*炼钢参数表!L151/10-AC151*($AC$3/100)*炼钢参数表!L151/10-AD151*($AD$3/100)*炼钢参数表!L151/10)/100/($AE$3/100)/炼钢参数表!L151*1000</f>
        <v>0</v>
      </c>
      <c r="AF151" s="8">
        <v>0</v>
      </c>
      <c r="AG151" s="8">
        <f>IF(J151&lt;=0.04,0,((J151-(AB151*0.1769*炼钢参数表!K151/1000*100))/100/炼钢参数表!K151/($AG$3/100)*1000))</f>
        <v>1.3335088687216201</v>
      </c>
      <c r="AH151" s="8">
        <v>1.36</v>
      </c>
      <c r="AI151" s="8">
        <f>IF(N151="",0,IF(N151&lt;=0.002,0,((N151)/100)/($AI$3/100)/炼钢参数表!M151*1000))</f>
        <v>0</v>
      </c>
      <c r="AJ151" s="8">
        <f>IF(O151="",0,IF(O151&lt;=0.002,0,((O151)/100)/($AJ$3/100)/炼钢参数表!N151*1000))</f>
        <v>0</v>
      </c>
      <c r="AK151" s="8">
        <f>IF(P151="",0,IF(P151&lt;=0.002,0,((P151+0.005)/100)/($AK$3/100)/炼钢参数表!O151*1000))</f>
        <v>0.29936534546760901</v>
      </c>
      <c r="AL151" s="8">
        <f>IF((BA151-J151*0.00003-K151*0.00024)&lt;=0.05,0,IF(T151="",0,IF(T151&lt;=0.03,0,IF(((BA151-J151*0.00003-K151*0.00024)-0.05)/0.18/100/($AL$3/100)/炼钢参数表!P151*1000&lt;=T151/100/($AL$3/100)/炼钢参数表!P151*1000,((BA151-J151*0.00003-K151*0.00024)-0.05)/0.18/100/($AL$3/100)/炼钢参数表!P151*1000,T151/100/($AL$3/100)/炼钢参数表!P151*1000))))</f>
        <v>0</v>
      </c>
      <c r="AM151" s="8">
        <f>IF(T151="",0,IF(T151&lt;=0.03,0,((T151-AL151*($AL$3/100)*炼钢参数表!P151/10)/100/($AM$3/100)/炼钢参数表!P151*1000)))</f>
        <v>0</v>
      </c>
      <c r="AN151" s="8">
        <f>IF(U151="",0,IF(U151&lt;=0.02,0,(U151/100)/($AN$3/100)/炼钢参数表!Q151*1000))</f>
        <v>0</v>
      </c>
      <c r="AO151" s="8">
        <f>IF(V151="",0,IF(V151&lt;=0.02,0,(V151/100)/($AO$3/100)/炼钢参数表!R151*1000))</f>
        <v>0</v>
      </c>
      <c r="AP151" s="8">
        <f>IF(W151="",0,IF(W151&lt;=0.02,0,(W151/100)/($AP$3/100)/炼钢参数表!S151*1000))</f>
        <v>0</v>
      </c>
      <c r="AQ151" s="8">
        <f>IF(X151="",0,IF(X151&lt;=0.0002,0,(X151/100)/($AQ$3/100)/炼钢参数表!T151*1000))</f>
        <v>0</v>
      </c>
      <c r="AR151" s="8">
        <f>IF(Y151="",0,IF(Y151&lt;=0.02,0,(Y151/100)/($AR$3/100)/炼钢参数表!U151*1000))</f>
        <v>0</v>
      </c>
      <c r="AS151" s="8">
        <f>IF(L151&lt;=0.04,0,((L151-0.04)/100)/($AS$3/100)/炼钢参数表!V151*1000)</f>
        <v>0</v>
      </c>
      <c r="AT151" s="8">
        <f>IF(M151&lt;=0.03,0,((M151-0.03)/100)/($AT$3/100)/炼钢参数表!W151*1000)</f>
        <v>0</v>
      </c>
      <c r="AU151" s="6"/>
      <c r="AV151" s="8">
        <f t="shared" si="23"/>
        <v>8.1472356846379093</v>
      </c>
      <c r="AW151" s="8" cm="1">
        <f t="array" ref="AW151">SUMPRODUCT($AB$4:$AU$4,AB151:AU151)/1000</f>
        <v>72.461146178122206</v>
      </c>
      <c r="AY151" s="2" t="str">
        <f t="shared" si="24"/>
        <v>S275J2-2</v>
      </c>
      <c r="AZ151" s="37">
        <f>VLOOKUP(AY151,炼钢参数表!$F$5:$J$1027,4,0)</f>
        <v>7.2666666666666699E-2</v>
      </c>
      <c r="BA151" s="37">
        <f t="shared" si="25"/>
        <v>6.7333333333333301E-2</v>
      </c>
      <c r="BB151" s="37">
        <f>AB151*$BB$4*炼钢参数表!$X$5/1000</f>
        <v>7.9789515562545509E-3</v>
      </c>
      <c r="BC151" s="37">
        <f>AC151*$BC$4*炼钢参数表!$X$5/1000</f>
        <v>0</v>
      </c>
      <c r="BD151" s="37">
        <f>AD151*$BD$4*炼钢参数表!$X$5/1000</f>
        <v>0</v>
      </c>
      <c r="BE151" s="37">
        <f>AE151*$BE$4*炼钢参数表!$X$5/1000</f>
        <v>0</v>
      </c>
      <c r="BF151" s="37">
        <f>AL151*$BF$4*炼钢参数表!$X$5/1000</f>
        <v>0</v>
      </c>
      <c r="BG151" s="37">
        <f>AM151*$BG$4*炼钢参数表!$X$5/1000</f>
        <v>0</v>
      </c>
      <c r="BH151" s="37">
        <f t="shared" si="26"/>
        <v>7.9789515562545509E-3</v>
      </c>
      <c r="BI151" s="37">
        <f t="shared" si="27"/>
        <v>8.0645618222921295E-2</v>
      </c>
      <c r="BJ151" s="37">
        <f t="shared" si="28"/>
        <v>-5.9354381777078802E-2</v>
      </c>
      <c r="BK151" s="54"/>
      <c r="BL151" s="7"/>
    </row>
    <row r="152" spans="1:64" s="18" customFormat="1" x14ac:dyDescent="0.3">
      <c r="A152" s="21">
        <v>148</v>
      </c>
      <c r="B152" s="4" t="s">
        <v>253</v>
      </c>
      <c r="C152" s="4" t="s">
        <v>26</v>
      </c>
      <c r="D152" s="4">
        <v>1.5</v>
      </c>
      <c r="E152" s="4">
        <v>12</v>
      </c>
      <c r="F152" s="4" t="s">
        <v>254</v>
      </c>
      <c r="G152" s="50" t="s">
        <v>255</v>
      </c>
      <c r="H152" s="4">
        <v>1518</v>
      </c>
      <c r="I152" s="51">
        <v>0.14499999999999999</v>
      </c>
      <c r="J152" s="52">
        <v>0.15</v>
      </c>
      <c r="K152" s="52">
        <v>0.7</v>
      </c>
      <c r="L152" s="51">
        <v>1.4999999999999999E-2</v>
      </c>
      <c r="M152" s="51">
        <v>0.01</v>
      </c>
      <c r="N152" s="51" t="s">
        <v>631</v>
      </c>
      <c r="O152" s="51">
        <v>8.0000000000000002E-3</v>
      </c>
      <c r="P152" s="51">
        <v>0.03</v>
      </c>
      <c r="Q152" s="51">
        <v>0.02</v>
      </c>
      <c r="R152" s="51" t="s">
        <v>631</v>
      </c>
      <c r="S152" s="32"/>
      <c r="T152" s="52"/>
      <c r="U152" s="52"/>
      <c r="V152" s="52"/>
      <c r="W152" s="52"/>
      <c r="X152" s="32" t="s">
        <v>631</v>
      </c>
      <c r="Y152" s="53" t="s">
        <v>631</v>
      </c>
      <c r="Z152" s="4">
        <v>45</v>
      </c>
      <c r="AA152" s="53"/>
      <c r="AB152" s="42">
        <f>IF(J152&lt;=0.04,0,IF((BA152-AL152*BF$4*炼钢参数表!$X$5/1000-AM152*BG$4*炼钢参数表!$X$5/1000)&lt;=0.03,0,IF((J152/100/0.1769/炼钢参数表!K152*1000)&gt;(K152-炼钢参数表!J152)/100/0.6566/炼钢参数表!L152*1000,IF(K152&lt;1.6,(K152-炼钢参数表!J152)/100/0.6566/炼钢参数表!L152*1000,(K152-0.08-炼钢参数表!J152)/100/0.6566/炼钢参数表!L152*1000),IF(K152&lt;1.6,J152/100/0.1769/炼钢参数表!K152*1000,(J152-0.08)/100/0.1769/炼钢参数表!K152*1000))))</f>
        <v>9.1002991529288</v>
      </c>
      <c r="AC152" s="8">
        <f>IF((BA152-AB152*$BB$4*0.9/1000-AL152*BF$4*炼钢参数表!$X$5/1000-AM152*BG$4*炼钢参数表!$X$5/1000)&lt;(K152-炼钢参数表!J152-AB152*0.6566*炼钢参数表!L152/10)*0.082,0,(K152-炼钢参数表!J152-AB152*0.6566*炼钢参数表!L152/10)/100/($AC$3/100)/炼钢参数表!L152*1000)</f>
        <v>0</v>
      </c>
      <c r="AD152" s="8">
        <f>IF((BA152-AB152*$BB$4*0.9/1000-AC152*$BC$4*0.9/1000-AL152*BF$4*炼钢参数表!$X$5/1000-AM152*BG$4*炼钢参数表!$X$5/1000)&lt;=(K152-炼钢参数表!J152-AB152*0.6566*炼钢参数表!L152/10-AC152*($AC$3/100)*炼钢参数表!L152/10)*0.02,0,((K152-炼钢参数表!J152-AB152*0.6566*炼钢参数表!L152/10-AC152*($AC$3/100)*炼钢参数表!L152/10)/100/($AD$3/100)/炼钢参数表!L152*1000))</f>
        <v>0</v>
      </c>
      <c r="AE152" s="8">
        <f>(K152-炼钢参数表!J152-AB152*0.6566*炼钢参数表!L152/10-AC152*($AC$3/100)*炼钢参数表!L152/10-AD152*($AD$3/100)*炼钢参数表!L152/10)/100/($AE$3/100)/炼钢参数表!L152*1000</f>
        <v>0</v>
      </c>
      <c r="AF152" s="8">
        <v>0</v>
      </c>
      <c r="AG152" s="8">
        <f>IF(J152&lt;=0.04,0,((J152-(AB152*0.1769*炼钢参数表!K152/1000*100))/100/炼钢参数表!K152/($AG$3/100)*1000))</f>
        <v>0.36710103813774703</v>
      </c>
      <c r="AH152" s="8">
        <v>1.36</v>
      </c>
      <c r="AI152" s="8">
        <f>IF(N152="",0,IF(N152&lt;=0.002,0,((N152)/100)/($AI$3/100)/炼钢参数表!M152*1000))</f>
        <v>0</v>
      </c>
      <c r="AJ152" s="8">
        <f>IF(O152="",0,IF(O152&lt;=0.002,0,((O152)/100)/($AJ$3/100)/炼钢参数表!N152*1000))</f>
        <v>0.125511459196225</v>
      </c>
      <c r="AK152" s="8">
        <f>IF(P152="",0,IF(P152&lt;=0.002,0,((P152+0.005)/100)/($AK$3/100)/炼钢参数表!O152*1000))</f>
        <v>0.69851913942442001</v>
      </c>
      <c r="AL152" s="8">
        <f>IF((BA152-J152*0.00003-K152*0.00024)&lt;=0.05,0,IF(T152="",0,IF(T152&lt;=0.03,0,IF(((BA152-J152*0.00003-K152*0.00024)-0.05)/0.18/100/($AL$3/100)/炼钢参数表!P152*1000&lt;=T152/100/($AL$3/100)/炼钢参数表!P152*1000,((BA152-J152*0.00003-K152*0.00024)-0.05)/0.18/100/($AL$3/100)/炼钢参数表!P152*1000,T152/100/($AL$3/100)/炼钢参数表!P152*1000))))</f>
        <v>0</v>
      </c>
      <c r="AM152" s="8">
        <f>IF(T152="",0,IF(T152&lt;=0.03,0,((T152-AL152*($AL$3/100)*炼钢参数表!P152/10)/100/($AM$3/100)/炼钢参数表!P152*1000)))</f>
        <v>0</v>
      </c>
      <c r="AN152" s="8">
        <f>IF(U152="",0,IF(U152&lt;=0.02,0,(U152/100)/($AN$3/100)/炼钢参数表!Q152*1000))</f>
        <v>0</v>
      </c>
      <c r="AO152" s="8">
        <f>IF(V152="",0,IF(V152&lt;=0.02,0,(V152/100)/($AO$3/100)/炼钢参数表!R152*1000))</f>
        <v>0</v>
      </c>
      <c r="AP152" s="8">
        <f>IF(W152="",0,IF(W152&lt;=0.02,0,(W152/100)/($AP$3/100)/炼钢参数表!S152*1000))</f>
        <v>0</v>
      </c>
      <c r="AQ152" s="8">
        <f>IF(X152="",0,IF(X152&lt;=0.0002,0,(X152/100)/($AQ$3/100)/炼钢参数表!T152*1000))</f>
        <v>0</v>
      </c>
      <c r="AR152" s="8">
        <f>IF(Y152="",0,IF(Y152&lt;=0.02,0,(Y152/100)/($AR$3/100)/炼钢参数表!U152*1000))</f>
        <v>0</v>
      </c>
      <c r="AS152" s="8">
        <f>IF(L152&lt;=0.04,0,((L152-0.04)/100)/($AS$3/100)/炼钢参数表!V152*1000)</f>
        <v>0</v>
      </c>
      <c r="AT152" s="8">
        <f>IF(M152&lt;=0.03,0,((M152-0.03)/100)/($AT$3/100)/炼钢参数表!W152*1000)</f>
        <v>0</v>
      </c>
      <c r="AU152" s="6"/>
      <c r="AV152" s="8">
        <f t="shared" si="23"/>
        <v>11.6514307896872</v>
      </c>
      <c r="AW152" s="8" cm="1">
        <f t="array" ref="AW152">SUMPRODUCT($AB$4:$AU$4,AB152:AU152)/1000</f>
        <v>125.495467137315</v>
      </c>
      <c r="AY152" s="2" t="str">
        <f t="shared" si="24"/>
        <v>S355JR-1</v>
      </c>
      <c r="AZ152" s="37">
        <f>VLOOKUP(AY152,炼钢参数表!$F$5:$J$1027,4,0)</f>
        <v>6.9357512953367895E-2</v>
      </c>
      <c r="BA152" s="37">
        <f t="shared" si="25"/>
        <v>7.5642487046632095E-2</v>
      </c>
      <c r="BB152" s="37">
        <f>AB152*$BB$4*炼钢参数表!$X$5/1000</f>
        <v>1.4087263088733801E-2</v>
      </c>
      <c r="BC152" s="37">
        <f>AC152*$BC$4*炼钢参数表!$X$5/1000</f>
        <v>0</v>
      </c>
      <c r="BD152" s="37">
        <f>AD152*$BD$4*炼钢参数表!$X$5/1000</f>
        <v>0</v>
      </c>
      <c r="BE152" s="37">
        <f>AE152*$BE$4*炼钢参数表!$X$5/1000</f>
        <v>0</v>
      </c>
      <c r="BF152" s="37">
        <f>AL152*$BF$4*炼钢参数表!$X$5/1000</f>
        <v>0</v>
      </c>
      <c r="BG152" s="37">
        <f>AM152*$BG$4*炼钢参数表!$X$5/1000</f>
        <v>0</v>
      </c>
      <c r="BH152" s="37">
        <f t="shared" si="26"/>
        <v>1.4087263088733801E-2</v>
      </c>
      <c r="BI152" s="37">
        <f t="shared" si="27"/>
        <v>8.3444776042101695E-2</v>
      </c>
      <c r="BJ152" s="37">
        <f t="shared" si="28"/>
        <v>-6.1555223957898302E-2</v>
      </c>
      <c r="BK152" s="54"/>
      <c r="BL152" s="7"/>
    </row>
    <row r="153" spans="1:64" s="18" customFormat="1" x14ac:dyDescent="0.3">
      <c r="A153" s="21">
        <v>149</v>
      </c>
      <c r="B153" s="4" t="s">
        <v>253</v>
      </c>
      <c r="C153" s="4" t="s">
        <v>23</v>
      </c>
      <c r="D153" s="4">
        <v>12.01</v>
      </c>
      <c r="E153" s="4">
        <v>19</v>
      </c>
      <c r="F153" s="4" t="s">
        <v>256</v>
      </c>
      <c r="G153" s="50" t="s">
        <v>255</v>
      </c>
      <c r="H153" s="4">
        <v>1518</v>
      </c>
      <c r="I153" s="51">
        <v>0.14499999999999999</v>
      </c>
      <c r="J153" s="52">
        <v>0.15</v>
      </c>
      <c r="K153" s="52">
        <v>0.8</v>
      </c>
      <c r="L153" s="51">
        <v>1.4999999999999999E-2</v>
      </c>
      <c r="M153" s="51">
        <v>0.01</v>
      </c>
      <c r="N153" s="51" t="s">
        <v>631</v>
      </c>
      <c r="O153" s="51">
        <v>8.0000000000000002E-3</v>
      </c>
      <c r="P153" s="51">
        <v>0.03</v>
      </c>
      <c r="Q153" s="51">
        <v>0.02</v>
      </c>
      <c r="R153" s="51" t="s">
        <v>631</v>
      </c>
      <c r="S153" s="32"/>
      <c r="T153" s="52"/>
      <c r="U153" s="52"/>
      <c r="V153" s="52"/>
      <c r="W153" s="52"/>
      <c r="X153" s="32" t="s">
        <v>631</v>
      </c>
      <c r="Y153" s="53" t="s">
        <v>631</v>
      </c>
      <c r="Z153" s="4">
        <v>45</v>
      </c>
      <c r="AA153" s="53"/>
      <c r="AB153" s="42">
        <f>IF(J153&lt;=0.04,0,IF((BA153-AL153*BF$4*炼钢参数表!$X$5/1000-AM153*BG$4*炼钢参数表!$X$5/1000)&lt;=0.03,0,IF((J153/100/0.1769/炼钢参数表!K153*1000)&gt;(K153-炼钢参数表!J153)/100/0.6566/炼钢参数表!L153*1000,IF(K153&lt;1.6,(K153-炼钢参数表!J153)/100/0.6566/炼钢参数表!L153*1000,(K153-0.08-炼钢参数表!J153)/100/0.6566/炼钢参数表!L153*1000),IF(K153&lt;1.6,J153/100/0.1769/炼钢参数表!K153*1000,(J153-0.08)/100/0.1769/炼钢参数表!K153*1000))))</f>
        <v>10.467617539764101</v>
      </c>
      <c r="AC153" s="8">
        <f>IF((BA153-AB153*$BB$4*0.9/1000-AL153*BF$4*炼钢参数表!$X$5/1000-AM153*BG$4*炼钢参数表!$X$5/1000)&lt;(K153-炼钢参数表!J153-AB153*0.6566*炼钢参数表!L153/10)*0.082,0,(K153-炼钢参数表!J153-AB153*0.6566*炼钢参数表!L153/10)/100/($AC$3/100)/炼钢参数表!L153*1000)</f>
        <v>0</v>
      </c>
      <c r="AD153" s="8">
        <f>IF((BA153-AB153*$BB$4*0.9/1000-AC153*$BC$4*0.9/1000-AL153*BF$4*炼钢参数表!$X$5/1000-AM153*BG$4*炼钢参数表!$X$5/1000)&lt;=(K153-炼钢参数表!J153-AB153*0.6566*炼钢参数表!L153/10-AC153*($AC$3/100)*炼钢参数表!L153/10)*0.02,0,((K153-炼钢参数表!J153-AB153*0.6566*炼钢参数表!L153/10-AC153*($AC$3/100)*炼钢参数表!L153/10)/100/($AD$3/100)/炼钢参数表!L153*1000))</f>
        <v>0</v>
      </c>
      <c r="AE153" s="8">
        <f>(K153-炼钢参数表!J153-AB153*0.6566*炼钢参数表!L153/10-AC153*($AC$3/100)*炼钢参数表!L153/10-AD153*($AD$3/100)*炼钢参数表!L153/10)/100/($AE$3/100)/炼钢参数表!L153*1000</f>
        <v>0</v>
      </c>
      <c r="AF153" s="8">
        <v>0</v>
      </c>
      <c r="AG153" s="8">
        <f>IF(J153&lt;=0.04,0,((J153-(AB153*0.1769*炼钢参数表!K153/1000*100))/100/炼钢参数表!K153/($AG$3/100)*1000))</f>
        <v>3.2228239257554699E-2</v>
      </c>
      <c r="AH153" s="8">
        <v>1.35958662814058</v>
      </c>
      <c r="AI153" s="8">
        <f>IF(N153="",0,IF(N153&lt;=0.002,0,((N153)/100)/($AI$3/100)/炼钢参数表!M153*1000))</f>
        <v>0</v>
      </c>
      <c r="AJ153" s="8">
        <f>IF(O153="",0,IF(O153&lt;=0.002,0,((O153)/100)/($AJ$3/100)/炼钢参数表!N153*1000))</f>
        <v>0.125511459196225</v>
      </c>
      <c r="AK153" s="8">
        <f>IF(P153="",0,IF(P153&lt;=0.002,0,((P153+0.005)/100)/($AK$3/100)/炼钢参数表!O153*1000))</f>
        <v>0.69851913942442001</v>
      </c>
      <c r="AL153" s="8">
        <f>IF((BA153-J153*0.00003-K153*0.00024)&lt;=0.05,0,IF(T153="",0,IF(T153&lt;=0.03,0,IF(((BA153-J153*0.00003-K153*0.00024)-0.05)/0.18/100/($AL$3/100)/炼钢参数表!P153*1000&lt;=T153/100/($AL$3/100)/炼钢参数表!P153*1000,((BA153-J153*0.00003-K153*0.00024)-0.05)/0.18/100/($AL$3/100)/炼钢参数表!P153*1000,T153/100/($AL$3/100)/炼钢参数表!P153*1000))))</f>
        <v>0</v>
      </c>
      <c r="AM153" s="8">
        <f>IF(T153="",0,IF(T153&lt;=0.03,0,((T153-AL153*($AL$3/100)*炼钢参数表!P153/10)/100/($AM$3/100)/炼钢参数表!P153*1000)))</f>
        <v>0</v>
      </c>
      <c r="AN153" s="8">
        <f>IF(U153="",0,IF(U153&lt;=0.02,0,(U153/100)/($AN$3/100)/炼钢参数表!Q153*1000))</f>
        <v>0</v>
      </c>
      <c r="AO153" s="8">
        <f>IF(V153="",0,IF(V153&lt;=0.02,0,(V153/100)/($AO$3/100)/炼钢参数表!R153*1000))</f>
        <v>0</v>
      </c>
      <c r="AP153" s="8">
        <f>IF(W153="",0,IF(W153&lt;=0.02,0,(W153/100)/($AP$3/100)/炼钢参数表!S153*1000))</f>
        <v>0</v>
      </c>
      <c r="AQ153" s="8">
        <f>IF(X153="",0,IF(X153&lt;=0.0002,0,(X153/100)/($AQ$3/100)/炼钢参数表!T153*1000))</f>
        <v>0</v>
      </c>
      <c r="AR153" s="8">
        <f>IF(Y153="",0,IF(Y153&lt;=0.02,0,(Y153/100)/($AR$3/100)/炼钢参数表!U153*1000))</f>
        <v>0</v>
      </c>
      <c r="AS153" s="8">
        <f>IF(L153&lt;=0.04,0,((L153-0.04)/100)/($AS$3/100)/炼钢参数表!V153*1000)</f>
        <v>0</v>
      </c>
      <c r="AT153" s="8">
        <f>IF(M153&lt;=0.03,0,((M153-0.03)/100)/($AT$3/100)/炼钢参数表!W153*1000)</f>
        <v>0</v>
      </c>
      <c r="AU153" s="6"/>
      <c r="AV153" s="8">
        <f t="shared" si="23"/>
        <v>12.683463005782899</v>
      </c>
      <c r="AW153" s="8" cm="1">
        <f t="array" ref="AW153">SUMPRODUCT($AB$4:$AU$4,AB153:AU153)/1000</f>
        <v>131.16703633267699</v>
      </c>
      <c r="AY153" s="2" t="str">
        <f t="shared" si="24"/>
        <v>S355JR-2</v>
      </c>
      <c r="AZ153" s="37">
        <f>VLOOKUP(AY153,炼钢参数表!$F$5:$J$1027,4,0)</f>
        <v>7.2134615384615394E-2</v>
      </c>
      <c r="BA153" s="37">
        <f t="shared" si="25"/>
        <v>7.2865384615384596E-2</v>
      </c>
      <c r="BB153" s="37">
        <f>AB153*$BB$4*炼钢参数表!$X$5/1000</f>
        <v>1.6203871951554798E-2</v>
      </c>
      <c r="BC153" s="37">
        <f>AC153*$BC$4*炼钢参数表!$X$5/1000</f>
        <v>0</v>
      </c>
      <c r="BD153" s="37">
        <f>AD153*$BD$4*炼钢参数表!$X$5/1000</f>
        <v>0</v>
      </c>
      <c r="BE153" s="37">
        <f>AE153*$BE$4*炼钢参数表!$X$5/1000</f>
        <v>0</v>
      </c>
      <c r="BF153" s="37">
        <f>AL153*$BF$4*炼钢参数表!$X$5/1000</f>
        <v>0</v>
      </c>
      <c r="BG153" s="37">
        <f>AM153*$BG$4*炼钢参数表!$X$5/1000</f>
        <v>0</v>
      </c>
      <c r="BH153" s="37">
        <f t="shared" si="26"/>
        <v>1.6203871951554798E-2</v>
      </c>
      <c r="BI153" s="37">
        <f t="shared" si="27"/>
        <v>8.8338487336170196E-2</v>
      </c>
      <c r="BJ153" s="37">
        <f t="shared" si="28"/>
        <v>-5.6661512663829801E-2</v>
      </c>
      <c r="BK153" s="54"/>
      <c r="BL153" s="7"/>
    </row>
    <row r="154" spans="1:64" s="18" customFormat="1" x14ac:dyDescent="0.3">
      <c r="A154" s="21">
        <v>150</v>
      </c>
      <c r="B154" s="4" t="s">
        <v>253</v>
      </c>
      <c r="C154" s="4" t="s">
        <v>90</v>
      </c>
      <c r="D154" s="4">
        <v>19.010000000000002</v>
      </c>
      <c r="E154" s="4">
        <v>25.4</v>
      </c>
      <c r="F154" s="4" t="s">
        <v>257</v>
      </c>
      <c r="G154" s="50" t="s">
        <v>255</v>
      </c>
      <c r="H154" s="4">
        <v>1518</v>
      </c>
      <c r="I154" s="51">
        <v>0.14499999999999999</v>
      </c>
      <c r="J154" s="52">
        <v>0.15</v>
      </c>
      <c r="K154" s="52">
        <v>0.8</v>
      </c>
      <c r="L154" s="51">
        <v>1.4999999999999999E-2</v>
      </c>
      <c r="M154" s="51">
        <v>0.01</v>
      </c>
      <c r="N154" s="51" t="s">
        <v>631</v>
      </c>
      <c r="O154" s="51">
        <v>1.4999999999999999E-2</v>
      </c>
      <c r="P154" s="51">
        <v>2.5000000000000001E-2</v>
      </c>
      <c r="Q154" s="51">
        <v>0.02</v>
      </c>
      <c r="R154" s="51" t="s">
        <v>631</v>
      </c>
      <c r="S154" s="32"/>
      <c r="T154" s="52"/>
      <c r="U154" s="52"/>
      <c r="V154" s="52"/>
      <c r="W154" s="52"/>
      <c r="X154" s="32" t="s">
        <v>631</v>
      </c>
      <c r="Y154" s="53" t="s">
        <v>631</v>
      </c>
      <c r="Z154" s="4">
        <v>45</v>
      </c>
      <c r="AA154" s="53"/>
      <c r="AB154" s="42">
        <f>IF(J154&lt;=0.04,0,IF((BA154-AL154*BF$4*炼钢参数表!$X$5/1000-AM154*BG$4*炼钢参数表!$X$5/1000)&lt;=0.03,0,IF((J154/100/0.1769/炼钢参数表!K154*1000)&gt;(K154-炼钢参数表!J154)/100/0.6566/炼钢参数表!L154*1000,IF(K154&lt;1.6,(K154-炼钢参数表!J154)/100/0.6566/炼钢参数表!L154*1000,(K154-0.08-炼钢参数表!J154)/100/0.6566/炼钢参数表!L154*1000),IF(K154&lt;1.6,J154/100/0.1769/炼钢参数表!K154*1000,(J154-0.08)/100/0.1769/炼钢参数表!K154*1000))))</f>
        <v>10.5992085924251</v>
      </c>
      <c r="AC154" s="8">
        <f>IF((BA154-AB154*$BB$4*0.9/1000-AL154*BF$4*炼钢参数表!$X$5/1000-AM154*BG$4*炼钢参数表!$X$5/1000)&lt;(K154-炼钢参数表!J154-AB154*0.6566*炼钢参数表!L154/10)*0.082,0,(K154-炼钢参数表!J154-AB154*0.6566*炼钢参数表!L154/10)/100/($AC$3/100)/炼钢参数表!L154*1000)</f>
        <v>0.13871958214706701</v>
      </c>
      <c r="AD154" s="8">
        <f>IF((BA154-AB154*$BB$4*0.9/1000-AC154*$BC$4*0.9/1000-AL154*BF$4*炼钢参数表!$X$5/1000-AM154*BG$4*炼钢参数表!$X$5/1000)&lt;=(K154-炼钢参数表!J154-AB154*0.6566*炼钢参数表!L154/10-AC154*($AC$3/100)*炼钢参数表!L154/10)*0.02,0,((K154-炼钢参数表!J154-AB154*0.6566*炼钢参数表!L154/10-AC154*($AC$3/100)*炼钢参数表!L154/10)/100/($AD$3/100)/炼钢参数表!L154*1000))</f>
        <v>0</v>
      </c>
      <c r="AE154" s="8">
        <f>(K154-炼钢参数表!J154-AB154*0.6566*炼钢参数表!L154/10-AC154*($AC$3/100)*炼钢参数表!L154/10-AD154*($AD$3/100)*炼钢参数表!L154/10)/100/($AE$3/100)/炼钢参数表!L154*1000</f>
        <v>0</v>
      </c>
      <c r="AF154" s="8">
        <v>0</v>
      </c>
      <c r="AG154" s="8">
        <f>IF(J154&lt;=0.04,0,((J154-(AB154*0.1769*炼钢参数表!K154/1000*100))/100/炼钢参数表!K154/($AG$3/100)*1000))</f>
        <v>0</v>
      </c>
      <c r="AH154" s="8">
        <v>1.36</v>
      </c>
      <c r="AI154" s="8">
        <f>IF(N154="",0,IF(N154&lt;=0.002,0,((N154)/100)/($AI$3/100)/炼钢参数表!M154*1000))</f>
        <v>0</v>
      </c>
      <c r="AJ154" s="8">
        <f>IF(O154="",0,IF(O154&lt;=0.002,0,((O154)/100)/($AJ$3/100)/炼钢参数表!N154*1000))</f>
        <v>0.23533398599292099</v>
      </c>
      <c r="AK154" s="8">
        <f>IF(P154="",0,IF(P154&lt;=0.002,0,((P154+0.005)/100)/($AK$3/100)/炼钢参数表!O154*1000))</f>
        <v>0.59873069093521702</v>
      </c>
      <c r="AL154" s="8">
        <f>IF((BA154-J154*0.00003-K154*0.00024)&lt;=0.05,0,IF(T154="",0,IF(T154&lt;=0.03,0,IF(((BA154-J154*0.00003-K154*0.00024)-0.05)/0.18/100/($AL$3/100)/炼钢参数表!P154*1000&lt;=T154/100/($AL$3/100)/炼钢参数表!P154*1000,((BA154-J154*0.00003-K154*0.00024)-0.05)/0.18/100/($AL$3/100)/炼钢参数表!P154*1000,T154/100/($AL$3/100)/炼钢参数表!P154*1000))))</f>
        <v>0</v>
      </c>
      <c r="AM154" s="8">
        <f>IF(T154="",0,IF(T154&lt;=0.03,0,((T154-AL154*($AL$3/100)*炼钢参数表!P154/10)/100/($AM$3/100)/炼钢参数表!P154*1000)))</f>
        <v>0</v>
      </c>
      <c r="AN154" s="8">
        <f>IF(U154="",0,IF(U154&lt;=0.02,0,(U154/100)/($AN$3/100)/炼钢参数表!Q154*1000))</f>
        <v>0</v>
      </c>
      <c r="AO154" s="8">
        <f>IF(V154="",0,IF(V154&lt;=0.02,0,(V154/100)/($AO$3/100)/炼钢参数表!R154*1000))</f>
        <v>0</v>
      </c>
      <c r="AP154" s="8">
        <f>IF(W154="",0,IF(W154&lt;=0.02,0,(W154/100)/($AP$3/100)/炼钢参数表!S154*1000))</f>
        <v>0</v>
      </c>
      <c r="AQ154" s="8">
        <f>IF(X154="",0,IF(X154&lt;=0.0002,0,(X154/100)/($AQ$3/100)/炼钢参数表!T154*1000))</f>
        <v>0</v>
      </c>
      <c r="AR154" s="8">
        <f>IF(Y154="",0,IF(Y154&lt;=0.02,0,(Y154/100)/($AR$3/100)/炼钢参数表!U154*1000))</f>
        <v>0</v>
      </c>
      <c r="AS154" s="8">
        <f>IF(L154&lt;=0.04,0,((L154-0.04)/100)/($AS$3/100)/炼钢参数表!V154*1000)</f>
        <v>0</v>
      </c>
      <c r="AT154" s="8">
        <f>IF(M154&lt;=0.03,0,((M154-0.03)/100)/($AT$3/100)/炼钢参数表!W154*1000)</f>
        <v>0</v>
      </c>
      <c r="AU154" s="6"/>
      <c r="AV154" s="8">
        <f t="shared" si="23"/>
        <v>12.931992851500301</v>
      </c>
      <c r="AW154" s="8" cm="1">
        <f t="array" ref="AW154">SUMPRODUCT($AB$4:$AU$4,AB154:AU154)/1000</f>
        <v>153.812608010704</v>
      </c>
      <c r="AY154" s="2" t="str">
        <f t="shared" si="24"/>
        <v>S355JR-3</v>
      </c>
      <c r="AZ154" s="37">
        <f>VLOOKUP(AY154,炼钢参数表!$F$5:$J$1027,4,0)</f>
        <v>8.2166666666666693E-2</v>
      </c>
      <c r="BA154" s="37">
        <f t="shared" si="25"/>
        <v>6.2833333333333297E-2</v>
      </c>
      <c r="BB154" s="37">
        <f>AB154*$BB$4*炼钢参数表!$X$5/1000</f>
        <v>1.6407574901074098E-2</v>
      </c>
      <c r="BC154" s="37">
        <f>AC154*$BC$4*炼钢参数表!$X$5/1000</f>
        <v>8.3523060410749098E-4</v>
      </c>
      <c r="BD154" s="37">
        <f>AD154*$BD$4*炼钢参数表!$X$5/1000</f>
        <v>0</v>
      </c>
      <c r="BE154" s="37">
        <f>AE154*$BE$4*炼钢参数表!$X$5/1000</f>
        <v>0</v>
      </c>
      <c r="BF154" s="37">
        <f>AL154*$BF$4*炼钢参数表!$X$5/1000</f>
        <v>0</v>
      </c>
      <c r="BG154" s="37">
        <f>AM154*$BG$4*炼钢参数表!$X$5/1000</f>
        <v>0</v>
      </c>
      <c r="BH154" s="37">
        <f t="shared" si="26"/>
        <v>1.7242805505181501E-2</v>
      </c>
      <c r="BI154" s="37">
        <f t="shared" si="27"/>
        <v>9.9409472171848201E-2</v>
      </c>
      <c r="BJ154" s="37">
        <f t="shared" si="28"/>
        <v>-4.5590527828151699E-2</v>
      </c>
      <c r="BK154" s="54"/>
      <c r="BL154" s="7"/>
    </row>
    <row r="155" spans="1:64" s="18" customFormat="1" x14ac:dyDescent="0.3">
      <c r="A155" s="21">
        <v>151</v>
      </c>
      <c r="B155" s="4" t="s">
        <v>258</v>
      </c>
      <c r="C155" s="4" t="s">
        <v>23</v>
      </c>
      <c r="D155" s="4">
        <v>2</v>
      </c>
      <c r="E155" s="4">
        <v>12</v>
      </c>
      <c r="F155" s="4" t="s">
        <v>259</v>
      </c>
      <c r="G155" s="50" t="s">
        <v>260</v>
      </c>
      <c r="H155" s="4">
        <v>1518</v>
      </c>
      <c r="I155" s="51">
        <v>0.15</v>
      </c>
      <c r="J155" s="52">
        <v>0</v>
      </c>
      <c r="K155" s="52">
        <v>0.7</v>
      </c>
      <c r="L155" s="51">
        <v>0.02</v>
      </c>
      <c r="M155" s="51">
        <v>1.4999999999999999E-2</v>
      </c>
      <c r="N155" s="51" t="s">
        <v>631</v>
      </c>
      <c r="O155" s="51"/>
      <c r="P155" s="51">
        <v>3.5000000000000003E-2</v>
      </c>
      <c r="Q155" s="51">
        <v>0.02</v>
      </c>
      <c r="R155" s="51" t="s">
        <v>631</v>
      </c>
      <c r="S155" s="32"/>
      <c r="T155" s="52"/>
      <c r="U155" s="52"/>
      <c r="V155" s="52"/>
      <c r="W155" s="52"/>
      <c r="X155" s="32" t="s">
        <v>631</v>
      </c>
      <c r="Y155" s="53" t="s">
        <v>631</v>
      </c>
      <c r="Z155" s="4">
        <v>45</v>
      </c>
      <c r="AA155" s="53"/>
      <c r="AB155" s="42">
        <f>IF(J155&lt;=0.04,0,IF((BA155-AL155*BF$4*炼钢参数表!$X$5/1000-AM155*BG$4*炼钢参数表!$X$5/1000)&lt;=0.03,0,IF((J155/100/0.1769/炼钢参数表!K155*1000)&gt;(K155-炼钢参数表!J155)/100/0.6566/炼钢参数表!L155*1000,IF(K155&lt;1.6,(K155-炼钢参数表!J155)/100/0.6566/炼钢参数表!L155*1000,(K155-0.08-炼钢参数表!J155)/100/0.6566/炼钢参数表!L155*1000),IF(K155&lt;1.6,J155/100/0.1769/炼钢参数表!K155*1000,(J155-0.08)/100/0.1769/炼钢参数表!K155*1000))))</f>
        <v>0</v>
      </c>
      <c r="AC155" s="8">
        <f>IF((BA155-AB155*$BB$4*0.9/1000-AL155*BF$4*炼钢参数表!$X$5/1000-AM155*BG$4*炼钢参数表!$X$5/1000)&lt;(K155-炼钢参数表!J155-AB155*0.6566*炼钢参数表!L155/10)*0.082,0,(K155-炼钢参数表!J155-AB155*0.6566*炼钢参数表!L155/10)/100/($AC$3/100)/炼钢参数表!L155*1000)</f>
        <v>8.1660009848443398</v>
      </c>
      <c r="AD155" s="8">
        <f>IF((BA155-AB155*$BB$4*0.9/1000-AC155*$BC$4*0.9/1000-AL155*BF$4*炼钢参数表!$X$5/1000-AM155*BG$4*炼钢参数表!$X$5/1000)&lt;=(K155-炼钢参数表!J155-AB155*0.6566*炼钢参数表!L155/10-AC155*($AC$3/100)*炼钢参数表!L155/10)*0.02,0,((K155-炼钢参数表!J155-AB155*0.6566*炼钢参数表!L155/10-AC155*($AC$3/100)*炼钢参数表!L155/10)/100/($AD$3/100)/炼钢参数表!L155*1000))</f>
        <v>0</v>
      </c>
      <c r="AE155" s="8">
        <f>(K155-炼钢参数表!J155-AB155*0.6566*炼钢参数表!L155/10-AC155*($AC$3/100)*炼钢参数表!L155/10-AD155*($AD$3/100)*炼钢参数表!L155/10)/100/($AE$3/100)/炼钢参数表!L155*1000</f>
        <v>0</v>
      </c>
      <c r="AF155" s="8">
        <v>0</v>
      </c>
      <c r="AG155" s="8">
        <f>IF(J155&lt;=0.04,0,((J155-(AB155*0.1769*炼钢参数表!K155/1000*100))/100/炼钢参数表!K155/($AG$3/100)*1000))</f>
        <v>0</v>
      </c>
      <c r="AH155" s="8">
        <v>1.71</v>
      </c>
      <c r="AI155" s="8">
        <f>IF(N155="",0,IF(N155&lt;=0.002,0,((N155)/100)/($AI$3/100)/炼钢参数表!M155*1000))</f>
        <v>0</v>
      </c>
      <c r="AJ155" s="8">
        <f>IF(O155="",0,IF(O155&lt;=0.002,0,((O155)/100)/($AJ$3/100)/炼钢参数表!N155*1000))</f>
        <v>0</v>
      </c>
      <c r="AK155" s="8">
        <f>IF(P155="",0,IF(P155&lt;=0.002,0,((P155+0.005)/100)/($AK$3/100)/炼钢参数表!O155*1000))</f>
        <v>0.798307587913623</v>
      </c>
      <c r="AL155" s="8">
        <f>IF((BA155-J155*0.00003-K155*0.00024)&lt;=0.05,0,IF(T155="",0,IF(T155&lt;=0.03,0,IF(((BA155-J155*0.00003-K155*0.00024)-0.05)/0.18/100/($AL$3/100)/炼钢参数表!P155*1000&lt;=T155/100/($AL$3/100)/炼钢参数表!P155*1000,((BA155-J155*0.00003-K155*0.00024)-0.05)/0.18/100/($AL$3/100)/炼钢参数表!P155*1000,T155/100/($AL$3/100)/炼钢参数表!P155*1000))))</f>
        <v>0</v>
      </c>
      <c r="AM155" s="8">
        <f>IF(T155="",0,IF(T155&lt;=0.03,0,((T155-AL155*($AL$3/100)*炼钢参数表!P155/10)/100/($AM$3/100)/炼钢参数表!P155*1000)))</f>
        <v>0</v>
      </c>
      <c r="AN155" s="8">
        <f>IF(U155="",0,IF(U155&lt;=0.02,0,(U155/100)/($AN$3/100)/炼钢参数表!Q155*1000))</f>
        <v>0</v>
      </c>
      <c r="AO155" s="8">
        <f>IF(V155="",0,IF(V155&lt;=0.02,0,(V155/100)/($AO$3/100)/炼钢参数表!R155*1000))</f>
        <v>0</v>
      </c>
      <c r="AP155" s="8">
        <f>IF(W155="",0,IF(W155&lt;=0.02,0,(W155/100)/($AP$3/100)/炼钢参数表!S155*1000))</f>
        <v>0</v>
      </c>
      <c r="AQ155" s="8">
        <f>IF(X155="",0,IF(X155&lt;=0.0002,0,(X155/100)/($AQ$3/100)/炼钢参数表!T155*1000))</f>
        <v>0</v>
      </c>
      <c r="AR155" s="8">
        <f>IF(Y155="",0,IF(Y155&lt;=0.02,0,(Y155/100)/($AR$3/100)/炼钢参数表!U155*1000))</f>
        <v>0</v>
      </c>
      <c r="AS155" s="8">
        <f>IF(L155&lt;=0.04,0,((L155-0.04)/100)/($AS$3/100)/炼钢参数表!V155*1000)</f>
        <v>0</v>
      </c>
      <c r="AT155" s="8">
        <f>IF(M155&lt;=0.03,0,((M155-0.03)/100)/($AT$3/100)/炼钢参数表!W155*1000)</f>
        <v>0</v>
      </c>
      <c r="AU155" s="6"/>
      <c r="AV155" s="8">
        <f t="shared" si="23"/>
        <v>10.674308572757999</v>
      </c>
      <c r="AW155" s="8" cm="1">
        <f t="array" ref="AW155">SUMPRODUCT($AB$4:$AU$4,AB155:AU155)/1000</f>
        <v>106.769790369679</v>
      </c>
      <c r="AY155" s="2" t="str">
        <f t="shared" si="24"/>
        <v>S355JR-DX1</v>
      </c>
      <c r="AZ155" s="37">
        <f>VLOOKUP(AY155,炼钢参数表!$F$5:$J$1027,4,0)</f>
        <v>7.1642857142857203E-2</v>
      </c>
      <c r="BA155" s="37">
        <f t="shared" si="25"/>
        <v>7.8357142857142806E-2</v>
      </c>
      <c r="BB155" s="37">
        <f>AB155*$BB$4*炼钢参数表!$X$5/1000</f>
        <v>0</v>
      </c>
      <c r="BC155" s="37">
        <f>AC155*$BC$4*炼钢参数表!$X$5/1000</f>
        <v>4.91674919297478E-2</v>
      </c>
      <c r="BD155" s="37">
        <f>AD155*$BD$4*炼钢参数表!$X$5/1000</f>
        <v>0</v>
      </c>
      <c r="BE155" s="37">
        <f>AE155*$BE$4*炼钢参数表!$X$5/1000</f>
        <v>0</v>
      </c>
      <c r="BF155" s="37">
        <f>AL155*$BF$4*炼钢参数表!$X$5/1000</f>
        <v>0</v>
      </c>
      <c r="BG155" s="37">
        <f>AM155*$BG$4*炼钢参数表!$X$5/1000</f>
        <v>0</v>
      </c>
      <c r="BH155" s="37">
        <f t="shared" si="26"/>
        <v>4.91674919297478E-2</v>
      </c>
      <c r="BI155" s="37">
        <f t="shared" si="27"/>
        <v>0.120810349072605</v>
      </c>
      <c r="BJ155" s="37">
        <f t="shared" si="28"/>
        <v>-2.9189650927394999E-2</v>
      </c>
      <c r="BK155" s="54"/>
      <c r="BL155" s="7"/>
    </row>
    <row r="156" spans="1:64" s="18" customFormat="1" x14ac:dyDescent="0.3">
      <c r="A156" s="21">
        <v>152</v>
      </c>
      <c r="B156" s="4" t="s">
        <v>258</v>
      </c>
      <c r="C156" s="4" t="s">
        <v>26</v>
      </c>
      <c r="D156" s="4">
        <v>12.01</v>
      </c>
      <c r="E156" s="4">
        <v>25.4</v>
      </c>
      <c r="F156" s="4" t="s">
        <v>261</v>
      </c>
      <c r="G156" s="50" t="s">
        <v>260</v>
      </c>
      <c r="H156" s="4">
        <v>1518</v>
      </c>
      <c r="I156" s="51">
        <v>0.15</v>
      </c>
      <c r="J156" s="52">
        <v>0</v>
      </c>
      <c r="K156" s="52">
        <v>0.8</v>
      </c>
      <c r="L156" s="51">
        <v>0.02</v>
      </c>
      <c r="M156" s="51">
        <v>1.4999999999999999E-2</v>
      </c>
      <c r="N156" s="51" t="s">
        <v>631</v>
      </c>
      <c r="O156" s="51">
        <v>5.0000000000000001E-3</v>
      </c>
      <c r="P156" s="51">
        <v>3.5000000000000003E-2</v>
      </c>
      <c r="Q156" s="51">
        <v>0.02</v>
      </c>
      <c r="R156" s="51" t="s">
        <v>631</v>
      </c>
      <c r="S156" s="32"/>
      <c r="T156" s="52"/>
      <c r="U156" s="52"/>
      <c r="V156" s="52"/>
      <c r="W156" s="52"/>
      <c r="X156" s="32" t="s">
        <v>631</v>
      </c>
      <c r="Y156" s="53" t="s">
        <v>631</v>
      </c>
      <c r="Z156" s="4">
        <v>45</v>
      </c>
      <c r="AA156" s="53"/>
      <c r="AB156" s="42">
        <f>IF(J156&lt;=0.04,0,IF((BA156-AL156*BF$4*炼钢参数表!$X$5/1000-AM156*BG$4*炼钢参数表!$X$5/1000)&lt;=0.03,0,IF((J156/100/0.1769/炼钢参数表!K156*1000)&gt;(K156-炼钢参数表!J156)/100/0.6566/炼钢参数表!L156*1000,IF(K156&lt;1.6,(K156-炼钢参数表!J156)/100/0.6566/炼钢参数表!L156*1000,(K156-0.08-炼钢参数表!J156)/100/0.6566/炼钢参数表!L156*1000),IF(K156&lt;1.6,J156/100/0.1769/炼钢参数表!K156*1000,(J156-0.08)/100/0.1769/炼钢参数表!K156*1000))))</f>
        <v>0</v>
      </c>
      <c r="AC156" s="8">
        <f>IF((BA156-AB156*$BB$4*0.9/1000-AL156*BF$4*炼钢参数表!$X$5/1000-AM156*BG$4*炼钢参数表!$X$5/1000)&lt;(K156-炼钢参数表!J156-AB156*0.6566*炼钢参数表!L156/10)*0.082,0,(K156-炼钢参数表!J156-AB156*0.6566*炼钢参数表!L156/10)/100/($AC$3/100)/炼钢参数表!L156*1000)</f>
        <v>9.5338403457897893</v>
      </c>
      <c r="AD156" s="8">
        <f>IF((BA156-AB156*$BB$4*0.9/1000-AC156*$BC$4*0.9/1000-AL156*BF$4*炼钢参数表!$X$5/1000-AM156*BG$4*炼钢参数表!$X$5/1000)&lt;=(K156-炼钢参数表!J156-AB156*0.6566*炼钢参数表!L156/10-AC156*($AC$3/100)*炼钢参数表!L156/10)*0.02,0,((K156-炼钢参数表!J156-AB156*0.6566*炼钢参数表!L156/10-AC156*($AC$3/100)*炼钢参数表!L156/10)/100/($AD$3/100)/炼钢参数表!L156*1000))</f>
        <v>0</v>
      </c>
      <c r="AE156" s="8">
        <f>(K156-炼钢参数表!J156-AB156*0.6566*炼钢参数表!L156/10-AC156*($AC$3/100)*炼钢参数表!L156/10-AD156*($AD$3/100)*炼钢参数表!L156/10)/100/($AE$3/100)/炼钢参数表!L156*1000</f>
        <v>0</v>
      </c>
      <c r="AF156" s="8">
        <v>0</v>
      </c>
      <c r="AG156" s="8">
        <f>IF(J156&lt;=0.04,0,((J156-(AB156*0.1769*炼钢参数表!K156/1000*100))/100/炼钢参数表!K156/($AG$3/100)*1000))</f>
        <v>0</v>
      </c>
      <c r="AH156" s="8">
        <v>1.71</v>
      </c>
      <c r="AI156" s="8">
        <f>IF(N156="",0,IF(N156&lt;=0.002,0,((N156)/100)/($AI$3/100)/炼钢参数表!M156*1000))</f>
        <v>0</v>
      </c>
      <c r="AJ156" s="8">
        <f>IF(O156="",0,IF(O156&lt;=0.002,0,((O156)/100)/($AJ$3/100)/炼钢参数表!N156*1000))</f>
        <v>7.84446619976404E-2</v>
      </c>
      <c r="AK156" s="8">
        <f>IF(P156="",0,IF(P156&lt;=0.002,0,((P156+0.005)/100)/($AK$3/100)/炼钢参数表!O156*1000))</f>
        <v>0.798307587913623</v>
      </c>
      <c r="AL156" s="8">
        <f>IF((BA156-J156*0.00003-K156*0.00024)&lt;=0.05,0,IF(T156="",0,IF(T156&lt;=0.03,0,IF(((BA156-J156*0.00003-K156*0.00024)-0.05)/0.18/100/($AL$3/100)/炼钢参数表!P156*1000&lt;=T156/100/($AL$3/100)/炼钢参数表!P156*1000,((BA156-J156*0.00003-K156*0.00024)-0.05)/0.18/100/($AL$3/100)/炼钢参数表!P156*1000,T156/100/($AL$3/100)/炼钢参数表!P156*1000))))</f>
        <v>0</v>
      </c>
      <c r="AM156" s="8">
        <f>IF(T156="",0,IF(T156&lt;=0.03,0,((T156-AL156*($AL$3/100)*炼钢参数表!P156/10)/100/($AM$3/100)/炼钢参数表!P156*1000)))</f>
        <v>0</v>
      </c>
      <c r="AN156" s="8">
        <f>IF(U156="",0,IF(U156&lt;=0.02,0,(U156/100)/($AN$3/100)/炼钢参数表!Q156*1000))</f>
        <v>0</v>
      </c>
      <c r="AO156" s="8">
        <f>IF(V156="",0,IF(V156&lt;=0.02,0,(V156/100)/($AO$3/100)/炼钢参数表!R156*1000))</f>
        <v>0</v>
      </c>
      <c r="AP156" s="8">
        <f>IF(W156="",0,IF(W156&lt;=0.02,0,(W156/100)/($AP$3/100)/炼钢参数表!S156*1000))</f>
        <v>0</v>
      </c>
      <c r="AQ156" s="8">
        <f>IF(X156="",0,IF(X156&lt;=0.0002,0,(X156/100)/($AQ$3/100)/炼钢参数表!T156*1000))</f>
        <v>0</v>
      </c>
      <c r="AR156" s="8">
        <f>IF(Y156="",0,IF(Y156&lt;=0.02,0,(Y156/100)/($AR$3/100)/炼钢参数表!U156*1000))</f>
        <v>0</v>
      </c>
      <c r="AS156" s="8">
        <f>IF(L156&lt;=0.04,0,((L156-0.04)/100)/($AS$3/100)/炼钢参数表!V156*1000)</f>
        <v>0</v>
      </c>
      <c r="AT156" s="8">
        <f>IF(M156&lt;=0.03,0,((M156-0.03)/100)/($AT$3/100)/炼钢参数表!W156*1000)</f>
        <v>0</v>
      </c>
      <c r="AU156" s="6"/>
      <c r="AV156" s="8">
        <f t="shared" si="23"/>
        <v>12.120592595701099</v>
      </c>
      <c r="AW156" s="8" cm="1">
        <f t="array" ref="AW156">SUMPRODUCT($AB$4:$AU$4,AB156:AU156)/1000</f>
        <v>131.93245625369099</v>
      </c>
      <c r="AY156" s="2" t="str">
        <f t="shared" si="24"/>
        <v>S355JR-DX2</v>
      </c>
      <c r="AZ156" s="37">
        <f>VLOOKUP(AY156,炼钢参数表!$F$5:$J$1027,4,0)</f>
        <v>7.1642857142857203E-2</v>
      </c>
      <c r="BA156" s="37">
        <f t="shared" si="25"/>
        <v>7.8357142857142806E-2</v>
      </c>
      <c r="BB156" s="37">
        <f>AB156*$BB$4*炼钢参数表!$X$5/1000</f>
        <v>0</v>
      </c>
      <c r="BC156" s="37">
        <f>AC156*$BC$4*炼钢参数表!$X$5/1000</f>
        <v>5.7403252722000302E-2</v>
      </c>
      <c r="BD156" s="37">
        <f>AD156*$BD$4*炼钢参数表!$X$5/1000</f>
        <v>0</v>
      </c>
      <c r="BE156" s="37">
        <f>AE156*$BE$4*炼钢参数表!$X$5/1000</f>
        <v>0</v>
      </c>
      <c r="BF156" s="37">
        <f>AL156*$BF$4*炼钢参数表!$X$5/1000</f>
        <v>0</v>
      </c>
      <c r="BG156" s="37">
        <f>AM156*$BG$4*炼钢参数表!$X$5/1000</f>
        <v>0</v>
      </c>
      <c r="BH156" s="37">
        <f t="shared" si="26"/>
        <v>5.7403252722000302E-2</v>
      </c>
      <c r="BI156" s="37">
        <f t="shared" si="27"/>
        <v>0.12904610986485801</v>
      </c>
      <c r="BJ156" s="37">
        <f t="shared" si="28"/>
        <v>-2.0953890135142501E-2</v>
      </c>
      <c r="BK156" s="54"/>
      <c r="BL156" s="7"/>
    </row>
    <row r="157" spans="1:64" s="18" customFormat="1" x14ac:dyDescent="0.3">
      <c r="A157" s="21">
        <v>153</v>
      </c>
      <c r="B157" s="4" t="s">
        <v>262</v>
      </c>
      <c r="C157" s="4" t="s">
        <v>26</v>
      </c>
      <c r="D157" s="4">
        <v>1.5</v>
      </c>
      <c r="E157" s="4">
        <v>12</v>
      </c>
      <c r="F157" s="4" t="s">
        <v>263</v>
      </c>
      <c r="G157" s="50" t="s">
        <v>264</v>
      </c>
      <c r="H157" s="4">
        <v>1518</v>
      </c>
      <c r="I157" s="51">
        <v>0.14499999999999999</v>
      </c>
      <c r="J157" s="52">
        <v>0.15</v>
      </c>
      <c r="K157" s="52">
        <v>0.85</v>
      </c>
      <c r="L157" s="51">
        <v>1.4999999999999999E-2</v>
      </c>
      <c r="M157" s="51">
        <v>0.01</v>
      </c>
      <c r="N157" s="51" t="s">
        <v>631</v>
      </c>
      <c r="O157" s="51">
        <v>1.4999999999999999E-2</v>
      </c>
      <c r="P157" s="51">
        <v>2.5000000000000001E-2</v>
      </c>
      <c r="Q157" s="51">
        <v>0.02</v>
      </c>
      <c r="R157" s="51" t="s">
        <v>631</v>
      </c>
      <c r="S157" s="32"/>
      <c r="T157" s="52"/>
      <c r="U157" s="52"/>
      <c r="V157" s="52"/>
      <c r="W157" s="52"/>
      <c r="X157" s="32" t="s">
        <v>631</v>
      </c>
      <c r="Y157" s="53" t="s">
        <v>631</v>
      </c>
      <c r="Z157" s="4">
        <v>45</v>
      </c>
      <c r="AA157" s="53"/>
      <c r="AB157" s="42">
        <f>IF(J157&lt;=0.04,0,IF((BA157-AL157*BF$4*炼钢参数表!$X$5/1000-AM157*BG$4*炼钢参数表!$X$5/1000)&lt;=0.03,0,IF((J157/100/0.1769/炼钢参数表!K157*1000)&gt;(K157-炼钢参数表!J157)/100/0.6566/炼钢参数表!L157*1000,IF(K157&lt;1.6,(K157-炼钢参数表!J157)/100/0.6566/炼钢参数表!L157*1000,(K157-0.08-炼钢参数表!J157)/100/0.6566/炼钢参数表!L157*1000),IF(K157&lt;1.6,J157/100/0.1769/炼钢参数表!K157*1000,(J157-0.08)/100/0.1769/炼钢参数表!K157*1000))))</f>
        <v>10.5992085924251</v>
      </c>
      <c r="AC157" s="8">
        <f>IF((BA157-AB157*$BB$4*0.9/1000-AL157*BF$4*炼钢参数表!$X$5/1000-AM157*BG$4*炼钢参数表!$X$5/1000)&lt;(K157-炼钢参数表!J157-AB157*0.6566*炼钢参数表!L157/10)*0.082,0,(K157-炼钢参数表!J157-AB157*0.6566*炼钢参数表!L157/10)/100/($AC$3/100)/炼钢参数表!L157*1000)</f>
        <v>0.286902179582818</v>
      </c>
      <c r="AD157" s="8">
        <f>IF((BA157-AB157*$BB$4*0.9/1000-AC157*$BC$4*0.9/1000-AL157*BF$4*炼钢参数表!$X$5/1000-AM157*BG$4*炼钢参数表!$X$5/1000)&lt;=(K157-炼钢参数表!J157-AB157*0.6566*炼钢参数表!L157/10-AC157*($AC$3/100)*炼钢参数表!L157/10)*0.02,0,((K157-炼钢参数表!J157-AB157*0.6566*炼钢参数表!L157/10-AC157*($AC$3/100)*炼钢参数表!L157/10)/100/($AD$3/100)/炼钢参数表!L157*1000))</f>
        <v>0</v>
      </c>
      <c r="AE157" s="8">
        <f>(K157-炼钢参数表!J157-AB157*0.6566*炼钢参数表!L157/10-AC157*($AC$3/100)*炼钢参数表!L157/10-AD157*($AD$3/100)*炼钢参数表!L157/10)/100/($AE$3/100)/炼钢参数表!L157*1000</f>
        <v>0</v>
      </c>
      <c r="AF157" s="8">
        <v>0</v>
      </c>
      <c r="AG157" s="8">
        <f>IF(J157&lt;=0.04,0,((J157-(AB157*0.1769*炼钢参数表!K157/1000*100))/100/炼钢参数表!K157/($AG$3/100)*1000))</f>
        <v>0</v>
      </c>
      <c r="AH157" s="8">
        <v>1.42</v>
      </c>
      <c r="AI157" s="8">
        <f>IF(N157="",0,IF(N157&lt;=0.002,0,((N157)/100)/($AI$3/100)/炼钢参数表!M157*1000))</f>
        <v>0</v>
      </c>
      <c r="AJ157" s="8">
        <f>IF(O157="",0,IF(O157&lt;=0.002,0,((O157)/100)/($AJ$3/100)/炼钢参数表!N157*1000))</f>
        <v>0.23533398599292099</v>
      </c>
      <c r="AK157" s="8">
        <f>IF(P157="",0,IF(P157&lt;=0.002,0,((P157+0.005)/100)/($AK$3/100)/炼钢参数表!O157*1000))</f>
        <v>0.59873069093521702</v>
      </c>
      <c r="AL157" s="8">
        <f>IF((BA157-J157*0.00003-K157*0.00024)&lt;=0.05,0,IF(T157="",0,IF(T157&lt;=0.03,0,IF(((BA157-J157*0.00003-K157*0.00024)-0.05)/0.18/100/($AL$3/100)/炼钢参数表!P157*1000&lt;=T157/100/($AL$3/100)/炼钢参数表!P157*1000,((BA157-J157*0.00003-K157*0.00024)-0.05)/0.18/100/($AL$3/100)/炼钢参数表!P157*1000,T157/100/($AL$3/100)/炼钢参数表!P157*1000))))</f>
        <v>0</v>
      </c>
      <c r="AM157" s="8">
        <f>IF(T157="",0,IF(T157&lt;=0.03,0,((T157-AL157*($AL$3/100)*炼钢参数表!P157/10)/100/($AM$3/100)/炼钢参数表!P157*1000)))</f>
        <v>0</v>
      </c>
      <c r="AN157" s="8">
        <f>IF(U157="",0,IF(U157&lt;=0.02,0,(U157/100)/($AN$3/100)/炼钢参数表!Q157*1000))</f>
        <v>0</v>
      </c>
      <c r="AO157" s="8">
        <f>IF(V157="",0,IF(V157&lt;=0.02,0,(V157/100)/($AO$3/100)/炼钢参数表!R157*1000))</f>
        <v>0</v>
      </c>
      <c r="AP157" s="8">
        <f>IF(W157="",0,IF(W157&lt;=0.02,0,(W157/100)/($AP$3/100)/炼钢参数表!S157*1000))</f>
        <v>0</v>
      </c>
      <c r="AQ157" s="8">
        <f>IF(X157="",0,IF(X157&lt;=0.0002,0,(X157/100)/($AQ$3/100)/炼钢参数表!T157*1000))</f>
        <v>0</v>
      </c>
      <c r="AR157" s="8">
        <f>IF(Y157="",0,IF(Y157&lt;=0.02,0,(Y157/100)/($AR$3/100)/炼钢参数表!U157*1000))</f>
        <v>0</v>
      </c>
      <c r="AS157" s="8">
        <f>IF(L157&lt;=0.04,0,((L157-0.04)/100)/($AS$3/100)/炼钢参数表!V157*1000)</f>
        <v>0</v>
      </c>
      <c r="AT157" s="8">
        <f>IF(M157&lt;=0.03,0,((M157-0.03)/100)/($AT$3/100)/炼钢参数表!W157*1000)</f>
        <v>0</v>
      </c>
      <c r="AU157" s="6"/>
      <c r="AV157" s="8">
        <f t="shared" si="23"/>
        <v>13.1401754489361</v>
      </c>
      <c r="AW157" s="8" cm="1">
        <f t="array" ref="AW157">SUMPRODUCT($AB$4:$AU$4,AB157:AU157)/1000</f>
        <v>156.04849043591301</v>
      </c>
      <c r="AY157" s="2" t="str">
        <f t="shared" si="24"/>
        <v>S355J0-1</v>
      </c>
      <c r="AZ157" s="37">
        <f>VLOOKUP(AY157,炼钢参数表!$F$5:$J$1027,4,0)</f>
        <v>8.3500000000000005E-2</v>
      </c>
      <c r="BA157" s="37">
        <f t="shared" si="25"/>
        <v>6.1499999999999999E-2</v>
      </c>
      <c r="BB157" s="37">
        <f>AB157*$BB$4*炼钢参数表!$X$5/1000</f>
        <v>1.6407574901074098E-2</v>
      </c>
      <c r="BC157" s="37">
        <f>AC157*$BC$4*炼钢参数表!$X$5/1000</f>
        <v>1.72743802326815E-3</v>
      </c>
      <c r="BD157" s="37">
        <f>AD157*$BD$4*炼钢参数表!$X$5/1000</f>
        <v>0</v>
      </c>
      <c r="BE157" s="37">
        <f>AE157*$BE$4*炼钢参数表!$X$5/1000</f>
        <v>0</v>
      </c>
      <c r="BF157" s="37">
        <f>AL157*$BF$4*炼钢参数表!$X$5/1000</f>
        <v>0</v>
      </c>
      <c r="BG157" s="37">
        <f>AM157*$BG$4*炼钢参数表!$X$5/1000</f>
        <v>0</v>
      </c>
      <c r="BH157" s="37">
        <f t="shared" si="26"/>
        <v>1.8135012924342199E-2</v>
      </c>
      <c r="BI157" s="37">
        <f t="shared" si="27"/>
        <v>0.101635012924342</v>
      </c>
      <c r="BJ157" s="37">
        <f t="shared" si="28"/>
        <v>-4.33649870756578E-2</v>
      </c>
      <c r="BK157" s="54"/>
      <c r="BL157" s="7"/>
    </row>
    <row r="158" spans="1:64" s="18" customFormat="1" x14ac:dyDescent="0.3">
      <c r="A158" s="21">
        <v>154</v>
      </c>
      <c r="B158" s="4" t="s">
        <v>262</v>
      </c>
      <c r="C158" s="4" t="s">
        <v>23</v>
      </c>
      <c r="D158" s="4">
        <v>12.01</v>
      </c>
      <c r="E158" s="4">
        <v>19</v>
      </c>
      <c r="F158" s="4" t="s">
        <v>265</v>
      </c>
      <c r="G158" s="50" t="s">
        <v>264</v>
      </c>
      <c r="H158" s="4">
        <v>1518</v>
      </c>
      <c r="I158" s="51">
        <v>0.14499999999999999</v>
      </c>
      <c r="J158" s="52">
        <v>0.15</v>
      </c>
      <c r="K158" s="52">
        <v>1</v>
      </c>
      <c r="L158" s="51">
        <v>1.4999999999999999E-2</v>
      </c>
      <c r="M158" s="51">
        <v>0.01</v>
      </c>
      <c r="N158" s="51" t="s">
        <v>631</v>
      </c>
      <c r="O158" s="51">
        <v>1.4999999999999999E-2</v>
      </c>
      <c r="P158" s="51">
        <v>2.5000000000000001E-2</v>
      </c>
      <c r="Q158" s="51">
        <v>0.02</v>
      </c>
      <c r="R158" s="51" t="s">
        <v>631</v>
      </c>
      <c r="S158" s="32"/>
      <c r="T158" s="52"/>
      <c r="U158" s="52"/>
      <c r="V158" s="52"/>
      <c r="W158" s="52"/>
      <c r="X158" s="32" t="s">
        <v>631</v>
      </c>
      <c r="Y158" s="53" t="s">
        <v>631</v>
      </c>
      <c r="Z158" s="4">
        <v>45</v>
      </c>
      <c r="AA158" s="53"/>
      <c r="AB158" s="42">
        <f>IF(J158&lt;=0.04,0,IF((BA158-AL158*BF$4*炼钢参数表!$X$5/1000-AM158*BG$4*炼钢参数表!$X$5/1000)&lt;=0.03,0,IF((J158/100/0.1769/炼钢参数表!K158*1000)&gt;(K158-炼钢参数表!J158)/100/0.6566/炼钢参数表!L158*1000,IF(K158&lt;1.6,(K158-炼钢参数表!J158)/100/0.6566/炼钢参数表!L158*1000,(K158-0.08-炼钢参数表!J158)/100/0.6566/炼钢参数表!L158*1000),IF(K158&lt;1.6,J158/100/0.1769/炼钢参数表!K158*1000,(J158-0.08)/100/0.1769/炼钢参数表!K158*1000))))</f>
        <v>10.5992085924251</v>
      </c>
      <c r="AC158" s="8">
        <f>IF((BA158-AB158*$BB$4*0.9/1000-AL158*BF$4*炼钢参数表!$X$5/1000-AM158*BG$4*炼钢参数表!$X$5/1000)&lt;(K158-炼钢参数表!J158-AB158*0.6566*炼钢参数表!L158/10)*0.082,0,(K158-炼钢参数表!J158-AB158*0.6566*炼钢参数表!L158/10)/100/($AC$3/100)/炼钢参数表!L158*1000)</f>
        <v>2.8740052467503401</v>
      </c>
      <c r="AD158" s="8">
        <f>IF((BA158-AB158*$BB$4*0.9/1000-AC158*$BC$4*0.9/1000-AL158*BF$4*炼钢参数表!$X$5/1000-AM158*BG$4*炼钢参数表!$X$5/1000)&lt;=(K158-炼钢参数表!J158-AB158*0.6566*炼钢参数表!L158/10-AC158*($AC$3/100)*炼钢参数表!L158/10)*0.02,0,((K158-炼钢参数表!J158-AB158*0.6566*炼钢参数表!L158/10-AC158*($AC$3/100)*炼钢参数表!L158/10)/100/($AD$3/100)/炼钢参数表!L158*1000))</f>
        <v>0</v>
      </c>
      <c r="AE158" s="8">
        <f>(K158-炼钢参数表!J158-AB158*0.6566*炼钢参数表!L158/10-AC158*($AC$3/100)*炼钢参数表!L158/10-AD158*($AD$3/100)*炼钢参数表!L158/10)/100/($AE$3/100)/炼钢参数表!L158*1000</f>
        <v>0</v>
      </c>
      <c r="AF158" s="8">
        <v>0</v>
      </c>
      <c r="AG158" s="8">
        <f>IF(J158&lt;=0.04,0,((J158-(AB158*0.1769*炼钢参数表!K158/1000*100))/100/炼钢参数表!K158/($AG$3/100)*1000))</f>
        <v>0</v>
      </c>
      <c r="AH158" s="8">
        <v>1.42</v>
      </c>
      <c r="AI158" s="8">
        <f>IF(N158="",0,IF(N158&lt;=0.002,0,((N158)/100)/($AI$3/100)/炼钢参数表!M158*1000))</f>
        <v>0</v>
      </c>
      <c r="AJ158" s="8">
        <f>IF(O158="",0,IF(O158&lt;=0.002,0,((O158)/100)/($AJ$3/100)/炼钢参数表!N158*1000))</f>
        <v>0.23533398599292099</v>
      </c>
      <c r="AK158" s="8">
        <f>IF(P158="",0,IF(P158&lt;=0.002,0,((P158+0.005)/100)/($AK$3/100)/炼钢参数表!O158*1000))</f>
        <v>0.59873069093521702</v>
      </c>
      <c r="AL158" s="8">
        <f>IF((BA158-J158*0.00003-K158*0.00024)&lt;=0.05,0,IF(T158="",0,IF(T158&lt;=0.03,0,IF(((BA158-J158*0.00003-K158*0.00024)-0.05)/0.18/100/($AL$3/100)/炼钢参数表!P158*1000&lt;=T158/100/($AL$3/100)/炼钢参数表!P158*1000,((BA158-J158*0.00003-K158*0.00024)-0.05)/0.18/100/($AL$3/100)/炼钢参数表!P158*1000,T158/100/($AL$3/100)/炼钢参数表!P158*1000))))</f>
        <v>0</v>
      </c>
      <c r="AM158" s="8">
        <f>IF(T158="",0,IF(T158&lt;=0.03,0,((T158-AL158*($AL$3/100)*炼钢参数表!P158/10)/100/($AM$3/100)/炼钢参数表!P158*1000)))</f>
        <v>0</v>
      </c>
      <c r="AN158" s="8">
        <f>IF(U158="",0,IF(U158&lt;=0.02,0,(U158/100)/($AN$3/100)/炼钢参数表!Q158*1000))</f>
        <v>0</v>
      </c>
      <c r="AO158" s="8">
        <f>IF(V158="",0,IF(V158&lt;=0.02,0,(V158/100)/($AO$3/100)/炼钢参数表!R158*1000))</f>
        <v>0</v>
      </c>
      <c r="AP158" s="8">
        <f>IF(W158="",0,IF(W158&lt;=0.02,0,(W158/100)/($AP$3/100)/炼钢参数表!S158*1000))</f>
        <v>0</v>
      </c>
      <c r="AQ158" s="8">
        <f>IF(X158="",0,IF(X158&lt;=0.0002,0,(X158/100)/($AQ$3/100)/炼钢参数表!T158*1000))</f>
        <v>0</v>
      </c>
      <c r="AR158" s="8">
        <f>IF(Y158="",0,IF(Y158&lt;=0.02,0,(Y158/100)/($AR$3/100)/炼钢参数表!U158*1000))</f>
        <v>0</v>
      </c>
      <c r="AS158" s="8">
        <f>IF(L158&lt;=0.04,0,((L158-0.04)/100)/($AS$3/100)/炼钢参数表!V158*1000)</f>
        <v>0</v>
      </c>
      <c r="AT158" s="8">
        <f>IF(M158&lt;=0.03,0,((M158-0.03)/100)/($AT$3/100)/炼钢参数表!W158*1000)</f>
        <v>0</v>
      </c>
      <c r="AU158" s="6"/>
      <c r="AV158" s="8">
        <f t="shared" si="23"/>
        <v>15.727278516103601</v>
      </c>
      <c r="AW158" s="8" cm="1">
        <f t="array" ref="AW158">SUMPRODUCT($AB$4:$AU$4,AB158:AU158)/1000</f>
        <v>171.685582425961</v>
      </c>
      <c r="AY158" s="2" t="str">
        <f t="shared" si="24"/>
        <v>S355J0-2</v>
      </c>
      <c r="AZ158" s="37">
        <f>VLOOKUP(AY158,炼钢参数表!$F$5:$J$1027,4,0)</f>
        <v>8.0827586206896604E-2</v>
      </c>
      <c r="BA158" s="37">
        <f t="shared" si="25"/>
        <v>6.41724137931034E-2</v>
      </c>
      <c r="BB158" s="37">
        <f>AB158*$BB$4*炼钢参数表!$X$5/1000</f>
        <v>1.6407574901074098E-2</v>
      </c>
      <c r="BC158" s="37">
        <f>AC158*$BC$4*炼钢参数表!$X$5/1000</f>
        <v>1.7304385590683799E-2</v>
      </c>
      <c r="BD158" s="37">
        <f>AD158*$BD$4*炼钢参数表!$X$5/1000</f>
        <v>0</v>
      </c>
      <c r="BE158" s="37">
        <f>AE158*$BE$4*炼钢参数表!$X$5/1000</f>
        <v>0</v>
      </c>
      <c r="BF158" s="37">
        <f>AL158*$BF$4*炼钢参数表!$X$5/1000</f>
        <v>0</v>
      </c>
      <c r="BG158" s="37">
        <f>AM158*$BG$4*炼钢参数表!$X$5/1000</f>
        <v>0</v>
      </c>
      <c r="BH158" s="37">
        <f t="shared" si="26"/>
        <v>3.37119604917578E-2</v>
      </c>
      <c r="BI158" s="37">
        <f t="shared" si="27"/>
        <v>0.114539546698654</v>
      </c>
      <c r="BJ158" s="37">
        <f t="shared" si="28"/>
        <v>-3.0460453301345499E-2</v>
      </c>
      <c r="BK158" s="54"/>
      <c r="BL158" s="7"/>
    </row>
    <row r="159" spans="1:64" s="20" customFormat="1" x14ac:dyDescent="0.3">
      <c r="A159" s="21">
        <v>155</v>
      </c>
      <c r="B159" s="71" t="s">
        <v>262</v>
      </c>
      <c r="C159" s="71" t="s">
        <v>90</v>
      </c>
      <c r="D159" s="71">
        <v>19.010000000000002</v>
      </c>
      <c r="E159" s="71">
        <v>25.4</v>
      </c>
      <c r="F159" s="71" t="s">
        <v>266</v>
      </c>
      <c r="G159" s="72" t="s">
        <v>264</v>
      </c>
      <c r="H159" s="71">
        <v>1518</v>
      </c>
      <c r="I159" s="73">
        <v>0.14499999999999999</v>
      </c>
      <c r="J159" s="74">
        <v>0.15</v>
      </c>
      <c r="K159" s="74">
        <v>1.2</v>
      </c>
      <c r="L159" s="73">
        <v>1.4999999999999999E-2</v>
      </c>
      <c r="M159" s="73">
        <v>0.01</v>
      </c>
      <c r="N159" s="73" t="s">
        <v>631</v>
      </c>
      <c r="O159" s="73">
        <v>1.4999999999999999E-2</v>
      </c>
      <c r="P159" s="73">
        <v>2.5000000000000001E-2</v>
      </c>
      <c r="Q159" s="73">
        <v>0.02</v>
      </c>
      <c r="R159" s="73" t="s">
        <v>631</v>
      </c>
      <c r="S159" s="75"/>
      <c r="T159" s="74"/>
      <c r="U159" s="74"/>
      <c r="V159" s="74"/>
      <c r="W159" s="74"/>
      <c r="X159" s="75" t="s">
        <v>631</v>
      </c>
      <c r="Y159" s="76" t="s">
        <v>631</v>
      </c>
      <c r="Z159" s="71">
        <v>45</v>
      </c>
      <c r="AA159" s="76"/>
      <c r="AB159" s="42">
        <f>IF(J159&lt;=0.04,0,IF((BA159-AL159*BF$4*炼钢参数表!$X$5/1000-AM159*BG$4*炼钢参数表!$X$5/1000)&lt;=0.03,0,IF((J159/100/0.1769/炼钢参数表!K159*1000)&gt;(K159-炼钢参数表!J159)/100/0.6566/炼钢参数表!L159*1000,IF(K159&lt;1.6,(K159-炼钢参数表!J159)/100/0.6566/炼钢参数表!L159*1000,(K159-0.08-炼钢参数表!J159)/100/0.6566/炼钢参数表!L159*1000),IF(K159&lt;1.6,J159/100/0.1769/炼钢参数表!K159*1000,(J159-0.08)/100/0.1769/炼钢参数表!K159*1000))))</f>
        <v>10.5992085924251</v>
      </c>
      <c r="AC159" s="42">
        <f>IF((BA159-AB159*$BB$4*0.9/1000-AL159*BF$4*炼钢参数表!$X$5/1000-AM159*BG$4*炼钢参数表!$X$5/1000)&lt;(K159-炼钢参数表!J159-AB159*0.6566*炼钢参数表!L159/10)*0.082,0,(K159-炼钢参数表!J159-AB159*0.6566*炼钢参数表!L159/10)/100/($AC$3/100)/炼钢参数表!L159*1000)</f>
        <v>5.5298304500867301</v>
      </c>
      <c r="AD159" s="42">
        <f>IF((BA159-AB159*$BB$4*0.9/1000-AC159*$BC$4*0.9/1000-AL159*BF$4*炼钢参数表!$X$5/1000-AM159*BG$4*炼钢参数表!$X$5/1000)&lt;=(K159-炼钢参数表!J159-AB159*0.6566*炼钢参数表!L159/10-AC159*($AC$3/100)*炼钢参数表!L159/10)*0.02,0,((K159-炼钢参数表!J159-AB159*0.6566*炼钢参数表!L159/10-AC159*($AC$3/100)*炼钢参数表!L159/10)/100/($AD$3/100)/炼钢参数表!L159*1000))</f>
        <v>0</v>
      </c>
      <c r="AE159" s="42">
        <f>(K159-炼钢参数表!J159-AB159*0.6566*炼钢参数表!L159/10-AC159*($AC$3/100)*炼钢参数表!L159/10-AD159*($AD$3/100)*炼钢参数表!L159/10)/100/($AE$3/100)/炼钢参数表!L159*1000</f>
        <v>0</v>
      </c>
      <c r="AF159" s="8">
        <v>0</v>
      </c>
      <c r="AG159" s="42">
        <f>IF(J159&lt;=0.04,0,((J159-(AB159*0.1769*炼钢参数表!K159/1000*100))/100/炼钢参数表!K159/($AG$3/100)*1000))</f>
        <v>0</v>
      </c>
      <c r="AH159" s="42">
        <v>1.42</v>
      </c>
      <c r="AI159" s="8">
        <f>IF(N159="",0,IF(N159&lt;=0.002,0,((N159)/100)/($AI$3/100)/炼钢参数表!M159*1000))</f>
        <v>0</v>
      </c>
      <c r="AJ159" s="8">
        <f>IF(O159="",0,IF(O159&lt;=0.002,0,((O159)/100)/($AJ$3/100)/炼钢参数表!N159*1000))</f>
        <v>0.23533398599292099</v>
      </c>
      <c r="AK159" s="8">
        <f>IF(P159="",0,IF(P159&lt;=0.002,0,((P159+0.005)/100)/($AK$3/100)/炼钢参数表!O159*1000))</f>
        <v>0.59873069093521702</v>
      </c>
      <c r="AL159" s="42">
        <f>IF((BA159-J159*0.00003-K159*0.00024)&lt;=0.05,0,IF(T159="",0,IF(T159&lt;=0.03,0,IF(((BA159-J159*0.00003-K159*0.00024)-0.05)/0.18/100/($AL$3/100)/炼钢参数表!P159*1000&lt;=T159/100/($AL$3/100)/炼钢参数表!P159*1000,((BA159-J159*0.00003-K159*0.00024)-0.05)/0.18/100/($AL$3/100)/炼钢参数表!P159*1000,T159/100/($AL$3/100)/炼钢参数表!P159*1000))))</f>
        <v>0</v>
      </c>
      <c r="AM159" s="42">
        <f>IF(T159="",0,IF(T159&lt;=0.03,0,((T159-AL159*($AL$3/100)*炼钢参数表!P159/10)/100/($AM$3/100)/炼钢参数表!P159*1000)))</f>
        <v>0</v>
      </c>
      <c r="AN159" s="42">
        <f>IF(U159="",0,IF(U159&lt;=0.02,0,(U159/100)/($AN$3/100)/炼钢参数表!Q159*1000))</f>
        <v>0</v>
      </c>
      <c r="AO159" s="42">
        <f>IF(V159="",0,IF(V159&lt;=0.02,0,(V159/100)/($AO$3/100)/炼钢参数表!R159*1000))</f>
        <v>0</v>
      </c>
      <c r="AP159" s="42">
        <f>IF(W159="",0,IF(W159&lt;=0.02,0,(W159/100)/($AP$3/100)/炼钢参数表!S159*1000))</f>
        <v>0</v>
      </c>
      <c r="AQ159" s="42">
        <f>IF(X159="",0,IF(X159&lt;=0.0002,0,(X159/100)/($AQ$3/100)/炼钢参数表!T159*1000))</f>
        <v>0</v>
      </c>
      <c r="AR159" s="42">
        <f>IF(Y159="",0,IF(Y159&lt;=0.02,0,(Y159/100)/($AR$3/100)/炼钢参数表!U159*1000))</f>
        <v>0</v>
      </c>
      <c r="AS159" s="42">
        <f>IF(L159&lt;=0.04,0,((L159-0.04)/100)/($AS$3/100)/炼钢参数表!V159*1000)</f>
        <v>0</v>
      </c>
      <c r="AT159" s="42">
        <f>IF(M159&lt;=0.03,0,((M159-0.03)/100)/($AT$3/100)/炼钢参数表!W159*1000)</f>
        <v>0</v>
      </c>
      <c r="AU159" s="74"/>
      <c r="AV159" s="42">
        <f t="shared" si="23"/>
        <v>18.383103719440001</v>
      </c>
      <c r="AW159" s="42" cm="1">
        <f t="array" ref="AW159">SUMPRODUCT($AB$4:$AU$4,AB159:AU159)/1000</f>
        <v>187.73804803550701</v>
      </c>
      <c r="AY159" s="71" t="str">
        <f t="shared" si="24"/>
        <v>S355J0-3</v>
      </c>
      <c r="AZ159" s="77">
        <f>VLOOKUP(AY159,炼钢参数表!$F$5:$J$1027,4,0)</f>
        <v>7.1999999999999995E-2</v>
      </c>
      <c r="BA159" s="77">
        <f t="shared" si="25"/>
        <v>7.2999999999999995E-2</v>
      </c>
      <c r="BB159" s="77">
        <f>AB159*$BB$4*炼钢参数表!$X$5/1000</f>
        <v>1.6407574901074098E-2</v>
      </c>
      <c r="BC159" s="77">
        <f>AC159*$BC$4*炼钢参数表!$X$5/1000</f>
        <v>3.3295109139972197E-2</v>
      </c>
      <c r="BD159" s="77">
        <f>AD159*$BD$4*炼钢参数表!$X$5/1000</f>
        <v>0</v>
      </c>
      <c r="BE159" s="77">
        <f>AE159*$BE$4*炼钢参数表!$X$5/1000</f>
        <v>0</v>
      </c>
      <c r="BF159" s="77">
        <f>AL159*$BF$4*炼钢参数表!$X$5/1000</f>
        <v>0</v>
      </c>
      <c r="BG159" s="77">
        <f>AM159*$BG$4*炼钢参数表!$X$5/1000</f>
        <v>0</v>
      </c>
      <c r="BH159" s="77">
        <f t="shared" si="26"/>
        <v>4.9702684041046302E-2</v>
      </c>
      <c r="BI159" s="77">
        <f t="shared" si="27"/>
        <v>0.12170268404104601</v>
      </c>
      <c r="BJ159" s="77">
        <f t="shared" si="28"/>
        <v>-2.32973159589537E-2</v>
      </c>
      <c r="BK159" s="78"/>
      <c r="BL159" s="76"/>
    </row>
    <row r="160" spans="1:64" s="18" customFormat="1" x14ac:dyDescent="0.3">
      <c r="A160" s="21">
        <v>156</v>
      </c>
      <c r="B160" s="4" t="s">
        <v>267</v>
      </c>
      <c r="C160" s="4" t="s">
        <v>23</v>
      </c>
      <c r="D160" s="4">
        <v>1.2</v>
      </c>
      <c r="E160" s="4">
        <v>12</v>
      </c>
      <c r="F160" s="4" t="s">
        <v>268</v>
      </c>
      <c r="G160" s="50" t="s">
        <v>269</v>
      </c>
      <c r="H160" s="4">
        <v>1518</v>
      </c>
      <c r="I160" s="51">
        <v>0.15</v>
      </c>
      <c r="J160" s="52">
        <v>0</v>
      </c>
      <c r="K160" s="52">
        <v>0.7</v>
      </c>
      <c r="L160" s="51">
        <v>1.4999999999999999E-2</v>
      </c>
      <c r="M160" s="51">
        <v>0.01</v>
      </c>
      <c r="N160" s="51" t="s">
        <v>631</v>
      </c>
      <c r="O160" s="51">
        <v>5.0000000000000001E-3</v>
      </c>
      <c r="P160" s="51">
        <v>0.03</v>
      </c>
      <c r="Q160" s="51">
        <v>0.02</v>
      </c>
      <c r="R160" s="51" t="s">
        <v>631</v>
      </c>
      <c r="S160" s="32"/>
      <c r="T160" s="52"/>
      <c r="U160" s="52"/>
      <c r="V160" s="52"/>
      <c r="W160" s="52"/>
      <c r="X160" s="32" t="s">
        <v>631</v>
      </c>
      <c r="Y160" s="53" t="s">
        <v>631</v>
      </c>
      <c r="Z160" s="4">
        <v>45</v>
      </c>
      <c r="AA160" s="53" t="s">
        <v>638</v>
      </c>
      <c r="AB160" s="42">
        <f>IF(J160&lt;=0.04,0,IF((BA160-AL160*BF$4*炼钢参数表!$X$5/1000-AM160*BG$4*炼钢参数表!$X$5/1000)&lt;=0.03,0,IF((J160/100/0.1769/炼钢参数表!K160*1000)&gt;(K160-炼钢参数表!J160)/100/0.6566/炼钢参数表!L160*1000,IF(K160&lt;1.6,(K160-炼钢参数表!J160)/100/0.6566/炼钢参数表!L160*1000,(K160-0.08-炼钢参数表!J160)/100/0.6566/炼钢参数表!L160*1000),IF(K160&lt;1.6,J160/100/0.1769/炼钢参数表!K160*1000,(J160-0.08)/100/0.1769/炼钢参数表!K160*1000))))</f>
        <v>0</v>
      </c>
      <c r="AC160" s="8">
        <f>IF((BA160-AB160*$BB$4*0.9/1000-AL160*BF$4*炼钢参数表!$X$5/1000-AM160*BG$4*炼钢参数表!$X$5/1000)&lt;(K160-炼钢参数表!J160-AB160*0.6566*炼钢参数表!L160/10)*0.082,0,(K160-炼钢参数表!J160-AB160*0.6566*炼钢参数表!L160/10)/100/($AC$3/100)/炼钢参数表!L160*1000)</f>
        <v>8.0196421732231808</v>
      </c>
      <c r="AD160" s="8">
        <f>IF((BA160-AB160*$BB$4*0.9/1000-AC160*$BC$4*0.9/1000-AL160*BF$4*炼钢参数表!$X$5/1000-AM160*BG$4*炼钢参数表!$X$5/1000)&lt;=(K160-炼钢参数表!J160-AB160*0.6566*炼钢参数表!L160/10-AC160*($AC$3/100)*炼钢参数表!L160/10)*0.02,0,((K160-炼钢参数表!J160-AB160*0.6566*炼钢参数表!L160/10-AC160*($AC$3/100)*炼钢参数表!L160/10)/100/($AD$3/100)/炼钢参数表!L160*1000))</f>
        <v>0</v>
      </c>
      <c r="AE160" s="8">
        <f>(K160-炼钢参数表!J160-AB160*0.6566*炼钢参数表!L160/10-AC160*($AC$3/100)*炼钢参数表!L160/10-AD160*($AD$3/100)*炼钢参数表!L160/10)/100/($AE$3/100)/炼钢参数表!L160*1000</f>
        <v>0</v>
      </c>
      <c r="AF160" s="8">
        <v>0</v>
      </c>
      <c r="AG160" s="8">
        <f>IF(J160&lt;=0.04,0,((J160-(AB160*0.1769*炼钢参数表!K160/1000*100))/100/炼钢参数表!K160/($AG$3/100)*1000))</f>
        <v>0</v>
      </c>
      <c r="AH160" s="8">
        <v>1.71</v>
      </c>
      <c r="AI160" s="8">
        <f>IF(N160="",0,IF(N160&lt;=0.002,0,((N160)/100)/($AI$3/100)/炼钢参数表!M160*1000))</f>
        <v>0</v>
      </c>
      <c r="AJ160" s="8">
        <f>IF(O160="",0,IF(O160&lt;=0.002,0,((O160)/100)/($AJ$3/100)/炼钢参数表!N160*1000))</f>
        <v>7.84446619976404E-2</v>
      </c>
      <c r="AK160" s="8">
        <f>IF(P160="",0,IF(P160&lt;=0.002,0,((P160+0.005)/100)/($AK$3/100)/炼钢参数表!O160*1000))</f>
        <v>0.69851913942442001</v>
      </c>
      <c r="AL160" s="8">
        <f>IF((BA160-J160*0.00003-K160*0.00024)&lt;=0.05,0,IF(T160="",0,IF(T160&lt;=0.03,0,IF(((BA160-J160*0.00003-K160*0.00024)-0.05)/0.18/100/($AL$3/100)/炼钢参数表!P160*1000&lt;=T160/100/($AL$3/100)/炼钢参数表!P160*1000,((BA160-J160*0.00003-K160*0.00024)-0.05)/0.18/100/($AL$3/100)/炼钢参数表!P160*1000,T160/100/($AL$3/100)/炼钢参数表!P160*1000))))</f>
        <v>0</v>
      </c>
      <c r="AM160" s="8">
        <f>IF(T160="",0,IF(T160&lt;=0.03,0,((T160-AL160*($AL$3/100)*炼钢参数表!P160/10)/100/($AM$3/100)/炼钢参数表!P160*1000)))</f>
        <v>0</v>
      </c>
      <c r="AN160" s="8">
        <f>IF(U160="",0,IF(U160&lt;=0.02,0,(U160/100)/($AN$3/100)/炼钢参数表!Q160*1000))</f>
        <v>0</v>
      </c>
      <c r="AO160" s="8">
        <f>IF(V160="",0,IF(V160&lt;=0.02,0,(V160/100)/($AO$3/100)/炼钢参数表!R160*1000))</f>
        <v>0</v>
      </c>
      <c r="AP160" s="8">
        <f>IF(W160="",0,IF(W160&lt;=0.02,0,(W160/100)/($AP$3/100)/炼钢参数表!S160*1000))</f>
        <v>0</v>
      </c>
      <c r="AQ160" s="8">
        <f>IF(X160="",0,IF(X160&lt;=0.0002,0,(X160/100)/($AQ$3/100)/炼钢参数表!T160*1000))</f>
        <v>0</v>
      </c>
      <c r="AR160" s="8">
        <f>IF(Y160="",0,IF(Y160&lt;=0.02,0,(Y160/100)/($AR$3/100)/炼钢参数表!U160*1000))</f>
        <v>0</v>
      </c>
      <c r="AS160" s="8">
        <f>IF(L160&lt;=0.04,0,((L160-0.04)/100)/($AS$3/100)/炼钢参数表!V160*1000)</f>
        <v>0</v>
      </c>
      <c r="AT160" s="8">
        <f>IF(M160&lt;=0.03,0,((M160-0.03)/100)/($AT$3/100)/炼钢参数表!W160*1000)</f>
        <v>0</v>
      </c>
      <c r="AU160" s="6"/>
      <c r="AV160" s="8">
        <f t="shared" si="23"/>
        <v>10.506605974645201</v>
      </c>
      <c r="AW160" s="8" cm="1">
        <f t="array" ref="AW160">SUMPRODUCT($AB$4:$AU$4,AB160:AU160)/1000</f>
        <v>120.37827986649</v>
      </c>
      <c r="AY160" s="2" t="str">
        <f t="shared" si="24"/>
        <v>S355J0-DX1</v>
      </c>
      <c r="AZ160" s="37">
        <f>VLOOKUP(AY160,炼钢参数表!$F$5:$J$1027,4,0)</f>
        <v>7.1999999999999995E-2</v>
      </c>
      <c r="BA160" s="37">
        <f t="shared" si="25"/>
        <v>7.8E-2</v>
      </c>
      <c r="BB160" s="37">
        <f>AB160*$BB$4*炼钢参数表!$X$5/1000</f>
        <v>0</v>
      </c>
      <c r="BC160" s="37">
        <f>AC160*$BC$4*炼钢参数表!$X$5/1000</f>
        <v>4.8286265524976703E-2</v>
      </c>
      <c r="BD160" s="37">
        <f>AD160*$BD$4*炼钢参数表!$X$5/1000</f>
        <v>0</v>
      </c>
      <c r="BE160" s="37">
        <f>AE160*$BE$4*炼钢参数表!$X$5/1000</f>
        <v>0</v>
      </c>
      <c r="BF160" s="37">
        <f>AL160*$BF$4*炼钢参数表!$X$5/1000</f>
        <v>0</v>
      </c>
      <c r="BG160" s="37">
        <f>AM160*$BG$4*炼钢参数表!$X$5/1000</f>
        <v>0</v>
      </c>
      <c r="BH160" s="37">
        <f t="shared" si="26"/>
        <v>4.8286265524976703E-2</v>
      </c>
      <c r="BI160" s="37">
        <f t="shared" si="27"/>
        <v>0.120286265524977</v>
      </c>
      <c r="BJ160" s="37">
        <f t="shared" si="28"/>
        <v>-2.9713734475023301E-2</v>
      </c>
      <c r="BK160" s="54"/>
      <c r="BL160" s="7"/>
    </row>
    <row r="161" spans="1:65" s="18" customFormat="1" x14ac:dyDescent="0.3">
      <c r="A161" s="21">
        <v>157</v>
      </c>
      <c r="B161" s="4" t="s">
        <v>267</v>
      </c>
      <c r="C161" s="4" t="s">
        <v>26</v>
      </c>
      <c r="D161" s="4">
        <v>12.01</v>
      </c>
      <c r="E161" s="4">
        <v>25.4</v>
      </c>
      <c r="F161" s="4" t="s">
        <v>270</v>
      </c>
      <c r="G161" s="50" t="s">
        <v>269</v>
      </c>
      <c r="H161" s="4">
        <v>1518</v>
      </c>
      <c r="I161" s="51">
        <v>0.15</v>
      </c>
      <c r="J161" s="52">
        <v>0</v>
      </c>
      <c r="K161" s="52">
        <v>0.8</v>
      </c>
      <c r="L161" s="51">
        <v>1.4999999999999999E-2</v>
      </c>
      <c r="M161" s="51">
        <v>0.01</v>
      </c>
      <c r="N161" s="51" t="s">
        <v>631</v>
      </c>
      <c r="O161" s="51">
        <v>5.0000000000000001E-3</v>
      </c>
      <c r="P161" s="51">
        <v>3.5000000000000003E-2</v>
      </c>
      <c r="Q161" s="51">
        <v>0.02</v>
      </c>
      <c r="R161" s="51" t="s">
        <v>631</v>
      </c>
      <c r="S161" s="32"/>
      <c r="T161" s="52"/>
      <c r="U161" s="52"/>
      <c r="V161" s="52"/>
      <c r="W161" s="52"/>
      <c r="X161" s="32" t="s">
        <v>631</v>
      </c>
      <c r="Y161" s="53" t="s">
        <v>631</v>
      </c>
      <c r="Z161" s="4">
        <v>45</v>
      </c>
      <c r="AA161" s="53" t="s">
        <v>638</v>
      </c>
      <c r="AB161" s="42">
        <f>IF(J161&lt;=0.04,0,IF((BA161-AL161*BF$4*炼钢参数表!$X$5/1000-AM161*BG$4*炼钢参数表!$X$5/1000)&lt;=0.03,0,IF((J161/100/0.1769/炼钢参数表!K161*1000)&gt;(K161-炼钢参数表!J161)/100/0.6566/炼钢参数表!L161*1000,IF(K161&lt;1.6,(K161-炼钢参数表!J161)/100/0.6566/炼钢参数表!L161*1000,(K161-0.08-炼钢参数表!J161)/100/0.6566/炼钢参数表!L161*1000),IF(K161&lt;1.6,J161/100/0.1769/炼钢参数表!K161*1000,(J161-0.08)/100/0.1769/炼钢参数表!K161*1000))))</f>
        <v>0</v>
      </c>
      <c r="AC161" s="8">
        <f>IF((BA161-AB161*$BB$4*0.9/1000-AL161*BF$4*炼钢参数表!$X$5/1000-AM161*BG$4*炼钢参数表!$X$5/1000)&lt;(K161-炼钢参数表!J161-AB161*0.6566*炼钢参数表!L161/10)*0.082,0,(K161-炼钢参数表!J161-AB161*0.6566*炼钢参数表!L161/10)/100/($AC$3/100)/炼钢参数表!L161*1000)</f>
        <v>9.3874815341686304</v>
      </c>
      <c r="AD161" s="8">
        <f>IF((BA161-AB161*$BB$4*0.9/1000-AC161*$BC$4*0.9/1000-AL161*BF$4*炼钢参数表!$X$5/1000-AM161*BG$4*炼钢参数表!$X$5/1000)&lt;=(K161-炼钢参数表!J161-AB161*0.6566*炼钢参数表!L161/10-AC161*($AC$3/100)*炼钢参数表!L161/10)*0.02,0,((K161-炼钢参数表!J161-AB161*0.6566*炼钢参数表!L161/10-AC161*($AC$3/100)*炼钢参数表!L161/10)/100/($AD$3/100)/炼钢参数表!L161*1000))</f>
        <v>0</v>
      </c>
      <c r="AE161" s="8">
        <f>(K161-炼钢参数表!J161-AB161*0.6566*炼钢参数表!L161/10-AC161*($AC$3/100)*炼钢参数表!L161/10-AD161*($AD$3/100)*炼钢参数表!L161/10)/100/($AE$3/100)/炼钢参数表!L161*1000</f>
        <v>0</v>
      </c>
      <c r="AF161" s="8">
        <v>0</v>
      </c>
      <c r="AG161" s="8">
        <f>IF(J161&lt;=0.04,0,((J161-(AB161*0.1769*炼钢参数表!K161/1000*100))/100/炼钢参数表!K161/($AG$3/100)*1000))</f>
        <v>0</v>
      </c>
      <c r="AH161" s="8">
        <v>1.71</v>
      </c>
      <c r="AI161" s="8">
        <f>IF(N161="",0,IF(N161&lt;=0.002,0,((N161)/100)/($AI$3/100)/炼钢参数表!M161*1000))</f>
        <v>0</v>
      </c>
      <c r="AJ161" s="8">
        <f>IF(O161="",0,IF(O161&lt;=0.002,0,((O161)/100)/($AJ$3/100)/炼钢参数表!N161*1000))</f>
        <v>7.84446619976404E-2</v>
      </c>
      <c r="AK161" s="8">
        <f>IF(P161="",0,IF(P161&lt;=0.002,0,((P161+0.005)/100)/($AK$3/100)/炼钢参数表!O161*1000))</f>
        <v>0.798307587913623</v>
      </c>
      <c r="AL161" s="8">
        <f>IF((BA161-J161*0.00003-K161*0.00024)&lt;=0.05,0,IF(T161="",0,IF(T161&lt;=0.03,0,IF(((BA161-J161*0.00003-K161*0.00024)-0.05)/0.18/100/($AL$3/100)/炼钢参数表!P161*1000&lt;=T161/100/($AL$3/100)/炼钢参数表!P161*1000,((BA161-J161*0.00003-K161*0.00024)-0.05)/0.18/100/($AL$3/100)/炼钢参数表!P161*1000,T161/100/($AL$3/100)/炼钢参数表!P161*1000))))</f>
        <v>0</v>
      </c>
      <c r="AM161" s="8">
        <f>IF(T161="",0,IF(T161&lt;=0.03,0,((T161-AL161*($AL$3/100)*炼钢参数表!P161/10)/100/($AM$3/100)/炼钢参数表!P161*1000)))</f>
        <v>0</v>
      </c>
      <c r="AN161" s="8">
        <f>IF(U161="",0,IF(U161&lt;=0.02,0,(U161/100)/($AN$3/100)/炼钢参数表!Q161*1000))</f>
        <v>0</v>
      </c>
      <c r="AO161" s="8">
        <f>IF(V161="",0,IF(V161&lt;=0.02,0,(V161/100)/($AO$3/100)/炼钢参数表!R161*1000))</f>
        <v>0</v>
      </c>
      <c r="AP161" s="8">
        <f>IF(W161="",0,IF(W161&lt;=0.02,0,(W161/100)/($AP$3/100)/炼钢参数表!S161*1000))</f>
        <v>0</v>
      </c>
      <c r="AQ161" s="8">
        <f>IF(X161="",0,IF(X161&lt;=0.0002,0,(X161/100)/($AQ$3/100)/炼钢参数表!T161*1000))</f>
        <v>0</v>
      </c>
      <c r="AR161" s="8">
        <f>IF(Y161="",0,IF(Y161&lt;=0.02,0,(Y161/100)/($AR$3/100)/炼钢参数表!U161*1000))</f>
        <v>0</v>
      </c>
      <c r="AS161" s="8">
        <f>IF(L161&lt;=0.04,0,((L161-0.04)/100)/($AS$3/100)/炼钢参数表!V161*1000)</f>
        <v>0</v>
      </c>
      <c r="AT161" s="8">
        <f>IF(M161&lt;=0.03,0,((M161-0.03)/100)/($AT$3/100)/炼钢参数表!W161*1000)</f>
        <v>0</v>
      </c>
      <c r="AU161" s="6"/>
      <c r="AV161" s="8">
        <f t="shared" si="23"/>
        <v>11.9742337840799</v>
      </c>
      <c r="AW161" s="8" cm="1">
        <f t="array" ref="AW161">SUMPRODUCT($AB$4:$AU$4,AB161:AU161)/1000</f>
        <v>131.04782733035199</v>
      </c>
      <c r="AY161" s="2" t="str">
        <f t="shared" si="24"/>
        <v>S355J0-DX2</v>
      </c>
      <c r="AZ161" s="37">
        <f>VLOOKUP(AY161,炼钢参数表!$F$5:$J$1027,4,0)</f>
        <v>7.1999999999999995E-2</v>
      </c>
      <c r="BA161" s="37">
        <f t="shared" si="25"/>
        <v>7.8E-2</v>
      </c>
      <c r="BB161" s="37">
        <f>AB161*$BB$4*炼钢参数表!$X$5/1000</f>
        <v>0</v>
      </c>
      <c r="BC161" s="37">
        <f>AC161*$BC$4*炼钢参数表!$X$5/1000</f>
        <v>5.6522026317229301E-2</v>
      </c>
      <c r="BD161" s="37">
        <f>AD161*$BD$4*炼钢参数表!$X$5/1000</f>
        <v>0</v>
      </c>
      <c r="BE161" s="37">
        <f>AE161*$BE$4*炼钢参数表!$X$5/1000</f>
        <v>0</v>
      </c>
      <c r="BF161" s="37">
        <f>AL161*$BF$4*炼钢参数表!$X$5/1000</f>
        <v>0</v>
      </c>
      <c r="BG161" s="37">
        <f>AM161*$BG$4*炼钢参数表!$X$5/1000</f>
        <v>0</v>
      </c>
      <c r="BH161" s="37">
        <f t="shared" si="26"/>
        <v>5.6522026317229301E-2</v>
      </c>
      <c r="BI161" s="37">
        <f t="shared" si="27"/>
        <v>0.128522026317229</v>
      </c>
      <c r="BJ161" s="37">
        <f t="shared" si="28"/>
        <v>-2.1477973682770699E-2</v>
      </c>
      <c r="BK161" s="54"/>
      <c r="BL161" s="7"/>
    </row>
    <row r="162" spans="1:65" s="18" customFormat="1" x14ac:dyDescent="0.3">
      <c r="A162" s="21">
        <v>158</v>
      </c>
      <c r="B162" s="4" t="s">
        <v>271</v>
      </c>
      <c r="C162" s="4" t="s">
        <v>23</v>
      </c>
      <c r="D162" s="4">
        <v>1.5</v>
      </c>
      <c r="E162" s="4">
        <v>12</v>
      </c>
      <c r="F162" s="4" t="s">
        <v>272</v>
      </c>
      <c r="G162" s="50" t="s">
        <v>273</v>
      </c>
      <c r="H162" s="4">
        <v>1513</v>
      </c>
      <c r="I162" s="51">
        <v>0.14499999999999999</v>
      </c>
      <c r="J162" s="52">
        <v>0.15</v>
      </c>
      <c r="K162" s="52">
        <v>0.9</v>
      </c>
      <c r="L162" s="51">
        <v>1.2999999999999999E-2</v>
      </c>
      <c r="M162" s="51">
        <v>5.0000000000000001E-3</v>
      </c>
      <c r="N162" s="51" t="s">
        <v>631</v>
      </c>
      <c r="O162" s="51">
        <v>0.01</v>
      </c>
      <c r="P162" s="51">
        <v>2.5000000000000001E-2</v>
      </c>
      <c r="Q162" s="51">
        <v>0.02</v>
      </c>
      <c r="R162" s="51" t="s">
        <v>631</v>
      </c>
      <c r="S162" s="32"/>
      <c r="T162" s="52"/>
      <c r="U162" s="52"/>
      <c r="V162" s="52"/>
      <c r="W162" s="52"/>
      <c r="X162" s="32" t="s">
        <v>631</v>
      </c>
      <c r="Y162" s="53" t="s">
        <v>631</v>
      </c>
      <c r="Z162" s="4">
        <v>45</v>
      </c>
      <c r="AA162" s="53"/>
      <c r="AB162" s="42">
        <f>IF(J162&lt;=0.04,0,IF((BA162-AL162*BF$4*炼钢参数表!$X$5/1000-AM162*BG$4*炼钢参数表!$X$5/1000)&lt;=0.03,0,IF((J162/100/0.1769/炼钢参数表!K162*1000)&gt;(K162-炼钢参数表!J162)/100/0.6566/炼钢参数表!L162*1000,IF(K162&lt;1.6,(K162-炼钢参数表!J162)/100/0.6566/炼钢参数表!L162*1000,(K162-0.08-炼钢参数表!J162)/100/0.6566/炼钢参数表!L162*1000),IF(K162&lt;1.6,J162/100/0.1769/炼钢参数表!K162*1000,(J162-0.08)/100/0.1769/炼钢参数表!K162*1000))))</f>
        <v>10.5992085924251</v>
      </c>
      <c r="AC162" s="8">
        <f>IF((BA162-AB162*$BB$4*0.9/1000-AL162*BF$4*炼钢参数表!$X$5/1000-AM162*BG$4*炼钢参数表!$X$5/1000)&lt;(K162-炼钢参数表!J162-AB162*0.6566*炼钢参数表!L162/10)*0.082,0,(K162-炼钢参数表!J162-AB162*0.6566*炼钢参数表!L162/10)/100/($AC$3/100)/炼钢参数表!L162*1000)</f>
        <v>1.44956563638645</v>
      </c>
      <c r="AD162" s="8">
        <f>IF((BA162-AB162*$BB$4*0.9/1000-AC162*$BC$4*0.9/1000-AL162*BF$4*炼钢参数表!$X$5/1000-AM162*BG$4*炼钢参数表!$X$5/1000)&lt;=(K162-炼钢参数表!J162-AB162*0.6566*炼钢参数表!L162/10-AC162*($AC$3/100)*炼钢参数表!L162/10)*0.02,0,((K162-炼钢参数表!J162-AB162*0.6566*炼钢参数表!L162/10-AC162*($AC$3/100)*炼钢参数表!L162/10)/100/($AD$3/100)/炼钢参数表!L162*1000))</f>
        <v>0</v>
      </c>
      <c r="AE162" s="8">
        <f>(K162-炼钢参数表!J162-AB162*0.6566*炼钢参数表!L162/10-AC162*($AC$3/100)*炼钢参数表!L162/10-AD162*($AD$3/100)*炼钢参数表!L162/10)/100/($AE$3/100)/炼钢参数表!L162*1000</f>
        <v>0</v>
      </c>
      <c r="AF162" s="8">
        <v>0</v>
      </c>
      <c r="AG162" s="8">
        <f>IF(J162&lt;=0.04,0,((J162-(AB162*0.1769*炼钢参数表!K162/1000*100))/100/炼钢参数表!K162/($AG$3/100)*1000))</f>
        <v>0</v>
      </c>
      <c r="AH162" s="8">
        <v>1.42</v>
      </c>
      <c r="AI162" s="8">
        <f>IF(N162="",0,IF(N162&lt;=0.002,0,((N162)/100)/($AI$3/100)/炼钢参数表!M162*1000))</f>
        <v>0</v>
      </c>
      <c r="AJ162" s="8">
        <f>IF(O162="",0,IF(O162&lt;=0.002,0,((O162)/100)/($AJ$3/100)/炼钢参数表!N162*1000))</f>
        <v>0.15688932399528099</v>
      </c>
      <c r="AK162" s="8">
        <f>IF(P162="",0,IF(P162&lt;=0.002,0,((P162+0.005)/100)/($AK$3/100)/炼钢参数表!O162*1000))</f>
        <v>0.59873069093521702</v>
      </c>
      <c r="AL162" s="8">
        <f>IF((BA162-J162*0.00003-K162*0.00024)&lt;=0.05,0,IF(T162="",0,IF(T162&lt;=0.03,0,IF(((BA162-J162*0.00003-K162*0.00024)-0.05)/0.18/100/($AL$3/100)/炼钢参数表!P162*1000&lt;=T162/100/($AL$3/100)/炼钢参数表!P162*1000,((BA162-J162*0.00003-K162*0.00024)-0.05)/0.18/100/($AL$3/100)/炼钢参数表!P162*1000,T162/100/($AL$3/100)/炼钢参数表!P162*1000))))</f>
        <v>0</v>
      </c>
      <c r="AM162" s="8">
        <f>IF(T162="",0,IF(T162&lt;=0.03,0,((T162-AL162*($AL$3/100)*炼钢参数表!P162/10)/100/($AM$3/100)/炼钢参数表!P162*1000)))</f>
        <v>0</v>
      </c>
      <c r="AN162" s="8">
        <f>IF(U162="",0,IF(U162&lt;=0.02,0,(U162/100)/($AN$3/100)/炼钢参数表!Q162*1000))</f>
        <v>0</v>
      </c>
      <c r="AO162" s="8">
        <f>IF(V162="",0,IF(V162&lt;=0.02,0,(V162/100)/($AO$3/100)/炼钢参数表!R162*1000))</f>
        <v>0</v>
      </c>
      <c r="AP162" s="8">
        <f>IF(W162="",0,IF(W162&lt;=0.02,0,(W162/100)/($AP$3/100)/炼钢参数表!S162*1000))</f>
        <v>0</v>
      </c>
      <c r="AQ162" s="8">
        <f>IF(X162="",0,IF(X162&lt;=0.0002,0,(X162/100)/($AQ$3/100)/炼钢参数表!T162*1000))</f>
        <v>0</v>
      </c>
      <c r="AR162" s="8">
        <f>IF(Y162="",0,IF(Y162&lt;=0.02,0,(Y162/100)/($AR$3/100)/炼钢参数表!U162*1000))</f>
        <v>0</v>
      </c>
      <c r="AS162" s="8">
        <f>IF(L162&lt;=0.04,0,((L162-0.04)/100)/($AS$3/100)/炼钢参数表!V162*1000)</f>
        <v>0</v>
      </c>
      <c r="AT162" s="8">
        <f>IF(M162&lt;=0.03,0,((M162-0.03)/100)/($AT$3/100)/炼钢参数表!W162*1000)</f>
        <v>0</v>
      </c>
      <c r="AU162" s="6"/>
      <c r="AV162" s="8">
        <f t="shared" si="23"/>
        <v>14.224394243741999</v>
      </c>
      <c r="AW162" s="8" cm="1">
        <f t="array" ref="AW162">SUMPRODUCT($AB$4:$AU$4,AB162:AU162)/1000</f>
        <v>146.18081060962399</v>
      </c>
      <c r="AY162" s="2" t="str">
        <f t="shared" si="24"/>
        <v>S355J2-1</v>
      </c>
      <c r="AZ162" s="37">
        <f>VLOOKUP(AY162,炼钢参数表!$F$5:$J$1027,4,0)</f>
        <v>6.6714285714285698E-2</v>
      </c>
      <c r="BA162" s="37">
        <f t="shared" si="25"/>
        <v>7.8285714285714306E-2</v>
      </c>
      <c r="BB162" s="37">
        <f>AB162*$BB$4*炼钢参数表!$X$5/1000</f>
        <v>1.6407574901074098E-2</v>
      </c>
      <c r="BC162" s="37">
        <f>AC162*$BC$4*炼钢参数表!$X$5/1000</f>
        <v>8.7278346966828298E-3</v>
      </c>
      <c r="BD162" s="37">
        <f>AD162*$BD$4*炼钢参数表!$X$5/1000</f>
        <v>0</v>
      </c>
      <c r="BE162" s="37">
        <f>AE162*$BE$4*炼钢参数表!$X$5/1000</f>
        <v>0</v>
      </c>
      <c r="BF162" s="37">
        <f>AL162*$BF$4*炼钢参数表!$X$5/1000</f>
        <v>0</v>
      </c>
      <c r="BG162" s="37">
        <f>AM162*$BG$4*炼钢参数表!$X$5/1000</f>
        <v>0</v>
      </c>
      <c r="BH162" s="37">
        <f t="shared" si="26"/>
        <v>2.51354095977569E-2</v>
      </c>
      <c r="BI162" s="37">
        <f t="shared" si="27"/>
        <v>9.1849695312042595E-2</v>
      </c>
      <c r="BJ162" s="37">
        <f t="shared" si="28"/>
        <v>-5.3150304687957402E-2</v>
      </c>
      <c r="BK162" s="54"/>
      <c r="BL162" s="7"/>
    </row>
    <row r="163" spans="1:65" s="18" customFormat="1" x14ac:dyDescent="0.3">
      <c r="A163" s="21">
        <v>159</v>
      </c>
      <c r="B163" s="4" t="s">
        <v>271</v>
      </c>
      <c r="C163" s="4" t="s">
        <v>26</v>
      </c>
      <c r="D163" s="4">
        <v>12.01</v>
      </c>
      <c r="E163" s="4">
        <v>19</v>
      </c>
      <c r="F163" s="4" t="s">
        <v>274</v>
      </c>
      <c r="G163" s="50" t="s">
        <v>273</v>
      </c>
      <c r="H163" s="4">
        <v>1518</v>
      </c>
      <c r="I163" s="51">
        <v>0.14499999999999999</v>
      </c>
      <c r="J163" s="52">
        <v>0.15</v>
      </c>
      <c r="K163" s="52">
        <v>1</v>
      </c>
      <c r="L163" s="51">
        <v>1.2999999999999999E-2</v>
      </c>
      <c r="M163" s="51">
        <v>5.0000000000000001E-3</v>
      </c>
      <c r="N163" s="51" t="s">
        <v>631</v>
      </c>
      <c r="O163" s="51">
        <v>1.4999999999999999E-2</v>
      </c>
      <c r="P163" s="51">
        <v>2.5000000000000001E-2</v>
      </c>
      <c r="Q163" s="51">
        <v>0.02</v>
      </c>
      <c r="R163" s="51" t="s">
        <v>631</v>
      </c>
      <c r="S163" s="32"/>
      <c r="T163" s="52"/>
      <c r="U163" s="52"/>
      <c r="V163" s="52"/>
      <c r="W163" s="52"/>
      <c r="X163" s="32" t="s">
        <v>631</v>
      </c>
      <c r="Y163" s="53" t="s">
        <v>631</v>
      </c>
      <c r="Z163" s="4">
        <v>45</v>
      </c>
      <c r="AA163" s="53"/>
      <c r="AB163" s="42">
        <f>IF(J163&lt;=0.04,0,IF((BA163-AL163*BF$4*炼钢参数表!$X$5/1000-AM163*BG$4*炼钢参数表!$X$5/1000)&lt;=0.03,0,IF((J163/100/0.1769/炼钢参数表!K163*1000)&gt;(K163-炼钢参数表!J163)/100/0.6566/炼钢参数表!L163*1000,IF(K163&lt;1.6,(K163-炼钢参数表!J163)/100/0.6566/炼钢参数表!L163*1000,(K163-0.08-炼钢参数表!J163)/100/0.6566/炼钢参数表!L163*1000),IF(K163&lt;1.6,J163/100/0.1769/炼钢参数表!K163*1000,(J163-0.08)/100/0.1769/炼钢参数表!K163*1000))))</f>
        <v>10.5992085924251</v>
      </c>
      <c r="AC163" s="8">
        <f>IF((BA163-AB163*$BB$4*0.9/1000-AL163*BF$4*炼钢参数表!$X$5/1000-AM163*BG$4*炼钢参数表!$X$5/1000)&lt;(K163-炼钢参数表!J163-AB163*0.6566*炼钢参数表!L163/10)*0.082,0,(K163-炼钢参数表!J163-AB163*0.6566*炼钢参数表!L163/10)/100/($AC$3/100)/炼钢参数表!L163*1000)</f>
        <v>3.0909728695209902</v>
      </c>
      <c r="AD163" s="8">
        <f>IF((BA163-AB163*$BB$4*0.9/1000-AC163*$BC$4*0.9/1000-AL163*BF$4*炼钢参数表!$X$5/1000-AM163*BG$4*炼钢参数表!$X$5/1000)&lt;=(K163-炼钢参数表!J163-AB163*0.6566*炼钢参数表!L163/10-AC163*($AC$3/100)*炼钢参数表!L163/10)*0.02,0,((K163-炼钢参数表!J163-AB163*0.6566*炼钢参数表!L163/10-AC163*($AC$3/100)*炼钢参数表!L163/10)/100/($AD$3/100)/炼钢参数表!L163*1000))</f>
        <v>0</v>
      </c>
      <c r="AE163" s="8">
        <f>(K163-炼钢参数表!J163-AB163*0.6566*炼钢参数表!L163/10-AC163*($AC$3/100)*炼钢参数表!L163/10-AD163*($AD$3/100)*炼钢参数表!L163/10)/100/($AE$3/100)/炼钢参数表!L163*1000</f>
        <v>0</v>
      </c>
      <c r="AF163" s="8">
        <v>0</v>
      </c>
      <c r="AG163" s="8">
        <f>IF(J163&lt;=0.04,0,((J163-(AB163*0.1769*炼钢参数表!K163/1000*100))/100/炼钢参数表!K163/($AG$3/100)*1000))</f>
        <v>0</v>
      </c>
      <c r="AH163" s="8">
        <v>1.42</v>
      </c>
      <c r="AI163" s="8">
        <f>IF(N163="",0,IF(N163&lt;=0.002,0,((N163)/100)/($AI$3/100)/炼钢参数表!M163*1000))</f>
        <v>0</v>
      </c>
      <c r="AJ163" s="8">
        <f>IF(O163="",0,IF(O163&lt;=0.002,0,((O163)/100)/($AJ$3/100)/炼钢参数表!N163*1000))</f>
        <v>0.23533398599292099</v>
      </c>
      <c r="AK163" s="8">
        <f>IF(P163="",0,IF(P163&lt;=0.002,0,((P163+0.005)/100)/($AK$3/100)/炼钢参数表!O163*1000))</f>
        <v>0.59873069093521702</v>
      </c>
      <c r="AL163" s="8">
        <f>IF((BA163-J163*0.00003-K163*0.00024)&lt;=0.05,0,IF(T163="",0,IF(T163&lt;=0.03,0,IF(((BA163-J163*0.00003-K163*0.00024)-0.05)/0.18/100/($AL$3/100)/炼钢参数表!P163*1000&lt;=T163/100/($AL$3/100)/炼钢参数表!P163*1000,((BA163-J163*0.00003-K163*0.00024)-0.05)/0.18/100/($AL$3/100)/炼钢参数表!P163*1000,T163/100/($AL$3/100)/炼钢参数表!P163*1000))))</f>
        <v>0</v>
      </c>
      <c r="AM163" s="8">
        <f>IF(T163="",0,IF(T163&lt;=0.03,0,((T163-AL163*($AL$3/100)*炼钢参数表!P163/10)/100/($AM$3/100)/炼钢参数表!P163*1000)))</f>
        <v>0</v>
      </c>
      <c r="AN163" s="8">
        <f>IF(U163="",0,IF(U163&lt;=0.02,0,(U163/100)/($AN$3/100)/炼钢参数表!Q163*1000))</f>
        <v>0</v>
      </c>
      <c r="AO163" s="8">
        <f>IF(V163="",0,IF(V163&lt;=0.02,0,(V163/100)/($AO$3/100)/炼钢参数表!R163*1000))</f>
        <v>0</v>
      </c>
      <c r="AP163" s="8">
        <f>IF(W163="",0,IF(W163&lt;=0.02,0,(W163/100)/($AP$3/100)/炼钢参数表!S163*1000))</f>
        <v>0</v>
      </c>
      <c r="AQ163" s="8">
        <f>IF(X163="",0,IF(X163&lt;=0.0002,0,(X163/100)/($AQ$3/100)/炼钢参数表!T163*1000))</f>
        <v>0</v>
      </c>
      <c r="AR163" s="8">
        <f>IF(Y163="",0,IF(Y163&lt;=0.02,0,(Y163/100)/($AR$3/100)/炼钢参数表!U163*1000))</f>
        <v>0</v>
      </c>
      <c r="AS163" s="8">
        <f>IF(L163&lt;=0.04,0,((L163-0.04)/100)/($AS$3/100)/炼钢参数表!V163*1000)</f>
        <v>0</v>
      </c>
      <c r="AT163" s="8">
        <f>IF(M163&lt;=0.03,0,((M163-0.03)/100)/($AT$3/100)/炼钢参数表!W163*1000)</f>
        <v>0</v>
      </c>
      <c r="AU163" s="6"/>
      <c r="AV163" s="8">
        <f t="shared" si="23"/>
        <v>15.944246138874201</v>
      </c>
      <c r="AW163" s="8" cm="1">
        <f t="array" ref="AW163">SUMPRODUCT($AB$4:$AU$4,AB163:AU163)/1000</f>
        <v>172.99698849987499</v>
      </c>
      <c r="AY163" s="2" t="str">
        <f t="shared" si="24"/>
        <v>S355J2-2</v>
      </c>
      <c r="AZ163" s="37">
        <f>VLOOKUP(AY163,炼钢参数表!$F$5:$J$1027,4,0)</f>
        <v>6.5000000000000002E-2</v>
      </c>
      <c r="BA163" s="37">
        <f t="shared" si="25"/>
        <v>0.08</v>
      </c>
      <c r="BB163" s="37">
        <f>AB163*$BB$4*炼钢参数表!$X$5/1000</f>
        <v>1.6407574901074098E-2</v>
      </c>
      <c r="BC163" s="37">
        <f>AC163*$BC$4*炼钢参数表!$X$5/1000</f>
        <v>1.8610747647385899E-2</v>
      </c>
      <c r="BD163" s="37">
        <f>AD163*$BD$4*炼钢参数表!$X$5/1000</f>
        <v>0</v>
      </c>
      <c r="BE163" s="37">
        <f>AE163*$BE$4*炼钢参数表!$X$5/1000</f>
        <v>0</v>
      </c>
      <c r="BF163" s="37">
        <f>AL163*$BF$4*炼钢参数表!$X$5/1000</f>
        <v>0</v>
      </c>
      <c r="BG163" s="37">
        <f>AM163*$BG$4*炼钢参数表!$X$5/1000</f>
        <v>0</v>
      </c>
      <c r="BH163" s="37">
        <f t="shared" si="26"/>
        <v>3.5018322548459997E-2</v>
      </c>
      <c r="BI163" s="37">
        <f t="shared" si="27"/>
        <v>0.10001832254846001</v>
      </c>
      <c r="BJ163" s="37">
        <f t="shared" si="28"/>
        <v>-4.4981677451539998E-2</v>
      </c>
      <c r="BK163" s="54"/>
      <c r="BL163" s="7"/>
    </row>
    <row r="164" spans="1:65" s="18" customFormat="1" x14ac:dyDescent="0.3">
      <c r="A164" s="21">
        <v>160</v>
      </c>
      <c r="B164" s="4" t="s">
        <v>271</v>
      </c>
      <c r="C164" s="4" t="s">
        <v>90</v>
      </c>
      <c r="D164" s="4">
        <v>19.010000000000002</v>
      </c>
      <c r="E164" s="4">
        <v>25.4</v>
      </c>
      <c r="F164" s="4" t="s">
        <v>275</v>
      </c>
      <c r="G164" s="50" t="s">
        <v>273</v>
      </c>
      <c r="H164" s="4">
        <v>1518</v>
      </c>
      <c r="I164" s="51">
        <v>0.14499999999999999</v>
      </c>
      <c r="J164" s="52">
        <v>0.15</v>
      </c>
      <c r="K164" s="52">
        <v>1.2</v>
      </c>
      <c r="L164" s="51">
        <v>1.4999999999999999E-2</v>
      </c>
      <c r="M164" s="51">
        <v>8.0000000000000002E-3</v>
      </c>
      <c r="N164" s="51" t="s">
        <v>631</v>
      </c>
      <c r="O164" s="51">
        <v>0.02</v>
      </c>
      <c r="P164" s="51">
        <v>0.02</v>
      </c>
      <c r="Q164" s="51">
        <v>0.02</v>
      </c>
      <c r="R164" s="51" t="s">
        <v>631</v>
      </c>
      <c r="S164" s="32"/>
      <c r="T164" s="52"/>
      <c r="U164" s="52"/>
      <c r="V164" s="52"/>
      <c r="W164" s="52"/>
      <c r="X164" s="32" t="s">
        <v>631</v>
      </c>
      <c r="Y164" s="53" t="s">
        <v>631</v>
      </c>
      <c r="Z164" s="4">
        <v>45</v>
      </c>
      <c r="AA164" s="53"/>
      <c r="AB164" s="42">
        <f>IF(J164&lt;=0.04,0,IF((BA164-AL164*BF$4*炼钢参数表!$X$5/1000-AM164*BG$4*炼钢参数表!$X$5/1000)&lt;=0.03,0,IF((J164/100/0.1769/炼钢参数表!K164*1000)&gt;(K164-炼钢参数表!J164)/100/0.6566/炼钢参数表!L164*1000,IF(K164&lt;1.6,(K164-炼钢参数表!J164)/100/0.6566/炼钢参数表!L164*1000,(K164-0.08-炼钢参数表!J164)/100/0.6566/炼钢参数表!L164*1000),IF(K164&lt;1.6,J164/100/0.1769/炼钢参数表!K164*1000,(J164-0.08)/100/0.1769/炼钢参数表!K164*1000))))</f>
        <v>10.5992085924251</v>
      </c>
      <c r="AC164" s="8">
        <f>IF((BA164-AB164*$BB$4*0.9/1000-AL164*BF$4*炼钢参数表!$X$5/1000-AM164*BG$4*炼钢参数表!$X$5/1000)&lt;(K164-炼钢参数表!J164-AB164*0.6566*炼钢参数表!L164/10)*0.082,0,(K164-炼钢参数表!J164-AB164*0.6566*炼钢参数表!L164/10)/100/($AC$3/100)/炼钢参数表!L164*1000)</f>
        <v>5.5120485383944402</v>
      </c>
      <c r="AD164" s="8">
        <f>IF((BA164-AB164*$BB$4*0.9/1000-AC164*$BC$4*0.9/1000-AL164*BF$4*炼钢参数表!$X$5/1000-AM164*BG$4*炼钢参数表!$X$5/1000)&lt;=(K164-炼钢参数表!J164-AB164*0.6566*炼钢参数表!L164/10-AC164*($AC$3/100)*炼钢参数表!L164/10)*0.02,0,((K164-炼钢参数表!J164-AB164*0.6566*炼钢参数表!L164/10-AC164*($AC$3/100)*炼钢参数表!L164/10)/100/($AD$3/100)/炼钢参数表!L164*1000))</f>
        <v>0</v>
      </c>
      <c r="AE164" s="8">
        <f>(K164-炼钢参数表!J164-AB164*0.6566*炼钢参数表!L164/10-AC164*($AC$3/100)*炼钢参数表!L164/10-AD164*($AD$3/100)*炼钢参数表!L164/10)/100/($AE$3/100)/炼钢参数表!L164*1000</f>
        <v>0</v>
      </c>
      <c r="AF164" s="8">
        <v>0</v>
      </c>
      <c r="AG164" s="8">
        <f>IF(J164&lt;=0.04,0,((J164-(AB164*0.1769*炼钢参数表!K164/1000*100))/100/炼钢参数表!K164/($AG$3/100)*1000))</f>
        <v>0</v>
      </c>
      <c r="AH164" s="8">
        <v>1.42</v>
      </c>
      <c r="AI164" s="8">
        <f>IF(N164="",0,IF(N164&lt;=0.002,0,((N164)/100)/($AI$3/100)/炼钢参数表!M164*1000))</f>
        <v>0</v>
      </c>
      <c r="AJ164" s="8">
        <f>IF(O164="",0,IF(O164&lt;=0.002,0,((O164)/100)/($AJ$3/100)/炼钢参数表!N164*1000))</f>
        <v>0.31377864799056099</v>
      </c>
      <c r="AK164" s="8">
        <f>IF(P164="",0,IF(P164&lt;=0.002,0,((P164+0.005)/100)/($AK$3/100)/炼钢参数表!O164*1000))</f>
        <v>0.49894224244601398</v>
      </c>
      <c r="AL164" s="8">
        <f>IF((BA164-J164*0.00003-K164*0.00024)&lt;=0.05,0,IF(T164="",0,IF(T164&lt;=0.03,0,IF(((BA164-J164*0.00003-K164*0.00024)-0.05)/0.18/100/($AL$3/100)/炼钢参数表!P164*1000&lt;=T164/100/($AL$3/100)/炼钢参数表!P164*1000,((BA164-J164*0.00003-K164*0.00024)-0.05)/0.18/100/($AL$3/100)/炼钢参数表!P164*1000,T164/100/($AL$3/100)/炼钢参数表!P164*1000))))</f>
        <v>0</v>
      </c>
      <c r="AM164" s="8">
        <f>IF(T164="",0,IF(T164&lt;=0.03,0,((T164-AL164*($AL$3/100)*炼钢参数表!P164/10)/100/($AM$3/100)/炼钢参数表!P164*1000)))</f>
        <v>0</v>
      </c>
      <c r="AN164" s="8">
        <f>IF(U164="",0,IF(U164&lt;=0.02,0,(U164/100)/($AN$3/100)/炼钢参数表!Q164*1000))</f>
        <v>0</v>
      </c>
      <c r="AO164" s="8">
        <f>IF(V164="",0,IF(V164&lt;=0.02,0,(V164/100)/($AO$3/100)/炼钢参数表!R164*1000))</f>
        <v>0</v>
      </c>
      <c r="AP164" s="8">
        <f>IF(W164="",0,IF(W164&lt;=0.02,0,(W164/100)/($AP$3/100)/炼钢参数表!S164*1000))</f>
        <v>0</v>
      </c>
      <c r="AQ164" s="8">
        <f>IF(X164="",0,IF(X164&lt;=0.0002,0,(X164/100)/($AQ$3/100)/炼钢参数表!T164*1000))</f>
        <v>0</v>
      </c>
      <c r="AR164" s="8">
        <f>IF(Y164="",0,IF(Y164&lt;=0.02,0,(Y164/100)/($AR$3/100)/炼钢参数表!U164*1000))</f>
        <v>0</v>
      </c>
      <c r="AS164" s="8">
        <f>IF(L164&lt;=0.04,0,((L164-0.04)/100)/($AS$3/100)/炼钢参数表!V164*1000)</f>
        <v>0</v>
      </c>
      <c r="AT164" s="8">
        <f>IF(M164&lt;=0.03,0,((M164-0.03)/100)/($AT$3/100)/炼钢参数表!W164*1000)</f>
        <v>0</v>
      </c>
      <c r="AU164" s="6"/>
      <c r="AV164" s="8">
        <f t="shared" si="23"/>
        <v>18.343978021256099</v>
      </c>
      <c r="AW164" s="8" cm="1">
        <f t="array" ref="AW164">SUMPRODUCT($AB$4:$AU$4,AB164:AU164)/1000</f>
        <v>202.123688175252</v>
      </c>
      <c r="AY164" s="2" t="str">
        <f t="shared" si="24"/>
        <v>S355J2-3</v>
      </c>
      <c r="AZ164" s="37">
        <f>VLOOKUP(AY164,炼钢参数表!$F$5:$J$1027,4,0)</f>
        <v>7.2999999999999995E-2</v>
      </c>
      <c r="BA164" s="37">
        <f t="shared" si="25"/>
        <v>7.1999999999999995E-2</v>
      </c>
      <c r="BB164" s="37">
        <f>AB164*$BB$4*炼钢参数表!$X$5/1000</f>
        <v>1.6407574901074098E-2</v>
      </c>
      <c r="BC164" s="37">
        <f>AC164*$BC$4*炼钢参数表!$X$5/1000</f>
        <v>3.31880442496729E-2</v>
      </c>
      <c r="BD164" s="37">
        <f>AD164*$BD$4*炼钢参数表!$X$5/1000</f>
        <v>0</v>
      </c>
      <c r="BE164" s="37">
        <f>AE164*$BE$4*炼钢参数表!$X$5/1000</f>
        <v>0</v>
      </c>
      <c r="BF164" s="37">
        <f>AL164*$BF$4*炼钢参数表!$X$5/1000</f>
        <v>0</v>
      </c>
      <c r="BG164" s="37">
        <f>AM164*$BG$4*炼钢参数表!$X$5/1000</f>
        <v>0</v>
      </c>
      <c r="BH164" s="37">
        <f t="shared" si="26"/>
        <v>4.9595619150746999E-2</v>
      </c>
      <c r="BI164" s="37">
        <f t="shared" si="27"/>
        <v>0.122595619150747</v>
      </c>
      <c r="BJ164" s="37">
        <f t="shared" si="28"/>
        <v>-2.2404380849252999E-2</v>
      </c>
      <c r="BK164" s="54"/>
      <c r="BL164" s="7"/>
    </row>
    <row r="165" spans="1:65" s="18" customFormat="1" x14ac:dyDescent="0.3">
      <c r="A165" s="21">
        <v>161</v>
      </c>
      <c r="B165" s="4" t="s">
        <v>276</v>
      </c>
      <c r="C165" s="4" t="s">
        <v>26</v>
      </c>
      <c r="D165" s="4">
        <v>4</v>
      </c>
      <c r="E165" s="4">
        <v>12</v>
      </c>
      <c r="F165" s="4" t="s">
        <v>277</v>
      </c>
      <c r="G165" s="50" t="s">
        <v>278</v>
      </c>
      <c r="H165" s="4">
        <v>1524</v>
      </c>
      <c r="I165" s="51">
        <v>7.0000000000000007E-2</v>
      </c>
      <c r="J165" s="52">
        <v>0.15</v>
      </c>
      <c r="K165" s="52">
        <v>0.8</v>
      </c>
      <c r="L165" s="51">
        <v>1.4999999999999999E-2</v>
      </c>
      <c r="M165" s="51">
        <v>8.0000000000000002E-3</v>
      </c>
      <c r="N165" s="51"/>
      <c r="O165" s="51">
        <v>8.0000000000000002E-3</v>
      </c>
      <c r="P165" s="51">
        <v>3.5000000000000003E-2</v>
      </c>
      <c r="Q165" s="51" t="s">
        <v>631</v>
      </c>
      <c r="R165" s="51">
        <v>0.03</v>
      </c>
      <c r="S165" s="32"/>
      <c r="T165" s="52"/>
      <c r="U165" s="52"/>
      <c r="V165" s="52"/>
      <c r="W165" s="52"/>
      <c r="X165" s="32" t="s">
        <v>631</v>
      </c>
      <c r="Y165" s="53" t="s">
        <v>631</v>
      </c>
      <c r="Z165" s="4">
        <v>45</v>
      </c>
      <c r="AA165" s="53"/>
      <c r="AB165" s="42">
        <f>IF(J165&lt;=0.04,0,IF((BA165-AL165*BF$4*炼钢参数表!$X$5/1000-AM165*BG$4*炼钢参数表!$X$5/1000)&lt;=0.03,0,IF((J165/100/0.1769/炼钢参数表!K165*1000)&gt;(K165-炼钢参数表!J165)/100/0.6566/炼钢参数表!L165*1000,IF(K165&lt;1.6,(K165-炼钢参数表!J165)/100/0.6566/炼钢参数表!L165*1000,(K165-0.08-炼钢参数表!J165)/100/0.6566/炼钢参数表!L165*1000),IF(K165&lt;1.6,J165/100/0.1769/炼钢参数表!K165*1000,(J165-0.08)/100/0.1769/炼钢参数表!K165*1000))))</f>
        <v>0</v>
      </c>
      <c r="AC165" s="8">
        <f>IF((BA165-AB165*$BB$4*0.9/1000-AL165*BF$4*炼钢参数表!$X$5/1000-AM165*BG$4*炼钢参数表!$X$5/1000)&lt;(K165-炼钢参数表!J165-AB165*0.6566*炼钢参数表!L165/10)*0.082,0,(K165-炼钢参数表!J165-AB165*0.6566*炼钢参数表!L165/10)/100/($AC$3/100)/炼钢参数表!L165*1000)</f>
        <v>0</v>
      </c>
      <c r="AD165" s="8">
        <f>IF((BA165-AB165*$BB$4*0.9/1000-AC165*$BC$4*0.9/1000-AL165*BF$4*炼钢参数表!$X$5/1000-AM165*BG$4*炼钢参数表!$X$5/1000)&lt;=(K165-炼钢参数表!J165-AB165*0.6566*炼钢参数表!L165/10-AC165*($AC$3/100)*炼钢参数表!L165/10)*0.02,0,((K165-炼钢参数表!J165-AB165*0.6566*炼钢参数表!L165/10-AC165*($AC$3/100)*炼钢参数表!L165/10)/100/($AD$3/100)/炼钢参数表!L165*1000))</f>
        <v>9.3543911070921908</v>
      </c>
      <c r="AE165" s="8">
        <f>(K165-炼钢参数表!J165-AB165*0.6566*炼钢参数表!L165/10-AC165*($AC$3/100)*炼钢参数表!L165/10-AD165*($AD$3/100)*炼钢参数表!L165/10)/100/($AE$3/100)/炼钢参数表!L165*1000</f>
        <v>0</v>
      </c>
      <c r="AF165" s="8">
        <v>0</v>
      </c>
      <c r="AG165" s="8">
        <f>IF(J165&lt;=0.04,0,((J165-(AB165*0.1769*炼钢参数表!K165/1000*100))/100/炼钢参数表!K165/($AG$3/100)*1000))</f>
        <v>2.5958742904610301</v>
      </c>
      <c r="AH165" s="8">
        <v>2.2999999999999998</v>
      </c>
      <c r="AI165" s="8">
        <f>IF(N165="",0,IF(N165&lt;=0.002,0,((N165)/100)/($AI$3/100)/炼钢参数表!M165*1000))</f>
        <v>0</v>
      </c>
      <c r="AJ165" s="8">
        <f>IF(O165="",0,IF(O165&lt;=0.002,0,((O165)/100)/($AJ$3/100)/炼钢参数表!N165*1000))</f>
        <v>0.125511459196225</v>
      </c>
      <c r="AK165" s="8">
        <f>IF(P165="",0,IF(P165&lt;=0.002,0,((P165+0.005)/100)/($AK$3/100)/炼钢参数表!O165*1000))</f>
        <v>0.798307587913623</v>
      </c>
      <c r="AL165" s="8">
        <f>IF((BA165-J165*0.00003-K165*0.00024)&lt;=0.05,0,IF(T165="",0,IF(T165&lt;=0.03,0,IF(((BA165-J165*0.00003-K165*0.00024)-0.05)/0.18/100/($AL$3/100)/炼钢参数表!P165*1000&lt;=T165/100/($AL$3/100)/炼钢参数表!P165*1000,((BA165-J165*0.00003-K165*0.00024)-0.05)/0.18/100/($AL$3/100)/炼钢参数表!P165*1000,T165/100/($AL$3/100)/炼钢参数表!P165*1000))))</f>
        <v>0</v>
      </c>
      <c r="AM165" s="8">
        <f>IF(T165="",0,IF(T165&lt;=0.03,0,((T165-AL165*($AL$3/100)*炼钢参数表!P165/10)/100/($AM$3/100)/炼钢参数表!P165*1000)))</f>
        <v>0</v>
      </c>
      <c r="AN165" s="8">
        <f>IF(U165="",0,IF(U165&lt;=0.02,0,(U165/100)/($AN$3/100)/炼钢参数表!Q165*1000))</f>
        <v>0</v>
      </c>
      <c r="AO165" s="8">
        <f>IF(V165="",0,IF(V165&lt;=0.02,0,(V165/100)/($AO$3/100)/炼钢参数表!R165*1000))</f>
        <v>0</v>
      </c>
      <c r="AP165" s="8">
        <f>IF(W165="",0,IF(W165&lt;=0.02,0,(W165/100)/($AP$3/100)/炼钢参数表!S165*1000))</f>
        <v>0</v>
      </c>
      <c r="AQ165" s="8">
        <f>IF(X165="",0,IF(X165&lt;=0.0002,0,(X165/100)/($AQ$3/100)/炼钢参数表!T165*1000))</f>
        <v>0</v>
      </c>
      <c r="AR165" s="8">
        <f>IF(Y165="",0,IF(Y165&lt;=0.02,0,(Y165/100)/($AR$3/100)/炼钢参数表!U165*1000))</f>
        <v>0</v>
      </c>
      <c r="AS165" s="8">
        <f>IF(L165&lt;=0.04,0,((L165-0.04)/100)/($AS$3/100)/炼钢参数表!V165*1000)</f>
        <v>0</v>
      </c>
      <c r="AT165" s="8">
        <f>IF(M165&lt;=0.03,0,((M165-0.03)/100)/($AT$3/100)/炼钢参数表!W165*1000)</f>
        <v>0</v>
      </c>
      <c r="AU165" s="6"/>
      <c r="AV165" s="8">
        <f t="shared" si="23"/>
        <v>15.1740844446631</v>
      </c>
      <c r="AW165" s="8" cm="1">
        <f t="array" ref="AW165">SUMPRODUCT($AB$4:$AU$4,AB165:AU165)/1000</f>
        <v>183.39561719971999</v>
      </c>
      <c r="AY165" s="2" t="str">
        <f t="shared" si="24"/>
        <v>S355M-1</v>
      </c>
      <c r="AZ165" s="37">
        <f>VLOOKUP(AY165,炼钢参数表!$F$5:$J$1027,4,0)</f>
        <v>0.05</v>
      </c>
      <c r="BA165" s="37">
        <f t="shared" si="25"/>
        <v>0.02</v>
      </c>
      <c r="BB165" s="37">
        <f>AB165*$BB$4*炼钢参数表!$X$5/1000</f>
        <v>0</v>
      </c>
      <c r="BC165" s="37">
        <f>AC165*$BC$4*炼钢参数表!$X$5/1000</f>
        <v>0</v>
      </c>
      <c r="BD165" s="37">
        <f>AD165*$BD$4*炼钢参数表!$X$5/1000</f>
        <v>1.26284279945745E-2</v>
      </c>
      <c r="BE165" s="37">
        <f>AE165*$BE$4*炼钢参数表!$X$5/1000</f>
        <v>0</v>
      </c>
      <c r="BF165" s="37">
        <f>AL165*$BF$4*炼钢参数表!$X$5/1000</f>
        <v>0</v>
      </c>
      <c r="BG165" s="37">
        <f>AM165*$BG$4*炼钢参数表!$X$5/1000</f>
        <v>0</v>
      </c>
      <c r="BH165" s="37">
        <f t="shared" si="26"/>
        <v>1.26284279945745E-2</v>
      </c>
      <c r="BI165" s="37">
        <f t="shared" si="27"/>
        <v>6.2628427994574506E-2</v>
      </c>
      <c r="BJ165" s="37">
        <f t="shared" si="28"/>
        <v>-7.37157200542556E-3</v>
      </c>
      <c r="BK165" s="54"/>
      <c r="BL165" s="7"/>
      <c r="BM165" s="18" t="s">
        <v>633</v>
      </c>
    </row>
    <row r="166" spans="1:65" s="18" customFormat="1" x14ac:dyDescent="0.3">
      <c r="A166" s="21">
        <v>162</v>
      </c>
      <c r="B166" s="4" t="s">
        <v>276</v>
      </c>
      <c r="C166" s="4" t="s">
        <v>23</v>
      </c>
      <c r="D166" s="4">
        <v>12.01</v>
      </c>
      <c r="E166" s="4">
        <v>19</v>
      </c>
      <c r="F166" s="4" t="s">
        <v>279</v>
      </c>
      <c r="G166" s="50" t="s">
        <v>278</v>
      </c>
      <c r="H166" s="4">
        <v>1524</v>
      </c>
      <c r="I166" s="51">
        <v>7.0000000000000007E-2</v>
      </c>
      <c r="J166" s="52">
        <v>0.15</v>
      </c>
      <c r="K166" s="52">
        <v>1</v>
      </c>
      <c r="L166" s="51">
        <v>1.4999999999999999E-2</v>
      </c>
      <c r="M166" s="51">
        <v>8.0000000000000002E-3</v>
      </c>
      <c r="N166" s="51"/>
      <c r="O166" s="51">
        <v>8.0000000000000002E-3</v>
      </c>
      <c r="P166" s="51">
        <v>3.5000000000000003E-2</v>
      </c>
      <c r="Q166" s="51" t="s">
        <v>631</v>
      </c>
      <c r="R166" s="51">
        <v>0.03</v>
      </c>
      <c r="S166" s="32"/>
      <c r="T166" s="52"/>
      <c r="U166" s="52"/>
      <c r="V166" s="52"/>
      <c r="W166" s="52"/>
      <c r="X166" s="32" t="s">
        <v>631</v>
      </c>
      <c r="Y166" s="53" t="s">
        <v>631</v>
      </c>
      <c r="Z166" s="4">
        <v>45</v>
      </c>
      <c r="AA166" s="53"/>
      <c r="AB166" s="42">
        <f>IF(J166&lt;=0.04,0,IF((BA166-AL166*BF$4*炼钢参数表!$X$5/1000-AM166*BG$4*炼钢参数表!$X$5/1000)&lt;=0.03,0,IF((J166/100/0.1769/炼钢参数表!K166*1000)&gt;(K166-炼钢参数表!J166)/100/0.6566/炼钢参数表!L166*1000,IF(K166&lt;1.6,(K166-炼钢参数表!J166)/100/0.6566/炼钢参数表!L166*1000,(K166-0.08-炼钢参数表!J166)/100/0.6566/炼钢参数表!L166*1000),IF(K166&lt;1.6,J166/100/0.1769/炼钢参数表!K166*1000,(J166-0.08)/100/0.1769/炼钢参数表!K166*1000))))</f>
        <v>0</v>
      </c>
      <c r="AC166" s="8">
        <f>IF((BA166-AB166*$BB$4*0.9/1000-AL166*BF$4*炼钢参数表!$X$5/1000-AM166*BG$4*炼钢参数表!$X$5/1000)&lt;(K166-炼钢参数表!J166-AB166*0.6566*炼钢参数表!L166/10)*0.082,0,(K166-炼钢参数表!J166-AB166*0.6566*炼钢参数表!L166/10)/100/($AC$3/100)/炼钢参数表!L166*1000)</f>
        <v>0</v>
      </c>
      <c r="AD166" s="8">
        <f>IF((BA166-AB166*$BB$4*0.9/1000-AC166*$BC$4*0.9/1000-AL166*BF$4*炼钢参数表!$X$5/1000-AM166*BG$4*炼钢参数表!$X$5/1000)&lt;=(K166-炼钢参数表!J166-AB166*0.6566*炼钢参数表!L166/10-AC166*($AC$3/100)*炼钢参数表!L166/10)*0.02,0,((K166-炼钢参数表!J166-AB166*0.6566*炼钢参数表!L166/10-AC166*($AC$3/100)*炼钢参数表!L166/10)/100/($AD$3/100)/炼钢参数表!L166*1000))</f>
        <v>11.952833081284499</v>
      </c>
      <c r="AE166" s="8">
        <f>(K166-炼钢参数表!J166-AB166*0.6566*炼钢参数表!L166/10-AC166*($AC$3/100)*炼钢参数表!L166/10-AD166*($AD$3/100)*炼钢参数表!L166/10)/100/($AE$3/100)/炼钢参数表!L166*1000</f>
        <v>0</v>
      </c>
      <c r="AF166" s="8">
        <v>0</v>
      </c>
      <c r="AG166" s="8">
        <f>IF(J166&lt;=0.04,0,((J166-(AB166*0.1769*炼钢参数表!K166/1000*100))/100/炼钢参数表!K166/($AG$3/100)*1000))</f>
        <v>2.5958742904610301</v>
      </c>
      <c r="AH166" s="8">
        <v>2.2999999999999998</v>
      </c>
      <c r="AI166" s="8">
        <f>IF(N166="",0,IF(N166&lt;=0.002,0,((N166)/100)/($AI$3/100)/炼钢参数表!M166*1000))</f>
        <v>0</v>
      </c>
      <c r="AJ166" s="8">
        <f>IF(O166="",0,IF(O166&lt;=0.002,0,((O166)/100)/($AJ$3/100)/炼钢参数表!N166*1000))</f>
        <v>0.125511459196225</v>
      </c>
      <c r="AK166" s="8">
        <f>IF(P166="",0,IF(P166&lt;=0.002,0,((P166+0.005)/100)/($AK$3/100)/炼钢参数表!O166*1000))</f>
        <v>0.798307587913623</v>
      </c>
      <c r="AL166" s="8">
        <f>IF((BA166-J166*0.00003-K166*0.00024)&lt;=0.05,0,IF(T166="",0,IF(T166&lt;=0.03,0,IF(((BA166-J166*0.00003-K166*0.00024)-0.05)/0.18/100/($AL$3/100)/炼钢参数表!P166*1000&lt;=T166/100/($AL$3/100)/炼钢参数表!P166*1000,((BA166-J166*0.00003-K166*0.00024)-0.05)/0.18/100/($AL$3/100)/炼钢参数表!P166*1000,T166/100/($AL$3/100)/炼钢参数表!P166*1000))))</f>
        <v>0</v>
      </c>
      <c r="AM166" s="8">
        <f>IF(T166="",0,IF(T166&lt;=0.03,0,((T166-AL166*($AL$3/100)*炼钢参数表!P166/10)/100/($AM$3/100)/炼钢参数表!P166*1000)))</f>
        <v>0</v>
      </c>
      <c r="AN166" s="8">
        <f>IF(U166="",0,IF(U166&lt;=0.02,0,(U166/100)/($AN$3/100)/炼钢参数表!Q166*1000))</f>
        <v>0</v>
      </c>
      <c r="AO166" s="8">
        <f>IF(V166="",0,IF(V166&lt;=0.02,0,(V166/100)/($AO$3/100)/炼钢参数表!R166*1000))</f>
        <v>0</v>
      </c>
      <c r="AP166" s="8">
        <f>IF(W166="",0,IF(W166&lt;=0.02,0,(W166/100)/($AP$3/100)/炼钢参数表!S166*1000))</f>
        <v>0</v>
      </c>
      <c r="AQ166" s="8">
        <f>IF(X166="",0,IF(X166&lt;=0.0002,0,(X166/100)/($AQ$3/100)/炼钢参数表!T166*1000))</f>
        <v>0</v>
      </c>
      <c r="AR166" s="8">
        <f>IF(Y166="",0,IF(Y166&lt;=0.02,0,(Y166/100)/($AR$3/100)/炼钢参数表!U166*1000))</f>
        <v>0</v>
      </c>
      <c r="AS166" s="8">
        <f>IF(L166&lt;=0.04,0,((L166-0.04)/100)/($AS$3/100)/炼钢参数表!V166*1000)</f>
        <v>0</v>
      </c>
      <c r="AT166" s="8">
        <f>IF(M166&lt;=0.03,0,((M166-0.03)/100)/($AT$3/100)/炼钢参数表!W166*1000)</f>
        <v>0</v>
      </c>
      <c r="AU166" s="6"/>
      <c r="AV166" s="8">
        <f t="shared" si="23"/>
        <v>17.7725264188553</v>
      </c>
      <c r="AW166" s="8" cm="1">
        <f t="array" ref="AW166">SUMPRODUCT($AB$4:$AU$4,AB166:AU166)/1000</f>
        <v>203.481803610844</v>
      </c>
      <c r="AY166" s="2" t="str">
        <f t="shared" si="24"/>
        <v>S355M-2</v>
      </c>
      <c r="AZ166" s="37">
        <f>VLOOKUP(AY166,炼钢参数表!$F$5:$J$1027,4,0)</f>
        <v>0.05</v>
      </c>
      <c r="BA166" s="37">
        <f t="shared" si="25"/>
        <v>0.02</v>
      </c>
      <c r="BB166" s="37">
        <f>AB166*$BB$4*炼钢参数表!$X$5/1000</f>
        <v>0</v>
      </c>
      <c r="BC166" s="37">
        <f>AC166*$BC$4*炼钢参数表!$X$5/1000</f>
        <v>0</v>
      </c>
      <c r="BD166" s="37">
        <f>AD166*$BD$4*炼钢参数表!$X$5/1000</f>
        <v>1.6136324659734001E-2</v>
      </c>
      <c r="BE166" s="37">
        <f>AE166*$BE$4*炼钢参数表!$X$5/1000</f>
        <v>0</v>
      </c>
      <c r="BF166" s="37">
        <f>AL166*$BF$4*炼钢参数表!$X$5/1000</f>
        <v>0</v>
      </c>
      <c r="BG166" s="37">
        <f>AM166*$BG$4*炼钢参数表!$X$5/1000</f>
        <v>0</v>
      </c>
      <c r="BH166" s="37">
        <f t="shared" si="26"/>
        <v>1.6136324659734001E-2</v>
      </c>
      <c r="BI166" s="37">
        <f t="shared" si="27"/>
        <v>6.6136324659734E-2</v>
      </c>
      <c r="BJ166" s="37">
        <f t="shared" si="28"/>
        <v>-3.8636753402659799E-3</v>
      </c>
      <c r="BK166" s="54"/>
      <c r="BL166" s="7"/>
      <c r="BM166" s="18" t="s">
        <v>633</v>
      </c>
    </row>
    <row r="167" spans="1:65" s="18" customFormat="1" x14ac:dyDescent="0.3">
      <c r="A167" s="21">
        <v>163</v>
      </c>
      <c r="B167" s="4" t="s">
        <v>280</v>
      </c>
      <c r="C167" s="4" t="s">
        <v>26</v>
      </c>
      <c r="D167" s="4">
        <v>5</v>
      </c>
      <c r="E167" s="4">
        <v>12</v>
      </c>
      <c r="F167" s="4" t="s">
        <v>281</v>
      </c>
      <c r="G167" s="50" t="s">
        <v>282</v>
      </c>
      <c r="H167" s="4">
        <v>1524</v>
      </c>
      <c r="I167" s="51">
        <v>7.0000000000000007E-2</v>
      </c>
      <c r="J167" s="52">
        <v>0.16</v>
      </c>
      <c r="K167" s="52">
        <v>1.3</v>
      </c>
      <c r="L167" s="51">
        <v>1.4999999999999999E-2</v>
      </c>
      <c r="M167" s="51">
        <v>5.0000000000000001E-3</v>
      </c>
      <c r="N167" s="51"/>
      <c r="O167" s="51">
        <v>2.5000000000000001E-2</v>
      </c>
      <c r="P167" s="51">
        <v>0.03</v>
      </c>
      <c r="Q167" s="51" t="s">
        <v>631</v>
      </c>
      <c r="R167" s="51">
        <v>0.03</v>
      </c>
      <c r="S167" s="32"/>
      <c r="T167" s="52"/>
      <c r="U167" s="52"/>
      <c r="V167" s="52"/>
      <c r="W167" s="52"/>
      <c r="X167" s="32" t="s">
        <v>631</v>
      </c>
      <c r="Y167" s="53" t="s">
        <v>631</v>
      </c>
      <c r="Z167" s="4">
        <v>45</v>
      </c>
      <c r="AA167" s="53"/>
      <c r="AB167" s="42">
        <f>IF(J167&lt;=0.04,0,IF((BA167-AL167*BF$4*炼钢参数表!$X$5/1000-AM167*BG$4*炼钢参数表!$X$5/1000)&lt;=0.03,0,IF((J167/100/0.1769/炼钢参数表!K167*1000)&gt;(K167-炼钢参数表!J167)/100/0.6566/炼钢参数表!L167*1000,IF(K167&lt;1.6,(K167-炼钢参数表!J167)/100/0.6566/炼钢参数表!L167*1000,(K167-0.08-炼钢参数表!J167)/100/0.6566/炼钢参数表!L167*1000),IF(K167&lt;1.6,J167/100/0.1769/炼钢参数表!K167*1000,(J167-0.08)/100/0.1769/炼钢参数表!K167*1000))))</f>
        <v>0</v>
      </c>
      <c r="AC167" s="8">
        <f>IF((BA167-AB167*$BB$4*0.9/1000-AL167*BF$4*炼钢参数表!$X$5/1000-AM167*BG$4*炼钢参数表!$X$5/1000)&lt;(K167-炼钢参数表!J167-AB167*0.6566*炼钢参数表!L167/10)*0.082,0,(K167-炼钢参数表!J167-AB167*0.6566*炼钢参数表!L167/10)/100/($AC$3/100)/炼钢参数表!L167*1000)</f>
        <v>0</v>
      </c>
      <c r="AD167" s="8">
        <f>IF((BA167-AB167*$BB$4*0.9/1000-AC167*$BC$4*0.9/1000-AL167*BF$4*炼钢参数表!$X$5/1000-AM167*BG$4*炼钢参数表!$X$5/1000)&lt;=(K167-炼钢参数表!J167-AB167*0.6566*炼钢参数表!L167/10-AC167*($AC$3/100)*炼钢参数表!L167/10)*0.02,0,((K167-炼钢参数表!J167-AB167*0.6566*炼钢参数表!L167/10-AC167*($AC$3/100)*炼钢参数表!L167/10)/100/($AD$3/100)/炼钢参数表!L167*1000))</f>
        <v>0</v>
      </c>
      <c r="AE167" s="8">
        <f>(K167-炼钢参数表!J167-AB167*0.6566*炼钢参数表!L167/10-AC167*($AC$3/100)*炼钢参数表!L167/10-AD167*($AD$3/100)*炼钢参数表!L167/10)/100/($AE$3/100)/炼钢参数表!L167*1000</f>
        <v>15.3331439731946</v>
      </c>
      <c r="AF167" s="8">
        <v>0</v>
      </c>
      <c r="AG167" s="8">
        <f>IF(J167&lt;=0.04,0,((J167-(AB167*0.1769*炼钢参数表!K167/1000*100))/100/炼钢参数表!K167/($AG$3/100)*1000))</f>
        <v>2.7689325764917601</v>
      </c>
      <c r="AH167" s="8">
        <v>2.2999999999999998</v>
      </c>
      <c r="AI167" s="8">
        <f>IF(N167="",0,IF(N167&lt;=0.002,0,((N167)/100)/($AI$3/100)/炼钢参数表!M167*1000))</f>
        <v>0</v>
      </c>
      <c r="AJ167" s="8">
        <f>IF(O167="",0,IF(O167&lt;=0.002,0,((O167)/100)/($AJ$3/100)/炼钢参数表!N167*1000))</f>
        <v>0.39222330998820198</v>
      </c>
      <c r="AK167" s="8">
        <f>IF(P167="",0,IF(P167&lt;=0.002,0,((P167+0.005)/100)/($AK$3/100)/炼钢参数表!O167*1000))</f>
        <v>0.69851913942442001</v>
      </c>
      <c r="AL167" s="8">
        <f>IF((BA167-J167*0.00003-K167*0.00024)&lt;=0.05,0,IF(T167="",0,IF(T167&lt;=0.03,0,IF(((BA167-J167*0.00003-K167*0.00024)-0.05)/0.18/100/($AL$3/100)/炼钢参数表!P167*1000&lt;=T167/100/($AL$3/100)/炼钢参数表!P167*1000,((BA167-J167*0.00003-K167*0.00024)-0.05)/0.18/100/($AL$3/100)/炼钢参数表!P167*1000,T167/100/($AL$3/100)/炼钢参数表!P167*1000))))</f>
        <v>0</v>
      </c>
      <c r="AM167" s="8">
        <f>IF(T167="",0,IF(T167&lt;=0.03,0,((T167-AL167*($AL$3/100)*炼钢参数表!P167/10)/100/($AM$3/100)/炼钢参数表!P167*1000)))</f>
        <v>0</v>
      </c>
      <c r="AN167" s="8">
        <f>IF(U167="",0,IF(U167&lt;=0.02,0,(U167/100)/($AN$3/100)/炼钢参数表!Q167*1000))</f>
        <v>0</v>
      </c>
      <c r="AO167" s="8">
        <f>IF(V167="",0,IF(V167&lt;=0.02,0,(V167/100)/($AO$3/100)/炼钢参数表!R167*1000))</f>
        <v>0</v>
      </c>
      <c r="AP167" s="8">
        <f>IF(W167="",0,IF(W167&lt;=0.02,0,(W167/100)/($AP$3/100)/炼钢参数表!S167*1000))</f>
        <v>0</v>
      </c>
      <c r="AQ167" s="8">
        <f>IF(X167="",0,IF(X167&lt;=0.0002,0,(X167/100)/($AQ$3/100)/炼钢参数表!T167*1000))</f>
        <v>0</v>
      </c>
      <c r="AR167" s="8">
        <f>IF(Y167="",0,IF(Y167&lt;=0.02,0,(Y167/100)/($AR$3/100)/炼钢参数表!U167*1000))</f>
        <v>0</v>
      </c>
      <c r="AS167" s="8">
        <f>IF(L167&lt;=0.04,0,((L167-0.04)/100)/($AS$3/100)/炼钢参数表!V167*1000)</f>
        <v>0</v>
      </c>
      <c r="AT167" s="8">
        <f>IF(M167&lt;=0.03,0,((M167-0.03)/100)/($AT$3/100)/炼钢参数表!W167*1000)</f>
        <v>0</v>
      </c>
      <c r="AU167" s="6"/>
      <c r="AV167" s="8">
        <f t="shared" si="23"/>
        <v>21.492818999099001</v>
      </c>
      <c r="AW167" s="8" cm="1">
        <f t="array" ref="AW167">SUMPRODUCT($AB$4:$AU$4,AB167:AU167)/1000</f>
        <v>295.93113389762198</v>
      </c>
      <c r="AY167" s="2" t="str">
        <f t="shared" si="24"/>
        <v>S460M-1</v>
      </c>
      <c r="AZ167" s="37">
        <f>VLOOKUP(AY167,炼钢参数表!$F$5:$J$1027,4,0)</f>
        <v>0.05</v>
      </c>
      <c r="BA167" s="37">
        <f t="shared" si="25"/>
        <v>0.02</v>
      </c>
      <c r="BB167" s="37">
        <f>AB167*$BB$4*炼钢参数表!$X$5/1000</f>
        <v>0</v>
      </c>
      <c r="BC167" s="37">
        <f>AC167*$BC$4*炼钢参数表!$X$5/1000</f>
        <v>0</v>
      </c>
      <c r="BD167" s="37">
        <f>AD167*$BD$4*炼钢参数表!$X$5/1000</f>
        <v>0</v>
      </c>
      <c r="BE167" s="37">
        <f>AE167*$BE$4*炼钢参数表!$X$5/1000</f>
        <v>8.8318909285601196E-3</v>
      </c>
      <c r="BF167" s="37">
        <f>AL167*$BF$4*炼钢参数表!$X$5/1000</f>
        <v>0</v>
      </c>
      <c r="BG167" s="37">
        <f>AM167*$BG$4*炼钢参数表!$X$5/1000</f>
        <v>0</v>
      </c>
      <c r="BH167" s="37">
        <f t="shared" si="26"/>
        <v>8.8318909285601196E-3</v>
      </c>
      <c r="BI167" s="37">
        <f t="shared" si="27"/>
        <v>5.8831890928560102E-2</v>
      </c>
      <c r="BJ167" s="37">
        <f t="shared" si="28"/>
        <v>-1.11681090714399E-2</v>
      </c>
      <c r="BK167" s="54"/>
      <c r="BL167" s="7"/>
      <c r="BM167" s="18" t="s">
        <v>633</v>
      </c>
    </row>
    <row r="168" spans="1:65" s="18" customFormat="1" x14ac:dyDescent="0.3">
      <c r="A168" s="21">
        <v>164</v>
      </c>
      <c r="B168" s="4" t="s">
        <v>280</v>
      </c>
      <c r="C168" s="4" t="s">
        <v>23</v>
      </c>
      <c r="D168" s="4">
        <v>12.01</v>
      </c>
      <c r="E168" s="4">
        <v>20</v>
      </c>
      <c r="F168" s="4" t="s">
        <v>283</v>
      </c>
      <c r="G168" s="50" t="s">
        <v>282</v>
      </c>
      <c r="H168" s="4">
        <v>1524</v>
      </c>
      <c r="I168" s="51">
        <v>7.0000000000000007E-2</v>
      </c>
      <c r="J168" s="52">
        <v>0.16</v>
      </c>
      <c r="K168" s="52">
        <v>1.45</v>
      </c>
      <c r="L168" s="51">
        <v>1.4999999999999999E-2</v>
      </c>
      <c r="M168" s="51">
        <v>5.0000000000000001E-3</v>
      </c>
      <c r="N168" s="51"/>
      <c r="O168" s="51">
        <v>0.03</v>
      </c>
      <c r="P168" s="51">
        <v>0.03</v>
      </c>
      <c r="Q168" s="51" t="s">
        <v>631</v>
      </c>
      <c r="R168" s="51">
        <v>0.03</v>
      </c>
      <c r="S168" s="32"/>
      <c r="T168" s="52"/>
      <c r="U168" s="52"/>
      <c r="V168" s="52"/>
      <c r="W168" s="52"/>
      <c r="X168" s="32" t="s">
        <v>631</v>
      </c>
      <c r="Y168" s="53" t="s">
        <v>631</v>
      </c>
      <c r="Z168" s="4">
        <v>45</v>
      </c>
      <c r="AA168" s="53"/>
      <c r="AB168" s="42">
        <f>IF(J168&lt;=0.04,0,IF((BA168-AL168*BF$4*炼钢参数表!$X$5/1000-AM168*BG$4*炼钢参数表!$X$5/1000)&lt;=0.03,0,IF((J168/100/0.1769/炼钢参数表!K168*1000)&gt;(K168-炼钢参数表!J168)/100/0.6566/炼钢参数表!L168*1000,IF(K168&lt;1.6,(K168-炼钢参数表!J168)/100/0.6566/炼钢参数表!L168*1000,(K168-0.08-炼钢参数表!J168)/100/0.6566/炼钢参数表!L168*1000),IF(K168&lt;1.6,J168/100/0.1769/炼钢参数表!K168*1000,(J168-0.08)/100/0.1769/炼钢参数表!K168*1000))))</f>
        <v>0</v>
      </c>
      <c r="AC168" s="8">
        <f>IF((BA168-AB168*$BB$4*0.9/1000-AL168*BF$4*炼钢参数表!$X$5/1000-AM168*BG$4*炼钢参数表!$X$5/1000)&lt;(K168-炼钢参数表!J168-AB168*0.6566*炼钢参数表!L168/10)*0.082,0,(K168-炼钢参数表!J168-AB168*0.6566*炼钢参数表!L168/10)/100/($AC$3/100)/炼钢参数表!L168*1000)</f>
        <v>0</v>
      </c>
      <c r="AD168" s="8">
        <f>IF((BA168-AB168*$BB$4*0.9/1000-AC168*$BC$4*0.9/1000-AL168*BF$4*炼钢参数表!$X$5/1000-AM168*BG$4*炼钢参数表!$X$5/1000)&lt;=(K168-炼钢参数表!J168-AB168*0.6566*炼钢参数表!L168/10-AC168*($AC$3/100)*炼钢参数表!L168/10)*0.02,0,((K168-炼钢参数表!J168-AB168*0.6566*炼钢参数表!L168/10-AC168*($AC$3/100)*炼钢参数表!L168/10)/100/($AD$3/100)/炼钢参数表!L168*1000))</f>
        <v>0</v>
      </c>
      <c r="AE168" s="8">
        <f>(K168-炼钢参数表!J168-AB168*0.6566*炼钢参数表!L168/10-AC168*($AC$3/100)*炼钢参数表!L168/10-AD168*($AD$3/100)*炼钢参数表!L168/10)/100/($AE$3/100)/炼钢参数表!L168*1000</f>
        <v>17.218366592849701</v>
      </c>
      <c r="AF168" s="8">
        <v>0</v>
      </c>
      <c r="AG168" s="8">
        <f>IF(J168&lt;=0.04,0,((J168-(AB168*0.1769*炼钢参数表!K168/1000*100))/100/炼钢参数表!K168/($AG$3/100)*1000))</f>
        <v>2.7689325764917601</v>
      </c>
      <c r="AH168" s="8">
        <v>2.2999999999999998</v>
      </c>
      <c r="AI168" s="8">
        <f>IF(N168="",0,IF(N168&lt;=0.002,0,((N168)/100)/($AI$3/100)/炼钢参数表!M168*1000))</f>
        <v>0</v>
      </c>
      <c r="AJ168" s="8">
        <f>IF(O168="",0,IF(O168&lt;=0.002,0,((O168)/100)/($AJ$3/100)/炼钢参数表!N168*1000))</f>
        <v>0.47066797198584198</v>
      </c>
      <c r="AK168" s="8">
        <f>IF(P168="",0,IF(P168&lt;=0.002,0,((P168+0.005)/100)/($AK$3/100)/炼钢参数表!O168*1000))</f>
        <v>0.69851913942442001</v>
      </c>
      <c r="AL168" s="8">
        <f>IF((BA168-J168*0.00003-K168*0.00024)&lt;=0.05,0,IF(T168="",0,IF(T168&lt;=0.03,0,IF(((BA168-J168*0.00003-K168*0.00024)-0.05)/0.18/100/($AL$3/100)/炼钢参数表!P168*1000&lt;=T168/100/($AL$3/100)/炼钢参数表!P168*1000,((BA168-J168*0.00003-K168*0.00024)-0.05)/0.18/100/($AL$3/100)/炼钢参数表!P168*1000,T168/100/($AL$3/100)/炼钢参数表!P168*1000))))</f>
        <v>0</v>
      </c>
      <c r="AM168" s="8">
        <f>IF(T168="",0,IF(T168&lt;=0.03,0,((T168-AL168*($AL$3/100)*炼钢参数表!P168/10)/100/($AM$3/100)/炼钢参数表!P168*1000)))</f>
        <v>0</v>
      </c>
      <c r="AN168" s="8">
        <f>IF(U168="",0,IF(U168&lt;=0.02,0,(U168/100)/($AN$3/100)/炼钢参数表!Q168*1000))</f>
        <v>0</v>
      </c>
      <c r="AO168" s="8">
        <f>IF(V168="",0,IF(V168&lt;=0.02,0,(V168/100)/($AO$3/100)/炼钢参数表!R168*1000))</f>
        <v>0</v>
      </c>
      <c r="AP168" s="8">
        <f>IF(W168="",0,IF(W168&lt;=0.02,0,(W168/100)/($AP$3/100)/炼钢参数表!S168*1000))</f>
        <v>0</v>
      </c>
      <c r="AQ168" s="8">
        <f>IF(X168="",0,IF(X168&lt;=0.0002,0,(X168/100)/($AQ$3/100)/炼钢参数表!T168*1000))</f>
        <v>0</v>
      </c>
      <c r="AR168" s="8">
        <f>IF(Y168="",0,IF(Y168&lt;=0.02,0,(Y168/100)/($AR$3/100)/炼钢参数表!U168*1000))</f>
        <v>0</v>
      </c>
      <c r="AS168" s="8">
        <f>IF(L168&lt;=0.04,0,((L168-0.04)/100)/($AS$3/100)/炼钢参数表!V168*1000)</f>
        <v>0</v>
      </c>
      <c r="AT168" s="8">
        <f>IF(M168&lt;=0.03,0,((M168-0.03)/100)/($AT$3/100)/炼钢参数表!W168*1000)</f>
        <v>0</v>
      </c>
      <c r="AU168" s="6"/>
      <c r="AV168" s="8">
        <f t="shared" si="23"/>
        <v>23.4564862807518</v>
      </c>
      <c r="AW168" s="8" cm="1">
        <f t="array" ref="AW168">SUMPRODUCT($AB$4:$AU$4,AB168:AU168)/1000</f>
        <v>328.67545646434701</v>
      </c>
      <c r="AY168" s="2" t="str">
        <f t="shared" si="24"/>
        <v>S460M-2</v>
      </c>
      <c r="AZ168" s="37">
        <f>VLOOKUP(AY168,炼钢参数表!$F$5:$J$1027,4,0)</f>
        <v>0.05</v>
      </c>
      <c r="BA168" s="37">
        <f t="shared" si="25"/>
        <v>0.02</v>
      </c>
      <c r="BB168" s="37">
        <f>AB168*$BB$4*炼钢参数表!$X$5/1000</f>
        <v>0</v>
      </c>
      <c r="BC168" s="37">
        <f>AC168*$BC$4*炼钢参数表!$X$5/1000</f>
        <v>0</v>
      </c>
      <c r="BD168" s="37">
        <f>AD168*$BD$4*炼钢参数表!$X$5/1000</f>
        <v>0</v>
      </c>
      <c r="BE168" s="37">
        <f>AE168*$BE$4*炼钢参数表!$X$5/1000</f>
        <v>9.9177791574814392E-3</v>
      </c>
      <c r="BF168" s="37">
        <f>AL168*$BF$4*炼钢参数表!$X$5/1000</f>
        <v>0</v>
      </c>
      <c r="BG168" s="37">
        <f>AM168*$BG$4*炼钢参数表!$X$5/1000</f>
        <v>0</v>
      </c>
      <c r="BH168" s="37">
        <f t="shared" si="26"/>
        <v>9.9177791574814392E-3</v>
      </c>
      <c r="BI168" s="37">
        <f t="shared" si="27"/>
        <v>5.99177791574814E-2</v>
      </c>
      <c r="BJ168" s="37">
        <f t="shared" si="28"/>
        <v>-1.0082220842518599E-2</v>
      </c>
      <c r="BK168" s="54"/>
      <c r="BL168" s="7"/>
      <c r="BM168" s="18" t="s">
        <v>633</v>
      </c>
    </row>
    <row r="169" spans="1:65" s="18" customFormat="1" x14ac:dyDescent="0.3">
      <c r="A169" s="21">
        <v>165</v>
      </c>
      <c r="B169" s="4" t="s">
        <v>284</v>
      </c>
      <c r="C169" s="4" t="s">
        <v>23</v>
      </c>
      <c r="D169" s="4">
        <v>2</v>
      </c>
      <c r="E169" s="4">
        <v>5.99</v>
      </c>
      <c r="F169" s="4" t="s">
        <v>285</v>
      </c>
      <c r="G169" s="50" t="s">
        <v>286</v>
      </c>
      <c r="H169" s="4">
        <v>1524</v>
      </c>
      <c r="I169" s="51">
        <v>7.0000000000000007E-2</v>
      </c>
      <c r="J169" s="52">
        <v>0.08</v>
      </c>
      <c r="K169" s="52">
        <v>0.95</v>
      </c>
      <c r="L169" s="51">
        <v>1.4999999999999999E-2</v>
      </c>
      <c r="M169" s="51">
        <v>4.0000000000000001E-3</v>
      </c>
      <c r="N169" s="51"/>
      <c r="O169" s="51">
        <v>0.01</v>
      </c>
      <c r="P169" s="51">
        <v>0.04</v>
      </c>
      <c r="Q169" s="51">
        <v>2.5000000000000001E-2</v>
      </c>
      <c r="R169" s="51" t="s">
        <v>631</v>
      </c>
      <c r="S169" s="32"/>
      <c r="T169" s="52"/>
      <c r="U169" s="52"/>
      <c r="V169" s="52"/>
      <c r="W169" s="52"/>
      <c r="X169" s="32" t="s">
        <v>631</v>
      </c>
      <c r="Y169" s="53" t="s">
        <v>631</v>
      </c>
      <c r="Z169" s="4">
        <v>45</v>
      </c>
      <c r="AA169" s="53"/>
      <c r="AB169" s="42">
        <f>IF(J169&lt;=0.04,0,IF((BA169-AL169*BF$4*炼钢参数表!$X$5/1000-AM169*BG$4*炼钢参数表!$X$5/1000)&lt;=0.03,0,IF((J169/100/0.1769/炼钢参数表!K169*1000)&gt;(K169-炼钢参数表!J169)/100/0.6566/炼钢参数表!L169*1000,IF(K169&lt;1.6,(K169-炼钢参数表!J169)/100/0.6566/炼钢参数表!L169*1000,(K169-0.08-炼钢参数表!J169)/100/0.6566/炼钢参数表!L169*1000),IF(K169&lt;1.6,J169/100/0.1769/炼钢参数表!K169*1000,(J169-0.08)/100/0.1769/炼钢参数表!K169*1000))))</f>
        <v>5.65291124929339</v>
      </c>
      <c r="AC169" s="8">
        <f>IF((BA169-AB169*$BB$4*0.9/1000-AL169*BF$4*炼钢参数表!$X$5/1000-AM169*BG$4*炼钢参数表!$X$5/1000)&lt;(K169-炼钢参数表!J169-AB169*0.6566*炼钢参数表!L169/10)*0.082,0,(K169-炼钢参数表!J169-AB169*0.6566*炼钢参数表!L169/10)/100/($AC$3/100)/炼钢参数表!L169*1000)</f>
        <v>0</v>
      </c>
      <c r="AD169" s="8">
        <f>IF((BA169-AB169*$BB$4*0.9/1000-AC169*$BC$4*0.9/1000-AL169*BF$4*炼钢参数表!$X$5/1000-AM169*BG$4*炼钢参数表!$X$5/1000)&lt;=(K169-炼钢参数表!J169-AB169*0.6566*炼钢参数表!L169/10-AC169*($AC$3/100)*炼钢参数表!L169/10)*0.02,0,((K169-炼钢参数表!J169-AB169*0.6566*炼钢参数表!L169/10-AC169*($AC$3/100)*炼钢参数表!L169/10)/100/($AD$3/100)/炼钢参数表!L169*1000))</f>
        <v>6.6887102762585204</v>
      </c>
      <c r="AE169" s="8">
        <f>(K169-炼钢参数表!J169-AB169*0.6566*炼钢参数表!L169/10-AC169*($AC$3/100)*炼钢参数表!L169/10-AD169*($AD$3/100)*炼钢参数表!L169/10)/100/($AE$3/100)/炼钢参数表!L169*1000</f>
        <v>0</v>
      </c>
      <c r="AF169" s="8">
        <v>0</v>
      </c>
      <c r="AG169" s="8">
        <f>IF(J169&lt;=0.04,0,((J169-(AB169*0.1769*炼钢参数表!K169/1000*100))/100/炼钢参数表!K169/($AG$3/100)*1000))</f>
        <v>0</v>
      </c>
      <c r="AH169" s="8">
        <v>2.1</v>
      </c>
      <c r="AI169" s="8">
        <f>IF(N169="",0,IF(N169&lt;=0.002,0,((N169)/100)/($AI$3/100)/炼钢参数表!M169*1000))</f>
        <v>0</v>
      </c>
      <c r="AJ169" s="8">
        <f>IF(O169="",0,IF(O169&lt;=0.002,0,((O169)/100)/($AJ$3/100)/炼钢参数表!N169*1000))</f>
        <v>0.15688932399528099</v>
      </c>
      <c r="AK169" s="8">
        <f>IF(P169="",0,IF(P169&lt;=0.002,0,((P169+0.005)/100)/($AK$3/100)/炼钢参数表!O169*1000))</f>
        <v>0.89809603640282598</v>
      </c>
      <c r="AL169" s="8">
        <f>IF((BA169-J169*0.00003-K169*0.00024)&lt;=0.05,0,IF(T169="",0,IF(T169&lt;=0.03,0,IF(((BA169-J169*0.00003-K169*0.00024)-0.05)/0.18/100/($AL$3/100)/炼钢参数表!P169*1000&lt;=T169/100/($AL$3/100)/炼钢参数表!P169*1000,((BA169-J169*0.00003-K169*0.00024)-0.05)/0.18/100/($AL$3/100)/炼钢参数表!P169*1000,T169/100/($AL$3/100)/炼钢参数表!P169*1000))))</f>
        <v>0</v>
      </c>
      <c r="AM169" s="8">
        <f>IF(T169="",0,IF(T169&lt;=0.03,0,((T169-AL169*($AL$3/100)*炼钢参数表!P169/10)/100/($AM$3/100)/炼钢参数表!P169*1000)))</f>
        <v>0</v>
      </c>
      <c r="AN169" s="8">
        <f>IF(U169="",0,IF(U169&lt;=0.02,0,(U169/100)/($AN$3/100)/炼钢参数表!Q169*1000))</f>
        <v>0</v>
      </c>
      <c r="AO169" s="8">
        <f>IF(V169="",0,IF(V169&lt;=0.02,0,(V169/100)/($AO$3/100)/炼钢参数表!R169*1000))</f>
        <v>0</v>
      </c>
      <c r="AP169" s="8">
        <f>IF(W169="",0,IF(W169&lt;=0.02,0,(W169/100)/($AP$3/100)/炼钢参数表!S169*1000))</f>
        <v>0</v>
      </c>
      <c r="AQ169" s="8">
        <f>IF(X169="",0,IF(X169&lt;=0.0002,0,(X169/100)/($AQ$3/100)/炼钢参数表!T169*1000))</f>
        <v>0</v>
      </c>
      <c r="AR169" s="8">
        <f>IF(Y169="",0,IF(Y169&lt;=0.02,0,(Y169/100)/($AR$3/100)/炼钢参数表!U169*1000))</f>
        <v>0</v>
      </c>
      <c r="AS169" s="8">
        <f>IF(L169&lt;=0.04,0,((L169-0.04)/100)/($AS$3/100)/炼钢参数表!V169*1000)</f>
        <v>0</v>
      </c>
      <c r="AT169" s="8">
        <f>IF(M169&lt;=0.03,0,((M169-0.03)/100)/($AT$3/100)/炼钢参数表!W169*1000)</f>
        <v>0</v>
      </c>
      <c r="AU169" s="6"/>
      <c r="AV169" s="8">
        <f t="shared" si="23"/>
        <v>15.496606885949999</v>
      </c>
      <c r="AW169" s="8" cm="1">
        <f t="array" ref="AW169">SUMPRODUCT($AB$4:$AU$4,AB169:AU169)/1000</f>
        <v>184.68626693698701</v>
      </c>
      <c r="AY169" s="2" t="str">
        <f t="shared" si="24"/>
        <v>S420MC-1</v>
      </c>
      <c r="AZ169" s="37">
        <f>VLOOKUP(AY169,炼钢参数表!$F$5:$J$1027,4,0)</f>
        <v>3.54285714285714E-2</v>
      </c>
      <c r="BA169" s="37">
        <f t="shared" si="25"/>
        <v>3.45714285714286E-2</v>
      </c>
      <c r="BB169" s="37">
        <f>AB169*$BB$4*炼钢参数表!$X$5/1000</f>
        <v>8.7507066139061607E-3</v>
      </c>
      <c r="BC169" s="37">
        <f>AC169*$BC$4*炼钢参数表!$X$5/1000</f>
        <v>0</v>
      </c>
      <c r="BD169" s="37">
        <f>AD169*$BD$4*炼钢参数表!$X$5/1000</f>
        <v>9.0297588729490001E-3</v>
      </c>
      <c r="BE169" s="37">
        <f>AE169*$BE$4*炼钢参数表!$X$5/1000</f>
        <v>0</v>
      </c>
      <c r="BF169" s="37">
        <f>AL169*$BF$4*炼钢参数表!$X$5/1000</f>
        <v>0</v>
      </c>
      <c r="BG169" s="37">
        <f>AM169*$BG$4*炼钢参数表!$X$5/1000</f>
        <v>0</v>
      </c>
      <c r="BH169" s="37">
        <f t="shared" si="26"/>
        <v>1.7780465486855201E-2</v>
      </c>
      <c r="BI169" s="37">
        <f t="shared" si="27"/>
        <v>5.3209036915426597E-2</v>
      </c>
      <c r="BJ169" s="37">
        <f t="shared" si="28"/>
        <v>-1.6790963084573399E-2</v>
      </c>
      <c r="BK169" s="54"/>
      <c r="BL169" s="7"/>
    </row>
    <row r="170" spans="1:65" s="18" customFormat="1" x14ac:dyDescent="0.3">
      <c r="A170" s="21">
        <v>166</v>
      </c>
      <c r="B170" s="4" t="s">
        <v>284</v>
      </c>
      <c r="C170" s="4" t="s">
        <v>26</v>
      </c>
      <c r="D170" s="4">
        <v>6</v>
      </c>
      <c r="E170" s="4">
        <v>16</v>
      </c>
      <c r="F170" s="4" t="s">
        <v>287</v>
      </c>
      <c r="G170" s="50" t="s">
        <v>286</v>
      </c>
      <c r="H170" s="4">
        <v>1524</v>
      </c>
      <c r="I170" s="51">
        <v>7.0000000000000007E-2</v>
      </c>
      <c r="J170" s="52">
        <v>0.08</v>
      </c>
      <c r="K170" s="52">
        <v>1</v>
      </c>
      <c r="L170" s="51">
        <v>1.4999999999999999E-2</v>
      </c>
      <c r="M170" s="51">
        <v>4.0000000000000001E-3</v>
      </c>
      <c r="N170" s="51"/>
      <c r="O170" s="51">
        <v>1.4999999999999999E-2</v>
      </c>
      <c r="P170" s="51">
        <v>0.04</v>
      </c>
      <c r="Q170" s="51">
        <v>2.5000000000000001E-2</v>
      </c>
      <c r="R170" s="51" t="s">
        <v>631</v>
      </c>
      <c r="S170" s="32"/>
      <c r="T170" s="52"/>
      <c r="U170" s="52"/>
      <c r="V170" s="52"/>
      <c r="W170" s="52"/>
      <c r="X170" s="32" t="s">
        <v>631</v>
      </c>
      <c r="Y170" s="53" t="s">
        <v>631</v>
      </c>
      <c r="Z170" s="4">
        <v>45</v>
      </c>
      <c r="AA170" s="53"/>
      <c r="AB170" s="42">
        <f>IF(J170&lt;=0.04,0,IF((BA170-AL170*BF$4*炼钢参数表!$X$5/1000-AM170*BG$4*炼钢参数表!$X$5/1000)&lt;=0.03,0,IF((J170/100/0.1769/炼钢参数表!K170*1000)&gt;(K170-炼钢参数表!J170)/100/0.6566/炼钢参数表!L170*1000,IF(K170&lt;1.6,(K170-炼钢参数表!J170)/100/0.6566/炼钢参数表!L170*1000,(K170-0.08-炼钢参数表!J170)/100/0.6566/炼钢参数表!L170*1000),IF(K170&lt;1.6,J170/100/0.1769/炼钢参数表!K170*1000,(J170-0.08)/100/0.1769/炼钢参数表!K170*1000))))</f>
        <v>5.65291124929339</v>
      </c>
      <c r="AC170" s="8">
        <f>IF((BA170-AB170*$BB$4*0.9/1000-AL170*BF$4*炼钢参数表!$X$5/1000-AM170*BG$4*炼钢参数表!$X$5/1000)&lt;(K170-炼钢参数表!J170-AB170*0.6566*炼钢参数表!L170/10)*0.082,0,(K170-炼钢参数表!J170-AB170*0.6566*炼钢参数表!L170/10)/100/($AC$3/100)/炼钢参数表!L170*1000)</f>
        <v>0</v>
      </c>
      <c r="AD170" s="8">
        <f>IF((BA170-AB170*$BB$4*0.9/1000-AC170*$BC$4*0.9/1000-AL170*BF$4*炼钢参数表!$X$5/1000-AM170*BG$4*炼钢参数表!$X$5/1000)&lt;=(K170-炼钢参数表!J170-AB170*0.6566*炼钢参数表!L170/10-AC170*($AC$3/100)*炼钢参数表!L170/10)*0.02,0,((K170-炼钢参数表!J170-AB170*0.6566*炼钢参数表!L170/10-AC170*($AC$3/100)*炼钢参数表!L170/10)/100/($AD$3/100)/炼钢参数表!L170*1000))</f>
        <v>7.3383207698065798</v>
      </c>
      <c r="AE170" s="8">
        <f>(K170-炼钢参数表!J170-AB170*0.6566*炼钢参数表!L170/10-AC170*($AC$3/100)*炼钢参数表!L170/10-AD170*($AD$3/100)*炼钢参数表!L170/10)/100/($AE$3/100)/炼钢参数表!L170*1000</f>
        <v>0</v>
      </c>
      <c r="AF170" s="8">
        <v>0</v>
      </c>
      <c r="AG170" s="8">
        <f>IF(J170&lt;=0.04,0,((J170-(AB170*0.1769*炼钢参数表!K170/1000*100))/100/炼钢参数表!K170/($AG$3/100)*1000))</f>
        <v>0</v>
      </c>
      <c r="AH170" s="8">
        <v>2.1</v>
      </c>
      <c r="AI170" s="8">
        <f>IF(N170="",0,IF(N170&lt;=0.002,0,((N170)/100)/($AI$3/100)/炼钢参数表!M170*1000))</f>
        <v>0</v>
      </c>
      <c r="AJ170" s="8">
        <f>IF(O170="",0,IF(O170&lt;=0.002,0,((O170)/100)/($AJ$3/100)/炼钢参数表!N170*1000))</f>
        <v>0.23533398599292099</v>
      </c>
      <c r="AK170" s="8">
        <f>IF(P170="",0,IF(P170&lt;=0.002,0,((P170+0.005)/100)/($AK$3/100)/炼钢参数表!O170*1000))</f>
        <v>0.89809603640282598</v>
      </c>
      <c r="AL170" s="8">
        <f>IF((BA170-J170*0.00003-K170*0.00024)&lt;=0.05,0,IF(T170="",0,IF(T170&lt;=0.03,0,IF(((BA170-J170*0.00003-K170*0.00024)-0.05)/0.18/100/($AL$3/100)/炼钢参数表!P170*1000&lt;=T170/100/($AL$3/100)/炼钢参数表!P170*1000,((BA170-J170*0.00003-K170*0.00024)-0.05)/0.18/100/($AL$3/100)/炼钢参数表!P170*1000,T170/100/($AL$3/100)/炼钢参数表!P170*1000))))</f>
        <v>0</v>
      </c>
      <c r="AM170" s="8">
        <f>IF(T170="",0,IF(T170&lt;=0.03,0,((T170-AL170*($AL$3/100)*炼钢参数表!P170/10)/100/($AM$3/100)/炼钢参数表!P170*1000)))</f>
        <v>0</v>
      </c>
      <c r="AN170" s="8">
        <f>IF(U170="",0,IF(U170&lt;=0.02,0,(U170/100)/($AN$3/100)/炼钢参数表!Q170*1000))</f>
        <v>0</v>
      </c>
      <c r="AO170" s="8">
        <f>IF(V170="",0,IF(V170&lt;=0.02,0,(V170/100)/($AO$3/100)/炼钢参数表!R170*1000))</f>
        <v>0</v>
      </c>
      <c r="AP170" s="8">
        <f>IF(W170="",0,IF(W170&lt;=0.02,0,(W170/100)/($AP$3/100)/炼钢参数表!S170*1000))</f>
        <v>0</v>
      </c>
      <c r="AQ170" s="8">
        <f>IF(X170="",0,IF(X170&lt;=0.0002,0,(X170/100)/($AQ$3/100)/炼钢参数表!T170*1000))</f>
        <v>0</v>
      </c>
      <c r="AR170" s="8">
        <f>IF(Y170="",0,IF(Y170&lt;=0.02,0,(Y170/100)/($AR$3/100)/炼钢参数表!U170*1000))</f>
        <v>0</v>
      </c>
      <c r="AS170" s="8">
        <f>IF(L170&lt;=0.04,0,((L170-0.04)/100)/($AS$3/100)/炼钢参数表!V170*1000)</f>
        <v>0</v>
      </c>
      <c r="AT170" s="8">
        <f>IF(M170&lt;=0.03,0,((M170-0.03)/100)/($AT$3/100)/炼钢参数表!W170*1000)</f>
        <v>0</v>
      </c>
      <c r="AU170" s="6"/>
      <c r="AV170" s="8">
        <f t="shared" si="23"/>
        <v>16.224662041495701</v>
      </c>
      <c r="AW170" s="8" cm="1">
        <f t="array" ref="AW170">SUMPRODUCT($AB$4:$AU$4,AB170:AU170)/1000</f>
        <v>206.602919392578</v>
      </c>
      <c r="AY170" s="2" t="str">
        <f t="shared" si="24"/>
        <v>S420MC-2</v>
      </c>
      <c r="AZ170" s="37">
        <f>VLOOKUP(AY170,炼钢参数表!$F$5:$J$1027,4,0)</f>
        <v>3.54285714285714E-2</v>
      </c>
      <c r="BA170" s="37">
        <f t="shared" si="25"/>
        <v>3.45714285714286E-2</v>
      </c>
      <c r="BB170" s="37">
        <f>AB170*$BB$4*炼钢参数表!$X$5/1000</f>
        <v>8.7507066139061607E-3</v>
      </c>
      <c r="BC170" s="37">
        <f>AC170*$BC$4*炼钢参数表!$X$5/1000</f>
        <v>0</v>
      </c>
      <c r="BD170" s="37">
        <f>AD170*$BD$4*炼钢参数表!$X$5/1000</f>
        <v>9.9067330392388908E-3</v>
      </c>
      <c r="BE170" s="37">
        <f>AE170*$BE$4*炼钢参数表!$X$5/1000</f>
        <v>0</v>
      </c>
      <c r="BF170" s="37">
        <f>AL170*$BF$4*炼钢参数表!$X$5/1000</f>
        <v>0</v>
      </c>
      <c r="BG170" s="37">
        <f>AM170*$BG$4*炼钢参数表!$X$5/1000</f>
        <v>0</v>
      </c>
      <c r="BH170" s="37">
        <f t="shared" si="26"/>
        <v>1.8657439653145001E-2</v>
      </c>
      <c r="BI170" s="37">
        <f t="shared" si="27"/>
        <v>5.4086011081716401E-2</v>
      </c>
      <c r="BJ170" s="37">
        <f t="shared" si="28"/>
        <v>-1.5913988918283599E-2</v>
      </c>
      <c r="BK170" s="54"/>
      <c r="BL170" s="7"/>
    </row>
    <row r="171" spans="1:65" s="18" customFormat="1" x14ac:dyDescent="0.3">
      <c r="A171" s="21">
        <v>167</v>
      </c>
      <c r="B171" s="4" t="s">
        <v>288</v>
      </c>
      <c r="C171" s="4" t="s">
        <v>23</v>
      </c>
      <c r="D171" s="4">
        <v>2</v>
      </c>
      <c r="E171" s="4">
        <v>5.99</v>
      </c>
      <c r="F171" s="4" t="s">
        <v>289</v>
      </c>
      <c r="G171" s="50" t="s">
        <v>290</v>
      </c>
      <c r="H171" s="4">
        <v>1524</v>
      </c>
      <c r="I171" s="51">
        <v>7.0000000000000007E-2</v>
      </c>
      <c r="J171" s="52">
        <v>0.08</v>
      </c>
      <c r="K171" s="52">
        <v>1.2</v>
      </c>
      <c r="L171" s="51">
        <v>1.4999999999999999E-2</v>
      </c>
      <c r="M171" s="51">
        <v>3.0000000000000001E-3</v>
      </c>
      <c r="N171" s="51"/>
      <c r="O171" s="51">
        <v>1.4999999999999999E-2</v>
      </c>
      <c r="P171" s="51">
        <v>5.5E-2</v>
      </c>
      <c r="Q171" s="51">
        <v>2.5000000000000001E-2</v>
      </c>
      <c r="R171" s="51" t="s">
        <v>631</v>
      </c>
      <c r="S171" s="32"/>
      <c r="T171" s="52"/>
      <c r="U171" s="52"/>
      <c r="V171" s="52"/>
      <c r="W171" s="52"/>
      <c r="X171" s="32" t="s">
        <v>631</v>
      </c>
      <c r="Y171" s="53" t="s">
        <v>631</v>
      </c>
      <c r="Z171" s="4">
        <v>45</v>
      </c>
      <c r="AA171" s="53"/>
      <c r="AB171" s="42">
        <f>IF(J171&lt;=0.04,0,IF((BA171-AL171*BF$4*炼钢参数表!$X$5/1000-AM171*BG$4*炼钢参数表!$X$5/1000)&lt;=0.03,0,IF((J171/100/0.1769/炼钢参数表!K171*1000)&gt;(K171-炼钢参数表!J171)/100/0.6566/炼钢参数表!L171*1000,IF(K171&lt;1.6,(K171-炼钢参数表!J171)/100/0.6566/炼钢参数表!L171*1000,(K171-0.08-炼钢参数表!J171)/100/0.6566/炼钢参数表!L171*1000),IF(K171&lt;1.6,J171/100/0.1769/炼钢参数表!K171*1000,(J171-0.08)/100/0.1769/炼钢参数表!K171*1000))))</f>
        <v>0</v>
      </c>
      <c r="AC171" s="8">
        <f>IF((BA171-AB171*$BB$4*0.9/1000-AL171*BF$4*炼钢参数表!$X$5/1000-AM171*BG$4*炼钢参数表!$X$5/1000)&lt;(K171-炼钢参数表!J171-AB171*0.6566*炼钢参数表!L171/10)*0.082,0,(K171-炼钢参数表!J171-AB171*0.6566*炼钢参数表!L171/10)/100/($AC$3/100)/炼钢参数表!L171*1000)</f>
        <v>0</v>
      </c>
      <c r="AD171" s="8">
        <f>IF((BA171-AB171*$BB$4*0.9/1000-AC171*$BC$4*0.9/1000-AL171*BF$4*炼钢参数表!$X$5/1000-AM171*BG$4*炼钢参数表!$X$5/1000)&lt;=(K171-炼钢参数表!J171-AB171*0.6566*炼钢参数表!L171/10-AC171*($AC$3/100)*炼钢参数表!L171/10)*0.02,0,((K171-炼钢参数表!J171-AB171*0.6566*炼钢参数表!L171/10-AC171*($AC$3/100)*炼钢参数表!L171/10)/100/($AD$3/100)/炼钢参数表!L171*1000))</f>
        <v>14.606491947428299</v>
      </c>
      <c r="AE171" s="8">
        <f>(K171-炼钢参数表!J171-AB171*0.6566*炼钢参数表!L171/10-AC171*($AC$3/100)*炼钢参数表!L171/10-AD171*($AD$3/100)*炼钢参数表!L171/10)/100/($AE$3/100)/炼钢参数表!L171*1000</f>
        <v>0</v>
      </c>
      <c r="AF171" s="8">
        <v>0</v>
      </c>
      <c r="AG171" s="8">
        <f>IF(J171&lt;=0.04,0,((J171-(AB171*0.1769*炼钢参数表!K171/1000*100))/100/炼钢参数表!K171/($AG$3/100)*1000))</f>
        <v>1.38446628824588</v>
      </c>
      <c r="AH171" s="8">
        <v>2.1</v>
      </c>
      <c r="AI171" s="8">
        <f>IF(N171="",0,IF(N171&lt;=0.002,0,((N171)/100)/($AI$3/100)/炼钢参数表!M171*1000))</f>
        <v>0</v>
      </c>
      <c r="AJ171" s="8">
        <f>IF(O171="",0,IF(O171&lt;=0.002,0,((O171)/100)/($AJ$3/100)/炼钢参数表!N171*1000))</f>
        <v>0.23533398599292099</v>
      </c>
      <c r="AK171" s="8">
        <f>IF(P171="",0,IF(P171&lt;=0.002,0,((P171+0.005)/100)/($AK$3/100)/炼钢参数表!O171*1000))</f>
        <v>1.1974613818704301</v>
      </c>
      <c r="AL171" s="8">
        <f>IF((BA171-J171*0.00003-K171*0.00024)&lt;=0.05,0,IF(T171="",0,IF(T171&lt;=0.03,0,IF(((BA171-J171*0.00003-K171*0.00024)-0.05)/0.18/100/($AL$3/100)/炼钢参数表!P171*1000&lt;=T171/100/($AL$3/100)/炼钢参数表!P171*1000,((BA171-J171*0.00003-K171*0.00024)-0.05)/0.18/100/($AL$3/100)/炼钢参数表!P171*1000,T171/100/($AL$3/100)/炼钢参数表!P171*1000))))</f>
        <v>0</v>
      </c>
      <c r="AM171" s="8">
        <f>IF(T171="",0,IF(T171&lt;=0.03,0,((T171-AL171*($AL$3/100)*炼钢参数表!P171/10)/100/($AM$3/100)/炼钢参数表!P171*1000)))</f>
        <v>0</v>
      </c>
      <c r="AN171" s="8">
        <f>IF(U171="",0,IF(U171&lt;=0.02,0,(U171/100)/($AN$3/100)/炼钢参数表!Q171*1000))</f>
        <v>0</v>
      </c>
      <c r="AO171" s="8">
        <f>IF(V171="",0,IF(V171&lt;=0.02,0,(V171/100)/($AO$3/100)/炼钢参数表!R171*1000))</f>
        <v>0</v>
      </c>
      <c r="AP171" s="8">
        <f>IF(W171="",0,IF(W171&lt;=0.02,0,(W171/100)/($AP$3/100)/炼钢参数表!S171*1000))</f>
        <v>0</v>
      </c>
      <c r="AQ171" s="8">
        <f>IF(X171="",0,IF(X171&lt;=0.0002,0,(X171/100)/($AQ$3/100)/炼钢参数表!T171*1000))</f>
        <v>0</v>
      </c>
      <c r="AR171" s="8">
        <f>IF(Y171="",0,IF(Y171&lt;=0.02,0,(Y171/100)/($AR$3/100)/炼钢参数表!U171*1000))</f>
        <v>0</v>
      </c>
      <c r="AS171" s="8">
        <f>IF(L171&lt;=0.04,0,((L171-0.04)/100)/($AS$3/100)/炼钢参数表!V171*1000)</f>
        <v>0</v>
      </c>
      <c r="AT171" s="8">
        <f>IF(M171&lt;=0.03,0,((M171-0.03)/100)/($AT$3/100)/炼钢参数表!W171*1000)</f>
        <v>0</v>
      </c>
      <c r="AU171" s="6"/>
      <c r="AV171" s="8">
        <f t="shared" si="23"/>
        <v>19.5237536035376</v>
      </c>
      <c r="AW171" s="8" cm="1">
        <f t="array" ref="AW171">SUMPRODUCT($AB$4:$AU$4,AB171:AU171)/1000</f>
        <v>246.50631684761899</v>
      </c>
      <c r="AY171" s="2" t="str">
        <f t="shared" si="24"/>
        <v>S460MC-1</v>
      </c>
      <c r="AZ171" s="37">
        <f>VLOOKUP(AY171,炼钢参数表!$F$5:$J$1027,4,0)</f>
        <v>4.725E-2</v>
      </c>
      <c r="BA171" s="37">
        <f t="shared" si="25"/>
        <v>2.2749999999999999E-2</v>
      </c>
      <c r="BB171" s="37">
        <f>AB171*$BB$4*炼钢参数表!$X$5/1000</f>
        <v>0</v>
      </c>
      <c r="BC171" s="37">
        <f>AC171*$BC$4*炼钢参数表!$X$5/1000</f>
        <v>0</v>
      </c>
      <c r="BD171" s="37">
        <f>AD171*$BD$4*炼钢参数表!$X$5/1000</f>
        <v>1.9718764129028201E-2</v>
      </c>
      <c r="BE171" s="37">
        <f>AE171*$BE$4*炼钢参数表!$X$5/1000</f>
        <v>0</v>
      </c>
      <c r="BF171" s="37">
        <f>AL171*$BF$4*炼钢参数表!$X$5/1000</f>
        <v>0</v>
      </c>
      <c r="BG171" s="37">
        <f>AM171*$BG$4*炼钢参数表!$X$5/1000</f>
        <v>0</v>
      </c>
      <c r="BH171" s="37">
        <f t="shared" si="26"/>
        <v>1.9718764129028201E-2</v>
      </c>
      <c r="BI171" s="37">
        <f t="shared" si="27"/>
        <v>6.6968764129028205E-2</v>
      </c>
      <c r="BJ171" s="37">
        <f t="shared" si="28"/>
        <v>-3.0312358709717701E-3</v>
      </c>
      <c r="BK171" s="54"/>
      <c r="BL171" s="7"/>
    </row>
    <row r="172" spans="1:65" s="18" customFormat="1" x14ac:dyDescent="0.3">
      <c r="A172" s="21">
        <v>168</v>
      </c>
      <c r="B172" s="4" t="s">
        <v>288</v>
      </c>
      <c r="C172" s="4" t="s">
        <v>26</v>
      </c>
      <c r="D172" s="4">
        <v>6</v>
      </c>
      <c r="E172" s="4">
        <v>20</v>
      </c>
      <c r="F172" s="4" t="s">
        <v>291</v>
      </c>
      <c r="G172" s="50" t="s">
        <v>290</v>
      </c>
      <c r="H172" s="4">
        <v>1524</v>
      </c>
      <c r="I172" s="51">
        <v>7.0000000000000007E-2</v>
      </c>
      <c r="J172" s="52">
        <v>0.08</v>
      </c>
      <c r="K172" s="52">
        <v>1.35</v>
      </c>
      <c r="L172" s="51">
        <v>1.4999999999999999E-2</v>
      </c>
      <c r="M172" s="51">
        <v>3.0000000000000001E-3</v>
      </c>
      <c r="N172" s="51"/>
      <c r="O172" s="51">
        <v>0.03</v>
      </c>
      <c r="P172" s="51">
        <v>0.04</v>
      </c>
      <c r="Q172" s="51">
        <v>2.5000000000000001E-2</v>
      </c>
      <c r="R172" s="51" t="s">
        <v>631</v>
      </c>
      <c r="S172" s="32"/>
      <c r="T172" s="52"/>
      <c r="U172" s="52"/>
      <c r="V172" s="52"/>
      <c r="W172" s="52"/>
      <c r="X172" s="32" t="s">
        <v>631</v>
      </c>
      <c r="Y172" s="53" t="s">
        <v>631</v>
      </c>
      <c r="Z172" s="4">
        <v>45</v>
      </c>
      <c r="AA172" s="53"/>
      <c r="AB172" s="42">
        <f>IF(J172&lt;=0.04,0,IF((BA172-AL172*BF$4*炼钢参数表!$X$5/1000-AM172*BG$4*炼钢参数表!$X$5/1000)&lt;=0.03,0,IF((J172/100/0.1769/炼钢参数表!K172*1000)&gt;(K172-炼钢参数表!J172)/100/0.6566/炼钢参数表!L172*1000,IF(K172&lt;1.6,(K172-炼钢参数表!J172)/100/0.6566/炼钢参数表!L172*1000,(K172-0.08-炼钢参数表!J172)/100/0.6566/炼钢参数表!L172*1000),IF(K172&lt;1.6,J172/100/0.1769/炼钢参数表!K172*1000,(J172-0.08)/100/0.1769/炼钢参数表!K172*1000))))</f>
        <v>0</v>
      </c>
      <c r="AC172" s="8">
        <f>IF((BA172-AB172*$BB$4*0.9/1000-AL172*BF$4*炼钢参数表!$X$5/1000-AM172*BG$4*炼钢参数表!$X$5/1000)&lt;(K172-炼钢参数表!J172-AB172*0.6566*炼钢参数表!L172/10)*0.082,0,(K172-炼钢参数表!J172-AB172*0.6566*炼钢参数表!L172/10)/100/($AC$3/100)/炼钢参数表!L172*1000)</f>
        <v>0</v>
      </c>
      <c r="AD172" s="8">
        <f>IF((BA172-AB172*$BB$4*0.9/1000-AC172*$BC$4*0.9/1000-AL172*BF$4*炼钢参数表!$X$5/1000-AM172*BG$4*炼钢参数表!$X$5/1000)&lt;=(K172-炼钢参数表!J172-AB172*0.6566*炼钢参数表!L172/10-AC172*($AC$3/100)*炼钢参数表!L172/10)*0.02,0,((K172-炼钢参数表!J172-AB172*0.6566*炼钢参数表!L172/10-AC172*($AC$3/100)*炼钢参数表!L172/10)/100/($AD$3/100)/炼钢参数表!L172*1000))</f>
        <v>0</v>
      </c>
      <c r="AE172" s="8">
        <f>(K172-炼钢参数表!J172-AB172*0.6566*炼钢参数表!L172/10-AC172*($AC$3/100)*炼钢参数表!L172/10-AD172*($AD$3/100)*炼钢参数表!L172/10)/100/($AE$3/100)/炼钢参数表!L172*1000</f>
        <v>16.014966153969901</v>
      </c>
      <c r="AF172" s="8">
        <v>0</v>
      </c>
      <c r="AG172" s="8">
        <f>IF(J172&lt;=0.04,0,((J172-(AB172*0.1769*炼钢参数表!K172/1000*100))/100/炼钢参数表!K172/($AG$3/100)*1000))</f>
        <v>1.38446628824588</v>
      </c>
      <c r="AH172" s="8">
        <v>2.1</v>
      </c>
      <c r="AI172" s="8">
        <f>IF(N172="",0,IF(N172&lt;=0.002,0,((N172)/100)/($AI$3/100)/炼钢参数表!M172*1000))</f>
        <v>0</v>
      </c>
      <c r="AJ172" s="8">
        <f>IF(O172="",0,IF(O172&lt;=0.002,0,((O172)/100)/($AJ$3/100)/炼钢参数表!N172*1000))</f>
        <v>0.47066797198584198</v>
      </c>
      <c r="AK172" s="8">
        <f>IF(P172="",0,IF(P172&lt;=0.002,0,((P172+0.005)/100)/($AK$3/100)/炼钢参数表!O172*1000))</f>
        <v>0.89809603640282598</v>
      </c>
      <c r="AL172" s="8">
        <f>IF((BA172-J172*0.00003-K172*0.00024)&lt;=0.05,0,IF(T172="",0,IF(T172&lt;=0.03,0,IF(((BA172-J172*0.00003-K172*0.00024)-0.05)/0.18/100/($AL$3/100)/炼钢参数表!P172*1000&lt;=T172/100/($AL$3/100)/炼钢参数表!P172*1000,((BA172-J172*0.00003-K172*0.00024)-0.05)/0.18/100/($AL$3/100)/炼钢参数表!P172*1000,T172/100/($AL$3/100)/炼钢参数表!P172*1000))))</f>
        <v>0</v>
      </c>
      <c r="AM172" s="8">
        <f>IF(T172="",0,IF(T172&lt;=0.03,0,((T172-AL172*($AL$3/100)*炼钢参数表!P172/10)/100/($AM$3/100)/炼钢参数表!P172*1000)))</f>
        <v>0</v>
      </c>
      <c r="AN172" s="8">
        <f>IF(U172="",0,IF(U172&lt;=0.02,0,(U172/100)/($AN$3/100)/炼钢参数表!Q172*1000))</f>
        <v>0</v>
      </c>
      <c r="AO172" s="8">
        <f>IF(V172="",0,IF(V172&lt;=0.02,0,(V172/100)/($AO$3/100)/炼钢参数表!R172*1000))</f>
        <v>0</v>
      </c>
      <c r="AP172" s="8">
        <f>IF(W172="",0,IF(W172&lt;=0.02,0,(W172/100)/($AP$3/100)/炼钢参数表!S172*1000))</f>
        <v>0</v>
      </c>
      <c r="AQ172" s="8">
        <f>IF(X172="",0,IF(X172&lt;=0.0002,0,(X172/100)/($AQ$3/100)/炼钢参数表!T172*1000))</f>
        <v>0</v>
      </c>
      <c r="AR172" s="8">
        <f>IF(Y172="",0,IF(Y172&lt;=0.02,0,(Y172/100)/($AR$3/100)/炼钢参数表!U172*1000))</f>
        <v>0</v>
      </c>
      <c r="AS172" s="8">
        <f>IF(L172&lt;=0.04,0,((L172-0.04)/100)/($AS$3/100)/炼钢参数表!V172*1000)</f>
        <v>0</v>
      </c>
      <c r="AT172" s="8">
        <f>IF(M172&lt;=0.03,0,((M172-0.03)/100)/($AT$3/100)/炼钢参数表!W172*1000)</f>
        <v>0</v>
      </c>
      <c r="AU172" s="6"/>
      <c r="AV172" s="8">
        <f t="shared" si="23"/>
        <v>20.868196450604501</v>
      </c>
      <c r="AW172" s="8" cm="1">
        <f t="array" ref="AW172">SUMPRODUCT($AB$4:$AU$4,AB172:AU172)/1000</f>
        <v>311.71529272924403</v>
      </c>
      <c r="AY172" s="2" t="str">
        <f t="shared" si="24"/>
        <v>S460MC-2</v>
      </c>
      <c r="AZ172" s="37">
        <f>VLOOKUP(AY172,炼钢参数表!$F$5:$J$1027,4,0)</f>
        <v>4.725E-2</v>
      </c>
      <c r="BA172" s="37">
        <f t="shared" si="25"/>
        <v>2.2749999999999999E-2</v>
      </c>
      <c r="BB172" s="37">
        <f>AB172*$BB$4*炼钢参数表!$X$5/1000</f>
        <v>0</v>
      </c>
      <c r="BC172" s="37">
        <f>AC172*$BC$4*炼钢参数表!$X$5/1000</f>
        <v>0</v>
      </c>
      <c r="BD172" s="37">
        <f>AD172*$BD$4*炼钢参数表!$X$5/1000</f>
        <v>0</v>
      </c>
      <c r="BE172" s="37">
        <f>AE172*$BE$4*炼钢参数表!$X$5/1000</f>
        <v>9.2246205046866703E-3</v>
      </c>
      <c r="BF172" s="37">
        <f>AL172*$BF$4*炼钢参数表!$X$5/1000</f>
        <v>0</v>
      </c>
      <c r="BG172" s="37">
        <f>AM172*$BG$4*炼钢参数表!$X$5/1000</f>
        <v>0</v>
      </c>
      <c r="BH172" s="37">
        <f t="shared" si="26"/>
        <v>9.2246205046866703E-3</v>
      </c>
      <c r="BI172" s="37">
        <f t="shared" si="27"/>
        <v>5.6474620504686698E-2</v>
      </c>
      <c r="BJ172" s="37">
        <f t="shared" si="28"/>
        <v>-1.35253794953133E-2</v>
      </c>
      <c r="BK172" s="54"/>
      <c r="BL172" s="7"/>
    </row>
    <row r="173" spans="1:65" s="18" customFormat="1" x14ac:dyDescent="0.3">
      <c r="A173" s="21">
        <v>169</v>
      </c>
      <c r="B173" s="4" t="s">
        <v>292</v>
      </c>
      <c r="C173" s="4" t="s">
        <v>23</v>
      </c>
      <c r="D173" s="4">
        <v>2</v>
      </c>
      <c r="E173" s="4">
        <v>5.99</v>
      </c>
      <c r="F173" s="4" t="s">
        <v>293</v>
      </c>
      <c r="G173" s="50" t="s">
        <v>294</v>
      </c>
      <c r="H173" s="4">
        <v>1523</v>
      </c>
      <c r="I173" s="51">
        <v>7.4999999999999997E-2</v>
      </c>
      <c r="J173" s="52">
        <v>0.1</v>
      </c>
      <c r="K173" s="52">
        <v>1</v>
      </c>
      <c r="L173" s="51">
        <v>1.4999999999999999E-2</v>
      </c>
      <c r="M173" s="51">
        <v>5.0000000000000001E-3</v>
      </c>
      <c r="N173" s="51"/>
      <c r="O173" s="51">
        <v>0.01</v>
      </c>
      <c r="P173" s="51">
        <v>0.06</v>
      </c>
      <c r="Q173" s="51">
        <v>0.03</v>
      </c>
      <c r="R173" s="51" t="s">
        <v>631</v>
      </c>
      <c r="S173" s="32">
        <v>2E-3</v>
      </c>
      <c r="T173" s="52"/>
      <c r="U173" s="52"/>
      <c r="V173" s="52"/>
      <c r="W173" s="52"/>
      <c r="X173" s="32" t="s">
        <v>631</v>
      </c>
      <c r="Y173" s="53" t="s">
        <v>631</v>
      </c>
      <c r="Z173" s="4">
        <v>45</v>
      </c>
      <c r="AA173" s="53"/>
      <c r="AB173" s="42">
        <f>IF(J173&lt;=0.04,0,IF((BA173-AL173*BF$4*炼钢参数表!$X$5/1000-AM173*BG$4*炼钢参数表!$X$5/1000)&lt;=0.03,0,IF((J173/100/0.1769/炼钢参数表!K173*1000)&gt;(K173-炼钢参数表!J173)/100/0.6566/炼钢参数表!L173*1000,IF(K173&lt;1.6,(K173-炼钢参数表!J173)/100/0.6566/炼钢参数表!L173*1000,(K173-0.08-炼钢参数表!J173)/100/0.6566/炼钢参数表!L173*1000),IF(K173&lt;1.6,J173/100/0.1769/炼钢参数表!K173*1000,(J173-0.08)/100/0.1769/炼钢参数表!K173*1000))))</f>
        <v>7.0661390616167301</v>
      </c>
      <c r="AC173" s="8">
        <f>IF((BA173-AB173*$BB$4*0.9/1000-AL173*BF$4*炼钢参数表!$X$5/1000-AM173*BG$4*炼钢参数表!$X$5/1000)&lt;(K173-炼钢参数表!J173-AB173*0.6566*炼钢参数表!L173/10)*0.082,0,(K173-炼钢参数表!J173-AB173*0.6566*炼钢参数表!L173/10)/100/($AC$3/100)/炼钢参数表!L173*1000)</f>
        <v>0</v>
      </c>
      <c r="AD173" s="8">
        <f>IF((BA173-AB173*$BB$4*0.9/1000-AC173*$BC$4*0.9/1000-AL173*BF$4*炼钢参数表!$X$5/1000-AM173*BG$4*炼钢参数表!$X$5/1000)&lt;=(K173-炼钢参数表!J173-AB173*0.6566*炼钢参数表!L173/10-AC173*($AC$3/100)*炼钢参数表!L173/10)*0.02,0,((K173-炼钢参数表!J173-AB173*0.6566*炼钢参数表!L173/10-AC173*($AC$3/100)*炼钢参数表!L173/10)/100/($AD$3/100)/炼钢参数表!L173*1000))</f>
        <v>6.0287861734855799</v>
      </c>
      <c r="AE173" s="8">
        <f>(K173-炼钢参数表!J173-AB173*0.6566*炼钢参数表!L173/10-AC173*($AC$3/100)*炼钢参数表!L173/10-AD173*($AD$3/100)*炼钢参数表!L173/10)/100/($AE$3/100)/炼钢参数表!L173*1000</f>
        <v>0</v>
      </c>
      <c r="AF173" s="8">
        <v>0</v>
      </c>
      <c r="AG173" s="8">
        <f>IF(J173&lt;=0.04,0,((J173-(AB173*0.1769*炼钢参数表!K173/1000*100))/100/炼钢参数表!K173/($AG$3/100)*1000))</f>
        <v>0</v>
      </c>
      <c r="AH173" s="8">
        <v>2.2999999999999998</v>
      </c>
      <c r="AI173" s="8">
        <f>IF(N173="",0,IF(N173&lt;=0.002,0,((N173)/100)/($AI$3/100)/炼钢参数表!M173*1000))</f>
        <v>0</v>
      </c>
      <c r="AJ173" s="8">
        <f>IF(O173="",0,IF(O173&lt;=0.002,0,((O173)/100)/($AJ$3/100)/炼钢参数表!N173*1000))</f>
        <v>0.15688932399528099</v>
      </c>
      <c r="AK173" s="8">
        <f>IF(P173="",0,IF(P173&lt;=0.002,0,((P173+0.005)/100)/($AK$3/100)/炼钢参数表!O173*1000))</f>
        <v>1.29724983035964</v>
      </c>
      <c r="AL173" s="8">
        <f>IF((BA173-J173*0.00003-K173*0.00024)&lt;=0.05,0,IF(T173="",0,IF(T173&lt;=0.03,0,IF(((BA173-J173*0.00003-K173*0.00024)-0.05)/0.18/100/($AL$3/100)/炼钢参数表!P173*1000&lt;=T173/100/($AL$3/100)/炼钢参数表!P173*1000,((BA173-J173*0.00003-K173*0.00024)-0.05)/0.18/100/($AL$3/100)/炼钢参数表!P173*1000,T173/100/($AL$3/100)/炼钢参数表!P173*1000))))</f>
        <v>0</v>
      </c>
      <c r="AM173" s="8">
        <f>IF(T173="",0,IF(T173&lt;=0.03,0,((T173-AL173*($AL$3/100)*炼钢参数表!P173/10)/100/($AM$3/100)/炼钢参数表!P173*1000)))</f>
        <v>0</v>
      </c>
      <c r="AN173" s="8">
        <f>IF(U173="",0,IF(U173&lt;=0.02,0,(U173/100)/($AN$3/100)/炼钢参数表!Q173*1000))</f>
        <v>0</v>
      </c>
      <c r="AO173" s="8">
        <f>IF(V173="",0,IF(V173&lt;=0.02,0,(V173/100)/($AO$3/100)/炼钢参数表!R173*1000))</f>
        <v>0</v>
      </c>
      <c r="AP173" s="8">
        <f>IF(W173="",0,IF(W173&lt;=0.02,0,(W173/100)/($AP$3/100)/炼钢参数表!S173*1000))</f>
        <v>0</v>
      </c>
      <c r="AQ173" s="8">
        <f>IF(X173="",0,IF(X173&lt;=0.0002,0,(X173/100)/($AQ$3/100)/炼钢参数表!T173*1000))</f>
        <v>0</v>
      </c>
      <c r="AR173" s="8">
        <f>IF(Y173="",0,IF(Y173&lt;=0.02,0,(Y173/100)/($AR$3/100)/炼钢参数表!U173*1000))</f>
        <v>0</v>
      </c>
      <c r="AS173" s="8">
        <f>IF(L173&lt;=0.04,0,((L173-0.04)/100)/($AS$3/100)/炼钢参数表!V173*1000)</f>
        <v>0</v>
      </c>
      <c r="AT173" s="8">
        <f>IF(M173&lt;=0.03,0,((M173-0.03)/100)/($AT$3/100)/炼钢参数表!W173*1000)</f>
        <v>0</v>
      </c>
      <c r="AU173" s="6"/>
      <c r="AV173" s="8">
        <f t="shared" si="23"/>
        <v>16.849064389457201</v>
      </c>
      <c r="AW173" s="8" cm="1">
        <f t="array" ref="AW173">SUMPRODUCT($AB$4:$AU$4,AB173:AU173)/1000</f>
        <v>201.326826801983</v>
      </c>
      <c r="AY173" s="2" t="str">
        <f t="shared" si="24"/>
        <v>S500MC-1</v>
      </c>
      <c r="AZ173" s="37">
        <f>VLOOKUP(AY173,炼钢参数表!$F$5:$J$1027,4,0)</f>
        <v>4.2095238095238102E-2</v>
      </c>
      <c r="BA173" s="37">
        <f t="shared" si="25"/>
        <v>3.2904761904761902E-2</v>
      </c>
      <c r="BB173" s="37">
        <f>AB173*$BB$4*炼钢参数表!$X$5/1000</f>
        <v>1.09383832673827E-2</v>
      </c>
      <c r="BC173" s="37">
        <f>AC173*$BC$4*炼钢参数表!$X$5/1000</f>
        <v>0</v>
      </c>
      <c r="BD173" s="37">
        <f>AD173*$BD$4*炼钢参数表!$X$5/1000</f>
        <v>8.1388613342055303E-3</v>
      </c>
      <c r="BE173" s="37">
        <f>AE173*$BE$4*炼钢参数表!$X$5/1000</f>
        <v>0</v>
      </c>
      <c r="BF173" s="37">
        <f>AL173*$BF$4*炼钢参数表!$X$5/1000</f>
        <v>0</v>
      </c>
      <c r="BG173" s="37">
        <f>AM173*$BG$4*炼钢参数表!$X$5/1000</f>
        <v>0</v>
      </c>
      <c r="BH173" s="37">
        <f t="shared" si="26"/>
        <v>1.90772446015882E-2</v>
      </c>
      <c r="BI173" s="37">
        <f t="shared" si="27"/>
        <v>6.1172482696826298E-2</v>
      </c>
      <c r="BJ173" s="37">
        <f t="shared" si="28"/>
        <v>-1.3827517303173701E-2</v>
      </c>
      <c r="BK173" s="54"/>
      <c r="BL173" s="7"/>
    </row>
    <row r="174" spans="1:65" s="18" customFormat="1" x14ac:dyDescent="0.3">
      <c r="A174" s="21">
        <v>170</v>
      </c>
      <c r="B174" s="4" t="s">
        <v>292</v>
      </c>
      <c r="C174" s="4" t="s">
        <v>26</v>
      </c>
      <c r="D174" s="4">
        <v>6</v>
      </c>
      <c r="E174" s="4">
        <v>14</v>
      </c>
      <c r="F174" s="4" t="s">
        <v>295</v>
      </c>
      <c r="G174" s="50" t="s">
        <v>294</v>
      </c>
      <c r="H174" s="4">
        <v>1523</v>
      </c>
      <c r="I174" s="51">
        <v>7.4999999999999997E-2</v>
      </c>
      <c r="J174" s="52">
        <v>0.1</v>
      </c>
      <c r="K174" s="52">
        <v>1.1000000000000001</v>
      </c>
      <c r="L174" s="51">
        <v>1.4999999999999999E-2</v>
      </c>
      <c r="M174" s="51">
        <v>5.0000000000000001E-3</v>
      </c>
      <c r="N174" s="51"/>
      <c r="O174" s="51">
        <v>0.01</v>
      </c>
      <c r="P174" s="51">
        <v>7.0000000000000007E-2</v>
      </c>
      <c r="Q174" s="51">
        <v>0.03</v>
      </c>
      <c r="R174" s="51" t="s">
        <v>631</v>
      </c>
      <c r="S174" s="32">
        <v>2E-3</v>
      </c>
      <c r="T174" s="52"/>
      <c r="U174" s="52"/>
      <c r="V174" s="52"/>
      <c r="W174" s="52"/>
      <c r="X174" s="32" t="s">
        <v>631</v>
      </c>
      <c r="Y174" s="53" t="s">
        <v>631</v>
      </c>
      <c r="Z174" s="4">
        <v>45</v>
      </c>
      <c r="AA174" s="53"/>
      <c r="AB174" s="42">
        <f>IF(J174&lt;=0.04,0,IF((BA174-AL174*BF$4*炼钢参数表!$X$5/1000-AM174*BG$4*炼钢参数表!$X$5/1000)&lt;=0.03,0,IF((J174/100/0.1769/炼钢参数表!K174*1000)&gt;(K174-炼钢参数表!J174)/100/0.6566/炼钢参数表!L174*1000,IF(K174&lt;1.6,(K174-炼钢参数表!J174)/100/0.6566/炼钢参数表!L174*1000,(K174-0.08-炼钢参数表!J174)/100/0.6566/炼钢参数表!L174*1000),IF(K174&lt;1.6,J174/100/0.1769/炼钢参数表!K174*1000,(J174-0.08)/100/0.1769/炼钢参数表!K174*1000))))</f>
        <v>7.0661390616167301</v>
      </c>
      <c r="AC174" s="8">
        <f>IF((BA174-AB174*$BB$4*0.9/1000-AL174*BF$4*炼钢参数表!$X$5/1000-AM174*BG$4*炼钢参数表!$X$5/1000)&lt;(K174-炼钢参数表!J174-AB174*0.6566*炼钢参数表!L174/10)*0.082,0,(K174-炼钢参数表!J174-AB174*0.6566*炼钢参数表!L174/10)/100/($AC$3/100)/炼钢参数表!L174*1000)</f>
        <v>0</v>
      </c>
      <c r="AD174" s="8">
        <f>IF((BA174-AB174*$BB$4*0.9/1000-AC174*$BC$4*0.9/1000-AL174*BF$4*炼钢参数表!$X$5/1000-AM174*BG$4*炼钢参数表!$X$5/1000)&lt;=(K174-炼钢参数表!J174-AB174*0.6566*炼钢参数表!L174/10-AC174*($AC$3/100)*炼钢参数表!L174/10)*0.02,0,((K174-炼钢参数表!J174-AB174*0.6566*炼钢参数表!L174/10-AC174*($AC$3/100)*炼钢参数表!L174/10)/100/($AD$3/100)/炼钢参数表!L174*1000))</f>
        <v>7.3280071605817101</v>
      </c>
      <c r="AE174" s="8">
        <f>(K174-炼钢参数表!J174-AB174*0.6566*炼钢参数表!L174/10-AC174*($AC$3/100)*炼钢参数表!L174/10-AD174*($AD$3/100)*炼钢参数表!L174/10)/100/($AE$3/100)/炼钢参数表!L174*1000</f>
        <v>0</v>
      </c>
      <c r="AF174" s="8">
        <v>0</v>
      </c>
      <c r="AG174" s="8">
        <f>IF(J174&lt;=0.04,0,((J174-(AB174*0.1769*炼钢参数表!K174/1000*100))/100/炼钢参数表!K174/($AG$3/100)*1000))</f>
        <v>0</v>
      </c>
      <c r="AH174" s="8">
        <v>2.2999999999999998</v>
      </c>
      <c r="AI174" s="8">
        <f>IF(N174="",0,IF(N174&lt;=0.002,0,((N174)/100)/($AI$3/100)/炼钢参数表!M174*1000))</f>
        <v>0</v>
      </c>
      <c r="AJ174" s="8">
        <f>IF(O174="",0,IF(O174&lt;=0.002,0,((O174)/100)/($AJ$3/100)/炼钢参数表!N174*1000))</f>
        <v>0.15688932399528099</v>
      </c>
      <c r="AK174" s="8">
        <f>IF(P174="",0,IF(P174&lt;=0.002,0,((P174+0.005)/100)/($AK$3/100)/炼钢参数表!O174*1000))</f>
        <v>1.49682672733804</v>
      </c>
      <c r="AL174" s="8">
        <f>IF((BA174-J174*0.00003-K174*0.00024)&lt;=0.05,0,IF(T174="",0,IF(T174&lt;=0.03,0,IF(((BA174-J174*0.00003-K174*0.00024)-0.05)/0.18/100/($AL$3/100)/炼钢参数表!P174*1000&lt;=T174/100/($AL$3/100)/炼钢参数表!P174*1000,((BA174-J174*0.00003-K174*0.00024)-0.05)/0.18/100/($AL$3/100)/炼钢参数表!P174*1000,T174/100/($AL$3/100)/炼钢参数表!P174*1000))))</f>
        <v>0</v>
      </c>
      <c r="AM174" s="8">
        <f>IF(T174="",0,IF(T174&lt;=0.03,0,((T174-AL174*($AL$3/100)*炼钢参数表!P174/10)/100/($AM$3/100)/炼钢参数表!P174*1000)))</f>
        <v>0</v>
      </c>
      <c r="AN174" s="8">
        <f>IF(U174="",0,IF(U174&lt;=0.02,0,(U174/100)/($AN$3/100)/炼钢参数表!Q174*1000))</f>
        <v>0</v>
      </c>
      <c r="AO174" s="8">
        <f>IF(V174="",0,IF(V174&lt;=0.02,0,(V174/100)/($AO$3/100)/炼钢参数表!R174*1000))</f>
        <v>0</v>
      </c>
      <c r="AP174" s="8">
        <f>IF(W174="",0,IF(W174&lt;=0.02,0,(W174/100)/($AP$3/100)/炼钢参数表!S174*1000))</f>
        <v>0</v>
      </c>
      <c r="AQ174" s="8">
        <f>IF(X174="",0,IF(X174&lt;=0.0002,0,(X174/100)/($AQ$3/100)/炼钢参数表!T174*1000))</f>
        <v>0</v>
      </c>
      <c r="AR174" s="8">
        <f>IF(Y174="",0,IF(Y174&lt;=0.02,0,(Y174/100)/($AR$3/100)/炼钢参数表!U174*1000))</f>
        <v>0</v>
      </c>
      <c r="AS174" s="8">
        <f>IF(L174&lt;=0.04,0,((L174-0.04)/100)/($AS$3/100)/炼钢参数表!V174*1000)</f>
        <v>0</v>
      </c>
      <c r="AT174" s="8">
        <f>IF(M174&lt;=0.03,0,((M174-0.03)/100)/($AT$3/100)/炼钢参数表!W174*1000)</f>
        <v>0</v>
      </c>
      <c r="AU174" s="6"/>
      <c r="AV174" s="8">
        <f t="shared" si="23"/>
        <v>18.347862273531799</v>
      </c>
      <c r="AW174" s="8" cm="1">
        <f t="array" ref="AW174">SUMPRODUCT($AB$4:$AU$4,AB174:AU174)/1000</f>
        <v>216.17389487286499</v>
      </c>
      <c r="AY174" s="2" t="str">
        <f t="shared" si="24"/>
        <v>S500MC-2</v>
      </c>
      <c r="AZ174" s="37">
        <f>VLOOKUP(AY174,炼钢参数表!$F$5:$J$1027,4,0)</f>
        <v>4.2095238095238102E-2</v>
      </c>
      <c r="BA174" s="37">
        <f t="shared" si="25"/>
        <v>3.2904761904761902E-2</v>
      </c>
      <c r="BB174" s="37">
        <f>AB174*$BB$4*炼钢参数表!$X$5/1000</f>
        <v>1.09383832673827E-2</v>
      </c>
      <c r="BC174" s="37">
        <f>AC174*$BC$4*炼钢参数表!$X$5/1000</f>
        <v>0</v>
      </c>
      <c r="BD174" s="37">
        <f>AD174*$BD$4*炼钢参数表!$X$5/1000</f>
        <v>9.8928096667853203E-3</v>
      </c>
      <c r="BE174" s="37">
        <f>AE174*$BE$4*炼钢参数表!$X$5/1000</f>
        <v>0</v>
      </c>
      <c r="BF174" s="37">
        <f>AL174*$BF$4*炼钢参数表!$X$5/1000</f>
        <v>0</v>
      </c>
      <c r="BG174" s="37">
        <f>AM174*$BG$4*炼钢参数表!$X$5/1000</f>
        <v>0</v>
      </c>
      <c r="BH174" s="37">
        <f t="shared" si="26"/>
        <v>2.0831192934167998E-2</v>
      </c>
      <c r="BI174" s="37">
        <f t="shared" si="27"/>
        <v>6.2926431029406094E-2</v>
      </c>
      <c r="BJ174" s="37">
        <f t="shared" si="28"/>
        <v>-1.20735689705939E-2</v>
      </c>
      <c r="BK174" s="54"/>
      <c r="BL174" s="7"/>
    </row>
    <row r="175" spans="1:65" s="18" customFormat="1" x14ac:dyDescent="0.3">
      <c r="A175" s="21">
        <v>171</v>
      </c>
      <c r="B175" s="4" t="s">
        <v>296</v>
      </c>
      <c r="C175" s="4" t="s">
        <v>23</v>
      </c>
      <c r="D175" s="4">
        <v>2</v>
      </c>
      <c r="E175" s="4">
        <v>5.99</v>
      </c>
      <c r="F175" s="4" t="s">
        <v>297</v>
      </c>
      <c r="G175" s="50" t="s">
        <v>298</v>
      </c>
      <c r="H175" s="4">
        <v>1524</v>
      </c>
      <c r="I175" s="51">
        <v>7.0000000000000007E-2</v>
      </c>
      <c r="J175" s="52">
        <v>0.08</v>
      </c>
      <c r="K175" s="52">
        <v>0.95</v>
      </c>
      <c r="L175" s="51">
        <v>1.4999999999999999E-2</v>
      </c>
      <c r="M175" s="51">
        <v>4.0000000000000001E-3</v>
      </c>
      <c r="N175" s="51"/>
      <c r="O175" s="51">
        <v>0.01</v>
      </c>
      <c r="P175" s="51">
        <v>0.04</v>
      </c>
      <c r="Q175" s="51">
        <v>2.5000000000000001E-2</v>
      </c>
      <c r="R175" s="51" t="s">
        <v>631</v>
      </c>
      <c r="S175" s="32"/>
      <c r="T175" s="52"/>
      <c r="U175" s="52"/>
      <c r="V175" s="52"/>
      <c r="W175" s="52"/>
      <c r="X175" s="32" t="s">
        <v>631</v>
      </c>
      <c r="Y175" s="53" t="s">
        <v>631</v>
      </c>
      <c r="Z175" s="4">
        <v>45</v>
      </c>
      <c r="AA175" s="53"/>
      <c r="AB175" s="42">
        <f>IF(J175&lt;=0.04,0,IF((BA175-AL175*BF$4*炼钢参数表!$X$5/1000-AM175*BG$4*炼钢参数表!$X$5/1000)&lt;=0.03,0,IF((J175/100/0.1769/炼钢参数表!K175*1000)&gt;(K175-炼钢参数表!J175)/100/0.6566/炼钢参数表!L175*1000,IF(K175&lt;1.6,(K175-炼钢参数表!J175)/100/0.6566/炼钢参数表!L175*1000,(K175-0.08-炼钢参数表!J175)/100/0.6566/炼钢参数表!L175*1000),IF(K175&lt;1.6,J175/100/0.1769/炼钢参数表!K175*1000,(J175-0.08)/100/0.1769/炼钢参数表!K175*1000))))</f>
        <v>0</v>
      </c>
      <c r="AC175" s="8">
        <f>IF((BA175-AB175*$BB$4*0.9/1000-AL175*BF$4*炼钢参数表!$X$5/1000-AM175*BG$4*炼钢参数表!$X$5/1000)&lt;(K175-炼钢参数表!J175-AB175*0.6566*炼钢参数表!L175/10)*0.082,0,(K175-炼钢参数表!J175-AB175*0.6566*炼钢参数表!L175/10)/100/($AC$3/100)/炼钢参数表!L175*1000)</f>
        <v>0</v>
      </c>
      <c r="AD175" s="8">
        <f>IF((BA175-AB175*$BB$4*0.9/1000-AC175*$BC$4*0.9/1000-AL175*BF$4*炼钢参数表!$X$5/1000-AM175*BG$4*炼钢参数表!$X$5/1000)&lt;=(K175-炼钢参数表!J175-AB175*0.6566*炼钢参数表!L175/10-AC175*($AC$3/100)*炼钢参数表!L175/10)*0.02,0,((K175-炼钢参数表!J175-AB175*0.6566*炼钢参数表!L175/10-AC175*($AC$3/100)*炼钢参数表!L175/10)/100/($AD$3/100)/炼钢参数表!L175*1000))</f>
        <v>11.4071602667041</v>
      </c>
      <c r="AE175" s="8">
        <f>(K175-炼钢参数表!J175-AB175*0.6566*炼钢参数表!L175/10-AC175*($AC$3/100)*炼钢参数表!L175/10-AD175*($AD$3/100)*炼钢参数表!L175/10)/100/($AE$3/100)/炼钢参数表!L175*1000</f>
        <v>0</v>
      </c>
      <c r="AF175" s="8">
        <v>0</v>
      </c>
      <c r="AG175" s="8">
        <f>IF(J175&lt;=0.04,0,((J175-(AB175*0.1769*炼钢参数表!K175/1000*100))/100/炼钢参数表!K175/($AG$3/100)*1000))</f>
        <v>1.38446628824588</v>
      </c>
      <c r="AH175" s="8">
        <v>2.1</v>
      </c>
      <c r="AI175" s="8">
        <f>IF(N175="",0,IF(N175&lt;=0.002,0,((N175)/100)/($AI$3/100)/炼钢参数表!M175*1000))</f>
        <v>0</v>
      </c>
      <c r="AJ175" s="8">
        <f>IF(O175="",0,IF(O175&lt;=0.002,0,((O175)/100)/($AJ$3/100)/炼钢参数表!N175*1000))</f>
        <v>0.15688932399528099</v>
      </c>
      <c r="AK175" s="8">
        <f>IF(P175="",0,IF(P175&lt;=0.002,0,((P175+0.005)/100)/($AK$3/100)/炼钢参数表!O175*1000))</f>
        <v>0.89809603640282598</v>
      </c>
      <c r="AL175" s="8">
        <f>IF((BA175-J175*0.00003-K175*0.00024)&lt;=0.05,0,IF(T175="",0,IF(T175&lt;=0.03,0,IF(((BA175-J175*0.00003-K175*0.00024)-0.05)/0.18/100/($AL$3/100)/炼钢参数表!P175*1000&lt;=T175/100/($AL$3/100)/炼钢参数表!P175*1000,((BA175-J175*0.00003-K175*0.00024)-0.05)/0.18/100/($AL$3/100)/炼钢参数表!P175*1000,T175/100/($AL$3/100)/炼钢参数表!P175*1000))))</f>
        <v>0</v>
      </c>
      <c r="AM175" s="8">
        <f>IF(T175="",0,IF(T175&lt;=0.03,0,((T175-AL175*($AL$3/100)*炼钢参数表!P175/10)/100/($AM$3/100)/炼钢参数表!P175*1000)))</f>
        <v>0</v>
      </c>
      <c r="AN175" s="8">
        <f>IF(U175="",0,IF(U175&lt;=0.02,0,(U175/100)/($AN$3/100)/炼钢参数表!Q175*1000))</f>
        <v>0</v>
      </c>
      <c r="AO175" s="8">
        <f>IF(V175="",0,IF(V175&lt;=0.02,0,(V175/100)/($AO$3/100)/炼钢参数表!R175*1000))</f>
        <v>0</v>
      </c>
      <c r="AP175" s="8">
        <f>IF(W175="",0,IF(W175&lt;=0.02,0,(W175/100)/($AP$3/100)/炼钢参数表!S175*1000))</f>
        <v>0</v>
      </c>
      <c r="AQ175" s="8">
        <f>IF(X175="",0,IF(X175&lt;=0.0002,0,(X175/100)/($AQ$3/100)/炼钢参数表!T175*1000))</f>
        <v>0</v>
      </c>
      <c r="AR175" s="8">
        <f>IF(Y175="",0,IF(Y175&lt;=0.02,0,(Y175/100)/($AR$3/100)/炼钢参数表!U175*1000))</f>
        <v>0</v>
      </c>
      <c r="AS175" s="8">
        <f>IF(L175&lt;=0.04,0,((L175-0.04)/100)/($AS$3/100)/炼钢参数表!V175*1000)</f>
        <v>0</v>
      </c>
      <c r="AT175" s="8">
        <f>IF(M175&lt;=0.03,0,((M175-0.03)/100)/($AT$3/100)/炼钢参数表!W175*1000)</f>
        <v>0</v>
      </c>
      <c r="AU175" s="6"/>
      <c r="AV175" s="8">
        <f t="shared" si="23"/>
        <v>15.9466119153481</v>
      </c>
      <c r="AW175" s="8" cm="1">
        <f t="array" ref="AW175">SUMPRODUCT($AB$4:$AU$4,AB175:AU175)/1000</f>
        <v>197.674131678132</v>
      </c>
      <c r="AY175" s="2" t="str">
        <f t="shared" si="24"/>
        <v>QStE420TM-1</v>
      </c>
      <c r="AZ175" s="37">
        <f>VLOOKUP(AY175,炼钢参数表!$F$5:$J$1027,4,0)</f>
        <v>4.8000000000000001E-2</v>
      </c>
      <c r="BA175" s="37">
        <f t="shared" si="25"/>
        <v>2.1999999999999999E-2</v>
      </c>
      <c r="BB175" s="37">
        <f>AB175*$BB$4*炼钢参数表!$X$5/1000</f>
        <v>0</v>
      </c>
      <c r="BC175" s="37">
        <f>AC175*$BC$4*炼钢参数表!$X$5/1000</f>
        <v>0</v>
      </c>
      <c r="BD175" s="37">
        <f>AD175*$BD$4*炼钢参数表!$X$5/1000</f>
        <v>1.5399666360050499E-2</v>
      </c>
      <c r="BE175" s="37">
        <f>AE175*$BE$4*炼钢参数表!$X$5/1000</f>
        <v>0</v>
      </c>
      <c r="BF175" s="37">
        <f>AL175*$BF$4*炼钢参数表!$X$5/1000</f>
        <v>0</v>
      </c>
      <c r="BG175" s="37">
        <f>AM175*$BG$4*炼钢参数表!$X$5/1000</f>
        <v>0</v>
      </c>
      <c r="BH175" s="37">
        <f t="shared" si="26"/>
        <v>1.5399666360050499E-2</v>
      </c>
      <c r="BI175" s="37">
        <f t="shared" si="27"/>
        <v>6.3399666360050497E-2</v>
      </c>
      <c r="BJ175" s="37">
        <f t="shared" si="28"/>
        <v>-6.6003336399495004E-3</v>
      </c>
      <c r="BK175" s="54"/>
      <c r="BL175" s="7"/>
    </row>
    <row r="176" spans="1:65" s="18" customFormat="1" x14ac:dyDescent="0.3">
      <c r="A176" s="21">
        <v>172</v>
      </c>
      <c r="B176" s="4" t="s">
        <v>296</v>
      </c>
      <c r="C176" s="4" t="s">
        <v>26</v>
      </c>
      <c r="D176" s="4">
        <v>6</v>
      </c>
      <c r="E176" s="4">
        <v>12</v>
      </c>
      <c r="F176" s="4" t="s">
        <v>299</v>
      </c>
      <c r="G176" s="50" t="s">
        <v>298</v>
      </c>
      <c r="H176" s="4">
        <v>1524</v>
      </c>
      <c r="I176" s="51">
        <v>7.0000000000000007E-2</v>
      </c>
      <c r="J176" s="52">
        <v>0.08</v>
      </c>
      <c r="K176" s="52">
        <v>1</v>
      </c>
      <c r="L176" s="51">
        <v>1.4999999999999999E-2</v>
      </c>
      <c r="M176" s="51">
        <v>4.0000000000000001E-3</v>
      </c>
      <c r="N176" s="51"/>
      <c r="O176" s="51">
        <v>1.4999999999999999E-2</v>
      </c>
      <c r="P176" s="51">
        <v>0.04</v>
      </c>
      <c r="Q176" s="51">
        <v>2.5000000000000001E-2</v>
      </c>
      <c r="R176" s="51" t="s">
        <v>631</v>
      </c>
      <c r="S176" s="32"/>
      <c r="T176" s="52"/>
      <c r="U176" s="52"/>
      <c r="V176" s="52"/>
      <c r="W176" s="52"/>
      <c r="X176" s="32" t="s">
        <v>631</v>
      </c>
      <c r="Y176" s="53" t="s">
        <v>631</v>
      </c>
      <c r="Z176" s="4">
        <v>45</v>
      </c>
      <c r="AA176" s="53"/>
      <c r="AB176" s="42">
        <f>IF(J176&lt;=0.04,0,IF((BA176-AL176*BF$4*炼钢参数表!$X$5/1000-AM176*BG$4*炼钢参数表!$X$5/1000)&lt;=0.03,0,IF((J176/100/0.1769/炼钢参数表!K176*1000)&gt;(K176-炼钢参数表!J176)/100/0.6566/炼钢参数表!L176*1000,IF(K176&lt;1.6,(K176-炼钢参数表!J176)/100/0.6566/炼钢参数表!L176*1000,(K176-0.08-炼钢参数表!J176)/100/0.6566/炼钢参数表!L176*1000),IF(K176&lt;1.6,J176/100/0.1769/炼钢参数表!K176*1000,(J176-0.08)/100/0.1769/炼钢参数表!K176*1000))))</f>
        <v>0</v>
      </c>
      <c r="AC176" s="8">
        <f>IF((BA176-AB176*$BB$4*0.9/1000-AL176*BF$4*炼钢参数表!$X$5/1000-AM176*BG$4*炼钢参数表!$X$5/1000)&lt;(K176-炼钢参数表!J176-AB176*0.6566*炼钢参数表!L176/10)*0.082,0,(K176-炼钢参数表!J176-AB176*0.6566*炼钢参数表!L176/10)/100/($AC$3/100)/炼钢参数表!L176*1000)</f>
        <v>0</v>
      </c>
      <c r="AD176" s="8">
        <f>IF((BA176-AB176*$BB$4*0.9/1000-AC176*$BC$4*0.9/1000-AL176*BF$4*炼钢参数表!$X$5/1000-AM176*BG$4*炼钢参数表!$X$5/1000)&lt;=(K176-炼钢参数表!J176-AB176*0.6566*炼钢参数表!L176/10-AC176*($AC$3/100)*炼钢参数表!L176/10)*0.02,0,((K176-炼钢参数表!J176-AB176*0.6566*炼钢参数表!L176/10-AC176*($AC$3/100)*炼钢参数表!L176/10)/100/($AD$3/100)/炼钢参数表!L176*1000))</f>
        <v>12.056770760252199</v>
      </c>
      <c r="AE176" s="8">
        <f>(K176-炼钢参数表!J176-AB176*0.6566*炼钢参数表!L176/10-AC176*($AC$3/100)*炼钢参数表!L176/10-AD176*($AD$3/100)*炼钢参数表!L176/10)/100/($AE$3/100)/炼钢参数表!L176*1000</f>
        <v>0</v>
      </c>
      <c r="AF176" s="8">
        <v>0</v>
      </c>
      <c r="AG176" s="8">
        <f>IF(J176&lt;=0.04,0,((J176-(AB176*0.1769*炼钢参数表!K176/1000*100))/100/炼钢参数表!K176/($AG$3/100)*1000))</f>
        <v>1.38446628824588</v>
      </c>
      <c r="AH176" s="8">
        <v>2.1</v>
      </c>
      <c r="AI176" s="8">
        <f>IF(N176="",0,IF(N176&lt;=0.002,0,((N176)/100)/($AI$3/100)/炼钢参数表!M176*1000))</f>
        <v>0</v>
      </c>
      <c r="AJ176" s="8">
        <f>IF(O176="",0,IF(O176&lt;=0.002,0,((O176)/100)/($AJ$3/100)/炼钢参数表!N176*1000))</f>
        <v>0.23533398599292099</v>
      </c>
      <c r="AK176" s="8">
        <f>IF(P176="",0,IF(P176&lt;=0.002,0,((P176+0.005)/100)/($AK$3/100)/炼钢参数表!O176*1000))</f>
        <v>0.89809603640282598</v>
      </c>
      <c r="AL176" s="8">
        <f>IF((BA176-J176*0.00003-K176*0.00024)&lt;=0.05,0,IF(T176="",0,IF(T176&lt;=0.03,0,IF(((BA176-J176*0.00003-K176*0.00024)-0.05)/0.18/100/($AL$3/100)/炼钢参数表!P176*1000&lt;=T176/100/($AL$3/100)/炼钢参数表!P176*1000,((BA176-J176*0.00003-K176*0.00024)-0.05)/0.18/100/($AL$3/100)/炼钢参数表!P176*1000,T176/100/($AL$3/100)/炼钢参数表!P176*1000))))</f>
        <v>0</v>
      </c>
      <c r="AM176" s="8">
        <f>IF(T176="",0,IF(T176&lt;=0.03,0,((T176-AL176*($AL$3/100)*炼钢参数表!P176/10)/100/($AM$3/100)/炼钢参数表!P176*1000)))</f>
        <v>0</v>
      </c>
      <c r="AN176" s="8">
        <f>IF(U176="",0,IF(U176&lt;=0.02,0,(U176/100)/($AN$3/100)/炼钢参数表!Q176*1000))</f>
        <v>0</v>
      </c>
      <c r="AO176" s="8">
        <f>IF(V176="",0,IF(V176&lt;=0.02,0,(V176/100)/($AO$3/100)/炼钢参数表!R176*1000))</f>
        <v>0</v>
      </c>
      <c r="AP176" s="8">
        <f>IF(W176="",0,IF(W176&lt;=0.02,0,(W176/100)/($AP$3/100)/炼钢参数表!S176*1000))</f>
        <v>0</v>
      </c>
      <c r="AQ176" s="8">
        <f>IF(X176="",0,IF(X176&lt;=0.0002,0,(X176/100)/($AQ$3/100)/炼钢参数表!T176*1000))</f>
        <v>0</v>
      </c>
      <c r="AR176" s="8">
        <f>IF(Y176="",0,IF(Y176&lt;=0.02,0,(Y176/100)/($AR$3/100)/炼钢参数表!U176*1000))</f>
        <v>0</v>
      </c>
      <c r="AS176" s="8">
        <f>IF(L176&lt;=0.04,0,((L176-0.04)/100)/($AS$3/100)/炼钢参数表!V176*1000)</f>
        <v>0</v>
      </c>
      <c r="AT176" s="8">
        <f>IF(M176&lt;=0.03,0,((M176-0.03)/100)/($AT$3/100)/炼钢参数表!W176*1000)</f>
        <v>0</v>
      </c>
      <c r="AU176" s="6"/>
      <c r="AV176" s="8">
        <f t="shared" si="23"/>
        <v>16.674667070893801</v>
      </c>
      <c r="AW176" s="8" cm="1">
        <f t="array" ref="AW176">SUMPRODUCT($AB$4:$AU$4,AB176:AU176)/1000</f>
        <v>219.59078413372399</v>
      </c>
      <c r="AY176" s="2" t="str">
        <f t="shared" si="24"/>
        <v>QStE420TM-2</v>
      </c>
      <c r="AZ176" s="37">
        <f>VLOOKUP(AY176,炼钢参数表!$F$5:$J$1027,4,0)</f>
        <v>4.8000000000000001E-2</v>
      </c>
      <c r="BA176" s="37">
        <f t="shared" si="25"/>
        <v>2.1999999999999999E-2</v>
      </c>
      <c r="BB176" s="37">
        <f>AB176*$BB$4*炼钢参数表!$X$5/1000</f>
        <v>0</v>
      </c>
      <c r="BC176" s="37">
        <f>AC176*$BC$4*炼钢参数表!$X$5/1000</f>
        <v>0</v>
      </c>
      <c r="BD176" s="37">
        <f>AD176*$BD$4*炼钢参数表!$X$5/1000</f>
        <v>1.62766405263404E-2</v>
      </c>
      <c r="BE176" s="37">
        <f>AE176*$BE$4*炼钢参数表!$X$5/1000</f>
        <v>0</v>
      </c>
      <c r="BF176" s="37">
        <f>AL176*$BF$4*炼钢参数表!$X$5/1000</f>
        <v>0</v>
      </c>
      <c r="BG176" s="37">
        <f>AM176*$BG$4*炼钢参数表!$X$5/1000</f>
        <v>0</v>
      </c>
      <c r="BH176" s="37">
        <f t="shared" si="26"/>
        <v>1.62766405263404E-2</v>
      </c>
      <c r="BI176" s="37">
        <f t="shared" si="27"/>
        <v>6.4276640526340398E-2</v>
      </c>
      <c r="BJ176" s="37">
        <f t="shared" si="28"/>
        <v>-5.7233594736595898E-3</v>
      </c>
      <c r="BK176" s="54"/>
      <c r="BL176" s="7"/>
    </row>
    <row r="177" spans="1:64" x14ac:dyDescent="0.3">
      <c r="A177" s="21">
        <v>173</v>
      </c>
      <c r="B177" s="4" t="s">
        <v>300</v>
      </c>
      <c r="C177" s="4" t="s">
        <v>23</v>
      </c>
      <c r="D177" s="4">
        <v>2</v>
      </c>
      <c r="E177" s="4">
        <v>5.99</v>
      </c>
      <c r="F177" s="4" t="s">
        <v>301</v>
      </c>
      <c r="G177" s="50" t="s">
        <v>302</v>
      </c>
      <c r="H177" s="4">
        <v>1523</v>
      </c>
      <c r="I177" s="51">
        <v>7.4999999999999997E-2</v>
      </c>
      <c r="J177" s="52">
        <v>0.1</v>
      </c>
      <c r="K177" s="52">
        <v>1</v>
      </c>
      <c r="L177" s="51">
        <v>1.4999999999999999E-2</v>
      </c>
      <c r="M177" s="51">
        <v>5.0000000000000001E-3</v>
      </c>
      <c r="N177" s="51"/>
      <c r="O177" s="51">
        <v>0.01</v>
      </c>
      <c r="P177" s="51">
        <v>0.06</v>
      </c>
      <c r="Q177" s="51">
        <v>0.03</v>
      </c>
      <c r="R177" s="51" t="s">
        <v>631</v>
      </c>
      <c r="S177" s="32">
        <v>2E-3</v>
      </c>
      <c r="T177" s="52"/>
      <c r="U177" s="52"/>
      <c r="V177" s="52"/>
      <c r="W177" s="52"/>
      <c r="X177" s="32" t="s">
        <v>631</v>
      </c>
      <c r="Y177" s="53" t="s">
        <v>631</v>
      </c>
      <c r="Z177" s="4">
        <v>45</v>
      </c>
      <c r="AA177" s="53"/>
      <c r="AB177" s="42">
        <f>IF(J177&lt;=0.04,0,IF((BA177-AL177*BF$4*炼钢参数表!$X$5/1000-AM177*BG$4*炼钢参数表!$X$5/1000)&lt;=0.03,0,IF((J177/100/0.1769/炼钢参数表!K177*1000)&gt;(K177-炼钢参数表!J177)/100/0.6566/炼钢参数表!L177*1000,IF(K177&lt;1.6,(K177-炼钢参数表!J177)/100/0.6566/炼钢参数表!L177*1000,(K177-0.08-炼钢参数表!J177)/100/0.6566/炼钢参数表!L177*1000),IF(K177&lt;1.6,J177/100/0.1769/炼钢参数表!K177*1000,(J177-0.08)/100/0.1769/炼钢参数表!K177*1000))))</f>
        <v>7.0661390616167301</v>
      </c>
      <c r="AC177" s="8">
        <f>IF((BA177-AB177*$BB$4*0.9/1000-AL177*BF$4*炼钢参数表!$X$5/1000-AM177*BG$4*炼钢参数表!$X$5/1000)&lt;(K177-炼钢参数表!J177-AB177*0.6566*炼钢参数表!L177/10)*0.082,0,(K177-炼钢参数表!J177-AB177*0.6566*炼钢参数表!L177/10)/100/($AC$3/100)/炼钢参数表!L177*1000)</f>
        <v>0</v>
      </c>
      <c r="AD177" s="8">
        <f>IF((BA177-AB177*$BB$4*0.9/1000-AC177*$BC$4*0.9/1000-AL177*BF$4*炼钢参数表!$X$5/1000-AM177*BG$4*炼钢参数表!$X$5/1000)&lt;=(K177-炼钢参数表!J177-AB177*0.6566*炼钢参数表!L177/10-AC177*($AC$3/100)*炼钢参数表!L177/10)*0.02,0,((K177-炼钢参数表!J177-AB177*0.6566*炼钢参数表!L177/10-AC177*($AC$3/100)*炼钢参数表!L177/10)/100/($AD$3/100)/炼钢参数表!L177*1000))</f>
        <v>6.0287861734855799</v>
      </c>
      <c r="AE177" s="8">
        <f>(K177-炼钢参数表!J177-AB177*0.6566*炼钢参数表!L177/10-AC177*($AC$3/100)*炼钢参数表!L177/10-AD177*($AD$3/100)*炼钢参数表!L177/10)/100/($AE$3/100)/炼钢参数表!L177*1000</f>
        <v>0</v>
      </c>
      <c r="AF177" s="8">
        <v>0</v>
      </c>
      <c r="AG177" s="8">
        <f>IF(J177&lt;=0.04,0,((J177-(AB177*0.1769*炼钢参数表!K177/1000*100))/100/炼钢参数表!K177/($AG$3/100)*1000))</f>
        <v>0</v>
      </c>
      <c r="AH177" s="8">
        <v>2.1</v>
      </c>
      <c r="AI177" s="8">
        <f>IF(N177="",0,IF(N177&lt;=0.002,0,((N177)/100)/($AI$3/100)/炼钢参数表!M177*1000))</f>
        <v>0</v>
      </c>
      <c r="AJ177" s="8">
        <f>IF(O177="",0,IF(O177&lt;=0.002,0,((O177)/100)/($AJ$3/100)/炼钢参数表!N177*1000))</f>
        <v>0.15688932399528099</v>
      </c>
      <c r="AK177" s="8">
        <f>IF(P177="",0,IF(P177&lt;=0.002,0,((P177+0.005)/100)/($AK$3/100)/炼钢参数表!O177*1000))</f>
        <v>1.29724983035964</v>
      </c>
      <c r="AL177" s="8">
        <f>IF((BA177-J177*0.00003-K177*0.00024)&lt;=0.05,0,IF(T177="",0,IF(T177&lt;=0.03,0,IF(((BA177-J177*0.00003-K177*0.00024)-0.05)/0.18/100/($AL$3/100)/炼钢参数表!P177*1000&lt;=T177/100/($AL$3/100)/炼钢参数表!P177*1000,((BA177-J177*0.00003-K177*0.00024)-0.05)/0.18/100/($AL$3/100)/炼钢参数表!P177*1000,T177/100/($AL$3/100)/炼钢参数表!P177*1000))))</f>
        <v>0</v>
      </c>
      <c r="AM177" s="8">
        <f>IF(T177="",0,IF(T177&lt;=0.03,0,((T177-AL177*($AL$3/100)*炼钢参数表!P177/10)/100/($AM$3/100)/炼钢参数表!P177*1000)))</f>
        <v>0</v>
      </c>
      <c r="AN177" s="8">
        <f>IF(U177="",0,IF(U177&lt;=0.02,0,(U177/100)/($AN$3/100)/炼钢参数表!Q177*1000))</f>
        <v>0</v>
      </c>
      <c r="AO177" s="8">
        <f>IF(V177="",0,IF(V177&lt;=0.02,0,(V177/100)/($AO$3/100)/炼钢参数表!R177*1000))</f>
        <v>0</v>
      </c>
      <c r="AP177" s="8">
        <f>IF(W177="",0,IF(W177&lt;=0.02,0,(W177/100)/($AP$3/100)/炼钢参数表!S177*1000))</f>
        <v>0</v>
      </c>
      <c r="AQ177" s="8">
        <f>IF(X177="",0,IF(X177&lt;=0.0002,0,(X177/100)/($AQ$3/100)/炼钢参数表!T177*1000))</f>
        <v>0</v>
      </c>
      <c r="AR177" s="8">
        <f>IF(Y177="",0,IF(Y177&lt;=0.02,0,(Y177/100)/($AR$3/100)/炼钢参数表!U177*1000))</f>
        <v>0</v>
      </c>
      <c r="AS177" s="8">
        <f>IF(L177&lt;=0.04,0,((L177-0.04)/100)/($AS$3/100)/炼钢参数表!V177*1000)</f>
        <v>0</v>
      </c>
      <c r="AT177" s="8">
        <f>IF(M177&lt;=0.03,0,((M177-0.03)/100)/($AT$3/100)/炼钢参数表!W177*1000)</f>
        <v>0</v>
      </c>
      <c r="AU177" s="6"/>
      <c r="AV177" s="8">
        <f t="shared" si="23"/>
        <v>16.649064389457202</v>
      </c>
      <c r="AW177" s="8" cm="1">
        <f t="array" ref="AW177">SUMPRODUCT($AB$4:$AU$4,AB177:AU177)/1000</f>
        <v>196.85939317366399</v>
      </c>
      <c r="AY177" s="2" t="str">
        <f t="shared" si="24"/>
        <v>QStE500TM-1</v>
      </c>
      <c r="AZ177" s="37">
        <f>VLOOKUP(AY177,炼钢参数表!$F$5:$J$1027,4,0)</f>
        <v>4.2095238095238102E-2</v>
      </c>
      <c r="BA177" s="37">
        <f t="shared" si="25"/>
        <v>3.2904761904761902E-2</v>
      </c>
      <c r="BB177" s="37">
        <f>AB177*$BB$4*炼钢参数表!$X$5/1000</f>
        <v>1.09383832673827E-2</v>
      </c>
      <c r="BC177" s="37">
        <f>AC177*$BC$4*炼钢参数表!$X$5/1000</f>
        <v>0</v>
      </c>
      <c r="BD177" s="37">
        <f>AD177*$BD$4*炼钢参数表!$X$5/1000</f>
        <v>8.1388613342055303E-3</v>
      </c>
      <c r="BE177" s="37">
        <f>AE177*$BE$4*炼钢参数表!$X$5/1000</f>
        <v>0</v>
      </c>
      <c r="BF177" s="37">
        <f>AL177*$BF$4*炼钢参数表!$X$5/1000</f>
        <v>0</v>
      </c>
      <c r="BG177" s="37">
        <f>AM177*$BG$4*炼钢参数表!$X$5/1000</f>
        <v>0</v>
      </c>
      <c r="BH177" s="37">
        <f t="shared" si="26"/>
        <v>1.90772446015882E-2</v>
      </c>
      <c r="BI177" s="37">
        <f t="shared" si="27"/>
        <v>6.1172482696826298E-2</v>
      </c>
      <c r="BJ177" s="37">
        <f t="shared" si="28"/>
        <v>-1.3827517303173701E-2</v>
      </c>
      <c r="BK177" s="54"/>
      <c r="BL177" s="7"/>
    </row>
    <row r="178" spans="1:64" x14ac:dyDescent="0.3">
      <c r="A178" s="21">
        <v>174</v>
      </c>
      <c r="B178" s="4" t="s">
        <v>300</v>
      </c>
      <c r="C178" s="4" t="s">
        <v>26</v>
      </c>
      <c r="D178" s="4">
        <v>6</v>
      </c>
      <c r="E178" s="4">
        <v>14</v>
      </c>
      <c r="F178" s="4" t="s">
        <v>303</v>
      </c>
      <c r="G178" s="50" t="s">
        <v>302</v>
      </c>
      <c r="H178" s="4">
        <v>1523</v>
      </c>
      <c r="I178" s="51">
        <v>7.4999999999999997E-2</v>
      </c>
      <c r="J178" s="52">
        <v>0.1</v>
      </c>
      <c r="K178" s="52">
        <v>1.1000000000000001</v>
      </c>
      <c r="L178" s="51">
        <v>1.4999999999999999E-2</v>
      </c>
      <c r="M178" s="51">
        <v>5.0000000000000001E-3</v>
      </c>
      <c r="N178" s="51"/>
      <c r="O178" s="51">
        <v>0.01</v>
      </c>
      <c r="P178" s="51">
        <v>7.0000000000000007E-2</v>
      </c>
      <c r="Q178" s="51">
        <v>0.03</v>
      </c>
      <c r="R178" s="51" t="s">
        <v>631</v>
      </c>
      <c r="S178" s="32">
        <v>2E-3</v>
      </c>
      <c r="T178" s="52"/>
      <c r="U178" s="52"/>
      <c r="V178" s="52"/>
      <c r="W178" s="52"/>
      <c r="X178" s="32" t="s">
        <v>631</v>
      </c>
      <c r="Y178" s="53" t="s">
        <v>631</v>
      </c>
      <c r="Z178" s="4">
        <v>45</v>
      </c>
      <c r="AA178" s="53"/>
      <c r="AB178" s="42">
        <f>IF(J178&lt;=0.04,0,IF((BA178-AL178*BF$4*炼钢参数表!$X$5/1000-AM178*BG$4*炼钢参数表!$X$5/1000)&lt;=0.03,0,IF((J178/100/0.1769/炼钢参数表!K178*1000)&gt;(K178-炼钢参数表!J178)/100/0.6566/炼钢参数表!L178*1000,IF(K178&lt;1.6,(K178-炼钢参数表!J178)/100/0.6566/炼钢参数表!L178*1000,(K178-0.08-炼钢参数表!J178)/100/0.6566/炼钢参数表!L178*1000),IF(K178&lt;1.6,J178/100/0.1769/炼钢参数表!K178*1000,(J178-0.08)/100/0.1769/炼钢参数表!K178*1000))))</f>
        <v>7.0661390616167301</v>
      </c>
      <c r="AC178" s="8">
        <f>IF((BA178-AB178*$BB$4*0.9/1000-AL178*BF$4*炼钢参数表!$X$5/1000-AM178*BG$4*炼钢参数表!$X$5/1000)&lt;(K178-炼钢参数表!J178-AB178*0.6566*炼钢参数表!L178/10)*0.082,0,(K178-炼钢参数表!J178-AB178*0.6566*炼钢参数表!L178/10)/100/($AC$3/100)/炼钢参数表!L178*1000)</f>
        <v>0</v>
      </c>
      <c r="AD178" s="8">
        <f>IF((BA178-AB178*$BB$4*0.9/1000-AC178*$BC$4*0.9/1000-AL178*BF$4*炼钢参数表!$X$5/1000-AM178*BG$4*炼钢参数表!$X$5/1000)&lt;=(K178-炼钢参数表!J178-AB178*0.6566*炼钢参数表!L178/10-AC178*($AC$3/100)*炼钢参数表!L178/10)*0.02,0,((K178-炼钢参数表!J178-AB178*0.6566*炼钢参数表!L178/10-AC178*($AC$3/100)*炼钢参数表!L178/10)/100/($AD$3/100)/炼钢参数表!L178*1000))</f>
        <v>7.3280071605817101</v>
      </c>
      <c r="AE178" s="8">
        <f>(K178-炼钢参数表!J178-AB178*0.6566*炼钢参数表!L178/10-AC178*($AC$3/100)*炼钢参数表!L178/10-AD178*($AD$3/100)*炼钢参数表!L178/10)/100/($AE$3/100)/炼钢参数表!L178*1000</f>
        <v>0</v>
      </c>
      <c r="AF178" s="8">
        <v>0</v>
      </c>
      <c r="AG178" s="8">
        <f>IF(J178&lt;=0.04,0,((J178-(AB178*0.1769*炼钢参数表!K178/1000*100))/100/炼钢参数表!K178/($AG$3/100)*1000))</f>
        <v>0</v>
      </c>
      <c r="AH178" s="8">
        <v>2.1</v>
      </c>
      <c r="AI178" s="8">
        <f>IF(N178="",0,IF(N178&lt;=0.002,0,((N178)/100)/($AI$3/100)/炼钢参数表!M178*1000))</f>
        <v>0</v>
      </c>
      <c r="AJ178" s="8">
        <f>IF(O178="",0,IF(O178&lt;=0.002,0,((O178)/100)/($AJ$3/100)/炼钢参数表!N178*1000))</f>
        <v>0.15688932399528099</v>
      </c>
      <c r="AK178" s="8">
        <f>IF(P178="",0,IF(P178&lt;=0.002,0,((P178+0.005)/100)/($AK$3/100)/炼钢参数表!O178*1000))</f>
        <v>1.49682672733804</v>
      </c>
      <c r="AL178" s="8">
        <f>IF((BA178-J178*0.00003-K178*0.00024)&lt;=0.05,0,IF(T178="",0,IF(T178&lt;=0.03,0,IF(((BA178-J178*0.00003-K178*0.00024)-0.05)/0.18/100/($AL$3/100)/炼钢参数表!P178*1000&lt;=T178/100/($AL$3/100)/炼钢参数表!P178*1000,((BA178-J178*0.00003-K178*0.00024)-0.05)/0.18/100/($AL$3/100)/炼钢参数表!P178*1000,T178/100/($AL$3/100)/炼钢参数表!P178*1000))))</f>
        <v>0</v>
      </c>
      <c r="AM178" s="8">
        <f>IF(T178="",0,IF(T178&lt;=0.03,0,((T178-AL178*($AL$3/100)*炼钢参数表!P178/10)/100/($AM$3/100)/炼钢参数表!P178*1000)))</f>
        <v>0</v>
      </c>
      <c r="AN178" s="8">
        <f>IF(U178="",0,IF(U178&lt;=0.02,0,(U178/100)/($AN$3/100)/炼钢参数表!Q178*1000))</f>
        <v>0</v>
      </c>
      <c r="AO178" s="8">
        <f>IF(V178="",0,IF(V178&lt;=0.02,0,(V178/100)/($AO$3/100)/炼钢参数表!R178*1000))</f>
        <v>0</v>
      </c>
      <c r="AP178" s="8">
        <f>IF(W178="",0,IF(W178&lt;=0.02,0,(W178/100)/($AP$3/100)/炼钢参数表!S178*1000))</f>
        <v>0</v>
      </c>
      <c r="AQ178" s="8">
        <f>IF(X178="",0,IF(X178&lt;=0.0002,0,(X178/100)/($AQ$3/100)/炼钢参数表!T178*1000))</f>
        <v>0</v>
      </c>
      <c r="AR178" s="8">
        <f>IF(Y178="",0,IF(Y178&lt;=0.02,0,(Y178/100)/($AR$3/100)/炼钢参数表!U178*1000))</f>
        <v>0</v>
      </c>
      <c r="AS178" s="8">
        <f>IF(L178&lt;=0.04,0,((L178-0.04)/100)/($AS$3/100)/炼钢参数表!V178*1000)</f>
        <v>0</v>
      </c>
      <c r="AT178" s="8">
        <f>IF(M178&lt;=0.03,0,((M178-0.03)/100)/($AT$3/100)/炼钢参数表!W178*1000)</f>
        <v>0</v>
      </c>
      <c r="AU178" s="6"/>
      <c r="AV178" s="8">
        <f t="shared" si="23"/>
        <v>18.1478622735318</v>
      </c>
      <c r="AW178" s="8" cm="1">
        <f t="array" ref="AW178">SUMPRODUCT($AB$4:$AU$4,AB178:AU178)/1000</f>
        <v>211.706461244547</v>
      </c>
      <c r="AY178" s="2" t="str">
        <f t="shared" si="24"/>
        <v>QStE500TM-2</v>
      </c>
      <c r="AZ178" s="37">
        <f>VLOOKUP(AY178,炼钢参数表!$F$5:$J$1027,4,0)</f>
        <v>4.2095238095238102E-2</v>
      </c>
      <c r="BA178" s="37">
        <f t="shared" si="25"/>
        <v>3.2904761904761902E-2</v>
      </c>
      <c r="BB178" s="37">
        <f>AB178*$BB$4*炼钢参数表!$X$5/1000</f>
        <v>1.09383832673827E-2</v>
      </c>
      <c r="BC178" s="37">
        <f>AC178*$BC$4*炼钢参数表!$X$5/1000</f>
        <v>0</v>
      </c>
      <c r="BD178" s="37">
        <f>AD178*$BD$4*炼钢参数表!$X$5/1000</f>
        <v>9.8928096667853203E-3</v>
      </c>
      <c r="BE178" s="37">
        <f>AE178*$BE$4*炼钢参数表!$X$5/1000</f>
        <v>0</v>
      </c>
      <c r="BF178" s="37">
        <f>AL178*$BF$4*炼钢参数表!$X$5/1000</f>
        <v>0</v>
      </c>
      <c r="BG178" s="37">
        <f>AM178*$BG$4*炼钢参数表!$X$5/1000</f>
        <v>0</v>
      </c>
      <c r="BH178" s="37">
        <f t="shared" si="26"/>
        <v>2.0831192934167998E-2</v>
      </c>
      <c r="BI178" s="37">
        <f t="shared" si="27"/>
        <v>6.2926431029406094E-2</v>
      </c>
      <c r="BJ178" s="37">
        <f t="shared" si="28"/>
        <v>-1.20735689705939E-2</v>
      </c>
      <c r="BK178" s="54"/>
      <c r="BL178" s="7"/>
    </row>
    <row r="179" spans="1:64" x14ac:dyDescent="0.3">
      <c r="A179" s="21">
        <v>175</v>
      </c>
      <c r="B179" s="4" t="s">
        <v>304</v>
      </c>
      <c r="C179" s="4" t="s">
        <v>23</v>
      </c>
      <c r="D179" s="4">
        <v>2.5</v>
      </c>
      <c r="E179" s="4">
        <v>5.99</v>
      </c>
      <c r="F179" s="4" t="s">
        <v>305</v>
      </c>
      <c r="G179" s="50" t="s">
        <v>306</v>
      </c>
      <c r="H179" s="4">
        <v>1516</v>
      </c>
      <c r="I179" s="51">
        <v>7.4999999999999997E-2</v>
      </c>
      <c r="J179" s="52">
        <v>0.2</v>
      </c>
      <c r="K179" s="52">
        <v>1.75</v>
      </c>
      <c r="L179" s="51">
        <v>1.4999999999999999E-2</v>
      </c>
      <c r="M179" s="51">
        <v>5.0000000000000001E-3</v>
      </c>
      <c r="N179" s="51"/>
      <c r="O179" s="51">
        <v>7.0000000000000007E-2</v>
      </c>
      <c r="P179" s="51">
        <v>0.115</v>
      </c>
      <c r="Q179" s="51">
        <v>0.03</v>
      </c>
      <c r="R179" s="51" t="s">
        <v>631</v>
      </c>
      <c r="S179" s="32">
        <v>2E-3</v>
      </c>
      <c r="T179" s="52"/>
      <c r="U179" s="52"/>
      <c r="V179" s="52"/>
      <c r="W179" s="52"/>
      <c r="X179" s="32" t="s">
        <v>631</v>
      </c>
      <c r="Y179" s="53" t="s">
        <v>631</v>
      </c>
      <c r="Z179" s="4">
        <v>45</v>
      </c>
      <c r="AA179" s="53"/>
      <c r="AB179" s="42">
        <f>IF(J179&lt;=0.04,0,IF((BA179-AL179*BF$4*炼钢参数表!$X$5/1000-AM179*BG$4*炼钢参数表!$X$5/1000)&lt;=0.03,0,IF((J179/100/0.1769/炼钢参数表!K179*1000)&gt;(K179-炼钢参数表!J179)/100/0.6566/炼钢参数表!L179*1000,IF(K179&lt;1.6,(K179-炼钢参数表!J179)/100/0.6566/炼钢参数表!L179*1000,(K179-0.08-炼钢参数表!J179)/100/0.6566/炼钢参数表!L179*1000),IF(K179&lt;1.6,J179/100/0.1769/炼钢参数表!K179*1000,(J179-0.08)/100/0.1769/炼钢参数表!K179*1000))))</f>
        <v>8.47936687394008</v>
      </c>
      <c r="AC179" s="8">
        <f>IF((BA179-AB179*$BB$4*0.9/1000-AL179*BF$4*炼钢参数表!$X$5/1000-AM179*BG$4*炼钢参数表!$X$5/1000)&lt;(K179-炼钢参数表!J179-AB179*0.6566*炼钢参数表!L179/10)*0.082,0,(K179-炼钢参数表!J179-AB179*0.6566*炼钢参数表!L179/10)/100/($AC$3/100)/炼钢参数表!L179*1000)</f>
        <v>0</v>
      </c>
      <c r="AD179" s="8">
        <f>IF((BA179-AB179*$BB$4*0.9/1000-AC179*$BC$4*0.9/1000-AL179*BF$4*炼钢参数表!$X$5/1000-AM179*BG$4*炼钢参数表!$X$5/1000)&lt;=(K179-炼钢参数表!J179-AB179*0.6566*炼钢参数表!L179/10-AC179*($AC$3/100)*炼钢参数表!L179/10)*0.02,0,((K179-炼钢参数表!J179-AB179*0.6566*炼钢参数表!L179/10-AC179*($AC$3/100)*炼钢参数表!L179/10)/100/($AD$3/100)/炼钢参数表!L179*1000))</f>
        <v>0</v>
      </c>
      <c r="AE179" s="8">
        <f>(K179-炼钢参数表!J179-AB179*0.6566*炼钢参数表!L179/10-AC179*($AC$3/100)*炼钢参数表!L179/10-AD179*($AD$3/100)*炼钢参数表!L179/10)/100/($AE$3/100)/炼钢参数表!L179*1000</f>
        <v>13.9596111033238</v>
      </c>
      <c r="AF179" s="8">
        <v>0</v>
      </c>
      <c r="AG179" s="8">
        <f>IF(J179&lt;=0.04,0,((J179-(AB179*0.1769*炼钢参数表!K179/1000*100))/100/炼钢参数表!K179/($AG$3/100)*1000))</f>
        <v>1.38446628824588</v>
      </c>
      <c r="AH179" s="8">
        <v>2.1</v>
      </c>
      <c r="AI179" s="8">
        <f>IF(N179="",0,IF(N179&lt;=0.002,0,((N179)/100)/($AI$3/100)/炼钢参数表!M179*1000))</f>
        <v>0</v>
      </c>
      <c r="AJ179" s="8">
        <f>IF(O179="",0,IF(O179&lt;=0.002,0,((O179)/100)/($AJ$3/100)/炼钢参数表!N179*1000))</f>
        <v>1.09822526796697</v>
      </c>
      <c r="AK179" s="8">
        <f>IF(P179="",0,IF(P179&lt;=0.002,0,((P179+0.005)/100)/($AK$3/100)/炼钢参数表!O179*1000))</f>
        <v>2.3949227637408699</v>
      </c>
      <c r="AL179" s="8">
        <f>IF((BA179-J179*0.00003-K179*0.00024)&lt;=0.05,0,IF(T179="",0,IF(T179&lt;=0.03,0,IF(((BA179-J179*0.00003-K179*0.00024)-0.05)/0.18/100/($AL$3/100)/炼钢参数表!P179*1000&lt;=T179/100/($AL$3/100)/炼钢参数表!P179*1000,((BA179-J179*0.00003-K179*0.00024)-0.05)/0.18/100/($AL$3/100)/炼钢参数表!P179*1000,T179/100/($AL$3/100)/炼钢参数表!P179*1000))))</f>
        <v>0</v>
      </c>
      <c r="AM179" s="8">
        <f>IF(T179="",0,IF(T179&lt;=0.03,0,((T179-AL179*($AL$3/100)*炼钢参数表!P179/10)/100/($AM$3/100)/炼钢参数表!P179*1000)))</f>
        <v>0</v>
      </c>
      <c r="AN179" s="8">
        <f>IF(U179="",0,IF(U179&lt;=0.02,0,(U179/100)/($AN$3/100)/炼钢参数表!Q179*1000))</f>
        <v>0</v>
      </c>
      <c r="AO179" s="8">
        <f>IF(V179="",0,IF(V179&lt;=0.02,0,(V179/100)/($AO$3/100)/炼钢参数表!R179*1000))</f>
        <v>0</v>
      </c>
      <c r="AP179" s="8">
        <f>IF(W179="",0,IF(W179&lt;=0.02,0,(W179/100)/($AP$3/100)/炼钢参数表!S179*1000))</f>
        <v>0</v>
      </c>
      <c r="AQ179" s="8">
        <f>IF(X179="",0,IF(X179&lt;=0.0002,0,(X179/100)/($AQ$3/100)/炼钢参数表!T179*1000))</f>
        <v>0</v>
      </c>
      <c r="AR179" s="8">
        <f>IF(Y179="",0,IF(Y179&lt;=0.02,0,(Y179/100)/($AR$3/100)/炼钢参数表!U179*1000))</f>
        <v>0</v>
      </c>
      <c r="AS179" s="8">
        <f>IF(L179&lt;=0.04,0,((L179-0.04)/100)/($AS$3/100)/炼钢参数表!V179*1000)</f>
        <v>0</v>
      </c>
      <c r="AT179" s="8">
        <f>IF(M179&lt;=0.03,0,((M179-0.03)/100)/($AT$3/100)/炼钢参数表!W179*1000)</f>
        <v>0</v>
      </c>
      <c r="AU179" s="6"/>
      <c r="AV179" s="8">
        <f t="shared" si="23"/>
        <v>29.416592297217601</v>
      </c>
      <c r="AW179" s="8" cm="1">
        <f t="array" ref="AW179">SUMPRODUCT($AB$4:$AU$4,AB179:AU179)/1000</f>
        <v>511.62510675501102</v>
      </c>
      <c r="AY179" s="2" t="str">
        <f t="shared" si="24"/>
        <v>QStE700TM-1</v>
      </c>
      <c r="AZ179" s="37">
        <f>VLOOKUP(AY179,炼钢参数表!$F$5:$J$1027,4,0)</f>
        <v>4.2111111111111099E-2</v>
      </c>
      <c r="BA179" s="37">
        <f t="shared" si="25"/>
        <v>3.2888888888888898E-2</v>
      </c>
      <c r="BB179" s="37">
        <f>AB179*$BB$4*炼钢参数表!$X$5/1000</f>
        <v>1.31260599208592E-2</v>
      </c>
      <c r="BC179" s="37">
        <f>AC179*$BC$4*炼钢参数表!$X$5/1000</f>
        <v>0</v>
      </c>
      <c r="BD179" s="37">
        <f>AD179*$BD$4*炼钢参数表!$X$5/1000</f>
        <v>0</v>
      </c>
      <c r="BE179" s="37">
        <f>AE179*$BE$4*炼钢参数表!$X$5/1000</f>
        <v>8.0407359955145408E-3</v>
      </c>
      <c r="BF179" s="37">
        <f>AL179*$BF$4*炼钢参数表!$X$5/1000</f>
        <v>0</v>
      </c>
      <c r="BG179" s="37">
        <f>AM179*$BG$4*炼钢参数表!$X$5/1000</f>
        <v>0</v>
      </c>
      <c r="BH179" s="37">
        <f t="shared" si="26"/>
        <v>2.1166795916373798E-2</v>
      </c>
      <c r="BI179" s="37">
        <f t="shared" si="27"/>
        <v>6.3277907027484898E-2</v>
      </c>
      <c r="BJ179" s="37">
        <f t="shared" si="28"/>
        <v>-1.17220929725151E-2</v>
      </c>
      <c r="BK179" s="54"/>
      <c r="BL179" s="7"/>
    </row>
    <row r="180" spans="1:64" x14ac:dyDescent="0.3">
      <c r="A180" s="21">
        <v>176</v>
      </c>
      <c r="B180" s="4" t="s">
        <v>304</v>
      </c>
      <c r="C180" s="4" t="s">
        <v>26</v>
      </c>
      <c r="D180" s="4">
        <v>6</v>
      </c>
      <c r="E180" s="4">
        <v>14</v>
      </c>
      <c r="F180" s="4" t="s">
        <v>307</v>
      </c>
      <c r="G180" s="50" t="s">
        <v>306</v>
      </c>
      <c r="H180" s="4">
        <v>1516</v>
      </c>
      <c r="I180" s="51">
        <v>7.4999999999999997E-2</v>
      </c>
      <c r="J180" s="52">
        <v>0.2</v>
      </c>
      <c r="K180" s="52">
        <v>1.85</v>
      </c>
      <c r="L180" s="51">
        <v>1.4999999999999999E-2</v>
      </c>
      <c r="M180" s="51">
        <v>5.0000000000000001E-3</v>
      </c>
      <c r="N180" s="51"/>
      <c r="O180" s="51">
        <v>7.4999999999999997E-2</v>
      </c>
      <c r="P180" s="51">
        <v>0.115</v>
      </c>
      <c r="Q180" s="51">
        <v>0.03</v>
      </c>
      <c r="R180" s="51" t="s">
        <v>631</v>
      </c>
      <c r="S180" s="32">
        <v>2E-3</v>
      </c>
      <c r="T180" s="52"/>
      <c r="U180" s="52"/>
      <c r="V180" s="52"/>
      <c r="W180" s="52"/>
      <c r="X180" s="32" t="s">
        <v>631</v>
      </c>
      <c r="Y180" s="53" t="s">
        <v>631</v>
      </c>
      <c r="Z180" s="4">
        <v>45</v>
      </c>
      <c r="AA180" s="53"/>
      <c r="AB180" s="42">
        <f>IF(J180&lt;=0.04,0,IF((BA180-AL180*BF$4*炼钢参数表!$X$5/1000-AM180*BG$4*炼钢参数表!$X$5/1000)&lt;=0.03,0,IF((J180/100/0.1769/炼钢参数表!K180*1000)&gt;(K180-炼钢参数表!J180)/100/0.6566/炼钢参数表!L180*1000,IF(K180&lt;1.6,(K180-炼钢参数表!J180)/100/0.6566/炼钢参数表!L180*1000,(K180-0.08-炼钢参数表!J180)/100/0.6566/炼钢参数表!L180*1000),IF(K180&lt;1.6,J180/100/0.1769/炼钢参数表!K180*1000,(J180-0.08)/100/0.1769/炼钢参数表!K180*1000))))</f>
        <v>8.47936687394008</v>
      </c>
      <c r="AC180" s="8">
        <f>IF((BA180-AB180*$BB$4*0.9/1000-AL180*BF$4*炼钢参数表!$X$5/1000-AM180*BG$4*炼钢参数表!$X$5/1000)&lt;(K180-炼钢参数表!J180-AB180*0.6566*炼钢参数表!L180/10)*0.082,0,(K180-炼钢参数表!J180-AB180*0.6566*炼钢参数表!L180/10)/100/($AC$3/100)/炼钢参数表!L180*1000)</f>
        <v>0</v>
      </c>
      <c r="AD180" s="8">
        <f>IF((BA180-AB180*$BB$4*0.9/1000-AC180*$BC$4*0.9/1000-AL180*BF$4*炼钢参数表!$X$5/1000-AM180*BG$4*炼钢参数表!$X$5/1000)&lt;=(K180-炼钢参数表!J180-AB180*0.6566*炼钢参数表!L180/10-AC180*($AC$3/100)*炼钢参数表!L180/10)*0.02,0,((K180-炼钢参数表!J180-AB180*0.6566*炼钢参数表!L180/10-AC180*($AC$3/100)*炼钢参数表!L180/10)/100/($AD$3/100)/炼钢参数表!L180*1000))</f>
        <v>0</v>
      </c>
      <c r="AE180" s="8">
        <f>(K180-炼钢参数表!J180-AB180*0.6566*炼钢参数表!L180/10-AC180*($AC$3/100)*炼钢参数表!L180/10-AD180*($AD$3/100)*炼钢参数表!L180/10)/100/($AE$3/100)/炼钢参数表!L180*1000</f>
        <v>15.3159240435757</v>
      </c>
      <c r="AF180" s="8">
        <v>0</v>
      </c>
      <c r="AG180" s="8">
        <f>IF(J180&lt;=0.04,0,((J180-(AB180*0.1769*炼钢参数表!K180/1000*100))/100/炼钢参数表!K180/($AG$3/100)*1000))</f>
        <v>1.38446628824588</v>
      </c>
      <c r="AH180" s="8">
        <v>2.1</v>
      </c>
      <c r="AI180" s="8">
        <f>IF(N180="",0,IF(N180&lt;=0.002,0,((N180)/100)/($AI$3/100)/炼钢参数表!M180*1000))</f>
        <v>0</v>
      </c>
      <c r="AJ180" s="8">
        <f>IF(O180="",0,IF(O180&lt;=0.002,0,((O180)/100)/($AJ$3/100)/炼钢参数表!N180*1000))</f>
        <v>1.17666992996461</v>
      </c>
      <c r="AK180" s="8">
        <f>IF(P180="",0,IF(P180&lt;=0.002,0,((P180+0.005)/100)/($AK$3/100)/炼钢参数表!O180*1000))</f>
        <v>2.3949227637408699</v>
      </c>
      <c r="AL180" s="8">
        <f>IF((BA180-J180*0.00003-K180*0.00024)&lt;=0.05,0,IF(T180="",0,IF(T180&lt;=0.03,0,IF(((BA180-J180*0.00003-K180*0.00024)-0.05)/0.18/100/($AL$3/100)/炼钢参数表!P180*1000&lt;=T180/100/($AL$3/100)/炼钢参数表!P180*1000,((BA180-J180*0.00003-K180*0.00024)-0.05)/0.18/100/($AL$3/100)/炼钢参数表!P180*1000,T180/100/($AL$3/100)/炼钢参数表!P180*1000))))</f>
        <v>0</v>
      </c>
      <c r="AM180" s="8">
        <f>IF(T180="",0,IF(T180&lt;=0.03,0,((T180-AL180*($AL$3/100)*炼钢参数表!P180/10)/100/($AM$3/100)/炼钢参数表!P180*1000)))</f>
        <v>0</v>
      </c>
      <c r="AN180" s="8">
        <f>IF(U180="",0,IF(U180&lt;=0.02,0,(U180/100)/($AN$3/100)/炼钢参数表!Q180*1000))</f>
        <v>0</v>
      </c>
      <c r="AO180" s="8">
        <f>IF(V180="",0,IF(V180&lt;=0.02,0,(V180/100)/($AO$3/100)/炼钢参数表!R180*1000))</f>
        <v>0</v>
      </c>
      <c r="AP180" s="8">
        <f>IF(W180="",0,IF(W180&lt;=0.02,0,(W180/100)/($AP$3/100)/炼钢参数表!S180*1000))</f>
        <v>0</v>
      </c>
      <c r="AQ180" s="8">
        <f>IF(X180="",0,IF(X180&lt;=0.0002,0,(X180/100)/($AQ$3/100)/炼钢参数表!T180*1000))</f>
        <v>0</v>
      </c>
      <c r="AR180" s="8">
        <f>IF(Y180="",0,IF(Y180&lt;=0.02,0,(Y180/100)/($AR$3/100)/炼钢参数表!U180*1000))</f>
        <v>0</v>
      </c>
      <c r="AS180" s="8">
        <f>IF(L180&lt;=0.04,0,((L180-0.04)/100)/($AS$3/100)/炼钢参数表!V180*1000)</f>
        <v>0</v>
      </c>
      <c r="AT180" s="8">
        <f>IF(M180&lt;=0.03,0,((M180-0.03)/100)/($AT$3/100)/炼钢参数表!W180*1000)</f>
        <v>0</v>
      </c>
      <c r="AU180" s="6"/>
      <c r="AV180" s="8">
        <f t="shared" si="23"/>
        <v>30.851349899467099</v>
      </c>
      <c r="AW180" s="8" cm="1">
        <f t="array" ref="AW180">SUMPRODUCT($AB$4:$AU$4,AB180:AU180)/1000</f>
        <v>539.92284352144304</v>
      </c>
      <c r="AY180" s="2" t="str">
        <f t="shared" si="24"/>
        <v>QStE700TM-2</v>
      </c>
      <c r="AZ180" s="37">
        <f>VLOOKUP(AY180,炼钢参数表!$F$5:$J$1027,4,0)</f>
        <v>4.2500000000000003E-2</v>
      </c>
      <c r="BA180" s="37">
        <f t="shared" si="25"/>
        <v>3.2500000000000001E-2</v>
      </c>
      <c r="BB180" s="37">
        <f>AB180*$BB$4*炼钢参数表!$X$5/1000</f>
        <v>1.31260599208592E-2</v>
      </c>
      <c r="BC180" s="37">
        <f>AC180*$BC$4*炼钢参数表!$X$5/1000</f>
        <v>0</v>
      </c>
      <c r="BD180" s="37">
        <f>AD180*$BD$4*炼钢参数表!$X$5/1000</f>
        <v>0</v>
      </c>
      <c r="BE180" s="37">
        <f>AE180*$BE$4*炼钢参数表!$X$5/1000</f>
        <v>8.8219722490995994E-3</v>
      </c>
      <c r="BF180" s="37">
        <f>AL180*$BF$4*炼钢参数表!$X$5/1000</f>
        <v>0</v>
      </c>
      <c r="BG180" s="37">
        <f>AM180*$BG$4*炼钢参数表!$X$5/1000</f>
        <v>0</v>
      </c>
      <c r="BH180" s="37">
        <f t="shared" si="26"/>
        <v>2.19480321699588E-2</v>
      </c>
      <c r="BI180" s="37">
        <f t="shared" si="27"/>
        <v>6.4448032169958799E-2</v>
      </c>
      <c r="BJ180" s="37">
        <f t="shared" si="28"/>
        <v>-1.05519678300412E-2</v>
      </c>
      <c r="BK180" s="54"/>
      <c r="BL180" s="7"/>
    </row>
    <row r="181" spans="1:64" x14ac:dyDescent="0.3">
      <c r="A181" s="21">
        <v>177</v>
      </c>
      <c r="B181" s="4" t="s">
        <v>308</v>
      </c>
      <c r="C181" s="4" t="s">
        <v>23</v>
      </c>
      <c r="D181" s="4">
        <v>8</v>
      </c>
      <c r="E181" s="4">
        <v>14</v>
      </c>
      <c r="F181" s="4" t="s">
        <v>308</v>
      </c>
      <c r="G181" s="50" t="s">
        <v>309</v>
      </c>
      <c r="H181" s="4">
        <v>1516</v>
      </c>
      <c r="I181" s="51">
        <v>7.4999999999999997E-2</v>
      </c>
      <c r="J181" s="52">
        <v>0.25</v>
      </c>
      <c r="K181" s="52">
        <v>1.8</v>
      </c>
      <c r="L181" s="51">
        <v>0.02</v>
      </c>
      <c r="M181" s="51">
        <v>0.01</v>
      </c>
      <c r="N181" s="51" t="s">
        <v>631</v>
      </c>
      <c r="O181" s="51">
        <v>0.01</v>
      </c>
      <c r="P181" s="51">
        <v>9.5000000000000001E-2</v>
      </c>
      <c r="Q181" s="51">
        <v>0.03</v>
      </c>
      <c r="R181" s="51" t="s">
        <v>631</v>
      </c>
      <c r="S181" s="32" t="s">
        <v>631</v>
      </c>
      <c r="T181" s="52" t="s">
        <v>631</v>
      </c>
      <c r="U181" s="52" t="s">
        <v>631</v>
      </c>
      <c r="V181" s="52" t="s">
        <v>631</v>
      </c>
      <c r="W181" s="52"/>
      <c r="X181" s="32" t="s">
        <v>631</v>
      </c>
      <c r="Y181" s="53" t="s">
        <v>631</v>
      </c>
      <c r="Z181" s="4">
        <v>45</v>
      </c>
      <c r="AA181" s="53"/>
      <c r="AB181" s="42">
        <f>IF(J181&lt;=0.04,0,IF((BA181-AL181*BF$4*炼钢参数表!$X$5/1000-AM181*BG$4*炼钢参数表!$X$5/1000)&lt;=0.03,0,IF((J181/100/0.1769/炼钢参数表!K181*1000)&gt;(K181-炼钢参数表!J181)/100/0.6566/炼钢参数表!L181*1000,IF(K181&lt;1.6,(K181-炼钢参数表!J181)/100/0.6566/炼钢参数表!L181*1000,(K181-0.08-炼钢参数表!J181)/100/0.6566/炼钢参数表!L181*1000),IF(K181&lt;1.6,J181/100/0.1769/炼钢参数表!K181*1000,(J181-0.08)/100/0.1769/炼钢参数表!K181*1000))))</f>
        <v>12.012436404748399</v>
      </c>
      <c r="AC181" s="8">
        <f>IF((BA181-AB181*$BB$4*0.9/1000-AL181*BF$4*炼钢参数表!$X$5/1000-AM181*BG$4*炼钢参数表!$X$5/1000)&lt;(K181-炼钢参数表!J181-AB181*0.6566*炼钢参数表!L181/10)*0.082,0,(K181-炼钢参数表!J181-AB181*0.6566*炼钢参数表!L181/10)/100/($AC$3/100)/炼钢参数表!L181*1000)</f>
        <v>0</v>
      </c>
      <c r="AD181" s="8">
        <f>IF((BA181-AB181*$BB$4*0.9/1000-AC181*$BC$4*0.9/1000-AL181*BF$4*炼钢参数表!$X$5/1000-AM181*BG$4*炼钢参数表!$X$5/1000)&lt;=(K181-炼钢参数表!J181-AB181*0.6566*炼钢参数表!L181/10-AC181*($AC$3/100)*炼钢参数表!L181/10)*0.02,0,((K181-炼钢参数表!J181-AB181*0.6566*炼钢参数表!L181/10-AC181*($AC$3/100)*炼钢参数表!L181/10)/100/($AD$3/100)/炼钢参数表!L181*1000))</f>
        <v>12.174196394803801</v>
      </c>
      <c r="AE181" s="8">
        <f>(K181-炼钢参数表!J181-AB181*0.6566*炼钢参数表!L181/10-AC181*($AC$3/100)*炼钢参数表!L181/10-AD181*($AD$3/100)*炼钢参数表!L181/10)/100/($AE$3/100)/炼钢参数表!L181*1000</f>
        <v>0</v>
      </c>
      <c r="AF181" s="8">
        <v>0</v>
      </c>
      <c r="AG181" s="8">
        <f>IF(J181&lt;=0.04,0,((J181-(AB181*0.1769*炼钢参数表!K181/1000*100))/100/炼钢参数表!K181/($AG$3/100)*1000))</f>
        <v>1.38446628824588</v>
      </c>
      <c r="AH181" s="8">
        <v>2.1</v>
      </c>
      <c r="AI181" s="8">
        <f>IF(N181="",0,IF(N181&lt;=0.002,0,((N181)/100)/($AI$3/100)/炼钢参数表!M181*1000))</f>
        <v>0</v>
      </c>
      <c r="AJ181" s="8">
        <f>IF(O181="",0,IF(O181&lt;=0.002,0,((O181)/100)/($AJ$3/100)/炼钢参数表!N181*1000))</f>
        <v>0.15688932399528099</v>
      </c>
      <c r="AK181" s="8">
        <f>IF(P181="",0,IF(P181&lt;=0.002,0,((P181+0.005)/100)/($AK$3/100)/炼钢参数表!O181*1000))</f>
        <v>1.9957689697840599</v>
      </c>
      <c r="AL181" s="8">
        <f>IF((BA181-J181*0.00003-K181*0.00024)&lt;=0.05,0,IF(T181="",0,IF(T181&lt;=0.03,0,IF(((BA181-J181*0.00003-K181*0.00024)-0.05)/0.18/100/($AL$3/100)/炼钢参数表!P181*1000&lt;=T181/100/($AL$3/100)/炼钢参数表!P181*1000,((BA181-J181*0.00003-K181*0.00024)-0.05)/0.18/100/($AL$3/100)/炼钢参数表!P181*1000,T181/100/($AL$3/100)/炼钢参数表!P181*1000))))</f>
        <v>0</v>
      </c>
      <c r="AM181" s="8">
        <f>IF(T181="",0,IF(T181&lt;=0.03,0,((T181-AL181*($AL$3/100)*炼钢参数表!P181/10)/100/($AM$3/100)/炼钢参数表!P181*1000)))</f>
        <v>0</v>
      </c>
      <c r="AN181" s="8">
        <f>IF(U181="",0,IF(U181&lt;=0.02,0,(U181/100)/($AN$3/100)/炼钢参数表!Q181*1000))</f>
        <v>0</v>
      </c>
      <c r="AO181" s="8">
        <f>IF(V181="",0,IF(V181&lt;=0.02,0,(V181/100)/($AO$3/100)/炼钢参数表!R181*1000))</f>
        <v>0</v>
      </c>
      <c r="AP181" s="8">
        <f>IF(W181="",0,IF(W181&lt;=0.02,0,(W181/100)/($AP$3/100)/炼钢参数表!S181*1000))</f>
        <v>0</v>
      </c>
      <c r="AQ181" s="8">
        <f>IF(X181="",0,IF(X181&lt;=0.0002,0,(X181/100)/($AQ$3/100)/炼钢参数表!T181*1000))</f>
        <v>0</v>
      </c>
      <c r="AR181" s="8">
        <f>IF(Y181="",0,IF(Y181&lt;=0.02,0,(Y181/100)/($AR$3/100)/炼钢参数表!U181*1000))</f>
        <v>0</v>
      </c>
      <c r="AS181" s="8">
        <f>IF(L181&lt;=0.04,0,((L181-0.04)/100)/($AS$3/100)/炼钢参数表!V181*1000)</f>
        <v>0</v>
      </c>
      <c r="AT181" s="8">
        <f>IF(M181&lt;=0.03,0,((M181-0.03)/100)/($AT$3/100)/炼钢参数表!W181*1000)</f>
        <v>0</v>
      </c>
      <c r="AU181" s="6"/>
      <c r="AV181" s="8">
        <f t="shared" si="23"/>
        <v>29.823757381577501</v>
      </c>
      <c r="AW181" s="8" cm="1">
        <f t="array" ref="AW181">SUMPRODUCT($AB$4:$AU$4,AB181:AU181)/1000</f>
        <v>295.19006046399801</v>
      </c>
      <c r="AY181" s="2" t="str">
        <f t="shared" si="24"/>
        <v>BX700</v>
      </c>
      <c r="AZ181" s="37">
        <f>VLOOKUP(AY181,炼钢参数表!$F$5:$J$1027,4,0)</f>
        <v>3.7499999999999999E-2</v>
      </c>
      <c r="BA181" s="37">
        <f t="shared" si="25"/>
        <v>3.7499999999999999E-2</v>
      </c>
      <c r="BB181" s="37">
        <f>AB181*$BB$4*炼钢参数表!$X$5/1000</f>
        <v>1.85952515545506E-2</v>
      </c>
      <c r="BC181" s="37">
        <f>AC181*$BC$4*炼钢参数表!$X$5/1000</f>
        <v>0</v>
      </c>
      <c r="BD181" s="37">
        <f>AD181*$BD$4*炼钢参数表!$X$5/1000</f>
        <v>1.64351651329851E-2</v>
      </c>
      <c r="BE181" s="37">
        <f>AE181*$BE$4*炼钢参数表!$X$5/1000</f>
        <v>0</v>
      </c>
      <c r="BF181" s="37">
        <f>AL181*$BF$4*炼钢参数表!$X$5/1000</f>
        <v>0</v>
      </c>
      <c r="BG181" s="37">
        <f>AM181*$BG$4*炼钢参数表!$X$5/1000</f>
        <v>0</v>
      </c>
      <c r="BH181" s="37">
        <f t="shared" si="26"/>
        <v>3.5030416687535697E-2</v>
      </c>
      <c r="BI181" s="37">
        <f t="shared" si="27"/>
        <v>7.2530416687535695E-2</v>
      </c>
      <c r="BJ181" s="37">
        <f t="shared" si="28"/>
        <v>-2.4695833124642602E-3</v>
      </c>
      <c r="BK181" s="54"/>
      <c r="BL181" s="7"/>
    </row>
    <row r="182" spans="1:64" x14ac:dyDescent="0.3">
      <c r="A182" s="21">
        <v>178</v>
      </c>
      <c r="B182" s="4" t="s">
        <v>310</v>
      </c>
      <c r="C182" s="4" t="s">
        <v>23</v>
      </c>
      <c r="D182" s="4">
        <v>8</v>
      </c>
      <c r="E182" s="4">
        <v>14</v>
      </c>
      <c r="F182" s="4" t="s">
        <v>310</v>
      </c>
      <c r="G182" s="4" t="s">
        <v>311</v>
      </c>
      <c r="H182" s="4">
        <v>1516</v>
      </c>
      <c r="I182" s="4">
        <v>7.4999999999999997E-2</v>
      </c>
      <c r="J182" s="4">
        <v>0.25</v>
      </c>
      <c r="K182" s="4">
        <v>1.8</v>
      </c>
      <c r="L182" s="4">
        <v>0.02</v>
      </c>
      <c r="M182" s="4">
        <v>0.01</v>
      </c>
      <c r="N182" s="4" t="s">
        <v>631</v>
      </c>
      <c r="O182" s="4">
        <v>0.01</v>
      </c>
      <c r="P182" s="4">
        <v>9.5000000000000001E-2</v>
      </c>
      <c r="Q182" s="4">
        <v>0.03</v>
      </c>
      <c r="R182" s="4" t="s">
        <v>631</v>
      </c>
      <c r="S182" s="4" t="s">
        <v>631</v>
      </c>
      <c r="T182" s="4" t="s">
        <v>631</v>
      </c>
      <c r="U182" s="4" t="s">
        <v>631</v>
      </c>
      <c r="V182" s="4" t="s">
        <v>631</v>
      </c>
      <c r="W182" s="4" t="s">
        <v>631</v>
      </c>
      <c r="X182" s="4" t="s">
        <v>631</v>
      </c>
      <c r="Y182" s="4"/>
      <c r="Z182" s="4">
        <v>45</v>
      </c>
      <c r="AA182" s="53"/>
      <c r="AB182" s="42">
        <f>IF(J182&lt;=0.04,0,IF((BA182-AL182*BF$4*炼钢参数表!$X$5/1000-AM182*BG$4*炼钢参数表!$X$5/1000)&lt;=0.03,0,IF((J182/100/0.1769/炼钢参数表!K182*1000)&gt;(K182-炼钢参数表!J182)/100/0.6566/炼钢参数表!L182*1000,IF(K182&lt;1.6,(K182-炼钢参数表!J182)/100/0.6566/炼钢参数表!L182*1000,(K182-0.08-炼钢参数表!J182)/100/0.6566/炼钢参数表!L182*1000),IF(K182&lt;1.6,J182/100/0.1769/炼钢参数表!K182*1000,(J182-0.08)/100/0.1769/炼钢参数表!K182*1000))))</f>
        <v>12.012436404748399</v>
      </c>
      <c r="AC182" s="8">
        <f>IF((BA182-AB182*$BB$4*0.9/1000-AL182*BF$4*炼钢参数表!$X$5/1000-AM182*BG$4*炼钢参数表!$X$5/1000)&lt;(K182-炼钢参数表!J182-AB182*0.6566*炼钢参数表!L182/10)*0.082,0,(K182-炼钢参数表!J182-AB182*0.6566*炼钢参数表!L182/10)/100/($AC$3/100)/炼钢参数表!L182*1000)</f>
        <v>0</v>
      </c>
      <c r="AD182" s="8">
        <f>IF((BA182-AB182*$BB$4*0.9/1000-AC182*$BC$4*0.9/1000-AL182*BF$4*炼钢参数表!$X$5/1000-AM182*BG$4*炼钢参数表!$X$5/1000)&lt;=(K182-炼钢参数表!J182-AB182*0.6566*炼钢参数表!L182/10-AC182*($AC$3/100)*炼钢参数表!L182/10)*0.02,0,((K182-炼钢参数表!J182-AB182*0.6566*炼钢参数表!L182/10-AC182*($AC$3/100)*炼钢参数表!L182/10)/100/($AD$3/100)/炼钢参数表!L182*1000))</f>
        <v>0</v>
      </c>
      <c r="AE182" s="8">
        <f>(K182-炼钢参数表!J182-AB182*0.6566*炼钢参数表!L182/10-AC182*($AC$3/100)*炼钢参数表!L182/10-AD182*($AD$3/100)*炼钢参数表!L182/10)/100/($AE$3/100)/炼钢参数表!L182*1000</f>
        <v>11.575746449509101</v>
      </c>
      <c r="AF182" s="8">
        <v>0</v>
      </c>
      <c r="AG182" s="8">
        <f>IF(J182&lt;=0.04,0,((J182-(AB182*0.1769*炼钢参数表!K182/1000*100))/100/炼钢参数表!K182/($AG$3/100)*1000))</f>
        <v>1.38446628824588</v>
      </c>
      <c r="AH182" s="8">
        <v>2.1</v>
      </c>
      <c r="AI182" s="8">
        <f>IF(N182="",0,IF(N182&lt;=0.002,0,((N182)/100)/($AI$3/100)/炼钢参数表!M182*1000))</f>
        <v>0</v>
      </c>
      <c r="AJ182" s="8">
        <f>IF(O182="",0,IF(O182&lt;=0.002,0,((O182)/100)/($AJ$3/100)/炼钢参数表!N182*1000))</f>
        <v>0.15688932399528099</v>
      </c>
      <c r="AK182" s="8">
        <f>IF(P182="",0,IF(P182&lt;=0.002,0,((P182+0.005)/100)/($AK$3/100)/炼钢参数表!O182*1000))</f>
        <v>1.9957689697840599</v>
      </c>
      <c r="AL182" s="8">
        <f>IF((BA182-J182*0.00003-K182*0.00024)&lt;=0.05,0,IF(T182="",0,IF(T182&lt;=0.03,0,IF(((BA182-J182*0.00003-K182*0.00024)-0.05)/0.18/100/($AL$3/100)/炼钢参数表!P182*1000&lt;=T182/100/($AL$3/100)/炼钢参数表!P182*1000,((BA182-J182*0.00003-K182*0.00024)-0.05)/0.18/100/($AL$3/100)/炼钢参数表!P182*1000,T182/100/($AL$3/100)/炼钢参数表!P182*1000))))</f>
        <v>0</v>
      </c>
      <c r="AM182" s="8">
        <f>IF(T182="",0,IF(T182&lt;=0.03,0,((T182-AL182*($AL$3/100)*炼钢参数表!P182/10)/100/($AM$3/100)/炼钢参数表!P182*1000)))</f>
        <v>0</v>
      </c>
      <c r="AN182" s="8">
        <f>IF(U182="",0,IF(U182&lt;=0.02,0,(U182/100)/($AN$3/100)/炼钢参数表!Q182*1000))</f>
        <v>0</v>
      </c>
      <c r="AO182" s="8">
        <f>IF(V182="",0,IF(V182&lt;=0.02,0,(V182/100)/($AO$3/100)/炼钢参数表!R182*1000))</f>
        <v>0</v>
      </c>
      <c r="AP182" s="8">
        <f>IF(W182="",0,IF(W182&lt;=0.02,0,(W182/100)/($AP$3/100)/炼钢参数表!S182*1000))</f>
        <v>0</v>
      </c>
      <c r="AQ182" s="8">
        <f>IF(X182="",0,IF(X182&lt;=0.0002,0,(X182/100)/($AQ$3/100)/炼钢参数表!T182*1000))</f>
        <v>0</v>
      </c>
      <c r="AR182" s="8">
        <f>IF(Y182="",0,IF(Y182&lt;=0.02,0,(Y182/100)/($AR$3/100)/炼钢参数表!U182*1000))</f>
        <v>0</v>
      </c>
      <c r="AS182" s="8">
        <f>IF(L182&lt;=0.04,0,((L182-0.04)/100)/($AS$3/100)/炼钢参数表!V182*1000)</f>
        <v>0</v>
      </c>
      <c r="AT182" s="8">
        <f>IF(M182&lt;=0.03,0,((M182-0.03)/100)/($AT$3/100)/炼钢参数表!W182*1000)</f>
        <v>0</v>
      </c>
      <c r="AU182" s="6"/>
      <c r="AV182" s="8">
        <f t="shared" si="23"/>
        <v>29.225307436282801</v>
      </c>
      <c r="AW182" s="8" cm="1">
        <f t="array" ref="AW182">SUMPRODUCT($AB$4:$AU$4,AB182:AU182)/1000</f>
        <v>298.40066733278098</v>
      </c>
      <c r="AY182" s="2" t="str">
        <f t="shared" si="24"/>
        <v>SR700</v>
      </c>
      <c r="AZ182" s="37">
        <f>VLOOKUP(AY182,炼钢参数表!$F$5:$J$1027,4,0)</f>
        <v>4.1000000000000002E-2</v>
      </c>
      <c r="BA182" s="37">
        <f t="shared" si="25"/>
        <v>3.4000000000000002E-2</v>
      </c>
      <c r="BB182" s="37">
        <f>AB182*$BB$4*炼钢参数表!$X$5/1000</f>
        <v>1.85952515545506E-2</v>
      </c>
      <c r="BC182" s="37">
        <f>AC182*$BC$4*炼钢参数表!$X$5/1000</f>
        <v>0</v>
      </c>
      <c r="BD182" s="37">
        <f>AD182*$BD$4*炼钢参数表!$X$5/1000</f>
        <v>0</v>
      </c>
      <c r="BE182" s="37">
        <f>AE182*$BE$4*炼钢参数表!$X$5/1000</f>
        <v>6.6676299549172603E-3</v>
      </c>
      <c r="BF182" s="37">
        <f>AL182*$BF$4*炼钢参数表!$X$5/1000</f>
        <v>0</v>
      </c>
      <c r="BG182" s="37">
        <f>AM182*$BG$4*炼钢参数表!$X$5/1000</f>
        <v>0</v>
      </c>
      <c r="BH182" s="37">
        <f t="shared" si="26"/>
        <v>2.5262881509467799E-2</v>
      </c>
      <c r="BI182" s="37">
        <f t="shared" si="27"/>
        <v>6.6262881509467894E-2</v>
      </c>
      <c r="BJ182" s="37">
        <f t="shared" si="28"/>
        <v>-8.7371184905321395E-3</v>
      </c>
      <c r="BK182" s="54"/>
      <c r="BL182" s="7"/>
    </row>
    <row r="183" spans="1:64" x14ac:dyDescent="0.3">
      <c r="A183" s="21">
        <v>179</v>
      </c>
      <c r="B183" s="4" t="s">
        <v>312</v>
      </c>
      <c r="C183" s="4" t="s">
        <v>23</v>
      </c>
      <c r="D183" s="4">
        <v>3</v>
      </c>
      <c r="E183" s="4">
        <v>12</v>
      </c>
      <c r="F183" s="4" t="s">
        <v>312</v>
      </c>
      <c r="G183" s="50" t="s">
        <v>313</v>
      </c>
      <c r="H183" s="4">
        <v>1520</v>
      </c>
      <c r="I183" s="51">
        <v>0.08</v>
      </c>
      <c r="J183" s="52">
        <v>0.25</v>
      </c>
      <c r="K183" s="52">
        <v>1.3</v>
      </c>
      <c r="L183" s="51">
        <v>1.7999999999999999E-2</v>
      </c>
      <c r="M183" s="51">
        <v>0.01</v>
      </c>
      <c r="N183" s="51" t="s">
        <v>631</v>
      </c>
      <c r="O183" s="51">
        <v>0.01</v>
      </c>
      <c r="P183" s="51">
        <v>0.02</v>
      </c>
      <c r="Q183" s="51">
        <v>0.03</v>
      </c>
      <c r="R183" s="51" t="s">
        <v>631</v>
      </c>
      <c r="S183" s="32"/>
      <c r="T183" s="52"/>
      <c r="U183" s="52"/>
      <c r="V183" s="52"/>
      <c r="W183" s="52"/>
      <c r="X183" s="32" t="s">
        <v>631</v>
      </c>
      <c r="Y183" s="53" t="s">
        <v>631</v>
      </c>
      <c r="Z183" s="4">
        <v>45</v>
      </c>
      <c r="AA183" s="53"/>
      <c r="AB183" s="42">
        <f>IF(J183&lt;=0.04,0,IF((BA183-AL183*BF$4*炼钢参数表!$X$5/1000-AM183*BG$4*炼钢参数表!$X$5/1000)&lt;=0.03,0,IF((J183/100/0.1769/炼钢参数表!K183*1000)&gt;(K183-炼钢参数表!J183)/100/0.6566/炼钢参数表!L183*1000,IF(K183&lt;1.6,(K183-炼钢参数表!J183)/100/0.6566/炼钢参数表!L183*1000,(K183-0.08-炼钢参数表!J183)/100/0.6566/炼钢参数表!L183*1000),IF(K183&lt;1.6,J183/100/0.1769/炼钢参数表!K183*1000,(J183-0.08)/100/0.1769/炼钢参数表!K183*1000))))</f>
        <v>0</v>
      </c>
      <c r="AC183" s="8">
        <f>IF((BA183-AB183*$BB$4*0.9/1000-AL183*BF$4*炼钢参数表!$X$5/1000-AM183*BG$4*炼钢参数表!$X$5/1000)&lt;(K183-炼钢参数表!J183-AB183*0.6566*炼钢参数表!L183/10)*0.082,0,(K183-炼钢参数表!J183-AB183*0.6566*炼钢参数表!L183/10)/100/($AC$3/100)/炼钢参数表!L183*1000)</f>
        <v>0</v>
      </c>
      <c r="AD183" s="8">
        <f>IF((BA183-AB183*$BB$4*0.9/1000-AC183*$BC$4*0.9/1000-AL183*BF$4*炼钢参数表!$X$5/1000-AM183*BG$4*炼钢参数表!$X$5/1000)&lt;=(K183-炼钢参数表!J183-AB183*0.6566*炼钢参数表!L183/10-AC183*($AC$3/100)*炼钢参数表!L183/10)*0.02,0,((K183-炼钢参数表!J183-AB183*0.6566*炼钢参数表!L183/10-AC183*($AC$3/100)*炼钢参数表!L183/10)/100/($AD$3/100)/炼钢参数表!L183*1000))</f>
        <v>15.3524613308527</v>
      </c>
      <c r="AE183" s="8">
        <f>(K183-炼钢参数表!J183-AB183*0.6566*炼钢参数表!L183/10-AC183*($AC$3/100)*炼钢参数表!L183/10-AD183*($AD$3/100)*炼钢参数表!L183/10)/100/($AE$3/100)/炼钢参数表!L183*1000</f>
        <v>0</v>
      </c>
      <c r="AF183" s="8">
        <v>0</v>
      </c>
      <c r="AG183" s="8">
        <f>IF(J183&lt;=0.04,0,((J183-(AB183*0.1769*炼钢参数表!K183/1000*100))/100/炼钢参数表!K183/($AG$3/100)*1000))</f>
        <v>4.3264571507683796</v>
      </c>
      <c r="AH183" s="8">
        <v>2.1</v>
      </c>
      <c r="AI183" s="8">
        <f>IF(N183="",0,IF(N183&lt;=0.002,0,((N183)/100)/($AI$3/100)/炼钢参数表!M183*1000))</f>
        <v>0</v>
      </c>
      <c r="AJ183" s="8">
        <f>IF(O183="",0,IF(O183&lt;=0.002,0,((O183)/100)/($AJ$3/100)/炼钢参数表!N183*1000))</f>
        <v>0.15688932399528099</v>
      </c>
      <c r="AK183" s="8">
        <f>IF(P183="",0,IF(P183&lt;=0.002,0,((P183+0.005)/100)/($AK$3/100)/炼钢参数表!O183*1000))</f>
        <v>0.49894224244601398</v>
      </c>
      <c r="AL183" s="8">
        <f>IF((BA183-J183*0.00003-K183*0.00024)&lt;=0.05,0,IF(T183="",0,IF(T183&lt;=0.03,0,IF(((BA183-J183*0.00003-K183*0.00024)-0.05)/0.18/100/($AL$3/100)/炼钢参数表!P183*1000&lt;=T183/100/($AL$3/100)/炼钢参数表!P183*1000,((BA183-J183*0.00003-K183*0.00024)-0.05)/0.18/100/($AL$3/100)/炼钢参数表!P183*1000,T183/100/($AL$3/100)/炼钢参数表!P183*1000))))</f>
        <v>0</v>
      </c>
      <c r="AM183" s="8">
        <f>IF(T183="",0,IF(T183&lt;=0.03,0,((T183-AL183*($AL$3/100)*炼钢参数表!P183/10)/100/($AM$3/100)/炼钢参数表!P183*1000)))</f>
        <v>0</v>
      </c>
      <c r="AN183" s="8">
        <f>IF(U183="",0,IF(U183&lt;=0.02,0,(U183/100)/($AN$3/100)/炼钢参数表!Q183*1000))</f>
        <v>0</v>
      </c>
      <c r="AO183" s="8">
        <f>IF(V183="",0,IF(V183&lt;=0.02,0,(V183/100)/($AO$3/100)/炼钢参数表!R183*1000))</f>
        <v>0</v>
      </c>
      <c r="AP183" s="8">
        <f>IF(W183="",0,IF(W183&lt;=0.02,0,(W183/100)/($AP$3/100)/炼钢参数表!S183*1000))</f>
        <v>0</v>
      </c>
      <c r="AQ183" s="8">
        <f>IF(X183="",0,IF(X183&lt;=0.0002,0,(X183/100)/($AQ$3/100)/炼钢参数表!T183*1000))</f>
        <v>0</v>
      </c>
      <c r="AR183" s="8">
        <f>IF(Y183="",0,IF(Y183&lt;=0.02,0,(Y183/100)/($AR$3/100)/炼钢参数表!U183*1000))</f>
        <v>0</v>
      </c>
      <c r="AS183" s="8">
        <f>IF(L183&lt;=0.04,0,((L183-0.04)/100)/($AS$3/100)/炼钢参数表!V183*1000)</f>
        <v>0</v>
      </c>
      <c r="AT183" s="8">
        <f>IF(M183&lt;=0.03,0,((M183-0.03)/100)/($AT$3/100)/炼钢参数表!W183*1000)</f>
        <v>0</v>
      </c>
      <c r="AU183" s="6"/>
      <c r="AV183" s="8">
        <f t="shared" si="23"/>
        <v>22.434750048062401</v>
      </c>
      <c r="AW183" s="8" cm="1">
        <f t="array" ref="AW183">SUMPRODUCT($AB$4:$AU$4,AB183:AU183)/1000</f>
        <v>233.820404292375</v>
      </c>
      <c r="AY183" s="2" t="str">
        <f t="shared" si="24"/>
        <v>C355-5</v>
      </c>
      <c r="AZ183" s="37">
        <f>VLOOKUP(AY183,炼钢参数表!$F$5:$J$1027,4,0)</f>
        <v>5.5333333333333297E-2</v>
      </c>
      <c r="BA183" s="37">
        <f t="shared" si="25"/>
        <v>2.4666666666666701E-2</v>
      </c>
      <c r="BB183" s="37">
        <f>AB183*$BB$4*炼钢参数表!$X$5/1000</f>
        <v>0</v>
      </c>
      <c r="BC183" s="37">
        <f>AC183*$BC$4*炼钢参数表!$X$5/1000</f>
        <v>0</v>
      </c>
      <c r="BD183" s="37">
        <f>AD183*$BD$4*炼钢参数表!$X$5/1000</f>
        <v>2.0725822796651101E-2</v>
      </c>
      <c r="BE183" s="37">
        <f>AE183*$BE$4*炼钢参数表!$X$5/1000</f>
        <v>0</v>
      </c>
      <c r="BF183" s="37">
        <f>AL183*$BF$4*炼钢参数表!$X$5/1000</f>
        <v>0</v>
      </c>
      <c r="BG183" s="37">
        <f>AM183*$BG$4*炼钢参数表!$X$5/1000</f>
        <v>0</v>
      </c>
      <c r="BH183" s="37">
        <f t="shared" si="26"/>
        <v>2.0725822796651101E-2</v>
      </c>
      <c r="BI183" s="37">
        <f t="shared" si="27"/>
        <v>7.6059156129984401E-2</v>
      </c>
      <c r="BJ183" s="37">
        <f t="shared" si="28"/>
        <v>-3.9408438700155703E-3</v>
      </c>
      <c r="BK183" s="54"/>
      <c r="BL183" s="7"/>
    </row>
    <row r="184" spans="1:64" x14ac:dyDescent="0.3">
      <c r="A184" s="21">
        <v>180</v>
      </c>
      <c r="B184" s="4" t="s">
        <v>314</v>
      </c>
      <c r="C184" s="4" t="s">
        <v>23</v>
      </c>
      <c r="D184" s="4">
        <v>2.5</v>
      </c>
      <c r="E184" s="4">
        <v>8</v>
      </c>
      <c r="F184" s="4" t="s">
        <v>314</v>
      </c>
      <c r="G184" s="50" t="s">
        <v>315</v>
      </c>
      <c r="H184" s="4">
        <v>1514</v>
      </c>
      <c r="I184" s="51">
        <v>0.15</v>
      </c>
      <c r="J184" s="52">
        <v>0.15</v>
      </c>
      <c r="K184" s="52">
        <v>1</v>
      </c>
      <c r="L184" s="51">
        <v>1.4999999999999999E-2</v>
      </c>
      <c r="M184" s="51">
        <v>4.0000000000000001E-3</v>
      </c>
      <c r="N184" s="51" t="s">
        <v>631</v>
      </c>
      <c r="O184" s="51">
        <v>1.4999999999999999E-2</v>
      </c>
      <c r="P184" s="51">
        <v>0.105</v>
      </c>
      <c r="Q184" s="51">
        <v>0.03</v>
      </c>
      <c r="R184" s="51" t="s">
        <v>631</v>
      </c>
      <c r="S184" s="32" t="s">
        <v>631</v>
      </c>
      <c r="T184" s="52"/>
      <c r="U184" s="52"/>
      <c r="V184" s="52"/>
      <c r="W184" s="52"/>
      <c r="X184" s="32" t="s">
        <v>631</v>
      </c>
      <c r="Y184" s="53" t="s">
        <v>631</v>
      </c>
      <c r="Z184" s="4">
        <v>40</v>
      </c>
      <c r="AA184" s="53" t="s">
        <v>639</v>
      </c>
      <c r="AB184" s="42">
        <f>IF(J184&lt;=0.04,0,IF((BA184-AL184*BF$4*炼钢参数表!$X$5/1000-AM184*BG$4*炼钢参数表!$X$5/1000)&lt;=0.03,0,IF((J184/100/0.1769/炼钢参数表!K184*1000)&gt;(K184-炼钢参数表!J184)/100/0.6566/炼钢参数表!L184*1000,IF(K184&lt;1.6,(K184-炼钢参数表!J184)/100/0.6566/炼钢参数表!L184*1000,(K184-0.08-炼钢参数表!J184)/100/0.6566/炼钢参数表!L184*1000),IF(K184&lt;1.6,J184/100/0.1769/炼钢参数表!K184*1000,(J184-0.08)/100/0.1769/炼钢参数表!K184*1000))))</f>
        <v>10.5992085924251</v>
      </c>
      <c r="AC184" s="8">
        <f>IF((BA184-AB184*$BB$4*0.9/1000-AL184*BF$4*炼钢参数表!$X$5/1000-AM184*BG$4*炼钢参数表!$X$5/1000)&lt;(K184-炼钢参数表!J184-AB184*0.6566*炼钢参数表!L184/10)*0.082,0,(K184-炼钢参数表!J184-AB184*0.6566*炼钢参数表!L184/10)/100/($AC$3/100)/炼钢参数表!L184*1000)</f>
        <v>2.7307751711387001</v>
      </c>
      <c r="AD184" s="8">
        <f>IF((BA184-AB184*$BB$4*0.9/1000-AC184*$BC$4*0.9/1000-AL184*BF$4*炼钢参数表!$X$5/1000-AM184*BG$4*炼钢参数表!$X$5/1000)&lt;=(K184-炼钢参数表!J184-AB184*0.6566*炼钢参数表!L184/10-AC184*($AC$3/100)*炼钢参数表!L184/10)*0.02,0,((K184-炼钢参数表!J184-AB184*0.6566*炼钢参数表!L184/10-AC184*($AC$3/100)*炼钢参数表!L184/10)/100/($AD$3/100)/炼钢参数表!L184*1000))</f>
        <v>0</v>
      </c>
      <c r="AE184" s="8">
        <f>(K184-炼钢参数表!J184-AB184*0.6566*炼钢参数表!L184/10-AC184*($AC$3/100)*炼钢参数表!L184/10-AD184*($AD$3/100)*炼钢参数表!L184/10)/100/($AE$3/100)/炼钢参数表!L184*1000</f>
        <v>0</v>
      </c>
      <c r="AF184" s="8">
        <v>0</v>
      </c>
      <c r="AG184" s="8">
        <f>IF(J184&lt;=0.04,0,((J184-(AB184*0.1769*炼钢参数表!K184/1000*100))/100/炼钢参数表!K184/($AG$3/100)*1000))</f>
        <v>0</v>
      </c>
      <c r="AH184" s="8">
        <v>2.1</v>
      </c>
      <c r="AI184" s="8">
        <f>IF(N184="",0,IF(N184&lt;=0.002,0,((N184)/100)/($AI$3/100)/炼钢参数表!M184*1000))</f>
        <v>0</v>
      </c>
      <c r="AJ184" s="8">
        <f>IF(O184="",0,IF(O184&lt;=0.002,0,((O184)/100)/($AJ$3/100)/炼钢参数表!N184*1000))</f>
        <v>0.23533398599292099</v>
      </c>
      <c r="AK184" s="8">
        <f>IF(P184="",0,IF(P184&lt;=0.002,0,((P184+0.005)/100)/($AK$3/100)/炼钢参数表!O184*1000))</f>
        <v>2.1953458667624601</v>
      </c>
      <c r="AL184" s="8">
        <f>IF((BA184-J184*0.00003-K184*0.00024)&lt;=0.05,0,IF(T184="",0,IF(T184&lt;=0.03,0,IF(((BA184-J184*0.00003-K184*0.00024)-0.05)/0.18/100/($AL$3/100)/炼钢参数表!P184*1000&lt;=T184/100/($AL$3/100)/炼钢参数表!P184*1000,((BA184-J184*0.00003-K184*0.00024)-0.05)/0.18/100/($AL$3/100)/炼钢参数表!P184*1000,T184/100/($AL$3/100)/炼钢参数表!P184*1000))))</f>
        <v>0</v>
      </c>
      <c r="AM184" s="8">
        <f>IF(T184="",0,IF(T184&lt;=0.03,0,((T184-AL184*($AL$3/100)*炼钢参数表!P184/10)/100/($AM$3/100)/炼钢参数表!P184*1000)))</f>
        <v>0</v>
      </c>
      <c r="AN184" s="8">
        <f>IF(U184="",0,IF(U184&lt;=0.02,0,(U184/100)/($AN$3/100)/炼钢参数表!Q184*1000))</f>
        <v>0</v>
      </c>
      <c r="AO184" s="8">
        <f>IF(V184="",0,IF(V184&lt;=0.02,0,(V184/100)/($AO$3/100)/炼钢参数表!R184*1000))</f>
        <v>0</v>
      </c>
      <c r="AP184" s="8">
        <f>IF(W184="",0,IF(W184&lt;=0.02,0,(W184/100)/($AP$3/100)/炼钢参数表!S184*1000))</f>
        <v>0</v>
      </c>
      <c r="AQ184" s="8">
        <f>IF(X184="",0,IF(X184&lt;=0.0002,0,(X184/100)/($AQ$3/100)/炼钢参数表!T184*1000))</f>
        <v>0</v>
      </c>
      <c r="AR184" s="8">
        <f>IF(Y184="",0,IF(Y184&lt;=0.02,0,(Y184/100)/($AR$3/100)/炼钢参数表!U184*1000))</f>
        <v>0</v>
      </c>
      <c r="AS184" s="8">
        <f>IF(L184&lt;=0.04,0,((L184-0.04)/100)/($AS$3/100)/炼钢参数表!V184*1000)</f>
        <v>0</v>
      </c>
      <c r="AT184" s="8">
        <f>IF(M184&lt;=0.03,0,((M184-0.03)/100)/($AT$3/100)/炼钢参数表!W184*1000)</f>
        <v>0</v>
      </c>
      <c r="AU184" s="6"/>
      <c r="AV184" s="8">
        <f t="shared" si="23"/>
        <v>17.860663616319201</v>
      </c>
      <c r="AW184" s="8" cm="1">
        <f t="array" ref="AW184">SUMPRODUCT($AB$4:$AU$4,AB184:AU184)/1000</f>
        <v>224.44093761717599</v>
      </c>
      <c r="AY184" s="2" t="str">
        <f t="shared" si="24"/>
        <v>YFA-1</v>
      </c>
      <c r="AZ184" s="37">
        <f>VLOOKUP(AY184,炼钢参数表!$F$5:$J$1027,4,0)</f>
        <v>5.5333333333333297E-2</v>
      </c>
      <c r="BA184" s="37">
        <f t="shared" si="25"/>
        <v>9.4666666666666704E-2</v>
      </c>
      <c r="BB184" s="37">
        <f>AB184*$BB$4*炼钢参数表!$X$5/1000</f>
        <v>1.6407574901074098E-2</v>
      </c>
      <c r="BC184" s="37">
        <f>AC184*$BC$4*炼钢参数表!$X$5/1000</f>
        <v>1.6441997305426101E-2</v>
      </c>
      <c r="BD184" s="37">
        <f>AD184*$BD$4*炼钢参数表!$X$5/1000</f>
        <v>0</v>
      </c>
      <c r="BE184" s="37">
        <f>AE184*$BE$4*炼钢参数表!$X$5/1000</f>
        <v>0</v>
      </c>
      <c r="BF184" s="37">
        <f>AL184*$BF$4*炼钢参数表!$X$5/1000</f>
        <v>0</v>
      </c>
      <c r="BG184" s="37">
        <f>AM184*$BG$4*炼钢参数表!$X$5/1000</f>
        <v>0</v>
      </c>
      <c r="BH184" s="37">
        <f t="shared" si="26"/>
        <v>3.2849572206500102E-2</v>
      </c>
      <c r="BI184" s="37">
        <f t="shared" si="27"/>
        <v>8.8182905539833406E-2</v>
      </c>
      <c r="BJ184" s="37">
        <f t="shared" si="28"/>
        <v>-6.1817094460166602E-2</v>
      </c>
      <c r="BK184" s="54"/>
      <c r="BL184" s="7"/>
    </row>
    <row r="185" spans="1:64" x14ac:dyDescent="0.3">
      <c r="A185" s="21">
        <v>181</v>
      </c>
      <c r="B185" s="4" t="s">
        <v>316</v>
      </c>
      <c r="C185" s="4" t="s">
        <v>23</v>
      </c>
      <c r="D185" s="4">
        <v>3</v>
      </c>
      <c r="E185" s="4">
        <v>14</v>
      </c>
      <c r="F185" s="4" t="s">
        <v>317</v>
      </c>
      <c r="G185" s="50" t="s">
        <v>318</v>
      </c>
      <c r="H185" s="4">
        <v>1518</v>
      </c>
      <c r="I185" s="51">
        <v>0.16</v>
      </c>
      <c r="J185" s="52">
        <v>0.1</v>
      </c>
      <c r="K185" s="52">
        <v>0.65</v>
      </c>
      <c r="L185" s="51">
        <v>1.4999999999999999E-2</v>
      </c>
      <c r="M185" s="51">
        <v>4.0000000000000001E-3</v>
      </c>
      <c r="N185" s="51"/>
      <c r="O185" s="51"/>
      <c r="P185" s="51">
        <v>0.01</v>
      </c>
      <c r="Q185" s="51">
        <v>0.02</v>
      </c>
      <c r="R185" s="51" t="s">
        <v>631</v>
      </c>
      <c r="S185" s="32"/>
      <c r="T185" s="52"/>
      <c r="U185" s="52"/>
      <c r="V185" s="52"/>
      <c r="W185" s="52"/>
      <c r="X185" s="32" t="s">
        <v>631</v>
      </c>
      <c r="Y185" s="53" t="s">
        <v>631</v>
      </c>
      <c r="Z185" s="4">
        <v>45</v>
      </c>
      <c r="AA185" s="53" t="s">
        <v>631</v>
      </c>
      <c r="AB185" s="42">
        <f>IF(J185&lt;=0.04,0,IF((BA185-AL185*BF$4*炼钢参数表!$X$5/1000-AM185*BG$4*炼钢参数表!$X$5/1000)&lt;=0.03,0,IF((J185/100/0.1769/炼钢参数表!K185*1000)&gt;(K185-炼钢参数表!J185)/100/0.6566/炼钢参数表!L185*1000,IF(K185&lt;1.6,(K185-炼钢参数表!J185)/100/0.6566/炼钢参数表!L185*1000,(K185-0.08-炼钢参数表!J185)/100/0.6566/炼钢参数表!L185*1000),IF(K185&lt;1.6,J185/100/0.1769/炼钢参数表!K185*1000,(J185-0.08)/100/0.1769/炼钢参数表!K185*1000))))</f>
        <v>7.0661390616167301</v>
      </c>
      <c r="AC185" s="8">
        <f>IF((BA185-AB185*$BB$4*0.9/1000-AL185*BF$4*炼钢参数表!$X$5/1000-AM185*BG$4*炼钢参数表!$X$5/1000)&lt;(K185-炼钢参数表!J185-AB185*0.6566*炼钢参数表!L185/10)*0.082,0,(K185-炼钢参数表!J185-AB185*0.6566*炼钢参数表!L185/10)/100/($AC$3/100)/炼钢参数表!L185*1000)</f>
        <v>1.1436780868771601</v>
      </c>
      <c r="AD185" s="8">
        <f>IF((BA185-AB185*$BB$4*0.9/1000-AC185*$BC$4*0.9/1000-AL185*BF$4*炼钢参数表!$X$5/1000-AM185*BG$4*炼钢参数表!$X$5/1000)&lt;=(K185-炼钢参数表!J185-AB185*0.6566*炼钢参数表!L185/10-AC185*($AC$3/100)*炼钢参数表!L185/10)*0.02,0,((K185-炼钢参数表!J185-AB185*0.6566*炼钢参数表!L185/10-AC185*($AC$3/100)*炼钢参数表!L185/10)/100/($AD$3/100)/炼钢参数表!L185*1000))</f>
        <v>0</v>
      </c>
      <c r="AE185" s="8">
        <f>(K185-炼钢参数表!J185-AB185*0.6566*炼钢参数表!L185/10-AC185*($AC$3/100)*炼钢参数表!L185/10-AD185*($AD$3/100)*炼钢参数表!L185/10)/100/($AE$3/100)/炼钢参数表!L185*1000</f>
        <v>0</v>
      </c>
      <c r="AF185" s="8">
        <v>0</v>
      </c>
      <c r="AG185" s="8">
        <f>IF(J185&lt;=0.04,0,((J185-(AB185*0.1769*炼钢参数表!K185/1000*100))/100/炼钢参数表!K185/($AG$3/100)*1000))</f>
        <v>0</v>
      </c>
      <c r="AH185" s="8">
        <v>1.65</v>
      </c>
      <c r="AI185" s="8">
        <f>IF(N185="",0,IF(N185&lt;=0.002,0,((N185)/100)/($AI$3/100)/炼钢参数表!M185*1000))</f>
        <v>0</v>
      </c>
      <c r="AJ185" s="8">
        <f>IF(O185="",0,IF(O185&lt;=0.002,0,((O185)/100)/($AJ$3/100)/炼钢参数表!N185*1000))</f>
        <v>0</v>
      </c>
      <c r="AK185" s="8">
        <f>IF(P185="",0,IF(P185&lt;=0.002,0,((P185+0.005)/100)/($AK$3/100)/炼钢参数表!O185*1000))</f>
        <v>0.29936534546760901</v>
      </c>
      <c r="AL185" s="8">
        <f>IF((BA185-J185*0.00003-K185*0.00024)&lt;=0.05,0,IF(T185="",0,IF(T185&lt;=0.03,0,IF(((BA185-J185*0.00003-K185*0.00024)-0.05)/0.18/100/($AL$3/100)/炼钢参数表!P185*1000&lt;=T185/100/($AL$3/100)/炼钢参数表!P185*1000,((BA185-J185*0.00003-K185*0.00024)-0.05)/0.18/100/($AL$3/100)/炼钢参数表!P185*1000,T185/100/($AL$3/100)/炼钢参数表!P185*1000))))</f>
        <v>0</v>
      </c>
      <c r="AM185" s="8">
        <f>IF(T185="",0,IF(T185&lt;=0.03,0,((T185-AL185*($AL$3/100)*炼钢参数表!P185/10)/100/($AM$3/100)/炼钢参数表!P185*1000)))</f>
        <v>0</v>
      </c>
      <c r="AN185" s="8">
        <f>IF(U185="",0,IF(U185&lt;=0.02,0,(U185/100)/($AN$3/100)/炼钢参数表!Q185*1000))</f>
        <v>0</v>
      </c>
      <c r="AO185" s="8">
        <f>IF(V185="",0,IF(V185&lt;=0.02,0,(V185/100)/($AO$3/100)/炼钢参数表!R185*1000))</f>
        <v>0</v>
      </c>
      <c r="AP185" s="8">
        <f>IF(W185="",0,IF(W185&lt;=0.02,0,(W185/100)/($AP$3/100)/炼钢参数表!S185*1000))</f>
        <v>0</v>
      </c>
      <c r="AQ185" s="8">
        <f>IF(X185="",0,IF(X185&lt;=0.0002,0,(X185/100)/($AQ$3/100)/炼钢参数表!T185*1000))</f>
        <v>0</v>
      </c>
      <c r="AR185" s="8">
        <f>IF(Y185="",0,IF(Y185&lt;=0.02,0,(Y185/100)/($AR$3/100)/炼钢参数表!U185*1000))</f>
        <v>0</v>
      </c>
      <c r="AS185" s="8">
        <f>IF(L185&lt;=0.04,0,((L185-0.04)/100)/($AS$3/100)/炼钢参数表!V185*1000)</f>
        <v>0</v>
      </c>
      <c r="AT185" s="8">
        <f>IF(M185&lt;=0.03,0,((M185-0.03)/100)/($AT$3/100)/炼钢参数表!W185*1000)</f>
        <v>0</v>
      </c>
      <c r="AU185" s="6"/>
      <c r="AV185" s="8">
        <f t="shared" si="23"/>
        <v>10.159182493961501</v>
      </c>
      <c r="AW185" s="8" cm="1">
        <f t="array" ref="AW185">SUMPRODUCT($AB$4:$AU$4,AB185:AU185)/1000</f>
        <v>89.307204582124399</v>
      </c>
      <c r="AY185" s="2" t="str">
        <f t="shared" si="24"/>
        <v>Q245R-1</v>
      </c>
      <c r="AZ185" s="37">
        <f>VLOOKUP(AY185,炼钢参数表!$F$5:$J$1027,4,0)</f>
        <v>6.7636363636363606E-2</v>
      </c>
      <c r="BA185" s="37">
        <f t="shared" si="25"/>
        <v>9.2363636363636398E-2</v>
      </c>
      <c r="BB185" s="37">
        <f>AB185*$BB$4*炼钢参数表!$X$5/1000</f>
        <v>1.09383832673827E-2</v>
      </c>
      <c r="BC185" s="37">
        <f>AC185*$BC$4*炼钢参数表!$X$5/1000</f>
        <v>6.8860857610873903E-3</v>
      </c>
      <c r="BD185" s="37">
        <f>AD185*$BD$4*炼钢参数表!$X$5/1000</f>
        <v>0</v>
      </c>
      <c r="BE185" s="37">
        <f>AE185*$BE$4*炼钢参数表!$X$5/1000</f>
        <v>0</v>
      </c>
      <c r="BF185" s="37">
        <f>AL185*$BF$4*炼钢参数表!$X$5/1000</f>
        <v>0</v>
      </c>
      <c r="BG185" s="37">
        <f>AM185*$BG$4*炼钢参数表!$X$5/1000</f>
        <v>0</v>
      </c>
      <c r="BH185" s="37">
        <f t="shared" si="26"/>
        <v>1.78244690284701E-2</v>
      </c>
      <c r="BI185" s="37">
        <f t="shared" si="27"/>
        <v>8.5460832664833702E-2</v>
      </c>
      <c r="BJ185" s="37">
        <f t="shared" si="28"/>
        <v>-7.4539167335166301E-2</v>
      </c>
      <c r="BK185" s="54"/>
      <c r="BL185" s="7"/>
    </row>
    <row r="186" spans="1:64" x14ac:dyDescent="0.3">
      <c r="A186" s="21">
        <v>182</v>
      </c>
      <c r="B186" s="4" t="s">
        <v>316</v>
      </c>
      <c r="C186" s="4" t="s">
        <v>26</v>
      </c>
      <c r="D186" s="4">
        <v>14.01</v>
      </c>
      <c r="E186" s="4">
        <v>25.4</v>
      </c>
      <c r="F186" s="4" t="s">
        <v>319</v>
      </c>
      <c r="G186" s="50" t="s">
        <v>318</v>
      </c>
      <c r="H186" s="4">
        <v>1518</v>
      </c>
      <c r="I186" s="51">
        <v>0.16</v>
      </c>
      <c r="J186" s="52">
        <v>0.1</v>
      </c>
      <c r="K186" s="52">
        <v>0.65</v>
      </c>
      <c r="L186" s="51">
        <v>1.4999999999999999E-2</v>
      </c>
      <c r="M186" s="51">
        <v>4.0000000000000001E-3</v>
      </c>
      <c r="N186" s="51"/>
      <c r="O186" s="51">
        <v>6.0000000000000001E-3</v>
      </c>
      <c r="P186" s="51">
        <v>1.2E-2</v>
      </c>
      <c r="Q186" s="51">
        <v>0.02</v>
      </c>
      <c r="R186" s="51" t="s">
        <v>631</v>
      </c>
      <c r="S186" s="32"/>
      <c r="T186" s="52"/>
      <c r="U186" s="52"/>
      <c r="V186" s="52"/>
      <c r="W186" s="52"/>
      <c r="X186" s="32" t="s">
        <v>631</v>
      </c>
      <c r="Y186" s="53" t="s">
        <v>631</v>
      </c>
      <c r="Z186" s="4">
        <v>45</v>
      </c>
      <c r="AA186" s="53" t="s">
        <v>631</v>
      </c>
      <c r="AB186" s="42">
        <f>IF(J186&lt;=0.04,0,IF((BA186-AL186*BF$4*炼钢参数表!$X$5/1000-AM186*BG$4*炼钢参数表!$X$5/1000)&lt;=0.03,0,IF((J186/100/0.1769/炼钢参数表!K186*1000)&gt;(K186-炼钢参数表!J186)/100/0.6566/炼钢参数表!L186*1000,IF(K186&lt;1.6,(K186-炼钢参数表!J186)/100/0.6566/炼钢参数表!L186*1000,(K186-0.08-炼钢参数表!J186)/100/0.6566/炼钢参数表!L186*1000),IF(K186&lt;1.6,J186/100/0.1769/炼钢参数表!K186*1000,(J186-0.08)/100/0.1769/炼钢参数表!K186*1000))))</f>
        <v>7.0661390616167301</v>
      </c>
      <c r="AC186" s="8">
        <f>IF((BA186-AB186*$BB$4*0.9/1000-AL186*BF$4*炼钢参数表!$X$5/1000-AM186*BG$4*炼钢参数表!$X$5/1000)&lt;(K186-炼钢参数表!J186-AB186*0.6566*炼钢参数表!L186/10)*0.082,0,(K186-炼钢参数表!J186-AB186*0.6566*炼钢参数表!L186/10)/100/($AC$3/100)/炼钢参数表!L186*1000)</f>
        <v>1.3782487207201</v>
      </c>
      <c r="AD186" s="8">
        <f>IF((BA186-AB186*$BB$4*0.9/1000-AC186*$BC$4*0.9/1000-AL186*BF$4*炼钢参数表!$X$5/1000-AM186*BG$4*炼钢参数表!$X$5/1000)&lt;=(K186-炼钢参数表!J186-AB186*0.6566*炼钢参数表!L186/10-AC186*($AC$3/100)*炼钢参数表!L186/10)*0.02,0,((K186-炼钢参数表!J186-AB186*0.6566*炼钢参数表!L186/10-AC186*($AC$3/100)*炼钢参数表!L186/10)/100/($AD$3/100)/炼钢参数表!L186*1000))</f>
        <v>0</v>
      </c>
      <c r="AE186" s="8">
        <f>(K186-炼钢参数表!J186-AB186*0.6566*炼钢参数表!L186/10-AC186*($AC$3/100)*炼钢参数表!L186/10-AD186*($AD$3/100)*炼钢参数表!L186/10)/100/($AE$3/100)/炼钢参数表!L186*1000</f>
        <v>0</v>
      </c>
      <c r="AF186" s="8">
        <v>0</v>
      </c>
      <c r="AG186" s="8">
        <f>IF(J186&lt;=0.04,0,((J186-(AB186*0.1769*炼钢参数表!K186/1000*100))/100/炼钢参数表!K186/($AG$3/100)*1000))</f>
        <v>0</v>
      </c>
      <c r="AH186" s="8">
        <v>1.65</v>
      </c>
      <c r="AI186" s="8">
        <f>IF(N186="",0,IF(N186&lt;=0.002,0,((N186)/100)/($AI$3/100)/炼钢参数表!M186*1000))</f>
        <v>0</v>
      </c>
      <c r="AJ186" s="8">
        <f>IF(O186="",0,IF(O186&lt;=0.002,0,((O186)/100)/($AJ$3/100)/炼钢参数表!N186*1000))</f>
        <v>9.4133594397168494E-2</v>
      </c>
      <c r="AK186" s="8">
        <f>IF(P186="",0,IF(P186&lt;=0.002,0,((P186+0.005)/100)/($AK$3/100)/炼钢参数表!O186*1000))</f>
        <v>0.33928072486328997</v>
      </c>
      <c r="AL186" s="8">
        <f>IF((BA186-J186*0.00003-K186*0.00024)&lt;=0.05,0,IF(T186="",0,IF(T186&lt;=0.03,0,IF(((BA186-J186*0.00003-K186*0.00024)-0.05)/0.18/100/($AL$3/100)/炼钢参数表!P186*1000&lt;=T186/100/($AL$3/100)/炼钢参数表!P186*1000,((BA186-J186*0.00003-K186*0.00024)-0.05)/0.18/100/($AL$3/100)/炼钢参数表!P186*1000,T186/100/($AL$3/100)/炼钢参数表!P186*1000))))</f>
        <v>0</v>
      </c>
      <c r="AM186" s="8">
        <f>IF(T186="",0,IF(T186&lt;=0.03,0,((T186-AL186*($AL$3/100)*炼钢参数表!P186/10)/100/($AM$3/100)/炼钢参数表!P186*1000)))</f>
        <v>0</v>
      </c>
      <c r="AN186" s="8">
        <f>IF(U186="",0,IF(U186&lt;=0.02,0,(U186/100)/($AN$3/100)/炼钢参数表!Q186*1000))</f>
        <v>0</v>
      </c>
      <c r="AO186" s="8">
        <f>IF(V186="",0,IF(V186&lt;=0.02,0,(V186/100)/($AO$3/100)/炼钢参数表!R186*1000))</f>
        <v>0</v>
      </c>
      <c r="AP186" s="8">
        <f>IF(W186="",0,IF(W186&lt;=0.02,0,(W186/100)/($AP$3/100)/炼钢参数表!S186*1000))</f>
        <v>0</v>
      </c>
      <c r="AQ186" s="8">
        <f>IF(X186="",0,IF(X186&lt;=0.0002,0,(X186/100)/($AQ$3/100)/炼钢参数表!T186*1000))</f>
        <v>0</v>
      </c>
      <c r="AR186" s="8">
        <f>IF(Y186="",0,IF(Y186&lt;=0.02,0,(Y186/100)/($AR$3/100)/炼钢参数表!U186*1000))</f>
        <v>0</v>
      </c>
      <c r="AS186" s="8">
        <f>IF(L186&lt;=0.04,0,((L186-0.04)/100)/($AS$3/100)/炼钢参数表!V186*1000)</f>
        <v>0</v>
      </c>
      <c r="AT186" s="8">
        <f>IF(M186&lt;=0.03,0,((M186-0.03)/100)/($AT$3/100)/炼钢参数表!W186*1000)</f>
        <v>0</v>
      </c>
      <c r="AU186" s="6"/>
      <c r="AV186" s="8">
        <f t="shared" si="23"/>
        <v>10.527802101597301</v>
      </c>
      <c r="AW186" s="8" cm="1">
        <f t="array" ref="AW186">SUMPRODUCT($AB$4:$AU$4,AB186:AU186)/1000</f>
        <v>111.95992961320501</v>
      </c>
      <c r="AY186" s="2" t="str">
        <f t="shared" si="24"/>
        <v>Q245R-2</v>
      </c>
      <c r="AZ186" s="37">
        <f>VLOOKUP(AY186,炼钢参数表!$F$5:$J$1027,4,0)</f>
        <v>5.5777777777777801E-2</v>
      </c>
      <c r="BA186" s="37">
        <f t="shared" si="25"/>
        <v>0.10422222222222199</v>
      </c>
      <c r="BB186" s="37">
        <f>AB186*$BB$4*炼钢参数表!$X$5/1000</f>
        <v>1.09383832673827E-2</v>
      </c>
      <c r="BC186" s="37">
        <f>AC186*$BC$4*炼钢参数表!$X$5/1000</f>
        <v>8.2984355474557108E-3</v>
      </c>
      <c r="BD186" s="37">
        <f>AD186*$BD$4*炼钢参数表!$X$5/1000</f>
        <v>0</v>
      </c>
      <c r="BE186" s="37">
        <f>AE186*$BE$4*炼钢参数表!$X$5/1000</f>
        <v>0</v>
      </c>
      <c r="BF186" s="37">
        <f>AL186*$BF$4*炼钢参数表!$X$5/1000</f>
        <v>0</v>
      </c>
      <c r="BG186" s="37">
        <f>AM186*$BG$4*炼钢参数表!$X$5/1000</f>
        <v>0</v>
      </c>
      <c r="BH186" s="37">
        <f t="shared" si="26"/>
        <v>1.9236818814838401E-2</v>
      </c>
      <c r="BI186" s="37">
        <f t="shared" si="27"/>
        <v>7.5014596592616195E-2</v>
      </c>
      <c r="BJ186" s="37">
        <f t="shared" si="28"/>
        <v>-8.4985403407383794E-2</v>
      </c>
      <c r="BK186" s="54"/>
      <c r="BL186" s="7"/>
    </row>
    <row r="187" spans="1:64" x14ac:dyDescent="0.3">
      <c r="A187" s="21">
        <v>183</v>
      </c>
      <c r="B187" s="4" t="s">
        <v>320</v>
      </c>
      <c r="C187" s="4" t="s">
        <v>23</v>
      </c>
      <c r="D187" s="4">
        <v>3</v>
      </c>
      <c r="E187" s="4">
        <v>14</v>
      </c>
      <c r="F187" s="4" t="s">
        <v>320</v>
      </c>
      <c r="G187" s="50" t="s">
        <v>321</v>
      </c>
      <c r="H187" s="4">
        <v>1513</v>
      </c>
      <c r="I187" s="51">
        <v>0.15</v>
      </c>
      <c r="J187" s="52">
        <v>0.1</v>
      </c>
      <c r="K187" s="52">
        <v>1.3</v>
      </c>
      <c r="L187" s="51">
        <v>1.4999999999999999E-2</v>
      </c>
      <c r="M187" s="51">
        <v>4.0000000000000001E-3</v>
      </c>
      <c r="N187" s="51"/>
      <c r="O187" s="51">
        <v>6.0000000000000001E-3</v>
      </c>
      <c r="P187" s="51">
        <v>2.5000000000000001E-2</v>
      </c>
      <c r="Q187" s="51">
        <v>2.5000000000000001E-2</v>
      </c>
      <c r="R187" s="51" t="s">
        <v>631</v>
      </c>
      <c r="S187" s="32" t="s">
        <v>631</v>
      </c>
      <c r="T187" s="52"/>
      <c r="U187" s="52"/>
      <c r="V187" s="52"/>
      <c r="W187" s="52"/>
      <c r="X187" s="32" t="s">
        <v>631</v>
      </c>
      <c r="Y187" s="53" t="s">
        <v>631</v>
      </c>
      <c r="Z187" s="4"/>
      <c r="AA187" s="53" t="s">
        <v>631</v>
      </c>
      <c r="AB187" s="42">
        <f>IF(J187&lt;=0.04,0,IF((BA187-AL187*BF$4*炼钢参数表!$X$5/1000-AM187*BG$4*炼钢参数表!$X$5/1000)&lt;=0.03,0,IF((J187/100/0.1769/炼钢参数表!K187*1000)&gt;(K187-炼钢参数表!J187)/100/0.6566/炼钢参数表!L187*1000,IF(K187&lt;1.6,(K187-炼钢参数表!J187)/100/0.6566/炼钢参数表!L187*1000,(K187-0.08-炼钢参数表!J187)/100/0.6566/炼钢参数表!L187*1000),IF(K187&lt;1.6,J187/100/0.1769/炼钢参数表!K187*1000,(J187-0.08)/100/0.1769/炼钢参数表!K187*1000))))</f>
        <v>7.0661390616167301</v>
      </c>
      <c r="AC187" s="8">
        <f>IF((BA187-AB187*$BB$4*0.9/1000-AL187*BF$4*炼钢参数表!$X$5/1000-AM187*BG$4*炼钢参数表!$X$5/1000)&lt;(K187-炼钢参数表!J187-AB187*0.6566*炼钢参数表!L187/10)*0.082,0,(K187-炼钢参数表!J187-AB187*0.6566*炼钢参数表!L187/10)/100/($AC$3/100)/炼钢参数表!L187*1000)</f>
        <v>10.133262284915199</v>
      </c>
      <c r="AD187" s="8">
        <f>IF((BA187-AB187*$BB$4*0.9/1000-AC187*$BC$4*0.9/1000-AL187*BF$4*炼钢参数表!$X$5/1000-AM187*BG$4*炼钢参数表!$X$5/1000)&lt;=(K187-炼钢参数表!J187-AB187*0.6566*炼钢参数表!L187/10-AC187*($AC$3/100)*炼钢参数表!L187/10)*0.02,0,((K187-炼钢参数表!J187-AB187*0.6566*炼钢参数表!L187/10-AC187*($AC$3/100)*炼钢参数表!L187/10)/100/($AD$3/100)/炼钢参数表!L187*1000))</f>
        <v>0</v>
      </c>
      <c r="AE187" s="8">
        <f>(K187-炼钢参数表!J187-AB187*0.6566*炼钢参数表!L187/10-AC187*($AC$3/100)*炼钢参数表!L187/10-AD187*($AD$3/100)*炼钢参数表!L187/10)/100/($AE$3/100)/炼钢参数表!L187*1000</f>
        <v>0</v>
      </c>
      <c r="AF187" s="8">
        <v>0</v>
      </c>
      <c r="AG187" s="8">
        <f>IF(J187&lt;=0.04,0,((J187-(AB187*0.1769*炼钢参数表!K187/1000*100))/100/炼钢参数表!K187/($AG$3/100)*1000))</f>
        <v>0</v>
      </c>
      <c r="AH187" s="8">
        <v>1.71</v>
      </c>
      <c r="AI187" s="8">
        <f>IF(N187="",0,IF(N187&lt;=0.002,0,((N187)/100)/($AI$3/100)/炼钢参数表!M187*1000))</f>
        <v>0</v>
      </c>
      <c r="AJ187" s="8">
        <f>IF(O187="",0,IF(O187&lt;=0.002,0,((O187)/100)/($AJ$3/100)/炼钢参数表!N187*1000))</f>
        <v>9.4133594397168494E-2</v>
      </c>
      <c r="AK187" s="8">
        <f>IF(P187="",0,IF(P187&lt;=0.002,0,((P187+0.005)/100)/($AK$3/100)/炼钢参数表!O187*1000))</f>
        <v>0.59873069093521702</v>
      </c>
      <c r="AL187" s="8">
        <f>IF((BA187-J187*0.00003-K187*0.00024)&lt;=0.05,0,IF(T187="",0,IF(T187&lt;=0.03,0,IF(((BA187-J187*0.00003-K187*0.00024)-0.05)/0.18/100/($AL$3/100)/炼钢参数表!P187*1000&lt;=T187/100/($AL$3/100)/炼钢参数表!P187*1000,((BA187-J187*0.00003-K187*0.00024)-0.05)/0.18/100/($AL$3/100)/炼钢参数表!P187*1000,T187/100/($AL$3/100)/炼钢参数表!P187*1000))))</f>
        <v>0</v>
      </c>
      <c r="AM187" s="8">
        <f>IF(T187="",0,IF(T187&lt;=0.03,0,((T187-AL187*($AL$3/100)*炼钢参数表!P187/10)/100/($AM$3/100)/炼钢参数表!P187*1000)))</f>
        <v>0</v>
      </c>
      <c r="AN187" s="8">
        <f>IF(U187="",0,IF(U187&lt;=0.02,0,(U187/100)/($AN$3/100)/炼钢参数表!Q187*1000))</f>
        <v>0</v>
      </c>
      <c r="AO187" s="8">
        <f>IF(V187="",0,IF(V187&lt;=0.02,0,(V187/100)/($AO$3/100)/炼钢参数表!R187*1000))</f>
        <v>0</v>
      </c>
      <c r="AP187" s="8">
        <f>IF(W187="",0,IF(W187&lt;=0.02,0,(W187/100)/($AP$3/100)/炼钢参数表!S187*1000))</f>
        <v>0</v>
      </c>
      <c r="AQ187" s="8">
        <f>IF(X187="",0,IF(X187&lt;=0.0002,0,(X187/100)/($AQ$3/100)/炼钢参数表!T187*1000))</f>
        <v>0</v>
      </c>
      <c r="AR187" s="8">
        <f>IF(Y187="",0,IF(Y187&lt;=0.02,0,(Y187/100)/($AR$3/100)/炼钢参数表!U187*1000))</f>
        <v>0</v>
      </c>
      <c r="AS187" s="8">
        <f>IF(L187&lt;=0.04,0,((L187-0.04)/100)/($AS$3/100)/炼钢参数表!V187*1000)</f>
        <v>0</v>
      </c>
      <c r="AT187" s="8">
        <f>IF(M187&lt;=0.03,0,((M187-0.03)/100)/($AT$3/100)/炼钢参数表!W187*1000)</f>
        <v>0</v>
      </c>
      <c r="AU187" s="6"/>
      <c r="AV187" s="8">
        <f t="shared" si="23"/>
        <v>19.602265631864299</v>
      </c>
      <c r="AW187" s="8" cm="1">
        <f t="array" ref="AW187">SUMPRODUCT($AB$4:$AU$4,AB187:AU187)/1000</f>
        <v>172.46279839250499</v>
      </c>
      <c r="AY187" s="2" t="str">
        <f t="shared" si="24"/>
        <v>Q345R</v>
      </c>
      <c r="AZ187" s="37">
        <f>VLOOKUP(AY187,炼钢参数表!$F$5:$J$1027,4,0)</f>
        <v>6.2247011952191199E-2</v>
      </c>
      <c r="BA187" s="37">
        <f t="shared" si="25"/>
        <v>8.7752988047808803E-2</v>
      </c>
      <c r="BB187" s="37">
        <f>AB187*$BB$4*炼钢参数表!$X$5/1000</f>
        <v>1.09383832673827E-2</v>
      </c>
      <c r="BC187" s="37">
        <f>AC187*$BC$4*炼钢参数表!$X$5/1000</f>
        <v>6.1012372217474298E-2</v>
      </c>
      <c r="BD187" s="37">
        <f>AD187*$BD$4*炼钢参数表!$X$5/1000</f>
        <v>0</v>
      </c>
      <c r="BE187" s="37">
        <f>AE187*$BE$4*炼钢参数表!$X$5/1000</f>
        <v>0</v>
      </c>
      <c r="BF187" s="37">
        <f>AL187*$BF$4*炼钢参数表!$X$5/1000</f>
        <v>0</v>
      </c>
      <c r="BG187" s="37">
        <f>AM187*$BG$4*炼钢参数表!$X$5/1000</f>
        <v>0</v>
      </c>
      <c r="BH187" s="37">
        <f t="shared" si="26"/>
        <v>7.1950755484857007E-2</v>
      </c>
      <c r="BI187" s="37">
        <f t="shared" si="27"/>
        <v>0.134197767437048</v>
      </c>
      <c r="BJ187" s="37">
        <f t="shared" si="28"/>
        <v>-1.5802232562951799E-2</v>
      </c>
      <c r="BK187" s="54"/>
      <c r="BL187" s="7"/>
    </row>
    <row r="188" spans="1:64" x14ac:dyDescent="0.3">
      <c r="A188" s="21">
        <v>184</v>
      </c>
      <c r="B188" s="4" t="s">
        <v>320</v>
      </c>
      <c r="C188" s="4" t="s">
        <v>26</v>
      </c>
      <c r="D188" s="4">
        <v>14.01</v>
      </c>
      <c r="E188" s="4">
        <v>28</v>
      </c>
      <c r="F188" s="4" t="s">
        <v>322</v>
      </c>
      <c r="G188" s="50" t="s">
        <v>321</v>
      </c>
      <c r="H188" s="4">
        <v>1513</v>
      </c>
      <c r="I188" s="51">
        <v>0.16</v>
      </c>
      <c r="J188" s="52">
        <v>0.1</v>
      </c>
      <c r="K188" s="52">
        <v>1.4</v>
      </c>
      <c r="L188" s="51">
        <v>1.4999999999999999E-2</v>
      </c>
      <c r="M188" s="51">
        <v>4.0000000000000001E-3</v>
      </c>
      <c r="N188" s="51"/>
      <c r="O188" s="51">
        <v>1.4999999999999999E-2</v>
      </c>
      <c r="P188" s="51">
        <v>0.02</v>
      </c>
      <c r="Q188" s="51">
        <v>2.5000000000000001E-2</v>
      </c>
      <c r="R188" s="51" t="s">
        <v>631</v>
      </c>
      <c r="S188" s="32" t="s">
        <v>631</v>
      </c>
      <c r="T188" s="52"/>
      <c r="U188" s="52"/>
      <c r="V188" s="52"/>
      <c r="W188" s="52"/>
      <c r="X188" s="32" t="s">
        <v>631</v>
      </c>
      <c r="Y188" s="53" t="s">
        <v>631</v>
      </c>
      <c r="Z188" s="4">
        <v>50</v>
      </c>
      <c r="AA188" s="53" t="s">
        <v>631</v>
      </c>
      <c r="AB188" s="42">
        <f>IF(J188&lt;=0.04,0,IF((BA188-AL188*BF$4*炼钢参数表!$X$5/1000-AM188*BG$4*炼钢参数表!$X$5/1000)&lt;=0.03,0,IF((J188/100/0.1769/炼钢参数表!K188*1000)&gt;(K188-炼钢参数表!J188)/100/0.6566/炼钢参数表!L188*1000,IF(K188&lt;1.6,(K188-炼钢参数表!J188)/100/0.6566/炼钢参数表!L188*1000,(K188-0.08-炼钢参数表!J188)/100/0.6566/炼钢参数表!L188*1000),IF(K188&lt;1.6,J188/100/0.1769/炼钢参数表!K188*1000,(J188-0.08)/100/0.1769/炼钢参数表!K188*1000))))</f>
        <v>7.0661390616167301</v>
      </c>
      <c r="AC188" s="8">
        <f>IF((BA188-AB188*$BB$4*0.9/1000-AL188*BF$4*炼钢参数表!$X$5/1000-AM188*BG$4*炼钢参数表!$X$5/1000)&lt;(K188-炼钢参数表!J188-AB188*0.6566*炼钢参数表!L188/10)*0.082,0,(K188-炼钢参数表!J188-AB188*0.6566*炼钢参数表!L188/10)/100/($AC$3/100)/炼钢参数表!L188*1000)</f>
        <v>11.4398945810303</v>
      </c>
      <c r="AD188" s="8">
        <f>IF((BA188-AB188*$BB$4*0.9/1000-AC188*$BC$4*0.9/1000-AL188*BF$4*炼钢参数表!$X$5/1000-AM188*BG$4*炼钢参数表!$X$5/1000)&lt;=(K188-炼钢参数表!J188-AB188*0.6566*炼钢参数表!L188/10-AC188*($AC$3/100)*炼钢参数表!L188/10)*0.02,0,((K188-炼钢参数表!J188-AB188*0.6566*炼钢参数表!L188/10-AC188*($AC$3/100)*炼钢参数表!L188/10)/100/($AD$3/100)/炼钢参数表!L188*1000))</f>
        <v>0</v>
      </c>
      <c r="AE188" s="8">
        <f>(K188-炼钢参数表!J188-AB188*0.6566*炼钢参数表!L188/10-AC188*($AC$3/100)*炼钢参数表!L188/10-AD188*($AD$3/100)*炼钢参数表!L188/10)/100/($AE$3/100)/炼钢参数表!L188*1000</f>
        <v>0</v>
      </c>
      <c r="AF188" s="8">
        <v>0</v>
      </c>
      <c r="AG188" s="8">
        <f>IF(J188&lt;=0.04,0,((J188-(AB188*0.1769*炼钢参数表!K188/1000*100))/100/炼钢参数表!K188/($AG$3/100)*1000))</f>
        <v>0</v>
      </c>
      <c r="AH188" s="8">
        <v>1.84437138911967</v>
      </c>
      <c r="AI188" s="8">
        <f>IF(N188="",0,IF(N188&lt;=0.002,0,((N188)/100)/($AI$3/100)/炼钢参数表!M188*1000))</f>
        <v>0</v>
      </c>
      <c r="AJ188" s="8">
        <f>IF(O188="",0,IF(O188&lt;=0.002,0,((O188)/100)/($AJ$3/100)/炼钢参数表!N188*1000))</f>
        <v>0.23533398599292099</v>
      </c>
      <c r="AK188" s="8">
        <f>IF(P188="",0,IF(P188&lt;=0.002,0,((P188+0.005)/100)/($AK$3/100)/炼钢参数表!O188*1000))</f>
        <v>0.49894224244601398</v>
      </c>
      <c r="AL188" s="8">
        <f>IF((BA188-J188*0.00003-K188*0.00024)&lt;=0.05,0,IF(T188="",0,IF(T188&lt;=0.03,0,IF(((BA188-J188*0.00003-K188*0.00024)-0.05)/0.18/100/($AL$3/100)/炼钢参数表!P188*1000&lt;=T188/100/($AL$3/100)/炼钢参数表!P188*1000,((BA188-J188*0.00003-K188*0.00024)-0.05)/0.18/100/($AL$3/100)/炼钢参数表!P188*1000,T188/100/($AL$3/100)/炼钢参数表!P188*1000))))</f>
        <v>0</v>
      </c>
      <c r="AM188" s="8">
        <f>IF(T188="",0,IF(T188&lt;=0.03,0,((T188-AL188*($AL$3/100)*炼钢参数表!P188/10)/100/($AM$3/100)/炼钢参数表!P188*1000)))</f>
        <v>0</v>
      </c>
      <c r="AN188" s="8">
        <f>IF(U188="",0,IF(U188&lt;=0.02,0,(U188/100)/($AN$3/100)/炼钢参数表!Q188*1000))</f>
        <v>0</v>
      </c>
      <c r="AO188" s="8">
        <f>IF(V188="",0,IF(V188&lt;=0.02,0,(V188/100)/($AO$3/100)/炼钢参数表!R188*1000))</f>
        <v>0</v>
      </c>
      <c r="AP188" s="8">
        <f>IF(W188="",0,IF(W188&lt;=0.02,0,(W188/100)/($AP$3/100)/炼钢参数表!S188*1000))</f>
        <v>0</v>
      </c>
      <c r="AQ188" s="8">
        <f>IF(X188="",0,IF(X188&lt;=0.0002,0,(X188/100)/($AQ$3/100)/炼钢参数表!T188*1000))</f>
        <v>0</v>
      </c>
      <c r="AR188" s="8">
        <f>IF(Y188="",0,IF(Y188&lt;=0.02,0,(Y188/100)/($AR$3/100)/炼钢参数表!U188*1000))</f>
        <v>0</v>
      </c>
      <c r="AS188" s="8">
        <f>IF(L188&lt;=0.04,0,((L188-0.04)/100)/($AS$3/100)/炼钢参数表!V188*1000)</f>
        <v>0</v>
      </c>
      <c r="AT188" s="8">
        <f>IF(M188&lt;=0.03,0,((M188-0.03)/100)/($AT$3/100)/炼钢参数表!W188*1000)</f>
        <v>0</v>
      </c>
      <c r="AU188" s="6"/>
      <c r="AV188" s="8">
        <f t="shared" si="23"/>
        <v>21.084681260205599</v>
      </c>
      <c r="AW188" s="8" cm="1">
        <f t="array" ref="AW188">SUMPRODUCT($AB$4:$AU$4,AB188:AU188)/1000</f>
        <v>211.37108717210199</v>
      </c>
      <c r="AY188" s="2" t="str">
        <f t="shared" si="24"/>
        <v>Q345R-1</v>
      </c>
      <c r="AZ188" s="37">
        <f>VLOOKUP(AY188,炼钢参数表!$F$5:$J$1027,4,0)</f>
        <v>6.2656249999999997E-2</v>
      </c>
      <c r="BA188" s="37">
        <f t="shared" si="25"/>
        <v>9.7343750000000007E-2</v>
      </c>
      <c r="BB188" s="37">
        <f>AB188*$BB$4*炼钢参数表!$X$5/1000</f>
        <v>1.09383832673827E-2</v>
      </c>
      <c r="BC188" s="37">
        <f>AC188*$BC$4*炼钢参数表!$X$5/1000</f>
        <v>6.8879605272383196E-2</v>
      </c>
      <c r="BD188" s="37">
        <f>AD188*$BD$4*炼钢参数表!$X$5/1000</f>
        <v>0</v>
      </c>
      <c r="BE188" s="37">
        <f>AE188*$BE$4*炼钢参数表!$X$5/1000</f>
        <v>0</v>
      </c>
      <c r="BF188" s="37">
        <f>AL188*$BF$4*炼钢参数表!$X$5/1000</f>
        <v>0</v>
      </c>
      <c r="BG188" s="37">
        <f>AM188*$BG$4*炼钢参数表!$X$5/1000</f>
        <v>0</v>
      </c>
      <c r="BH188" s="37">
        <f t="shared" si="26"/>
        <v>7.9817988539765905E-2</v>
      </c>
      <c r="BI188" s="37">
        <f t="shared" si="27"/>
        <v>0.14247423853976601</v>
      </c>
      <c r="BJ188" s="37">
        <f t="shared" si="28"/>
        <v>-1.7525761460234102E-2</v>
      </c>
      <c r="BK188" s="54"/>
      <c r="BL188" s="7"/>
    </row>
    <row r="189" spans="1:64" x14ac:dyDescent="0.3">
      <c r="A189" s="21">
        <v>185</v>
      </c>
      <c r="B189" s="4" t="s">
        <v>323</v>
      </c>
      <c r="C189" s="4" t="s">
        <v>23</v>
      </c>
      <c r="D189" s="4">
        <v>3</v>
      </c>
      <c r="E189" s="4">
        <v>14</v>
      </c>
      <c r="F189" s="4" t="s">
        <v>324</v>
      </c>
      <c r="G189" s="50" t="s">
        <v>325</v>
      </c>
      <c r="H189" s="4">
        <v>1513</v>
      </c>
      <c r="I189" s="4">
        <v>0.15</v>
      </c>
      <c r="J189" s="4">
        <v>0.1</v>
      </c>
      <c r="K189" s="4">
        <v>1.3</v>
      </c>
      <c r="L189" s="4">
        <v>1.2E-2</v>
      </c>
      <c r="M189" s="4">
        <v>2E-3</v>
      </c>
      <c r="N189" s="4">
        <v>0</v>
      </c>
      <c r="O189" s="4">
        <v>0.02</v>
      </c>
      <c r="P189" s="4">
        <v>1.4999999999999999E-2</v>
      </c>
      <c r="Q189" s="4">
        <v>2.5000000000000001E-2</v>
      </c>
      <c r="R189" s="4" t="s">
        <v>631</v>
      </c>
      <c r="S189" s="4" t="s">
        <v>631</v>
      </c>
      <c r="T189" s="4">
        <v>0</v>
      </c>
      <c r="U189" s="4">
        <v>0</v>
      </c>
      <c r="V189" s="4">
        <v>0</v>
      </c>
      <c r="W189" s="4">
        <v>0</v>
      </c>
      <c r="X189" s="4" t="s">
        <v>631</v>
      </c>
      <c r="Y189" s="4" t="s">
        <v>631</v>
      </c>
      <c r="Z189" s="4">
        <v>40</v>
      </c>
      <c r="AA189" s="53"/>
      <c r="AB189" s="42">
        <f>IF(J189&lt;=0.04,0,IF((BA189-AL189*BF$4*炼钢参数表!$X$5/1000-AM189*BG$4*炼钢参数表!$X$5/1000)&lt;=0.03,0,IF((J189/100/0.1769/炼钢参数表!K189*1000)&gt;(K189-炼钢参数表!J189)/100/0.6566/炼钢参数表!L189*1000,IF(K189&lt;1.6,(K189-炼钢参数表!J189)/100/0.6566/炼钢参数表!L189*1000,(K189-0.08-炼钢参数表!J189)/100/0.6566/炼钢参数表!L189*1000),IF(K189&lt;1.6,J189/100/0.1769/炼钢参数表!K189*1000,(J189-0.08)/100/0.1769/炼钢参数表!K189*1000))))</f>
        <v>7.0661390616167301</v>
      </c>
      <c r="AC189" s="8">
        <f>IF((BA189-AB189*$BB$4*0.9/1000-AL189*BF$4*炼钢参数表!$X$5/1000-AM189*BG$4*炼钢参数表!$X$5/1000)&lt;(K189-炼钢参数表!J189-AB189*0.6566*炼钢参数表!L189/10)*0.082,0,(K189-炼钢参数表!J189-AB189*0.6566*炼钢参数表!L189/10)/100/($AC$3/100)/炼钢参数表!L189*1000)</f>
        <v>10.072055220084801</v>
      </c>
      <c r="AD189" s="8">
        <f>IF((BA189-AB189*$BB$4*0.9/1000-AC189*$BC$4*0.9/1000-AL189*BF$4*炼钢参数表!$X$5/1000-AM189*BG$4*炼钢参数表!$X$5/1000)&lt;=(K189-炼钢参数表!J189-AB189*0.6566*炼钢参数表!L189/10-AC189*($AC$3/100)*炼钢参数表!L189/10)*0.02,0,((K189-炼钢参数表!J189-AB189*0.6566*炼钢参数表!L189/10-AC189*($AC$3/100)*炼钢参数表!L189/10)/100/($AD$3/100)/炼钢参数表!L189*1000))</f>
        <v>0</v>
      </c>
      <c r="AE189" s="8">
        <f>(K189-炼钢参数表!J189-AB189*0.6566*炼钢参数表!L189/10-AC189*($AC$3/100)*炼钢参数表!L189/10-AD189*($AD$3/100)*炼钢参数表!L189/10)/100/($AE$3/100)/炼钢参数表!L189*1000</f>
        <v>0</v>
      </c>
      <c r="AF189" s="8">
        <v>0</v>
      </c>
      <c r="AG189" s="8">
        <f>IF(J189&lt;=0.04,0,((J189-(AB189*0.1769*炼钢参数表!K189/1000*100))/100/炼钢参数表!K189/($AG$3/100)*1000))</f>
        <v>0</v>
      </c>
      <c r="AH189" s="8">
        <v>1.7</v>
      </c>
      <c r="AI189" s="8">
        <f>IF(N189="",0,IF(N189&lt;=0.002,0,((N189)/100)/($AI$3/100)/炼钢参数表!M189*1000))</f>
        <v>0</v>
      </c>
      <c r="AJ189" s="8">
        <f>IF(O189="",0,IF(O189&lt;=0.002,0,((O189)/100)/($AJ$3/100)/炼钢参数表!N189*1000))</f>
        <v>0.31377864799056099</v>
      </c>
      <c r="AK189" s="8">
        <f>IF(P189="",0,IF(P189&lt;=0.002,0,((P189+0.005)/100)/($AK$3/100)/炼钢参数表!O189*1000))</f>
        <v>0.399153793956812</v>
      </c>
      <c r="AL189" s="8">
        <f>IF((BA189-J189*0.00003-K189*0.00024)&lt;=0.05,0,IF(T189="",0,IF(T189&lt;=0.03,0,IF(((BA189-J189*0.00003-K189*0.00024)-0.05)/0.18/100/($AL$3/100)/炼钢参数表!P189*1000&lt;=T189/100/($AL$3/100)/炼钢参数表!P189*1000,((BA189-J189*0.00003-K189*0.00024)-0.05)/0.18/100/($AL$3/100)/炼钢参数表!P189*1000,T189/100/($AL$3/100)/炼钢参数表!P189*1000))))</f>
        <v>0</v>
      </c>
      <c r="AM189" s="8">
        <f>IF(T189="",0,IF(T189&lt;=0.03,0,((T189-AL189*($AL$3/100)*炼钢参数表!P189/10)/100/($AM$3/100)/炼钢参数表!P189*1000)))</f>
        <v>0</v>
      </c>
      <c r="AN189" s="8">
        <f>IF(U189="",0,IF(U189&lt;=0.02,0,(U189/100)/($AN$3/100)/炼钢参数表!Q189*1000))</f>
        <v>0</v>
      </c>
      <c r="AO189" s="8">
        <f>IF(V189="",0,IF(V189&lt;=0.02,0,(V189/100)/($AO$3/100)/炼钢参数表!R189*1000))</f>
        <v>0</v>
      </c>
      <c r="AP189" s="8">
        <f>IF(W189="",0,IF(W189&lt;=0.02,0,(W189/100)/($AP$3/100)/炼钢参数表!S189*1000))</f>
        <v>0</v>
      </c>
      <c r="AQ189" s="8">
        <f>IF(X189="",0,IF(X189&lt;=0.0002,0,(X189/100)/($AQ$3/100)/炼钢参数表!T189*1000))</f>
        <v>0</v>
      </c>
      <c r="AR189" s="8">
        <f>IF(Y189="",0,IF(Y189&lt;=0.02,0,(Y189/100)/($AR$3/100)/炼钢参数表!U189*1000))</f>
        <v>0</v>
      </c>
      <c r="AS189" s="8">
        <f>IF(L189&lt;=0.04,0,((L189-0.04)/100)/($AS$3/100)/炼钢参数表!V189*1000)</f>
        <v>0</v>
      </c>
      <c r="AT189" s="8">
        <f>IF(M189&lt;=0.03,0,((M189-0.03)/100)/($AT$3/100)/炼钢参数表!W189*1000)</f>
        <v>0</v>
      </c>
      <c r="AU189" s="6"/>
      <c r="AV189" s="8">
        <f t="shared" si="23"/>
        <v>19.551126723648899</v>
      </c>
      <c r="AW189" s="8" cm="1">
        <f t="array" ref="AW189">SUMPRODUCT($AB$4:$AU$4,AB189:AU189)/1000</f>
        <v>214.37179756744899</v>
      </c>
      <c r="AY189" s="2" t="str">
        <f t="shared" si="24"/>
        <v>Q345R-E1</v>
      </c>
      <c r="AZ189" s="37">
        <f>VLOOKUP(AY189,炼钢参数表!$F$5:$J$1027,4,0)</f>
        <v>6.2656249999999997E-2</v>
      </c>
      <c r="BA189" s="37">
        <f t="shared" si="25"/>
        <v>8.7343749999999998E-2</v>
      </c>
      <c r="BB189" s="37">
        <f>AB189*$BB$4*炼钢参数表!$X$5/1000</f>
        <v>1.09383832673827E-2</v>
      </c>
      <c r="BC189" s="37">
        <f>AC189*$BC$4*炼钢参数表!$X$5/1000</f>
        <v>6.0643844480130701E-2</v>
      </c>
      <c r="BD189" s="37">
        <f>AD189*$BD$4*炼钢参数表!$X$5/1000</f>
        <v>0</v>
      </c>
      <c r="BE189" s="37">
        <f>AE189*$BE$4*炼钢参数表!$X$5/1000</f>
        <v>0</v>
      </c>
      <c r="BF189" s="37">
        <f>AL189*$BF$4*炼钢参数表!$X$5/1000</f>
        <v>0</v>
      </c>
      <c r="BG189" s="37">
        <f>AM189*$BG$4*炼钢参数表!$X$5/1000</f>
        <v>0</v>
      </c>
      <c r="BH189" s="37">
        <f t="shared" si="26"/>
        <v>7.1582227747513397E-2</v>
      </c>
      <c r="BI189" s="37">
        <f t="shared" si="27"/>
        <v>0.13423847774751299</v>
      </c>
      <c r="BJ189" s="37">
        <f t="shared" si="28"/>
        <v>-1.5761522252486601E-2</v>
      </c>
      <c r="BK189" s="54"/>
      <c r="BL189" s="7"/>
    </row>
    <row r="190" spans="1:64" x14ac:dyDescent="0.3">
      <c r="A190" s="21">
        <v>186</v>
      </c>
      <c r="B190" s="4" t="s">
        <v>323</v>
      </c>
      <c r="C190" s="4" t="s">
        <v>26</v>
      </c>
      <c r="D190" s="4">
        <v>14.01</v>
      </c>
      <c r="E190" s="4">
        <v>25</v>
      </c>
      <c r="F190" s="4" t="s">
        <v>326</v>
      </c>
      <c r="G190" s="50" t="s">
        <v>325</v>
      </c>
      <c r="H190" s="4">
        <v>1513</v>
      </c>
      <c r="I190" s="4">
        <v>0.15</v>
      </c>
      <c r="J190" s="4">
        <v>0.15</v>
      </c>
      <c r="K190" s="4">
        <v>1.4</v>
      </c>
      <c r="L190" s="4">
        <v>1.2E-2</v>
      </c>
      <c r="M190" s="4">
        <v>2E-3</v>
      </c>
      <c r="N190" s="4">
        <v>0</v>
      </c>
      <c r="O190" s="4">
        <v>2.5000000000000001E-2</v>
      </c>
      <c r="P190" s="4">
        <v>1.4999999999999999E-2</v>
      </c>
      <c r="Q190" s="4">
        <v>2.5000000000000001E-2</v>
      </c>
      <c r="R190" s="4" t="s">
        <v>631</v>
      </c>
      <c r="S190" s="4" t="s">
        <v>631</v>
      </c>
      <c r="T190" s="4">
        <v>0</v>
      </c>
      <c r="U190" s="4">
        <v>0</v>
      </c>
      <c r="V190" s="4">
        <v>0</v>
      </c>
      <c r="W190" s="4">
        <v>0</v>
      </c>
      <c r="X190" s="4" t="s">
        <v>631</v>
      </c>
      <c r="Y190" s="4" t="s">
        <v>631</v>
      </c>
      <c r="Z190" s="4">
        <v>40</v>
      </c>
      <c r="AA190" s="53"/>
      <c r="AB190" s="42">
        <f>IF(J190&lt;=0.04,0,IF((BA190-AL190*BF$4*炼钢参数表!$X$5/1000-AM190*BG$4*炼钢参数表!$X$5/1000)&lt;=0.03,0,IF((J190/100/0.1769/炼钢参数表!K190*1000)&gt;(K190-炼钢参数表!J190)/100/0.6566/炼钢参数表!L190*1000,IF(K190&lt;1.6,(K190-炼钢参数表!J190)/100/0.6566/炼钢参数表!L190*1000,(K190-0.08-炼钢参数表!J190)/100/0.6566/炼钢参数表!L190*1000),IF(K190&lt;1.6,J190/100/0.1769/炼钢参数表!K190*1000,(J190-0.08)/100/0.1769/炼钢参数表!K190*1000))))</f>
        <v>10.5992085924251</v>
      </c>
      <c r="AC190" s="8">
        <f>IF((BA190-AB190*$BB$4*0.9/1000-AL190*BF$4*炼钢参数表!$X$5/1000-AM190*BG$4*炼钢参数表!$X$5/1000)&lt;(K190-炼钢参数表!J190-AB190*0.6566*炼钢参数表!L190/10)*0.082,0,(K190-炼钢参数表!J190-AB190*0.6566*炼钢参数表!L190/10)/100/($AC$3/100)/炼钢参数表!L190*1000)</f>
        <v>8.33022507174236</v>
      </c>
      <c r="AD190" s="8">
        <f>IF((BA190-AB190*$BB$4*0.9/1000-AC190*$BC$4*0.9/1000-AL190*BF$4*炼钢参数表!$X$5/1000-AM190*BG$4*炼钢参数表!$X$5/1000)&lt;=(K190-炼钢参数表!J190-AB190*0.6566*炼钢参数表!L190/10-AC190*($AC$3/100)*炼钢参数表!L190/10)*0.02,0,((K190-炼钢参数表!J190-AB190*0.6566*炼钢参数表!L190/10-AC190*($AC$3/100)*炼钢参数表!L190/10)/100/($AD$3/100)/炼钢参数表!L190*1000))</f>
        <v>0</v>
      </c>
      <c r="AE190" s="8">
        <f>(K190-炼钢参数表!J190-AB190*0.6566*炼钢参数表!L190/10-AC190*($AC$3/100)*炼钢参数表!L190/10-AD190*($AD$3/100)*炼钢参数表!L190/10)/100/($AE$3/100)/炼钢参数表!L190*1000</f>
        <v>0</v>
      </c>
      <c r="AF190" s="8">
        <v>0</v>
      </c>
      <c r="AG190" s="8">
        <f>IF(J190&lt;=0.04,0,((J190-(AB190*0.1769*炼钢参数表!K190/1000*100))/100/炼钢参数表!K190/($AG$3/100)*1000))</f>
        <v>0</v>
      </c>
      <c r="AH190" s="8">
        <v>1.7</v>
      </c>
      <c r="AI190" s="8">
        <f>IF(N190="",0,IF(N190&lt;=0.002,0,((N190)/100)/($AI$3/100)/炼钢参数表!M190*1000))</f>
        <v>0</v>
      </c>
      <c r="AJ190" s="8">
        <f>IF(O190="",0,IF(O190&lt;=0.002,0,((O190)/100)/($AJ$3/100)/炼钢参数表!N190*1000))</f>
        <v>0.39222330998820198</v>
      </c>
      <c r="AK190" s="8">
        <f>IF(P190="",0,IF(P190&lt;=0.002,0,((P190+0.005)/100)/($AK$3/100)/炼钢参数表!O190*1000))</f>
        <v>0.399153793956812</v>
      </c>
      <c r="AL190" s="8">
        <f>IF((BA190-J190*0.00003-K190*0.00024)&lt;=0.05,0,IF(T190="",0,IF(T190&lt;=0.03,0,IF(((BA190-J190*0.00003-K190*0.00024)-0.05)/0.18/100/($AL$3/100)/炼钢参数表!P190*1000&lt;=T190/100/($AL$3/100)/炼钢参数表!P190*1000,((BA190-J190*0.00003-K190*0.00024)-0.05)/0.18/100/($AL$3/100)/炼钢参数表!P190*1000,T190/100/($AL$3/100)/炼钢参数表!P190*1000))))</f>
        <v>0</v>
      </c>
      <c r="AM190" s="8">
        <f>IF(T190="",0,IF(T190&lt;=0.03,0,((T190-AL190*($AL$3/100)*炼钢参数表!P190/10)/100/($AM$3/100)/炼钢参数表!P190*1000)))</f>
        <v>0</v>
      </c>
      <c r="AN190" s="8">
        <f>IF(U190="",0,IF(U190&lt;=0.02,0,(U190/100)/($AN$3/100)/炼钢参数表!Q190*1000))</f>
        <v>0</v>
      </c>
      <c r="AO190" s="8">
        <f>IF(V190="",0,IF(V190&lt;=0.02,0,(V190/100)/($AO$3/100)/炼钢参数表!R190*1000))</f>
        <v>0</v>
      </c>
      <c r="AP190" s="8">
        <f>IF(W190="",0,IF(W190&lt;=0.02,0,(W190/100)/($AP$3/100)/炼钢参数表!S190*1000))</f>
        <v>0</v>
      </c>
      <c r="AQ190" s="8">
        <f>IF(X190="",0,IF(X190&lt;=0.0002,0,(X190/100)/($AQ$3/100)/炼钢参数表!T190*1000))</f>
        <v>0</v>
      </c>
      <c r="AR190" s="8">
        <f>IF(Y190="",0,IF(Y190&lt;=0.02,0,(Y190/100)/($AR$3/100)/炼钢参数表!U190*1000))</f>
        <v>0</v>
      </c>
      <c r="AS190" s="8">
        <f>IF(L190&lt;=0.04,0,((L190-0.04)/100)/($AS$3/100)/炼钢参数表!V190*1000)</f>
        <v>0</v>
      </c>
      <c r="AT190" s="8">
        <f>IF(M190&lt;=0.03,0,((M190-0.03)/100)/($AT$3/100)/炼钢参数表!W190*1000)</f>
        <v>0</v>
      </c>
      <c r="AU190" s="6"/>
      <c r="AV190" s="8">
        <f t="shared" si="23"/>
        <v>21.420810768112499</v>
      </c>
      <c r="AW190" s="8" cm="1">
        <f t="array" ref="AW190">SUMPRODUCT($AB$4:$AU$4,AB190:AU190)/1000</f>
        <v>239.90497095183201</v>
      </c>
      <c r="AY190" s="2" t="str">
        <f t="shared" si="24"/>
        <v>Q345R-E2</v>
      </c>
      <c r="AZ190" s="37">
        <f>VLOOKUP(AY190,炼钢参数表!$F$5:$J$1027,4,0)</f>
        <v>6.2656249999999997E-2</v>
      </c>
      <c r="BA190" s="37">
        <f t="shared" si="25"/>
        <v>8.7343749999999998E-2</v>
      </c>
      <c r="BB190" s="37">
        <f>AB190*$BB$4*炼钢参数表!$X$5/1000</f>
        <v>1.6407574901074098E-2</v>
      </c>
      <c r="BC190" s="37">
        <f>AC190*$BC$4*炼钢参数表!$X$5/1000</f>
        <v>5.01562851569608E-2</v>
      </c>
      <c r="BD190" s="37">
        <f>AD190*$BD$4*炼钢参数表!$X$5/1000</f>
        <v>0</v>
      </c>
      <c r="BE190" s="37">
        <f>AE190*$BE$4*炼钢参数表!$X$5/1000</f>
        <v>0</v>
      </c>
      <c r="BF190" s="37">
        <f>AL190*$BF$4*炼钢参数表!$X$5/1000</f>
        <v>0</v>
      </c>
      <c r="BG190" s="37">
        <f>AM190*$BG$4*炼钢参数表!$X$5/1000</f>
        <v>0</v>
      </c>
      <c r="BH190" s="37">
        <f t="shared" si="26"/>
        <v>6.6563860058034802E-2</v>
      </c>
      <c r="BI190" s="37">
        <f t="shared" si="27"/>
        <v>0.12922011005803499</v>
      </c>
      <c r="BJ190" s="37">
        <f t="shared" si="28"/>
        <v>-2.07798899419652E-2</v>
      </c>
      <c r="BK190" s="54"/>
      <c r="BL190" s="7"/>
    </row>
    <row r="191" spans="1:64" s="21" customFormat="1" x14ac:dyDescent="0.3">
      <c r="A191" s="21">
        <v>187</v>
      </c>
      <c r="B191" s="4" t="s">
        <v>217</v>
      </c>
      <c r="C191" s="4" t="s">
        <v>23</v>
      </c>
      <c r="D191" s="4">
        <v>3</v>
      </c>
      <c r="E191" s="4">
        <v>12.5</v>
      </c>
      <c r="F191" s="4" t="s">
        <v>218</v>
      </c>
      <c r="G191" s="50" t="s">
        <v>219</v>
      </c>
      <c r="H191" s="4">
        <v>1514</v>
      </c>
      <c r="I191" s="4">
        <v>0.16</v>
      </c>
      <c r="J191" s="4">
        <v>0.23</v>
      </c>
      <c r="K191" s="4">
        <v>1.1499999999999999</v>
      </c>
      <c r="L191" s="4">
        <v>0</v>
      </c>
      <c r="M191" s="4">
        <v>0</v>
      </c>
      <c r="N191" s="4">
        <v>0</v>
      </c>
      <c r="O191" s="4">
        <v>0.01</v>
      </c>
      <c r="P191" s="4">
        <v>1.4999999999999999E-2</v>
      </c>
      <c r="Q191" s="4">
        <v>0.03</v>
      </c>
      <c r="R191" s="4" t="s">
        <v>631</v>
      </c>
      <c r="S191" s="4" t="s">
        <v>631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 t="s">
        <v>631</v>
      </c>
      <c r="Z191" s="4" t="s">
        <v>631</v>
      </c>
      <c r="AA191" s="4"/>
      <c r="AB191" s="42">
        <f>IF(J191&lt;=0.04,0,IF((BA191-AL191*BF$4*炼钢参数表!$X$5/1000-AM191*BG$4*炼钢参数表!$X$5/1000)&lt;=0.03,0,IF((J191/100/0.1769/炼钢参数表!K191*1000)&gt;(K191-炼钢参数表!J191)/100/0.6566/炼钢参数表!L191*1000,IF(K191&lt;1.6,(K191-炼钢参数表!J191)/100/0.6566/炼钢参数表!L191*1000,(K191-0.08-炼钢参数表!J191)/100/0.6566/炼钢参数表!L191*1000),IF(K191&lt;1.6,J191/100/0.1769/炼钢参数表!K191*1000,(J191-0.08)/100/0.1769/炼钢参数表!K191*1000))))</f>
        <v>16.178446325225199</v>
      </c>
      <c r="AC191" s="8">
        <f>IF((BA191-AB191*$BB$4*0.9/1000-AL191*BF$4*炼钢参数表!$X$5/1000-AM191*BG$4*炼钢参数表!$X$5/1000)&lt;(K191-炼钢参数表!J191-AB191*0.6566*炼钢参数表!L191/10)*0.082,0,(K191-炼钢参数表!J191-AB191*0.6566*炼钢参数表!L191/10)/100/($AC$3/100)/炼钢参数表!L191*1000)</f>
        <v>0</v>
      </c>
      <c r="AD191" s="8">
        <f>IF((BA191-AB191*$BB$4*0.9/1000-AC191*$BC$4*0.9/1000-AL191*BF$4*炼钢参数表!$X$5/1000-AM191*BG$4*炼钢参数表!$X$5/1000)&lt;=(K191-炼钢参数表!J191-AB191*0.6566*炼钢参数表!L191/10-AC191*($AC$3/100)*炼钢参数表!L191/10)*0.02,0,((K191-炼钢参数表!J191-AB191*0.6566*炼钢参数表!L191/10-AC191*($AC$3/100)*炼钢参数表!L191/10)/100/($AD$3/100)/炼钢参数表!L191*1000))</f>
        <v>0</v>
      </c>
      <c r="AE191" s="8">
        <f>(K191-炼钢参数表!J191-AB191*0.6566*炼钢参数表!L191/10-AC191*($AC$3/100)*炼钢参数表!L191/10-AD191*($AD$3/100)*炼钢参数表!L191/10)/100/($AE$3/100)/炼钢参数表!L191*1000</f>
        <v>0</v>
      </c>
      <c r="AF191" s="8">
        <v>0</v>
      </c>
      <c r="AG191" s="8">
        <f>IF(J191&lt;=0.04,0,((J191-(AB191*0.1769*炼钢参数表!K191/1000*100))/100/炼钢参数表!K191/($AG$3/100)*1000))</f>
        <v>1.8043534636112999E-2</v>
      </c>
      <c r="AH191" s="8">
        <v>1.7</v>
      </c>
      <c r="AI191" s="8">
        <f>IF(N191="",0,IF(N191&lt;=0.002,0,((N191)/100)/($AI$3/100)/炼钢参数表!M191*1000))</f>
        <v>0</v>
      </c>
      <c r="AJ191" s="8">
        <f>IF(O191="",0,IF(O191&lt;=0.002,0,((O191)/100)/($AJ$3/100)/炼钢参数表!N191*1000))</f>
        <v>0.15688932399528099</v>
      </c>
      <c r="AK191" s="8">
        <f>IF(P191="",0,IF(P191&lt;=0.002,0,((P191+0.005)/100)/($AK$3/100)/炼钢参数表!O191*1000))</f>
        <v>0.399153793956812</v>
      </c>
      <c r="AL191" s="8">
        <f>IF((BA191-J191*0.00003-K191*0.00024)&lt;=0.05,0,IF(T191="",0,IF(T191&lt;=0.03,0,IF(((BA191-J191*0.00003-K191*0.00024)-0.05)/0.18/100/($AL$3/100)/炼钢参数表!P191*1000&lt;=T191/100/($AL$3/100)/炼钢参数表!P191*1000,((BA191-J191*0.00003-K191*0.00024)-0.05)/0.18/100/($AL$3/100)/炼钢参数表!P191*1000,T191/100/($AL$3/100)/炼钢参数表!P191*1000))))</f>
        <v>0</v>
      </c>
      <c r="AM191" s="8">
        <f>IF(T191="",0,IF(T191&lt;=0.03,0,((T191-AL191*($AL$3/100)*炼钢参数表!P191/10)/100/($AM$3/100)/炼钢参数表!P191*1000)))</f>
        <v>0</v>
      </c>
      <c r="AN191" s="8">
        <f>IF(U191="",0,IF(U191&lt;=0.02,0,(U191/100)/($AN$3/100)/炼钢参数表!Q191*1000))</f>
        <v>0</v>
      </c>
      <c r="AO191" s="8">
        <f>IF(V191="",0,IF(V191&lt;=0.02,0,(V191/100)/($AO$3/100)/炼钢参数表!R191*1000))</f>
        <v>0</v>
      </c>
      <c r="AP191" s="8">
        <f>IF(W191="",0,IF(W191&lt;=0.02,0,(W191/100)/($AP$3/100)/炼钢参数表!S191*1000))</f>
        <v>0</v>
      </c>
      <c r="AQ191" s="8">
        <f>IF(X191="",0,IF(X191&lt;=0.0002,0,(X191/100)/($AQ$3/100)/炼钢参数表!T191*1000))</f>
        <v>0</v>
      </c>
      <c r="AR191" s="8">
        <f>IF(Y191="",0,IF(Y191&lt;=0.02,0,(Y191/100)/($AR$3/100)/炼钢参数表!U191*1000))</f>
        <v>0</v>
      </c>
      <c r="AS191" s="8">
        <f>IF(L191&lt;=0.04,0,((L191-0.04)/100)/($AS$3/100)/炼钢参数表!V191*1000)</f>
        <v>0</v>
      </c>
      <c r="AT191" s="8">
        <f>IF(M191&lt;=0.03,0,((M191-0.03)/100)/($AT$3/100)/炼钢参数表!W191*1000)</f>
        <v>0</v>
      </c>
      <c r="AU191" s="6"/>
      <c r="AV191" s="8">
        <f t="shared" si="23"/>
        <v>18.452532977813402</v>
      </c>
      <c r="AW191" s="8" cm="1">
        <f t="array" ref="AW191">SUMPRODUCT($AB$4:$AU$4,AB191:AU191)/1000</f>
        <v>169.22941018546399</v>
      </c>
      <c r="AX191" s="18"/>
      <c r="AY191" s="2" t="str">
        <f t="shared" si="24"/>
        <v>SA516 Gr70-1</v>
      </c>
      <c r="AZ191" s="37">
        <f>VLOOKUP(AY191,炼钢参数表!$F$5:$J$1027,4,0)</f>
        <v>5.1999999999999998E-2</v>
      </c>
      <c r="BA191" s="37">
        <f t="shared" si="25"/>
        <v>0.108</v>
      </c>
      <c r="BB191" s="37">
        <f>AB191*$BB$4*炼钢参数表!$X$5/1000</f>
        <v>2.5044234911448599E-2</v>
      </c>
      <c r="BC191" s="37">
        <f>AC191*$BC$4*炼钢参数表!$X$5/1000</f>
        <v>0</v>
      </c>
      <c r="BD191" s="37">
        <f>AD191*$BD$4*炼钢参数表!$X$5/1000</f>
        <v>0</v>
      </c>
      <c r="BE191" s="37">
        <f>AE191*$BE$4*炼钢参数表!$X$5/1000</f>
        <v>0</v>
      </c>
      <c r="BF191" s="37">
        <f>AL191*$BF$4*炼钢参数表!$X$5/1000</f>
        <v>0</v>
      </c>
      <c r="BG191" s="37">
        <f>AM191*$BG$4*炼钢参数表!$X$5/1000</f>
        <v>0</v>
      </c>
      <c r="BH191" s="37">
        <f t="shared" si="26"/>
        <v>2.5044234911448599E-2</v>
      </c>
      <c r="BI191" s="37">
        <f t="shared" si="27"/>
        <v>7.70442349114486E-2</v>
      </c>
      <c r="BJ191" s="37">
        <f t="shared" si="28"/>
        <v>-8.2955765088551403E-2</v>
      </c>
      <c r="BK191" s="79"/>
      <c r="BL191" s="2"/>
    </row>
    <row r="192" spans="1:64" x14ac:dyDescent="0.3">
      <c r="A192" s="21">
        <v>188</v>
      </c>
      <c r="B192" s="4" t="s">
        <v>327</v>
      </c>
      <c r="C192" s="4" t="s">
        <v>23</v>
      </c>
      <c r="D192" s="4">
        <v>4</v>
      </c>
      <c r="E192" s="4">
        <v>16</v>
      </c>
      <c r="F192" s="4" t="s">
        <v>327</v>
      </c>
      <c r="G192" s="50" t="s">
        <v>328</v>
      </c>
      <c r="H192" s="4">
        <v>1522</v>
      </c>
      <c r="I192" s="51">
        <v>7.0000000000000007E-2</v>
      </c>
      <c r="J192" s="52">
        <v>0.2</v>
      </c>
      <c r="K192" s="52">
        <v>1.2</v>
      </c>
      <c r="L192" s="51">
        <v>1.4999999999999999E-2</v>
      </c>
      <c r="M192" s="51">
        <v>0.01</v>
      </c>
      <c r="N192" s="51" t="s">
        <v>631</v>
      </c>
      <c r="O192" s="51">
        <v>1.4999999999999999E-2</v>
      </c>
      <c r="P192" s="51">
        <v>1.4999999999999999E-2</v>
      </c>
      <c r="Q192" s="51">
        <v>0.02</v>
      </c>
      <c r="R192" s="51" t="s">
        <v>631</v>
      </c>
      <c r="S192" s="32"/>
      <c r="T192" s="52"/>
      <c r="U192" s="52"/>
      <c r="V192" s="52"/>
      <c r="W192" s="52"/>
      <c r="X192" s="32"/>
      <c r="Y192" s="53" t="s">
        <v>631</v>
      </c>
      <c r="Z192" s="4">
        <v>50</v>
      </c>
      <c r="AA192" s="53"/>
      <c r="AB192" s="42">
        <f>IF(J192&lt;=0.04,0,IF((BA192-AL192*BF$4*炼钢参数表!$X$5/1000-AM192*BG$4*炼钢参数表!$X$5/1000)&lt;=0.03,0,IF((J192/100/0.1769/炼钢参数表!K192*1000)&gt;(K192-炼钢参数表!J192)/100/0.6566/炼钢参数表!L192*1000,IF(K192&lt;1.6,(K192-炼钢参数表!J192)/100/0.6566/炼钢参数表!L192*1000,(K192-0.08-炼钢参数表!J192)/100/0.6566/炼钢参数表!L192*1000),IF(K192&lt;1.6,J192/100/0.1769/炼钢参数表!K192*1000,(J192-0.08)/100/0.1769/炼钢参数表!K192*1000))))</f>
        <v>0</v>
      </c>
      <c r="AC192" s="8">
        <f>IF((BA192-AB192*$BB$4*0.9/1000-AL192*BF$4*炼钢参数表!$X$5/1000-AM192*BG$4*炼钢参数表!$X$5/1000)&lt;(K192-炼钢参数表!J192-AB192*0.6566*炼钢参数表!L192/10)*0.082,0,(K192-炼钢参数表!J192-AB192*0.6566*炼钢参数表!L192/10)/100/($AC$3/100)/炼钢参数表!L192*1000)</f>
        <v>0</v>
      </c>
      <c r="AD192" s="8">
        <f>IF((BA192-AB192*$BB$4*0.9/1000-AC192*$BC$4*0.9/1000-AL192*BF$4*炼钢参数表!$X$5/1000-AM192*BG$4*炼钢参数表!$X$5/1000)&lt;=(K192-炼钢参数表!J192-AB192*0.6566*炼钢参数表!L192/10-AC192*($AC$3/100)*炼钢参数表!L192/10)*0.02,0,((K192-炼钢参数表!J192-AB192*0.6566*炼钢参数表!L192/10-AC192*($AC$3/100)*炼钢参数表!L192/10)/100/($AD$3/100)/炼钢参数表!L192*1000))</f>
        <v>14.1485165494769</v>
      </c>
      <c r="AE192" s="8">
        <f>(K192-炼钢参数表!J192-AB192*0.6566*炼钢参数表!L192/10-AC192*($AC$3/100)*炼钢参数表!L192/10-AD192*($AD$3/100)*炼钢参数表!L192/10)/100/($AE$3/100)/炼钢参数表!L192*1000</f>
        <v>0</v>
      </c>
      <c r="AF192" s="8">
        <v>0</v>
      </c>
      <c r="AG192" s="8">
        <f>IF(J192&lt;=0.04,0,((J192-(AB192*0.1769*炼钢参数表!K192/1000*100))/100/炼钢参数表!K192/($AG$3/100)*1000))</f>
        <v>3.4611657206147002</v>
      </c>
      <c r="AH192" s="8">
        <v>1.7</v>
      </c>
      <c r="AI192" s="8">
        <f>IF(N192="",0,IF(N192&lt;=0.002,0,((N192)/100)/($AI$3/100)/炼钢参数表!M192*1000))</f>
        <v>0</v>
      </c>
      <c r="AJ192" s="8">
        <f>IF(O192="",0,IF(O192&lt;=0.002,0,((O192)/100)/($AJ$3/100)/炼钢参数表!N192*1000))</f>
        <v>0.23533398599292099</v>
      </c>
      <c r="AK192" s="8">
        <f>IF(P192="",0,IF(P192&lt;=0.002,0,((P192+0.005)/100)/($AK$3/100)/炼钢参数表!O192*1000))</f>
        <v>0.399153793956812</v>
      </c>
      <c r="AL192" s="8">
        <f>IF((BA192-J192*0.00003-K192*0.00024)&lt;=0.05,0,IF(T192="",0,IF(T192&lt;=0.03,0,IF(((BA192-J192*0.00003-K192*0.00024)-0.05)/0.18/100/($AL$3/100)/炼钢参数表!P192*1000&lt;=T192/100/($AL$3/100)/炼钢参数表!P192*1000,((BA192-J192*0.00003-K192*0.00024)-0.05)/0.18/100/($AL$3/100)/炼钢参数表!P192*1000,T192/100/($AL$3/100)/炼钢参数表!P192*1000))))</f>
        <v>0</v>
      </c>
      <c r="AM192" s="8">
        <f>IF(T192="",0,IF(T192&lt;=0.03,0,((T192-AL192*($AL$3/100)*炼钢参数表!P192/10)/100/($AM$3/100)/炼钢参数表!P192*1000)))</f>
        <v>0</v>
      </c>
      <c r="AN192" s="8">
        <f>IF(U192="",0,IF(U192&lt;=0.02,0,(U192/100)/($AN$3/100)/炼钢参数表!Q192*1000))</f>
        <v>0</v>
      </c>
      <c r="AO192" s="8">
        <f>IF(V192="",0,IF(V192&lt;=0.02,0,(V192/100)/($AO$3/100)/炼钢参数表!R192*1000))</f>
        <v>0</v>
      </c>
      <c r="AP192" s="8">
        <f>IF(W192="",0,IF(W192&lt;=0.02,0,(W192/100)/($AP$3/100)/炼钢参数表!S192*1000))</f>
        <v>0</v>
      </c>
      <c r="AQ192" s="8">
        <f>IF(X192="",0,IF(X192&lt;=0.0002,0,(X192/100)/($AQ$3/100)/炼钢参数表!T192*1000))</f>
        <v>0</v>
      </c>
      <c r="AR192" s="8">
        <f>IF(Y192="",0,IF(Y192&lt;=0.02,0,(Y192/100)/($AR$3/100)/炼钢参数表!U192*1000))</f>
        <v>0</v>
      </c>
      <c r="AS192" s="8">
        <f>IF(L192&lt;=0.04,0,((L192-0.04)/100)/($AS$3/100)/炼钢参数表!V192*1000)</f>
        <v>0</v>
      </c>
      <c r="AT192" s="8">
        <f>IF(M192&lt;=0.03,0,((M192-0.03)/100)/($AT$3/100)/炼钢参数表!W192*1000)</f>
        <v>0</v>
      </c>
      <c r="AU192" s="6"/>
      <c r="AV192" s="8">
        <f t="shared" si="23"/>
        <v>19.9441700500414</v>
      </c>
      <c r="AW192" s="8" cm="1">
        <f t="array" ref="AW192">SUMPRODUCT($AB$4:$AU$4,AB192:AU192)/1000</f>
        <v>225.584792229323</v>
      </c>
      <c r="AY192" s="2" t="str">
        <f t="shared" si="24"/>
        <v>Q345qC</v>
      </c>
      <c r="AZ192" s="37">
        <f>VLOOKUP(AY192,炼钢参数表!$F$5:$J$1027,4,0)</f>
        <v>4.8083333333333297E-2</v>
      </c>
      <c r="BA192" s="37">
        <f t="shared" ref="BA192:BA198" si="29">I192-AZ192</f>
        <v>2.1916666666666699E-2</v>
      </c>
      <c r="BB192" s="37">
        <f>AB192*$BB$4*炼钢参数表!$X$5/1000</f>
        <v>0</v>
      </c>
      <c r="BC192" s="37">
        <f>AC192*$BC$4*炼钢参数表!$X$5/1000</f>
        <v>0</v>
      </c>
      <c r="BD192" s="37">
        <f>AD192*$BD$4*炼钢参数表!$X$5/1000</f>
        <v>1.91004973417939E-2</v>
      </c>
      <c r="BE192" s="37">
        <f>AE192*$BE$4*炼钢参数表!$X$5/1000</f>
        <v>0</v>
      </c>
      <c r="BF192" s="37">
        <f>AL192*$BF$4*炼钢参数表!$X$5/1000</f>
        <v>0</v>
      </c>
      <c r="BG192" s="37">
        <f>AM192*$BG$4*炼钢参数表!$X$5/1000</f>
        <v>0</v>
      </c>
      <c r="BH192" s="37">
        <f t="shared" si="26"/>
        <v>1.91004973417939E-2</v>
      </c>
      <c r="BI192" s="37">
        <f t="shared" si="27"/>
        <v>6.7183830675127204E-2</v>
      </c>
      <c r="BJ192" s="37">
        <f t="shared" si="28"/>
        <v>-2.8161693248728399E-3</v>
      </c>
      <c r="BK192" s="54"/>
      <c r="BL192" s="7"/>
    </row>
    <row r="193" spans="1:64" s="18" customFormat="1" x14ac:dyDescent="0.3">
      <c r="A193" s="21">
        <v>189</v>
      </c>
      <c r="B193" s="4" t="s">
        <v>329</v>
      </c>
      <c r="C193" s="4" t="s">
        <v>23</v>
      </c>
      <c r="D193" s="4">
        <v>4</v>
      </c>
      <c r="E193" s="4">
        <v>16</v>
      </c>
      <c r="F193" s="4" t="s">
        <v>329</v>
      </c>
      <c r="G193" s="50" t="s">
        <v>330</v>
      </c>
      <c r="H193" s="4">
        <v>1522</v>
      </c>
      <c r="I193" s="51">
        <v>0.08</v>
      </c>
      <c r="J193" s="52">
        <v>0.2</v>
      </c>
      <c r="K193" s="52">
        <v>1.4</v>
      </c>
      <c r="L193" s="51">
        <v>1.4999999999999999E-2</v>
      </c>
      <c r="M193" s="51">
        <v>5.0000000000000001E-3</v>
      </c>
      <c r="N193" s="51" t="s">
        <v>631</v>
      </c>
      <c r="O193" s="51">
        <v>0.02</v>
      </c>
      <c r="P193" s="51">
        <v>1.4999999999999999E-2</v>
      </c>
      <c r="Q193" s="51">
        <v>0.02</v>
      </c>
      <c r="R193" s="51" t="s">
        <v>631</v>
      </c>
      <c r="S193" s="32"/>
      <c r="T193" s="52"/>
      <c r="U193" s="52"/>
      <c r="V193" s="52"/>
      <c r="W193" s="52"/>
      <c r="X193" s="32"/>
      <c r="Y193" s="53" t="s">
        <v>631</v>
      </c>
      <c r="Z193" s="4">
        <v>45</v>
      </c>
      <c r="AA193" s="53"/>
      <c r="AB193" s="42">
        <f>IF(J193&lt;=0.04,0,IF((BA193-AL193*BF$4*炼钢参数表!$X$5/1000-AM193*BG$4*炼钢参数表!$X$5/1000)&lt;=0.03,0,IF((J193/100/0.1769/炼钢参数表!K193*1000)&gt;(K193-炼钢参数表!J193)/100/0.6566/炼钢参数表!L193*1000,IF(K193&lt;1.6,(K193-炼钢参数表!J193)/100/0.6566/炼钢参数表!L193*1000,(K193-0.08-炼钢参数表!J193)/100/0.6566/炼钢参数表!L193*1000),IF(K193&lt;1.6,J193/100/0.1769/炼钢参数表!K193*1000,(J193-0.08)/100/0.1769/炼钢参数表!K193*1000))))</f>
        <v>14.132278123233499</v>
      </c>
      <c r="AC193" s="8">
        <f>IF((BA193-AB193*$BB$4*0.9/1000-AL193*BF$4*炼钢参数表!$X$5/1000-AM193*BG$4*炼钢参数表!$X$5/1000)&lt;(K193-炼钢参数表!J193-AB193*0.6566*炼钢参数表!L193/10)*0.082,0,(K193-炼钢参数表!J193-AB193*0.6566*炼钢参数表!L193/10)/100/($AC$3/100)/炼钢参数表!L193*1000)</f>
        <v>0</v>
      </c>
      <c r="AD193" s="8">
        <f>IF((BA193-AB193*$BB$4*0.9/1000-AC193*$BC$4*0.9/1000-AL193*BF$4*炼钢参数表!$X$5/1000-AM193*BG$4*炼钢参数表!$X$5/1000)&lt;=(K193-炼钢参数表!J193-AB193*0.6566*炼钢参数表!L193/10-AC193*($AC$3/100)*炼钢参数表!L193/10)*0.02,0,((K193-炼钢参数表!J193-AB193*0.6566*炼钢参数表!L193/10-AC193*($AC$3/100)*炼钢参数表!L193/10)/100/($AD$3/100)/炼钢参数表!L193*1000))</f>
        <v>4.9322732477396301</v>
      </c>
      <c r="AE193" s="8">
        <f>(K193-炼钢参数表!J193-AB193*0.6566*炼钢参数表!L193/10-AC193*($AC$3/100)*炼钢参数表!L193/10-AD193*($AD$3/100)*炼钢参数表!L193/10)/100/($AE$3/100)/炼钢参数表!L193*1000</f>
        <v>0</v>
      </c>
      <c r="AF193" s="8">
        <v>0</v>
      </c>
      <c r="AG193" s="8">
        <f>IF(J193&lt;=0.04,0,((J193-(AB193*0.1769*炼钢参数表!K193/1000*100))/100/炼钢参数表!K193/($AG$3/100)*1000))</f>
        <v>0</v>
      </c>
      <c r="AH193" s="8">
        <v>1.7</v>
      </c>
      <c r="AI193" s="8">
        <f>IF(N193="",0,IF(N193&lt;=0.002,0,((N193)/100)/($AI$3/100)/炼钢参数表!M193*1000))</f>
        <v>0</v>
      </c>
      <c r="AJ193" s="8">
        <f>IF(O193="",0,IF(O193&lt;=0.002,0,((O193)/100)/($AJ$3/100)/炼钢参数表!N193*1000))</f>
        <v>0.31377864799056099</v>
      </c>
      <c r="AK193" s="8">
        <f>IF(P193="",0,IF(P193&lt;=0.002,0,((P193+0.005)/100)/($AK$3/100)/炼钢参数表!O193*1000))</f>
        <v>0.399153793956812</v>
      </c>
      <c r="AL193" s="8">
        <f>IF((BA193-J193*0.00003-K193*0.00024)&lt;=0.05,0,IF(T193="",0,IF(T193&lt;=0.03,0,IF(((BA193-J193*0.00003-K193*0.00024)-0.05)/0.18/100/($AL$3/100)/炼钢参数表!P193*1000&lt;=T193/100/($AL$3/100)/炼钢参数表!P193*1000,((BA193-J193*0.00003-K193*0.00024)-0.05)/0.18/100/($AL$3/100)/炼钢参数表!P193*1000,T193/100/($AL$3/100)/炼钢参数表!P193*1000))))</f>
        <v>0</v>
      </c>
      <c r="AM193" s="8">
        <f>IF(T193="",0,IF(T193&lt;=0.03,0,((T193-AL193*($AL$3/100)*炼钢参数表!P193/10)/100/($AM$3/100)/炼钢参数表!P193*1000)))</f>
        <v>0</v>
      </c>
      <c r="AN193" s="8">
        <f>IF(U193="",0,IF(U193&lt;=0.02,0,(U193/100)/($AN$3/100)/炼钢参数表!Q193*1000))</f>
        <v>0</v>
      </c>
      <c r="AO193" s="8">
        <f>IF(V193="",0,IF(V193&lt;=0.02,0,(V193/100)/($AO$3/100)/炼钢参数表!R193*1000))</f>
        <v>0</v>
      </c>
      <c r="AP193" s="8">
        <f>IF(W193="",0,IF(W193&lt;=0.02,0,(W193/100)/($AP$3/100)/炼钢参数表!S193*1000))</f>
        <v>0</v>
      </c>
      <c r="AQ193" s="8">
        <f>IF(X193="",0,IF(X193&lt;=0.0002,0,(X193/100)/($AQ$3/100)/炼钢参数表!T193*1000))</f>
        <v>0</v>
      </c>
      <c r="AR193" s="8">
        <f>IF(Y193="",0,IF(Y193&lt;=0.02,0,(Y193/100)/($AR$3/100)/炼钢参数表!U193*1000))</f>
        <v>0</v>
      </c>
      <c r="AS193" s="8">
        <f>IF(L193&lt;=0.04,0,((L193-0.04)/100)/($AS$3/100)/炼钢参数表!V193*1000)</f>
        <v>0</v>
      </c>
      <c r="AT193" s="8">
        <f>IF(M193&lt;=0.03,0,((M193-0.03)/100)/($AT$3/100)/炼钢参数表!W193*1000)</f>
        <v>0</v>
      </c>
      <c r="AU193" s="6"/>
      <c r="AV193" s="8">
        <f t="shared" si="23"/>
        <v>21.4774838129205</v>
      </c>
      <c r="AW193" s="8" cm="1">
        <f t="array" ref="AW193">SUMPRODUCT($AB$4:$AU$4,AB193:AU193)/1000</f>
        <v>229.95294988031401</v>
      </c>
      <c r="AY193" s="2" t="str">
        <f t="shared" si="24"/>
        <v>Q345qD</v>
      </c>
      <c r="AZ193" s="37">
        <f>VLOOKUP(AY193,炼钢参数表!$F$5:$J$1027,4,0)</f>
        <v>4.8083333333333297E-2</v>
      </c>
      <c r="BA193" s="37">
        <f t="shared" si="29"/>
        <v>3.1916666666666697E-2</v>
      </c>
      <c r="BB193" s="37">
        <f>AB193*$BB$4*炼钢参数表!$X$5/1000</f>
        <v>2.1876766534765401E-2</v>
      </c>
      <c r="BC193" s="37">
        <f>AC193*$BC$4*炼钢参数表!$X$5/1000</f>
        <v>0</v>
      </c>
      <c r="BD193" s="37">
        <f>AD193*$BD$4*炼钢参数表!$X$5/1000</f>
        <v>6.6585688844484903E-3</v>
      </c>
      <c r="BE193" s="37">
        <f>AE193*$BE$4*炼钢参数表!$X$5/1000</f>
        <v>0</v>
      </c>
      <c r="BF193" s="37">
        <f>AL193*$BF$4*炼钢参数表!$X$5/1000</f>
        <v>0</v>
      </c>
      <c r="BG193" s="37">
        <f>AM193*$BG$4*炼钢参数表!$X$5/1000</f>
        <v>0</v>
      </c>
      <c r="BH193" s="37">
        <f t="shared" si="26"/>
        <v>2.8535335419213902E-2</v>
      </c>
      <c r="BI193" s="37">
        <f t="shared" si="27"/>
        <v>7.6618668752547206E-2</v>
      </c>
      <c r="BJ193" s="37">
        <f t="shared" si="28"/>
        <v>-3.38133124745281E-3</v>
      </c>
      <c r="BK193" s="54"/>
      <c r="BL193" s="7"/>
    </row>
    <row r="194" spans="1:64" s="18" customFormat="1" x14ac:dyDescent="0.3">
      <c r="A194" s="21">
        <v>190</v>
      </c>
      <c r="B194" s="4" t="s">
        <v>331</v>
      </c>
      <c r="C194" s="4" t="s">
        <v>23</v>
      </c>
      <c r="D194" s="4">
        <v>2</v>
      </c>
      <c r="E194" s="4">
        <v>6</v>
      </c>
      <c r="F194" s="4" t="s">
        <v>331</v>
      </c>
      <c r="G194" s="50" t="s">
        <v>332</v>
      </c>
      <c r="H194" s="4">
        <v>1518</v>
      </c>
      <c r="I194" s="51">
        <v>0.16</v>
      </c>
      <c r="J194" s="52">
        <v>0.04</v>
      </c>
      <c r="K194" s="52">
        <v>0.75</v>
      </c>
      <c r="L194" s="51">
        <v>1.4999999999999999E-2</v>
      </c>
      <c r="M194" s="51">
        <v>5.0000000000000001E-3</v>
      </c>
      <c r="N194" s="51"/>
      <c r="O194" s="51"/>
      <c r="P194" s="51">
        <v>1.4999999999999999E-2</v>
      </c>
      <c r="Q194" s="51">
        <v>0.03</v>
      </c>
      <c r="R194" s="51" t="s">
        <v>631</v>
      </c>
      <c r="S194" s="32" t="s">
        <v>631</v>
      </c>
      <c r="T194" s="52"/>
      <c r="U194" s="52"/>
      <c r="V194" s="52"/>
      <c r="W194" s="52"/>
      <c r="X194" s="32" t="s">
        <v>631</v>
      </c>
      <c r="Y194" s="53" t="s">
        <v>631</v>
      </c>
      <c r="Z194" s="4"/>
      <c r="AA194" s="53"/>
      <c r="AB194" s="42">
        <f>IF(J194&lt;=0.04,0,IF((BA194-AL194*BF$4*炼钢参数表!$X$5/1000-AM194*BG$4*炼钢参数表!$X$5/1000)&lt;=0.03,0,IF((J194/100/0.1769/炼钢参数表!K194*1000)&gt;(K194-炼钢参数表!J194)/100/0.6566/炼钢参数表!L194*1000,IF(K194&lt;1.6,(K194-炼钢参数表!J194)/100/0.6566/炼钢参数表!L194*1000,(K194-0.08-炼钢参数表!J194)/100/0.6566/炼钢参数表!L194*1000),IF(K194&lt;1.6,J194/100/0.1769/炼钢参数表!K194*1000,(J194-0.08)/100/0.1769/炼钢参数表!K194*1000))))</f>
        <v>0</v>
      </c>
      <c r="AC194" s="8">
        <f>IF((BA194-AB194*$BB$4*0.9/1000-AL194*BF$4*炼钢参数表!$X$5/1000-AM194*BG$4*炼钢参数表!$X$5/1000)&lt;(K194-炼钢参数表!J194-AB194*0.6566*炼钢参数表!L194/10)*0.082,0,(K194-炼钢参数表!J194-AB194*0.6566*炼钢参数表!L194/10)/100/($AC$3/100)/炼钢参数表!L194*1000)</f>
        <v>8.8167017094084006</v>
      </c>
      <c r="AD194" s="8">
        <f>IF((BA194-AB194*$BB$4*0.9/1000-AC194*$BC$4*0.9/1000-AL194*BF$4*炼钢参数表!$X$5/1000-AM194*BG$4*炼钢参数表!$X$5/1000)&lt;=(K194-炼钢参数表!J194-AB194*0.6566*炼钢参数表!L194/10-AC194*($AC$3/100)*炼钢参数表!L194/10)*0.02,0,((K194-炼钢参数表!J194-AB194*0.6566*炼钢参数表!L194/10-AC194*($AC$3/100)*炼钢参数表!L194/10)/100/($AD$3/100)/炼钢参数表!L194*1000))</f>
        <v>0</v>
      </c>
      <c r="AE194" s="8">
        <f>(K194-炼钢参数表!J194-AB194*0.6566*炼钢参数表!L194/10-AC194*($AC$3/100)*炼钢参数表!L194/10-AD194*($AD$3/100)*炼钢参数表!L194/10)/100/($AE$3/100)/炼钢参数表!L194*1000</f>
        <v>0</v>
      </c>
      <c r="AF194" s="8">
        <v>0</v>
      </c>
      <c r="AG194" s="8">
        <f>IF(J194&lt;=0.04,0,((J194-(AB194*0.1769*炼钢参数表!K194/1000*100))/100/炼钢参数表!K194/($AG$3/100)*1000))</f>
        <v>0</v>
      </c>
      <c r="AH194" s="8">
        <v>1.9</v>
      </c>
      <c r="AI194" s="8">
        <f>IF(N194="",0,IF(N194&lt;=0.002,0,((N194)/100)/($AI$3/100)/炼钢参数表!M194*1000))</f>
        <v>0</v>
      </c>
      <c r="AJ194" s="8">
        <f>IF(O194="",0,IF(O194&lt;=0.002,0,((O194)/100)/($AJ$3/100)/炼钢参数表!N194*1000))</f>
        <v>0</v>
      </c>
      <c r="AK194" s="8">
        <f>IF(P194="",0,IF(P194&lt;=0.002,0,((P194+0.005)/100)/($AK$3/100)/炼钢参数表!O194*1000))</f>
        <v>0.399153793956812</v>
      </c>
      <c r="AL194" s="8">
        <f>IF((BA194-J194*0.00003-K194*0.00024)&lt;=0.05,0,IF(T194="",0,IF(T194&lt;=0.03,0,IF(((BA194-J194*0.00003-K194*0.00024)-0.05)/0.18/100/($AL$3/100)/炼钢参数表!P194*1000&lt;=T194/100/($AL$3/100)/炼钢参数表!P194*1000,((BA194-J194*0.00003-K194*0.00024)-0.05)/0.18/100/($AL$3/100)/炼钢参数表!P194*1000,T194/100/($AL$3/100)/炼钢参数表!P194*1000))))</f>
        <v>0</v>
      </c>
      <c r="AM194" s="8">
        <f>IF(T194="",0,IF(T194&lt;=0.03,0,((T194-AL194*($AL$3/100)*炼钢参数表!P194/10)/100/($AM$3/100)/炼钢参数表!P194*1000)))</f>
        <v>0</v>
      </c>
      <c r="AN194" s="8">
        <f>IF(U194="",0,IF(U194&lt;=0.02,0,(U194/100)/($AN$3/100)/炼钢参数表!Q194*1000))</f>
        <v>0</v>
      </c>
      <c r="AO194" s="8">
        <f>IF(V194="",0,IF(V194&lt;=0.02,0,(V194/100)/($AO$3/100)/炼钢参数表!R194*1000))</f>
        <v>0</v>
      </c>
      <c r="AP194" s="8">
        <f>IF(W194="",0,IF(W194&lt;=0.02,0,(W194/100)/($AP$3/100)/炼钢参数表!S194*1000))</f>
        <v>0</v>
      </c>
      <c r="AQ194" s="8">
        <f>IF(X194="",0,IF(X194&lt;=0.0002,0,(X194/100)/($AQ$3/100)/炼钢参数表!T194*1000))</f>
        <v>0</v>
      </c>
      <c r="AR194" s="8">
        <f>IF(Y194="",0,IF(Y194&lt;=0.02,0,(Y194/100)/($AR$3/100)/炼钢参数表!U194*1000))</f>
        <v>0</v>
      </c>
      <c r="AS194" s="8">
        <f>IF(L194&lt;=0.04,0,((L194-0.04)/100)/($AS$3/100)/炼钢参数表!V194*1000)</f>
        <v>0</v>
      </c>
      <c r="AT194" s="8">
        <f>IF(M194&lt;=0.03,0,((M194-0.03)/100)/($AT$3/100)/炼钢参数表!W194*1000)</f>
        <v>0</v>
      </c>
      <c r="AU194" s="6"/>
      <c r="AV194" s="8">
        <f t="shared" si="23"/>
        <v>11.1158555033652</v>
      </c>
      <c r="AW194" s="8" cm="1">
        <f t="array" ref="AW194">SUMPRODUCT($AB$4:$AU$4,AB194:AU194)/1000</f>
        <v>105.338899000783</v>
      </c>
      <c r="AY194" s="2" t="str">
        <f t="shared" si="24"/>
        <v>HP295</v>
      </c>
      <c r="AZ194" s="37">
        <f>VLOOKUP(AY194,炼钢参数表!$F$5:$J$1027,4,0)</f>
        <v>6.5392857142857197E-2</v>
      </c>
      <c r="BA194" s="37">
        <f t="shared" si="29"/>
        <v>9.4607142857142806E-2</v>
      </c>
      <c r="BB194" s="37">
        <f>AB194*$BB$4*炼钢参数表!$X$5/1000</f>
        <v>0</v>
      </c>
      <c r="BC194" s="37">
        <f>AC194*$BC$4*炼钢参数表!$X$5/1000</f>
        <v>5.3085360992348E-2</v>
      </c>
      <c r="BD194" s="37">
        <f>AD194*$BD$4*炼钢参数表!$X$5/1000</f>
        <v>0</v>
      </c>
      <c r="BE194" s="37">
        <f>AE194*$BE$4*炼钢参数表!$X$5/1000</f>
        <v>0</v>
      </c>
      <c r="BF194" s="37">
        <f>AL194*$BF$4*炼钢参数表!$X$5/1000</f>
        <v>0</v>
      </c>
      <c r="BG194" s="37">
        <f>AM194*$BG$4*炼钢参数表!$X$5/1000</f>
        <v>0</v>
      </c>
      <c r="BH194" s="37">
        <f t="shared" si="26"/>
        <v>5.3085360992348E-2</v>
      </c>
      <c r="BI194" s="37">
        <f t="shared" si="27"/>
        <v>0.118478218135205</v>
      </c>
      <c r="BJ194" s="37">
        <f t="shared" si="28"/>
        <v>-4.1521781864794799E-2</v>
      </c>
      <c r="BK194" s="54"/>
      <c r="BL194" s="7"/>
    </row>
    <row r="195" spans="1:64" s="18" customFormat="1" x14ac:dyDescent="0.3">
      <c r="A195" s="21">
        <v>191</v>
      </c>
      <c r="B195" s="4" t="s">
        <v>333</v>
      </c>
      <c r="C195" s="4" t="s">
        <v>23</v>
      </c>
      <c r="D195" s="4">
        <v>2</v>
      </c>
      <c r="E195" s="4">
        <v>7.55</v>
      </c>
      <c r="F195" s="4" t="s">
        <v>334</v>
      </c>
      <c r="G195" s="50" t="s">
        <v>335</v>
      </c>
      <c r="H195" s="4">
        <v>1519</v>
      </c>
      <c r="I195" s="51">
        <v>0.16</v>
      </c>
      <c r="J195" s="52">
        <v>0.05</v>
      </c>
      <c r="K195" s="52">
        <v>0.35</v>
      </c>
      <c r="L195" s="51">
        <v>1.7999999999999999E-2</v>
      </c>
      <c r="M195" s="51">
        <v>6.0000000000000001E-3</v>
      </c>
      <c r="N195" s="51"/>
      <c r="O195" s="51"/>
      <c r="P195" s="51"/>
      <c r="Q195" s="51">
        <v>2.5000000000000001E-2</v>
      </c>
      <c r="R195" s="51" t="s">
        <v>631</v>
      </c>
      <c r="S195" s="32"/>
      <c r="T195" s="52"/>
      <c r="U195" s="52"/>
      <c r="V195" s="52"/>
      <c r="W195" s="52"/>
      <c r="X195" s="32" t="s">
        <v>631</v>
      </c>
      <c r="Y195" s="53" t="s">
        <v>631</v>
      </c>
      <c r="Z195" s="4"/>
      <c r="AA195" s="53"/>
      <c r="AB195" s="42">
        <f>IF(J195&lt;=0.04,0,IF((BA195-AL195*BF$4*炼钢参数表!$X$5/1000-AM195*BG$4*炼钢参数表!$X$5/1000)&lt;=0.03,0,IF((J195/100/0.1769/炼钢参数表!K195*1000)&gt;(K195-炼钢参数表!J195)/100/0.6566/炼钢参数表!L195*1000,IF(K195&lt;1.6,(K195-炼钢参数表!J195)/100/0.6566/炼钢参数表!L195*1000,(K195-0.08-炼钢参数表!J195)/100/0.6566/炼钢参数表!L195*1000),IF(K195&lt;1.6,J195/100/0.1769/炼钢参数表!K195*1000,(J195-0.08)/100/0.1769/炼钢参数表!K195*1000))))</f>
        <v>3.52402434810248</v>
      </c>
      <c r="AC195" s="8">
        <f>IF((BA195-AB195*$BB$4*0.9/1000-AL195*BF$4*炼钢参数表!$X$5/1000-AM195*BG$4*炼钢参数表!$X$5/1000)&lt;(K195-炼钢参数表!J195-AB195*0.6566*炼钢参数表!L195/10)*0.082,0,(K195-炼钢参数表!J195-AB195*0.6566*炼钢参数表!L195/10)/100/($AC$3/100)/炼钢参数表!L195*1000)</f>
        <v>0</v>
      </c>
      <c r="AD195" s="8">
        <f>IF((BA195-AB195*$BB$4*0.9/1000-AC195*$BC$4*0.9/1000-AL195*BF$4*炼钢参数表!$X$5/1000-AM195*BG$4*炼钢参数表!$X$5/1000)&lt;=(K195-炼钢参数表!J195-AB195*0.6566*炼钢参数表!L195/10-AC195*($AC$3/100)*炼钢参数表!L195/10)*0.02,0,((K195-炼钢参数表!J195-AB195*0.6566*炼钢参数表!L195/10-AC195*($AC$3/100)*炼钢参数表!L195/10)/100/($AD$3/100)/炼钢参数表!L195*1000))</f>
        <v>0</v>
      </c>
      <c r="AE195" s="8">
        <f>(K195-炼钢参数表!J195-AB195*0.6566*炼钢参数表!L195/10-AC195*($AC$3/100)*炼钢参数表!L195/10-AD195*($AD$3/100)*炼钢参数表!L195/10)/100/($AE$3/100)/炼钢参数表!L195*1000</f>
        <v>0</v>
      </c>
      <c r="AF195" s="8">
        <v>0</v>
      </c>
      <c r="AG195" s="8">
        <f>IF(J195&lt;=0.04,0,((J195-(AB195*0.1769*炼钢参数表!K195/1000*100))/100/炼钢参数表!K195/($AG$3/100)*1000))</f>
        <v>5.9901369911860902E-2</v>
      </c>
      <c r="AH195" s="8">
        <v>1.55</v>
      </c>
      <c r="AI195" s="8">
        <f>IF(N195="",0,IF(N195&lt;=0.002,0,((N195)/100)/($AI$3/100)/炼钢参数表!M195*1000))</f>
        <v>0</v>
      </c>
      <c r="AJ195" s="8">
        <f>IF(O195="",0,IF(O195&lt;=0.002,0,((O195)/100)/($AJ$3/100)/炼钢参数表!N195*1000))</f>
        <v>0</v>
      </c>
      <c r="AK195" s="8">
        <f>IF(P195="",0,IF(P195&lt;=0.002,0,((P195+0.005)/100)/($AK$3/100)/炼钢参数表!O195*1000))</f>
        <v>0</v>
      </c>
      <c r="AL195" s="8">
        <f>IF((BA195-J195*0.00003-K195*0.00024)&lt;=0.05,0,IF(T195="",0,IF(T195&lt;=0.03,0,IF(((BA195-J195*0.00003-K195*0.00024)-0.05)/0.18/100/($AL$3/100)/炼钢参数表!P195*1000&lt;=T195/100/($AL$3/100)/炼钢参数表!P195*1000,((BA195-J195*0.00003-K195*0.00024)-0.05)/0.18/100/($AL$3/100)/炼钢参数表!P195*1000,T195/100/($AL$3/100)/炼钢参数表!P195*1000))))</f>
        <v>0</v>
      </c>
      <c r="AM195" s="8">
        <f>IF(T195="",0,IF(T195&lt;=0.03,0,((T195-AL195*($AL$3/100)*炼钢参数表!P195/10)/100/($AM$3/100)/炼钢参数表!P195*1000)))</f>
        <v>0</v>
      </c>
      <c r="AN195" s="8">
        <f>IF(U195="",0,IF(U195&lt;=0.02,0,(U195/100)/($AN$3/100)/炼钢参数表!Q195*1000))</f>
        <v>0</v>
      </c>
      <c r="AO195" s="8">
        <f>IF(V195="",0,IF(V195&lt;=0.02,0,(V195/100)/($AO$3/100)/炼钢参数表!R195*1000))</f>
        <v>0</v>
      </c>
      <c r="AP195" s="8">
        <f>IF(W195="",0,IF(W195&lt;=0.02,0,(W195/100)/($AP$3/100)/炼钢参数表!S195*1000))</f>
        <v>0</v>
      </c>
      <c r="AQ195" s="8">
        <f>IF(X195="",0,IF(X195&lt;=0.0002,0,(X195/100)/($AQ$3/100)/炼钢参数表!T195*1000))</f>
        <v>0</v>
      </c>
      <c r="AR195" s="8">
        <f>IF(Y195="",0,IF(Y195&lt;=0.02,0,(Y195/100)/($AR$3/100)/炼钢参数表!U195*1000))</f>
        <v>0</v>
      </c>
      <c r="AS195" s="8">
        <f>IF(L195&lt;=0.04,0,((L195-0.04)/100)/($AS$3/100)/炼钢参数表!V195*1000)</f>
        <v>0</v>
      </c>
      <c r="AT195" s="8">
        <f>IF(M195&lt;=0.03,0,((M195-0.03)/100)/($AT$3/100)/炼钢参数表!W195*1000)</f>
        <v>0</v>
      </c>
      <c r="AU195" s="6"/>
      <c r="AV195" s="8">
        <f t="shared" si="23"/>
        <v>5.1339257180143498</v>
      </c>
      <c r="AW195" s="8" cm="1">
        <f t="array" ref="AW195">SUMPRODUCT($AB$4:$AU$4,AB195:AU195)/1000</f>
        <v>54.050302019072298</v>
      </c>
      <c r="AY195" s="2" t="str">
        <f t="shared" si="24"/>
        <v>Q235PL-1</v>
      </c>
      <c r="AZ195" s="37">
        <f>VLOOKUP(AY195,炼钢参数表!$F$5:$J$1027,4,0)</f>
        <v>7.33178294573643E-2</v>
      </c>
      <c r="BA195" s="37">
        <f t="shared" si="29"/>
        <v>8.6682170542635703E-2</v>
      </c>
      <c r="BB195" s="37">
        <f>AB195*$BB$4*炼钢参数表!$X$5/1000</f>
        <v>5.4551896908626501E-3</v>
      </c>
      <c r="BC195" s="37">
        <f>AC195*$BC$4*炼钢参数表!$X$5/1000</f>
        <v>0</v>
      </c>
      <c r="BD195" s="37">
        <f>AD195*$BD$4*炼钢参数表!$X$5/1000</f>
        <v>0</v>
      </c>
      <c r="BE195" s="37">
        <f>AE195*$BE$4*炼钢参数表!$X$5/1000</f>
        <v>0</v>
      </c>
      <c r="BF195" s="37">
        <f>AL195*$BF$4*炼钢参数表!$X$5/1000</f>
        <v>0</v>
      </c>
      <c r="BG195" s="37">
        <f>AM195*$BG$4*炼钢参数表!$X$5/1000</f>
        <v>0</v>
      </c>
      <c r="BH195" s="37">
        <f t="shared" si="26"/>
        <v>5.4551896908626501E-3</v>
      </c>
      <c r="BI195" s="37">
        <f t="shared" si="27"/>
        <v>7.8773019148226903E-2</v>
      </c>
      <c r="BJ195" s="37">
        <f t="shared" si="28"/>
        <v>-8.1226980851773101E-2</v>
      </c>
      <c r="BK195" s="54"/>
      <c r="BL195" s="7"/>
    </row>
    <row r="196" spans="1:64" s="18" customFormat="1" x14ac:dyDescent="0.3">
      <c r="A196" s="21">
        <v>192</v>
      </c>
      <c r="B196" s="4" t="s">
        <v>333</v>
      </c>
      <c r="C196" s="4" t="s">
        <v>26</v>
      </c>
      <c r="D196" s="4">
        <v>7.56</v>
      </c>
      <c r="E196" s="4">
        <v>18</v>
      </c>
      <c r="F196" s="4" t="s">
        <v>336</v>
      </c>
      <c r="G196" s="50" t="s">
        <v>335</v>
      </c>
      <c r="H196" s="4">
        <v>1519</v>
      </c>
      <c r="I196" s="51">
        <v>0.16</v>
      </c>
      <c r="J196" s="52">
        <v>0.05</v>
      </c>
      <c r="K196" s="52">
        <v>0.45</v>
      </c>
      <c r="L196" s="51">
        <v>1.7999999999999999E-2</v>
      </c>
      <c r="M196" s="51">
        <v>6.0000000000000001E-3</v>
      </c>
      <c r="N196" s="51"/>
      <c r="O196" s="51"/>
      <c r="P196" s="51"/>
      <c r="Q196" s="51">
        <v>2.5000000000000001E-2</v>
      </c>
      <c r="R196" s="51" t="s">
        <v>631</v>
      </c>
      <c r="S196" s="32"/>
      <c r="T196" s="52"/>
      <c r="U196" s="52"/>
      <c r="V196" s="52"/>
      <c r="W196" s="52"/>
      <c r="X196" s="32" t="s">
        <v>631</v>
      </c>
      <c r="Y196" s="53" t="s">
        <v>631</v>
      </c>
      <c r="Z196" s="4"/>
      <c r="AA196" s="53"/>
      <c r="AB196" s="42">
        <f>IF(J196&lt;=0.04,0,IF((BA196-AL196*BF$4*炼钢参数表!$X$5/1000-AM196*BG$4*炼钢参数表!$X$5/1000)&lt;=0.03,0,IF((J196/100/0.1769/炼钢参数表!K196*1000)&gt;(K196-炼钢参数表!J196)/100/0.6566/炼钢参数表!L196*1000,IF(K196&lt;1.6,(K196-炼钢参数表!J196)/100/0.6566/炼钢参数表!L196*1000,(K196-0.08-炼钢参数表!J196)/100/0.6566/炼钢参数表!L196*1000),IF(K196&lt;1.6,J196/100/0.1769/炼钢参数表!K196*1000,(J196-0.08)/100/0.1769/炼钢参数表!K196*1000))))</f>
        <v>3.7686074995289198</v>
      </c>
      <c r="AC196" s="8">
        <f>IF((BA196-AB196*$BB$4*0.9/1000-AL196*BF$4*炼钢参数表!$X$5/1000-AM196*BG$4*炼钢参数表!$X$5/1000)&lt;(K196-炼钢参数表!J196-AB196*0.6566*炼钢参数表!L196/10)*0.082,0,(K196-炼钢参数表!J196-AB196*0.6566*炼钢参数表!L196/10)/100/($AC$3/100)/炼钢参数表!L196*1000)</f>
        <v>1.1436873292266401</v>
      </c>
      <c r="AD196" s="8">
        <f>IF((BA196-AB196*$BB$4*0.9/1000-AC196*$BC$4*0.9/1000-AL196*BF$4*炼钢参数表!$X$5/1000-AM196*BG$4*炼钢参数表!$X$5/1000)&lt;=(K196-炼钢参数表!J196-AB196*0.6566*炼钢参数表!L196/10-AC196*($AC$3/100)*炼钢参数表!L196/10)*0.02,0,((K196-炼钢参数表!J196-AB196*0.6566*炼钢参数表!L196/10-AC196*($AC$3/100)*炼钢参数表!L196/10)/100/($AD$3/100)/炼钢参数表!L196*1000))</f>
        <v>0</v>
      </c>
      <c r="AE196" s="8">
        <f>(K196-炼钢参数表!J196-AB196*0.6566*炼钢参数表!L196/10-AC196*($AC$3/100)*炼钢参数表!L196/10-AD196*($AD$3/100)*炼钢参数表!L196/10)/100/($AE$3/100)/炼钢参数表!L196*1000</f>
        <v>0</v>
      </c>
      <c r="AF196" s="8">
        <v>0</v>
      </c>
      <c r="AG196" s="8">
        <f>IF(J196&lt;=0.04,0,((J196-(AB196*0.1769*炼钢参数表!K196/1000*100))/100/炼钢参数表!K196/($AG$3/100)*1000))</f>
        <v>0</v>
      </c>
      <c r="AH196" s="8">
        <v>1.55</v>
      </c>
      <c r="AI196" s="8">
        <f>IF(N196="",0,IF(N196&lt;=0.002,0,((N196)/100)/($AI$3/100)/炼钢参数表!M196*1000))</f>
        <v>0</v>
      </c>
      <c r="AJ196" s="8">
        <f>IF(O196="",0,IF(O196&lt;=0.002,0,((O196)/100)/($AJ$3/100)/炼钢参数表!N196*1000))</f>
        <v>0</v>
      </c>
      <c r="AK196" s="8">
        <f>IF(P196="",0,IF(P196&lt;=0.002,0,((P196+0.005)/100)/($AK$3/100)/炼钢参数表!O196*1000))</f>
        <v>0</v>
      </c>
      <c r="AL196" s="8">
        <f>IF((BA196-J196*0.00003-K196*0.00024)&lt;=0.05,0,IF(T196="",0,IF(T196&lt;=0.03,0,IF(((BA196-J196*0.00003-K196*0.00024)-0.05)/0.18/100/($AL$3/100)/炼钢参数表!P196*1000&lt;=T196/100/($AL$3/100)/炼钢参数表!P196*1000,((BA196-J196*0.00003-K196*0.00024)-0.05)/0.18/100/($AL$3/100)/炼钢参数表!P196*1000,T196/100/($AL$3/100)/炼钢参数表!P196*1000))))</f>
        <v>0</v>
      </c>
      <c r="AM196" s="8">
        <f>IF(T196="",0,IF(T196&lt;=0.03,0,((T196-AL196*($AL$3/100)*炼钢参数表!P196/10)/100/($AM$3/100)/炼钢参数表!P196*1000)))</f>
        <v>0</v>
      </c>
      <c r="AN196" s="8">
        <f>IF(U196="",0,IF(U196&lt;=0.02,0,(U196/100)/($AN$3/100)/炼钢参数表!Q196*1000))</f>
        <v>0</v>
      </c>
      <c r="AO196" s="8">
        <f>IF(V196="",0,IF(V196&lt;=0.02,0,(V196/100)/($AO$3/100)/炼钢参数表!R196*1000))</f>
        <v>0</v>
      </c>
      <c r="AP196" s="8">
        <f>IF(W196="",0,IF(W196&lt;=0.02,0,(W196/100)/($AP$3/100)/炼钢参数表!S196*1000))</f>
        <v>0</v>
      </c>
      <c r="AQ196" s="8">
        <f>IF(X196="",0,IF(X196&lt;=0.0002,0,(X196/100)/($AQ$3/100)/炼钢参数表!T196*1000))</f>
        <v>0</v>
      </c>
      <c r="AR196" s="8">
        <f>IF(Y196="",0,IF(Y196&lt;=0.02,0,(Y196/100)/($AR$3/100)/炼钢参数表!U196*1000))</f>
        <v>0</v>
      </c>
      <c r="AS196" s="8">
        <f>IF(L196&lt;=0.04,0,((L196-0.04)/100)/($AS$3/100)/炼钢参数表!V196*1000)</f>
        <v>0</v>
      </c>
      <c r="AT196" s="8">
        <f>IF(M196&lt;=0.03,0,((M196-0.03)/100)/($AT$3/100)/炼钢参数表!W196*1000)</f>
        <v>0</v>
      </c>
      <c r="AU196" s="6"/>
      <c r="AV196" s="8">
        <f t="shared" si="23"/>
        <v>6.4622948287555602</v>
      </c>
      <c r="AW196" s="8" cm="1">
        <f t="array" ref="AW196">SUMPRODUCT($AB$4:$AU$4,AB196:AU196)/1000</f>
        <v>61.9792021510887</v>
      </c>
      <c r="AY196" s="2" t="str">
        <f t="shared" si="24"/>
        <v>Q235PL-2</v>
      </c>
      <c r="AZ196" s="37">
        <f>VLOOKUP(AY196,炼钢参数表!$F$5:$J$1027,4,0)</f>
        <v>7.6057894736842102E-2</v>
      </c>
      <c r="BA196" s="37">
        <f t="shared" si="29"/>
        <v>8.3942105263157901E-2</v>
      </c>
      <c r="BB196" s="37">
        <f>AB196*$BB$4*炼钢参数表!$X$5/1000</f>
        <v>5.8338044092707698E-3</v>
      </c>
      <c r="BC196" s="37">
        <f>AC196*$BC$4*炼钢参数表!$X$5/1000</f>
        <v>6.8861414092736004E-3</v>
      </c>
      <c r="BD196" s="37">
        <f>AD196*$BD$4*炼钢参数表!$X$5/1000</f>
        <v>0</v>
      </c>
      <c r="BE196" s="37">
        <f>AE196*$BE$4*炼钢参数表!$X$5/1000</f>
        <v>0</v>
      </c>
      <c r="BF196" s="37">
        <f>AL196*$BF$4*炼钢参数表!$X$5/1000</f>
        <v>0</v>
      </c>
      <c r="BG196" s="37">
        <f>AM196*$BG$4*炼钢参数表!$X$5/1000</f>
        <v>0</v>
      </c>
      <c r="BH196" s="37">
        <f t="shared" si="26"/>
        <v>1.2719945818544401E-2</v>
      </c>
      <c r="BI196" s="37">
        <f t="shared" si="27"/>
        <v>8.8777840555386497E-2</v>
      </c>
      <c r="BJ196" s="37">
        <f t="shared" si="28"/>
        <v>-7.1222159444613506E-2</v>
      </c>
      <c r="BK196" s="54"/>
      <c r="BL196" s="7"/>
    </row>
    <row r="197" spans="1:64" s="18" customFormat="1" x14ac:dyDescent="0.3">
      <c r="A197" s="21"/>
      <c r="B197" s="18" t="s">
        <v>337</v>
      </c>
      <c r="C197" s="18" t="s">
        <v>23</v>
      </c>
      <c r="D197" s="18">
        <v>3</v>
      </c>
      <c r="E197" s="18">
        <v>7.55</v>
      </c>
      <c r="F197" s="18" t="s">
        <v>338</v>
      </c>
      <c r="G197" s="18" t="s">
        <v>339</v>
      </c>
      <c r="H197" s="18">
        <v>1518</v>
      </c>
      <c r="I197" s="18">
        <v>0.16</v>
      </c>
      <c r="J197" s="18">
        <v>0.05</v>
      </c>
      <c r="K197" s="18">
        <v>0.4</v>
      </c>
      <c r="L197" s="18">
        <v>1.7999999999999999E-2</v>
      </c>
      <c r="M197" s="18">
        <v>6.0000000000000001E-3</v>
      </c>
      <c r="Q197" s="18">
        <v>2.5000000000000001E-2</v>
      </c>
      <c r="R197" s="51"/>
      <c r="S197" s="32"/>
      <c r="T197" s="52"/>
      <c r="U197" s="52"/>
      <c r="V197" s="52"/>
      <c r="W197" s="52"/>
      <c r="X197" s="32"/>
      <c r="Y197" s="53"/>
      <c r="Z197" s="4"/>
      <c r="AA197" s="53"/>
      <c r="AB197" s="42">
        <f>IF(J197&lt;=0.04,0,IF((BA197-AL197*BF$4*炼钢参数表!$X$5/1000-AM197*BG$4*炼钢参数表!$X$5/1000)&lt;=0.03,0,IF((J197/100/0.1769/炼钢参数表!K197*1000)&gt;(K197-炼钢参数表!J197)/100/0.6566/炼钢参数表!L197*1000,IF(K197&lt;1.6,(K197-炼钢参数表!J197)/100/0.6566/炼钢参数表!L197*1000,(K197-0.08-炼钢参数表!J197)/100/0.6566/炼钢参数表!L197*1000),IF(K197&lt;1.6,J197/100/0.1769/炼钢参数表!K197*1000,(J197-0.08)/100/0.1769/炼钢参数表!K197*1000))))</f>
        <v>3.7686074995289198</v>
      </c>
      <c r="AC197" s="8">
        <f>IF((BA197-AB197*$BB$4*0.9/1000-AL197*BF$4*炼钢参数表!$X$5/1000-AM197*BG$4*炼钢参数表!$X$5/1000)&lt;(K197-炼钢参数表!J197-AB197*0.6566*炼钢参数表!L197/10)*0.082,0,(K197-炼钢参数表!J197-AB197*0.6566*炼钢参数表!L197/10)/100/($AC$3/100)/炼钢参数表!L197*1000)</f>
        <v>0.46864716408318102</v>
      </c>
      <c r="AD197" s="8">
        <f>IF((BA197-AB197*$BB$4*0.9/1000-AC197*$BC$4*0.9/1000-AL197*BF$4*炼钢参数表!$X$5/1000-AM197*BG$4*炼钢参数表!$X$5/1000)&lt;=(K197-炼钢参数表!J197-AB197*0.6566*炼钢参数表!L197/10-AC197*($AC$3/100)*炼钢参数表!L197/10)*0.02,0,((K197-炼钢参数表!J197-AB197*0.6566*炼钢参数表!L197/10-AC197*($AC$3/100)*炼钢参数表!L197/10)/100/($AD$3/100)/炼钢参数表!L197*1000))</f>
        <v>0</v>
      </c>
      <c r="AE197" s="8">
        <f>(K197-炼钢参数表!J197-AB197*0.6566*炼钢参数表!L197/10-AC197*($AC$3/100)*炼钢参数表!L197/10-AD197*($AD$3/100)*炼钢参数表!L197/10)/100/($AE$3/100)/炼钢参数表!L197*1000</f>
        <v>0</v>
      </c>
      <c r="AF197" s="8">
        <v>0</v>
      </c>
      <c r="AG197" s="8">
        <f>IF(J197&lt;=0.04,0,((J197-(AB197*0.1769*炼钢参数表!K197/1000*100))/100/炼钢参数表!K197/($AG$3/100)*1000))</f>
        <v>0</v>
      </c>
      <c r="AH197" s="8">
        <v>1.55</v>
      </c>
      <c r="AI197" s="8">
        <f>IF(N197="",0,IF(N197&lt;=0.002,0,((N197)/100)/($AI$3/100)/炼钢参数表!M197*1000))</f>
        <v>0</v>
      </c>
      <c r="AJ197" s="8">
        <f>IF(O197="",0,IF(O197&lt;=0.002,0,((O197)/100)/($AJ$3/100)/炼钢参数表!N197*1000))</f>
        <v>0</v>
      </c>
      <c r="AK197" s="8">
        <f>IF(P197="",0,IF(P197&lt;=0.002,0,((P197+0.005)/100)/($AK$3/100)/炼钢参数表!O197*1000))</f>
        <v>0</v>
      </c>
      <c r="AL197" s="8">
        <f>IF((BA197-J197*0.00003-K197*0.00024)&lt;=0.05,0,IF(T197="",0,IF(T197&lt;=0.03,0,IF(((BA197-J197*0.00003-K197*0.00024)-0.05)/0.18/100/($AL$3/100)/炼钢参数表!P197*1000&lt;=T197/100/($AL$3/100)/炼钢参数表!P197*1000,((BA197-J197*0.00003-K197*0.00024)-0.05)/0.18/100/($AL$3/100)/炼钢参数表!P197*1000,T197/100/($AL$3/100)/炼钢参数表!P197*1000))))</f>
        <v>0</v>
      </c>
      <c r="AM197" s="8">
        <f>IF(T197="",0,IF(T197&lt;=0.03,0,((T197-AL197*($AL$3/100)*炼钢参数表!P197/10)/100/($AM$3/100)/炼钢参数表!P197*1000)))</f>
        <v>0</v>
      </c>
      <c r="AN197" s="8">
        <f>IF(U197="",0,IF(U197&lt;=0.02,0,(U197/100)/($AN$3/100)/炼钢参数表!Q197*1000))</f>
        <v>0</v>
      </c>
      <c r="AO197" s="8">
        <f>IF(V197="",0,IF(V197&lt;=0.02,0,(V197/100)/($AO$3/100)/炼钢参数表!R197*1000))</f>
        <v>0</v>
      </c>
      <c r="AP197" s="8">
        <f>IF(W197="",0,IF(W197&lt;=0.02,0,(W197/100)/($AP$3/100)/炼钢参数表!S197*1000))</f>
        <v>0</v>
      </c>
      <c r="AQ197" s="8">
        <f>IF(X197="",0,IF(X197&lt;=0.0002,0,(X197/100)/($AQ$3/100)/炼钢参数表!T197*1000))</f>
        <v>0</v>
      </c>
      <c r="AR197" s="8">
        <f>IF(Y197="",0,IF(Y197&lt;=0.02,0,(Y197/100)/($AR$3/100)/炼钢参数表!U197*1000))</f>
        <v>0</v>
      </c>
      <c r="AS197" s="8">
        <f>IF(L197&lt;=0.04,0,((L197-0.04)/100)/($AS$3/100)/炼钢参数表!V197*1000)</f>
        <v>0</v>
      </c>
      <c r="AT197" s="8">
        <f>IF(M197&lt;=0.03,0,((M197-0.03)/100)/($AT$3/100)/炼钢参数表!W197*1000)</f>
        <v>0</v>
      </c>
      <c r="AU197" s="6"/>
      <c r="AV197" s="8">
        <f t="shared" si="23"/>
        <v>5.7872546636121101</v>
      </c>
      <c r="AW197" s="8" cm="1">
        <f t="array" ref="AW197">SUMPRODUCT($AB$4:$AU$4,AB197:AU197)/1000</f>
        <v>57.899092126371997</v>
      </c>
      <c r="AY197" s="2" t="str">
        <f t="shared" si="24"/>
        <v>Q255PL-KP1</v>
      </c>
      <c r="AZ197" s="37">
        <f>VLOOKUP(AY197,炼钢参数表!$F$5:$J$1027,4,0)</f>
        <v>7.33178294573643E-2</v>
      </c>
      <c r="BA197" s="37">
        <f t="shared" si="29"/>
        <v>8.6682170542635703E-2</v>
      </c>
      <c r="BB197" s="37">
        <f>AB197*$BB$4*炼钢参数表!$X$5/1000</f>
        <v>5.8338044092707698E-3</v>
      </c>
      <c r="BC197" s="37">
        <f>AC197*$BC$4*炼钢参数表!$X$5/1000</f>
        <v>2.8217245749448398E-3</v>
      </c>
      <c r="BD197" s="37">
        <f>AD197*$BD$4*炼钢参数表!$X$5/1000</f>
        <v>0</v>
      </c>
      <c r="BE197" s="37">
        <f>AE197*$BE$4*炼钢参数表!$X$5/1000</f>
        <v>0</v>
      </c>
      <c r="BF197" s="37">
        <f>AL197*$BF$4*炼钢参数表!$X$5/1000</f>
        <v>0</v>
      </c>
      <c r="BG197" s="37">
        <f>AM197*$BG$4*炼钢参数表!$X$5/1000</f>
        <v>0</v>
      </c>
      <c r="BH197" s="37">
        <f t="shared" si="26"/>
        <v>8.6555289842156092E-3</v>
      </c>
      <c r="BI197" s="37">
        <f t="shared" si="27"/>
        <v>8.1973358441579894E-2</v>
      </c>
      <c r="BJ197" s="37">
        <f t="shared" si="28"/>
        <v>-7.8026641558420096E-2</v>
      </c>
      <c r="BK197" s="54"/>
      <c r="BL197" s="7"/>
    </row>
    <row r="198" spans="1:64" s="18" customFormat="1" x14ac:dyDescent="0.3">
      <c r="A198" s="21"/>
      <c r="B198" s="18" t="s">
        <v>337</v>
      </c>
      <c r="C198" s="18" t="s">
        <v>26</v>
      </c>
      <c r="D198" s="18">
        <v>7.56</v>
      </c>
      <c r="E198" s="18">
        <v>20</v>
      </c>
      <c r="F198" s="18" t="s">
        <v>340</v>
      </c>
      <c r="G198" s="18" t="s">
        <v>339</v>
      </c>
      <c r="H198" s="18">
        <v>1518</v>
      </c>
      <c r="I198" s="18">
        <v>0.16</v>
      </c>
      <c r="J198" s="18">
        <v>0.05</v>
      </c>
      <c r="K198" s="18">
        <v>0.5</v>
      </c>
      <c r="L198" s="18">
        <v>1.7999999999999999E-2</v>
      </c>
      <c r="M198" s="18">
        <v>6.0000000000000001E-3</v>
      </c>
      <c r="Q198" s="18">
        <v>2.5000000000000001E-2</v>
      </c>
      <c r="R198" s="51"/>
      <c r="S198" s="32"/>
      <c r="T198" s="52"/>
      <c r="U198" s="52"/>
      <c r="V198" s="52"/>
      <c r="W198" s="52"/>
      <c r="X198" s="32"/>
      <c r="Y198" s="53"/>
      <c r="Z198" s="4"/>
      <c r="AA198" s="53"/>
      <c r="AB198" s="42">
        <f>IF(J198&lt;=0.04,0,IF((BA198-AL198*BF$4*炼钢参数表!$X$5/1000-AM198*BG$4*炼钢参数表!$X$5/1000)&lt;=0.03,0,IF((J198/100/0.1769/炼钢参数表!K198*1000)&gt;(K198-炼钢参数表!J198)/100/0.6566/炼钢参数表!L198*1000,IF(K198&lt;1.6,(K198-炼钢参数表!J198)/100/0.6566/炼钢参数表!L198*1000,(K198-0.08-炼钢参数表!J198)/100/0.6566/炼钢参数表!L198*1000),IF(K198&lt;1.6,J198/100/0.1769/炼钢参数表!K198*1000,(J198-0.08)/100/0.1769/炼钢参数表!K198*1000))))</f>
        <v>3.7686074995289198</v>
      </c>
      <c r="AC198" s="8">
        <f>IF((BA198-AB198*$BB$4*0.9/1000-AL198*BF$4*炼钢参数表!$X$5/1000-AM198*BG$4*炼钢参数表!$X$5/1000)&lt;(K198-炼钢参数表!J198-AB198*0.6566*炼钢参数表!L198/10)*0.082,0,(K198-炼钢参数表!J198-AB198*0.6566*炼钢参数表!L198/10)/100/($AC$3/100)/炼钢参数表!L198*1000)</f>
        <v>1.82760700969937</v>
      </c>
      <c r="AD198" s="8">
        <f>IF((BA198-AB198*$BB$4*0.9/1000-AC198*$BC$4*0.9/1000-AL198*BF$4*炼钢参数表!$X$5/1000-AM198*BG$4*炼钢参数表!$X$5/1000)&lt;=(K198-炼钢参数表!J198-AB198*0.6566*炼钢参数表!L198/10-AC198*($AC$3/100)*炼钢参数表!L198/10)*0.02,0,((K198-炼钢参数表!J198-AB198*0.6566*炼钢参数表!L198/10-AC198*($AC$3/100)*炼钢参数表!L198/10)/100/($AD$3/100)/炼钢参数表!L198*1000))</f>
        <v>0</v>
      </c>
      <c r="AE198" s="8">
        <f>(K198-炼钢参数表!J198-AB198*0.6566*炼钢参数表!L198/10-AC198*($AC$3/100)*炼钢参数表!L198/10-AD198*($AD$3/100)*炼钢参数表!L198/10)/100/($AE$3/100)/炼钢参数表!L198*1000</f>
        <v>0</v>
      </c>
      <c r="AF198" s="8">
        <v>0</v>
      </c>
      <c r="AG198" s="8">
        <f>IF(J198&lt;=0.04,0,((J198-(AB198*0.1769*炼钢参数表!K198/1000*100))/100/炼钢参数表!K198/($AG$3/100)*1000))</f>
        <v>0</v>
      </c>
      <c r="AH198" s="8">
        <v>1.55</v>
      </c>
      <c r="AI198" s="8">
        <f>IF(N198="",0,IF(N198&lt;=0.002,0,((N198)/100)/($AI$3/100)/炼钢参数表!M198*1000))</f>
        <v>0</v>
      </c>
      <c r="AJ198" s="8">
        <f>IF(O198="",0,IF(O198&lt;=0.002,0,((O198)/100)/($AJ$3/100)/炼钢参数表!N198*1000))</f>
        <v>0</v>
      </c>
      <c r="AK198" s="8">
        <f>IF(P198="",0,IF(P198&lt;=0.002,0,((P198+0.005)/100)/($AK$3/100)/炼钢参数表!O198*1000))</f>
        <v>0</v>
      </c>
      <c r="AL198" s="8">
        <f>IF((BA198-J198*0.00003-K198*0.00024)&lt;=0.05,0,IF(T198="",0,IF(T198&lt;=0.03,0,IF(((BA198-J198*0.00003-K198*0.00024)-0.05)/0.18/100/($AL$3/100)/炼钢参数表!P198*1000&lt;=T198/100/($AL$3/100)/炼钢参数表!P198*1000,((BA198-J198*0.00003-K198*0.00024)-0.05)/0.18/100/($AL$3/100)/炼钢参数表!P198*1000,T198/100/($AL$3/100)/炼钢参数表!P198*1000))))</f>
        <v>0</v>
      </c>
      <c r="AM198" s="8">
        <f>IF(T198="",0,IF(T198&lt;=0.03,0,((T198-AL198*($AL$3/100)*炼钢参数表!P198/10)/100/($AM$3/100)/炼钢参数表!P198*1000)))</f>
        <v>0</v>
      </c>
      <c r="AN198" s="8">
        <f>IF(U198="",0,IF(U198&lt;=0.02,0,(U198/100)/($AN$3/100)/炼钢参数表!Q198*1000))</f>
        <v>0</v>
      </c>
      <c r="AO198" s="8">
        <f>IF(V198="",0,IF(V198&lt;=0.02,0,(V198/100)/($AO$3/100)/炼钢参数表!R198*1000))</f>
        <v>0</v>
      </c>
      <c r="AP198" s="8">
        <f>IF(W198="",0,IF(W198&lt;=0.02,0,(W198/100)/($AP$3/100)/炼钢参数表!S198*1000))</f>
        <v>0</v>
      </c>
      <c r="AQ198" s="8">
        <f>IF(X198="",0,IF(X198&lt;=0.0002,0,(X198/100)/($AQ$3/100)/炼钢参数表!T198*1000))</f>
        <v>0</v>
      </c>
      <c r="AR198" s="8">
        <f>IF(Y198="",0,IF(Y198&lt;=0.02,0,(Y198/100)/($AR$3/100)/炼钢参数表!U198*1000))</f>
        <v>0</v>
      </c>
      <c r="AS198" s="8">
        <f>IF(L198&lt;=0.04,0,((L198-0.04)/100)/($AS$3/100)/炼钢参数表!V198*1000)</f>
        <v>0</v>
      </c>
      <c r="AT198" s="8">
        <f>IF(M198&lt;=0.03,0,((M198-0.03)/100)/($AT$3/100)/炼钢参数表!W198*1000)</f>
        <v>0</v>
      </c>
      <c r="AU198" s="6"/>
      <c r="AV198" s="8">
        <f t="shared" si="23"/>
        <v>7.1462145092282903</v>
      </c>
      <c r="AW198" s="8" cm="1">
        <f t="array" ref="AW198">SUMPRODUCT($AB$4:$AU$4,AB198:AU198)/1000</f>
        <v>66.112982166689306</v>
      </c>
      <c r="AY198" s="2" t="str">
        <f t="shared" si="24"/>
        <v>Q255PL-KP2</v>
      </c>
      <c r="AZ198" s="37">
        <f>VLOOKUP(AY198,炼钢参数表!$F$5:$J$1027,4,0)</f>
        <v>7.6057894736842102E-2</v>
      </c>
      <c r="BA198" s="37">
        <f t="shared" si="29"/>
        <v>8.3942105263157901E-2</v>
      </c>
      <c r="BB198" s="37">
        <f>AB198*$BB$4*炼钢参数表!$X$5/1000</f>
        <v>5.8338044092707698E-3</v>
      </c>
      <c r="BC198" s="37">
        <f>AC198*$BC$4*炼钢参数表!$X$5/1000</f>
        <v>1.1004021805399901E-2</v>
      </c>
      <c r="BD198" s="37">
        <f>AD198*$BD$4*炼钢参数表!$X$5/1000</f>
        <v>0</v>
      </c>
      <c r="BE198" s="37">
        <f>AE198*$BE$4*炼钢参数表!$X$5/1000</f>
        <v>0</v>
      </c>
      <c r="BF198" s="37">
        <f>AL198*$BF$4*炼钢参数表!$X$5/1000</f>
        <v>0</v>
      </c>
      <c r="BG198" s="37">
        <f>AM198*$BG$4*炼钢参数表!$X$5/1000</f>
        <v>0</v>
      </c>
      <c r="BH198" s="37">
        <f t="shared" si="26"/>
        <v>1.6837826214670702E-2</v>
      </c>
      <c r="BI198" s="37">
        <f t="shared" si="27"/>
        <v>9.28957209515128E-2</v>
      </c>
      <c r="BJ198" s="37">
        <f t="shared" si="28"/>
        <v>-6.7104279048487203E-2</v>
      </c>
      <c r="BK198" s="54"/>
      <c r="BL198" s="7"/>
    </row>
    <row r="199" spans="1:64" s="18" customFormat="1" x14ac:dyDescent="0.3">
      <c r="A199" s="21">
        <v>193</v>
      </c>
      <c r="B199" s="4" t="s">
        <v>341</v>
      </c>
      <c r="C199" s="4" t="s">
        <v>23</v>
      </c>
      <c r="D199" s="4">
        <v>2</v>
      </c>
      <c r="E199" s="4">
        <v>10.49</v>
      </c>
      <c r="F199" s="4" t="s">
        <v>342</v>
      </c>
      <c r="G199" s="50" t="s">
        <v>343</v>
      </c>
      <c r="H199" s="4">
        <v>1529</v>
      </c>
      <c r="I199" s="51">
        <v>0.06</v>
      </c>
      <c r="J199" s="52">
        <v>0.02</v>
      </c>
      <c r="K199" s="52">
        <v>0.3</v>
      </c>
      <c r="L199" s="51">
        <v>1.4999999999999999E-2</v>
      </c>
      <c r="M199" s="51">
        <v>5.0000000000000001E-3</v>
      </c>
      <c r="N199" s="51" t="s">
        <v>631</v>
      </c>
      <c r="O199" s="51" t="s">
        <v>631</v>
      </c>
      <c r="P199" s="51" t="s">
        <v>631</v>
      </c>
      <c r="Q199" s="51">
        <v>2.5000000000000001E-2</v>
      </c>
      <c r="R199" s="51" t="s">
        <v>631</v>
      </c>
      <c r="S199" s="32" t="s">
        <v>631</v>
      </c>
      <c r="T199" s="52"/>
      <c r="U199" s="52"/>
      <c r="V199" s="52"/>
      <c r="W199" s="52"/>
      <c r="X199" s="32" t="s">
        <v>631</v>
      </c>
      <c r="Y199" s="53" t="s">
        <v>631</v>
      </c>
      <c r="Z199" s="4">
        <v>35</v>
      </c>
      <c r="AA199" s="53" t="s">
        <v>631</v>
      </c>
      <c r="AB199" s="42">
        <f>IF(J199&lt;=0.04,0,IF((BA199-AL199*BF$4*炼钢参数表!$X$5/1000-AM199*BG$4*炼钢参数表!$X$5/1000)&lt;=0.03,0,IF((J199/100/0.1769/炼钢参数表!K199*1000)&gt;(K199-炼钢参数表!J199)/100/0.6566/炼钢参数表!L199*1000,IF(K199&lt;1.6,(K199-炼钢参数表!J199)/100/0.6566/炼钢参数表!L199*1000,(K199-0.08-炼钢参数表!J199)/100/0.6566/炼钢参数表!L199*1000),IF(K199&lt;1.6,J199/100/0.1769/炼钢参数表!K199*1000,(J199-0.08)/100/0.1769/炼钢参数表!K199*1000))))</f>
        <v>0</v>
      </c>
      <c r="AC199" s="8">
        <f>IF((BA199-AB199*$BB$4*0.9/1000-AL199*BF$4*炼钢参数表!$X$5/1000-AM199*BG$4*炼钢参数表!$X$5/1000)&lt;(K199-炼钢参数表!J199-AB199*0.6566*炼钢参数表!L199/10)*0.082,0,(K199-炼钢参数表!J199-AB199*0.6566*炼钢参数表!L199/10)/100/($AC$3/100)/炼钢参数表!L199*1000)</f>
        <v>0</v>
      </c>
      <c r="AD199" s="8">
        <f>IF((BA199-AB199*$BB$4*0.9/1000-AC199*$BC$4*0.9/1000-AL199*BF$4*炼钢参数表!$X$5/1000-AM199*BG$4*炼钢参数表!$X$5/1000)&lt;=(K199-炼钢参数表!J199-AB199*0.6566*炼钢参数表!L199/10-AC199*($AC$3/100)*炼钢参数表!L199/10)*0.02,0,((K199-炼钢参数表!J199-AB199*0.6566*炼钢参数表!L199/10-AC199*($AC$3/100)*炼钢参数表!L199/10)/100/($AD$3/100)/炼钢参数表!L199*1000))</f>
        <v>2.65907228692343</v>
      </c>
      <c r="AE199" s="8">
        <f>(K199-炼钢参数表!J199-AB199*0.6566*炼钢参数表!L199/10-AC199*($AC$3/100)*炼钢参数表!L199/10-AD199*($AD$3/100)*炼钢参数表!L199/10)/100/($AE$3/100)/炼钢参数表!L199*1000</f>
        <v>0</v>
      </c>
      <c r="AF199" s="8">
        <v>0</v>
      </c>
      <c r="AG199" s="8">
        <f>IF(J199&lt;=0.04,0,((J199-(AB199*0.1769*炼钢参数表!K199/1000*100))/100/炼钢参数表!K199/($AG$3/100)*1000))</f>
        <v>0</v>
      </c>
      <c r="AH199" s="8">
        <v>2.8</v>
      </c>
      <c r="AI199" s="8">
        <f>IF(N199="",0,IF(N199&lt;=0.002,0,((N199)/100)/($AI$3/100)/炼钢参数表!M199*1000))</f>
        <v>0</v>
      </c>
      <c r="AJ199" s="8">
        <f>IF(O199="",0,IF(O199&lt;=0.002,0,((O199)/100)/($AJ$3/100)/炼钢参数表!N199*1000))</f>
        <v>0</v>
      </c>
      <c r="AK199" s="8">
        <f>IF(P199="",0,IF(P199&lt;=0.002,0,((P199+0.005)/100)/($AK$3/100)/炼钢参数表!O199*1000))</f>
        <v>0</v>
      </c>
      <c r="AL199" s="8">
        <f>IF((BA199-J199*0.00003-K199*0.00024)&lt;=0.05,0,IF(T199="",0,IF(T199&lt;=0.03,0,IF(((BA199-J199*0.00003-K199*0.00024)-0.05)/0.18/100/($AL$3/100)/炼钢参数表!P199*1000&lt;=T199/100/($AL$3/100)/炼钢参数表!P199*1000,((BA199-J199*0.00003-K199*0.00024)-0.05)/0.18/100/($AL$3/100)/炼钢参数表!P199*1000,T199/100/($AL$3/100)/炼钢参数表!P199*1000))))</f>
        <v>0</v>
      </c>
      <c r="AM199" s="8">
        <f>IF(T199="",0,IF(T199&lt;=0.03,0,((T199-AL199*($AL$3/100)*炼钢参数表!P199/10)/100/($AM$3/100)/炼钢参数表!P199*1000)))</f>
        <v>0</v>
      </c>
      <c r="AN199" s="8">
        <f>IF(U199="",0,IF(U199&lt;=0.02,0,(U199/100)/($AN$3/100)/炼钢参数表!Q199*1000))</f>
        <v>0</v>
      </c>
      <c r="AO199" s="8">
        <f>IF(V199="",0,IF(V199&lt;=0.02,0,(V199/100)/($AO$3/100)/炼钢参数表!R199*1000))</f>
        <v>0</v>
      </c>
      <c r="AP199" s="8">
        <f>IF(W199="",0,IF(W199&lt;=0.02,0,(W199/100)/($AP$3/100)/炼钢参数表!S199*1000))</f>
        <v>0</v>
      </c>
      <c r="AQ199" s="8">
        <f>IF(X199="",0,IF(X199&lt;=0.0002,0,(X199/100)/($AQ$3/100)/炼钢参数表!T199*1000))</f>
        <v>0</v>
      </c>
      <c r="AR199" s="8">
        <f>IF(Y199="",0,IF(Y199&lt;=0.02,0,(Y199/100)/($AR$3/100)/炼钢参数表!U199*1000))</f>
        <v>0</v>
      </c>
      <c r="AS199" s="8">
        <f>IF(L199&lt;=0.04,0,((L199-0.04)/100)/($AS$3/100)/炼钢参数表!V199*1000)</f>
        <v>0</v>
      </c>
      <c r="AT199" s="8">
        <f>IF(M199&lt;=0.03,0,((M199-0.03)/100)/($AT$3/100)/炼钢参数表!W199*1000)</f>
        <v>0</v>
      </c>
      <c r="AU199" s="6"/>
      <c r="AV199" s="8">
        <f t="shared" si="23"/>
        <v>5.4590722869234298</v>
      </c>
      <c r="AW199" s="8" cm="1">
        <f t="array" ref="AW199">SUMPRODUCT($AB$4:$AU$4,AB199:AU199)/1000</f>
        <v>83.098934890509796</v>
      </c>
      <c r="AY199" s="2" t="str">
        <f t="shared" ref="AY199:AY211" si="30">F199</f>
        <v>330CL-1</v>
      </c>
      <c r="AZ199" s="37">
        <f>VLOOKUP(AY199,炼钢参数表!$F$5:$J$1027,4,0)</f>
        <v>5.3999999999999999E-2</v>
      </c>
      <c r="BA199" s="37">
        <f t="shared" ref="BA199:BA211" si="31">I199-AZ199</f>
        <v>6.0000000000000001E-3</v>
      </c>
      <c r="BB199" s="37">
        <f>AB199*$BB$4*炼钢参数表!$X$5/1000</f>
        <v>0</v>
      </c>
      <c r="BC199" s="37">
        <f>AC199*$BC$4*炼钢参数表!$X$5/1000</f>
        <v>0</v>
      </c>
      <c r="BD199" s="37">
        <f>AD199*$BD$4*炼钢参数表!$X$5/1000</f>
        <v>3.58974758734663E-3</v>
      </c>
      <c r="BE199" s="37">
        <f>AE199*$BE$4*炼钢参数表!$X$5/1000</f>
        <v>0</v>
      </c>
      <c r="BF199" s="37">
        <f>AL199*$BF$4*炼钢参数表!$X$5/1000</f>
        <v>0</v>
      </c>
      <c r="BG199" s="37">
        <f>AM199*$BG$4*炼钢参数表!$X$5/1000</f>
        <v>0</v>
      </c>
      <c r="BH199" s="37">
        <f t="shared" ref="BH199:BH211" si="32">SUM(BB199:BG199)</f>
        <v>3.58974758734663E-3</v>
      </c>
      <c r="BI199" s="37">
        <f t="shared" ref="BI199:BI211" si="33">AZ199+BH199</f>
        <v>5.7589747587346599E-2</v>
      </c>
      <c r="BJ199" s="37">
        <f t="shared" ref="BJ199:BJ211" si="34">BI199-I199</f>
        <v>-2.4102524126533701E-3</v>
      </c>
      <c r="BK199" s="54"/>
      <c r="BL199" s="7"/>
    </row>
    <row r="200" spans="1:64" s="18" customFormat="1" x14ac:dyDescent="0.3">
      <c r="A200" s="21">
        <v>194</v>
      </c>
      <c r="B200" s="4" t="s">
        <v>341</v>
      </c>
      <c r="C200" s="4" t="s">
        <v>26</v>
      </c>
      <c r="D200" s="4">
        <v>10.5</v>
      </c>
      <c r="E200" s="4">
        <v>14</v>
      </c>
      <c r="F200" s="4" t="s">
        <v>344</v>
      </c>
      <c r="G200" s="50" t="s">
        <v>343</v>
      </c>
      <c r="H200" s="4">
        <v>1527</v>
      </c>
      <c r="I200" s="51">
        <v>0.06</v>
      </c>
      <c r="J200" s="52">
        <v>0.02</v>
      </c>
      <c r="K200" s="52">
        <v>0.35</v>
      </c>
      <c r="L200" s="51">
        <v>1.4999999999999999E-2</v>
      </c>
      <c r="M200" s="51">
        <v>5.0000000000000001E-3</v>
      </c>
      <c r="N200" s="51" t="s">
        <v>631</v>
      </c>
      <c r="O200" s="51" t="s">
        <v>631</v>
      </c>
      <c r="P200" s="51" t="s">
        <v>631</v>
      </c>
      <c r="Q200" s="51">
        <v>2.5000000000000001E-2</v>
      </c>
      <c r="R200" s="51" t="s">
        <v>631</v>
      </c>
      <c r="S200" s="32" t="s">
        <v>631</v>
      </c>
      <c r="T200" s="52"/>
      <c r="U200" s="52"/>
      <c r="V200" s="52"/>
      <c r="W200" s="52"/>
      <c r="X200" s="32" t="s">
        <v>631</v>
      </c>
      <c r="Y200" s="53" t="s">
        <v>631</v>
      </c>
      <c r="Z200" s="4">
        <v>35</v>
      </c>
      <c r="AA200" s="53" t="s">
        <v>631</v>
      </c>
      <c r="AB200" s="42">
        <f>IF(J200&lt;=0.04,0,IF((BA200-AL200*BF$4*炼钢参数表!$X$5/1000-AM200*BG$4*炼钢参数表!$X$5/1000)&lt;=0.03,0,IF((J200/100/0.1769/炼钢参数表!K200*1000)&gt;(K200-炼钢参数表!J200)/100/0.6566/炼钢参数表!L200*1000,IF(K200&lt;1.6,(K200-炼钢参数表!J200)/100/0.6566/炼钢参数表!L200*1000,(K200-0.08-炼钢参数表!J200)/100/0.6566/炼钢参数表!L200*1000),IF(K200&lt;1.6,J200/100/0.1769/炼钢参数表!K200*1000,(J200-0.08)/100/0.1769/炼钢参数表!K200*1000))))</f>
        <v>0</v>
      </c>
      <c r="AC200" s="8">
        <f>IF((BA200-AB200*$BB$4*0.9/1000-AL200*BF$4*炼钢参数表!$X$5/1000-AM200*BG$4*炼钢参数表!$X$5/1000)&lt;(K200-炼钢参数表!J200-AB200*0.6566*炼钢参数表!L200/10)*0.082,0,(K200-炼钢参数表!J200-AB200*0.6566*炼钢参数表!L200/10)/100/($AC$3/100)/炼钢参数表!L200*1000)</f>
        <v>0</v>
      </c>
      <c r="AD200" s="8">
        <f>IF((BA200-AB200*$BB$4*0.9/1000-AC200*$BC$4*0.9/1000-AL200*BF$4*炼钢参数表!$X$5/1000-AM200*BG$4*炼钢参数表!$X$5/1000)&lt;=(K200-炼钢参数表!J200-AB200*0.6566*炼钢参数表!L200/10-AC200*($AC$3/100)*炼钢参数表!L200/10)*0.02,0,((K200-炼钢参数表!J200-AB200*0.6566*炼钢参数表!L200/10-AC200*($AC$3/100)*炼钢参数表!L200/10)/100/($AD$3/100)/炼钢参数表!L200*1000))</f>
        <v>2.9990351118802501</v>
      </c>
      <c r="AE200" s="8">
        <f>(K200-炼钢参数表!J200-AB200*0.6566*炼钢参数表!L200/10-AC200*($AC$3/100)*炼钢参数表!L200/10-AD200*($AD$3/100)*炼钢参数表!L200/10)/100/($AE$3/100)/炼钢参数表!L200*1000</f>
        <v>0</v>
      </c>
      <c r="AF200" s="8">
        <v>0</v>
      </c>
      <c r="AG200" s="8">
        <f>IF(J200&lt;=0.04,0,((J200-(AB200*0.1769*炼钢参数表!K200/1000*100))/100/炼钢参数表!K200/($AG$3/100)*1000))</f>
        <v>0</v>
      </c>
      <c r="AH200" s="8">
        <v>2.8</v>
      </c>
      <c r="AI200" s="8">
        <f>IF(N200="",0,IF(N200&lt;=0.002,0,((N200)/100)/($AI$3/100)/炼钢参数表!M200*1000))</f>
        <v>0</v>
      </c>
      <c r="AJ200" s="8">
        <f>IF(O200="",0,IF(O200&lt;=0.002,0,((O200)/100)/($AJ$3/100)/炼钢参数表!N200*1000))</f>
        <v>0</v>
      </c>
      <c r="AK200" s="8">
        <f>IF(P200="",0,IF(P200&lt;=0.002,0,((P200+0.005)/100)/($AK$3/100)/炼钢参数表!O200*1000))</f>
        <v>0</v>
      </c>
      <c r="AL200" s="8">
        <f>IF((BA200-J200*0.00003-K200*0.00024)&lt;=0.05,0,IF(T200="",0,IF(T200&lt;=0.03,0,IF(((BA200-J200*0.00003-K200*0.00024)-0.05)/0.18/100/($AL$3/100)/炼钢参数表!P200*1000&lt;=T200/100/($AL$3/100)/炼钢参数表!P200*1000,((BA200-J200*0.00003-K200*0.00024)-0.05)/0.18/100/($AL$3/100)/炼钢参数表!P200*1000,T200/100/($AL$3/100)/炼钢参数表!P200*1000))))</f>
        <v>0</v>
      </c>
      <c r="AM200" s="8">
        <f>IF(T200="",0,IF(T200&lt;=0.03,0,((T200-AL200*($AL$3/100)*炼钢参数表!P200/10)/100/($AM$3/100)/炼钢参数表!P200*1000)))</f>
        <v>0</v>
      </c>
      <c r="AN200" s="8">
        <f>IF(U200="",0,IF(U200&lt;=0.02,0,(U200/100)/($AN$3/100)/炼钢参数表!Q200*1000))</f>
        <v>0</v>
      </c>
      <c r="AO200" s="8">
        <f>IF(V200="",0,IF(V200&lt;=0.02,0,(V200/100)/($AO$3/100)/炼钢参数表!R200*1000))</f>
        <v>0</v>
      </c>
      <c r="AP200" s="8">
        <f>IF(W200="",0,IF(W200&lt;=0.02,0,(W200/100)/($AP$3/100)/炼钢参数表!S200*1000))</f>
        <v>0</v>
      </c>
      <c r="AQ200" s="8">
        <f>IF(X200="",0,IF(X200&lt;=0.0002,0,(X200/100)/($AQ$3/100)/炼钢参数表!T200*1000))</f>
        <v>0</v>
      </c>
      <c r="AR200" s="8">
        <f>IF(Y200="",0,IF(Y200&lt;=0.02,0,(Y200/100)/($AR$3/100)/炼钢参数表!U200*1000))</f>
        <v>0</v>
      </c>
      <c r="AS200" s="8">
        <f>IF(L200&lt;=0.04,0,((L200-0.04)/100)/($AS$3/100)/炼钢参数表!V200*1000)</f>
        <v>0</v>
      </c>
      <c r="AT200" s="8">
        <f>IF(M200&lt;=0.03,0,((M200-0.03)/100)/($AT$3/100)/炼钢参数表!W200*1000)</f>
        <v>0</v>
      </c>
      <c r="AU200" s="6"/>
      <c r="AV200" s="8">
        <f t="shared" si="23"/>
        <v>5.7990351118802499</v>
      </c>
      <c r="AW200" s="8" cm="1">
        <f t="array" ref="AW200">SUMPRODUCT($AB$4:$AU$4,AB200:AU200)/1000</f>
        <v>85.726877612631796</v>
      </c>
      <c r="AY200" s="2" t="str">
        <f t="shared" si="30"/>
        <v>330CL-2</v>
      </c>
      <c r="AZ200" s="37">
        <f>VLOOKUP(AY200,炼钢参数表!$F$5:$J$1027,4,0)</f>
        <v>5.2999999999999999E-2</v>
      </c>
      <c r="BA200" s="37">
        <f t="shared" si="31"/>
        <v>7.0000000000000001E-3</v>
      </c>
      <c r="BB200" s="37">
        <f>AB200*$BB$4*炼钢参数表!$X$5/1000</f>
        <v>0</v>
      </c>
      <c r="BC200" s="37">
        <f>AC200*$BC$4*炼钢参数表!$X$5/1000</f>
        <v>0</v>
      </c>
      <c r="BD200" s="37">
        <f>AD200*$BD$4*炼钢参数表!$X$5/1000</f>
        <v>4.0486974010383297E-3</v>
      </c>
      <c r="BE200" s="37">
        <f>AE200*$BE$4*炼钢参数表!$X$5/1000</f>
        <v>0</v>
      </c>
      <c r="BF200" s="37">
        <f>AL200*$BF$4*炼钢参数表!$X$5/1000</f>
        <v>0</v>
      </c>
      <c r="BG200" s="37">
        <f>AM200*$BG$4*炼钢参数表!$X$5/1000</f>
        <v>0</v>
      </c>
      <c r="BH200" s="37">
        <f t="shared" si="32"/>
        <v>4.0486974010383297E-3</v>
      </c>
      <c r="BI200" s="37">
        <f t="shared" si="33"/>
        <v>5.7048697401038302E-2</v>
      </c>
      <c r="BJ200" s="37">
        <f t="shared" si="34"/>
        <v>-2.95130259896167E-3</v>
      </c>
      <c r="BK200" s="54"/>
      <c r="BL200" s="7"/>
    </row>
    <row r="201" spans="1:64" s="18" customFormat="1" x14ac:dyDescent="0.3">
      <c r="A201" s="21">
        <v>195</v>
      </c>
      <c r="B201" s="4" t="s">
        <v>345</v>
      </c>
      <c r="C201" s="4" t="s">
        <v>23</v>
      </c>
      <c r="D201" s="4">
        <v>2</v>
      </c>
      <c r="E201" s="4">
        <v>4.99</v>
      </c>
      <c r="F201" s="4" t="s">
        <v>346</v>
      </c>
      <c r="G201" s="50" t="s">
        <v>347</v>
      </c>
      <c r="H201" s="4">
        <v>1525</v>
      </c>
      <c r="I201" s="51">
        <v>7.0000000000000007E-2</v>
      </c>
      <c r="J201" s="52">
        <v>0.03</v>
      </c>
      <c r="K201" s="52">
        <v>0.95</v>
      </c>
      <c r="L201" s="51">
        <v>1.4999999999999999E-2</v>
      </c>
      <c r="M201" s="51">
        <v>5.0000000000000001E-3</v>
      </c>
      <c r="N201" s="51" t="s">
        <v>631</v>
      </c>
      <c r="O201" s="51" t="s">
        <v>631</v>
      </c>
      <c r="P201" s="51" t="s">
        <v>631</v>
      </c>
      <c r="Q201" s="51">
        <v>2.5000000000000001E-2</v>
      </c>
      <c r="R201" s="51" t="s">
        <v>631</v>
      </c>
      <c r="S201" s="32" t="s">
        <v>631</v>
      </c>
      <c r="T201" s="52"/>
      <c r="U201" s="52"/>
      <c r="V201" s="52"/>
      <c r="W201" s="52"/>
      <c r="X201" s="32" t="s">
        <v>631</v>
      </c>
      <c r="Y201" s="53" t="s">
        <v>631</v>
      </c>
      <c r="Z201" s="4">
        <v>40</v>
      </c>
      <c r="AA201" s="53" t="s">
        <v>631</v>
      </c>
      <c r="AB201" s="42">
        <f>IF(J201&lt;=0.04,0,IF((BA201-AL201*BF$4*炼钢参数表!$X$5/1000-AM201*BG$4*炼钢参数表!$X$5/1000)&lt;=0.03,0,IF((J201/100/0.1769/炼钢参数表!K201*1000)&gt;(K201-炼钢参数表!J201)/100/0.6566/炼钢参数表!L201*1000,IF(K201&lt;1.6,(K201-炼钢参数表!J201)/100/0.6566/炼钢参数表!L201*1000,(K201-0.08-炼钢参数表!J201)/100/0.6566/炼钢参数表!L201*1000),IF(K201&lt;1.6,J201/100/0.1769/炼钢参数表!K201*1000,(J201-0.08)/100/0.1769/炼钢参数表!K201*1000))))</f>
        <v>0</v>
      </c>
      <c r="AC201" s="8">
        <f>IF((BA201-AB201*$BB$4*0.9/1000-AL201*BF$4*炼钢参数表!$X$5/1000-AM201*BG$4*炼钢参数表!$X$5/1000)&lt;(K201-炼钢参数表!J201-AB201*0.6566*炼钢参数表!L201/10)*0.082,0,(K201-炼钢参数表!J201-AB201*0.6566*炼钢参数表!L201/10)/100/($AC$3/100)/炼钢参数表!L201*1000)</f>
        <v>0</v>
      </c>
      <c r="AD201" s="8">
        <f>IF((BA201-AB201*$BB$4*0.9/1000-AC201*$BC$4*0.9/1000-AL201*BF$4*炼钢参数表!$X$5/1000-AM201*BG$4*炼钢参数表!$X$5/1000)&lt;=(K201-炼钢参数表!J201-AB201*0.6566*炼钢参数表!L201/10-AC201*($AC$3/100)*炼钢参数表!L201/10)*0.02,0,((K201-炼钢参数表!J201-AB201*0.6566*炼钢参数表!L201/10-AC201*($AC$3/100)*炼钢参数表!L201/10)/100/($AD$3/100)/炼钢参数表!L201*1000))</f>
        <v>10.968023573065601</v>
      </c>
      <c r="AE201" s="8">
        <f>(K201-炼钢参数表!J201-AB201*0.6566*炼钢参数表!L201/10-AC201*($AC$3/100)*炼钢参数表!L201/10-AD201*($AD$3/100)*炼钢参数表!L201/10)/100/($AE$3/100)/炼钢参数表!L201*1000</f>
        <v>0</v>
      </c>
      <c r="AF201" s="8">
        <v>0</v>
      </c>
      <c r="AG201" s="8">
        <f>IF(J201&lt;=0.04,0,((J201-(AB201*0.1769*炼钢参数表!K201/1000*100))/100/炼钢参数表!K201/($AG$3/100)*1000))</f>
        <v>0</v>
      </c>
      <c r="AH201" s="8">
        <v>2.5</v>
      </c>
      <c r="AI201" s="8">
        <f>IF(N201="",0,IF(N201&lt;=0.002,0,((N201)/100)/($AI$3/100)/炼钢参数表!M201*1000))</f>
        <v>0</v>
      </c>
      <c r="AJ201" s="8">
        <f>IF(O201="",0,IF(O201&lt;=0.002,0,((O201)/100)/($AJ$3/100)/炼钢参数表!N201*1000))</f>
        <v>0</v>
      </c>
      <c r="AK201" s="8">
        <f>IF(P201="",0,IF(P201&lt;=0.002,0,((P201+0.005)/100)/($AK$3/100)/炼钢参数表!O201*1000))</f>
        <v>0</v>
      </c>
      <c r="AL201" s="8">
        <f>IF((BA201-J201*0.00003-K201*0.00024)&lt;=0.05,0,IF(T201="",0,IF(T201&lt;=0.03,0,IF(((BA201-J201*0.00003-K201*0.00024)-0.05)/0.18/100/($AL$3/100)/炼钢参数表!P201*1000&lt;=T201/100/($AL$3/100)/炼钢参数表!P201*1000,((BA201-J201*0.00003-K201*0.00024)-0.05)/0.18/100/($AL$3/100)/炼钢参数表!P201*1000,T201/100/($AL$3/100)/炼钢参数表!P201*1000))))</f>
        <v>0</v>
      </c>
      <c r="AM201" s="8">
        <f>IF(T201="",0,IF(T201&lt;=0.03,0,((T201-AL201*($AL$3/100)*炼钢参数表!P201/10)/100/($AM$3/100)/炼钢参数表!P201*1000)))</f>
        <v>0</v>
      </c>
      <c r="AN201" s="8">
        <f>IF(U201="",0,IF(U201&lt;=0.02,0,(U201/100)/($AN$3/100)/炼钢参数表!Q201*1000))</f>
        <v>0</v>
      </c>
      <c r="AO201" s="8">
        <f>IF(V201="",0,IF(V201&lt;=0.02,0,(V201/100)/($AO$3/100)/炼钢参数表!R201*1000))</f>
        <v>0</v>
      </c>
      <c r="AP201" s="8">
        <f>IF(W201="",0,IF(W201&lt;=0.02,0,(W201/100)/($AP$3/100)/炼钢参数表!S201*1000))</f>
        <v>0</v>
      </c>
      <c r="AQ201" s="8">
        <f>IF(X201="",0,IF(X201&lt;=0.0002,0,(X201/100)/($AQ$3/100)/炼钢参数表!T201*1000))</f>
        <v>0</v>
      </c>
      <c r="AR201" s="8">
        <f>IF(Y201="",0,IF(Y201&lt;=0.02,0,(Y201/100)/($AR$3/100)/炼钢参数表!U201*1000))</f>
        <v>0</v>
      </c>
      <c r="AS201" s="8">
        <f>IF(L201&lt;=0.04,0,((L201-0.04)/100)/($AS$3/100)/炼钢参数表!V201*1000)</f>
        <v>0</v>
      </c>
      <c r="AT201" s="8">
        <f>IF(M201&lt;=0.03,0,((M201-0.03)/100)/($AT$3/100)/炼钢参数表!W201*1000)</f>
        <v>0</v>
      </c>
      <c r="AU201" s="6"/>
      <c r="AV201" s="8">
        <f>SUM(AB201:AU201)</f>
        <v>13.468023573065601</v>
      </c>
      <c r="AW201" s="8" cm="1">
        <f t="array" ref="AW201">SUMPRODUCT($AB$4:$AU$4,AB201:AU201)/1000</f>
        <v>140.62671319533399</v>
      </c>
      <c r="AY201" s="2" t="str">
        <f t="shared" si="30"/>
        <v>380CL-1</v>
      </c>
      <c r="AZ201" s="37">
        <f>VLOOKUP(AY201,炼钢参数表!$F$5:$J$1027,4,0)</f>
        <v>4.48E-2</v>
      </c>
      <c r="BA201" s="37">
        <f t="shared" si="31"/>
        <v>2.52E-2</v>
      </c>
      <c r="BB201" s="37">
        <f>AB201*$BB$4*炼钢参数表!$X$5/1000</f>
        <v>0</v>
      </c>
      <c r="BC201" s="37">
        <f>AC201*$BC$4*炼钢参数表!$X$5/1000</f>
        <v>0</v>
      </c>
      <c r="BD201" s="37">
        <f>AD201*$BD$4*炼钢参数表!$X$5/1000</f>
        <v>1.4806831823638501E-2</v>
      </c>
      <c r="BE201" s="37">
        <f>AE201*$BE$4*炼钢参数表!$X$5/1000</f>
        <v>0</v>
      </c>
      <c r="BF201" s="37">
        <f>AL201*$BF$4*炼钢参数表!$X$5/1000</f>
        <v>0</v>
      </c>
      <c r="BG201" s="37">
        <f>AM201*$BG$4*炼钢参数表!$X$5/1000</f>
        <v>0</v>
      </c>
      <c r="BH201" s="37">
        <f t="shared" si="32"/>
        <v>1.4806831823638501E-2</v>
      </c>
      <c r="BI201" s="37">
        <f t="shared" si="33"/>
        <v>5.9606831823638497E-2</v>
      </c>
      <c r="BJ201" s="37">
        <f t="shared" si="34"/>
        <v>-1.03931681763615E-2</v>
      </c>
      <c r="BK201" s="54"/>
      <c r="BL201" s="7"/>
    </row>
    <row r="202" spans="1:64" s="18" customFormat="1" x14ac:dyDescent="0.3">
      <c r="A202" s="21">
        <v>196</v>
      </c>
      <c r="B202" s="4" t="s">
        <v>345</v>
      </c>
      <c r="C202" s="4" t="s">
        <v>26</v>
      </c>
      <c r="D202" s="4">
        <v>5</v>
      </c>
      <c r="E202" s="4">
        <v>18</v>
      </c>
      <c r="F202" s="4" t="s">
        <v>348</v>
      </c>
      <c r="G202" s="50" t="s">
        <v>347</v>
      </c>
      <c r="H202" s="4">
        <v>1524</v>
      </c>
      <c r="I202" s="51">
        <v>7.0000000000000007E-2</v>
      </c>
      <c r="J202" s="52">
        <v>0.1</v>
      </c>
      <c r="K202" s="52">
        <v>1</v>
      </c>
      <c r="L202" s="51">
        <v>1.4999999999999999E-2</v>
      </c>
      <c r="M202" s="51">
        <v>5.0000000000000001E-3</v>
      </c>
      <c r="N202" s="51" t="s">
        <v>631</v>
      </c>
      <c r="O202" s="51" t="s">
        <v>631</v>
      </c>
      <c r="P202" s="51" t="s">
        <v>631</v>
      </c>
      <c r="Q202" s="51">
        <v>2.5000000000000001E-2</v>
      </c>
      <c r="R202" s="51" t="s">
        <v>631</v>
      </c>
      <c r="S202" s="32" t="s">
        <v>631</v>
      </c>
      <c r="T202" s="52"/>
      <c r="U202" s="52"/>
      <c r="V202" s="52"/>
      <c r="W202" s="52"/>
      <c r="X202" s="32" t="s">
        <v>631</v>
      </c>
      <c r="Y202" s="53" t="s">
        <v>631</v>
      </c>
      <c r="Z202" s="4">
        <v>40</v>
      </c>
      <c r="AA202" s="53" t="s">
        <v>631</v>
      </c>
      <c r="AB202" s="42">
        <f>IF(J202&lt;=0.04,0,IF((BA202-AL202*BF$4*炼钢参数表!$X$5/1000-AM202*BG$4*炼钢参数表!$X$5/1000)&lt;=0.03,0,IF((J202/100/0.1769/炼钢参数表!K202*1000)&gt;(K202-炼钢参数表!J202)/100/0.6566/炼钢参数表!L202*1000,IF(K202&lt;1.6,(K202-炼钢参数表!J202)/100/0.6566/炼钢参数表!L202*1000,(K202-0.08-炼钢参数表!J202)/100/0.6566/炼钢参数表!L202*1000),IF(K202&lt;1.6,J202/100/0.1769/炼钢参数表!K202*1000,(J202-0.08)/100/0.1769/炼钢参数表!K202*1000))))</f>
        <v>0</v>
      </c>
      <c r="AC202" s="8">
        <f>IF((BA202-AB202*$BB$4*0.9/1000-AL202*BF$4*炼钢参数表!$X$5/1000-AM202*BG$4*炼钢参数表!$X$5/1000)&lt;(K202-炼钢参数表!J202-AB202*0.6566*炼钢参数表!L202/10)*0.082,0,(K202-炼钢参数表!J202-AB202*0.6566*炼钢参数表!L202/10)/100/($AC$3/100)/炼钢参数表!L202*1000)</f>
        <v>0</v>
      </c>
      <c r="AD202" s="8">
        <f>IF((BA202-AB202*$BB$4*0.9/1000-AC202*$BC$4*0.9/1000-AL202*BF$4*炼钢参数表!$X$5/1000-AM202*BG$4*炼钢参数表!$X$5/1000)&lt;=(K202-炼钢参数表!J202-AB202*0.6566*炼钢参数表!L202/10-AC202*($AC$3/100)*炼钢参数表!L202/10)*0.02,0,((K202-炼钢参数表!J202-AB202*0.6566*炼钢参数表!L202/10-AC202*($AC$3/100)*炼钢参数表!L202/10)/100/($AD$3/100)/炼钢参数表!L202*1000))</f>
        <v>11.6176340666137</v>
      </c>
      <c r="AE202" s="8">
        <f>(K202-炼钢参数表!J202-AB202*0.6566*炼钢参数表!L202/10-AC202*($AC$3/100)*炼钢参数表!L202/10-AD202*($AD$3/100)*炼钢参数表!L202/10)/100/($AE$3/100)/炼钢参数表!L202*1000</f>
        <v>0</v>
      </c>
      <c r="AF202" s="8">
        <v>0</v>
      </c>
      <c r="AG202" s="8">
        <f>IF(J202&lt;=0.04,0,((J202-(AB202*0.1769*炼钢参数表!K202/1000*100))/100/炼钢参数表!K202/($AG$3/100)*1000))</f>
        <v>1.7305828603073501</v>
      </c>
      <c r="AH202" s="8">
        <v>1.8379556394041401</v>
      </c>
      <c r="AI202" s="8">
        <f>IF(N202="",0,IF(N202&lt;=0.002,0,((N202)/100)/($AI$3/100)/炼钢参数表!M202*1000))</f>
        <v>0</v>
      </c>
      <c r="AJ202" s="8">
        <f>IF(O202="",0,IF(O202&lt;=0.002,0,((O202)/100)/($AJ$3/100)/炼钢参数表!N202*1000))</f>
        <v>0</v>
      </c>
      <c r="AK202" s="8">
        <f>IF(P202="",0,IF(P202&lt;=0.002,0,((P202+0.005)/100)/($AK$3/100)/炼钢参数表!O202*1000))</f>
        <v>0</v>
      </c>
      <c r="AL202" s="8">
        <f>IF((BA202-J202*0.00003-K202*0.00024)&lt;=0.05,0,IF(T202="",0,IF(T202&lt;=0.03,0,IF(((BA202-J202*0.00003-K202*0.00024)-0.05)/0.18/100/($AL$3/100)/炼钢参数表!P202*1000&lt;=T202/100/($AL$3/100)/炼钢参数表!P202*1000,((BA202-J202*0.00003-K202*0.00024)-0.05)/0.18/100/($AL$3/100)/炼钢参数表!P202*1000,T202/100/($AL$3/100)/炼钢参数表!P202*1000))))</f>
        <v>0</v>
      </c>
      <c r="AM202" s="8">
        <f>IF(T202="",0,IF(T202&lt;=0.03,0,((T202-AL202*($AL$3/100)*炼钢参数表!P202/10)/100/($AM$3/100)/炼钢参数表!P202*1000)))</f>
        <v>0</v>
      </c>
      <c r="AN202" s="8">
        <f>IF(U202="",0,IF(U202&lt;=0.02,0,(U202/100)/($AN$3/100)/炼钢参数表!Q202*1000))</f>
        <v>0</v>
      </c>
      <c r="AO202" s="8">
        <f>IF(V202="",0,IF(V202&lt;=0.02,0,(V202/100)/($AO$3/100)/炼钢参数表!R202*1000))</f>
        <v>0</v>
      </c>
      <c r="AP202" s="8">
        <f>IF(W202="",0,IF(W202&lt;=0.02,0,(W202/100)/($AP$3/100)/炼钢参数表!S202*1000))</f>
        <v>0</v>
      </c>
      <c r="AQ202" s="8">
        <f>IF(X202="",0,IF(X202&lt;=0.0002,0,(X202/100)/($AQ$3/100)/炼钢参数表!T202*1000))</f>
        <v>0</v>
      </c>
      <c r="AR202" s="8">
        <f>IF(Y202="",0,IF(Y202&lt;=0.02,0,(Y202/100)/($AR$3/100)/炼钢参数表!U202*1000))</f>
        <v>0</v>
      </c>
      <c r="AS202" s="8">
        <f>IF(L202&lt;=0.04,0,((L202-0.04)/100)/($AS$3/100)/炼钢参数表!V202*1000)</f>
        <v>0</v>
      </c>
      <c r="AT202" s="8">
        <f>IF(M202&lt;=0.03,0,((M202-0.03)/100)/($AT$3/100)/炼钢参数表!W202*1000)</f>
        <v>0</v>
      </c>
      <c r="AU202" s="6"/>
      <c r="AV202" s="8">
        <f>SUM(AB202:AU202)</f>
        <v>15.1861725663251</v>
      </c>
      <c r="AW202" s="8" cm="1">
        <f t="array" ref="AW202">SUMPRODUCT($AB$4:$AU$4,AB202:AU202)/1000</f>
        <v>139.83459064377999</v>
      </c>
      <c r="AY202" s="2" t="str">
        <f t="shared" si="30"/>
        <v>380CL-2</v>
      </c>
      <c r="AZ202" s="37">
        <f>VLOOKUP(AY202,炼钢参数表!$F$5:$J$1027,4,0)</f>
        <v>4.48E-2</v>
      </c>
      <c r="BA202" s="37">
        <f t="shared" si="31"/>
        <v>2.52E-2</v>
      </c>
      <c r="BB202" s="37">
        <f>AB202*$BB$4*炼钢参数表!$X$5/1000</f>
        <v>0</v>
      </c>
      <c r="BC202" s="37">
        <f>AC202*$BC$4*炼钢参数表!$X$5/1000</f>
        <v>0</v>
      </c>
      <c r="BD202" s="37">
        <f>AD202*$BD$4*炼钢参数表!$X$5/1000</f>
        <v>1.5683805989928402E-2</v>
      </c>
      <c r="BE202" s="37">
        <f>AE202*$BE$4*炼钢参数表!$X$5/1000</f>
        <v>0</v>
      </c>
      <c r="BF202" s="37">
        <f>AL202*$BF$4*炼钢参数表!$X$5/1000</f>
        <v>0</v>
      </c>
      <c r="BG202" s="37">
        <f>AM202*$BG$4*炼钢参数表!$X$5/1000</f>
        <v>0</v>
      </c>
      <c r="BH202" s="37">
        <f t="shared" si="32"/>
        <v>1.5683805989928402E-2</v>
      </c>
      <c r="BI202" s="37">
        <f t="shared" si="33"/>
        <v>6.0483805989928398E-2</v>
      </c>
      <c r="BJ202" s="37">
        <f t="shared" si="34"/>
        <v>-9.5161940100715707E-3</v>
      </c>
      <c r="BK202" s="54"/>
      <c r="BL202" s="7"/>
    </row>
    <row r="203" spans="1:64" s="18" customFormat="1" x14ac:dyDescent="0.3">
      <c r="A203" s="21">
        <v>197</v>
      </c>
      <c r="B203" s="4" t="s">
        <v>349</v>
      </c>
      <c r="C203" s="4" t="s">
        <v>23</v>
      </c>
      <c r="D203" s="4">
        <v>2</v>
      </c>
      <c r="E203" s="4">
        <v>4.99</v>
      </c>
      <c r="F203" s="4" t="s">
        <v>350</v>
      </c>
      <c r="G203" s="50" t="s">
        <v>351</v>
      </c>
      <c r="H203" s="4">
        <v>1525</v>
      </c>
      <c r="I203" s="51">
        <v>7.0000000000000007E-2</v>
      </c>
      <c r="J203" s="52">
        <v>0.03</v>
      </c>
      <c r="K203" s="52">
        <v>0.95</v>
      </c>
      <c r="L203" s="51">
        <v>1.4999999999999999E-2</v>
      </c>
      <c r="M203" s="51">
        <v>5.0000000000000001E-3</v>
      </c>
      <c r="N203" s="51" t="s">
        <v>631</v>
      </c>
      <c r="O203" s="51" t="s">
        <v>631</v>
      </c>
      <c r="P203" s="51" t="s">
        <v>631</v>
      </c>
      <c r="Q203" s="51" t="s">
        <v>631</v>
      </c>
      <c r="R203" s="51">
        <v>0.03</v>
      </c>
      <c r="S203" s="32" t="s">
        <v>631</v>
      </c>
      <c r="T203" s="52"/>
      <c r="U203" s="52"/>
      <c r="V203" s="52"/>
      <c r="W203" s="52"/>
      <c r="X203" s="32" t="s">
        <v>631</v>
      </c>
      <c r="Y203" s="53" t="s">
        <v>631</v>
      </c>
      <c r="Z203" s="4">
        <v>40</v>
      </c>
      <c r="AA203" s="53" t="s">
        <v>640</v>
      </c>
      <c r="AB203" s="42">
        <f>IF(J203&lt;=0.04,0,IF((BA203-AL203*BF$4*炼钢参数表!$X$5/1000-AM203*BG$4*炼钢参数表!$X$5/1000)&lt;=0.03,0,IF((J203/100/0.1769/炼钢参数表!K203*1000)&gt;(K203-炼钢参数表!J203)/100/0.6566/炼钢参数表!L203*1000,IF(K203&lt;1.6,(K203-炼钢参数表!J203)/100/0.6566/炼钢参数表!L203*1000,(K203-0.08-炼钢参数表!J203)/100/0.6566/炼钢参数表!L203*1000),IF(K203&lt;1.6,J203/100/0.1769/炼钢参数表!K203*1000,(J203-0.08)/100/0.1769/炼钢参数表!K203*1000))))</f>
        <v>0</v>
      </c>
      <c r="AC203" s="8">
        <f>IF((BA203-AB203*$BB$4*0.9/1000-AL203*BF$4*炼钢参数表!$X$5/1000-AM203*BG$4*炼钢参数表!$X$5/1000)&lt;(K203-炼钢参数表!J203-AB203*0.6566*炼钢参数表!L203/10)*0.082,0,(K203-炼钢参数表!J203-AB203*0.6566*炼钢参数表!L203/10)/100/($AC$3/100)/炼钢参数表!L203*1000)</f>
        <v>0</v>
      </c>
      <c r="AD203" s="8">
        <f>IF((BA203-AB203*$BB$4*0.9/1000-AC203*$BC$4*0.9/1000-AL203*BF$4*炼钢参数表!$X$5/1000-AM203*BG$4*炼钢参数表!$X$5/1000)&lt;=(K203-炼钢参数表!J203-AB203*0.6566*炼钢参数表!L203/10-AC203*($AC$3/100)*炼钢参数表!L203/10)*0.02,0,((K203-炼钢参数表!J203-AB203*0.6566*炼钢参数表!L203/10-AC203*($AC$3/100)*炼钢参数表!L203/10)/100/($AD$3/100)/炼钢参数表!L203*1000))</f>
        <v>11.1440680168171</v>
      </c>
      <c r="AE203" s="8">
        <f>(K203-炼钢参数表!J203-AB203*0.6566*炼钢参数表!L203/10-AC203*($AC$3/100)*炼钢参数表!L203/10-AD203*($AD$3/100)*炼钢参数表!L203/10)/100/($AE$3/100)/炼钢参数表!L203*1000</f>
        <v>0</v>
      </c>
      <c r="AF203" s="8">
        <v>0</v>
      </c>
      <c r="AG203" s="8">
        <f>IF(J203&lt;=0.04,0,((J203-(AB203*0.1769*炼钢参数表!K203/1000*100))/100/炼钢参数表!K203/($AG$3/100)*1000))</f>
        <v>0</v>
      </c>
      <c r="AH203" s="8">
        <v>2.2000000000000002</v>
      </c>
      <c r="AI203" s="8">
        <f>IF(N203="",0,IF(N203&lt;=0.002,0,((N203)/100)/($AI$3/100)/炼钢参数表!M203*1000))</f>
        <v>0</v>
      </c>
      <c r="AJ203" s="8">
        <f>IF(O203="",0,IF(O203&lt;=0.002,0,((O203)/100)/($AJ$3/100)/炼钢参数表!N203*1000))</f>
        <v>0</v>
      </c>
      <c r="AK203" s="8">
        <f>IF(P203="",0,IF(P203&lt;=0.002,0,((P203+0.005)/100)/($AK$3/100)/炼钢参数表!O203*1000))</f>
        <v>0</v>
      </c>
      <c r="AL203" s="8">
        <f>IF((BA203-J203*0.00003-K203*0.00024)&lt;=0.05,0,IF(T203="",0,IF(T203&lt;=0.03,0,IF(((BA203-J203*0.00003-K203*0.00024)-0.05)/0.18/100/($AL$3/100)/炼钢参数表!P203*1000&lt;=T203/100/($AL$3/100)/炼钢参数表!P203*1000,((BA203-J203*0.00003-K203*0.00024)-0.05)/0.18/100/($AL$3/100)/炼钢参数表!P203*1000,T203/100/($AL$3/100)/炼钢参数表!P203*1000))))</f>
        <v>0</v>
      </c>
      <c r="AM203" s="8">
        <f>IF(T203="",0,IF(T203&lt;=0.03,0,((T203-AL203*($AL$3/100)*炼钢参数表!P203/10)/100/($AM$3/100)/炼钢参数表!P203*1000)))</f>
        <v>0</v>
      </c>
      <c r="AN203" s="8">
        <f>IF(U203="",0,IF(U203&lt;=0.02,0,(U203/100)/($AN$3/100)/炼钢参数表!Q203*1000))</f>
        <v>0</v>
      </c>
      <c r="AO203" s="8">
        <f>IF(V203="",0,IF(V203&lt;=0.02,0,(V203/100)/($AO$3/100)/炼钢参数表!R203*1000))</f>
        <v>0</v>
      </c>
      <c r="AP203" s="8">
        <f>IF(W203="",0,IF(W203&lt;=0.02,0,(W203/100)/($AP$3/100)/炼钢参数表!S203*1000))</f>
        <v>0</v>
      </c>
      <c r="AQ203" s="8">
        <f>IF(X203="",0,IF(X203&lt;=0.0002,0,(X203/100)/($AQ$3/100)/炼钢参数表!T203*1000))</f>
        <v>0</v>
      </c>
      <c r="AR203" s="8">
        <f>IF(Y203="",0,IF(Y203&lt;=0.02,0,(Y203/100)/($AR$3/100)/炼钢参数表!U203*1000))</f>
        <v>0</v>
      </c>
      <c r="AS203" s="8">
        <f>IF(L203&lt;=0.04,0,((L203-0.04)/100)/($AS$3/100)/炼钢参数表!V203*1000)</f>
        <v>0</v>
      </c>
      <c r="AT203" s="8">
        <f>IF(M203&lt;=0.03,0,((M203-0.03)/100)/($AT$3/100)/炼钢参数表!W203*1000)</f>
        <v>0</v>
      </c>
      <c r="AU203" s="6"/>
      <c r="AV203" s="8">
        <f>SUM(AB203:AU203)</f>
        <v>13.344068016817101</v>
      </c>
      <c r="AW203" s="8" cm="1">
        <f t="array" ref="AW203">SUMPRODUCT($AB$4:$AU$4,AB203:AU203)/1000</f>
        <v>135.28640188220999</v>
      </c>
      <c r="AY203" s="2" t="str">
        <f t="shared" si="30"/>
        <v>380CL-QL1</v>
      </c>
      <c r="AZ203" s="37">
        <f>VLOOKUP(AY203,炼钢参数表!$F$5:$J$1027,4,0)</f>
        <v>4.1125000000000002E-2</v>
      </c>
      <c r="BA203" s="37">
        <f t="shared" si="31"/>
        <v>2.8875000000000001E-2</v>
      </c>
      <c r="BB203" s="37">
        <f>AB203*$BB$4*炼钢参数表!$X$5/1000</f>
        <v>0</v>
      </c>
      <c r="BC203" s="37">
        <f>AC203*$BC$4*炼钢参数表!$X$5/1000</f>
        <v>0</v>
      </c>
      <c r="BD203" s="37">
        <f>AD203*$BD$4*炼钢参数表!$X$5/1000</f>
        <v>1.50444918227031E-2</v>
      </c>
      <c r="BE203" s="37">
        <f>AE203*$BE$4*炼钢参数表!$X$5/1000</f>
        <v>0</v>
      </c>
      <c r="BF203" s="37">
        <f>AL203*$BF$4*炼钢参数表!$X$5/1000</f>
        <v>0</v>
      </c>
      <c r="BG203" s="37">
        <f>AM203*$BG$4*炼钢参数表!$X$5/1000</f>
        <v>0</v>
      </c>
      <c r="BH203" s="37">
        <f t="shared" si="32"/>
        <v>1.50444918227031E-2</v>
      </c>
      <c r="BI203" s="37">
        <f t="shared" si="33"/>
        <v>5.6169491822703102E-2</v>
      </c>
      <c r="BJ203" s="37">
        <f t="shared" si="34"/>
        <v>-1.3830508177296899E-2</v>
      </c>
      <c r="BK203" s="54"/>
      <c r="BL203" s="7"/>
    </row>
    <row r="204" spans="1:64" s="18" customFormat="1" x14ac:dyDescent="0.3">
      <c r="A204" s="21">
        <v>198</v>
      </c>
      <c r="B204" s="4" t="s">
        <v>349</v>
      </c>
      <c r="C204" s="4" t="s">
        <v>26</v>
      </c>
      <c r="D204" s="4">
        <v>5</v>
      </c>
      <c r="E204" s="4">
        <v>18</v>
      </c>
      <c r="F204" s="4" t="s">
        <v>352</v>
      </c>
      <c r="G204" s="50" t="s">
        <v>351</v>
      </c>
      <c r="H204" s="4">
        <v>1524</v>
      </c>
      <c r="I204" s="51">
        <v>7.0000000000000007E-2</v>
      </c>
      <c r="J204" s="52">
        <v>0.1</v>
      </c>
      <c r="K204" s="52">
        <v>1.05</v>
      </c>
      <c r="L204" s="51">
        <v>1.4999999999999999E-2</v>
      </c>
      <c r="M204" s="51">
        <v>5.0000000000000001E-3</v>
      </c>
      <c r="N204" s="51" t="s">
        <v>631</v>
      </c>
      <c r="O204" s="51" t="s">
        <v>631</v>
      </c>
      <c r="P204" s="51" t="s">
        <v>631</v>
      </c>
      <c r="Q204" s="51" t="s">
        <v>631</v>
      </c>
      <c r="R204" s="51">
        <v>0.03</v>
      </c>
      <c r="S204" s="32" t="s">
        <v>631</v>
      </c>
      <c r="T204" s="52"/>
      <c r="U204" s="52"/>
      <c r="V204" s="52"/>
      <c r="W204" s="52"/>
      <c r="X204" s="32" t="s">
        <v>631</v>
      </c>
      <c r="Y204" s="53" t="s">
        <v>631</v>
      </c>
      <c r="Z204" s="4">
        <v>40</v>
      </c>
      <c r="AA204" s="53" t="s">
        <v>640</v>
      </c>
      <c r="AB204" s="42">
        <f>IF(J204&lt;=0.04,0,IF((BA204-AL204*BF$4*炼钢参数表!$X$5/1000-AM204*BG$4*炼钢参数表!$X$5/1000)&lt;=0.03,0,IF((J204/100/0.1769/炼钢参数表!K204*1000)&gt;(K204-炼钢参数表!J204)/100/0.6566/炼钢参数表!L204*1000,IF(K204&lt;1.6,(K204-炼钢参数表!J204)/100/0.6566/炼钢参数表!L204*1000,(K204-0.08-炼钢参数表!J204)/100/0.6566/炼钢参数表!L204*1000),IF(K204&lt;1.6,J204/100/0.1769/炼钢参数表!K204*1000,(J204-0.08)/100/0.1769/炼钢参数表!K204*1000))))</f>
        <v>0</v>
      </c>
      <c r="AC204" s="8">
        <f>IF((BA204-AB204*$BB$4*0.9/1000-AL204*BF$4*炼钢参数表!$X$5/1000-AM204*BG$4*炼钢参数表!$X$5/1000)&lt;(K204-炼钢参数表!J204-AB204*0.6566*炼钢参数表!L204/10)*0.082,0,(K204-炼钢参数表!J204-AB204*0.6566*炼钢参数表!L204/10)/100/($AC$3/100)/炼钢参数表!L204*1000)</f>
        <v>0</v>
      </c>
      <c r="AD204" s="8">
        <f>IF((BA204-AB204*$BB$4*0.9/1000-AC204*$BC$4*0.9/1000-AL204*BF$4*炼钢参数表!$X$5/1000-AM204*BG$4*炼钢参数表!$X$5/1000)&lt;=(K204-炼钢参数表!J204-AB204*0.6566*炼钢参数表!L204/10-AC204*($AC$3/100)*炼钢参数表!L204/10)*0.02,0,((K204-炼钢参数表!J204-AB204*0.6566*炼钢参数表!L204/10-AC204*($AC$3/100)*炼钢参数表!L204/10)/100/($AD$3/100)/炼钢参数表!L204*1000))</f>
        <v>12.4432890039133</v>
      </c>
      <c r="AE204" s="8">
        <f>(K204-炼钢参数表!J204-AB204*0.6566*炼钢参数表!L204/10-AC204*($AC$3/100)*炼钢参数表!L204/10-AD204*($AD$3/100)*炼钢参数表!L204/10)/100/($AE$3/100)/炼钢参数表!L204*1000</f>
        <v>0</v>
      </c>
      <c r="AF204" s="8">
        <v>0</v>
      </c>
      <c r="AG204" s="8">
        <f>IF(J204&lt;=0.04,0,((J204-(AB204*0.1769*炼钢参数表!K204/1000*100))/100/炼钢参数表!K204/($AG$3/100)*1000))</f>
        <v>1.7305828603073501</v>
      </c>
      <c r="AH204" s="8">
        <v>2.2000000000000002</v>
      </c>
      <c r="AI204" s="8">
        <f>IF(N204="",0,IF(N204&lt;=0.002,0,((N204)/100)/($AI$3/100)/炼钢参数表!M204*1000))</f>
        <v>0</v>
      </c>
      <c r="AJ204" s="8">
        <f>IF(O204="",0,IF(O204&lt;=0.002,0,((O204)/100)/($AJ$3/100)/炼钢参数表!N204*1000))</f>
        <v>0</v>
      </c>
      <c r="AK204" s="8">
        <f>IF(P204="",0,IF(P204&lt;=0.002,0,((P204+0.005)/100)/($AK$3/100)/炼钢参数表!O204*1000))</f>
        <v>0</v>
      </c>
      <c r="AL204" s="8">
        <f>IF((BA204-J204*0.00003-K204*0.00024)&lt;=0.05,0,IF(T204="",0,IF(T204&lt;=0.03,0,IF(((BA204-J204*0.00003-K204*0.00024)-0.05)/0.18/100/($AL$3/100)/炼钢参数表!P204*1000&lt;=T204/100/($AL$3/100)/炼钢参数表!P204*1000,((BA204-J204*0.00003-K204*0.00024)-0.05)/0.18/100/($AL$3/100)/炼钢参数表!P204*1000,T204/100/($AL$3/100)/炼钢参数表!P204*1000))))</f>
        <v>0</v>
      </c>
      <c r="AM204" s="8">
        <f>IF(T204="",0,IF(T204&lt;=0.03,0,((T204-AL204*($AL$3/100)*炼钢参数表!P204/10)/100/($AM$3/100)/炼钢参数表!P204*1000)))</f>
        <v>0</v>
      </c>
      <c r="AN204" s="8">
        <f>IF(U204="",0,IF(U204&lt;=0.02,0,(U204/100)/($AN$3/100)/炼钢参数表!Q204*1000))</f>
        <v>0</v>
      </c>
      <c r="AO204" s="8">
        <f>IF(V204="",0,IF(V204&lt;=0.02,0,(V204/100)/($AO$3/100)/炼钢参数表!R204*1000))</f>
        <v>0</v>
      </c>
      <c r="AP204" s="8">
        <f>IF(W204="",0,IF(W204&lt;=0.02,0,(W204/100)/($AP$3/100)/炼钢参数表!S204*1000))</f>
        <v>0</v>
      </c>
      <c r="AQ204" s="8">
        <f>IF(X204="",0,IF(X204&lt;=0.0002,0,(X204/100)/($AQ$3/100)/炼钢参数表!T204*1000))</f>
        <v>0</v>
      </c>
      <c r="AR204" s="8">
        <f>IF(Y204="",0,IF(Y204&lt;=0.02,0,(Y204/100)/($AR$3/100)/炼钢参数表!U204*1000))</f>
        <v>0</v>
      </c>
      <c r="AS204" s="8">
        <f>IF(L204&lt;=0.04,0,((L204-0.04)/100)/($AS$3/100)/炼钢参数表!V204*1000)</f>
        <v>0</v>
      </c>
      <c r="AT204" s="8">
        <f>IF(M204&lt;=0.03,0,((M204-0.03)/100)/($AT$3/100)/炼钢参数表!W204*1000)</f>
        <v>0</v>
      </c>
      <c r="AU204" s="6"/>
      <c r="AV204" s="8">
        <f t="shared" ref="AV204:AV240" si="35">SUM(AB204:AU204)</f>
        <v>16.3738718642206</v>
      </c>
      <c r="AW204" s="8" cm="1">
        <f t="array" ref="AW204">SUMPRODUCT($AB$4:$AU$4,AB204:AU204)/1000</f>
        <v>154.30402213325999</v>
      </c>
      <c r="AY204" s="2" t="str">
        <f t="shared" si="30"/>
        <v>380CL-QL2</v>
      </c>
      <c r="AZ204" s="37">
        <f>VLOOKUP(AY204,炼钢参数表!$F$5:$J$1027,4,0)</f>
        <v>4.1125000000000002E-2</v>
      </c>
      <c r="BA204" s="37">
        <f t="shared" si="31"/>
        <v>2.8875000000000001E-2</v>
      </c>
      <c r="BB204" s="37">
        <f>AB204*$BB$4*炼钢参数表!$X$5/1000</f>
        <v>0</v>
      </c>
      <c r="BC204" s="37">
        <f>AC204*$BC$4*炼钢参数表!$X$5/1000</f>
        <v>0</v>
      </c>
      <c r="BD204" s="37">
        <f>AD204*$BD$4*炼钢参数表!$X$5/1000</f>
        <v>1.6798440155282899E-2</v>
      </c>
      <c r="BE204" s="37">
        <f>AE204*$BE$4*炼钢参数表!$X$5/1000</f>
        <v>0</v>
      </c>
      <c r="BF204" s="37">
        <f>AL204*$BF$4*炼钢参数表!$X$5/1000</f>
        <v>0</v>
      </c>
      <c r="BG204" s="37">
        <f>AM204*$BG$4*炼钢参数表!$X$5/1000</f>
        <v>0</v>
      </c>
      <c r="BH204" s="37">
        <f t="shared" si="32"/>
        <v>1.6798440155282899E-2</v>
      </c>
      <c r="BI204" s="37">
        <f t="shared" si="33"/>
        <v>5.7923440155282897E-2</v>
      </c>
      <c r="BJ204" s="37">
        <f t="shared" si="34"/>
        <v>-1.2076559844717101E-2</v>
      </c>
      <c r="BK204" s="54"/>
      <c r="BL204" s="7"/>
    </row>
    <row r="205" spans="1:64" s="18" customFormat="1" x14ac:dyDescent="0.3">
      <c r="A205" s="21">
        <v>199</v>
      </c>
      <c r="B205" s="4" t="s">
        <v>353</v>
      </c>
      <c r="C205" s="4" t="s">
        <v>23</v>
      </c>
      <c r="D205" s="4">
        <v>4</v>
      </c>
      <c r="E205" s="4">
        <v>6</v>
      </c>
      <c r="F205" s="4" t="s">
        <v>354</v>
      </c>
      <c r="G205" s="4" t="s">
        <v>355</v>
      </c>
      <c r="H205" s="4">
        <v>1523.8</v>
      </c>
      <c r="I205" s="4">
        <v>7.0000000000000007E-2</v>
      </c>
      <c r="J205" s="4">
        <v>0.03</v>
      </c>
      <c r="K205" s="4">
        <v>1</v>
      </c>
      <c r="L205" s="4">
        <v>1.4999999999999999E-2</v>
      </c>
      <c r="M205" s="4">
        <v>5.0000000000000001E-3</v>
      </c>
      <c r="N205" s="4" t="s">
        <v>631</v>
      </c>
      <c r="O205" s="4" t="s">
        <v>631</v>
      </c>
      <c r="P205" s="4"/>
      <c r="Q205" s="4">
        <v>2.5000000000000001E-2</v>
      </c>
      <c r="R205" s="4" t="s">
        <v>631</v>
      </c>
      <c r="S205" s="4" t="s">
        <v>631</v>
      </c>
      <c r="T205" s="4">
        <v>0</v>
      </c>
      <c r="U205" s="4">
        <v>0</v>
      </c>
      <c r="V205" s="4">
        <v>0</v>
      </c>
      <c r="W205" s="4" t="s">
        <v>631</v>
      </c>
      <c r="X205" s="4" t="s">
        <v>631</v>
      </c>
      <c r="Y205" s="4" t="s">
        <v>631</v>
      </c>
      <c r="Z205" s="4">
        <v>40</v>
      </c>
      <c r="AA205" s="53"/>
      <c r="AB205" s="42">
        <f>IF(J205&lt;=0.04,0,IF((BA205-AL205*BF$4*炼钢参数表!$X$5/1000-AM205*BG$4*炼钢参数表!$X$5/1000)&lt;=0.03,0,IF((J205/100/0.1769/炼钢参数表!K205*1000)&gt;(K205-炼钢参数表!J205)/100/0.6566/炼钢参数表!L205*1000,IF(K205&lt;1.6,(K205-炼钢参数表!J205)/100/0.6566/炼钢参数表!L205*1000,(K205-0.08-炼钢参数表!J205)/100/0.6566/炼钢参数表!L205*1000),IF(K205&lt;1.6,J205/100/0.1769/炼钢参数表!K205*1000,(J205-0.08)/100/0.1769/炼钢参数表!K205*1000))))</f>
        <v>0</v>
      </c>
      <c r="AC205" s="8">
        <f>IF((BA205-AB205*$BB$4*0.9/1000-AL205*BF$4*炼钢参数表!$X$5/1000-AM205*BG$4*炼钢参数表!$X$5/1000)&lt;(K205-炼钢参数表!J205-AB205*0.6566*炼钢参数表!L205/10)*0.082,0,(K205-炼钢参数表!J205-AB205*0.6566*炼钢参数表!L205/10)/100/($AC$3/100)/炼钢参数表!L205*1000)</f>
        <v>0</v>
      </c>
      <c r="AD205" s="8">
        <f>IF((BA205-AB205*$BB$4*0.9/1000-AC205*$BC$4*0.9/1000-AL205*BF$4*炼钢参数表!$X$5/1000-AM205*BG$4*炼钢参数表!$X$5/1000)&lt;=(K205-炼钢参数表!J205-AB205*0.6566*炼钢参数表!L205/10-AC205*($AC$3/100)*炼钢参数表!L205/10)*0.02,0,((K205-炼钢参数表!J205-AB205*0.6566*炼钢参数表!L205/10-AC205*($AC$3/100)*炼钢参数表!L205/10)/100/($AD$3/100)/炼钢参数表!L205*1000))</f>
        <v>11.793678510365201</v>
      </c>
      <c r="AE205" s="8">
        <f>(K205-炼钢参数表!J205-AB205*0.6566*炼钢参数表!L205/10-AC205*($AC$3/100)*炼钢参数表!L205/10-AD205*($AD$3/100)*炼钢参数表!L205/10)/100/($AE$3/100)/炼钢参数表!L205*1000</f>
        <v>0</v>
      </c>
      <c r="AF205" s="8">
        <v>0</v>
      </c>
      <c r="AG205" s="8">
        <f>IF(J205&lt;=0.04,0,((J205-(AB205*0.1769*炼钢参数表!K205/1000*100))/100/炼钢参数表!K205/($AG$3/100)*1000))</f>
        <v>0</v>
      </c>
      <c r="AH205" s="8">
        <v>2.2000000000000002</v>
      </c>
      <c r="AI205" s="8">
        <f>IF(N205="",0,IF(N205&lt;=0.002,0,((N205)/100)/($AI$3/100)/炼钢参数表!M205*1000))</f>
        <v>0</v>
      </c>
      <c r="AJ205" s="8">
        <f>IF(O205="",0,IF(O205&lt;=0.002,0,((O205)/100)/($AJ$3/100)/炼钢参数表!N205*1000))</f>
        <v>0</v>
      </c>
      <c r="AK205" s="8">
        <f>IF(P205="",0,IF(P205&lt;=0.002,0,((P205+0.005)/100)/($AK$3/100)/炼钢参数表!O205*1000))</f>
        <v>0</v>
      </c>
      <c r="AL205" s="8">
        <f>IF((BA205-J205*0.00003-K205*0.00024)&lt;=0.05,0,IF(T205="",0,IF(T205&lt;=0.03,0,IF(((BA205-J205*0.00003-K205*0.00024)-0.05)/0.18/100/($AL$3/100)/炼钢参数表!P205*1000&lt;=T205/100/($AL$3/100)/炼钢参数表!P205*1000,((BA205-J205*0.00003-K205*0.00024)-0.05)/0.18/100/($AL$3/100)/炼钢参数表!P205*1000,T205/100/($AL$3/100)/炼钢参数表!P205*1000))))</f>
        <v>0</v>
      </c>
      <c r="AM205" s="8">
        <f>IF(T205="",0,IF(T205&lt;=0.03,0,((T205-AL205*($AL$3/100)*炼钢参数表!P205/10)/100/($AM$3/100)/炼钢参数表!P205*1000)))</f>
        <v>0</v>
      </c>
      <c r="AN205" s="8">
        <f>IF(U205="",0,IF(U205&lt;=0.02,0,(U205/100)/($AN$3/100)/炼钢参数表!Q205*1000))</f>
        <v>0</v>
      </c>
      <c r="AO205" s="8">
        <f>IF(V205="",0,IF(V205&lt;=0.02,0,(V205/100)/($AO$3/100)/炼钢参数表!R205*1000))</f>
        <v>0</v>
      </c>
      <c r="AP205" s="8">
        <f>IF(W205="",0,IF(W205&lt;=0.02,0,(W205/100)/($AP$3/100)/炼钢参数表!S205*1000))</f>
        <v>0</v>
      </c>
      <c r="AQ205" s="8">
        <f>IF(X205="",0,IF(X205&lt;=0.0002,0,(X205/100)/($AQ$3/100)/炼钢参数表!T205*1000))</f>
        <v>0</v>
      </c>
      <c r="AR205" s="8">
        <f>IF(Y205="",0,IF(Y205&lt;=0.02,0,(Y205/100)/($AR$3/100)/炼钢参数表!U205*1000))</f>
        <v>0</v>
      </c>
      <c r="AS205" s="8">
        <f>IF(L205&lt;=0.04,0,((L205-0.04)/100)/($AS$3/100)/炼钢参数表!V205*1000)</f>
        <v>0</v>
      </c>
      <c r="AT205" s="8">
        <f>IF(M205&lt;=0.03,0,((M205-0.03)/100)/($AT$3/100)/炼钢参数表!W205*1000)</f>
        <v>0</v>
      </c>
      <c r="AU205" s="6"/>
      <c r="AV205" s="8">
        <f t="shared" si="35"/>
        <v>13.9936785103652</v>
      </c>
      <c r="AW205" s="8" cm="1">
        <f t="array" ref="AW205">SUMPRODUCT($AB$4:$AU$4,AB205:AU205)/1000</f>
        <v>140.30794848499099</v>
      </c>
      <c r="AY205" s="2" t="str">
        <f t="shared" si="30"/>
        <v>380CL-JD1</v>
      </c>
      <c r="AZ205" s="37">
        <f>VLOOKUP(AY205,炼钢参数表!$F$5:$J$1027,4,0)</f>
        <v>4.1125000000000002E-2</v>
      </c>
      <c r="BA205" s="37">
        <f t="shared" si="31"/>
        <v>2.8875000000000001E-2</v>
      </c>
      <c r="BB205" s="37">
        <f>AB205*$BB$4*炼钢参数表!$X$5/1000</f>
        <v>0</v>
      </c>
      <c r="BC205" s="37">
        <f>AC205*$BC$4*炼钢参数表!$X$5/1000</f>
        <v>0</v>
      </c>
      <c r="BD205" s="37">
        <f>AD205*$BD$4*炼钢参数表!$X$5/1000</f>
        <v>1.5921465988993001E-2</v>
      </c>
      <c r="BE205" s="37">
        <f>AE205*$BE$4*炼钢参数表!$X$5/1000</f>
        <v>0</v>
      </c>
      <c r="BF205" s="37">
        <f>AL205*$BF$4*炼钢参数表!$X$5/1000</f>
        <v>0</v>
      </c>
      <c r="BG205" s="37">
        <f>AM205*$BG$4*炼钢参数表!$X$5/1000</f>
        <v>0</v>
      </c>
      <c r="BH205" s="37">
        <f t="shared" si="32"/>
        <v>1.5921465988993001E-2</v>
      </c>
      <c r="BI205" s="37">
        <f t="shared" si="33"/>
        <v>5.7046465988993003E-2</v>
      </c>
      <c r="BJ205" s="37">
        <f t="shared" si="34"/>
        <v>-1.2953534011007E-2</v>
      </c>
      <c r="BK205" s="54"/>
      <c r="BL205" s="7"/>
    </row>
    <row r="206" spans="1:64" s="18" customFormat="1" x14ac:dyDescent="0.3">
      <c r="A206" s="21">
        <v>200</v>
      </c>
      <c r="B206" s="4" t="s">
        <v>353</v>
      </c>
      <c r="C206" s="4" t="s">
        <v>26</v>
      </c>
      <c r="D206" s="4">
        <v>6.01</v>
      </c>
      <c r="E206" s="4">
        <v>12</v>
      </c>
      <c r="F206" s="4" t="s">
        <v>356</v>
      </c>
      <c r="G206" s="4" t="s">
        <v>355</v>
      </c>
      <c r="H206" s="4">
        <v>1522.9</v>
      </c>
      <c r="I206" s="4">
        <v>7.0000000000000007E-2</v>
      </c>
      <c r="J206" s="4">
        <v>0.08</v>
      </c>
      <c r="K206" s="4">
        <v>1.05</v>
      </c>
      <c r="L206" s="4">
        <v>1.4999999999999999E-2</v>
      </c>
      <c r="M206" s="4">
        <v>5.0000000000000001E-3</v>
      </c>
      <c r="N206" s="4" t="s">
        <v>631</v>
      </c>
      <c r="O206" s="4" t="s">
        <v>631</v>
      </c>
      <c r="P206" s="4">
        <v>1.6E-2</v>
      </c>
      <c r="Q206" s="4">
        <v>2.5000000000000001E-2</v>
      </c>
      <c r="R206" s="4" t="s">
        <v>631</v>
      </c>
      <c r="S206" s="4" t="s">
        <v>631</v>
      </c>
      <c r="T206" s="4">
        <v>0</v>
      </c>
      <c r="U206" s="4">
        <v>0</v>
      </c>
      <c r="V206" s="4">
        <v>0</v>
      </c>
      <c r="W206" s="4" t="s">
        <v>631</v>
      </c>
      <c r="X206" s="4" t="s">
        <v>631</v>
      </c>
      <c r="Y206" s="4" t="s">
        <v>631</v>
      </c>
      <c r="Z206" s="4">
        <v>40</v>
      </c>
      <c r="AA206" s="53"/>
      <c r="AB206" s="42">
        <f>IF(J206&lt;=0.04,0,IF((BA206-AL206*BF$4*炼钢参数表!$X$5/1000-AM206*BG$4*炼钢参数表!$X$5/1000)&lt;=0.03,0,IF((J206/100/0.1769/炼钢参数表!K206*1000)&gt;(K206-炼钢参数表!J206)/100/0.6566/炼钢参数表!L206*1000,IF(K206&lt;1.6,(K206-炼钢参数表!J206)/100/0.6566/炼钢参数表!L206*1000,(K206-0.08-炼钢参数表!J206)/100/0.6566/炼钢参数表!L206*1000),IF(K206&lt;1.6,J206/100/0.1769/炼钢参数表!K206*1000,(J206-0.08)/100/0.1769/炼钢参数表!K206*1000))))</f>
        <v>0</v>
      </c>
      <c r="AC206" s="8">
        <f>IF((BA206-AB206*$BB$4*0.9/1000-AL206*BF$4*炼钢参数表!$X$5/1000-AM206*BG$4*炼钢参数表!$X$5/1000)&lt;(K206-炼钢参数表!J206-AB206*0.6566*炼钢参数表!L206/10)*0.082,0,(K206-炼钢参数表!J206-AB206*0.6566*炼钢参数表!L206/10)/100/($AC$3/100)/炼钢参数表!L206*1000)</f>
        <v>0</v>
      </c>
      <c r="AD206" s="8">
        <f>IF((BA206-AB206*$BB$4*0.9/1000-AC206*$BC$4*0.9/1000-AL206*BF$4*炼钢参数表!$X$5/1000-AM206*BG$4*炼钢参数表!$X$5/1000)&lt;=(K206-炼钢参数表!J206-AB206*0.6566*炼钢参数表!L206/10-AC206*($AC$3/100)*炼钢参数表!L206/10)*0.02,0,((K206-炼钢参数表!J206-AB206*0.6566*炼钢参数表!L206/10-AC206*($AC$3/100)*炼钢参数表!L206/10)/100/($AD$3/100)/炼钢参数表!L206*1000))</f>
        <v>12.4432890039133</v>
      </c>
      <c r="AE206" s="8">
        <f>(K206-炼钢参数表!J206-AB206*0.6566*炼钢参数表!L206/10-AC206*($AC$3/100)*炼钢参数表!L206/10-AD206*($AD$3/100)*炼钢参数表!L206/10)/100/($AE$3/100)/炼钢参数表!L206*1000</f>
        <v>0</v>
      </c>
      <c r="AF206" s="8">
        <v>0</v>
      </c>
      <c r="AG206" s="8">
        <f>IF(J206&lt;=0.04,0,((J206-(AB206*0.1769*炼钢参数表!K206/1000*100))/100/炼钢参数表!K206/($AG$3/100)*1000))</f>
        <v>1.38446628824588</v>
      </c>
      <c r="AH206" s="8">
        <v>2.2000000000000002</v>
      </c>
      <c r="AI206" s="8">
        <f>IF(N206="",0,IF(N206&lt;=0.002,0,((N206)/100)/($AI$3/100)/炼钢参数表!M206*1000))</f>
        <v>0</v>
      </c>
      <c r="AJ206" s="8">
        <f>IF(O206="",0,IF(O206&lt;=0.002,0,((O206)/100)/($AJ$3/100)/炼钢参数表!N206*1000))</f>
        <v>0</v>
      </c>
      <c r="AK206" s="8">
        <f>IF(P206="",0,IF(P206&lt;=0.002,0,((P206+0.005)/100)/($AK$3/100)/炼钢参数表!O206*1000))</f>
        <v>0.41911148365465201</v>
      </c>
      <c r="AL206" s="8">
        <f>IF((BA206-J206*0.00003-K206*0.00024)&lt;=0.05,0,IF(T206="",0,IF(T206&lt;=0.03,0,IF(((BA206-J206*0.00003-K206*0.00024)-0.05)/0.18/100/($AL$3/100)/炼钢参数表!P206*1000&lt;=T206/100/($AL$3/100)/炼钢参数表!P206*1000,((BA206-J206*0.00003-K206*0.00024)-0.05)/0.18/100/($AL$3/100)/炼钢参数表!P206*1000,T206/100/($AL$3/100)/炼钢参数表!P206*1000))))</f>
        <v>0</v>
      </c>
      <c r="AM206" s="8">
        <f>IF(T206="",0,IF(T206&lt;=0.03,0,((T206-AL206*($AL$3/100)*炼钢参数表!P206/10)/100/($AM$3/100)/炼钢参数表!P206*1000)))</f>
        <v>0</v>
      </c>
      <c r="AN206" s="8">
        <f>IF(U206="",0,IF(U206&lt;=0.02,0,(U206/100)/($AN$3/100)/炼钢参数表!Q206*1000))</f>
        <v>0</v>
      </c>
      <c r="AO206" s="8">
        <f>IF(V206="",0,IF(V206&lt;=0.02,0,(V206/100)/($AO$3/100)/炼钢参数表!R206*1000))</f>
        <v>0</v>
      </c>
      <c r="AP206" s="8">
        <f>IF(W206="",0,IF(W206&lt;=0.02,0,(W206/100)/($AP$3/100)/炼钢参数表!S206*1000))</f>
        <v>0</v>
      </c>
      <c r="AQ206" s="8">
        <f>IF(X206="",0,IF(X206&lt;=0.0002,0,(X206/100)/($AQ$3/100)/炼钢参数表!T206*1000))</f>
        <v>0</v>
      </c>
      <c r="AR206" s="8">
        <f>IF(Y206="",0,IF(Y206&lt;=0.02,0,(Y206/100)/($AR$3/100)/炼钢参数表!U206*1000))</f>
        <v>0</v>
      </c>
      <c r="AS206" s="8">
        <f>IF(L206&lt;=0.04,0,((L206-0.04)/100)/($AS$3/100)/炼钢参数表!V206*1000)</f>
        <v>0</v>
      </c>
      <c r="AT206" s="8">
        <f>IF(M206&lt;=0.03,0,((M206-0.03)/100)/($AT$3/100)/炼钢参数表!W206*1000)</f>
        <v>0</v>
      </c>
      <c r="AU206" s="6"/>
      <c r="AV206" s="8">
        <f t="shared" si="35"/>
        <v>16.446866775813799</v>
      </c>
      <c r="AW206" s="8" cm="1">
        <f t="array" ref="AW206">SUMPRODUCT($AB$4:$AU$4,AB206:AU206)/1000</f>
        <v>162.597463941336</v>
      </c>
      <c r="AY206" s="2" t="str">
        <f t="shared" si="30"/>
        <v>380CL-JD2</v>
      </c>
      <c r="AZ206" s="37">
        <f>VLOOKUP(AY206,炼钢参数表!$F$5:$J$1027,4,0)</f>
        <v>4.1125000000000002E-2</v>
      </c>
      <c r="BA206" s="37">
        <f t="shared" si="31"/>
        <v>2.8875000000000001E-2</v>
      </c>
      <c r="BB206" s="37">
        <f>AB206*$BB$4*炼钢参数表!$X$5/1000</f>
        <v>0</v>
      </c>
      <c r="BC206" s="37">
        <f>AC206*$BC$4*炼钢参数表!$X$5/1000</f>
        <v>0</v>
      </c>
      <c r="BD206" s="37">
        <f>AD206*$BD$4*炼钢参数表!$X$5/1000</f>
        <v>1.6798440155282899E-2</v>
      </c>
      <c r="BE206" s="37">
        <f>AE206*$BE$4*炼钢参数表!$X$5/1000</f>
        <v>0</v>
      </c>
      <c r="BF206" s="37">
        <f>AL206*$BF$4*炼钢参数表!$X$5/1000</f>
        <v>0</v>
      </c>
      <c r="BG206" s="37">
        <f>AM206*$BG$4*炼钢参数表!$X$5/1000</f>
        <v>0</v>
      </c>
      <c r="BH206" s="37">
        <f t="shared" si="32"/>
        <v>1.6798440155282899E-2</v>
      </c>
      <c r="BI206" s="37">
        <f t="shared" si="33"/>
        <v>5.7923440155282897E-2</v>
      </c>
      <c r="BJ206" s="37">
        <f t="shared" si="34"/>
        <v>-1.2076559844717101E-2</v>
      </c>
      <c r="BK206" s="54"/>
      <c r="BL206" s="7"/>
    </row>
    <row r="207" spans="1:64" s="18" customFormat="1" x14ac:dyDescent="0.3">
      <c r="A207" s="21">
        <v>201</v>
      </c>
      <c r="B207" s="4" t="s">
        <v>353</v>
      </c>
      <c r="C207" s="4" t="s">
        <v>90</v>
      </c>
      <c r="D207" s="4">
        <v>12.01</v>
      </c>
      <c r="E207" s="4">
        <v>20</v>
      </c>
      <c r="F207" s="4" t="s">
        <v>357</v>
      </c>
      <c r="G207" s="4" t="s">
        <v>355</v>
      </c>
      <c r="H207" s="4">
        <v>1522.9</v>
      </c>
      <c r="I207" s="4">
        <v>7.0000000000000007E-2</v>
      </c>
      <c r="J207" s="4">
        <v>0.08</v>
      </c>
      <c r="K207" s="4">
        <v>1.1000000000000001</v>
      </c>
      <c r="L207" s="4">
        <v>1.4999999999999999E-2</v>
      </c>
      <c r="M207" s="4">
        <v>5.0000000000000001E-3</v>
      </c>
      <c r="N207" s="4" t="s">
        <v>631</v>
      </c>
      <c r="O207" s="4" t="s">
        <v>631</v>
      </c>
      <c r="P207" s="4">
        <v>1.6E-2</v>
      </c>
      <c r="Q207" s="4">
        <v>2.5000000000000001E-2</v>
      </c>
      <c r="R207" s="4" t="s">
        <v>631</v>
      </c>
      <c r="S207" s="4" t="s">
        <v>631</v>
      </c>
      <c r="T207" s="4">
        <v>0</v>
      </c>
      <c r="U207" s="4">
        <v>0</v>
      </c>
      <c r="V207" s="4">
        <v>0</v>
      </c>
      <c r="W207" s="4" t="s">
        <v>631</v>
      </c>
      <c r="X207" s="4" t="s">
        <v>631</v>
      </c>
      <c r="Y207" s="4" t="s">
        <v>631</v>
      </c>
      <c r="Z207" s="4">
        <v>40</v>
      </c>
      <c r="AA207" s="53"/>
      <c r="AB207" s="42">
        <f>IF(J207&lt;=0.04,0,IF((BA207-AL207*BF$4*炼钢参数表!$X$5/1000-AM207*BG$4*炼钢参数表!$X$5/1000)&lt;=0.03,0,IF((J207/100/0.1769/炼钢参数表!K207*1000)&gt;(K207-炼钢参数表!J207)/100/0.6566/炼钢参数表!L207*1000,IF(K207&lt;1.6,(K207-炼钢参数表!J207)/100/0.6566/炼钢参数表!L207*1000,(K207-0.08-炼钢参数表!J207)/100/0.6566/炼钢参数表!L207*1000),IF(K207&lt;1.6,J207/100/0.1769/炼钢参数表!K207*1000,(J207-0.08)/100/0.1769/炼钢参数表!K207*1000))))</f>
        <v>0</v>
      </c>
      <c r="AC207" s="8">
        <f>IF((BA207-AB207*$BB$4*0.9/1000-AL207*BF$4*炼钢参数表!$X$5/1000-AM207*BG$4*炼钢参数表!$X$5/1000)&lt;(K207-炼钢参数表!J207-AB207*0.6566*炼钢参数表!L207/10)*0.082,0,(K207-炼钢参数表!J207-AB207*0.6566*炼钢参数表!L207/10)/100/($AC$3/100)/炼钢参数表!L207*1000)</f>
        <v>0</v>
      </c>
      <c r="AD207" s="8">
        <f>IF((BA207-AB207*$BB$4*0.9/1000-AC207*$BC$4*0.9/1000-AL207*BF$4*炼钢参数表!$X$5/1000-AM207*BG$4*炼钢参数表!$X$5/1000)&lt;=(K207-炼钢参数表!J207-AB207*0.6566*炼钢参数表!L207/10-AC207*($AC$3/100)*炼钢参数表!L207/10)*0.02,0,((K207-炼钢参数表!J207-AB207*0.6566*炼钢参数表!L207/10-AC207*($AC$3/100)*炼钢参数表!L207/10)/100/($AD$3/100)/炼钢参数表!L207*1000))</f>
        <v>13.0928994974613</v>
      </c>
      <c r="AE207" s="8">
        <f>(K207-炼钢参数表!J207-AB207*0.6566*炼钢参数表!L207/10-AC207*($AC$3/100)*炼钢参数表!L207/10-AD207*($AD$3/100)*炼钢参数表!L207/10)/100/($AE$3/100)/炼钢参数表!L207*1000</f>
        <v>0</v>
      </c>
      <c r="AF207" s="8">
        <v>0</v>
      </c>
      <c r="AG207" s="8">
        <f>IF(J207&lt;=0.04,0,((J207-(AB207*0.1769*炼钢参数表!K207/1000*100))/100/炼钢参数表!K207/($AG$3/100)*1000))</f>
        <v>1.38446628824588</v>
      </c>
      <c r="AH207" s="8">
        <v>2.2000000000000002</v>
      </c>
      <c r="AI207" s="8">
        <f>IF(N207="",0,IF(N207&lt;=0.002,0,((N207)/100)/($AI$3/100)/炼钢参数表!M207*1000))</f>
        <v>0</v>
      </c>
      <c r="AJ207" s="8">
        <f>IF(O207="",0,IF(O207&lt;=0.002,0,((O207)/100)/($AJ$3/100)/炼钢参数表!N207*1000))</f>
        <v>0</v>
      </c>
      <c r="AK207" s="8">
        <f>IF(P207="",0,IF(P207&lt;=0.002,0,((P207+0.005)/100)/($AK$3/100)/炼钢参数表!O207*1000))</f>
        <v>0.41911148365465201</v>
      </c>
      <c r="AL207" s="8">
        <f>IF((BA207-J207*0.00003-K207*0.00024)&lt;=0.05,0,IF(T207="",0,IF(T207&lt;=0.03,0,IF(((BA207-J207*0.00003-K207*0.00024)-0.05)/0.18/100/($AL$3/100)/炼钢参数表!P207*1000&lt;=T207/100/($AL$3/100)/炼钢参数表!P207*1000,((BA207-J207*0.00003-K207*0.00024)-0.05)/0.18/100/($AL$3/100)/炼钢参数表!P207*1000,T207/100/($AL$3/100)/炼钢参数表!P207*1000))))</f>
        <v>0</v>
      </c>
      <c r="AM207" s="8">
        <f>IF(T207="",0,IF(T207&lt;=0.03,0,((T207-AL207*($AL$3/100)*炼钢参数表!P207/10)/100/($AM$3/100)/炼钢参数表!P207*1000)))</f>
        <v>0</v>
      </c>
      <c r="AN207" s="8">
        <f>IF(U207="",0,IF(U207&lt;=0.02,0,(U207/100)/($AN$3/100)/炼钢参数表!Q207*1000))</f>
        <v>0</v>
      </c>
      <c r="AO207" s="8">
        <f>IF(V207="",0,IF(V207&lt;=0.02,0,(V207/100)/($AO$3/100)/炼钢参数表!R207*1000))</f>
        <v>0</v>
      </c>
      <c r="AP207" s="8">
        <f>IF(W207="",0,IF(W207&lt;=0.02,0,(W207/100)/($AP$3/100)/炼钢参数表!S207*1000))</f>
        <v>0</v>
      </c>
      <c r="AQ207" s="8">
        <f>IF(X207="",0,IF(X207&lt;=0.0002,0,(X207/100)/($AQ$3/100)/炼钢参数表!T207*1000))</f>
        <v>0</v>
      </c>
      <c r="AR207" s="8">
        <f>IF(Y207="",0,IF(Y207&lt;=0.02,0,(Y207/100)/($AR$3/100)/炼钢参数表!U207*1000))</f>
        <v>0</v>
      </c>
      <c r="AS207" s="8">
        <f>IF(L207&lt;=0.04,0,((L207-0.04)/100)/($AS$3/100)/炼钢参数表!V207*1000)</f>
        <v>0</v>
      </c>
      <c r="AT207" s="8">
        <f>IF(M207&lt;=0.03,0,((M207-0.03)/100)/($AT$3/100)/炼钢参数表!W207*1000)</f>
        <v>0</v>
      </c>
      <c r="AU207" s="6"/>
      <c r="AV207" s="8">
        <f t="shared" si="35"/>
        <v>17.096477269361898</v>
      </c>
      <c r="AW207" s="8" cm="1">
        <f t="array" ref="AW207">SUMPRODUCT($AB$4:$AU$4,AB207:AU207)/1000</f>
        <v>167.619010544117</v>
      </c>
      <c r="AY207" s="2" t="str">
        <f t="shared" si="30"/>
        <v>380CL-JD3</v>
      </c>
      <c r="AZ207" s="37">
        <f>VLOOKUP(AY207,炼钢参数表!$F$5:$J$1027,4,0)</f>
        <v>4.1125000000000002E-2</v>
      </c>
      <c r="BA207" s="37">
        <f t="shared" si="31"/>
        <v>2.8875000000000001E-2</v>
      </c>
      <c r="BB207" s="37">
        <f>AB207*$BB$4*炼钢参数表!$X$5/1000</f>
        <v>0</v>
      </c>
      <c r="BC207" s="37">
        <f>AC207*$BC$4*炼钢参数表!$X$5/1000</f>
        <v>0</v>
      </c>
      <c r="BD207" s="37">
        <f>AD207*$BD$4*炼钢参数表!$X$5/1000</f>
        <v>1.76754143215728E-2</v>
      </c>
      <c r="BE207" s="37">
        <f>AE207*$BE$4*炼钢参数表!$X$5/1000</f>
        <v>0</v>
      </c>
      <c r="BF207" s="37">
        <f>AL207*$BF$4*炼钢参数表!$X$5/1000</f>
        <v>0</v>
      </c>
      <c r="BG207" s="37">
        <f>AM207*$BG$4*炼钢参数表!$X$5/1000</f>
        <v>0</v>
      </c>
      <c r="BH207" s="37">
        <f t="shared" si="32"/>
        <v>1.76754143215728E-2</v>
      </c>
      <c r="BI207" s="37">
        <f t="shared" si="33"/>
        <v>5.8800414321572798E-2</v>
      </c>
      <c r="BJ207" s="37">
        <f t="shared" si="34"/>
        <v>-1.11995856784272E-2</v>
      </c>
      <c r="BK207" s="54"/>
      <c r="BL207" s="7"/>
    </row>
    <row r="208" spans="1:64" s="18" customFormat="1" x14ac:dyDescent="0.3">
      <c r="A208" s="21">
        <v>202</v>
      </c>
      <c r="B208" s="4" t="s">
        <v>358</v>
      </c>
      <c r="C208" s="4" t="s">
        <v>23</v>
      </c>
      <c r="D208" s="4">
        <v>2</v>
      </c>
      <c r="E208" s="4">
        <v>5.99</v>
      </c>
      <c r="F208" s="4" t="s">
        <v>359</v>
      </c>
      <c r="G208" s="50" t="s">
        <v>360</v>
      </c>
      <c r="H208" s="4">
        <v>1525</v>
      </c>
      <c r="I208" s="51">
        <v>7.0000000000000007E-2</v>
      </c>
      <c r="J208" s="52">
        <v>0.08</v>
      </c>
      <c r="K208" s="52">
        <v>0.75</v>
      </c>
      <c r="L208" s="51">
        <v>1.4999999999999999E-2</v>
      </c>
      <c r="M208" s="51">
        <v>5.0000000000000001E-3</v>
      </c>
      <c r="N208" s="51" t="s">
        <v>631</v>
      </c>
      <c r="O208" s="51">
        <v>0.01</v>
      </c>
      <c r="P208" s="51">
        <v>8.0000000000000002E-3</v>
      </c>
      <c r="Q208" s="51">
        <v>2.5000000000000001E-2</v>
      </c>
      <c r="R208" s="51" t="s">
        <v>631</v>
      </c>
      <c r="S208" s="32" t="s">
        <v>631</v>
      </c>
      <c r="T208" s="52"/>
      <c r="U208" s="52"/>
      <c r="V208" s="52"/>
      <c r="W208" s="52"/>
      <c r="X208" s="32" t="s">
        <v>631</v>
      </c>
      <c r="Y208" s="53" t="s">
        <v>631</v>
      </c>
      <c r="Z208" s="4">
        <v>45</v>
      </c>
      <c r="AA208" s="53"/>
      <c r="AB208" s="42">
        <f>IF(J208&lt;=0.04,0,IF((BA208-AL208*BF$4*炼钢参数表!$X$5/1000-AM208*BG$4*炼钢参数表!$X$5/1000)&lt;=0.03,0,IF((J208/100/0.1769/炼钢参数表!K208*1000)&gt;(K208-炼钢参数表!J208)/100/0.6566/炼钢参数表!L208*1000,IF(K208&lt;1.6,(K208-炼钢参数表!J208)/100/0.6566/炼钢参数表!L208*1000,(K208-0.08-炼钢参数表!J208)/100/0.6566/炼钢参数表!L208*1000),IF(K208&lt;1.6,J208/100/0.1769/炼钢参数表!K208*1000,(J208-0.08)/100/0.1769/炼钢参数表!K208*1000))))</f>
        <v>0</v>
      </c>
      <c r="AC208" s="8">
        <f>IF((BA208-AB208*$BB$4*0.9/1000-AL208*BF$4*炼钢参数表!$X$5/1000-AM208*BG$4*炼钢参数表!$X$5/1000)&lt;(K208-炼钢参数表!J208-AB208*0.6566*炼钢参数表!L208/10)*0.082,0,(K208-炼钢参数表!J208-AB208*0.6566*炼钢参数表!L208/10)/100/($AC$3/100)/炼钢参数表!L208*1000)</f>
        <v>0</v>
      </c>
      <c r="AD208" s="8">
        <f>IF((BA208-AB208*$BB$4*0.9/1000-AC208*$BC$4*0.9/1000-AL208*BF$4*炼钢参数表!$X$5/1000-AM208*BG$4*炼钢参数表!$X$5/1000)&lt;=(K208-炼钢参数表!J208-AB208*0.6566*炼钢参数表!L208/10-AC208*($AC$3/100)*炼钢参数表!L208/10)*0.02,0,((K208-炼钢参数表!J208-AB208*0.6566*炼钢参数表!L208/10-AC208*($AC$3/100)*炼钢参数表!L208/10)/100/($AD$3/100)/炼钢参数表!L208*1000))</f>
        <v>8.6939537719849795</v>
      </c>
      <c r="AE208" s="8">
        <f>(K208-炼钢参数表!J208-AB208*0.6566*炼钢参数表!L208/10-AC208*($AC$3/100)*炼钢参数表!L208/10-AD208*($AD$3/100)*炼钢参数表!L208/10)/100/($AE$3/100)/炼钢参数表!L208*1000</f>
        <v>0</v>
      </c>
      <c r="AF208" s="8">
        <v>0</v>
      </c>
      <c r="AG208" s="8">
        <f>IF(J208&lt;=0.04,0,((J208-(AB208*0.1769*炼钢参数表!K208/1000*100))/100/炼钢参数表!K208/($AG$3/100)*1000))</f>
        <v>1.38446628824588</v>
      </c>
      <c r="AH208" s="8">
        <v>2.2000000000000002</v>
      </c>
      <c r="AI208" s="8">
        <f>IF(N208="",0,IF(N208&lt;=0.002,0,((N208)/100)/($AI$3/100)/炼钢参数表!M208*1000))</f>
        <v>0</v>
      </c>
      <c r="AJ208" s="8">
        <f>IF(O208="",0,IF(O208&lt;=0.002,0,((O208)/100)/($AJ$3/100)/炼钢参数表!N208*1000))</f>
        <v>0.15688932399528099</v>
      </c>
      <c r="AK208" s="8">
        <f>IF(P208="",0,IF(P208&lt;=0.002,0,((P208+0.005)/100)/($AK$3/100)/炼钢参数表!O208*1000))</f>
        <v>0.259449966071928</v>
      </c>
      <c r="AL208" s="8">
        <f>IF((BA208-J208*0.00003-K208*0.00024)&lt;=0.05,0,IF(T208="",0,IF(T208&lt;=0.03,0,IF(((BA208-J208*0.00003-K208*0.00024)-0.05)/0.18/100/($AL$3/100)/炼钢参数表!P208*1000&lt;=T208/100/($AL$3/100)/炼钢参数表!P208*1000,((BA208-J208*0.00003-K208*0.00024)-0.05)/0.18/100/($AL$3/100)/炼钢参数表!P208*1000,T208/100/($AL$3/100)/炼钢参数表!P208*1000))))</f>
        <v>0</v>
      </c>
      <c r="AM208" s="8">
        <f>IF(T208="",0,IF(T208&lt;=0.03,0,((T208-AL208*($AL$3/100)*炼钢参数表!P208/10)/100/($AM$3/100)/炼钢参数表!P208*1000)))</f>
        <v>0</v>
      </c>
      <c r="AN208" s="8">
        <f>IF(U208="",0,IF(U208&lt;=0.02,0,(U208/100)/($AN$3/100)/炼钢参数表!Q208*1000))</f>
        <v>0</v>
      </c>
      <c r="AO208" s="8">
        <f>IF(V208="",0,IF(V208&lt;=0.02,0,(V208/100)/($AO$3/100)/炼钢参数表!R208*1000))</f>
        <v>0</v>
      </c>
      <c r="AP208" s="8">
        <f>IF(W208="",0,IF(W208&lt;=0.02,0,(W208/100)/($AP$3/100)/炼钢参数表!S208*1000))</f>
        <v>0</v>
      </c>
      <c r="AQ208" s="8">
        <f>IF(X208="",0,IF(X208&lt;=0.0002,0,(X208/100)/($AQ$3/100)/炼钢参数表!T208*1000))</f>
        <v>0</v>
      </c>
      <c r="AR208" s="8">
        <f>IF(Y208="",0,IF(Y208&lt;=0.02,0,(Y208/100)/($AR$3/100)/炼钢参数表!U208*1000))</f>
        <v>0</v>
      </c>
      <c r="AS208" s="8">
        <f>IF(L208&lt;=0.04,0,((L208-0.04)/100)/($AS$3/100)/炼钢参数表!V208*1000)</f>
        <v>0</v>
      </c>
      <c r="AT208" s="8">
        <f>IF(M208&lt;=0.03,0,((M208-0.03)/100)/($AT$3/100)/炼钢参数表!W208*1000)</f>
        <v>0</v>
      </c>
      <c r="AU208" s="6"/>
      <c r="AV208" s="8">
        <f t="shared" si="35"/>
        <v>12.694759350298099</v>
      </c>
      <c r="AW208" s="8" cm="1">
        <f t="array" ref="AW208">SUMPRODUCT($AB$4:$AU$4,AB208:AU208)/1000</f>
        <v>163.561802612316</v>
      </c>
      <c r="AY208" s="2" t="str">
        <f t="shared" si="30"/>
        <v>420CL-1</v>
      </c>
      <c r="AZ208" s="37">
        <f>VLOOKUP(AY208,炼钢参数表!$F$5:$J$1027,4,0)</f>
        <v>4.2999999999999997E-2</v>
      </c>
      <c r="BA208" s="37">
        <f t="shared" si="31"/>
        <v>2.7E-2</v>
      </c>
      <c r="BB208" s="37">
        <f>AB208*$BB$4*炼钢参数表!$X$5/1000</f>
        <v>0</v>
      </c>
      <c r="BC208" s="37">
        <f>AC208*$BC$4*炼钢参数表!$X$5/1000</f>
        <v>0</v>
      </c>
      <c r="BD208" s="37">
        <f>AD208*$BD$4*炼钢参数表!$X$5/1000</f>
        <v>1.1736837592179699E-2</v>
      </c>
      <c r="BE208" s="37">
        <f>AE208*$BE$4*炼钢参数表!$X$5/1000</f>
        <v>0</v>
      </c>
      <c r="BF208" s="37">
        <f>AL208*$BF$4*炼钢参数表!$X$5/1000</f>
        <v>0</v>
      </c>
      <c r="BG208" s="37">
        <f>AM208*$BG$4*炼钢参数表!$X$5/1000</f>
        <v>0</v>
      </c>
      <c r="BH208" s="37">
        <f t="shared" si="32"/>
        <v>1.1736837592179699E-2</v>
      </c>
      <c r="BI208" s="37">
        <f t="shared" si="33"/>
        <v>5.4736837592179698E-2</v>
      </c>
      <c r="BJ208" s="37">
        <f t="shared" si="34"/>
        <v>-1.52631624078203E-2</v>
      </c>
      <c r="BK208" s="54"/>
      <c r="BL208" s="7"/>
    </row>
    <row r="209" spans="1:64" s="18" customFormat="1" x14ac:dyDescent="0.3">
      <c r="A209" s="21">
        <v>203</v>
      </c>
      <c r="B209" s="4" t="s">
        <v>358</v>
      </c>
      <c r="C209" s="4" t="s">
        <v>26</v>
      </c>
      <c r="D209" s="4">
        <v>6</v>
      </c>
      <c r="E209" s="4">
        <v>14</v>
      </c>
      <c r="F209" s="4" t="s">
        <v>361</v>
      </c>
      <c r="G209" s="50" t="s">
        <v>360</v>
      </c>
      <c r="H209" s="4">
        <v>1525</v>
      </c>
      <c r="I209" s="51">
        <v>7.0000000000000007E-2</v>
      </c>
      <c r="J209" s="52">
        <v>0.08</v>
      </c>
      <c r="K209" s="52">
        <v>0.85</v>
      </c>
      <c r="L209" s="51">
        <v>1.4999999999999999E-2</v>
      </c>
      <c r="M209" s="51">
        <v>5.0000000000000001E-3</v>
      </c>
      <c r="N209" s="51" t="s">
        <v>631</v>
      </c>
      <c r="O209" s="51">
        <v>0.01</v>
      </c>
      <c r="P209" s="51">
        <v>8.0000000000000002E-3</v>
      </c>
      <c r="Q209" s="51">
        <v>2.5000000000000001E-2</v>
      </c>
      <c r="R209" s="51" t="s">
        <v>631</v>
      </c>
      <c r="S209" s="32" t="s">
        <v>631</v>
      </c>
      <c r="T209" s="52"/>
      <c r="U209" s="52"/>
      <c r="V209" s="52"/>
      <c r="W209" s="52"/>
      <c r="X209" s="32" t="s">
        <v>631</v>
      </c>
      <c r="Y209" s="53" t="s">
        <v>631</v>
      </c>
      <c r="Z209" s="4">
        <v>45</v>
      </c>
      <c r="AA209" s="53"/>
      <c r="AB209" s="42">
        <f>IF(J209&lt;=0.04,0,IF((BA209-AL209*BF$4*炼钢参数表!$X$5/1000-AM209*BG$4*炼钢参数表!$X$5/1000)&lt;=0.03,0,IF((J209/100/0.1769/炼钢参数表!K209*1000)&gt;(K209-炼钢参数表!J209)/100/0.6566/炼钢参数表!L209*1000,IF(K209&lt;1.6,(K209-炼钢参数表!J209)/100/0.6566/炼钢参数表!L209*1000,(K209-0.08-炼钢参数表!J209)/100/0.6566/炼钢参数表!L209*1000),IF(K209&lt;1.6,J209/100/0.1769/炼钢参数表!K209*1000,(J209-0.08)/100/0.1769/炼钢参数表!K209*1000))))</f>
        <v>0</v>
      </c>
      <c r="AC209" s="8">
        <f>IF((BA209-AB209*$BB$4*0.9/1000-AL209*BF$4*炼钢参数表!$X$5/1000-AM209*BG$4*炼钢参数表!$X$5/1000)&lt;(K209-炼钢参数表!J209-AB209*0.6566*炼钢参数表!L209/10)*0.082,0,(K209-炼钢参数表!J209-AB209*0.6566*炼钢参数表!L209/10)/100/($AC$3/100)/炼钢参数表!L209*1000)</f>
        <v>0</v>
      </c>
      <c r="AD209" s="8">
        <f>IF((BA209-AB209*$BB$4*0.9/1000-AC209*$BC$4*0.9/1000-AL209*BF$4*炼钢参数表!$X$5/1000-AM209*BG$4*炼钢参数表!$X$5/1000)&lt;=(K209-炼钢参数表!J209-AB209*0.6566*炼钢参数表!L209/10-AC209*($AC$3/100)*炼钢参数表!L209/10)*0.02,0,((K209-炼钢参数表!J209-AB209*0.6566*炼钢参数表!L209/10-AC209*($AC$3/100)*炼钢参数表!L209/10)/100/($AD$3/100)/炼钢参数表!L209*1000))</f>
        <v>9.9931747590811195</v>
      </c>
      <c r="AE209" s="8">
        <f>(K209-炼钢参数表!J209-AB209*0.6566*炼钢参数表!L209/10-AC209*($AC$3/100)*炼钢参数表!L209/10-AD209*($AD$3/100)*炼钢参数表!L209/10)/100/($AE$3/100)/炼钢参数表!L209*1000</f>
        <v>0</v>
      </c>
      <c r="AF209" s="8">
        <v>0</v>
      </c>
      <c r="AG209" s="8">
        <f>IF(J209&lt;=0.04,0,((J209-(AB209*0.1769*炼钢参数表!K209/1000*100))/100/炼钢参数表!K209/($AG$3/100)*1000))</f>
        <v>1.38446628824588</v>
      </c>
      <c r="AH209" s="8">
        <v>2.2000000000000002</v>
      </c>
      <c r="AI209" s="8">
        <f>IF(N209="",0,IF(N209&lt;=0.002,0,((N209)/100)/($AI$3/100)/炼钢参数表!M209*1000))</f>
        <v>0</v>
      </c>
      <c r="AJ209" s="8">
        <f>IF(O209="",0,IF(O209&lt;=0.002,0,((O209)/100)/($AJ$3/100)/炼钢参数表!N209*1000))</f>
        <v>0.15688932399528099</v>
      </c>
      <c r="AK209" s="8">
        <f>IF(P209="",0,IF(P209&lt;=0.002,0,((P209+0.005)/100)/($AK$3/100)/炼钢参数表!O209*1000))</f>
        <v>0.259449966071928</v>
      </c>
      <c r="AL209" s="8">
        <f>IF((BA209-J209*0.00003-K209*0.00024)&lt;=0.05,0,IF(T209="",0,IF(T209&lt;=0.03,0,IF(((BA209-J209*0.00003-K209*0.00024)-0.05)/0.18/100/($AL$3/100)/炼钢参数表!P209*1000&lt;=T209/100/($AL$3/100)/炼钢参数表!P209*1000,((BA209-J209*0.00003-K209*0.00024)-0.05)/0.18/100/($AL$3/100)/炼钢参数表!P209*1000,T209/100/($AL$3/100)/炼钢参数表!P209*1000))))</f>
        <v>0</v>
      </c>
      <c r="AM209" s="8">
        <f>IF(T209="",0,IF(T209&lt;=0.03,0,((T209-AL209*($AL$3/100)*炼钢参数表!P209/10)/100/($AM$3/100)/炼钢参数表!P209*1000)))</f>
        <v>0</v>
      </c>
      <c r="AN209" s="8">
        <f>IF(U209="",0,IF(U209&lt;=0.02,0,(U209/100)/($AN$3/100)/炼钢参数表!Q209*1000))</f>
        <v>0</v>
      </c>
      <c r="AO209" s="8">
        <f>IF(V209="",0,IF(V209&lt;=0.02,0,(V209/100)/($AO$3/100)/炼钢参数表!R209*1000))</f>
        <v>0</v>
      </c>
      <c r="AP209" s="8">
        <f>IF(W209="",0,IF(W209&lt;=0.02,0,(W209/100)/($AP$3/100)/炼钢参数表!S209*1000))</f>
        <v>0</v>
      </c>
      <c r="AQ209" s="8">
        <f>IF(X209="",0,IF(X209&lt;=0.0002,0,(X209/100)/($AQ$3/100)/炼钢参数表!T209*1000))</f>
        <v>0</v>
      </c>
      <c r="AR209" s="8">
        <f>IF(Y209="",0,IF(Y209&lt;=0.02,0,(Y209/100)/($AR$3/100)/炼钢参数表!U209*1000))</f>
        <v>0</v>
      </c>
      <c r="AS209" s="8">
        <f>IF(L209&lt;=0.04,0,((L209-0.04)/100)/($AS$3/100)/炼钢参数表!V209*1000)</f>
        <v>0</v>
      </c>
      <c r="AT209" s="8">
        <f>IF(M209&lt;=0.03,0,((M209-0.03)/100)/($AT$3/100)/炼钢参数表!W209*1000)</f>
        <v>0</v>
      </c>
      <c r="AU209" s="6"/>
      <c r="AV209" s="8">
        <f t="shared" si="35"/>
        <v>13.9939803373942</v>
      </c>
      <c r="AW209" s="8" cm="1">
        <f t="array" ref="AW209">SUMPRODUCT($AB$4:$AU$4,AB209:AU209)/1000</f>
        <v>173.604895817878</v>
      </c>
      <c r="AY209" s="2" t="str">
        <f t="shared" si="30"/>
        <v>420CL-2</v>
      </c>
      <c r="AZ209" s="37">
        <f>VLOOKUP(AY209,炼钢参数表!$F$5:$J$1027,4,0)</f>
        <v>4.2999999999999997E-2</v>
      </c>
      <c r="BA209" s="37">
        <f t="shared" si="31"/>
        <v>2.7E-2</v>
      </c>
      <c r="BB209" s="37">
        <f>AB209*$BB$4*炼钢参数表!$X$5/1000</f>
        <v>0</v>
      </c>
      <c r="BC209" s="37">
        <f>AC209*$BC$4*炼钢参数表!$X$5/1000</f>
        <v>0</v>
      </c>
      <c r="BD209" s="37">
        <f>AD209*$BD$4*炼钢参数表!$X$5/1000</f>
        <v>1.34907859247595E-2</v>
      </c>
      <c r="BE209" s="37">
        <f>AE209*$BE$4*炼钢参数表!$X$5/1000</f>
        <v>0</v>
      </c>
      <c r="BF209" s="37">
        <f>AL209*$BF$4*炼钢参数表!$X$5/1000</f>
        <v>0</v>
      </c>
      <c r="BG209" s="37">
        <f>AM209*$BG$4*炼钢参数表!$X$5/1000</f>
        <v>0</v>
      </c>
      <c r="BH209" s="37">
        <f t="shared" si="32"/>
        <v>1.34907859247595E-2</v>
      </c>
      <c r="BI209" s="37">
        <f t="shared" si="33"/>
        <v>5.64907859247595E-2</v>
      </c>
      <c r="BJ209" s="37">
        <f t="shared" si="34"/>
        <v>-1.35092140752405E-2</v>
      </c>
      <c r="BK209" s="54"/>
      <c r="BL209" s="7"/>
    </row>
    <row r="210" spans="1:64" s="18" customFormat="1" x14ac:dyDescent="0.3">
      <c r="A210" s="21">
        <v>204</v>
      </c>
      <c r="B210" s="4" t="s">
        <v>362</v>
      </c>
      <c r="C210" s="4" t="s">
        <v>23</v>
      </c>
      <c r="D210" s="4">
        <v>20</v>
      </c>
      <c r="E210" s="4">
        <v>26</v>
      </c>
      <c r="F210" s="4" t="s">
        <v>362</v>
      </c>
      <c r="G210" s="50" t="s">
        <v>363</v>
      </c>
      <c r="H210" s="4">
        <v>1522</v>
      </c>
      <c r="I210" s="51">
        <v>7.0000000000000007E-2</v>
      </c>
      <c r="J210" s="52">
        <v>0.08</v>
      </c>
      <c r="K210" s="52">
        <v>1.25</v>
      </c>
      <c r="L210" s="51">
        <v>0.01</v>
      </c>
      <c r="M210" s="51">
        <v>4.0000000000000001E-3</v>
      </c>
      <c r="N210" s="51"/>
      <c r="O210" s="51">
        <v>1.4999999999999999E-2</v>
      </c>
      <c r="P210" s="51">
        <v>0.01</v>
      </c>
      <c r="Q210" s="51">
        <v>0.03</v>
      </c>
      <c r="R210" s="51" t="s">
        <v>631</v>
      </c>
      <c r="S210" s="32" t="s">
        <v>631</v>
      </c>
      <c r="T210" s="52"/>
      <c r="U210" s="52"/>
      <c r="V210" s="52"/>
      <c r="W210" s="52"/>
      <c r="X210" s="32" t="s">
        <v>631</v>
      </c>
      <c r="Y210" s="53" t="s">
        <v>631</v>
      </c>
      <c r="Z210" s="4">
        <v>45</v>
      </c>
      <c r="AA210" s="53"/>
      <c r="AB210" s="42">
        <f>IF(J210&lt;=0.04,0,IF((BA210-AL210*BF$4*炼钢参数表!$X$5/1000-AM210*BG$4*炼钢参数表!$X$5/1000)&lt;=0.03,0,IF((J210/100/0.1769/炼钢参数表!K210*1000)&gt;(K210-炼钢参数表!J210)/100/0.6566/炼钢参数表!L210*1000,IF(K210&lt;1.6,(K210-炼钢参数表!J210)/100/0.6566/炼钢参数表!L210*1000,(K210-0.08-炼钢参数表!J210)/100/0.6566/炼钢参数表!L210*1000),IF(K210&lt;1.6,J210/100/0.1769/炼钢参数表!K210*1000,(J210-0.08)/100/0.1769/炼钢参数表!K210*1000))))</f>
        <v>0</v>
      </c>
      <c r="AC210" s="8">
        <f>IF((BA210-AB210*$BB$4*0.9/1000-AL210*BF$4*炼钢参数表!$X$5/1000-AM210*BG$4*炼钢参数表!$X$5/1000)&lt;(K210-炼钢参数表!J210-AB210*0.6566*炼钢参数表!L210/10)*0.082,0,(K210-炼钢参数表!J210-AB210*0.6566*炼钢参数表!L210/10)/100/($AC$3/100)/炼钢参数表!L210*1000)</f>
        <v>0</v>
      </c>
      <c r="AD210" s="8">
        <f>IF((BA210-AB210*$BB$4*0.9/1000-AC210*$BC$4*0.9/1000-AL210*BF$4*炼钢参数表!$X$5/1000-AM210*BG$4*炼钢参数表!$X$5/1000)&lt;=(K210-炼钢参数表!J210-AB210*0.6566*炼钢参数表!L210/10-AC210*($AC$3/100)*炼钢参数表!L210/10)*0.02,0,((K210-炼钢参数表!J210-AB210*0.6566*炼钢参数表!L210/10-AC210*($AC$3/100)*炼钢参数表!L210/10)/100/($AD$3/100)/炼钢参数表!L210*1000))</f>
        <v>0</v>
      </c>
      <c r="AE210" s="8">
        <f>(K210-炼钢参数表!J210-AB210*0.6566*炼钢参数表!L210/10-AC210*($AC$3/100)*炼钢参数表!L210/10-AD210*($AD$3/100)*炼钢参数表!L210/10)/100/($AE$3/100)/炼钢参数表!L210*1000</f>
        <v>14.679600131714199</v>
      </c>
      <c r="AF210" s="8">
        <v>0</v>
      </c>
      <c r="AG210" s="8">
        <f>IF(J210&lt;=0.04,0,((J210-(AB210*0.1769*炼钢参数表!K210/1000*100))/100/炼钢参数表!K210/($AG$3/100)*1000))</f>
        <v>1.38446628824588</v>
      </c>
      <c r="AH210" s="8">
        <v>2.2000000000000002</v>
      </c>
      <c r="AI210" s="8">
        <f>IF(N210="",0,IF(N210&lt;=0.002,0,((N210)/100)/($AI$3/100)/炼钢参数表!M210*1000))</f>
        <v>0</v>
      </c>
      <c r="AJ210" s="8">
        <f>IF(O210="",0,IF(O210&lt;=0.002,0,((O210)/100)/($AJ$3/100)/炼钢参数表!N210*1000))</f>
        <v>0.23533398599292099</v>
      </c>
      <c r="AK210" s="8">
        <f>IF(P210="",0,IF(P210&lt;=0.002,0,((P210+0.005)/100)/($AK$3/100)/炼钢参数表!O210*1000))</f>
        <v>0.29936534546760901</v>
      </c>
      <c r="AL210" s="8">
        <f>IF((BA210-J210*0.00003-K210*0.00024)&lt;=0.05,0,IF(T210="",0,IF(T210&lt;=0.03,0,IF(((BA210-J210*0.00003-K210*0.00024)-0.05)/0.18/100/($AL$3/100)/炼钢参数表!P210*1000&lt;=T210/100/($AL$3/100)/炼钢参数表!P210*1000,((BA210-J210*0.00003-K210*0.00024)-0.05)/0.18/100/($AL$3/100)/炼钢参数表!P210*1000,T210/100/($AL$3/100)/炼钢参数表!P210*1000))))</f>
        <v>0</v>
      </c>
      <c r="AM210" s="8">
        <f>IF(T210="",0,IF(T210&lt;=0.03,0,((T210-AL210*($AL$3/100)*炼钢参数表!P210/10)/100/($AM$3/100)/炼钢参数表!P210*1000)))</f>
        <v>0</v>
      </c>
      <c r="AN210" s="8">
        <f>IF(U210="",0,IF(U210&lt;=0.02,0,(U210/100)/($AN$3/100)/炼钢参数表!Q210*1000))</f>
        <v>0</v>
      </c>
      <c r="AO210" s="8">
        <f>IF(V210="",0,IF(V210&lt;=0.02,0,(V210/100)/($AO$3/100)/炼钢参数表!R210*1000))</f>
        <v>0</v>
      </c>
      <c r="AP210" s="8">
        <f>IF(W210="",0,IF(W210&lt;=0.02,0,(W210/100)/($AP$3/100)/炼钢参数表!S210*1000))</f>
        <v>0</v>
      </c>
      <c r="AQ210" s="8">
        <f>IF(X210="",0,IF(X210&lt;=0.0002,0,(X210/100)/($AQ$3/100)/炼钢参数表!T210*1000))</f>
        <v>0</v>
      </c>
      <c r="AR210" s="8">
        <f>IF(Y210="",0,IF(Y210&lt;=0.02,0,(Y210/100)/($AR$3/100)/炼钢参数表!U210*1000))</f>
        <v>0</v>
      </c>
      <c r="AS210" s="8">
        <f>IF(L210&lt;=0.04,0,((L210-0.04)/100)/($AS$3/100)/炼钢参数表!V210*1000)</f>
        <v>0</v>
      </c>
      <c r="AT210" s="8">
        <f>IF(M210&lt;=0.03,0,((M210-0.03)/100)/($AT$3/100)/炼钢参数表!W210*1000)</f>
        <v>0</v>
      </c>
      <c r="AU210" s="6"/>
      <c r="AV210" s="8">
        <f t="shared" si="35"/>
        <v>18.7987657514206</v>
      </c>
      <c r="AW210" s="8" cm="1">
        <f t="array" ref="AW210">SUMPRODUCT($AB$4:$AU$4,AB210:AU210)/1000</f>
        <v>237.62523888332001</v>
      </c>
      <c r="AY210" s="2" t="str">
        <f t="shared" si="30"/>
        <v>SL440</v>
      </c>
      <c r="AZ210" s="37">
        <f>VLOOKUP(AY210,炼钢参数表!$F$5:$J$1027,4,0)</f>
        <v>4.8333333333333298E-2</v>
      </c>
      <c r="BA210" s="37">
        <f t="shared" si="31"/>
        <v>2.1666666666666699E-2</v>
      </c>
      <c r="BB210" s="37">
        <f>AB210*$BB$4*炼钢参数表!$X$5/1000</f>
        <v>0</v>
      </c>
      <c r="BC210" s="37">
        <f>AC210*$BC$4*炼钢参数表!$X$5/1000</f>
        <v>0</v>
      </c>
      <c r="BD210" s="37">
        <f>AD210*$BD$4*炼钢参数表!$X$5/1000</f>
        <v>0</v>
      </c>
      <c r="BE210" s="37">
        <f>AE210*$BE$4*炼钢参数表!$X$5/1000</f>
        <v>8.4554496758673901E-3</v>
      </c>
      <c r="BF210" s="37">
        <f>AL210*$BF$4*炼钢参数表!$X$5/1000</f>
        <v>0</v>
      </c>
      <c r="BG210" s="37">
        <f>AM210*$BG$4*炼钢参数表!$X$5/1000</f>
        <v>0</v>
      </c>
      <c r="BH210" s="37">
        <f t="shared" si="32"/>
        <v>8.4554496758673901E-3</v>
      </c>
      <c r="BI210" s="37">
        <f t="shared" si="33"/>
        <v>5.6788783009200698E-2</v>
      </c>
      <c r="BJ210" s="37">
        <f t="shared" si="34"/>
        <v>-1.32112169907993E-2</v>
      </c>
      <c r="BK210" s="54"/>
      <c r="BL210" s="7"/>
    </row>
    <row r="211" spans="1:64" s="18" customFormat="1" x14ac:dyDescent="0.3">
      <c r="A211" s="21">
        <v>205</v>
      </c>
      <c r="B211" s="4" t="s">
        <v>364</v>
      </c>
      <c r="C211" s="4" t="s">
        <v>23</v>
      </c>
      <c r="D211" s="4">
        <v>3</v>
      </c>
      <c r="E211" s="4">
        <v>5.99</v>
      </c>
      <c r="F211" s="4" t="s">
        <v>365</v>
      </c>
      <c r="G211" s="50" t="s">
        <v>366</v>
      </c>
      <c r="H211" s="4">
        <v>1520</v>
      </c>
      <c r="I211" s="51">
        <v>7.4999999999999997E-2</v>
      </c>
      <c r="J211" s="52">
        <v>0.1</v>
      </c>
      <c r="K211" s="52">
        <v>1.5</v>
      </c>
      <c r="L211" s="51">
        <v>0.01</v>
      </c>
      <c r="M211" s="51">
        <v>3.0000000000000001E-3</v>
      </c>
      <c r="N211" s="51" t="s">
        <v>631</v>
      </c>
      <c r="O211" s="51">
        <v>0.05</v>
      </c>
      <c r="P211" s="51">
        <v>1.4999999999999999E-2</v>
      </c>
      <c r="Q211" s="51">
        <v>0.03</v>
      </c>
      <c r="R211" s="51" t="s">
        <v>631</v>
      </c>
      <c r="S211" s="32"/>
      <c r="T211" s="52">
        <v>0.2</v>
      </c>
      <c r="U211" s="52"/>
      <c r="V211" s="52"/>
      <c r="W211" s="52"/>
      <c r="X211" s="32" t="s">
        <v>631</v>
      </c>
      <c r="Y211" s="53" t="s">
        <v>631</v>
      </c>
      <c r="Z211" s="4">
        <v>45</v>
      </c>
      <c r="AA211" s="53"/>
      <c r="AB211" s="42">
        <f>IF(J211&lt;=0.04,0,IF((BA211-AL211*BF$4*炼钢参数表!$X$5/1000-AM211*BG$4*炼钢参数表!$X$5/1000)&lt;=0.03,0,IF((J211/100/0.1769/炼钢参数表!K211*1000)&gt;(K211-炼钢参数表!J211)/100/0.6566/炼钢参数表!L211*1000,IF(K211&lt;1.6,(K211-炼钢参数表!J211)/100/0.6566/炼钢参数表!L211*1000,(K211-0.08-炼钢参数表!J211)/100/0.6566/炼钢参数表!L211*1000),IF(K211&lt;1.6,J211/100/0.1769/炼钢参数表!K211*1000,(J211-0.08)/100/0.1769/炼钢参数表!K211*1000))))</f>
        <v>0</v>
      </c>
      <c r="AC211" s="8">
        <f>IF((BA211-AB211*$BB$4*0.9/1000-AL211*BF$4*炼钢参数表!$X$5/1000-AM211*BG$4*炼钢参数表!$X$5/1000)&lt;(K211-炼钢参数表!J211-AB211*0.6566*炼钢参数表!L211/10)*0.082,0,(K211-炼钢参数表!J211-AB211*0.6566*炼钢参数表!L211/10)/100/($AC$3/100)/炼钢参数表!L211*1000)</f>
        <v>0</v>
      </c>
      <c r="AD211" s="8">
        <f>IF((BA211-AB211*$BB$4*0.9/1000-AC211*$BC$4*0.9/1000-AL211*BF$4*炼钢参数表!$X$5/1000-AM211*BG$4*炼钢参数表!$X$5/1000)&lt;=(K211-炼钢参数表!J211-AB211*0.6566*炼钢参数表!L211/10-AC211*($AC$3/100)*炼钢参数表!L211/10)*0.02,0,((K211-炼钢参数表!J211-AB211*0.6566*炼钢参数表!L211/10-AC211*($AC$3/100)*炼钢参数表!L211/10)/100/($AD$3/100)/炼钢参数表!L211*1000))</f>
        <v>0</v>
      </c>
      <c r="AE211" s="8">
        <f>(K211-炼钢参数表!J211-AB211*0.6566*炼钢参数表!L211/10-AC211*($AC$3/100)*炼钢参数表!L211/10-AD211*($AD$3/100)*炼钢参数表!L211/10)/100/($AE$3/100)/炼钢参数表!L211*1000</f>
        <v>17.5702748151853</v>
      </c>
      <c r="AF211" s="8">
        <v>0</v>
      </c>
      <c r="AG211" s="8">
        <f>IF(J211&lt;=0.04,0,((J211-(AB211*0.1769*炼钢参数表!K211/1000*100))/100/炼钢参数表!K211/($AG$3/100)*1000))</f>
        <v>1.7305828603073501</v>
      </c>
      <c r="AH211" s="8">
        <v>2.2000000000000002</v>
      </c>
      <c r="AI211" s="8">
        <f>IF(N211="",0,IF(N211&lt;=0.002,0,((N211)/100)/($AI$3/100)/炼钢参数表!M211*1000))</f>
        <v>0</v>
      </c>
      <c r="AJ211" s="8">
        <f>IF(O211="",0,IF(O211&lt;=0.002,0,((O211)/100)/($AJ$3/100)/炼钢参数表!N211*1000))</f>
        <v>0.78444661997640397</v>
      </c>
      <c r="AK211" s="8">
        <f>IF(P211="",0,IF(P211&lt;=0.002,0,((P211+0.005)/100)/($AK$3/100)/炼钢参数表!O211*1000))</f>
        <v>0.399153793956812</v>
      </c>
      <c r="AL211" s="8">
        <f>IF((BA211-J211*0.00003-K211*0.00024)&lt;=0.05,0,IF(T211="",0,IF(T211&lt;=0.03,0,IF(((BA211-J211*0.00003-K211*0.00024)-0.05)/0.18/100/($AL$3/100)/炼钢参数表!P211*1000&lt;=T211/100/($AL$3/100)/炼钢参数表!P211*1000,((BA211-J211*0.00003-K211*0.00024)-0.05)/0.18/100/($AL$3/100)/炼钢参数表!P211*1000,T211/100/($AL$3/100)/炼钢参数表!P211*1000))))</f>
        <v>0</v>
      </c>
      <c r="AM211" s="8">
        <f>IF(T211="",0,IF(T211&lt;=0.03,0,((T211-AL211*($AL$3/100)*炼钢参数表!P211/10)/100/($AM$3/100)/炼钢参数表!P211*1000)))</f>
        <v>3.5049349484073602</v>
      </c>
      <c r="AN211" s="8">
        <f>IF(U211="",0,IF(U211&lt;=0.02,0,(U211/100)/($AN$3/100)/炼钢参数表!Q211*1000))</f>
        <v>0</v>
      </c>
      <c r="AO211" s="8">
        <f>IF(V211="",0,IF(V211&lt;=0.02,0,(V211/100)/($AO$3/100)/炼钢参数表!R211*1000))</f>
        <v>0</v>
      </c>
      <c r="AP211" s="8">
        <f>IF(W211="",0,IF(W211&lt;=0.02,0,(W211/100)/($AP$3/100)/炼钢参数表!S211*1000))</f>
        <v>0</v>
      </c>
      <c r="AQ211" s="8">
        <f>IF(X211="",0,IF(X211&lt;=0.0002,0,(X211/100)/($AQ$3/100)/炼钢参数表!T211*1000))</f>
        <v>0</v>
      </c>
      <c r="AR211" s="8">
        <f>IF(Y211="",0,IF(Y211&lt;=0.02,0,(Y211/100)/($AR$3/100)/炼钢参数表!U211*1000))</f>
        <v>0</v>
      </c>
      <c r="AS211" s="8">
        <f>IF(L211&lt;=0.04,0,((L211-0.04)/100)/($AS$3/100)/炼钢参数表!V211*1000)</f>
        <v>0</v>
      </c>
      <c r="AT211" s="8">
        <f>IF(M211&lt;=0.03,0,((M211-0.03)/100)/($AT$3/100)/炼钢参数表!W211*1000)</f>
        <v>0</v>
      </c>
      <c r="AU211" s="6"/>
      <c r="AV211" s="8">
        <f t="shared" si="35"/>
        <v>26.189393037833302</v>
      </c>
      <c r="AW211" s="8" cm="1">
        <f t="array" ref="AW211">SUMPRODUCT($AB$4:$AU$4,AB211:AU211)/1000</f>
        <v>434.88588194523498</v>
      </c>
      <c r="AY211" s="2" t="str">
        <f t="shared" si="30"/>
        <v>590CL-1</v>
      </c>
      <c r="AZ211" s="37">
        <f>VLOOKUP(AY211,炼钢参数表!$F$5:$J$1027,4,0)</f>
        <v>4.9500000000000002E-2</v>
      </c>
      <c r="BA211" s="37">
        <f t="shared" si="31"/>
        <v>2.5499999999999998E-2</v>
      </c>
      <c r="BB211" s="37">
        <f>AB211*$BB$4*炼钢参数表!$X$5/1000</f>
        <v>0</v>
      </c>
      <c r="BC211" s="37">
        <f>AC211*$BC$4*炼钢参数表!$X$5/1000</f>
        <v>0</v>
      </c>
      <c r="BD211" s="37">
        <f>AD211*$BD$4*炼钢参数表!$X$5/1000</f>
        <v>0</v>
      </c>
      <c r="BE211" s="37">
        <f>AE211*$BE$4*炼钢参数表!$X$5/1000</f>
        <v>1.01204782935468E-2</v>
      </c>
      <c r="BF211" s="37">
        <f>AL211*$BF$4*炼钢参数表!$X$5/1000</f>
        <v>0</v>
      </c>
      <c r="BG211" s="37">
        <f>AM211*$BG$4*炼钢参数表!$X$5/1000</f>
        <v>3.78532974427995E-4</v>
      </c>
      <c r="BH211" s="37">
        <f t="shared" si="32"/>
        <v>1.0499011267974701E-2</v>
      </c>
      <c r="BI211" s="37">
        <f t="shared" si="33"/>
        <v>5.99990112679748E-2</v>
      </c>
      <c r="BJ211" s="37">
        <f t="shared" si="34"/>
        <v>-1.5000988732025201E-2</v>
      </c>
      <c r="BK211" s="54"/>
      <c r="BL211" s="7"/>
    </row>
    <row r="212" spans="1:64" s="18" customFormat="1" x14ac:dyDescent="0.3">
      <c r="A212" s="21">
        <v>206</v>
      </c>
      <c r="B212" s="4" t="s">
        <v>364</v>
      </c>
      <c r="C212" s="4" t="s">
        <v>26</v>
      </c>
      <c r="D212" s="4">
        <v>6</v>
      </c>
      <c r="E212" s="4">
        <v>12</v>
      </c>
      <c r="F212" s="4" t="s">
        <v>367</v>
      </c>
      <c r="G212" s="50" t="s">
        <v>366</v>
      </c>
      <c r="H212" s="4">
        <v>1520</v>
      </c>
      <c r="I212" s="51">
        <v>7.4999999999999997E-2</v>
      </c>
      <c r="J212" s="52">
        <v>0.1</v>
      </c>
      <c r="K212" s="52">
        <v>1.55</v>
      </c>
      <c r="L212" s="51">
        <v>0.01</v>
      </c>
      <c r="M212" s="51">
        <v>3.0000000000000001E-3</v>
      </c>
      <c r="N212" s="51" t="s">
        <v>631</v>
      </c>
      <c r="O212" s="51">
        <v>5.5E-2</v>
      </c>
      <c r="P212" s="51">
        <v>0.02</v>
      </c>
      <c r="Q212" s="51">
        <v>0.03</v>
      </c>
      <c r="R212" s="51" t="s">
        <v>631</v>
      </c>
      <c r="S212" s="32"/>
      <c r="T212" s="52">
        <v>0.2</v>
      </c>
      <c r="U212" s="52"/>
      <c r="V212" s="52"/>
      <c r="W212" s="52"/>
      <c r="X212" s="32" t="s">
        <v>631</v>
      </c>
      <c r="Y212" s="53" t="s">
        <v>631</v>
      </c>
      <c r="Z212" s="4">
        <v>45</v>
      </c>
      <c r="AA212" s="53"/>
      <c r="AB212" s="42">
        <f>IF(J212&lt;=0.04,0,IF((BA212-AL212*BF$4*炼钢参数表!$X$5/1000-AM212*BG$4*炼钢参数表!$X$5/1000)&lt;=0.03,0,IF((J212/100/0.1769/炼钢参数表!K212*1000)&gt;(K212-炼钢参数表!J212)/100/0.6566/炼钢参数表!L212*1000,IF(K212&lt;1.6,(K212-炼钢参数表!J212)/100/0.6566/炼钢参数表!L212*1000,(K212-0.08-炼钢参数表!J212)/100/0.6566/炼钢参数表!L212*1000),IF(K212&lt;1.6,J212/100/0.1769/炼钢参数表!K212*1000,(J212-0.08)/100/0.1769/炼钢参数表!K212*1000))))</f>
        <v>0</v>
      </c>
      <c r="AC212" s="8">
        <f>IF((BA212-AB212*$BB$4*0.9/1000-AL212*BF$4*炼钢参数表!$X$5/1000-AM212*BG$4*炼钢参数表!$X$5/1000)&lt;(K212-炼钢参数表!J212-AB212*0.6566*炼钢参数表!L212/10)*0.082,0,(K212-炼钢参数表!J212-AB212*0.6566*炼钢参数表!L212/10)/100/($AC$3/100)/炼钢参数表!L212*1000)</f>
        <v>0</v>
      </c>
      <c r="AD212" s="8">
        <f>IF((BA212-AB212*$BB$4*0.9/1000-AC212*$BC$4*0.9/1000-AL212*BF$4*炼钢参数表!$X$5/1000-AM212*BG$4*炼钢参数表!$X$5/1000)&lt;=(K212-炼钢参数表!J212-AB212*0.6566*炼钢参数表!L212/10-AC212*($AC$3/100)*炼钢参数表!L212/10)*0.02,0,((K212-炼钢参数表!J212-AB212*0.6566*炼钢参数表!L212/10-AC212*($AC$3/100)*炼钢参数表!L212/10)/100/($AD$3/100)/炼钢参数表!L212*1000))</f>
        <v>0</v>
      </c>
      <c r="AE212" s="8">
        <f>(K212-炼钢参数表!J212-AB212*0.6566*炼钢参数表!L212/10-AC212*($AC$3/100)*炼钢参数表!L212/10-AD212*($AD$3/100)*炼钢参数表!L212/10)/100/($AE$3/100)/炼钢参数表!L212*1000</f>
        <v>18.1986823550704</v>
      </c>
      <c r="AF212" s="8">
        <v>0</v>
      </c>
      <c r="AG212" s="8">
        <f>IF(J212&lt;=0.04,0,((J212-(AB212*0.1769*炼钢参数表!K212/1000*100))/100/炼钢参数表!K212/($AG$3/100)*1000))</f>
        <v>1.7305828603073501</v>
      </c>
      <c r="AH212" s="8">
        <v>2.2000000000000002</v>
      </c>
      <c r="AI212" s="8">
        <f>IF(N212="",0,IF(N212&lt;=0.002,0,((N212)/100)/($AI$3/100)/炼钢参数表!M212*1000))</f>
        <v>0</v>
      </c>
      <c r="AJ212" s="8">
        <f>IF(O212="",0,IF(O212&lt;=0.002,0,((O212)/100)/($AJ$3/100)/炼钢参数表!N212*1000))</f>
        <v>0.86289128197404397</v>
      </c>
      <c r="AK212" s="8">
        <f>IF(P212="",0,IF(P212&lt;=0.002,0,((P212+0.005)/100)/($AK$3/100)/炼钢参数表!O212*1000))</f>
        <v>0.49894224244601398</v>
      </c>
      <c r="AL212" s="8">
        <f>IF((BA212-J212*0.00003-K212*0.00024)&lt;=0.05,0,IF(T212="",0,IF(T212&lt;=0.03,0,IF(((BA212-J212*0.00003-K212*0.00024)-0.05)/0.18/100/($AL$3/100)/炼钢参数表!P212*1000&lt;=T212/100/($AL$3/100)/炼钢参数表!P212*1000,((BA212-J212*0.00003-K212*0.00024)-0.05)/0.18/100/($AL$3/100)/炼钢参数表!P212*1000,T212/100/($AL$3/100)/炼钢参数表!P212*1000))))</f>
        <v>0</v>
      </c>
      <c r="AM212" s="8">
        <f>IF(T212="",0,IF(T212&lt;=0.03,0,((T212-AL212*($AL$3/100)*炼钢参数表!P212/10)/100/($AM$3/100)/炼钢参数表!P212*1000)))</f>
        <v>3.5049349484073602</v>
      </c>
      <c r="AN212" s="8">
        <f>IF(U212="",0,IF(U212&lt;=0.02,0,(U212/100)/($AN$3/100)/炼钢参数表!Q212*1000))</f>
        <v>0</v>
      </c>
      <c r="AO212" s="8">
        <f>IF(V212="",0,IF(V212&lt;=0.02,0,(V212/100)/($AO$3/100)/炼钢参数表!R212*1000))</f>
        <v>0</v>
      </c>
      <c r="AP212" s="8">
        <f>IF(W212="",0,IF(W212&lt;=0.02,0,(W212/100)/($AP$3/100)/炼钢参数表!S212*1000))</f>
        <v>0</v>
      </c>
      <c r="AQ212" s="8">
        <f>IF(X212="",0,IF(X212&lt;=0.0002,0,(X212/100)/($AQ$3/100)/炼钢参数表!T212*1000))</f>
        <v>0</v>
      </c>
      <c r="AR212" s="8">
        <f>IF(Y212="",0,IF(Y212&lt;=0.02,0,(Y212/100)/($AR$3/100)/炼钢参数表!U212*1000))</f>
        <v>0</v>
      </c>
      <c r="AS212" s="8">
        <f>IF(L212&lt;=0.04,0,((L212-0.04)/100)/($AS$3/100)/炼钢参数表!V212*1000)</f>
        <v>0</v>
      </c>
      <c r="AT212" s="8">
        <f>IF(M212&lt;=0.03,0,((M212-0.03)/100)/($AT$3/100)/炼钢参数表!W212*1000)</f>
        <v>0</v>
      </c>
      <c r="AU212" s="6"/>
      <c r="AV212" s="8">
        <f t="shared" si="35"/>
        <v>26.996033688205099</v>
      </c>
      <c r="AW212" s="8" cm="1">
        <f t="array" ref="AW212">SUMPRODUCT($AB$4:$AU$4,AB212:AU212)/1000</f>
        <v>459.46604746867803</v>
      </c>
      <c r="AY212" s="2" t="str">
        <f t="shared" ref="AY212:AY240" si="36">F212</f>
        <v>590CL-2</v>
      </c>
      <c r="AZ212" s="37">
        <f>VLOOKUP(AY212,炼钢参数表!$F$5:$J$1027,4,0)</f>
        <v>4.9500000000000002E-2</v>
      </c>
      <c r="BA212" s="37">
        <f t="shared" ref="BA212:BA240" si="37">I212-AZ212</f>
        <v>2.5499999999999998E-2</v>
      </c>
      <c r="BB212" s="37">
        <f>AB212*$BB$4*炼钢参数表!$X$5/1000</f>
        <v>0</v>
      </c>
      <c r="BC212" s="37">
        <f>AC212*$BC$4*炼钢参数表!$X$5/1000</f>
        <v>0</v>
      </c>
      <c r="BD212" s="37">
        <f>AD212*$BD$4*炼钢参数表!$X$5/1000</f>
        <v>0</v>
      </c>
      <c r="BE212" s="37">
        <f>AE212*$BE$4*炼钢参数表!$X$5/1000</f>
        <v>1.04824410365205E-2</v>
      </c>
      <c r="BF212" s="37">
        <f>AL212*$BF$4*炼钢参数表!$X$5/1000</f>
        <v>0</v>
      </c>
      <c r="BG212" s="37">
        <f>AM212*$BG$4*炼钢参数表!$X$5/1000</f>
        <v>3.78532974427995E-4</v>
      </c>
      <c r="BH212" s="37">
        <f t="shared" ref="BH212:BH240" si="38">SUM(BB212:BG212)</f>
        <v>1.08609740109485E-2</v>
      </c>
      <c r="BI212" s="37">
        <f t="shared" ref="BI212:BI240" si="39">AZ212+BH212</f>
        <v>6.0360974010948497E-2</v>
      </c>
      <c r="BJ212" s="37">
        <f t="shared" ref="BJ212:BJ240" si="40">BI212-I212</f>
        <v>-1.46390259890515E-2</v>
      </c>
      <c r="BK212" s="54"/>
      <c r="BL212" s="7"/>
    </row>
    <row r="213" spans="1:64" s="18" customFormat="1" x14ac:dyDescent="0.3">
      <c r="A213" s="21">
        <v>207</v>
      </c>
      <c r="B213" s="4" t="s">
        <v>368</v>
      </c>
      <c r="C213" s="4" t="s">
        <v>23</v>
      </c>
      <c r="D213" s="4">
        <v>3</v>
      </c>
      <c r="E213" s="4">
        <v>5.99</v>
      </c>
      <c r="F213" s="4" t="s">
        <v>368</v>
      </c>
      <c r="G213" s="50" t="s">
        <v>369</v>
      </c>
      <c r="H213" s="4">
        <v>1520</v>
      </c>
      <c r="I213" s="51">
        <v>7.4999999999999997E-2</v>
      </c>
      <c r="J213" s="52">
        <v>0.1</v>
      </c>
      <c r="K213" s="52">
        <v>1.5</v>
      </c>
      <c r="L213" s="51">
        <v>0.01</v>
      </c>
      <c r="M213" s="51">
        <v>3.0000000000000001E-3</v>
      </c>
      <c r="N213" s="51" t="s">
        <v>631</v>
      </c>
      <c r="O213" s="51">
        <v>0.05</v>
      </c>
      <c r="P213" s="51">
        <v>1.4999999999999999E-2</v>
      </c>
      <c r="Q213" s="51">
        <v>0.03</v>
      </c>
      <c r="R213" s="51" t="s">
        <v>631</v>
      </c>
      <c r="S213" s="32"/>
      <c r="T213" s="52">
        <v>0.2</v>
      </c>
      <c r="U213" s="52"/>
      <c r="V213" s="52"/>
      <c r="W213" s="52"/>
      <c r="X213" s="32" t="s">
        <v>631</v>
      </c>
      <c r="Y213" s="53" t="s">
        <v>631</v>
      </c>
      <c r="Z213" s="4">
        <v>45</v>
      </c>
      <c r="AA213" s="53"/>
      <c r="AB213" s="42">
        <f>IF(J213&lt;=0.04,0,IF((BA213-AL213*BF$4*炼钢参数表!$X$5/1000-AM213*BG$4*炼钢参数表!$X$5/1000)&lt;=0.03,0,IF((J213/100/0.1769/炼钢参数表!K213*1000)&gt;(K213-炼钢参数表!J213)/100/0.6566/炼钢参数表!L213*1000,IF(K213&lt;1.6,(K213-炼钢参数表!J213)/100/0.6566/炼钢参数表!L213*1000,(K213-0.08-炼钢参数表!J213)/100/0.6566/炼钢参数表!L213*1000),IF(K213&lt;1.6,J213/100/0.1769/炼钢参数表!K213*1000,(J213-0.08)/100/0.1769/炼钢参数表!K213*1000))))</f>
        <v>0</v>
      </c>
      <c r="AC213" s="8">
        <f>IF((BA213-AB213*$BB$4*0.9/1000-AL213*BF$4*炼钢参数表!$X$5/1000-AM213*BG$4*炼钢参数表!$X$5/1000)&lt;(K213-炼钢参数表!J213-AB213*0.6566*炼钢参数表!L213/10)*0.082,0,(K213-炼钢参数表!J213-AB213*0.6566*炼钢参数表!L213/10)/100/($AC$3/100)/炼钢参数表!L213*1000)</f>
        <v>0</v>
      </c>
      <c r="AD213" s="8">
        <f>IF((BA213-AB213*$BB$4*0.9/1000-AC213*$BC$4*0.9/1000-AL213*BF$4*炼钢参数表!$X$5/1000-AM213*BG$4*炼钢参数表!$X$5/1000)&lt;=(K213-炼钢参数表!J213-AB213*0.6566*炼钢参数表!L213/10-AC213*($AC$3/100)*炼钢参数表!L213/10)*0.02,0,((K213-炼钢参数表!J213-AB213*0.6566*炼钢参数表!L213/10-AC213*($AC$3/100)*炼钢参数表!L213/10)/100/($AD$3/100)/炼钢参数表!L213*1000))</f>
        <v>0</v>
      </c>
      <c r="AE213" s="8">
        <f>(K213-炼钢参数表!J213-AB213*0.6566*炼钢参数表!L213/10-AC213*($AC$3/100)*炼钢参数表!L213/10-AD213*($AD$3/100)*炼钢参数表!L213/10)/100/($AE$3/100)/炼钢参数表!L213*1000</f>
        <v>17.5702748151853</v>
      </c>
      <c r="AF213" s="8">
        <v>0</v>
      </c>
      <c r="AG213" s="8">
        <f>IF(J213&lt;=0.04,0,((J213-(AB213*0.1769*炼钢参数表!K213/1000*100))/100/炼钢参数表!K213/($AG$3/100)*1000))</f>
        <v>1.7305828603073501</v>
      </c>
      <c r="AH213" s="8">
        <v>2.2000000000000002</v>
      </c>
      <c r="AI213" s="8">
        <f>IF(N213="",0,IF(N213&lt;=0.002,0,((N213)/100)/($AI$3/100)/炼钢参数表!M213*1000))</f>
        <v>0</v>
      </c>
      <c r="AJ213" s="8">
        <f>IF(O213="",0,IF(O213&lt;=0.002,0,((O213)/100)/($AJ$3/100)/炼钢参数表!N213*1000))</f>
        <v>0.78444661997640397</v>
      </c>
      <c r="AK213" s="8">
        <f>IF(P213="",0,IF(P213&lt;=0.002,0,((P213+0.005)/100)/($AK$3/100)/炼钢参数表!O213*1000))</f>
        <v>0.399153793956812</v>
      </c>
      <c r="AL213" s="8">
        <f>IF((BA213-J213*0.00003-K213*0.00024)&lt;=0.05,0,IF(T213="",0,IF(T213&lt;=0.03,0,IF(((BA213-J213*0.00003-K213*0.00024)-0.05)/0.18/100/($AL$3/100)/炼钢参数表!P213*1000&lt;=T213/100/($AL$3/100)/炼钢参数表!P213*1000,((BA213-J213*0.00003-K213*0.00024)-0.05)/0.18/100/($AL$3/100)/炼钢参数表!P213*1000,T213/100/($AL$3/100)/炼钢参数表!P213*1000))))</f>
        <v>0</v>
      </c>
      <c r="AM213" s="8">
        <f>IF(T213="",0,IF(T213&lt;=0.03,0,((T213-AL213*($AL$3/100)*炼钢参数表!P213/10)/100/($AM$3/100)/炼钢参数表!P213*1000)))</f>
        <v>3.5049349484073602</v>
      </c>
      <c r="AN213" s="8">
        <f>IF(U213="",0,IF(U213&lt;=0.02,0,(U213/100)/($AN$3/100)/炼钢参数表!Q213*1000))</f>
        <v>0</v>
      </c>
      <c r="AO213" s="8">
        <f>IF(V213="",0,IF(V213&lt;=0.02,0,(V213/100)/($AO$3/100)/炼钢参数表!R213*1000))</f>
        <v>0</v>
      </c>
      <c r="AP213" s="8">
        <f>IF(W213="",0,IF(W213&lt;=0.02,0,(W213/100)/($AP$3/100)/炼钢参数表!S213*1000))</f>
        <v>0</v>
      </c>
      <c r="AQ213" s="8">
        <f>IF(X213="",0,IF(X213&lt;=0.0002,0,(X213/100)/($AQ$3/100)/炼钢参数表!T213*1000))</f>
        <v>0</v>
      </c>
      <c r="AR213" s="8">
        <f>IF(Y213="",0,IF(Y213&lt;=0.02,0,(Y213/100)/($AR$3/100)/炼钢参数表!U213*1000))</f>
        <v>0</v>
      </c>
      <c r="AS213" s="8">
        <f>IF(L213&lt;=0.04,0,((L213-0.04)/100)/($AS$3/100)/炼钢参数表!V213*1000)</f>
        <v>0</v>
      </c>
      <c r="AT213" s="8">
        <f>IF(M213&lt;=0.03,0,((M213-0.03)/100)/($AT$3/100)/炼钢参数表!W213*1000)</f>
        <v>0</v>
      </c>
      <c r="AU213" s="6"/>
      <c r="AV213" s="8">
        <f t="shared" si="35"/>
        <v>26.189393037833302</v>
      </c>
      <c r="AW213" s="8" cm="1">
        <f t="array" ref="AW213">SUMPRODUCT($AB$4:$AU$4,AB213:AU213)/1000</f>
        <v>434.88588194523498</v>
      </c>
      <c r="AY213" s="2" t="str">
        <f t="shared" si="36"/>
        <v>YFDP600-SY</v>
      </c>
      <c r="AZ213" s="37">
        <f>VLOOKUP(AY213,炼钢参数表!$F$5:$J$1027,4,0)</f>
        <v>4.9500000000000002E-2</v>
      </c>
      <c r="BA213" s="37">
        <f t="shared" si="37"/>
        <v>2.5499999999999998E-2</v>
      </c>
      <c r="BB213" s="37">
        <f>AB213*$BB$4*炼钢参数表!$X$5/1000</f>
        <v>0</v>
      </c>
      <c r="BC213" s="37">
        <f>AC213*$BC$4*炼钢参数表!$X$5/1000</f>
        <v>0</v>
      </c>
      <c r="BD213" s="37">
        <f>AD213*$BD$4*炼钢参数表!$X$5/1000</f>
        <v>0</v>
      </c>
      <c r="BE213" s="37">
        <f>AE213*$BE$4*炼钢参数表!$X$5/1000</f>
        <v>1.01204782935468E-2</v>
      </c>
      <c r="BF213" s="37">
        <f>AL213*$BF$4*炼钢参数表!$X$5/1000</f>
        <v>0</v>
      </c>
      <c r="BG213" s="37">
        <f>AM213*$BG$4*炼钢参数表!$X$5/1000</f>
        <v>3.78532974427995E-4</v>
      </c>
      <c r="BH213" s="37">
        <f t="shared" si="38"/>
        <v>1.0499011267974701E-2</v>
      </c>
      <c r="BI213" s="37">
        <f t="shared" si="39"/>
        <v>5.99990112679748E-2</v>
      </c>
      <c r="BJ213" s="37">
        <f t="shared" si="40"/>
        <v>-1.5000988732025201E-2</v>
      </c>
      <c r="BK213" s="54"/>
      <c r="BL213" s="7"/>
    </row>
    <row r="214" spans="1:64" s="18" customFormat="1" x14ac:dyDescent="0.3">
      <c r="A214" s="21">
        <v>208</v>
      </c>
      <c r="B214" s="4" t="s">
        <v>370</v>
      </c>
      <c r="C214" s="4" t="s">
        <v>23</v>
      </c>
      <c r="D214" s="4">
        <v>2</v>
      </c>
      <c r="E214" s="4">
        <v>5.99</v>
      </c>
      <c r="F214" s="4" t="s">
        <v>371</v>
      </c>
      <c r="G214" s="50" t="s">
        <v>372</v>
      </c>
      <c r="H214" s="4">
        <v>1523</v>
      </c>
      <c r="I214" s="51">
        <v>7.0000000000000007E-2</v>
      </c>
      <c r="J214" s="52">
        <v>0.12</v>
      </c>
      <c r="K214" s="52">
        <v>0.9</v>
      </c>
      <c r="L214" s="51">
        <v>1.4999999999999999E-2</v>
      </c>
      <c r="M214" s="51">
        <v>5.0000000000000001E-3</v>
      </c>
      <c r="N214" s="51"/>
      <c r="O214" s="51">
        <v>0.01</v>
      </c>
      <c r="P214" s="51">
        <v>3.2000000000000001E-2</v>
      </c>
      <c r="Q214" s="51">
        <v>2.5000000000000001E-2</v>
      </c>
      <c r="R214" s="51" t="s">
        <v>631</v>
      </c>
      <c r="S214" s="32"/>
      <c r="T214" s="52"/>
      <c r="U214" s="52"/>
      <c r="V214" s="52"/>
      <c r="W214" s="52"/>
      <c r="X214" s="32" t="s">
        <v>631</v>
      </c>
      <c r="Y214" s="53" t="s">
        <v>631</v>
      </c>
      <c r="Z214" s="4">
        <v>40</v>
      </c>
      <c r="AA214" s="53" t="s">
        <v>631</v>
      </c>
      <c r="AB214" s="42">
        <f>IF(J214&lt;=0.04,0,IF((BA214-AL214*BF$4*炼钢参数表!$X$5/1000-AM214*BG$4*炼钢参数表!$X$5/1000)&lt;=0.03,0,IF((J214/100/0.1769/炼钢参数表!K214*1000)&gt;(K214-炼钢参数表!J214)/100/0.6566/炼钢参数表!L214*1000,IF(K214&lt;1.6,(K214-炼钢参数表!J214)/100/0.6566/炼钢参数表!L214*1000,(K214-0.08-炼钢参数表!J214)/100/0.6566/炼钢参数表!L214*1000),IF(K214&lt;1.6,J214/100/0.1769/炼钢参数表!K214*1000,(J214-0.08)/100/0.1769/炼钢参数表!K214*1000))))</f>
        <v>0</v>
      </c>
      <c r="AC214" s="8">
        <f>IF((BA214-AB214*$BB$4*0.9/1000-AL214*BF$4*炼钢参数表!$X$5/1000-AM214*BG$4*炼钢参数表!$X$5/1000)&lt;(K214-炼钢参数表!J214-AB214*0.6566*炼钢参数表!L214/10)*0.082,0,(K214-炼钢参数表!J214-AB214*0.6566*炼钢参数表!L214/10)/100/($AC$3/100)/炼钢参数表!L214*1000)</f>
        <v>0</v>
      </c>
      <c r="AD214" s="8">
        <f>IF((BA214-AB214*$BB$4*0.9/1000-AC214*$BC$4*0.9/1000-AL214*BF$4*炼钢参数表!$X$5/1000-AM214*BG$4*炼钢参数表!$X$5/1000)&lt;=(K214-炼钢参数表!J214-AB214*0.6566*炼钢参数表!L214/10-AC214*($AC$3/100)*炼钢参数表!L214/10)*0.02,0,((K214-炼钢参数表!J214-AB214*0.6566*炼钢参数表!L214/10-AC214*($AC$3/100)*炼钢参数表!L214/10)/100/($AD$3/100)/炼钢参数表!L214*1000))</f>
        <v>10.494381987165101</v>
      </c>
      <c r="AE214" s="8">
        <f>(K214-炼钢参数表!J214-AB214*0.6566*炼钢参数表!L214/10-AC214*($AC$3/100)*炼钢参数表!L214/10-AD214*($AD$3/100)*炼钢参数表!L214/10)/100/($AE$3/100)/炼钢参数表!L214*1000</f>
        <v>0</v>
      </c>
      <c r="AF214" s="8">
        <v>0</v>
      </c>
      <c r="AG214" s="8">
        <f>IF(J214&lt;=0.04,0,((J214-(AB214*0.1769*炼钢参数表!K214/1000*100))/100/炼钢参数表!K214/($AG$3/100)*1000))</f>
        <v>2.0766994323688199</v>
      </c>
      <c r="AH214" s="8">
        <v>2.2999999999999998</v>
      </c>
      <c r="AI214" s="8">
        <f>IF(N214="",0,IF(N214&lt;=0.002,0,((N214)/100)/($AI$3/100)/炼钢参数表!M214*1000))</f>
        <v>0</v>
      </c>
      <c r="AJ214" s="8">
        <f>IF(O214="",0,IF(O214&lt;=0.002,0,((O214)/100)/($AJ$3/100)/炼钢参数表!N214*1000))</f>
        <v>0.15688932399528099</v>
      </c>
      <c r="AK214" s="8">
        <f>IF(P214="",0,IF(P214&lt;=0.002,0,((P214+0.005)/100)/($AK$3/100)/炼钢参数表!O214*1000))</f>
        <v>0.73843451882010103</v>
      </c>
      <c r="AL214" s="8">
        <f>IF((BA214-J214*0.00003-K214*0.00024)&lt;=0.05,0,IF(T214="",0,IF(T214&lt;=0.03,0,IF(((BA214-J214*0.00003-K214*0.00024)-0.05)/0.18/100/($AL$3/100)/炼钢参数表!P214*1000&lt;=T214/100/($AL$3/100)/炼钢参数表!P214*1000,((BA214-J214*0.00003-K214*0.00024)-0.05)/0.18/100/($AL$3/100)/炼钢参数表!P214*1000,T214/100/($AL$3/100)/炼钢参数表!P214*1000))))</f>
        <v>0</v>
      </c>
      <c r="AM214" s="8">
        <f>IF(T214="",0,IF(T214&lt;=0.03,0,((T214-AL214*($AL$3/100)*炼钢参数表!P214/10)/100/($AM$3/100)/炼钢参数表!P214*1000)))</f>
        <v>0</v>
      </c>
      <c r="AN214" s="8">
        <f>IF(U214="",0,IF(U214&lt;=0.02,0,(U214/100)/($AN$3/100)/炼钢参数表!Q214*1000))</f>
        <v>0</v>
      </c>
      <c r="AO214" s="8">
        <f>IF(V214="",0,IF(V214&lt;=0.02,0,(V214/100)/($AO$3/100)/炼钢参数表!R214*1000))</f>
        <v>0</v>
      </c>
      <c r="AP214" s="8">
        <f>IF(W214="",0,IF(W214&lt;=0.02,0,(W214/100)/($AP$3/100)/炼钢参数表!S214*1000))</f>
        <v>0</v>
      </c>
      <c r="AQ214" s="8">
        <f>IF(X214="",0,IF(X214&lt;=0.0002,0,(X214/100)/($AQ$3/100)/炼钢参数表!T214*1000))</f>
        <v>0</v>
      </c>
      <c r="AR214" s="8">
        <f>IF(Y214="",0,IF(Y214&lt;=0.02,0,(Y214/100)/($AR$3/100)/炼钢参数表!U214*1000))</f>
        <v>0</v>
      </c>
      <c r="AS214" s="8">
        <f>IF(L214&lt;=0.04,0,((L214-0.04)/100)/($AS$3/100)/炼钢参数表!V214*1000)</f>
        <v>0</v>
      </c>
      <c r="AT214" s="8">
        <f>IF(M214&lt;=0.03,0,((M214-0.03)/100)/($AT$3/100)/炼钢参数表!W214*1000)</f>
        <v>0</v>
      </c>
      <c r="AU214" s="6"/>
      <c r="AV214" s="8">
        <f t="shared" si="35"/>
        <v>15.7664052623493</v>
      </c>
      <c r="AW214" s="8" cm="1">
        <f t="array" ref="AW214">SUMPRODUCT($AB$4:$AU$4,AB214:AU214)/1000</f>
        <v>194.83233935471401</v>
      </c>
      <c r="AY214" s="2" t="str">
        <f t="shared" si="36"/>
        <v>510L-1</v>
      </c>
      <c r="AZ214" s="37">
        <f>VLOOKUP(AY214,炼钢参数表!$F$5:$J$1027,4,0)</f>
        <v>4.3193798449612401E-2</v>
      </c>
      <c r="BA214" s="37">
        <f t="shared" si="37"/>
        <v>2.6806201550387598E-2</v>
      </c>
      <c r="BB214" s="37">
        <f>AB214*$BB$4*炼钢参数表!$X$5/1000</f>
        <v>0</v>
      </c>
      <c r="BC214" s="37">
        <f>AC214*$BC$4*炼钢参数表!$X$5/1000</f>
        <v>0</v>
      </c>
      <c r="BD214" s="37">
        <f>AD214*$BD$4*炼钢参数表!$X$5/1000</f>
        <v>1.41674156826729E-2</v>
      </c>
      <c r="BE214" s="37">
        <f>AE214*$BE$4*炼钢参数表!$X$5/1000</f>
        <v>0</v>
      </c>
      <c r="BF214" s="37">
        <f>AL214*$BF$4*炼钢参数表!$X$5/1000</f>
        <v>0</v>
      </c>
      <c r="BG214" s="37">
        <f>AM214*$BG$4*炼钢参数表!$X$5/1000</f>
        <v>0</v>
      </c>
      <c r="BH214" s="37">
        <f t="shared" si="38"/>
        <v>1.41674156826729E-2</v>
      </c>
      <c r="BI214" s="37">
        <f t="shared" si="39"/>
        <v>5.7361214132285301E-2</v>
      </c>
      <c r="BJ214" s="37">
        <f t="shared" si="40"/>
        <v>-1.26387858677147E-2</v>
      </c>
      <c r="BK214" s="54"/>
      <c r="BL214" s="7"/>
    </row>
    <row r="215" spans="1:64" s="18" customFormat="1" x14ac:dyDescent="0.3">
      <c r="A215" s="21">
        <v>209</v>
      </c>
      <c r="B215" s="4" t="s">
        <v>370</v>
      </c>
      <c r="C215" s="4" t="s">
        <v>26</v>
      </c>
      <c r="D215" s="4">
        <v>6</v>
      </c>
      <c r="E215" s="4">
        <v>14</v>
      </c>
      <c r="F215" s="4" t="s">
        <v>373</v>
      </c>
      <c r="G215" s="50" t="s">
        <v>372</v>
      </c>
      <c r="H215" s="4">
        <v>1523</v>
      </c>
      <c r="I215" s="51">
        <v>7.0000000000000007E-2</v>
      </c>
      <c r="J215" s="52">
        <v>0.12</v>
      </c>
      <c r="K215" s="52">
        <v>1</v>
      </c>
      <c r="L215" s="51">
        <v>1.4999999999999999E-2</v>
      </c>
      <c r="M215" s="51">
        <v>5.0000000000000001E-3</v>
      </c>
      <c r="N215" s="51"/>
      <c r="O215" s="51">
        <v>1.2E-2</v>
      </c>
      <c r="P215" s="51">
        <v>3.5000000000000003E-2</v>
      </c>
      <c r="Q215" s="51">
        <v>2.5000000000000001E-2</v>
      </c>
      <c r="R215" s="51" t="s">
        <v>631</v>
      </c>
      <c r="S215" s="32"/>
      <c r="T215" s="52"/>
      <c r="U215" s="52"/>
      <c r="V215" s="52"/>
      <c r="W215" s="52"/>
      <c r="X215" s="32" t="s">
        <v>631</v>
      </c>
      <c r="Y215" s="53" t="s">
        <v>631</v>
      </c>
      <c r="Z215" s="4">
        <v>40</v>
      </c>
      <c r="AA215" s="53" t="s">
        <v>631</v>
      </c>
      <c r="AB215" s="42">
        <f>IF(J215&lt;=0.04,0,IF((BA215-AL215*BF$4*炼钢参数表!$X$5/1000-AM215*BG$4*炼钢参数表!$X$5/1000)&lt;=0.03,0,IF((J215/100/0.1769/炼钢参数表!K215*1000)&gt;(K215-炼钢参数表!J215)/100/0.6566/炼钢参数表!L215*1000,IF(K215&lt;1.6,(K215-炼钢参数表!J215)/100/0.6566/炼钢参数表!L215*1000,(K215-0.08-炼钢参数表!J215)/100/0.6566/炼钢参数表!L215*1000),IF(K215&lt;1.6,J215/100/0.1769/炼钢参数表!K215*1000,(J215-0.08)/100/0.1769/炼钢参数表!K215*1000))))</f>
        <v>0</v>
      </c>
      <c r="AC215" s="8">
        <f>IF((BA215-AB215*$BB$4*0.9/1000-AL215*BF$4*炼钢参数表!$X$5/1000-AM215*BG$4*炼钢参数表!$X$5/1000)&lt;(K215-炼钢参数表!J215-AB215*0.6566*炼钢参数表!L215/10)*0.082,0,(K215-炼钢参数表!J215-AB215*0.6566*炼钢参数表!L215/10)/100/($AC$3/100)/炼钢参数表!L215*1000)</f>
        <v>0</v>
      </c>
      <c r="AD215" s="8">
        <f>IF((BA215-AB215*$BB$4*0.9/1000-AC215*$BC$4*0.9/1000-AL215*BF$4*炼钢参数表!$X$5/1000-AM215*BG$4*炼钢参数表!$X$5/1000)&lt;=(K215-炼钢参数表!J215-AB215*0.6566*炼钢参数表!L215/10-AC215*($AC$3/100)*炼钢参数表!L215/10)*0.02,0,((K215-炼钢参数表!J215-AB215*0.6566*炼钢参数表!L215/10-AC215*($AC$3/100)*炼钢参数表!L215/10)/100/($AD$3/100)/炼钢参数表!L215*1000))</f>
        <v>11.775902805041699</v>
      </c>
      <c r="AE215" s="8">
        <f>(K215-炼钢参数表!J215-AB215*0.6566*炼钢参数表!L215/10-AC215*($AC$3/100)*炼钢参数表!L215/10-AD215*($AD$3/100)*炼钢参数表!L215/10)/100/($AE$3/100)/炼钢参数表!L215*1000</f>
        <v>0</v>
      </c>
      <c r="AF215" s="8">
        <v>0</v>
      </c>
      <c r="AG215" s="8">
        <f>IF(J215&lt;=0.04,0,((J215-(AB215*0.1769*炼钢参数表!K215/1000*100))/100/炼钢参数表!K215/($AG$3/100)*1000))</f>
        <v>2.0766994323688199</v>
      </c>
      <c r="AH215" s="8">
        <v>2.2999999999999998</v>
      </c>
      <c r="AI215" s="8">
        <f>IF(N215="",0,IF(N215&lt;=0.002,0,((N215)/100)/($AI$3/100)/炼钢参数表!M215*1000))</f>
        <v>0</v>
      </c>
      <c r="AJ215" s="8">
        <f>IF(O215="",0,IF(O215&lt;=0.002,0,((O215)/100)/($AJ$3/100)/炼钢参数表!N215*1000))</f>
        <v>0.18826718879433699</v>
      </c>
      <c r="AK215" s="8">
        <f>IF(P215="",0,IF(P215&lt;=0.002,0,((P215+0.005)/100)/($AK$3/100)/炼钢参数表!O215*1000))</f>
        <v>0.798307587913623</v>
      </c>
      <c r="AL215" s="8">
        <f>IF((BA215-J215*0.00003-K215*0.00024)&lt;=0.05,0,IF(T215="",0,IF(T215&lt;=0.03,0,IF(((BA215-J215*0.00003-K215*0.00024)-0.05)/0.18/100/($AL$3/100)/炼钢参数表!P215*1000&lt;=T215/100/($AL$3/100)/炼钢参数表!P215*1000,((BA215-J215*0.00003-K215*0.00024)-0.05)/0.18/100/($AL$3/100)/炼钢参数表!P215*1000,T215/100/($AL$3/100)/炼钢参数表!P215*1000))))</f>
        <v>0</v>
      </c>
      <c r="AM215" s="8">
        <f>IF(T215="",0,IF(T215&lt;=0.03,0,((T215-AL215*($AL$3/100)*炼钢参数表!P215/10)/100/($AM$3/100)/炼钢参数表!P215*1000)))</f>
        <v>0</v>
      </c>
      <c r="AN215" s="8">
        <f>IF(U215="",0,IF(U215&lt;=0.02,0,(U215/100)/($AN$3/100)/炼钢参数表!Q215*1000))</f>
        <v>0</v>
      </c>
      <c r="AO215" s="8">
        <f>IF(V215="",0,IF(V215&lt;=0.02,0,(V215/100)/($AO$3/100)/炼钢参数表!R215*1000))</f>
        <v>0</v>
      </c>
      <c r="AP215" s="8">
        <f>IF(W215="",0,IF(W215&lt;=0.02,0,(W215/100)/($AP$3/100)/炼钢参数表!S215*1000))</f>
        <v>0</v>
      </c>
      <c r="AQ215" s="8">
        <f>IF(X215="",0,IF(X215&lt;=0.0002,0,(X215/100)/($AQ$3/100)/炼钢参数表!T215*1000))</f>
        <v>0</v>
      </c>
      <c r="AR215" s="8">
        <f>IF(Y215="",0,IF(Y215&lt;=0.02,0,(Y215/100)/($AR$3/100)/炼钢参数表!U215*1000))</f>
        <v>0</v>
      </c>
      <c r="AS215" s="8">
        <f>IF(L215&lt;=0.04,0,((L215-0.04)/100)/($AS$3/100)/炼钢参数表!V215*1000)</f>
        <v>0</v>
      </c>
      <c r="AT215" s="8">
        <f>IF(M215&lt;=0.03,0,((M215-0.03)/100)/($AT$3/100)/炼钢参数表!W215*1000)</f>
        <v>0</v>
      </c>
      <c r="AU215" s="6"/>
      <c r="AV215" s="8">
        <f t="shared" si="35"/>
        <v>17.139177014118498</v>
      </c>
      <c r="AW215" s="8" cm="1">
        <f t="array" ref="AW215">SUMPRODUCT($AB$4:$AU$4,AB215:AU215)/1000</f>
        <v>212.93784348654199</v>
      </c>
      <c r="AY215" s="2" t="str">
        <f t="shared" si="36"/>
        <v>510L-2</v>
      </c>
      <c r="AZ215" s="37">
        <f>VLOOKUP(AY215,炼钢参数表!$F$5:$J$1027,4,0)</f>
        <v>4.4036363636363603E-2</v>
      </c>
      <c r="BA215" s="37">
        <f t="shared" si="37"/>
        <v>2.5963636363636401E-2</v>
      </c>
      <c r="BB215" s="37">
        <f>AB215*$BB$4*炼钢参数表!$X$5/1000</f>
        <v>0</v>
      </c>
      <c r="BC215" s="37">
        <f>AC215*$BC$4*炼钢参数表!$X$5/1000</f>
        <v>0</v>
      </c>
      <c r="BD215" s="37">
        <f>AD215*$BD$4*炼钢参数表!$X$5/1000</f>
        <v>1.5897468786806299E-2</v>
      </c>
      <c r="BE215" s="37">
        <f>AE215*$BE$4*炼钢参数表!$X$5/1000</f>
        <v>0</v>
      </c>
      <c r="BF215" s="37">
        <f>AL215*$BF$4*炼钢参数表!$X$5/1000</f>
        <v>0</v>
      </c>
      <c r="BG215" s="37">
        <f>AM215*$BG$4*炼钢参数表!$X$5/1000</f>
        <v>0</v>
      </c>
      <c r="BH215" s="37">
        <f t="shared" si="38"/>
        <v>1.5897468786806299E-2</v>
      </c>
      <c r="BI215" s="37">
        <f t="shared" si="39"/>
        <v>5.9933832423169901E-2</v>
      </c>
      <c r="BJ215" s="37">
        <f t="shared" si="40"/>
        <v>-1.00661675768301E-2</v>
      </c>
      <c r="BK215" s="54"/>
      <c r="BL215" s="7"/>
    </row>
    <row r="216" spans="1:64" s="18" customFormat="1" x14ac:dyDescent="0.3">
      <c r="A216" s="21">
        <v>210</v>
      </c>
      <c r="B216" s="4" t="s">
        <v>374</v>
      </c>
      <c r="C216" s="4" t="s">
        <v>23</v>
      </c>
      <c r="D216" s="4">
        <v>2</v>
      </c>
      <c r="E216" s="4">
        <v>5.99</v>
      </c>
      <c r="F216" s="4" t="s">
        <v>375</v>
      </c>
      <c r="G216" s="50" t="s">
        <v>376</v>
      </c>
      <c r="H216" s="4">
        <v>1521</v>
      </c>
      <c r="I216" s="51">
        <v>7.0000000000000007E-2</v>
      </c>
      <c r="J216" s="52">
        <v>0.15</v>
      </c>
      <c r="K216" s="52">
        <v>1.3</v>
      </c>
      <c r="L216" s="51">
        <v>1.4999999999999999E-2</v>
      </c>
      <c r="M216" s="51">
        <v>4.0000000000000001E-3</v>
      </c>
      <c r="N216" s="51"/>
      <c r="O216" s="51">
        <v>1.4999999999999999E-2</v>
      </c>
      <c r="P216" s="51">
        <v>5.5E-2</v>
      </c>
      <c r="Q216" s="51">
        <v>2.5000000000000001E-2</v>
      </c>
      <c r="R216" s="51" t="s">
        <v>631</v>
      </c>
      <c r="S216" s="32">
        <v>2E-3</v>
      </c>
      <c r="T216" s="52"/>
      <c r="U216" s="52"/>
      <c r="V216" s="52"/>
      <c r="W216" s="52"/>
      <c r="X216" s="32" t="s">
        <v>631</v>
      </c>
      <c r="Y216" s="53" t="s">
        <v>631</v>
      </c>
      <c r="Z216" s="4">
        <v>40</v>
      </c>
      <c r="AA216" s="53"/>
      <c r="AB216" s="42">
        <f>IF(J216&lt;=0.04,0,IF((BA216-AL216*BF$4*炼钢参数表!$X$5/1000-AM216*BG$4*炼钢参数表!$X$5/1000)&lt;=0.03,0,IF((J216/100/0.1769/炼钢参数表!K216*1000)&gt;(K216-炼钢参数表!J216)/100/0.6566/炼钢参数表!L216*1000,IF(K216&lt;1.6,(K216-炼钢参数表!J216)/100/0.6566/炼钢参数表!L216*1000,(K216-0.08-炼钢参数表!J216)/100/0.6566/炼钢参数表!L216*1000),IF(K216&lt;1.6,J216/100/0.1769/炼钢参数表!K216*1000,(J216-0.08)/100/0.1769/炼钢参数表!K216*1000))))</f>
        <v>0</v>
      </c>
      <c r="AC216" s="8">
        <f>IF((BA216-AB216*$BB$4*0.9/1000-AL216*BF$4*炼钢参数表!$X$5/1000-AM216*BG$4*炼钢参数表!$X$5/1000)&lt;(K216-炼钢参数表!J216-AB216*0.6566*炼钢参数表!L216/10)*0.082,0,(K216-炼钢参数表!J216-AB216*0.6566*炼钢参数表!L216/10)/100/($AC$3/100)/炼钢参数表!L216*1000)</f>
        <v>0</v>
      </c>
      <c r="AD216" s="8">
        <f>IF((BA216-AB216*$BB$4*0.9/1000-AC216*$BC$4*0.9/1000-AL216*BF$4*炼钢参数表!$X$5/1000-AM216*BG$4*炼钢参数表!$X$5/1000)&lt;=(K216-炼钢参数表!J216-AB216*0.6566*炼钢参数表!L216/10-AC216*($AC$3/100)*炼钢参数表!L216/10)*0.02,0,((K216-炼钢参数表!J216-AB216*0.6566*炼钢参数表!L216/10-AC216*($AC$3/100)*炼钢参数表!L216/10)/100/($AD$3/100)/炼钢参数表!L216*1000))</f>
        <v>0</v>
      </c>
      <c r="AE216" s="8">
        <f>(K216-炼钢参数表!J216-AB216*0.6566*炼钢参数表!L216/10-AC216*($AC$3/100)*炼钢参数表!L216/10-AD216*($AD$3/100)*炼钢参数表!L216/10)/100/($AE$3/100)/炼钢参数表!L216*1000</f>
        <v>15.179139871870699</v>
      </c>
      <c r="AF216" s="8">
        <v>0</v>
      </c>
      <c r="AG216" s="8">
        <f>IF(J216&lt;=0.04,0,((J216-(AB216*0.1769*炼钢参数表!K216/1000*100))/100/炼钢参数表!K216/($AG$3/100)*1000))</f>
        <v>2.5958742904610301</v>
      </c>
      <c r="AH216" s="8">
        <v>2</v>
      </c>
      <c r="AI216" s="8">
        <f>IF(N216="",0,IF(N216&lt;=0.002,0,((N216)/100)/($AI$3/100)/炼钢参数表!M216*1000))</f>
        <v>0</v>
      </c>
      <c r="AJ216" s="8">
        <f>IF(O216="",0,IF(O216&lt;=0.002,0,((O216)/100)/($AJ$3/100)/炼钢参数表!N216*1000))</f>
        <v>0.23533398599292099</v>
      </c>
      <c r="AK216" s="8">
        <f>IF(P216="",0,IF(P216&lt;=0.002,0,((P216+0.005)/100)/($AK$3/100)/炼钢参数表!O216*1000))</f>
        <v>1.1974613818704301</v>
      </c>
      <c r="AL216" s="8">
        <f>IF((BA216-J216*0.00003-K216*0.00024)&lt;=0.05,0,IF(T216="",0,IF(T216&lt;=0.03,0,IF(((BA216-J216*0.00003-K216*0.00024)-0.05)/0.18/100/($AL$3/100)/炼钢参数表!P216*1000&lt;=T216/100/($AL$3/100)/炼钢参数表!P216*1000,((BA216-J216*0.00003-K216*0.00024)-0.05)/0.18/100/($AL$3/100)/炼钢参数表!P216*1000,T216/100/($AL$3/100)/炼钢参数表!P216*1000))))</f>
        <v>0</v>
      </c>
      <c r="AM216" s="8">
        <f>IF(T216="",0,IF(T216&lt;=0.03,0,((T216-AL216*($AL$3/100)*炼钢参数表!P216/10)/100/($AM$3/100)/炼钢参数表!P216*1000)))</f>
        <v>0</v>
      </c>
      <c r="AN216" s="8">
        <f>IF(U216="",0,IF(U216&lt;=0.02,0,(U216/100)/($AN$3/100)/炼钢参数表!Q216*1000))</f>
        <v>0</v>
      </c>
      <c r="AO216" s="8">
        <f>IF(V216="",0,IF(V216&lt;=0.02,0,(V216/100)/($AO$3/100)/炼钢参数表!R216*1000))</f>
        <v>0</v>
      </c>
      <c r="AP216" s="8">
        <f>IF(W216="",0,IF(W216&lt;=0.02,0,(W216/100)/($AP$3/100)/炼钢参数表!S216*1000))</f>
        <v>0</v>
      </c>
      <c r="AQ216" s="8">
        <f>IF(X216="",0,IF(X216&lt;=0.0002,0,(X216/100)/($AQ$3/100)/炼钢参数表!T216*1000))</f>
        <v>0</v>
      </c>
      <c r="AR216" s="8">
        <f>IF(Y216="",0,IF(Y216&lt;=0.02,0,(Y216/100)/($AR$3/100)/炼钢参数表!U216*1000))</f>
        <v>0</v>
      </c>
      <c r="AS216" s="8">
        <f>IF(L216&lt;=0.04,0,((L216-0.04)/100)/($AS$3/100)/炼钢参数表!V216*1000)</f>
        <v>0</v>
      </c>
      <c r="AT216" s="8">
        <f>IF(M216&lt;=0.03,0,((M216-0.03)/100)/($AT$3/100)/炼钢参数表!W216*1000)</f>
        <v>0</v>
      </c>
      <c r="AU216" s="6"/>
      <c r="AV216" s="8">
        <f t="shared" si="35"/>
        <v>21.2078095301951</v>
      </c>
      <c r="AW216" s="8" cm="1">
        <f t="array" ref="AW216">SUMPRODUCT($AB$4:$AU$4,AB216:AU216)/1000</f>
        <v>265.25753146263401</v>
      </c>
      <c r="AY216" s="2" t="str">
        <f t="shared" si="36"/>
        <v>610L-1</v>
      </c>
      <c r="AZ216" s="37">
        <f>VLOOKUP(AY216,炼钢参数表!$F$5:$J$1027,4,0)</f>
        <v>4.6154929577464802E-2</v>
      </c>
      <c r="BA216" s="37">
        <f t="shared" si="37"/>
        <v>2.3845070422535201E-2</v>
      </c>
      <c r="BB216" s="37">
        <f>AB216*$BB$4*炼钢参数表!$X$5/1000</f>
        <v>0</v>
      </c>
      <c r="BC216" s="37">
        <f>AC216*$BC$4*炼钢参数表!$X$5/1000</f>
        <v>0</v>
      </c>
      <c r="BD216" s="37">
        <f>AD216*$BD$4*炼钢参数表!$X$5/1000</f>
        <v>0</v>
      </c>
      <c r="BE216" s="37">
        <f>AE216*$BE$4*炼钢参数表!$X$5/1000</f>
        <v>8.7431845661975292E-3</v>
      </c>
      <c r="BF216" s="37">
        <f>AL216*$BF$4*炼钢参数表!$X$5/1000</f>
        <v>0</v>
      </c>
      <c r="BG216" s="37">
        <f>AM216*$BG$4*炼钢参数表!$X$5/1000</f>
        <v>0</v>
      </c>
      <c r="BH216" s="37">
        <f t="shared" si="38"/>
        <v>8.7431845661975292E-3</v>
      </c>
      <c r="BI216" s="37">
        <f t="shared" si="39"/>
        <v>5.4898114143662302E-2</v>
      </c>
      <c r="BJ216" s="37">
        <f t="shared" si="40"/>
        <v>-1.5101885856337699E-2</v>
      </c>
      <c r="BK216" s="54"/>
      <c r="BL216" s="7"/>
    </row>
    <row r="217" spans="1:64" s="18" customFormat="1" x14ac:dyDescent="0.3">
      <c r="A217" s="21">
        <v>211</v>
      </c>
      <c r="B217" s="4" t="s">
        <v>374</v>
      </c>
      <c r="C217" s="4" t="s">
        <v>26</v>
      </c>
      <c r="D217" s="4">
        <v>6</v>
      </c>
      <c r="E217" s="4">
        <v>14</v>
      </c>
      <c r="F217" s="4" t="s">
        <v>377</v>
      </c>
      <c r="G217" s="50" t="s">
        <v>376</v>
      </c>
      <c r="H217" s="4">
        <v>1521</v>
      </c>
      <c r="I217" s="51">
        <v>7.0000000000000007E-2</v>
      </c>
      <c r="J217" s="52">
        <v>0.15</v>
      </c>
      <c r="K217" s="52">
        <v>1.35</v>
      </c>
      <c r="L217" s="51">
        <v>1.4999999999999999E-2</v>
      </c>
      <c r="M217" s="51">
        <v>4.0000000000000001E-3</v>
      </c>
      <c r="N217" s="51"/>
      <c r="O217" s="51">
        <v>1.7999999999999999E-2</v>
      </c>
      <c r="P217" s="51">
        <v>6.5000000000000002E-2</v>
      </c>
      <c r="Q217" s="51">
        <v>2.5000000000000001E-2</v>
      </c>
      <c r="R217" s="51" t="s">
        <v>631</v>
      </c>
      <c r="S217" s="32">
        <v>2E-3</v>
      </c>
      <c r="T217" s="52"/>
      <c r="U217" s="52"/>
      <c r="V217" s="52"/>
      <c r="W217" s="52"/>
      <c r="X217" s="32" t="s">
        <v>631</v>
      </c>
      <c r="Y217" s="53" t="s">
        <v>631</v>
      </c>
      <c r="Z217" s="4">
        <v>40</v>
      </c>
      <c r="AA217" s="53"/>
      <c r="AB217" s="42">
        <f>IF(J217&lt;=0.04,0,IF((BA217-AL217*BF$4*炼钢参数表!$X$5/1000-AM217*BG$4*炼钢参数表!$X$5/1000)&lt;=0.03,0,IF((J217/100/0.1769/炼钢参数表!K217*1000)&gt;(K217-炼钢参数表!J217)/100/0.6566/炼钢参数表!L217*1000,IF(K217&lt;1.6,(K217-炼钢参数表!J217)/100/0.6566/炼钢参数表!L217*1000,(K217-0.08-炼钢参数表!J217)/100/0.6566/炼钢参数表!L217*1000),IF(K217&lt;1.6,J217/100/0.1769/炼钢参数表!K217*1000,(J217-0.08)/100/0.1769/炼钢参数表!K217*1000))))</f>
        <v>0</v>
      </c>
      <c r="AC217" s="8">
        <f>IF((BA217-AB217*$BB$4*0.9/1000-AL217*BF$4*炼钢参数表!$X$5/1000-AM217*BG$4*炼钢参数表!$X$5/1000)&lt;(K217-炼钢参数表!J217-AB217*0.6566*炼钢参数表!L217/10)*0.082,0,(K217-炼钢参数表!J217-AB217*0.6566*炼钢参数表!L217/10)/100/($AC$3/100)/炼钢参数表!L217*1000)</f>
        <v>0</v>
      </c>
      <c r="AD217" s="8">
        <f>IF((BA217-AB217*$BB$4*0.9/1000-AC217*$BC$4*0.9/1000-AL217*BF$4*炼钢参数表!$X$5/1000-AM217*BG$4*炼钢参数表!$X$5/1000)&lt;=(K217-炼钢参数表!J217-AB217*0.6566*炼钢参数表!L217/10-AC217*($AC$3/100)*炼钢参数表!L217/10)*0.02,0,((K217-炼钢参数表!J217-AB217*0.6566*炼钢参数表!L217/10-AC217*($AC$3/100)*炼钢参数表!L217/10)/100/($AD$3/100)/炼钢参数表!L217*1000))</f>
        <v>0</v>
      </c>
      <c r="AE217" s="8">
        <f>(K217-炼钢参数表!J217-AB217*0.6566*炼钢参数表!L217/10-AC217*($AC$3/100)*炼钢参数表!L217/10-AD217*($AD$3/100)*炼钢参数表!L217/10)/100/($AE$3/100)/炼钢参数表!L217*1000</f>
        <v>15.755784579089401</v>
      </c>
      <c r="AF217" s="8">
        <v>0</v>
      </c>
      <c r="AG217" s="8">
        <f>IF(J217&lt;=0.04,0,((J217-(AB217*0.1769*炼钢参数表!K217/1000*100))/100/炼钢参数表!K217/($AG$3/100)*1000))</f>
        <v>2.5958742904610301</v>
      </c>
      <c r="AH217" s="8">
        <v>2</v>
      </c>
      <c r="AI217" s="8">
        <f>IF(N217="",0,IF(N217&lt;=0.002,0,((N217)/100)/($AI$3/100)/炼钢参数表!M217*1000))</f>
        <v>0</v>
      </c>
      <c r="AJ217" s="8">
        <f>IF(O217="",0,IF(O217&lt;=0.002,0,((O217)/100)/($AJ$3/100)/炼钢参数表!N217*1000))</f>
        <v>0.28240078319150502</v>
      </c>
      <c r="AK217" s="8">
        <f>IF(P217="",0,IF(P217&lt;=0.002,0,((P217+0.005)/100)/($AK$3/100)/炼钢参数表!O217*1000))</f>
        <v>1.39703827884884</v>
      </c>
      <c r="AL217" s="8">
        <f>IF((BA217-J217*0.00003-K217*0.00024)&lt;=0.05,0,IF(T217="",0,IF(T217&lt;=0.03,0,IF(((BA217-J217*0.00003-K217*0.00024)-0.05)/0.18/100/($AL$3/100)/炼钢参数表!P217*1000&lt;=T217/100/($AL$3/100)/炼钢参数表!P217*1000,((BA217-J217*0.00003-K217*0.00024)-0.05)/0.18/100/($AL$3/100)/炼钢参数表!P217*1000,T217/100/($AL$3/100)/炼钢参数表!P217*1000))))</f>
        <v>0</v>
      </c>
      <c r="AM217" s="8">
        <f>IF(T217="",0,IF(T217&lt;=0.03,0,((T217-AL217*($AL$3/100)*炼钢参数表!P217/10)/100/($AM$3/100)/炼钢参数表!P217*1000)))</f>
        <v>0</v>
      </c>
      <c r="AN217" s="8">
        <f>IF(U217="",0,IF(U217&lt;=0.02,0,(U217/100)/($AN$3/100)/炼钢参数表!Q217*1000))</f>
        <v>0</v>
      </c>
      <c r="AO217" s="8">
        <f>IF(V217="",0,IF(V217&lt;=0.02,0,(V217/100)/($AO$3/100)/炼钢参数表!R217*1000))</f>
        <v>0</v>
      </c>
      <c r="AP217" s="8">
        <f>IF(W217="",0,IF(W217&lt;=0.02,0,(W217/100)/($AP$3/100)/炼钢参数表!S217*1000))</f>
        <v>0</v>
      </c>
      <c r="AQ217" s="8">
        <f>IF(X217="",0,IF(X217&lt;=0.0002,0,(X217/100)/($AQ$3/100)/炼钢参数表!T217*1000))</f>
        <v>0</v>
      </c>
      <c r="AR217" s="8">
        <f>IF(Y217="",0,IF(Y217&lt;=0.02,0,(Y217/100)/($AR$3/100)/炼钢参数表!U217*1000))</f>
        <v>0</v>
      </c>
      <c r="AS217" s="8">
        <f>IF(L217&lt;=0.04,0,((L217-0.04)/100)/($AS$3/100)/炼钢参数表!V217*1000)</f>
        <v>0</v>
      </c>
      <c r="AT217" s="8">
        <f>IF(M217&lt;=0.03,0,((M217-0.03)/100)/($AT$3/100)/炼钢参数表!W217*1000)</f>
        <v>0</v>
      </c>
      <c r="AU217" s="6"/>
      <c r="AV217" s="8">
        <f t="shared" si="35"/>
        <v>22.0310979315908</v>
      </c>
      <c r="AW217" s="8" cm="1">
        <f t="array" ref="AW217">SUMPRODUCT($AB$4:$AU$4,AB217:AU217)/1000</f>
        <v>285.04646782068301</v>
      </c>
      <c r="AY217" s="2" t="str">
        <f t="shared" si="36"/>
        <v>610L-2</v>
      </c>
      <c r="AZ217" s="37">
        <f>VLOOKUP(AY217,炼钢参数表!$F$5:$J$1027,4,0)</f>
        <v>4.5162790697674399E-2</v>
      </c>
      <c r="BA217" s="37">
        <f t="shared" si="37"/>
        <v>2.4837209302325601E-2</v>
      </c>
      <c r="BB217" s="37">
        <f>AB217*$BB$4*炼钢参数表!$X$5/1000</f>
        <v>0</v>
      </c>
      <c r="BC217" s="37">
        <f>AC217*$BC$4*炼钢参数表!$X$5/1000</f>
        <v>0</v>
      </c>
      <c r="BD217" s="37">
        <f>AD217*$BD$4*炼钢参数表!$X$5/1000</f>
        <v>0</v>
      </c>
      <c r="BE217" s="37">
        <f>AE217*$BE$4*炼钢参数表!$X$5/1000</f>
        <v>9.0753319175554993E-3</v>
      </c>
      <c r="BF217" s="37">
        <f>AL217*$BF$4*炼钢参数表!$X$5/1000</f>
        <v>0</v>
      </c>
      <c r="BG217" s="37">
        <f>AM217*$BG$4*炼钢参数表!$X$5/1000</f>
        <v>0</v>
      </c>
      <c r="BH217" s="37">
        <f t="shared" si="38"/>
        <v>9.0753319175554993E-3</v>
      </c>
      <c r="BI217" s="37">
        <f t="shared" si="39"/>
        <v>5.4238122615229901E-2</v>
      </c>
      <c r="BJ217" s="37">
        <f t="shared" si="40"/>
        <v>-1.5761877384770102E-2</v>
      </c>
      <c r="BK217" s="54"/>
      <c r="BL217" s="7"/>
    </row>
    <row r="218" spans="1:64" s="18" customFormat="1" x14ac:dyDescent="0.3">
      <c r="A218" s="21">
        <v>212</v>
      </c>
      <c r="B218" s="4" t="s">
        <v>378</v>
      </c>
      <c r="C218" s="4" t="s">
        <v>23</v>
      </c>
      <c r="D218" s="4">
        <v>2</v>
      </c>
      <c r="E218" s="4">
        <v>4</v>
      </c>
      <c r="F218" s="4" t="s">
        <v>379</v>
      </c>
      <c r="G218" s="50" t="s">
        <v>380</v>
      </c>
      <c r="H218" s="4">
        <v>1521</v>
      </c>
      <c r="I218" s="51">
        <v>7.0000000000000007E-2</v>
      </c>
      <c r="J218" s="52">
        <v>0.1</v>
      </c>
      <c r="K218" s="52">
        <v>1.35</v>
      </c>
      <c r="L218" s="51">
        <v>1.4999999999999999E-2</v>
      </c>
      <c r="M218" s="51">
        <v>4.0000000000000001E-3</v>
      </c>
      <c r="N218" s="51" t="s">
        <v>631</v>
      </c>
      <c r="O218" s="51">
        <v>2.5000000000000001E-2</v>
      </c>
      <c r="P218" s="51">
        <v>0.09</v>
      </c>
      <c r="Q218" s="51">
        <v>0.03</v>
      </c>
      <c r="R218" s="51" t="s">
        <v>631</v>
      </c>
      <c r="S218" s="32">
        <v>2E-3</v>
      </c>
      <c r="T218" s="52"/>
      <c r="U218" s="52"/>
      <c r="V218" s="52"/>
      <c r="W218" s="52"/>
      <c r="X218" s="32" t="s">
        <v>631</v>
      </c>
      <c r="Y218" s="53" t="s">
        <v>631</v>
      </c>
      <c r="Z218" s="4">
        <v>40</v>
      </c>
      <c r="AA218" s="53" t="s">
        <v>631</v>
      </c>
      <c r="AB218" s="42">
        <f>IF(J218&lt;=0.04,0,IF((BA218-AL218*BF$4*炼钢参数表!$X$5/1000-AM218*BG$4*炼钢参数表!$X$5/1000)&lt;=0.03,0,IF((J218/100/0.1769/炼钢参数表!K218*1000)&gt;(K218-炼钢参数表!J218)/100/0.6566/炼钢参数表!L218*1000,IF(K218&lt;1.6,(K218-炼钢参数表!J218)/100/0.6566/炼钢参数表!L218*1000,(K218-0.08-炼钢参数表!J218)/100/0.6566/炼钢参数表!L218*1000),IF(K218&lt;1.6,J218/100/0.1769/炼钢参数表!K218*1000,(J218-0.08)/100/0.1769/炼钢参数表!K218*1000))))</f>
        <v>7.0661390616167301</v>
      </c>
      <c r="AC218" s="8">
        <f>IF((BA218-AB218*$BB$4*0.9/1000-AL218*BF$4*炼钢参数表!$X$5/1000-AM218*BG$4*炼钢参数表!$X$5/1000)&lt;(K218-炼钢参数表!J218-AB218*0.6566*炼钢参数表!L218/10)*0.082,0,(K218-炼钢参数表!J218-AB218*0.6566*炼钢参数表!L218/10)/100/($AC$3/100)/炼钢参数表!L218*1000)</f>
        <v>0</v>
      </c>
      <c r="AD218" s="8">
        <f>IF((BA218-AB218*$BB$4*0.9/1000-AC218*$BC$4*0.9/1000-AL218*BF$4*炼钢参数表!$X$5/1000-AM218*BG$4*炼钢参数表!$X$5/1000)&lt;=(K218-炼钢参数表!J218-AB218*0.6566*炼钢参数表!L218/10-AC218*($AC$3/100)*炼钢参数表!L218/10)*0.02,0,((K218-炼钢参数表!J218-AB218*0.6566*炼钢参数表!L218/10-AC218*($AC$3/100)*炼钢参数表!L218/10)/100/($AD$3/100)/炼钢参数表!L218*1000))</f>
        <v>10.510856488100099</v>
      </c>
      <c r="AE218" s="8">
        <f>(K218-炼钢参数表!J218-AB218*0.6566*炼钢参数表!L218/10-AC218*($AC$3/100)*炼钢参数表!L218/10-AD218*($AD$3/100)*炼钢参数表!L218/10)/100/($AE$3/100)/炼钢参数表!L218*1000</f>
        <v>0</v>
      </c>
      <c r="AF218" s="8">
        <v>0</v>
      </c>
      <c r="AG218" s="8">
        <f>IF(J218&lt;=0.04,0,((J218-(AB218*0.1769*炼钢参数表!K218/1000*100))/100/炼钢参数表!K218/($AG$3/100)*1000))</f>
        <v>0</v>
      </c>
      <c r="AH218" s="8">
        <v>2.7050542187728599</v>
      </c>
      <c r="AI218" s="8">
        <f>IF(N218="",0,IF(N218&lt;=0.002,0,((N218)/100)/($AI$3/100)/炼钢参数表!M218*1000))</f>
        <v>0</v>
      </c>
      <c r="AJ218" s="8">
        <f>IF(O218="",0,IF(O218&lt;=0.002,0,((O218)/100)/($AJ$3/100)/炼钢参数表!N218*1000))</f>
        <v>0.39222330998820198</v>
      </c>
      <c r="AK218" s="8">
        <f>IF(P218="",0,IF(P218&lt;=0.002,0,((P218+0.005)/100)/($AK$3/100)/炼钢参数表!O218*1000))</f>
        <v>1.8959805212948599</v>
      </c>
      <c r="AL218" s="8">
        <f>IF((BA218-J218*0.00003-K218*0.00024)&lt;=0.05,0,IF(T218="",0,IF(T218&lt;=0.03,0,IF(((BA218-J218*0.00003-K218*0.00024)-0.05)/0.18/100/($AL$3/100)/炼钢参数表!P218*1000&lt;=T218/100/($AL$3/100)/炼钢参数表!P218*1000,((BA218-J218*0.00003-K218*0.00024)-0.05)/0.18/100/($AL$3/100)/炼钢参数表!P218*1000,T218/100/($AL$3/100)/炼钢参数表!P218*1000))))</f>
        <v>0</v>
      </c>
      <c r="AM218" s="8">
        <f>IF(T218="",0,IF(T218&lt;=0.03,0,((T218-AL218*($AL$3/100)*炼钢参数表!P218/10)/100/($AM$3/100)/炼钢参数表!P218*1000)))</f>
        <v>0</v>
      </c>
      <c r="AN218" s="8">
        <f>IF(U218="",0,IF(U218&lt;=0.02,0,(U218/100)/($AN$3/100)/炼钢参数表!Q218*1000))</f>
        <v>0</v>
      </c>
      <c r="AO218" s="8">
        <f>IF(V218="",0,IF(V218&lt;=0.02,0,(V218/100)/($AO$3/100)/炼钢参数表!R218*1000))</f>
        <v>0</v>
      </c>
      <c r="AP218" s="8">
        <f>IF(W218="",0,IF(W218&lt;=0.02,0,(W218/100)/($AP$3/100)/炼钢参数表!S218*1000))</f>
        <v>0</v>
      </c>
      <c r="AQ218" s="8">
        <f>IF(X218="",0,IF(X218&lt;=0.0002,0,(X218/100)/($AQ$3/100)/炼钢参数表!T218*1000))</f>
        <v>0</v>
      </c>
      <c r="AR218" s="8">
        <f>IF(Y218="",0,IF(Y218&lt;=0.02,0,(Y218/100)/($AR$3/100)/炼钢参数表!U218*1000))</f>
        <v>0</v>
      </c>
      <c r="AS218" s="8">
        <f>IF(L218&lt;=0.04,0,((L218-0.04)/100)/($AS$3/100)/炼钢参数表!V218*1000)</f>
        <v>0</v>
      </c>
      <c r="AT218" s="8">
        <f>IF(M218&lt;=0.03,0,((M218-0.03)/100)/($AT$3/100)/炼钢参数表!W218*1000)</f>
        <v>0</v>
      </c>
      <c r="AU218" s="6"/>
      <c r="AV218" s="8">
        <f t="shared" si="35"/>
        <v>22.570253599772698</v>
      </c>
      <c r="AW218" s="8" cm="1">
        <f t="array" ref="AW218">SUMPRODUCT($AB$4:$AU$4,AB218:AU218)/1000</f>
        <v>310.11863332292899</v>
      </c>
      <c r="AY218" s="2" t="str">
        <f t="shared" si="36"/>
        <v>YF700BL-1</v>
      </c>
      <c r="AZ218" s="37">
        <f>VLOOKUP(AY218,炼钢参数表!$F$5:$J$1027,4,0)</f>
        <v>3.6608695652173902E-2</v>
      </c>
      <c r="BA218" s="37">
        <f t="shared" si="37"/>
        <v>3.3391304347826098E-2</v>
      </c>
      <c r="BB218" s="37">
        <f>AB218*$BB$4*炼钢参数表!$X$5/1000</f>
        <v>1.09383832673827E-2</v>
      </c>
      <c r="BC218" s="37">
        <f>AC218*$BC$4*炼钢参数表!$X$5/1000</f>
        <v>0</v>
      </c>
      <c r="BD218" s="37">
        <f>AD218*$BD$4*炼钢参数表!$X$5/1000</f>
        <v>1.4189656258935099E-2</v>
      </c>
      <c r="BE218" s="37">
        <f>AE218*$BE$4*炼钢参数表!$X$5/1000</f>
        <v>0</v>
      </c>
      <c r="BF218" s="37">
        <f>AL218*$BF$4*炼钢参数表!$X$5/1000</f>
        <v>0</v>
      </c>
      <c r="BG218" s="37">
        <f>AM218*$BG$4*炼钢参数表!$X$5/1000</f>
        <v>0</v>
      </c>
      <c r="BH218" s="37">
        <f t="shared" si="38"/>
        <v>2.51280395263178E-2</v>
      </c>
      <c r="BI218" s="37">
        <f t="shared" si="39"/>
        <v>6.1736735178491702E-2</v>
      </c>
      <c r="BJ218" s="37">
        <f t="shared" si="40"/>
        <v>-8.2632648215082791E-3</v>
      </c>
      <c r="BK218" s="54"/>
      <c r="BL218" s="7"/>
    </row>
    <row r="219" spans="1:64" s="18" customFormat="1" x14ac:dyDescent="0.3">
      <c r="A219" s="21">
        <v>213</v>
      </c>
      <c r="B219" s="4" t="s">
        <v>378</v>
      </c>
      <c r="C219" s="4" t="s">
        <v>26</v>
      </c>
      <c r="D219" s="4">
        <v>4.01</v>
      </c>
      <c r="E219" s="4">
        <v>6</v>
      </c>
      <c r="F219" s="4" t="s">
        <v>381</v>
      </c>
      <c r="G219" s="50" t="s">
        <v>380</v>
      </c>
      <c r="H219" s="4">
        <v>1521</v>
      </c>
      <c r="I219" s="51">
        <v>7.0000000000000007E-2</v>
      </c>
      <c r="J219" s="52">
        <v>0.14000000000000001</v>
      </c>
      <c r="K219" s="52">
        <v>1.45</v>
      </c>
      <c r="L219" s="51">
        <v>1.4999999999999999E-2</v>
      </c>
      <c r="M219" s="51">
        <v>4.0000000000000001E-3</v>
      </c>
      <c r="N219" s="51" t="s">
        <v>631</v>
      </c>
      <c r="O219" s="51">
        <v>0.03</v>
      </c>
      <c r="P219" s="51">
        <v>9.5000000000000001E-2</v>
      </c>
      <c r="Q219" s="51">
        <v>0.03</v>
      </c>
      <c r="R219" s="51" t="s">
        <v>631</v>
      </c>
      <c r="S219" s="32">
        <v>2E-3</v>
      </c>
      <c r="T219" s="52"/>
      <c r="U219" s="52"/>
      <c r="V219" s="52"/>
      <c r="W219" s="52"/>
      <c r="X219" s="32" t="s">
        <v>631</v>
      </c>
      <c r="Y219" s="53" t="s">
        <v>631</v>
      </c>
      <c r="Z219" s="4">
        <v>40</v>
      </c>
      <c r="AA219" s="53" t="s">
        <v>631</v>
      </c>
      <c r="AB219" s="42">
        <v>8</v>
      </c>
      <c r="AC219" s="8">
        <f>IF((BA219-AB219*$BB$4*0.9/1000-AL219*BF$4*炼钢参数表!$X$5/1000-AM219*BG$4*炼钢参数表!$X$5/1000)&lt;(K219-炼钢参数表!J219-AB219*0.6566*炼钢参数表!L219/10)*0.082,0,(K219-炼钢参数表!J219-AB219*0.6566*炼钢参数表!L219/10)/100/($AC$3/100)/炼钢参数表!L219*1000)</f>
        <v>0</v>
      </c>
      <c r="AD219" s="8">
        <f>IF((BA219-AB219*$BB$4*0.9/1000-AC219*$BC$4*0.9/1000-AL219*BF$4*炼钢参数表!$X$5/1000-AM219*BG$4*炼钢参数表!$X$5/1000)&lt;=(K219-炼钢参数表!J219-AB219*0.6566*炼钢参数表!L219/10-AC219*($AC$3/100)*炼钢参数表!L219/10)*0.02,0,((K219-炼钢参数表!J219-AB219*0.6566*炼钢参数表!L219/10-AC219*($AC$3/100)*炼钢参数表!L219/10)/100/($AD$3/100)/炼钢参数表!L219*1000))</f>
        <v>10.9456198063641</v>
      </c>
      <c r="AE219" s="8">
        <f>(K219-炼钢参数表!J219-AB219*0.6566*炼钢参数表!L219/10-AC219*($AC$3/100)*炼钢参数表!L219/10-AD219*($AD$3/100)*炼钢参数表!L219/10)/100/($AE$3/100)/炼钢参数表!L219*1000</f>
        <v>0</v>
      </c>
      <c r="AF219" s="8">
        <v>0</v>
      </c>
      <c r="AG219" s="8">
        <f>IF(J219&lt;=0.04,0,((J219-(AB219*0.1769*炼钢参数表!K219/1000*100))/100/炼钢参数表!K219/($AG$3/100)*1000))</f>
        <v>0.46351931330472101</v>
      </c>
      <c r="AH219" s="8">
        <v>2.2000000000000002</v>
      </c>
      <c r="AI219" s="8">
        <f>IF(N219="",0,IF(N219&lt;=0.002,0,((N219)/100)/($AI$3/100)/炼钢参数表!M219*1000))</f>
        <v>0</v>
      </c>
      <c r="AJ219" s="8">
        <f>IF(O219="",0,IF(O219&lt;=0.002,0,((O219)/100)/($AJ$3/100)/炼钢参数表!N219*1000))</f>
        <v>0.47066797198584198</v>
      </c>
      <c r="AK219" s="8">
        <f>IF(P219="",0,IF(P219&lt;=0.002,0,((P219+0.005)/100)/($AK$3/100)/炼钢参数表!O219*1000))</f>
        <v>1.9957689697840599</v>
      </c>
      <c r="AL219" s="8">
        <f>IF((BA219-J219*0.00003-K219*0.00024)&lt;=0.05,0,IF(T219="",0,IF(T219&lt;=0.03,0,IF(((BA219-J219*0.00003-K219*0.00024)-0.05)/0.18/100/($AL$3/100)/炼钢参数表!P219*1000&lt;=T219/100/($AL$3/100)/炼钢参数表!P219*1000,((BA219-J219*0.00003-K219*0.00024)-0.05)/0.18/100/($AL$3/100)/炼钢参数表!P219*1000,T219/100/($AL$3/100)/炼钢参数表!P219*1000))))</f>
        <v>0</v>
      </c>
      <c r="AM219" s="8">
        <f>IF(T219="",0,IF(T219&lt;=0.03,0,((T219-AL219*($AL$3/100)*炼钢参数表!P219/10)/100/($AM$3/100)/炼钢参数表!P219*1000)))</f>
        <v>0</v>
      </c>
      <c r="AN219" s="8">
        <f>IF(U219="",0,IF(U219&lt;=0.02,0,(U219/100)/($AN$3/100)/炼钢参数表!Q219*1000))</f>
        <v>0</v>
      </c>
      <c r="AO219" s="8">
        <f>IF(V219="",0,IF(V219&lt;=0.02,0,(V219/100)/($AO$3/100)/炼钢参数表!R219*1000))</f>
        <v>0</v>
      </c>
      <c r="AP219" s="8">
        <f>IF(W219="",0,IF(W219&lt;=0.02,0,(W219/100)/($AP$3/100)/炼钢参数表!S219*1000))</f>
        <v>0</v>
      </c>
      <c r="AQ219" s="8">
        <f>IF(X219="",0,IF(X219&lt;=0.0002,0,(X219/100)/($AQ$3/100)/炼钢参数表!T219*1000))</f>
        <v>0</v>
      </c>
      <c r="AR219" s="8">
        <f>IF(Y219="",0,IF(Y219&lt;=0.02,0,(Y219/100)/($AR$3/100)/炼钢参数表!U219*1000))</f>
        <v>0</v>
      </c>
      <c r="AS219" s="8">
        <f>IF(L219&lt;=0.04,0,((L219-0.04)/100)/($AS$3/100)/炼钢参数表!V219*1000)</f>
        <v>0</v>
      </c>
      <c r="AT219" s="8">
        <f>IF(M219&lt;=0.03,0,((M219-0.03)/100)/($AT$3/100)/炼钢参数表!W219*1000)</f>
        <v>0</v>
      </c>
      <c r="AU219" s="6"/>
      <c r="AV219" s="8">
        <f t="shared" si="35"/>
        <v>24.075576061438699</v>
      </c>
      <c r="AW219" s="8" cm="1">
        <f t="array" ref="AW219">SUMPRODUCT($AB$4:$AU$4,AB219:AU219)/1000</f>
        <v>328.96473083605002</v>
      </c>
      <c r="AY219" s="2" t="str">
        <f t="shared" si="36"/>
        <v>YF700BL-2</v>
      </c>
      <c r="AZ219" s="37">
        <f>VLOOKUP(AY219,炼钢参数表!$F$5:$J$1027,4,0)</f>
        <v>3.8944444444444497E-2</v>
      </c>
      <c r="BA219" s="37">
        <f t="shared" si="37"/>
        <v>3.1055555555555499E-2</v>
      </c>
      <c r="BB219" s="37">
        <f>AB219*$BB$4*炼钢参数表!$X$5/1000</f>
        <v>1.2383999999999999E-2</v>
      </c>
      <c r="BC219" s="37">
        <f>AC219*$BC$4*炼钢参数表!$X$5/1000</f>
        <v>0</v>
      </c>
      <c r="BD219" s="37">
        <f>AD219*$BD$4*炼钢参数表!$X$5/1000</f>
        <v>1.47765867385915E-2</v>
      </c>
      <c r="BE219" s="37">
        <f>AE219*$BE$4*炼钢参数表!$X$5/1000</f>
        <v>0</v>
      </c>
      <c r="BF219" s="37">
        <f>AL219*$BF$4*炼钢参数表!$X$5/1000</f>
        <v>0</v>
      </c>
      <c r="BG219" s="37">
        <f>AM219*$BG$4*炼钢参数表!$X$5/1000</f>
        <v>0</v>
      </c>
      <c r="BH219" s="37">
        <f t="shared" si="38"/>
        <v>2.7160586738591501E-2</v>
      </c>
      <c r="BI219" s="37">
        <f t="shared" si="39"/>
        <v>6.6105031183035998E-2</v>
      </c>
      <c r="BJ219" s="37">
        <f t="shared" si="40"/>
        <v>-3.89496881696397E-3</v>
      </c>
      <c r="BK219" s="54"/>
      <c r="BL219" s="7"/>
    </row>
    <row r="220" spans="1:64" s="18" customFormat="1" x14ac:dyDescent="0.3">
      <c r="A220" s="21">
        <v>214</v>
      </c>
      <c r="B220" s="4" t="s">
        <v>378</v>
      </c>
      <c r="C220" s="4" t="s">
        <v>90</v>
      </c>
      <c r="D220" s="4">
        <v>6.01</v>
      </c>
      <c r="E220" s="4">
        <v>14</v>
      </c>
      <c r="F220" s="4" t="s">
        <v>382</v>
      </c>
      <c r="G220" s="50" t="s">
        <v>380</v>
      </c>
      <c r="H220" s="4">
        <v>1521</v>
      </c>
      <c r="I220" s="51">
        <v>7.0000000000000007E-2</v>
      </c>
      <c r="J220" s="52">
        <v>0.14000000000000001</v>
      </c>
      <c r="K220" s="52">
        <v>1.5</v>
      </c>
      <c r="L220" s="51">
        <v>1.4999999999999999E-2</v>
      </c>
      <c r="M220" s="51">
        <v>4.0000000000000001E-3</v>
      </c>
      <c r="N220" s="51" t="s">
        <v>631</v>
      </c>
      <c r="O220" s="51">
        <v>3.5000000000000003E-2</v>
      </c>
      <c r="P220" s="51">
        <v>0.105</v>
      </c>
      <c r="Q220" s="51">
        <v>0.03</v>
      </c>
      <c r="R220" s="51" t="s">
        <v>631</v>
      </c>
      <c r="S220" s="32">
        <v>2E-3</v>
      </c>
      <c r="T220" s="52"/>
      <c r="U220" s="52"/>
      <c r="V220" s="52"/>
      <c r="W220" s="52"/>
      <c r="X220" s="32" t="s">
        <v>631</v>
      </c>
      <c r="Y220" s="53" t="s">
        <v>631</v>
      </c>
      <c r="Z220" s="4">
        <v>40</v>
      </c>
      <c r="AA220" s="53" t="s">
        <v>631</v>
      </c>
      <c r="AB220" s="42">
        <f>IF(J220&lt;=0.04,0,IF((BA220-AL220*BF$4*炼钢参数表!$X$5/1000-AM220*BG$4*炼钢参数表!$X$5/1000)&lt;=0.03,0,IF((J220/100/0.1769/炼钢参数表!K220*1000)&gt;(K220-炼钢参数表!J220)/100/0.6566/炼钢参数表!L220*1000,IF(K220&lt;1.6,(K220-炼钢参数表!J220)/100/0.6566/炼钢参数表!L220*1000,(K220-0.08-炼钢参数表!J220)/100/0.6566/炼钢参数表!L220*1000),IF(K220&lt;1.6,J220/100/0.1769/炼钢参数表!K220*1000,(J220-0.08)/100/0.1769/炼钢参数表!K220*1000))))</f>
        <v>9.8925946862634309</v>
      </c>
      <c r="AC220" s="8">
        <f>IF((BA220-AB220*$BB$4*0.9/1000-AL220*BF$4*炼钢参数表!$X$5/1000-AM220*BG$4*炼钢参数表!$X$5/1000)&lt;(K220-炼钢参数表!J220-AB220*0.6566*炼钢参数表!L220/10)*0.082,0,(K220-炼钢参数表!J220-AB220*0.6566*炼钢参数表!L220/10)/100/($AC$3/100)/炼钢参数表!L220*1000)</f>
        <v>0</v>
      </c>
      <c r="AD220" s="8">
        <f>IF((BA220-AB220*$BB$4*0.9/1000-AC220*$BC$4*0.9/1000-AL220*BF$4*炼钢参数表!$X$5/1000-AM220*BG$4*炼钢参数表!$X$5/1000)&lt;=(K220-炼钢参数表!J220-AB220*0.6566*炼钢参数表!L220/10-AC220*($AC$3/100)*炼钢参数表!L220/10)*0.02,0,((K220-炼钢参数表!J220-AB220*0.6566*炼钢参数表!L220/10-AC220*($AC$3/100)*炼钢参数表!L220/10)/100/($AD$3/100)/炼钢参数表!L220*1000))</f>
        <v>0</v>
      </c>
      <c r="AE220" s="8">
        <f>(K220-炼钢参数表!J220-AB220*0.6566*炼钢参数表!L220/10-AC220*($AC$3/100)*炼钢参数表!L220/10-AD220*($AD$3/100)*炼钢参数表!L220/10)/100/($AE$3/100)/炼钢参数表!L220*1000</f>
        <v>9.7814966854679195</v>
      </c>
      <c r="AF220" s="8">
        <v>0</v>
      </c>
      <c r="AG220" s="8">
        <f>IF(J220&lt;=0.04,0,((J220-(AB220*0.1769*炼钢参数表!K220/1000*100))/100/炼钢参数表!K220/($AG$3/100)*1000))</f>
        <v>0</v>
      </c>
      <c r="AH220" s="8">
        <v>2.2363589656367799</v>
      </c>
      <c r="AI220" s="8">
        <f>IF(N220="",0,IF(N220&lt;=0.002,0,((N220)/100)/($AI$3/100)/炼钢参数表!M220*1000))</f>
        <v>0</v>
      </c>
      <c r="AJ220" s="8">
        <f>IF(O220="",0,IF(O220&lt;=0.002,0,((O220)/100)/($AJ$3/100)/炼钢参数表!N220*1000))</f>
        <v>0.54911263398348298</v>
      </c>
      <c r="AK220" s="8">
        <f>IF(P220="",0,IF(P220&lt;=0.002,0,((P220+0.005)/100)/($AK$3/100)/炼钢参数表!O220*1000))</f>
        <v>2.1953458667624601</v>
      </c>
      <c r="AL220" s="8">
        <f>IF((BA220-J220*0.00003-K220*0.00024)&lt;=0.05,0,IF(T220="",0,IF(T220&lt;=0.03,0,IF(((BA220-J220*0.00003-K220*0.00024)-0.05)/0.18/100/($AL$3/100)/炼钢参数表!P220*1000&lt;=T220/100/($AL$3/100)/炼钢参数表!P220*1000,((BA220-J220*0.00003-K220*0.00024)-0.05)/0.18/100/($AL$3/100)/炼钢参数表!P220*1000,T220/100/($AL$3/100)/炼钢参数表!P220*1000))))</f>
        <v>0</v>
      </c>
      <c r="AM220" s="8">
        <f>IF(T220="",0,IF(T220&lt;=0.03,0,((T220-AL220*($AL$3/100)*炼钢参数表!P220/10)/100/($AM$3/100)/炼钢参数表!P220*1000)))</f>
        <v>0</v>
      </c>
      <c r="AN220" s="8">
        <f>IF(U220="",0,IF(U220&lt;=0.02,0,(U220/100)/($AN$3/100)/炼钢参数表!Q220*1000))</f>
        <v>0</v>
      </c>
      <c r="AO220" s="8">
        <f>IF(V220="",0,IF(V220&lt;=0.02,0,(V220/100)/($AO$3/100)/炼钢参数表!R220*1000))</f>
        <v>0</v>
      </c>
      <c r="AP220" s="8">
        <f>IF(W220="",0,IF(W220&lt;=0.02,0,(W220/100)/($AP$3/100)/炼钢参数表!S220*1000))</f>
        <v>0</v>
      </c>
      <c r="AQ220" s="8">
        <f>IF(X220="",0,IF(X220&lt;=0.0002,0,(X220/100)/($AQ$3/100)/炼钢参数表!T220*1000))</f>
        <v>0</v>
      </c>
      <c r="AR220" s="8">
        <f>IF(Y220="",0,IF(Y220&lt;=0.02,0,(Y220/100)/($AR$3/100)/炼钢参数表!U220*1000))</f>
        <v>0</v>
      </c>
      <c r="AS220" s="8">
        <f>IF(L220&lt;=0.04,0,((L220-0.04)/100)/($AS$3/100)/炼钢参数表!V220*1000)</f>
        <v>0</v>
      </c>
      <c r="AT220" s="8">
        <f>IF(M220&lt;=0.03,0,((M220-0.03)/100)/($AT$3/100)/炼钢参数表!W220*1000)</f>
        <v>0</v>
      </c>
      <c r="AU220" s="6"/>
      <c r="AV220" s="8">
        <f t="shared" si="35"/>
        <v>24.6549088381141</v>
      </c>
      <c r="AW220" s="8" cm="1">
        <f t="array" ref="AW220">SUMPRODUCT($AB$4:$AU$4,AB220:AU220)/1000</f>
        <v>356.962349966413</v>
      </c>
      <c r="AY220" s="2" t="str">
        <f t="shared" si="36"/>
        <v>YF700BL-3</v>
      </c>
      <c r="AZ220" s="37">
        <f>VLOOKUP(AY220,炼钢参数表!$F$5:$J$1027,4,0)</f>
        <v>3.9833333333333297E-2</v>
      </c>
      <c r="BA220" s="37">
        <f t="shared" si="37"/>
        <v>3.0166666666666699E-2</v>
      </c>
      <c r="BB220" s="37">
        <f>AB220*$BB$4*炼钢参数表!$X$5/1000</f>
        <v>1.5313736574335801E-2</v>
      </c>
      <c r="BC220" s="37">
        <f>AC220*$BC$4*炼钢参数表!$X$5/1000</f>
        <v>0</v>
      </c>
      <c r="BD220" s="37">
        <f>AD220*$BD$4*炼钢参数表!$X$5/1000</f>
        <v>0</v>
      </c>
      <c r="BE220" s="37">
        <f>AE220*$BE$4*炼钢参数表!$X$5/1000</f>
        <v>5.6341420908295296E-3</v>
      </c>
      <c r="BF220" s="37">
        <f>AL220*$BF$4*炼钢参数表!$X$5/1000</f>
        <v>0</v>
      </c>
      <c r="BG220" s="37">
        <f>AM220*$BG$4*炼钢参数表!$X$5/1000</f>
        <v>0</v>
      </c>
      <c r="BH220" s="37">
        <f t="shared" si="38"/>
        <v>2.0947878665165301E-2</v>
      </c>
      <c r="BI220" s="37">
        <f t="shared" si="39"/>
        <v>6.0781211998498598E-2</v>
      </c>
      <c r="BJ220" s="37">
        <f t="shared" si="40"/>
        <v>-9.2187880015014E-3</v>
      </c>
      <c r="BK220" s="54"/>
      <c r="BL220" s="7"/>
    </row>
    <row r="221" spans="1:64" s="18" customFormat="1" x14ac:dyDescent="0.3">
      <c r="A221" s="21">
        <v>215</v>
      </c>
      <c r="B221" s="4" t="s">
        <v>383</v>
      </c>
      <c r="C221" s="4" t="s">
        <v>23</v>
      </c>
      <c r="D221" s="4">
        <v>2</v>
      </c>
      <c r="E221" s="4">
        <v>6</v>
      </c>
      <c r="F221" s="4" t="s">
        <v>384</v>
      </c>
      <c r="G221" s="50" t="s">
        <v>385</v>
      </c>
      <c r="H221" s="4">
        <v>1521</v>
      </c>
      <c r="I221" s="51">
        <v>7.0000000000000007E-2</v>
      </c>
      <c r="J221" s="52">
        <v>0.12</v>
      </c>
      <c r="K221" s="52">
        <v>1.4</v>
      </c>
      <c r="L221" s="51">
        <v>1.4999999999999999E-2</v>
      </c>
      <c r="M221" s="51">
        <v>3.0000000000000001E-3</v>
      </c>
      <c r="N221" s="51"/>
      <c r="O221" s="51">
        <v>0.03</v>
      </c>
      <c r="P221" s="51">
        <v>0.1</v>
      </c>
      <c r="Q221" s="51">
        <v>0.03</v>
      </c>
      <c r="R221" s="51"/>
      <c r="S221" s="32">
        <v>2E-3</v>
      </c>
      <c r="T221" s="52"/>
      <c r="U221" s="52"/>
      <c r="V221" s="52"/>
      <c r="W221" s="52"/>
      <c r="X221" s="32" t="s">
        <v>631</v>
      </c>
      <c r="Y221" s="53" t="s">
        <v>631</v>
      </c>
      <c r="Z221" s="4">
        <v>40</v>
      </c>
      <c r="AA221" s="53" t="s">
        <v>631</v>
      </c>
      <c r="AB221" s="42">
        <f>IF(J221&lt;=0.04,0,IF((BA221-AL221*BF$4*炼钢参数表!$X$5/1000-AM221*BG$4*炼钢参数表!$X$5/1000)&lt;=0.03,0,IF((J221/100/0.1769/炼钢参数表!K221*1000)&gt;(K221-炼钢参数表!J221)/100/0.6566/炼钢参数表!L221*1000,IF(K221&lt;1.6,(K221-炼钢参数表!J221)/100/0.6566/炼钢参数表!L221*1000,(K221-0.08-炼钢参数表!J221)/100/0.6566/炼钢参数表!L221*1000),IF(K221&lt;1.6,J221/100/0.1769/炼钢参数表!K221*1000,(J221-0.08)/100/0.1769/炼钢参数表!K221*1000))))</f>
        <v>0</v>
      </c>
      <c r="AC221" s="8">
        <f>IF((BA221-AB221*$BB$4*0.9/1000-AL221*BF$4*炼钢参数表!$X$5/1000-AM221*BG$4*炼钢参数表!$X$5/1000)&lt;(K221-炼钢参数表!J221-AB221*0.6566*炼钢参数表!L221/10)*0.082,0,(K221-炼钢参数表!J221-AB221*0.6566*炼钢参数表!L221/10)/100/($AC$3/100)/炼钢参数表!L221*1000)</f>
        <v>0</v>
      </c>
      <c r="AD221" s="8">
        <f>IF((BA221-AB221*$BB$4*0.9/1000-AC221*$BC$4*0.9/1000-AL221*BF$4*炼钢参数表!$X$5/1000-AM221*BG$4*炼钢参数表!$X$5/1000)&lt;=(K221-炼钢参数表!J221-AB221*0.6566*炼钢参数表!L221/10-AC221*($AC$3/100)*炼钢参数表!L221/10)*0.02,0,((K221-炼钢参数表!J221-AB221*0.6566*炼钢参数表!L221/10-AC221*($AC$3/100)*炼钢参数表!L221/10)/100/($AD$3/100)/炼钢参数表!L221*1000))</f>
        <v>16.941447968404201</v>
      </c>
      <c r="AE221" s="8">
        <f>(K221-炼钢参数表!J221-AB221*0.6566*炼钢参数表!L221/10-AC221*($AC$3/100)*炼钢参数表!L221/10-AD221*($AD$3/100)*炼钢参数表!L221/10)/100/($AE$3/100)/炼钢参数表!L221*1000</f>
        <v>0</v>
      </c>
      <c r="AF221" s="8">
        <v>0</v>
      </c>
      <c r="AG221" s="8">
        <f>IF(J221&lt;=0.04,0,((J221-(AB221*0.1769*炼钢参数表!K221/1000*100))/100/炼钢参数表!K221/($AG$3/100)*1000))</f>
        <v>2.0766994323688199</v>
      </c>
      <c r="AH221" s="8">
        <v>2.2000000000000002</v>
      </c>
      <c r="AI221" s="8">
        <f>IF(N221="",0,IF(N221&lt;=0.002,0,((N221)/100)/($AI$3/100)/炼钢参数表!M221*1000))</f>
        <v>0</v>
      </c>
      <c r="AJ221" s="8">
        <f>IF(O221="",0,IF(O221&lt;=0.002,0,((O221)/100)/($AJ$3/100)/炼钢参数表!N221*1000))</f>
        <v>0.47066797198584198</v>
      </c>
      <c r="AK221" s="8">
        <f>IF(P221="",0,IF(P221&lt;=0.002,0,((P221+0.005)/100)/($AK$3/100)/炼钢参数表!O221*1000))</f>
        <v>2.0955574182732599</v>
      </c>
      <c r="AL221" s="8">
        <f>IF((BA221-J221*0.00003-K221*0.00024)&lt;=0.05,0,IF(T221="",0,IF(T221&lt;=0.03,0,IF(((BA221-J221*0.00003-K221*0.00024)-0.05)/0.18/100/($AL$3/100)/炼钢参数表!P221*1000&lt;=T221/100/($AL$3/100)/炼钢参数表!P221*1000,((BA221-J221*0.00003-K221*0.00024)-0.05)/0.18/100/($AL$3/100)/炼钢参数表!P221*1000,T221/100/($AL$3/100)/炼钢参数表!P221*1000))))</f>
        <v>0</v>
      </c>
      <c r="AM221" s="8">
        <f>IF(T221="",0,IF(T221&lt;=0.03,0,((T221-AL221*($AL$3/100)*炼钢参数表!P221/10)/100/($AM$3/100)/炼钢参数表!P221*1000)))</f>
        <v>0</v>
      </c>
      <c r="AN221" s="8">
        <f>IF(U221="",0,IF(U221&lt;=0.02,0,(U221/100)/($AN$3/100)/炼钢参数表!Q221*1000))</f>
        <v>0</v>
      </c>
      <c r="AO221" s="8">
        <f>IF(V221="",0,IF(V221&lt;=0.02,0,(V221/100)/($AO$3/100)/炼钢参数表!R221*1000))</f>
        <v>0</v>
      </c>
      <c r="AP221" s="8">
        <f>IF(W221="",0,IF(W221&lt;=0.02,0,(W221/100)/($AP$3/100)/炼钢参数表!S221*1000))</f>
        <v>0</v>
      </c>
      <c r="AQ221" s="8">
        <f>IF(X221="",0,IF(X221&lt;=0.0002,0,(X221/100)/($AQ$3/100)/炼钢参数表!T221*1000))</f>
        <v>0</v>
      </c>
      <c r="AR221" s="8">
        <f>IF(Y221="",0,IF(Y221&lt;=0.02,0,(Y221/100)/($AR$3/100)/炼钢参数表!U221*1000))</f>
        <v>0</v>
      </c>
      <c r="AS221" s="8">
        <f>IF(L221&lt;=0.04,0,((L221-0.04)/100)/($AS$3/100)/炼钢参数表!V221*1000)</f>
        <v>0</v>
      </c>
      <c r="AT221" s="8">
        <f>IF(M221&lt;=0.03,0,((M221-0.03)/100)/($AT$3/100)/炼钢参数表!W221*1000)</f>
        <v>0</v>
      </c>
      <c r="AU221" s="6"/>
      <c r="AV221" s="8">
        <f t="shared" si="35"/>
        <v>23.784372791032101</v>
      </c>
      <c r="AW221" s="8" cm="1">
        <f t="array" ref="AW221">SUMPRODUCT($AB$4:$AU$4,AB221:AU221)/1000</f>
        <v>342.68246560776902</v>
      </c>
      <c r="AY221" s="2" t="str">
        <f t="shared" si="36"/>
        <v>700L-1</v>
      </c>
      <c r="AZ221" s="37">
        <f>VLOOKUP(AY221,炼钢参数表!$F$5:$J$1027,4,0)</f>
        <v>4.1030303030303E-2</v>
      </c>
      <c r="BA221" s="37">
        <f t="shared" si="37"/>
        <v>2.8969696969696999E-2</v>
      </c>
      <c r="BB221" s="37">
        <f>AB221*$BB$4*炼钢参数表!$X$5/1000</f>
        <v>0</v>
      </c>
      <c r="BC221" s="37">
        <f>AC221*$BC$4*炼钢参数表!$X$5/1000</f>
        <v>0</v>
      </c>
      <c r="BD221" s="37">
        <f>AD221*$BD$4*炼钢参数表!$X$5/1000</f>
        <v>2.2870954757345699E-2</v>
      </c>
      <c r="BE221" s="37">
        <f>AE221*$BE$4*炼钢参数表!$X$5/1000</f>
        <v>0</v>
      </c>
      <c r="BF221" s="37">
        <f>AL221*$BF$4*炼钢参数表!$X$5/1000</f>
        <v>0</v>
      </c>
      <c r="BG221" s="37">
        <f>AM221*$BG$4*炼钢参数表!$X$5/1000</f>
        <v>0</v>
      </c>
      <c r="BH221" s="37">
        <f t="shared" si="38"/>
        <v>2.2870954757345699E-2</v>
      </c>
      <c r="BI221" s="37">
        <f t="shared" si="39"/>
        <v>6.3901257787648699E-2</v>
      </c>
      <c r="BJ221" s="37">
        <f t="shared" si="40"/>
        <v>-6.0987422123513404E-3</v>
      </c>
      <c r="BK221" s="54"/>
      <c r="BL221" s="7"/>
    </row>
    <row r="222" spans="1:64" s="18" customFormat="1" x14ac:dyDescent="0.3">
      <c r="A222" s="21">
        <v>216</v>
      </c>
      <c r="B222" s="4" t="s">
        <v>383</v>
      </c>
      <c r="C222" s="4" t="s">
        <v>26</v>
      </c>
      <c r="D222" s="4">
        <v>6.01</v>
      </c>
      <c r="E222" s="4">
        <v>10</v>
      </c>
      <c r="F222" s="4" t="s">
        <v>386</v>
      </c>
      <c r="G222" s="50" t="s">
        <v>385</v>
      </c>
      <c r="H222" s="4">
        <v>1521</v>
      </c>
      <c r="I222" s="51">
        <v>7.0000000000000007E-2</v>
      </c>
      <c r="J222" s="52">
        <v>0.15</v>
      </c>
      <c r="K222" s="52">
        <v>1.5</v>
      </c>
      <c r="L222" s="51">
        <v>1.4999999999999999E-2</v>
      </c>
      <c r="M222" s="51">
        <v>3.0000000000000001E-3</v>
      </c>
      <c r="N222" s="51"/>
      <c r="O222" s="51">
        <v>3.7999999999999999E-2</v>
      </c>
      <c r="P222" s="51">
        <v>0.1</v>
      </c>
      <c r="Q222" s="51">
        <v>0.03</v>
      </c>
      <c r="R222" s="51"/>
      <c r="S222" s="32">
        <v>2E-3</v>
      </c>
      <c r="T222" s="52"/>
      <c r="U222" s="52"/>
      <c r="V222" s="52"/>
      <c r="W222" s="52"/>
      <c r="X222" s="32" t="s">
        <v>631</v>
      </c>
      <c r="Y222" s="53" t="s">
        <v>631</v>
      </c>
      <c r="Z222" s="4">
        <v>40</v>
      </c>
      <c r="AA222" s="53" t="s">
        <v>631</v>
      </c>
      <c r="AB222" s="42">
        <f>IF(J222&lt;=0.04,0,IF((BA222-AL222*BF$4*炼钢参数表!$X$5/1000-AM222*BG$4*炼钢参数表!$X$5/1000)&lt;=0.03,0,IF((J222/100/0.1769/炼钢参数表!K222*1000)&gt;(K222-炼钢参数表!J222)/100/0.6566/炼钢参数表!L222*1000,IF(K222&lt;1.6,(K222-炼钢参数表!J222)/100/0.6566/炼钢参数表!L222*1000,(K222-0.08-炼钢参数表!J222)/100/0.6566/炼钢参数表!L222*1000),IF(K222&lt;1.6,J222/100/0.1769/炼钢参数表!K222*1000,(J222-0.08)/100/0.1769/炼钢参数表!K222*1000))))</f>
        <v>0</v>
      </c>
      <c r="AC222" s="8">
        <f>IF((BA222-AB222*$BB$4*0.9/1000-AL222*BF$4*炼钢参数表!$X$5/1000-AM222*BG$4*炼钢参数表!$X$5/1000)&lt;(K222-炼钢参数表!J222-AB222*0.6566*炼钢参数表!L222/10)*0.082,0,(K222-炼钢参数表!J222-AB222*0.6566*炼钢参数表!L222/10)/100/($AC$3/100)/炼钢参数表!L222*1000)</f>
        <v>0</v>
      </c>
      <c r="AD222" s="8">
        <f>IF((BA222-AB222*$BB$4*0.9/1000-AC222*$BC$4*0.9/1000-AL222*BF$4*炼钢参数表!$X$5/1000-AM222*BG$4*炼钢参数表!$X$5/1000)&lt;=(K222-炼钢参数表!J222-AB222*0.6566*炼钢参数表!L222/10-AC222*($AC$3/100)*炼钢参数表!L222/10)*0.02,0,((K222-炼钢参数表!J222-AB222*0.6566*炼钢参数表!L222/10-AC222*($AC$3/100)*炼钢参数表!L222/10)/100/($AD$3/100)/炼钢参数表!L222*1000))</f>
        <v>0</v>
      </c>
      <c r="AE222" s="8">
        <f>(K222-炼钢参数表!J222-AB222*0.6566*炼钢参数表!L222/10-AC222*($AC$3/100)*炼钢参数表!L222/10-AD222*($AD$3/100)*炼钢参数表!L222/10)/100/($AE$3/100)/炼钢参数表!L222*1000</f>
        <v>17.601380988409701</v>
      </c>
      <c r="AF222" s="8">
        <v>0</v>
      </c>
      <c r="AG222" s="8">
        <f>IF(J222&lt;=0.04,0,((J222-(AB222*0.1769*炼钢参数表!K222/1000*100))/100/炼钢参数表!K222/($AG$3/100)*1000))</f>
        <v>2.5958742904610301</v>
      </c>
      <c r="AH222" s="8">
        <v>2.2000000000000002</v>
      </c>
      <c r="AI222" s="8">
        <f>IF(N222="",0,IF(N222&lt;=0.002,0,((N222)/100)/($AI$3/100)/炼钢参数表!M222*1000))</f>
        <v>0</v>
      </c>
      <c r="AJ222" s="8">
        <f>IF(O222="",0,IF(O222&lt;=0.002,0,((O222)/100)/($AJ$3/100)/炼钢参数表!N222*1000))</f>
        <v>0.59617943118206695</v>
      </c>
      <c r="AK222" s="8">
        <f>IF(P222="",0,IF(P222&lt;=0.002,0,((P222+0.005)/100)/($AK$3/100)/炼钢参数表!O222*1000))</f>
        <v>2.0955574182732599</v>
      </c>
      <c r="AL222" s="8">
        <f>IF((BA222-J222*0.00003-K222*0.00024)&lt;=0.05,0,IF(T222="",0,IF(T222&lt;=0.03,0,IF(((BA222-J222*0.00003-K222*0.00024)-0.05)/0.18/100/($AL$3/100)/炼钢参数表!P222*1000&lt;=T222/100/($AL$3/100)/炼钢参数表!P222*1000,((BA222-J222*0.00003-K222*0.00024)-0.05)/0.18/100/($AL$3/100)/炼钢参数表!P222*1000,T222/100/($AL$3/100)/炼钢参数表!P222*1000))))</f>
        <v>0</v>
      </c>
      <c r="AM222" s="8">
        <f>IF(T222="",0,IF(T222&lt;=0.03,0,((T222-AL222*($AL$3/100)*炼钢参数表!P222/10)/100/($AM$3/100)/炼钢参数表!P222*1000)))</f>
        <v>0</v>
      </c>
      <c r="AN222" s="8">
        <f>IF(U222="",0,IF(U222&lt;=0.02,0,(U222/100)/($AN$3/100)/炼钢参数表!Q222*1000))</f>
        <v>0</v>
      </c>
      <c r="AO222" s="8">
        <f>IF(V222="",0,IF(V222&lt;=0.02,0,(V222/100)/($AO$3/100)/炼钢参数表!R222*1000))</f>
        <v>0</v>
      </c>
      <c r="AP222" s="8">
        <f>IF(W222="",0,IF(W222&lt;=0.02,0,(W222/100)/($AP$3/100)/炼钢参数表!S222*1000))</f>
        <v>0</v>
      </c>
      <c r="AQ222" s="8">
        <f>IF(X222="",0,IF(X222&lt;=0.0002,0,(X222/100)/($AQ$3/100)/炼钢参数表!T222*1000))</f>
        <v>0</v>
      </c>
      <c r="AR222" s="8">
        <f>IF(Y222="",0,IF(Y222&lt;=0.02,0,(Y222/100)/($AR$3/100)/炼钢参数表!U222*1000))</f>
        <v>0</v>
      </c>
      <c r="AS222" s="8">
        <f>IF(L222&lt;=0.04,0,((L222-0.04)/100)/($AS$3/100)/炼钢参数表!V222*1000)</f>
        <v>0</v>
      </c>
      <c r="AT222" s="8">
        <f>IF(M222&lt;=0.03,0,((M222-0.03)/100)/($AT$3/100)/炼钢参数表!W222*1000)</f>
        <v>0</v>
      </c>
      <c r="AU222" s="6"/>
      <c r="AV222" s="8">
        <f t="shared" si="35"/>
        <v>25.088992128326002</v>
      </c>
      <c r="AW222" s="8" cm="1">
        <f t="array" ref="AW222">SUMPRODUCT($AB$4:$AU$4,AB222:AU222)/1000</f>
        <v>389.42431289642599</v>
      </c>
      <c r="AY222" s="2" t="str">
        <f t="shared" si="36"/>
        <v>700L-2</v>
      </c>
      <c r="AZ222" s="37">
        <f>VLOOKUP(AY222,炼钢参数表!$F$5:$J$1027,4,0)</f>
        <v>4.3124999999999997E-2</v>
      </c>
      <c r="BA222" s="37">
        <f t="shared" si="37"/>
        <v>2.6875E-2</v>
      </c>
      <c r="BB222" s="37">
        <f>AB222*$BB$4*炼钢参数表!$X$5/1000</f>
        <v>0</v>
      </c>
      <c r="BC222" s="37">
        <f>AC222*$BC$4*炼钢参数表!$X$5/1000</f>
        <v>0</v>
      </c>
      <c r="BD222" s="37">
        <f>AD222*$BD$4*炼钢参数表!$X$5/1000</f>
        <v>0</v>
      </c>
      <c r="BE222" s="37">
        <f>AE222*$BE$4*炼钢参数表!$X$5/1000</f>
        <v>1.0138395449324E-2</v>
      </c>
      <c r="BF222" s="37">
        <f>AL222*$BF$4*炼钢参数表!$X$5/1000</f>
        <v>0</v>
      </c>
      <c r="BG222" s="37">
        <f>AM222*$BG$4*炼钢参数表!$X$5/1000</f>
        <v>0</v>
      </c>
      <c r="BH222" s="37">
        <f t="shared" si="38"/>
        <v>1.0138395449324E-2</v>
      </c>
      <c r="BI222" s="37">
        <f t="shared" si="39"/>
        <v>5.3263395449324E-2</v>
      </c>
      <c r="BJ222" s="37">
        <f t="shared" si="40"/>
        <v>-1.6736604550676E-2</v>
      </c>
      <c r="BK222" s="54"/>
      <c r="BL222" s="7"/>
    </row>
    <row r="223" spans="1:64" s="18" customFormat="1" x14ac:dyDescent="0.3">
      <c r="A223" s="21">
        <v>217</v>
      </c>
      <c r="B223" s="4" t="s">
        <v>383</v>
      </c>
      <c r="C223" s="4" t="s">
        <v>90</v>
      </c>
      <c r="D223" s="4">
        <v>10.01</v>
      </c>
      <c r="E223" s="4">
        <v>14</v>
      </c>
      <c r="F223" s="4" t="s">
        <v>387</v>
      </c>
      <c r="G223" s="50" t="s">
        <v>385</v>
      </c>
      <c r="H223" s="4">
        <v>1518.7</v>
      </c>
      <c r="I223" s="51">
        <v>0.06</v>
      </c>
      <c r="J223" s="52">
        <v>0.15</v>
      </c>
      <c r="K223" s="52">
        <v>1.7</v>
      </c>
      <c r="L223" s="51">
        <v>0.01</v>
      </c>
      <c r="M223" s="51">
        <v>3.0000000000000001E-3</v>
      </c>
      <c r="N223" s="51"/>
      <c r="O223" s="51">
        <v>4.1000000000000002E-2</v>
      </c>
      <c r="P223" s="51">
        <v>0.09</v>
      </c>
      <c r="Q223" s="51">
        <v>0.03</v>
      </c>
      <c r="R223" s="51"/>
      <c r="S223" s="32">
        <v>2E-3</v>
      </c>
      <c r="T223" s="52"/>
      <c r="U223" s="52"/>
      <c r="V223" s="52"/>
      <c r="W223" s="52"/>
      <c r="X223" s="32"/>
      <c r="Y223" s="53"/>
      <c r="Z223" s="4">
        <v>40</v>
      </c>
      <c r="AA223" s="53"/>
      <c r="AB223" s="42">
        <f>IF(J223&lt;=0.04,0,IF((BA223-AL223*BF$4*炼钢参数表!$X$5/1000-AM223*BG$4*炼钢参数表!$X$5/1000)&lt;=0.03,0,IF((J223/100/0.1769/炼钢参数表!K223*1000)&gt;(K223-炼钢参数表!J223)/100/0.6566/炼钢参数表!L223*1000,IF(K223&lt;1.6,(K223-炼钢参数表!J223)/100/0.6566/炼钢参数表!L223*1000,(K223-0.08-炼钢参数表!J223)/100/0.6566/炼钢参数表!L223*1000),IF(K223&lt;1.6,J223/100/0.1769/炼钢参数表!K223*1000,(J223-0.08)/100/0.1769/炼钢参数表!K223*1000))))</f>
        <v>0</v>
      </c>
      <c r="AC223" s="8">
        <f>IF((BA223-AB223*$BB$4*0.9/1000-AL223*BF$4*炼钢参数表!$X$5/1000-AM223*BG$4*炼钢参数表!$X$5/1000)&lt;(K223-炼钢参数表!J223-AB223*0.6566*炼钢参数表!L223/10)*0.082,0,(K223-炼钢参数表!J223-AB223*0.6566*炼钢参数表!L223/10)/100/($AC$3/100)/炼钢参数表!L223*1000)</f>
        <v>0</v>
      </c>
      <c r="AD223" s="8">
        <f>IF((BA223-AB223*$BB$4*0.9/1000-AC223*$BC$4*0.9/1000-AL223*BF$4*炼钢参数表!$X$5/1000-AM223*BG$4*炼钢参数表!$X$5/1000)&lt;=(K223-炼钢参数表!J223-AB223*0.6566*炼钢参数表!L223/10-AC223*($AC$3/100)*炼钢参数表!L223/10)*0.02,0,((K223-炼钢参数表!J223-AB223*0.6566*炼钢参数表!L223/10-AC223*($AC$3/100)*炼钢参数表!L223/10)/100/($AD$3/100)/炼钢参数表!L223*1000))</f>
        <v>0</v>
      </c>
      <c r="AE223" s="8">
        <f>(K223-炼钢参数表!J223-AB223*0.6566*炼钢参数表!L223/10-AC223*($AC$3/100)*炼钢参数表!L223/10-AD223*($AD$3/100)*炼钢参数表!L223/10)/100/($AE$3/100)/炼钢参数表!L223*1000</f>
        <v>20.3604042922749</v>
      </c>
      <c r="AF223" s="8">
        <v>0</v>
      </c>
      <c r="AG223" s="8">
        <f>IF(J223&lt;=0.04,0,((J223-(AB223*0.1769*炼钢参数表!K223/1000*100))/100/炼钢参数表!K223/($AG$3/100)*1000))</f>
        <v>2.5958742904610301</v>
      </c>
      <c r="AH223" s="8">
        <v>2.2000000000000002</v>
      </c>
      <c r="AI223" s="8">
        <f>IF(N223="",0,IF(N223&lt;=0.002,0,((N223)/100)/($AI$3/100)/炼钢参数表!M223*1000))</f>
        <v>0</v>
      </c>
      <c r="AJ223" s="8">
        <f>IF(O223="",0,IF(O223&lt;=0.002,0,((O223)/100)/($AJ$3/100)/炼钢参数表!N223*1000))</f>
        <v>0.64324622838065104</v>
      </c>
      <c r="AK223" s="8">
        <f>IF(P223="",0,IF(P223&lt;=0.002,0,((P223+0.005)/100)/($AK$3/100)/炼钢参数表!O223*1000))</f>
        <v>1.8959805212948599</v>
      </c>
      <c r="AL223" s="8">
        <f>IF((BA223-J223*0.00003-K223*0.00024)&lt;=0.05,0,IF(T223="",0,IF(T223&lt;=0.03,0,IF(((BA223-J223*0.00003-K223*0.00024)-0.05)/0.18/100/($AL$3/100)/炼钢参数表!P223*1000&lt;=T223/100/($AL$3/100)/炼钢参数表!P223*1000,((BA223-J223*0.00003-K223*0.00024)-0.05)/0.18/100/($AL$3/100)/炼钢参数表!P223*1000,T223/100/($AL$3/100)/炼钢参数表!P223*1000))))</f>
        <v>0</v>
      </c>
      <c r="AM223" s="8">
        <f>IF(T223="",0,IF(T223&lt;=0.03,0,((T223-AL223*($AL$3/100)*炼钢参数表!P223/10)/100/($AM$3/100)/炼钢参数表!P223*1000)))</f>
        <v>0</v>
      </c>
      <c r="AN223" s="8">
        <f>IF(U223="",0,IF(U223&lt;=0.02,0,(U223/100)/($AN$3/100)/炼钢参数表!Q223*1000))</f>
        <v>0</v>
      </c>
      <c r="AO223" s="8">
        <f>IF(V223="",0,IF(V223&lt;=0.02,0,(V223/100)/($AO$3/100)/炼钢参数表!R223*1000))</f>
        <v>0</v>
      </c>
      <c r="AP223" s="8">
        <f>IF(W223="",0,IF(W223&lt;=0.02,0,(W223/100)/($AP$3/100)/炼钢参数表!S223*1000))</f>
        <v>0</v>
      </c>
      <c r="AQ223" s="8">
        <f>IF(X223="",0,IF(X223&lt;=0.0002,0,(X223/100)/($AQ$3/100)/炼钢参数表!T223*1000))</f>
        <v>0</v>
      </c>
      <c r="AR223" s="8">
        <f>IF(Y223="",0,IF(Y223&lt;=0.02,0,(Y223/100)/($AR$3/100)/炼钢参数表!U223*1000))</f>
        <v>0</v>
      </c>
      <c r="AS223" s="8">
        <f>IF(L223&lt;=0.04,0,((L223-0.04)/100)/($AS$3/100)/炼钢参数表!V223*1000)</f>
        <v>0</v>
      </c>
      <c r="AT223" s="8">
        <f>IF(M223&lt;=0.03,0,((M223-0.03)/100)/($AT$3/100)/炼钢参数表!W223*1000)</f>
        <v>0</v>
      </c>
      <c r="AU223" s="6"/>
      <c r="AV223" s="8">
        <f t="shared" si="35"/>
        <v>27.6955053324114</v>
      </c>
      <c r="AW223" s="8" cm="1">
        <f t="array" ref="AW223">SUMPRODUCT($AB$4:$AU$4,AB223:AU223)/1000</f>
        <v>417.95273020360497</v>
      </c>
      <c r="AY223" s="2" t="str">
        <f t="shared" si="36"/>
        <v>700L-3</v>
      </c>
      <c r="AZ223" s="37">
        <f>VLOOKUP(AY223,炼钢参数表!$F$5:$J$1027,4,0)</f>
        <v>0.04</v>
      </c>
      <c r="BA223" s="37">
        <f t="shared" si="37"/>
        <v>0.02</v>
      </c>
      <c r="BB223" s="37">
        <f>AB223*$BB$4*炼钢参数表!$X$5/1000</f>
        <v>0</v>
      </c>
      <c r="BC223" s="37">
        <f>AC223*$BC$4*炼钢参数表!$X$5/1000</f>
        <v>0</v>
      </c>
      <c r="BD223" s="37">
        <f>AD223*$BD$4*炼钢参数表!$X$5/1000</f>
        <v>0</v>
      </c>
      <c r="BE223" s="37">
        <f>AE223*$BE$4*炼钢参数表!$X$5/1000</f>
        <v>1.17275928723503E-2</v>
      </c>
      <c r="BF223" s="37">
        <f>AL223*$BF$4*炼钢参数表!$X$5/1000</f>
        <v>0</v>
      </c>
      <c r="BG223" s="37">
        <f>AM223*$BG$4*炼钢参数表!$X$5/1000</f>
        <v>0</v>
      </c>
      <c r="BH223" s="37">
        <f t="shared" si="38"/>
        <v>1.17275928723503E-2</v>
      </c>
      <c r="BI223" s="37">
        <f t="shared" si="39"/>
        <v>5.1727592872350299E-2</v>
      </c>
      <c r="BJ223" s="37">
        <f t="shared" si="40"/>
        <v>-8.2724071276496797E-3</v>
      </c>
      <c r="BK223" s="54"/>
      <c r="BL223" s="7"/>
    </row>
    <row r="224" spans="1:64" s="18" customFormat="1" x14ac:dyDescent="0.3">
      <c r="A224" s="21">
        <v>218</v>
      </c>
      <c r="B224" s="4" t="s">
        <v>388</v>
      </c>
      <c r="C224" s="4" t="s">
        <v>23</v>
      </c>
      <c r="D224" s="4">
        <v>3</v>
      </c>
      <c r="E224" s="4">
        <v>8</v>
      </c>
      <c r="F224" s="4" t="s">
        <v>389</v>
      </c>
      <c r="G224" s="4" t="s">
        <v>390</v>
      </c>
      <c r="H224" s="4">
        <v>1519.3</v>
      </c>
      <c r="I224" s="4">
        <v>7.0000000000000007E-2</v>
      </c>
      <c r="J224" s="4">
        <v>0.08</v>
      </c>
      <c r="K224" s="4">
        <v>1.4</v>
      </c>
      <c r="L224" s="4">
        <v>1.4999999999999999E-2</v>
      </c>
      <c r="M224" s="4">
        <v>3.0000000000000001E-3</v>
      </c>
      <c r="N224" s="4" t="s">
        <v>631</v>
      </c>
      <c r="O224" s="4">
        <v>0.03</v>
      </c>
      <c r="P224" s="4">
        <v>0.1</v>
      </c>
      <c r="Q224" s="4">
        <v>0.03</v>
      </c>
      <c r="R224" s="4" t="s">
        <v>631</v>
      </c>
      <c r="S224" s="4">
        <v>2E-3</v>
      </c>
      <c r="T224" s="4">
        <v>0</v>
      </c>
      <c r="U224" s="4">
        <v>0</v>
      </c>
      <c r="V224" s="4">
        <v>0</v>
      </c>
      <c r="W224" s="4" t="s">
        <v>631</v>
      </c>
      <c r="X224" s="4" t="s">
        <v>631</v>
      </c>
      <c r="Y224" s="4" t="s">
        <v>631</v>
      </c>
      <c r="Z224" s="4">
        <v>40</v>
      </c>
      <c r="AA224" s="53"/>
      <c r="AB224" s="42">
        <f>IF(J224&lt;=0.04,0,IF((BA224-AL224*BF$4*炼钢参数表!$X$5/1000-AM224*BG$4*炼钢参数表!$X$5/1000)&lt;=0.03,0,IF((J224/100/0.1769/炼钢参数表!K224*1000)&gt;(K224-炼钢参数表!J224)/100/0.6566/炼钢参数表!L224*1000,IF(K224&lt;1.6,(K224-炼钢参数表!J224)/100/0.6566/炼钢参数表!L224*1000,(K224-0.08-炼钢参数表!J224)/100/0.6566/炼钢参数表!L224*1000),IF(K224&lt;1.6,J224/100/0.1769/炼钢参数表!K224*1000,(J224-0.08)/100/0.1769/炼钢参数表!K224*1000))))</f>
        <v>0</v>
      </c>
      <c r="AC224" s="8">
        <f>IF((BA224-AB224*$BB$4*0.9/1000-AL224*BF$4*炼钢参数表!$X$5/1000-AM224*BG$4*炼钢参数表!$X$5/1000)&lt;(K224-炼钢参数表!J224-AB224*0.6566*炼钢参数表!L224/10)*0.082,0,(K224-炼钢参数表!J224-AB224*0.6566*炼钢参数表!L224/10)/100/($AC$3/100)/炼钢参数表!L224*1000)</f>
        <v>0</v>
      </c>
      <c r="AD224" s="8">
        <f>IF((BA224-AB224*$BB$4*0.9/1000-AC224*$BC$4*0.9/1000-AL224*BF$4*炼钢参数表!$X$5/1000-AM224*BG$4*炼钢参数表!$X$5/1000)&lt;=(K224-炼钢参数表!J224-AB224*0.6566*炼钢参数表!L224/10-AC224*($AC$3/100)*炼钢参数表!L224/10)*0.02,0,((K224-炼钢参数表!J224-AB224*0.6566*炼钢参数表!L224/10-AC224*($AC$3/100)*炼钢参数表!L224/10)/100/($AD$3/100)/炼钢参数表!L224*1000))</f>
        <v>17.149717029668999</v>
      </c>
      <c r="AE224" s="8">
        <f>(K224-炼钢参数表!J224-AB224*0.6566*炼钢参数表!L224/10-AC224*($AC$3/100)*炼钢参数表!L224/10-AD224*($AD$3/100)*炼钢参数表!L224/10)/100/($AE$3/100)/炼钢参数表!L224*1000</f>
        <v>0</v>
      </c>
      <c r="AF224" s="8">
        <v>0</v>
      </c>
      <c r="AG224" s="8">
        <f>IF(J224&lt;=0.04,0,((J224-(AB224*0.1769*炼钢参数表!K224/1000*100))/100/炼钢参数表!K224/($AG$3/100)*1000))</f>
        <v>1.38446628824588</v>
      </c>
      <c r="AH224" s="8">
        <v>2.2000000000000002</v>
      </c>
      <c r="AI224" s="8">
        <f>IF(N224="",0,IF(N224&lt;=0.002,0,((N224)/100)/($AI$3/100)/炼钢参数表!M224*1000))</f>
        <v>0</v>
      </c>
      <c r="AJ224" s="8">
        <f>IF(O224="",0,IF(O224&lt;=0.002,0,((O224)/100)/($AJ$3/100)/炼钢参数表!N224*1000))</f>
        <v>0.47066797198584198</v>
      </c>
      <c r="AK224" s="8">
        <f>IF(P224="",0,IF(P224&lt;=0.002,0,((P224+0.005)/100)/($AK$3/100)/炼钢参数表!O224*1000))</f>
        <v>2.0955574182732599</v>
      </c>
      <c r="AL224" s="8">
        <f>IF((BA224-J224*0.00003-K224*0.00024)&lt;=0.05,0,IF(T224="",0,IF(T224&lt;=0.03,0,IF(((BA224-J224*0.00003-K224*0.00024)-0.05)/0.18/100/($AL$3/100)/炼钢参数表!P224*1000&lt;=T224/100/($AL$3/100)/炼钢参数表!P224*1000,((BA224-J224*0.00003-K224*0.00024)-0.05)/0.18/100/($AL$3/100)/炼钢参数表!P224*1000,T224/100/($AL$3/100)/炼钢参数表!P224*1000))))</f>
        <v>0</v>
      </c>
      <c r="AM224" s="8">
        <f>IF(T224="",0,IF(T224&lt;=0.03,0,((T224-AL224*($AL$3/100)*炼钢参数表!P224/10)/100/($AM$3/100)/炼钢参数表!P224*1000)))</f>
        <v>0</v>
      </c>
      <c r="AN224" s="8">
        <f>IF(U224="",0,IF(U224&lt;=0.02,0,(U224/100)/($AN$3/100)/炼钢参数表!Q224*1000))</f>
        <v>0</v>
      </c>
      <c r="AO224" s="8">
        <f>IF(V224="",0,IF(V224&lt;=0.02,0,(V224/100)/($AO$3/100)/炼钢参数表!R224*1000))</f>
        <v>0</v>
      </c>
      <c r="AP224" s="8">
        <f>IF(W224="",0,IF(W224&lt;=0.02,0,(W224/100)/($AP$3/100)/炼钢参数表!S224*1000))</f>
        <v>0</v>
      </c>
      <c r="AQ224" s="8">
        <f>IF(X224="",0,IF(X224&lt;=0.0002,0,(X224/100)/($AQ$3/100)/炼钢参数表!T224*1000))</f>
        <v>0</v>
      </c>
      <c r="AR224" s="8">
        <f>IF(Y224="",0,IF(Y224&lt;=0.02,0,(Y224/100)/($AR$3/100)/炼钢参数表!U224*1000))</f>
        <v>0</v>
      </c>
      <c r="AS224" s="8">
        <f>IF(L224&lt;=0.04,0,((L224-0.04)/100)/($AS$3/100)/炼钢参数表!V224*1000)</f>
        <v>0</v>
      </c>
      <c r="AT224" s="8">
        <f>IF(M224&lt;=0.03,0,((M224-0.03)/100)/($AT$3/100)/炼钢参数表!W224*1000)</f>
        <v>0</v>
      </c>
      <c r="AU224" s="6"/>
      <c r="AV224" s="8">
        <f t="shared" si="35"/>
        <v>23.300408708174</v>
      </c>
      <c r="AW224" s="8" cm="1">
        <f t="array" ref="AW224">SUMPRODUCT($AB$4:$AU$4,AB224:AU224)/1000</f>
        <v>340.70259306404103</v>
      </c>
      <c r="AY224" s="2" t="str">
        <f t="shared" si="36"/>
        <v>700L-S1</v>
      </c>
      <c r="AZ224" s="37">
        <f>VLOOKUP(AY224,炼钢参数表!$F$5:$J$1027,4,0)</f>
        <v>0.04</v>
      </c>
      <c r="BA224" s="37">
        <f t="shared" si="37"/>
        <v>0.03</v>
      </c>
      <c r="BB224" s="37">
        <f>AB224*$BB$4*炼钢参数表!$X$5/1000</f>
        <v>0</v>
      </c>
      <c r="BC224" s="37">
        <f>AC224*$BC$4*炼钢参数表!$X$5/1000</f>
        <v>0</v>
      </c>
      <c r="BD224" s="37">
        <f>AD224*$BD$4*炼钢参数表!$X$5/1000</f>
        <v>2.3152117990053199E-2</v>
      </c>
      <c r="BE224" s="37">
        <f>AE224*$BE$4*炼钢参数表!$X$5/1000</f>
        <v>0</v>
      </c>
      <c r="BF224" s="37">
        <f>AL224*$BF$4*炼钢参数表!$X$5/1000</f>
        <v>0</v>
      </c>
      <c r="BG224" s="37">
        <f>AM224*$BG$4*炼钢参数表!$X$5/1000</f>
        <v>0</v>
      </c>
      <c r="BH224" s="37">
        <f t="shared" si="38"/>
        <v>2.3152117990053199E-2</v>
      </c>
      <c r="BI224" s="37">
        <f t="shared" si="39"/>
        <v>6.31521179900532E-2</v>
      </c>
      <c r="BJ224" s="37">
        <f t="shared" si="40"/>
        <v>-6.8478820099468502E-3</v>
      </c>
      <c r="BK224" s="54"/>
      <c r="BL224" s="7"/>
    </row>
    <row r="225" spans="1:64" s="18" customFormat="1" x14ac:dyDescent="0.3">
      <c r="A225" s="21">
        <v>219</v>
      </c>
      <c r="B225" s="4" t="s">
        <v>388</v>
      </c>
      <c r="C225" s="4" t="s">
        <v>26</v>
      </c>
      <c r="D225" s="4">
        <v>8.01</v>
      </c>
      <c r="E225" s="4">
        <v>12</v>
      </c>
      <c r="F225" s="4" t="s">
        <v>391</v>
      </c>
      <c r="G225" s="4" t="s">
        <v>390</v>
      </c>
      <c r="H225" s="4">
        <v>1518</v>
      </c>
      <c r="I225" s="4">
        <v>7.0000000000000007E-2</v>
      </c>
      <c r="J225" s="4">
        <v>0.08</v>
      </c>
      <c r="K225" s="4">
        <v>1.55</v>
      </c>
      <c r="L225" s="4">
        <v>1.4999999999999999E-2</v>
      </c>
      <c r="M225" s="4">
        <v>3.0000000000000001E-3</v>
      </c>
      <c r="N225" s="4" t="s">
        <v>631</v>
      </c>
      <c r="O225" s="4">
        <v>0.04</v>
      </c>
      <c r="P225" s="4">
        <v>0.1</v>
      </c>
      <c r="Q225" s="4">
        <v>0.03</v>
      </c>
      <c r="R225" s="4" t="s">
        <v>631</v>
      </c>
      <c r="S225" s="4">
        <v>2E-3</v>
      </c>
      <c r="T225" s="4">
        <v>0</v>
      </c>
      <c r="U225" s="4">
        <v>0</v>
      </c>
      <c r="V225" s="4">
        <v>0</v>
      </c>
      <c r="W225" s="4" t="s">
        <v>631</v>
      </c>
      <c r="X225" s="4" t="s">
        <v>631</v>
      </c>
      <c r="Y225" s="4" t="s">
        <v>631</v>
      </c>
      <c r="Z225" s="4">
        <v>40</v>
      </c>
      <c r="AA225" s="53"/>
      <c r="AB225" s="42">
        <f>IF(J225&lt;=0.04,0,IF((BA225-AL225*BF$4*炼钢参数表!$X$5/1000-AM225*BG$4*炼钢参数表!$X$5/1000)&lt;=0.03,0,IF((J225/100/0.1769/炼钢参数表!K225*1000)&gt;(K225-炼钢参数表!J225)/100/0.6566/炼钢参数表!L225*1000,IF(K225&lt;1.6,(K225-炼钢参数表!J225)/100/0.6566/炼钢参数表!L225*1000,(K225-0.08-炼钢参数表!J225)/100/0.6566/炼钢参数表!L225*1000),IF(K225&lt;1.6,J225/100/0.1769/炼钢参数表!K225*1000,(J225-0.08)/100/0.1769/炼钢参数表!K225*1000))))</f>
        <v>0</v>
      </c>
      <c r="AC225" s="8">
        <f>IF((BA225-AB225*$BB$4*0.9/1000-AL225*BF$4*炼钢参数表!$X$5/1000-AM225*BG$4*炼钢参数表!$X$5/1000)&lt;(K225-炼钢参数表!J225-AB225*0.6566*炼钢参数表!L225/10)*0.082,0,(K225-炼钢参数表!J225-AB225*0.6566*炼钢参数表!L225/10)/100/($AC$3/100)/炼钢参数表!L225*1000)</f>
        <v>0</v>
      </c>
      <c r="AD225" s="8">
        <f>IF((BA225-AB225*$BB$4*0.9/1000-AC225*$BC$4*0.9/1000-AL225*BF$4*炼钢参数表!$X$5/1000-AM225*BG$4*炼钢参数表!$X$5/1000)&lt;=(K225-炼钢参数表!J225-AB225*0.6566*炼钢参数表!L225/10-AC225*($AC$3/100)*炼钢参数表!L225/10)*0.02,0,((K225-炼钢参数表!J225-AB225*0.6566*炼钢参数表!L225/10-AC225*($AC$3/100)*炼钢参数表!L225/10)/100/($AD$3/100)/炼钢参数表!L225*1000))</f>
        <v>19.098548510313201</v>
      </c>
      <c r="AE225" s="8">
        <f>(K225-炼钢参数表!J225-AB225*0.6566*炼钢参数表!L225/10-AC225*($AC$3/100)*炼钢参数表!L225/10-AD225*($AD$3/100)*炼钢参数表!L225/10)/100/($AE$3/100)/炼钢参数表!L225*1000</f>
        <v>0</v>
      </c>
      <c r="AF225" s="8">
        <v>0</v>
      </c>
      <c r="AG225" s="8">
        <f>IF(J225&lt;=0.04,0,((J225-(AB225*0.1769*炼钢参数表!K225/1000*100))/100/炼钢参数表!K225/($AG$3/100)*1000))</f>
        <v>1.38446628824588</v>
      </c>
      <c r="AH225" s="8">
        <v>2.2000000000000002</v>
      </c>
      <c r="AI225" s="8">
        <f>IF(N225="",0,IF(N225&lt;=0.002,0,((N225)/100)/($AI$3/100)/炼钢参数表!M225*1000))</f>
        <v>0</v>
      </c>
      <c r="AJ225" s="8">
        <f>IF(O225="",0,IF(O225&lt;=0.002,0,((O225)/100)/($AJ$3/100)/炼钢参数表!N225*1000))</f>
        <v>0.62755729598112298</v>
      </c>
      <c r="AK225" s="8">
        <f>IF(P225="",0,IF(P225&lt;=0.002,0,((P225+0.005)/100)/($AK$3/100)/炼钢参数表!O225*1000))</f>
        <v>2.0955574182732599</v>
      </c>
      <c r="AL225" s="8">
        <f>IF((BA225-J225*0.00003-K225*0.00024)&lt;=0.05,0,IF(T225="",0,IF(T225&lt;=0.03,0,IF(((BA225-J225*0.00003-K225*0.00024)-0.05)/0.18/100/($AL$3/100)/炼钢参数表!P225*1000&lt;=T225/100/($AL$3/100)/炼钢参数表!P225*1000,((BA225-J225*0.00003-K225*0.00024)-0.05)/0.18/100/($AL$3/100)/炼钢参数表!P225*1000,T225/100/($AL$3/100)/炼钢参数表!P225*1000))))</f>
        <v>0</v>
      </c>
      <c r="AM225" s="8">
        <f>IF(T225="",0,IF(T225&lt;=0.03,0,((T225-AL225*($AL$3/100)*炼钢参数表!P225/10)/100/($AM$3/100)/炼钢参数表!P225*1000)))</f>
        <v>0</v>
      </c>
      <c r="AN225" s="8">
        <f>IF(U225="",0,IF(U225&lt;=0.02,0,(U225/100)/($AN$3/100)/炼钢参数表!Q225*1000))</f>
        <v>0</v>
      </c>
      <c r="AO225" s="8">
        <f>IF(V225="",0,IF(V225&lt;=0.02,0,(V225/100)/($AO$3/100)/炼钢参数表!R225*1000))</f>
        <v>0</v>
      </c>
      <c r="AP225" s="8">
        <f>IF(W225="",0,IF(W225&lt;=0.02,0,(W225/100)/($AP$3/100)/炼钢参数表!S225*1000))</f>
        <v>0</v>
      </c>
      <c r="AQ225" s="8">
        <f>IF(X225="",0,IF(X225&lt;=0.0002,0,(X225/100)/($AQ$3/100)/炼钢参数表!T225*1000))</f>
        <v>0</v>
      </c>
      <c r="AR225" s="8">
        <f>IF(Y225="",0,IF(Y225&lt;=0.02,0,(Y225/100)/($AR$3/100)/炼钢参数表!U225*1000))</f>
        <v>0</v>
      </c>
      <c r="AS225" s="8">
        <f>IF(L225&lt;=0.04,0,((L225-0.04)/100)/($AS$3/100)/炼钢参数表!V225*1000)</f>
        <v>0</v>
      </c>
      <c r="AT225" s="8">
        <f>IF(M225&lt;=0.03,0,((M225-0.03)/100)/($AT$3/100)/炼钢参数表!W225*1000)</f>
        <v>0</v>
      </c>
      <c r="AU225" s="6"/>
      <c r="AV225" s="8">
        <f t="shared" si="35"/>
        <v>25.4061295128135</v>
      </c>
      <c r="AW225" s="8" cm="1">
        <f t="array" ref="AW225">SUMPRODUCT($AB$4:$AU$4,AB225:AU225)/1000</f>
        <v>389.55744457800398</v>
      </c>
      <c r="AY225" s="2" t="str">
        <f t="shared" si="36"/>
        <v>700L-S2</v>
      </c>
      <c r="AZ225" s="37">
        <f>VLOOKUP(AY225,炼钢参数表!$F$5:$J$1027,4,0)</f>
        <v>0.04</v>
      </c>
      <c r="BA225" s="37">
        <f t="shared" si="37"/>
        <v>0.03</v>
      </c>
      <c r="BB225" s="37">
        <f>AB225*$BB$4*炼钢参数表!$X$5/1000</f>
        <v>0</v>
      </c>
      <c r="BC225" s="37">
        <f>AC225*$BC$4*炼钢参数表!$X$5/1000</f>
        <v>0</v>
      </c>
      <c r="BD225" s="37">
        <f>AD225*$BD$4*炼钢参数表!$X$5/1000</f>
        <v>2.5783040488922802E-2</v>
      </c>
      <c r="BE225" s="37">
        <f>AE225*$BE$4*炼钢参数表!$X$5/1000</f>
        <v>0</v>
      </c>
      <c r="BF225" s="37">
        <f>AL225*$BF$4*炼钢参数表!$X$5/1000</f>
        <v>0</v>
      </c>
      <c r="BG225" s="37">
        <f>AM225*$BG$4*炼钢参数表!$X$5/1000</f>
        <v>0</v>
      </c>
      <c r="BH225" s="37">
        <f t="shared" si="38"/>
        <v>2.5783040488922802E-2</v>
      </c>
      <c r="BI225" s="37">
        <f t="shared" si="39"/>
        <v>6.5783040488922806E-2</v>
      </c>
      <c r="BJ225" s="37">
        <f t="shared" si="40"/>
        <v>-4.2169595110771703E-3</v>
      </c>
      <c r="BK225" s="54"/>
      <c r="BL225" s="7"/>
    </row>
    <row r="226" spans="1:64" s="18" customFormat="1" x14ac:dyDescent="0.3">
      <c r="A226" s="21">
        <v>220</v>
      </c>
      <c r="B226" s="4" t="s">
        <v>392</v>
      </c>
      <c r="C226" s="4" t="s">
        <v>23</v>
      </c>
      <c r="D226" s="4">
        <v>6</v>
      </c>
      <c r="E226" s="4">
        <v>12</v>
      </c>
      <c r="F226" s="4" t="s">
        <v>392</v>
      </c>
      <c r="G226" s="4" t="s">
        <v>393</v>
      </c>
      <c r="H226" s="4">
        <v>1515</v>
      </c>
      <c r="I226" s="4">
        <v>0.08</v>
      </c>
      <c r="J226" s="4">
        <v>0.2</v>
      </c>
      <c r="K226" s="4">
        <v>1.85</v>
      </c>
      <c r="L226" s="4">
        <v>1.4999999999999999E-2</v>
      </c>
      <c r="M226" s="4">
        <v>3.0000000000000001E-3</v>
      </c>
      <c r="N226" s="4" t="s">
        <v>631</v>
      </c>
      <c r="O226" s="4">
        <v>4.4999999999999998E-2</v>
      </c>
      <c r="P226" s="4">
        <v>0.105</v>
      </c>
      <c r="Q226" s="4">
        <v>0.03</v>
      </c>
      <c r="R226" s="4" t="s">
        <v>631</v>
      </c>
      <c r="S226" s="4">
        <v>2E-3</v>
      </c>
      <c r="T226" s="4">
        <v>0</v>
      </c>
      <c r="U226" s="4">
        <v>0</v>
      </c>
      <c r="V226" s="4">
        <v>0</v>
      </c>
      <c r="W226" s="4" t="s">
        <v>631</v>
      </c>
      <c r="X226" s="4" t="s">
        <v>631</v>
      </c>
      <c r="Y226" s="4" t="s">
        <v>631</v>
      </c>
      <c r="Z226" s="4">
        <v>40</v>
      </c>
      <c r="AA226" s="53"/>
      <c r="AB226" s="42">
        <f>IF(J226&lt;=0.04,0,IF((BA226-AL226*BF$4*炼钢参数表!$X$5/1000-AM226*BG$4*炼钢参数表!$X$5/1000)&lt;=0.03,0,IF((J226/100/0.1769/炼钢参数表!K226*1000)&gt;(K226-炼钢参数表!J226)/100/0.6566/炼钢参数表!L226*1000,IF(K226&lt;1.6,(K226-炼钢参数表!J226)/100/0.6566/炼钢参数表!L226*1000,(K226-0.08-炼钢参数表!J226)/100/0.6566/炼钢参数表!L226*1000),IF(K226&lt;1.6,J226/100/0.1769/炼钢参数表!K226*1000,(J226-0.08)/100/0.1769/炼钢参数表!K226*1000))))</f>
        <v>0</v>
      </c>
      <c r="AC226" s="8">
        <f>IF((BA226-AB226*$BB$4*0.9/1000-AL226*BF$4*炼钢参数表!$X$5/1000-AM226*BG$4*炼钢参数表!$X$5/1000)&lt;(K226-炼钢参数表!J226-AB226*0.6566*炼钢参数表!L226/10)*0.082,0,(K226-炼钢参数表!J226-AB226*0.6566*炼钢参数表!L226/10)/100/($AC$3/100)/炼钢参数表!L226*1000)</f>
        <v>0</v>
      </c>
      <c r="AD226" s="8">
        <f>IF((BA226-AB226*$BB$4*0.9/1000-AC226*$BC$4*0.9/1000-AL226*BF$4*炼钢参数表!$X$5/1000-AM226*BG$4*炼钢参数表!$X$5/1000)&lt;=(K226-炼钢参数表!J226-AB226*0.6566*炼钢参数表!L226/10-AC226*($AC$3/100)*炼钢参数表!L226/10)*0.02,0,((K226-炼钢参数表!J226-AB226*0.6566*炼钢参数表!L226/10-AC226*($AC$3/100)*炼钢参数表!L226/10)/100/($AD$3/100)/炼钢参数表!L226*1000))</f>
        <v>0</v>
      </c>
      <c r="AE226" s="8">
        <f>(K226-炼钢参数表!J226-AB226*0.6566*炼钢参数表!L226/10-AC226*($AC$3/100)*炼钢参数表!L226/10-AD226*($AD$3/100)*炼钢参数表!L226/10)/100/($AE$3/100)/炼钢参数表!L226*1000</f>
        <v>22.2456269119299</v>
      </c>
      <c r="AF226" s="8">
        <v>0</v>
      </c>
      <c r="AG226" s="8">
        <f>IF(J226&lt;=0.04,0,((J226-(AB226*0.1769*炼钢参数表!K226/1000*100))/100/炼钢参数表!K226/($AG$3/100)*1000))</f>
        <v>3.4611657206147002</v>
      </c>
      <c r="AH226" s="8">
        <v>2.2000000000000002</v>
      </c>
      <c r="AI226" s="8">
        <f>IF(N226="",0,IF(N226&lt;=0.002,0,((N226)/100)/($AI$3/100)/炼钢参数表!M226*1000))</f>
        <v>0</v>
      </c>
      <c r="AJ226" s="8">
        <f>IF(O226="",0,IF(O226&lt;=0.002,0,((O226)/100)/($AJ$3/100)/炼钢参数表!N226*1000))</f>
        <v>0.70600195797876297</v>
      </c>
      <c r="AK226" s="8">
        <f>IF(P226="",0,IF(P226&lt;=0.002,0,((P226+0.005)/100)/($AK$3/100)/炼钢参数表!O226*1000))</f>
        <v>2.1953458667624601</v>
      </c>
      <c r="AL226" s="8">
        <f>IF((BA226-J226*0.00003-K226*0.00024)&lt;=0.05,0,IF(T226="",0,IF(T226&lt;=0.03,0,IF(((BA226-J226*0.00003-K226*0.00024)-0.05)/0.18/100/($AL$3/100)/炼钢参数表!P226*1000&lt;=T226/100/($AL$3/100)/炼钢参数表!P226*1000,((BA226-J226*0.00003-K226*0.00024)-0.05)/0.18/100/($AL$3/100)/炼钢参数表!P226*1000,T226/100/($AL$3/100)/炼钢参数表!P226*1000))))</f>
        <v>0</v>
      </c>
      <c r="AM226" s="8">
        <f>IF(T226="",0,IF(T226&lt;=0.03,0,((T226-AL226*($AL$3/100)*炼钢参数表!P226/10)/100/($AM$3/100)/炼钢参数表!P226*1000)))</f>
        <v>0</v>
      </c>
      <c r="AN226" s="8">
        <f>IF(U226="",0,IF(U226&lt;=0.02,0,(U226/100)/($AN$3/100)/炼钢参数表!Q226*1000))</f>
        <v>0</v>
      </c>
      <c r="AO226" s="8">
        <f>IF(V226="",0,IF(V226&lt;=0.02,0,(V226/100)/($AO$3/100)/炼钢参数表!R226*1000))</f>
        <v>0</v>
      </c>
      <c r="AP226" s="8">
        <f>IF(W226="",0,IF(W226&lt;=0.02,0,(W226/100)/($AP$3/100)/炼钢参数表!S226*1000))</f>
        <v>0</v>
      </c>
      <c r="AQ226" s="8">
        <f>IF(X226="",0,IF(X226&lt;=0.0002,0,(X226/100)/($AQ$3/100)/炼钢参数表!T226*1000))</f>
        <v>0</v>
      </c>
      <c r="AR226" s="8">
        <f>IF(Y226="",0,IF(Y226&lt;=0.02,0,(Y226/100)/($AR$3/100)/炼钢参数表!U226*1000))</f>
        <v>0</v>
      </c>
      <c r="AS226" s="8">
        <f>IF(L226&lt;=0.04,0,((L226-0.04)/100)/($AS$3/100)/炼钢参数表!V226*1000)</f>
        <v>0</v>
      </c>
      <c r="AT226" s="8">
        <f>IF(M226&lt;=0.03,0,((M226-0.03)/100)/($AT$3/100)/炼钢参数表!W226*1000)</f>
        <v>0</v>
      </c>
      <c r="AU226" s="6"/>
      <c r="AV226" s="8">
        <f t="shared" si="35"/>
        <v>30.808140457285901</v>
      </c>
      <c r="AW226" s="8" cm="1">
        <f t="array" ref="AW226">SUMPRODUCT($AB$4:$AU$4,AB226:AU226)/1000</f>
        <v>459.01125742049197</v>
      </c>
      <c r="AY226" s="2" t="str">
        <f t="shared" si="36"/>
        <v>700L(HJKJ)</v>
      </c>
      <c r="AZ226" s="37">
        <f>VLOOKUP(AY226,炼钢参数表!$F$5:$J$1027,4,0)</f>
        <v>0.05</v>
      </c>
      <c r="BA226" s="37">
        <f t="shared" si="37"/>
        <v>0.03</v>
      </c>
      <c r="BB226" s="37">
        <f>AB226*$BB$4*炼钢参数表!$X$5/1000</f>
        <v>0</v>
      </c>
      <c r="BC226" s="37">
        <f>AC226*$BC$4*炼钢参数表!$X$5/1000</f>
        <v>0</v>
      </c>
      <c r="BD226" s="37">
        <f>AD226*$BD$4*炼钢参数表!$X$5/1000</f>
        <v>0</v>
      </c>
      <c r="BE226" s="37">
        <f>AE226*$BE$4*炼钢参数表!$X$5/1000</f>
        <v>1.28134811012716E-2</v>
      </c>
      <c r="BF226" s="37">
        <f>AL226*$BF$4*炼钢参数表!$X$5/1000</f>
        <v>0</v>
      </c>
      <c r="BG226" s="37">
        <f>AM226*$BG$4*炼钢参数表!$X$5/1000</f>
        <v>0</v>
      </c>
      <c r="BH226" s="37">
        <f t="shared" si="38"/>
        <v>1.28134811012716E-2</v>
      </c>
      <c r="BI226" s="37">
        <f t="shared" si="39"/>
        <v>6.2813481101271607E-2</v>
      </c>
      <c r="BJ226" s="37">
        <f t="shared" si="40"/>
        <v>-1.7186518898728399E-2</v>
      </c>
      <c r="BK226" s="54"/>
      <c r="BL226" s="7"/>
    </row>
    <row r="227" spans="1:64" s="18" customFormat="1" ht="12" customHeight="1" x14ac:dyDescent="0.3">
      <c r="A227" s="21">
        <v>221</v>
      </c>
      <c r="B227" s="4" t="s">
        <v>394</v>
      </c>
      <c r="C227" s="4" t="s">
        <v>23</v>
      </c>
      <c r="D227" s="4">
        <v>4</v>
      </c>
      <c r="E227" s="4">
        <v>5.99</v>
      </c>
      <c r="F227" s="4" t="s">
        <v>395</v>
      </c>
      <c r="G227" s="50" t="s">
        <v>396</v>
      </c>
      <c r="H227" s="4">
        <v>1516</v>
      </c>
      <c r="I227" s="51">
        <v>0.08</v>
      </c>
      <c r="J227" s="52">
        <v>0.2</v>
      </c>
      <c r="K227" s="52">
        <v>1.65</v>
      </c>
      <c r="L227" s="51">
        <v>1.4999999999999999E-2</v>
      </c>
      <c r="M227" s="51">
        <v>4.0000000000000001E-3</v>
      </c>
      <c r="N227" s="51" t="s">
        <v>631</v>
      </c>
      <c r="O227" s="51">
        <v>4.4999999999999998E-2</v>
      </c>
      <c r="P227" s="51">
        <v>0.105</v>
      </c>
      <c r="Q227" s="51">
        <v>0.03</v>
      </c>
      <c r="R227" s="51" t="s">
        <v>631</v>
      </c>
      <c r="S227" s="32" t="s">
        <v>631</v>
      </c>
      <c r="T227" s="52"/>
      <c r="U227" s="52"/>
      <c r="V227" s="52"/>
      <c r="W227" s="52"/>
      <c r="X227" s="32" t="s">
        <v>631</v>
      </c>
      <c r="Y227" s="53" t="s">
        <v>631</v>
      </c>
      <c r="Z227" s="4">
        <v>40</v>
      </c>
      <c r="AA227" s="53"/>
      <c r="AB227" s="42">
        <f>IF(J227&lt;=0.04,0,IF((BA227-AL227*BF$4*炼钢参数表!$X$5/1000-AM227*BG$4*炼钢参数表!$X$5/1000)&lt;=0.03,0,IF((J227/100/0.1769/炼钢参数表!K227*1000)&gt;(K227-炼钢参数表!J227)/100/0.6566/炼钢参数表!L227*1000,IF(K227&lt;1.6,(K227-炼钢参数表!J227)/100/0.6566/炼钢参数表!L227*1000,(K227-0.08-炼钢参数表!J227)/100/0.6566/炼钢参数表!L227*1000),IF(K227&lt;1.6,J227/100/0.1769/炼钢参数表!K227*1000,(J227-0.08)/100/0.1769/炼钢参数表!K227*1000))))</f>
        <v>8.47936687394008</v>
      </c>
      <c r="AC227" s="8">
        <f>IF((BA227-AB227*$BB$4*0.9/1000-AL227*BF$4*炼钢参数表!$X$5/1000-AM227*BG$4*炼钢参数表!$X$5/1000)&lt;(K227-炼钢参数表!J227-AB227*0.6566*炼钢参数表!L227/10)*0.082,0,(K227-炼钢参数表!J227-AB227*0.6566*炼钢参数表!L227/10)/100/($AC$3/100)/炼钢参数表!L227*1000)</f>
        <v>0</v>
      </c>
      <c r="AD227" s="8">
        <f>IF((BA227-AB227*$BB$4*0.9/1000-AC227*$BC$4*0.9/1000-AL227*BF$4*炼钢参数表!$X$5/1000-AM227*BG$4*炼钢参数表!$X$5/1000)&lt;=(K227-炼钢参数表!J227-AB227*0.6566*炼钢参数表!L227/10-AC227*($AC$3/100)*炼钢参数表!L227/10)*0.02,0,((K227-炼钢参数表!J227-AB227*0.6566*炼钢参数表!L227/10-AC227*($AC$3/100)*炼钢参数表!L227/10)/100/($AD$3/100)/炼钢参数表!L227*1000))</f>
        <v>13.050518697661699</v>
      </c>
      <c r="AE227" s="8">
        <f>(K227-炼钢参数表!J227-AB227*0.6566*炼钢参数表!L227/10-AC227*($AC$3/100)*炼钢参数表!L227/10-AD227*($AD$3/100)*炼钢参数表!L227/10)/100/($AE$3/100)/炼钢参数表!L227*1000</f>
        <v>0</v>
      </c>
      <c r="AF227" s="8">
        <v>0</v>
      </c>
      <c r="AG227" s="8">
        <f>IF(J227&lt;=0.04,0,((J227-(AB227*0.1769*炼钢参数表!K227/1000*100))/100/炼钢参数表!K227/($AG$3/100)*1000))</f>
        <v>1.38446628824588</v>
      </c>
      <c r="AH227" s="8">
        <v>2.2000000000000002</v>
      </c>
      <c r="AI227" s="8">
        <f>IF(N227="",0,IF(N227&lt;=0.002,0,((N227)/100)/($AI$3/100)/炼钢参数表!M227*1000))</f>
        <v>0</v>
      </c>
      <c r="AJ227" s="8">
        <f>IF(O227="",0,IF(O227&lt;=0.002,0,((O227)/100)/($AJ$3/100)/炼钢参数表!N227*1000))</f>
        <v>0.70600195797876297</v>
      </c>
      <c r="AK227" s="8">
        <f>IF(P227="",0,IF(P227&lt;=0.002,0,((P227+0.005)/100)/($AK$3/100)/炼钢参数表!O227*1000))</f>
        <v>2.1953458667624601</v>
      </c>
      <c r="AL227" s="8">
        <f>IF((BA227-J227*0.00003-K227*0.00024)&lt;=0.05,0,IF(T227="",0,IF(T227&lt;=0.03,0,IF(((BA227-J227*0.00003-K227*0.00024)-0.05)/0.18/100/($AL$3/100)/炼钢参数表!P227*1000&lt;=T227/100/($AL$3/100)/炼钢参数表!P227*1000,((BA227-J227*0.00003-K227*0.00024)-0.05)/0.18/100/($AL$3/100)/炼钢参数表!P227*1000,T227/100/($AL$3/100)/炼钢参数表!P227*1000))))</f>
        <v>0</v>
      </c>
      <c r="AM227" s="8">
        <f>IF(T227="",0,IF(T227&lt;=0.03,0,((T227-AL227*($AL$3/100)*炼钢参数表!P227/10)/100/($AM$3/100)/炼钢参数表!P227*1000)))</f>
        <v>0</v>
      </c>
      <c r="AN227" s="8">
        <f>IF(U227="",0,IF(U227&lt;=0.02,0,(U227/100)/($AN$3/100)/炼钢参数表!Q227*1000))</f>
        <v>0</v>
      </c>
      <c r="AO227" s="8">
        <f>IF(V227="",0,IF(V227&lt;=0.02,0,(V227/100)/($AO$3/100)/炼钢参数表!R227*1000))</f>
        <v>0</v>
      </c>
      <c r="AP227" s="8">
        <f>IF(W227="",0,IF(W227&lt;=0.02,0,(W227/100)/($AP$3/100)/炼钢参数表!S227*1000))</f>
        <v>0</v>
      </c>
      <c r="AQ227" s="8">
        <f>IF(X227="",0,IF(X227&lt;=0.0002,0,(X227/100)/($AQ$3/100)/炼钢参数表!T227*1000))</f>
        <v>0</v>
      </c>
      <c r="AR227" s="8">
        <f>IF(Y227="",0,IF(Y227&lt;=0.02,0,(Y227/100)/($AR$3/100)/炼钢参数表!U227*1000))</f>
        <v>0</v>
      </c>
      <c r="AS227" s="8">
        <f>IF(L227&lt;=0.04,0,((L227-0.04)/100)/($AS$3/100)/炼钢参数表!V227*1000)</f>
        <v>0</v>
      </c>
      <c r="AT227" s="8">
        <f>IF(M227&lt;=0.03,0,((M227-0.03)/100)/($AT$3/100)/炼钢参数表!W227*1000)</f>
        <v>0</v>
      </c>
      <c r="AU227" s="6"/>
      <c r="AV227" s="8">
        <f t="shared" si="35"/>
        <v>28.015699684588899</v>
      </c>
      <c r="AW227" s="8" cm="1">
        <f t="array" ref="AW227">SUMPRODUCT($AB$4:$AU$4,AB227:AU227)/1000</f>
        <v>408.101421512804</v>
      </c>
      <c r="AY227" s="2" t="str">
        <f t="shared" si="36"/>
        <v>750L-1</v>
      </c>
      <c r="AZ227" s="37">
        <f>VLOOKUP(AY227,炼钢参数表!$F$5:$J$1027,4,0)</f>
        <v>4.3495495495495501E-2</v>
      </c>
      <c r="BA227" s="37">
        <f t="shared" si="37"/>
        <v>3.6504504504504501E-2</v>
      </c>
      <c r="BB227" s="37">
        <f>AB227*$BB$4*炼钢参数表!$X$5/1000</f>
        <v>1.31260599208592E-2</v>
      </c>
      <c r="BC227" s="37">
        <f>AC227*$BC$4*炼钢参数表!$X$5/1000</f>
        <v>0</v>
      </c>
      <c r="BD227" s="37">
        <f>AD227*$BD$4*炼钢参数表!$X$5/1000</f>
        <v>1.7618200241843299E-2</v>
      </c>
      <c r="BE227" s="37">
        <f>AE227*$BE$4*炼钢参数表!$X$5/1000</f>
        <v>0</v>
      </c>
      <c r="BF227" s="37">
        <f>AL227*$BF$4*炼钢参数表!$X$5/1000</f>
        <v>0</v>
      </c>
      <c r="BG227" s="37">
        <f>AM227*$BG$4*炼钢参数表!$X$5/1000</f>
        <v>0</v>
      </c>
      <c r="BH227" s="37">
        <f t="shared" si="38"/>
        <v>3.07442601627025E-2</v>
      </c>
      <c r="BI227" s="37">
        <f t="shared" si="39"/>
        <v>7.4239755658198001E-2</v>
      </c>
      <c r="BJ227" s="37">
        <f t="shared" si="40"/>
        <v>-5.7602443418020097E-3</v>
      </c>
      <c r="BK227" s="54"/>
      <c r="BL227" s="7"/>
    </row>
    <row r="228" spans="1:64" s="18" customFormat="1" x14ac:dyDescent="0.3">
      <c r="A228" s="21">
        <v>222</v>
      </c>
      <c r="B228" s="4" t="s">
        <v>394</v>
      </c>
      <c r="C228" s="4" t="s">
        <v>26</v>
      </c>
      <c r="D228" s="4">
        <v>6</v>
      </c>
      <c r="E228" s="4">
        <v>14</v>
      </c>
      <c r="F228" s="4" t="s">
        <v>397</v>
      </c>
      <c r="G228" s="50" t="s">
        <v>396</v>
      </c>
      <c r="H228" s="4">
        <v>1516</v>
      </c>
      <c r="I228" s="51">
        <v>0.08</v>
      </c>
      <c r="J228" s="52">
        <v>0.2</v>
      </c>
      <c r="K228" s="52">
        <v>1.75</v>
      </c>
      <c r="L228" s="51">
        <v>1.4999999999999999E-2</v>
      </c>
      <c r="M228" s="51">
        <v>4.0000000000000001E-3</v>
      </c>
      <c r="N228" s="51" t="s">
        <v>631</v>
      </c>
      <c r="O228" s="51">
        <v>0.05</v>
      </c>
      <c r="P228" s="51">
        <v>0.115</v>
      </c>
      <c r="Q228" s="51">
        <v>0.03</v>
      </c>
      <c r="R228" s="51" t="s">
        <v>631</v>
      </c>
      <c r="S228" s="32" t="s">
        <v>631</v>
      </c>
      <c r="T228" s="52"/>
      <c r="U228" s="52"/>
      <c r="V228" s="52"/>
      <c r="W228" s="52"/>
      <c r="X228" s="32" t="s">
        <v>631</v>
      </c>
      <c r="Y228" s="53" t="s">
        <v>631</v>
      </c>
      <c r="Z228" s="4">
        <v>40</v>
      </c>
      <c r="AA228" s="53"/>
      <c r="AB228" s="42">
        <f>IF(J228&lt;=0.04,0,IF((BA228-AL228*BF$4*炼钢参数表!$X$5/1000-AM228*BG$4*炼钢参数表!$X$5/1000)&lt;=0.03,0,IF((J228/100/0.1769/炼钢参数表!K228*1000)&gt;(K228-炼钢参数表!J228)/100/0.6566/炼钢参数表!L228*1000,IF(K228&lt;1.6,(K228-炼钢参数表!J228)/100/0.6566/炼钢参数表!L228*1000,(K228-0.08-炼钢参数表!J228)/100/0.6566/炼钢参数表!L228*1000),IF(K228&lt;1.6,J228/100/0.1769/炼钢参数表!K228*1000,(J228-0.08)/100/0.1769/炼钢参数表!K228*1000))))</f>
        <v>8.47936687394008</v>
      </c>
      <c r="AC228" s="8">
        <f>IF((BA228-AB228*$BB$4*0.9/1000-AL228*BF$4*炼钢参数表!$X$5/1000-AM228*BG$4*炼钢参数表!$X$5/1000)&lt;(K228-炼钢参数表!J228-AB228*0.6566*炼钢参数表!L228/10)*0.082,0,(K228-炼钢参数表!J228-AB228*0.6566*炼钢参数表!L228/10)/100/($AC$3/100)/炼钢参数表!L228*1000)</f>
        <v>0</v>
      </c>
      <c r="AD228" s="8">
        <f>IF((BA228-AB228*$BB$4*0.9/1000-AC228*$BC$4*0.9/1000-AL228*BF$4*炼钢参数表!$X$5/1000-AM228*BG$4*炼钢参数表!$X$5/1000)&lt;=(K228-炼钢参数表!J228-AB228*0.6566*炼钢参数表!L228/10-AC228*($AC$3/100)*炼钢参数表!L228/10)*0.02,0,((K228-炼钢参数表!J228-AB228*0.6566*炼钢参数表!L228/10-AC228*($AC$3/100)*炼钢参数表!L228/10)/100/($AD$3/100)/炼钢参数表!L228*1000))</f>
        <v>0</v>
      </c>
      <c r="AE228" s="8">
        <f>(K228-炼钢参数表!J228-AB228*0.6566*炼钢参数表!L228/10-AC228*($AC$3/100)*炼钢参数表!L228/10-AD228*($AD$3/100)*炼钢参数表!L228/10)/100/($AE$3/100)/炼钢参数表!L228*1000</f>
        <v>13.704058703770601</v>
      </c>
      <c r="AF228" s="8">
        <v>0</v>
      </c>
      <c r="AG228" s="8">
        <f>IF(J228&lt;=0.04,0,((J228-(AB228*0.1769*炼钢参数表!K228/1000*100))/100/炼钢参数表!K228/($AG$3/100)*1000))</f>
        <v>1.38446628824588</v>
      </c>
      <c r="AH228" s="8">
        <v>2.2000000000000002</v>
      </c>
      <c r="AI228" s="8">
        <f>IF(N228="",0,IF(N228&lt;=0.002,0,((N228)/100)/($AI$3/100)/炼钢参数表!M228*1000))</f>
        <v>0</v>
      </c>
      <c r="AJ228" s="8">
        <f>IF(O228="",0,IF(O228&lt;=0.002,0,((O228)/100)/($AJ$3/100)/炼钢参数表!N228*1000))</f>
        <v>0.78444661997640397</v>
      </c>
      <c r="AK228" s="8">
        <f>IF(P228="",0,IF(P228&lt;=0.002,0,((P228+0.005)/100)/($AK$3/100)/炼钢参数表!O228*1000))</f>
        <v>2.3949227637408699</v>
      </c>
      <c r="AL228" s="8">
        <f>IF((BA228-J228*0.00003-K228*0.00024)&lt;=0.05,0,IF(T228="",0,IF(T228&lt;=0.03,0,IF(((BA228-J228*0.00003-K228*0.00024)-0.05)/0.18/100/($AL$3/100)/炼钢参数表!P228*1000&lt;=T228/100/($AL$3/100)/炼钢参数表!P228*1000,((BA228-J228*0.00003-K228*0.00024)-0.05)/0.18/100/($AL$3/100)/炼钢参数表!P228*1000,T228/100/($AL$3/100)/炼钢参数表!P228*1000))))</f>
        <v>0</v>
      </c>
      <c r="AM228" s="8">
        <f>IF(T228="",0,IF(T228&lt;=0.03,0,((T228-AL228*($AL$3/100)*炼钢参数表!P228/10)/100/($AM$3/100)/炼钢参数表!P228*1000)))</f>
        <v>0</v>
      </c>
      <c r="AN228" s="8">
        <f>IF(U228="",0,IF(U228&lt;=0.02,0,(U228/100)/($AN$3/100)/炼钢参数表!Q228*1000))</f>
        <v>0</v>
      </c>
      <c r="AO228" s="8">
        <f>IF(V228="",0,IF(V228&lt;=0.02,0,(V228/100)/($AO$3/100)/炼钢参数表!R228*1000))</f>
        <v>0</v>
      </c>
      <c r="AP228" s="8">
        <f>IF(W228="",0,IF(W228&lt;=0.02,0,(W228/100)/($AP$3/100)/炼钢参数表!S228*1000))</f>
        <v>0</v>
      </c>
      <c r="AQ228" s="8">
        <f>IF(X228="",0,IF(X228&lt;=0.0002,0,(X228/100)/($AQ$3/100)/炼钢参数表!T228*1000))</f>
        <v>0</v>
      </c>
      <c r="AR228" s="8">
        <f>IF(Y228="",0,IF(Y228&lt;=0.02,0,(Y228/100)/($AR$3/100)/炼钢参数表!U228*1000))</f>
        <v>0</v>
      </c>
      <c r="AS228" s="8">
        <f>IF(L228&lt;=0.04,0,((L228-0.04)/100)/($AS$3/100)/炼钢参数表!V228*1000)</f>
        <v>0</v>
      </c>
      <c r="AT228" s="8">
        <f>IF(M228&lt;=0.03,0,((M228-0.03)/100)/($AT$3/100)/炼钢参数表!W228*1000)</f>
        <v>0</v>
      </c>
      <c r="AU228" s="6"/>
      <c r="AV228" s="8">
        <f t="shared" si="35"/>
        <v>28.947261249673801</v>
      </c>
      <c r="AW228" s="8" cm="1">
        <f t="array" ref="AW228">SUMPRODUCT($AB$4:$AU$4,AB228:AU228)/1000</f>
        <v>444.12995078115301</v>
      </c>
      <c r="AY228" s="2" t="str">
        <f t="shared" si="36"/>
        <v>750L-2</v>
      </c>
      <c r="AZ228" s="37">
        <f>VLOOKUP(AY228,炼钢参数表!$F$5:$J$1027,4,0)</f>
        <v>4.8666666666666698E-2</v>
      </c>
      <c r="BA228" s="37">
        <f t="shared" si="37"/>
        <v>3.1333333333333303E-2</v>
      </c>
      <c r="BB228" s="37">
        <f>AB228*$BB$4*炼钢参数表!$X$5/1000</f>
        <v>1.31260599208592E-2</v>
      </c>
      <c r="BC228" s="37">
        <f>AC228*$BC$4*炼钢参数表!$X$5/1000</f>
        <v>0</v>
      </c>
      <c r="BD228" s="37">
        <f>AD228*$BD$4*炼钢参数表!$X$5/1000</f>
        <v>0</v>
      </c>
      <c r="BE228" s="37">
        <f>AE228*$BE$4*炼钢参数表!$X$5/1000</f>
        <v>7.8935378133718707E-3</v>
      </c>
      <c r="BF228" s="37">
        <f>AL228*$BF$4*炼钢参数表!$X$5/1000</f>
        <v>0</v>
      </c>
      <c r="BG228" s="37">
        <f>AM228*$BG$4*炼钢参数表!$X$5/1000</f>
        <v>0</v>
      </c>
      <c r="BH228" s="37">
        <f t="shared" si="38"/>
        <v>2.1019597734231101E-2</v>
      </c>
      <c r="BI228" s="37">
        <f t="shared" si="39"/>
        <v>6.9686264400897799E-2</v>
      </c>
      <c r="BJ228" s="37">
        <f t="shared" si="40"/>
        <v>-1.0313735599102199E-2</v>
      </c>
      <c r="BK228" s="54"/>
      <c r="BL228" s="7"/>
    </row>
    <row r="229" spans="1:64" s="18" customFormat="1" x14ac:dyDescent="0.3">
      <c r="A229" s="21">
        <v>223</v>
      </c>
      <c r="B229" s="4" t="s">
        <v>398</v>
      </c>
      <c r="C229" s="4" t="s">
        <v>23</v>
      </c>
      <c r="D229" s="4">
        <v>3</v>
      </c>
      <c r="E229" s="4">
        <v>8</v>
      </c>
      <c r="F229" s="4" t="s">
        <v>399</v>
      </c>
      <c r="G229" s="4" t="s">
        <v>400</v>
      </c>
      <c r="H229" s="4">
        <v>1515</v>
      </c>
      <c r="I229" s="4">
        <v>8.5000000000000006E-2</v>
      </c>
      <c r="J229" s="4">
        <v>0.06</v>
      </c>
      <c r="K229" s="4">
        <v>1.85</v>
      </c>
      <c r="L229" s="4">
        <v>0.01</v>
      </c>
      <c r="M229" s="4">
        <v>3.0000000000000001E-3</v>
      </c>
      <c r="N229" s="4"/>
      <c r="O229" s="4">
        <v>0.06</v>
      </c>
      <c r="P229" s="4">
        <v>0.11</v>
      </c>
      <c r="Q229" s="4">
        <v>0.03</v>
      </c>
      <c r="R229" s="4"/>
      <c r="S229" s="4"/>
      <c r="T229" s="4">
        <v>0</v>
      </c>
      <c r="U229" s="52"/>
      <c r="V229" s="52"/>
      <c r="W229" s="52"/>
      <c r="X229" s="32" t="s">
        <v>631</v>
      </c>
      <c r="Y229" s="53" t="s">
        <v>631</v>
      </c>
      <c r="Z229" s="4">
        <v>45</v>
      </c>
      <c r="AA229" s="53" t="s">
        <v>631</v>
      </c>
      <c r="AB229" s="42">
        <f>IF(J229&lt;=0.04,0,IF((BA229-AL229*BF$4*炼钢参数表!$X$5/1000-AM229*BG$4*炼钢参数表!$X$5/1000)&lt;=0.03,0,IF((J229/100/0.1769/炼钢参数表!K229*1000)&gt;(K229-炼钢参数表!J229)/100/0.6566/炼钢参数表!L229*1000,IF(K229&lt;1.6,(K229-炼钢参数表!J229)/100/0.6566/炼钢参数表!L229*1000,(K229-0.08-炼钢参数表!J229)/100/0.6566/炼钢参数表!L229*1000),IF(K229&lt;1.6,J229/100/0.1769/炼钢参数表!K229*1000,(J229-0.08)/100/0.1769/炼钢参数表!K229*1000))))</f>
        <v>-1.4132278123233499</v>
      </c>
      <c r="AC229" s="8">
        <f>IF((BA229-AB229*$BB$4*0.9/1000-AL229*BF$4*炼钢参数表!$X$5/1000-AM229*BG$4*炼钢参数表!$X$5/1000)&lt;(K229-炼钢参数表!J229-AB229*0.6566*炼钢参数表!L229/10)*0.082,0,(K229-炼钢参数表!J229-AB229*0.6566*炼钢参数表!L229/10)/100/($AC$3/100)/炼钢参数表!L229*1000)</f>
        <v>0</v>
      </c>
      <c r="AD229" s="8">
        <f>IF((BA229-AB229*$BB$4*0.9/1000-AC229*$BC$4*0.9/1000-AL229*BF$4*炼钢参数表!$X$5/1000-AM229*BG$4*炼钢参数表!$X$5/1000)&lt;=(K229-炼钢参数表!J229-AB229*0.6566*炼钢参数表!L229/10-AC229*($AC$3/100)*炼钢参数表!L229/10)*0.02,0,((K229-炼钢参数表!J229-AB229*0.6566*炼钢参数表!L229/10-AC229*($AC$3/100)*炼钢参数表!L229/10)/100/($AD$3/100)/炼钢参数表!L229*1000))</f>
        <v>24.096307737371198</v>
      </c>
      <c r="AE229" s="8">
        <f>(K229-炼钢参数表!J229-AB229*0.6566*炼钢参数表!L229/10-AC229*($AC$3/100)*炼钢参数表!L229/10-AD229*($AD$3/100)*炼钢参数表!L229/10)/100/($AE$3/100)/炼钢参数表!L229*1000</f>
        <v>0</v>
      </c>
      <c r="AF229" s="8">
        <v>0</v>
      </c>
      <c r="AG229" s="8">
        <f>IF(J229&lt;=0.04,0,((J229-(AB229*0.1769*炼钢参数表!K229/1000*100))/100/炼钢参数表!K229/($AG$3/100)*1000))</f>
        <v>1.38446628824588</v>
      </c>
      <c r="AH229" s="8">
        <v>2.2000000000000002</v>
      </c>
      <c r="AI229" s="8">
        <f>IF(N229="",0,IF(N229&lt;=0.002,0,((N229)/100)/($AI$3/100)/炼钢参数表!M229*1000))</f>
        <v>0</v>
      </c>
      <c r="AJ229" s="8">
        <f>IF(O229="",0,IF(O229&lt;=0.002,0,((O229)/100)/($AJ$3/100)/炼钢参数表!N229*1000))</f>
        <v>0.94133594397168396</v>
      </c>
      <c r="AK229" s="8">
        <f>IF(P229="",0,IF(P229&lt;=0.002,0,((P229+0.005)/100)/($AK$3/100)/炼钢参数表!O229*1000))</f>
        <v>2.2951343152516701</v>
      </c>
      <c r="AL229" s="8">
        <f>IF((BA229-J229*0.00003-K229*0.00024)&lt;=0.05,0,IF(T229="",0,IF(T229&lt;=0.03,0,IF(((BA229-J229*0.00003-K229*0.00024)-0.05)/0.18/100/($AL$3/100)/炼钢参数表!P229*1000&lt;=T229/100/($AL$3/100)/炼钢参数表!P229*1000,((BA229-J229*0.00003-K229*0.00024)-0.05)/0.18/100/($AL$3/100)/炼钢参数表!P229*1000,T229/100/($AL$3/100)/炼钢参数表!P229*1000))))</f>
        <v>0</v>
      </c>
      <c r="AM229" s="8">
        <f>IF(T229="",0,IF(T229&lt;=0.03,0,((T229-AL229*($AL$3/100)*炼钢参数表!P229/10)/100/($AM$3/100)/炼钢参数表!P229*1000)))</f>
        <v>0</v>
      </c>
      <c r="AN229" s="8">
        <f>IF(U229="",0,IF(U229&lt;=0.02,0,(U229/100)/($AN$3/100)/炼钢参数表!Q229*1000))</f>
        <v>0</v>
      </c>
      <c r="AO229" s="8">
        <f>IF(V229="",0,IF(V229&lt;=0.02,0,(V229/100)/($AO$3/100)/炼钢参数表!R229*1000))</f>
        <v>0</v>
      </c>
      <c r="AP229" s="8">
        <f>IF(W229="",0,IF(W229&lt;=0.02,0,(W229/100)/($AP$3/100)/炼钢参数表!S229*1000))</f>
        <v>0</v>
      </c>
      <c r="AQ229" s="8">
        <f>IF(X229="",0,IF(X229&lt;=0.0002,0,(X229/100)/($AQ$3/100)/炼钢参数表!T229*1000))</f>
        <v>0</v>
      </c>
      <c r="AR229" s="8">
        <f>IF(Y229="",0,IF(Y229&lt;=0.02,0,(Y229/100)/($AR$3/100)/炼钢参数表!U229*1000))</f>
        <v>0</v>
      </c>
      <c r="AS229" s="8">
        <f>IF(L229&lt;=0.04,0,((L229-0.04)/100)/($AS$3/100)/炼钢参数表!V229*1000)</f>
        <v>0</v>
      </c>
      <c r="AT229" s="8">
        <f>IF(M229&lt;=0.03,0,((M229-0.03)/100)/($AT$3/100)/炼钢参数表!W229*1000)</f>
        <v>0</v>
      </c>
      <c r="AU229" s="6"/>
      <c r="AV229" s="8">
        <f t="shared" si="35"/>
        <v>29.504016472517101</v>
      </c>
      <c r="AW229" s="8" cm="1">
        <f t="array" ref="AW229">SUMPRODUCT($AB$4:$AU$4,AB229:AU229)/1000</f>
        <v>492.90851573846902</v>
      </c>
      <c r="AY229" s="2" t="str">
        <f t="shared" si="36"/>
        <v>800L-1</v>
      </c>
      <c r="AZ229" s="37">
        <f>VLOOKUP(AY229,炼钢参数表!$F$5:$J$1027,4,0)</f>
        <v>4.1368421052631603E-2</v>
      </c>
      <c r="BA229" s="37">
        <f t="shared" si="37"/>
        <v>4.3631578947368403E-2</v>
      </c>
      <c r="BB229" s="37">
        <f>AB229*$BB$4*炼钢参数表!$X$5/1000</f>
        <v>-2.1876766534765402E-3</v>
      </c>
      <c r="BC229" s="37">
        <f>AC229*$BC$4*炼钢参数表!$X$5/1000</f>
        <v>0</v>
      </c>
      <c r="BD229" s="37">
        <f>AD229*$BD$4*炼钢参数表!$X$5/1000</f>
        <v>3.2530015445451102E-2</v>
      </c>
      <c r="BE229" s="37">
        <f>AE229*$BE$4*炼钢参数表!$X$5/1000</f>
        <v>0</v>
      </c>
      <c r="BF229" s="37">
        <f>AL229*$BF$4*炼钢参数表!$X$5/1000</f>
        <v>0</v>
      </c>
      <c r="BG229" s="37">
        <f>AM229*$BG$4*炼钢参数表!$X$5/1000</f>
        <v>0</v>
      </c>
      <c r="BH229" s="37">
        <f t="shared" si="38"/>
        <v>3.03423387919746E-2</v>
      </c>
      <c r="BI229" s="37">
        <f t="shared" si="39"/>
        <v>7.1710759844606203E-2</v>
      </c>
      <c r="BJ229" s="37">
        <f t="shared" si="40"/>
        <v>-1.3289240155393799E-2</v>
      </c>
      <c r="BK229" s="54"/>
      <c r="BL229" s="7"/>
    </row>
    <row r="230" spans="1:64" s="18" customFormat="1" x14ac:dyDescent="0.3">
      <c r="A230" s="21">
        <v>224</v>
      </c>
      <c r="B230" s="4" t="s">
        <v>398</v>
      </c>
      <c r="C230" s="4" t="s">
        <v>26</v>
      </c>
      <c r="D230" s="4">
        <v>8.01</v>
      </c>
      <c r="E230" s="4">
        <v>14</v>
      </c>
      <c r="F230" s="4" t="s">
        <v>401</v>
      </c>
      <c r="G230" s="4" t="s">
        <v>400</v>
      </c>
      <c r="H230" s="4">
        <v>1515</v>
      </c>
      <c r="I230" s="4">
        <v>8.5000000000000006E-2</v>
      </c>
      <c r="J230" s="4">
        <v>0.15</v>
      </c>
      <c r="K230" s="4">
        <v>1.95</v>
      </c>
      <c r="L230" s="4">
        <v>0.01</v>
      </c>
      <c r="M230" s="4">
        <v>3.0000000000000001E-3</v>
      </c>
      <c r="N230" s="4"/>
      <c r="O230" s="4">
        <v>7.0000000000000007E-2</v>
      </c>
      <c r="P230" s="4">
        <v>0.125</v>
      </c>
      <c r="Q230" s="4">
        <v>0.03</v>
      </c>
      <c r="R230" s="4"/>
      <c r="S230" s="4"/>
      <c r="T230" s="4">
        <v>0</v>
      </c>
      <c r="U230" s="52"/>
      <c r="V230" s="52"/>
      <c r="W230" s="52"/>
      <c r="X230" s="32" t="s">
        <v>631</v>
      </c>
      <c r="Y230" s="53" t="s">
        <v>631</v>
      </c>
      <c r="Z230" s="4">
        <v>45</v>
      </c>
      <c r="AA230" s="53" t="s">
        <v>631</v>
      </c>
      <c r="AB230" s="42">
        <f>IF(J230&lt;=0.04,0,IF((BA230-AL230*BF$4*炼钢参数表!$X$5/1000-AM230*BG$4*炼钢参数表!$X$5/1000)&lt;=0.03,0,IF((J230/100/0.1769/炼钢参数表!K230*1000)&gt;(K230-炼钢参数表!J230)/100/0.6566/炼钢参数表!L230*1000,IF(K230&lt;1.6,(K230-炼钢参数表!J230)/100/0.6566/炼钢参数表!L230*1000,(K230-0.08-炼钢参数表!J230)/100/0.6566/炼钢参数表!L230*1000),IF(K230&lt;1.6,J230/100/0.1769/炼钢参数表!K230*1000,(J230-0.08)/100/0.1769/炼钢参数表!K230*1000))))</f>
        <v>4.9462973431317101</v>
      </c>
      <c r="AC230" s="8">
        <f>IF((BA230-AB230*$BB$4*0.9/1000-AL230*BF$4*炼钢参数表!$X$5/1000-AM230*BG$4*炼钢参数表!$X$5/1000)&lt;(K230-炼钢参数表!J230-AB230*0.6566*炼钢参数表!L230/10)*0.082,0,(K230-炼钢参数表!J230-AB230*0.6566*炼钢参数表!L230/10)/100/($AC$3/100)/炼钢参数表!L230*1000)</f>
        <v>0</v>
      </c>
      <c r="AD230" s="8">
        <f>IF((BA230-AB230*$BB$4*0.9/1000-AC230*$BC$4*0.9/1000-AL230*BF$4*炼钢参数表!$X$5/1000-AM230*BG$4*炼钢参数表!$X$5/1000)&lt;=(K230-炼钢参数表!J230-AB230*0.6566*炼钢参数表!L230/10-AC230*($AC$3/100)*炼钢参数表!L230/10)*0.02,0,((K230-炼钢参数表!J230-AB230*0.6566*炼钢参数表!L230/10-AC230*($AC$3/100)*炼钢参数表!L230/10)/100/($AD$3/100)/炼钢参数表!L230*1000))</f>
        <v>20.1161190985611</v>
      </c>
      <c r="AE230" s="8">
        <f>(K230-炼钢参数表!J230-AB230*0.6566*炼钢参数表!L230/10-AC230*($AC$3/100)*炼钢参数表!L230/10-AD230*($AD$3/100)*炼钢参数表!L230/10)/100/($AE$3/100)/炼钢参数表!L230*1000</f>
        <v>0</v>
      </c>
      <c r="AF230" s="8">
        <v>0</v>
      </c>
      <c r="AG230" s="8">
        <f>IF(J230&lt;=0.04,0,((J230-(AB230*0.1769*炼钢参数表!K230/1000*100))/100/炼钢参数表!K230/($AG$3/100)*1000))</f>
        <v>1.38446628824588</v>
      </c>
      <c r="AH230" s="8">
        <v>2.2000000000000002</v>
      </c>
      <c r="AI230" s="8">
        <f>IF(N230="",0,IF(N230&lt;=0.002,0,((N230)/100)/($AI$3/100)/炼钢参数表!M230*1000))</f>
        <v>0</v>
      </c>
      <c r="AJ230" s="8">
        <f>IF(O230="",0,IF(O230&lt;=0.002,0,((O230)/100)/($AJ$3/100)/炼钢参数表!N230*1000))</f>
        <v>1.09822526796697</v>
      </c>
      <c r="AK230" s="8">
        <f>IF(P230="",0,IF(P230&lt;=0.002,0,((P230+0.005)/100)/($AK$3/100)/炼钢参数表!O230*1000))</f>
        <v>2.5944996607192801</v>
      </c>
      <c r="AL230" s="8">
        <f>IF((BA230-J230*0.00003-K230*0.00024)&lt;=0.05,0,IF(T230="",0,IF(T230&lt;=0.03,0,IF(((BA230-J230*0.00003-K230*0.00024)-0.05)/0.18/100/($AL$3/100)/炼钢参数表!P230*1000&lt;=T230/100/($AL$3/100)/炼钢参数表!P230*1000,((BA230-J230*0.00003-K230*0.00024)-0.05)/0.18/100/($AL$3/100)/炼钢参数表!P230*1000,T230/100/($AL$3/100)/炼钢参数表!P230*1000))))</f>
        <v>0</v>
      </c>
      <c r="AM230" s="8">
        <f>IF(T230="",0,IF(T230&lt;=0.03,0,((T230-AL230*($AL$3/100)*炼钢参数表!P230/10)/100/($AM$3/100)/炼钢参数表!P230*1000)))</f>
        <v>0</v>
      </c>
      <c r="AN230" s="8">
        <f>IF(U230="",0,IF(U230&lt;=0.02,0,(U230/100)/($AN$3/100)/炼钢参数表!Q230*1000))</f>
        <v>0</v>
      </c>
      <c r="AO230" s="8">
        <f>IF(V230="",0,IF(V230&lt;=0.02,0,(V230/100)/($AO$3/100)/炼钢参数表!R230*1000))</f>
        <v>0</v>
      </c>
      <c r="AP230" s="8">
        <f>IF(W230="",0,IF(W230&lt;=0.02,0,(W230/100)/($AP$3/100)/炼钢参数表!S230*1000))</f>
        <v>0</v>
      </c>
      <c r="AQ230" s="8">
        <f>IF(X230="",0,IF(X230&lt;=0.0002,0,(X230/100)/($AQ$3/100)/炼钢参数表!T230*1000))</f>
        <v>0</v>
      </c>
      <c r="AR230" s="8">
        <f>IF(Y230="",0,IF(Y230&lt;=0.02,0,(Y230/100)/($AR$3/100)/炼钢参数表!U230*1000))</f>
        <v>0</v>
      </c>
      <c r="AS230" s="8">
        <f>IF(L230&lt;=0.04,0,((L230-0.04)/100)/($AS$3/100)/炼钢参数表!V230*1000)</f>
        <v>0</v>
      </c>
      <c r="AT230" s="8">
        <f>IF(M230&lt;=0.03,0,((M230-0.03)/100)/($AT$3/100)/炼钢参数表!W230*1000)</f>
        <v>0</v>
      </c>
      <c r="AU230" s="6"/>
      <c r="AV230" s="8">
        <f t="shared" si="35"/>
        <v>32.339607658624999</v>
      </c>
      <c r="AW230" s="8" cm="1">
        <f t="array" ref="AW230">SUMPRODUCT($AB$4:$AU$4,AB230:AU230)/1000</f>
        <v>537.63649632873899</v>
      </c>
      <c r="AY230" s="2" t="str">
        <f t="shared" si="36"/>
        <v>800L-2</v>
      </c>
      <c r="AZ230" s="37">
        <f>VLOOKUP(AY230,炼钢参数表!$F$5:$J$1027,4,0)</f>
        <v>3.9399999999999998E-2</v>
      </c>
      <c r="BA230" s="37">
        <f t="shared" si="37"/>
        <v>4.5600000000000002E-2</v>
      </c>
      <c r="BB230" s="37">
        <f>AB230*$BB$4*炼钢参数表!$X$5/1000</f>
        <v>7.65686828716789E-3</v>
      </c>
      <c r="BC230" s="37">
        <f>AC230*$BC$4*炼钢参数表!$X$5/1000</f>
        <v>0</v>
      </c>
      <c r="BD230" s="37">
        <f>AD230*$BD$4*炼钢参数表!$X$5/1000</f>
        <v>2.7156760783057499E-2</v>
      </c>
      <c r="BE230" s="37">
        <f>AE230*$BE$4*炼钢参数表!$X$5/1000</f>
        <v>0</v>
      </c>
      <c r="BF230" s="37">
        <f>AL230*$BF$4*炼钢参数表!$X$5/1000</f>
        <v>0</v>
      </c>
      <c r="BG230" s="37">
        <f>AM230*$BG$4*炼钢参数表!$X$5/1000</f>
        <v>0</v>
      </c>
      <c r="BH230" s="37">
        <f t="shared" si="38"/>
        <v>3.4813629070225401E-2</v>
      </c>
      <c r="BI230" s="37">
        <f t="shared" si="39"/>
        <v>7.4213629070225398E-2</v>
      </c>
      <c r="BJ230" s="37">
        <f t="shared" si="40"/>
        <v>-1.0786370929774599E-2</v>
      </c>
      <c r="BK230" s="54"/>
      <c r="BL230" s="7"/>
    </row>
    <row r="231" spans="1:64" s="18" customFormat="1" x14ac:dyDescent="0.3">
      <c r="A231" s="21">
        <v>225</v>
      </c>
      <c r="B231" s="4" t="s">
        <v>402</v>
      </c>
      <c r="C231" s="4" t="s">
        <v>23</v>
      </c>
      <c r="D231" s="4">
        <v>3</v>
      </c>
      <c r="E231" s="4">
        <v>9.99</v>
      </c>
      <c r="F231" s="4" t="s">
        <v>402</v>
      </c>
      <c r="G231" s="4" t="s">
        <v>403</v>
      </c>
      <c r="H231" s="4">
        <v>1518</v>
      </c>
      <c r="I231" s="4">
        <v>0.08</v>
      </c>
      <c r="J231" s="4">
        <v>0.2</v>
      </c>
      <c r="K231" s="4">
        <v>1.85</v>
      </c>
      <c r="L231" s="4">
        <v>0.01</v>
      </c>
      <c r="M231" s="4">
        <v>2E-3</v>
      </c>
      <c r="N231" s="4"/>
      <c r="O231" s="4">
        <v>7.0000000000000007E-2</v>
      </c>
      <c r="P231" s="4">
        <v>0.125</v>
      </c>
      <c r="Q231" s="4">
        <v>0.03</v>
      </c>
      <c r="R231" s="4"/>
      <c r="S231" s="4"/>
      <c r="T231" s="4">
        <v>0</v>
      </c>
      <c r="U231" s="52"/>
      <c r="V231" s="52"/>
      <c r="W231" s="52"/>
      <c r="X231" s="32" t="s">
        <v>631</v>
      </c>
      <c r="Y231" s="53" t="s">
        <v>631</v>
      </c>
      <c r="Z231" s="4">
        <v>45</v>
      </c>
      <c r="AA231" s="53" t="s">
        <v>631</v>
      </c>
      <c r="AB231" s="42">
        <f>IF(J231&lt;=0.04,0,IF((BA231-AL231*BF$4*炼钢参数表!$X$5/1000-AM231*BG$4*炼钢参数表!$X$5/1000)&lt;=0.03,0,IF((J231/100/0.1769/炼钢参数表!K231*1000)&gt;(K231-炼钢参数表!J231)/100/0.6566/炼钢参数表!L231*1000,IF(K231&lt;1.6,(K231-炼钢参数表!J231)/100/0.6566/炼钢参数表!L231*1000,(K231-0.08-炼钢参数表!J231)/100/0.6566/炼钢参数表!L231*1000),IF(K231&lt;1.6,J231/100/0.1769/炼钢参数表!K231*1000,(J231-0.08)/100/0.1769/炼钢参数表!K231*1000))))</f>
        <v>8.47936687394008</v>
      </c>
      <c r="AC231" s="8">
        <f>IF((BA231-AB231*$BB$4*0.9/1000-AL231*BF$4*炼钢参数表!$X$5/1000-AM231*BG$4*炼钢参数表!$X$5/1000)&lt;(K231-炼钢参数表!J231-AB231*0.6566*炼钢参数表!L231/10)*0.082,0,(K231-炼钢参数表!J231-AB231*0.6566*炼钢参数表!L231/10)/100/($AC$3/100)/炼钢参数表!L231*1000)</f>
        <v>0</v>
      </c>
      <c r="AD231" s="8">
        <f>IF((BA231-AB231*$BB$4*0.9/1000-AC231*$BC$4*0.9/1000-AL231*BF$4*炼钢参数表!$X$5/1000-AM231*BG$4*炼钢参数表!$X$5/1000)&lt;=(K231-炼钢参数表!J231-AB231*0.6566*炼钢参数表!L231/10-AC231*($AC$3/100)*炼钢参数表!L231/10)*0.02,0,((K231-炼钢参数表!J231-AB231*0.6566*炼钢参数表!L231/10-AC231*($AC$3/100)*炼钢参数表!L231/10)/100/($AD$3/100)/炼钢参数表!L231*1000))</f>
        <v>15.8260280442205</v>
      </c>
      <c r="AE231" s="8">
        <f>(K231-炼钢参数表!J231-AB231*0.6566*炼钢参数表!L231/10-AC231*($AC$3/100)*炼钢参数表!L231/10-AD231*($AD$3/100)*炼钢参数表!L231/10)/100/($AE$3/100)/炼钢参数表!L231*1000</f>
        <v>0</v>
      </c>
      <c r="AF231" s="8">
        <v>0</v>
      </c>
      <c r="AG231" s="8">
        <f>IF(J231&lt;=0.04,0,((J231-(AB231*0.1769*炼钢参数表!K231/1000*100))/100/炼钢参数表!K231/($AG$3/100)*1000))</f>
        <v>1.38446628824588</v>
      </c>
      <c r="AH231" s="8">
        <v>2.2000000000000002</v>
      </c>
      <c r="AI231" s="8">
        <f>IF(N231="",0,IF(N231&lt;=0.002,0,((N231)/100)/($AI$3/100)/炼钢参数表!M231*1000))</f>
        <v>0</v>
      </c>
      <c r="AJ231" s="8">
        <f>IF(O231="",0,IF(O231&lt;=0.002,0,((O231)/100)/($AJ$3/100)/炼钢参数表!N231*1000))</f>
        <v>1.09822526796697</v>
      </c>
      <c r="AK231" s="8">
        <f>IF(P231="",0,IF(P231&lt;=0.002,0,((P231+0.005)/100)/($AK$3/100)/炼钢参数表!O231*1000))</f>
        <v>2.5944996607192801</v>
      </c>
      <c r="AL231" s="8">
        <f>IF((BA231-J231*0.00003-K231*0.00024)&lt;=0.05,0,IF(T231="",0,IF(T231&lt;=0.03,0,IF(((BA231-J231*0.00003-K231*0.00024)-0.05)/0.18/100/($AL$3/100)/炼钢参数表!P231*1000&lt;=T231/100/($AL$3/100)/炼钢参数表!P231*1000,((BA231-J231*0.00003-K231*0.00024)-0.05)/0.18/100/($AL$3/100)/炼钢参数表!P231*1000,T231/100/($AL$3/100)/炼钢参数表!P231*1000))))</f>
        <v>0</v>
      </c>
      <c r="AM231" s="8">
        <f>IF(T231="",0,IF(T231&lt;=0.03,0,((T231-AL231*($AL$3/100)*炼钢参数表!P231/10)/100/($AM$3/100)/炼钢参数表!P231*1000)))</f>
        <v>0</v>
      </c>
      <c r="AN231" s="8">
        <f>IF(U231="",0,IF(U231&lt;=0.02,0,(U231/100)/($AN$3/100)/炼钢参数表!Q231*1000))</f>
        <v>0</v>
      </c>
      <c r="AO231" s="8">
        <f>IF(V231="",0,IF(V231&lt;=0.02,0,(V231/100)/($AO$3/100)/炼钢参数表!R231*1000))</f>
        <v>0</v>
      </c>
      <c r="AP231" s="8">
        <f>IF(W231="",0,IF(W231&lt;=0.02,0,(W231/100)/($AP$3/100)/炼钢参数表!S231*1000))</f>
        <v>0</v>
      </c>
      <c r="AQ231" s="8">
        <f>IF(X231="",0,IF(X231&lt;=0.0002,0,(X231/100)/($AQ$3/100)/炼钢参数表!T231*1000))</f>
        <v>0</v>
      </c>
      <c r="AR231" s="8">
        <f>IF(Y231="",0,IF(Y231&lt;=0.02,0,(Y231/100)/($AR$3/100)/炼钢参数表!U231*1000))</f>
        <v>0</v>
      </c>
      <c r="AS231" s="8">
        <f>IF(L231&lt;=0.04,0,((L231-0.04)/100)/($AS$3/100)/炼钢参数表!V231*1000)</f>
        <v>0</v>
      </c>
      <c r="AT231" s="8">
        <f>IF(M231&lt;=0.03,0,((M231-0.03)/100)/($AT$3/100)/炼钢参数表!W231*1000)</f>
        <v>0</v>
      </c>
      <c r="AU231" s="6"/>
      <c r="AV231" s="8">
        <f t="shared" si="35"/>
        <v>31.582586135092701</v>
      </c>
      <c r="AW231" s="8" cm="1">
        <f t="array" ref="AW231">SUMPRODUCT($AB$4:$AU$4,AB231:AU231)/1000</f>
        <v>523.63983337669504</v>
      </c>
      <c r="AY231" s="2" t="str">
        <f t="shared" si="36"/>
        <v>800L-AC</v>
      </c>
      <c r="AZ231" s="37">
        <f>VLOOKUP(AY231,炼钢参数表!$F$5:$J$1027,4,0)</f>
        <v>4.1368421052631603E-2</v>
      </c>
      <c r="BA231" s="37">
        <f t="shared" si="37"/>
        <v>3.8631578947368399E-2</v>
      </c>
      <c r="BB231" s="37">
        <f>AB231*$BB$4*炼钢参数表!$X$5/1000</f>
        <v>1.31260599208592E-2</v>
      </c>
      <c r="BC231" s="37">
        <f>AC231*$BC$4*炼钢参数表!$X$5/1000</f>
        <v>0</v>
      </c>
      <c r="BD231" s="37">
        <f>AD231*$BD$4*炼钢参数表!$X$5/1000</f>
        <v>2.1365137859697701E-2</v>
      </c>
      <c r="BE231" s="37">
        <f>AE231*$BE$4*炼钢参数表!$X$5/1000</f>
        <v>0</v>
      </c>
      <c r="BF231" s="37">
        <f>AL231*$BF$4*炼钢参数表!$X$5/1000</f>
        <v>0</v>
      </c>
      <c r="BG231" s="37">
        <f>AM231*$BG$4*炼钢参数表!$X$5/1000</f>
        <v>0</v>
      </c>
      <c r="BH231" s="37">
        <f t="shared" si="38"/>
        <v>3.4491197780556898E-2</v>
      </c>
      <c r="BI231" s="37">
        <f t="shared" si="39"/>
        <v>7.5859618833188494E-2</v>
      </c>
      <c r="BJ231" s="37">
        <f t="shared" si="40"/>
        <v>-4.1403811668114902E-3</v>
      </c>
      <c r="BK231" s="54"/>
      <c r="BL231" s="7"/>
    </row>
    <row r="232" spans="1:64" s="18" customFormat="1" x14ac:dyDescent="0.3">
      <c r="A232" s="21">
        <v>226</v>
      </c>
      <c r="B232" s="4" t="s">
        <v>402</v>
      </c>
      <c r="C232" s="4" t="s">
        <v>26</v>
      </c>
      <c r="D232" s="4">
        <v>10</v>
      </c>
      <c r="E232" s="4">
        <v>14</v>
      </c>
      <c r="F232" s="4" t="s">
        <v>404</v>
      </c>
      <c r="G232" s="4" t="s">
        <v>403</v>
      </c>
      <c r="H232" s="4">
        <v>1518</v>
      </c>
      <c r="I232" s="4">
        <v>0.08</v>
      </c>
      <c r="J232" s="4">
        <v>0.1</v>
      </c>
      <c r="K232" s="4">
        <v>1.85</v>
      </c>
      <c r="L232" s="4">
        <v>0.01</v>
      </c>
      <c r="M232" s="4">
        <v>2E-3</v>
      </c>
      <c r="N232" s="4"/>
      <c r="O232" s="4">
        <v>0.05</v>
      </c>
      <c r="P232" s="4">
        <v>0.105</v>
      </c>
      <c r="Q232" s="4">
        <v>0.03</v>
      </c>
      <c r="R232" s="4"/>
      <c r="S232" s="4"/>
      <c r="T232" s="4">
        <v>0.2</v>
      </c>
      <c r="U232" s="52"/>
      <c r="V232" s="52"/>
      <c r="W232" s="52"/>
      <c r="X232" s="32" t="s">
        <v>631</v>
      </c>
      <c r="Y232" s="53" t="s">
        <v>631</v>
      </c>
      <c r="Z232" s="4">
        <v>45</v>
      </c>
      <c r="AA232" s="53" t="s">
        <v>631</v>
      </c>
      <c r="AB232" s="42">
        <f>IF(J232&lt;=0.04,0,IF((BA232-AL232*BF$4*炼钢参数表!$X$5/1000-AM232*BG$4*炼钢参数表!$X$5/1000)&lt;=0.03,0,IF((J232/100/0.1769/炼钢参数表!K232*1000)&gt;(K232-炼钢参数表!J232)/100/0.6566/炼钢参数表!L232*1000,IF(K232&lt;1.6,(K232-炼钢参数表!J232)/100/0.6566/炼钢参数表!L232*1000,(K232-0.08-炼钢参数表!J232)/100/0.6566/炼钢参数表!L232*1000),IF(K232&lt;1.6,J232/100/0.1769/炼钢参数表!K232*1000,(J232-0.08)/100/0.1769/炼钢参数表!K232*1000))))</f>
        <v>1.4132278123233499</v>
      </c>
      <c r="AC232" s="8">
        <f>IF((BA232-AB232*$BB$4*0.9/1000-AL232*BF$4*炼钢参数表!$X$5/1000-AM232*BG$4*炼钢参数表!$X$5/1000)&lt;(K232-炼钢参数表!J232-AB232*0.6566*炼钢参数表!L232/10)*0.082,0,(K232-炼钢参数表!J232-AB232*0.6566*炼钢参数表!L232/10)/100/($AC$3/100)/炼钢参数表!L232*1000)</f>
        <v>0</v>
      </c>
      <c r="AD232" s="8">
        <f>IF((BA232-AB232*$BB$4*0.9/1000-AC232*$BC$4*0.9/1000-AL232*BF$4*炼钢参数表!$X$5/1000-AM232*BG$4*炼钢参数表!$X$5/1000)&lt;=(K232-炼钢参数表!J232-AB232*0.6566*炼钢参数表!L232/10-AC232*($AC$3/100)*炼钢参数表!L232/10)*0.02,0,((K232-炼钢参数表!J232-AB232*0.6566*炼钢参数表!L232/10-AC232*($AC$3/100)*炼钢参数表!L232/10)/100/($AD$3/100)/炼钢参数表!L232*1000))</f>
        <v>21.770569430447399</v>
      </c>
      <c r="AE232" s="8">
        <f>(K232-炼钢参数表!J232-AB232*0.6566*炼钢参数表!L232/10-AC232*($AC$3/100)*炼钢参数表!L232/10-AD232*($AD$3/100)*炼钢参数表!L232/10)/100/($AE$3/100)/炼钢参数表!L232*1000</f>
        <v>0</v>
      </c>
      <c r="AF232" s="8">
        <v>0</v>
      </c>
      <c r="AG232" s="8">
        <f>IF(J232&lt;=0.04,0,((J232-(AB232*0.1769*炼钢参数表!K232/1000*100))/100/炼钢参数表!K232/($AG$3/100)*1000))</f>
        <v>1.38446628824588</v>
      </c>
      <c r="AH232" s="8">
        <v>2.2000000000000002</v>
      </c>
      <c r="AI232" s="8">
        <f>IF(N232="",0,IF(N232&lt;=0.002,0,((N232)/100)/($AI$3/100)/炼钢参数表!M232*1000))</f>
        <v>0</v>
      </c>
      <c r="AJ232" s="8">
        <f>IF(O232="",0,IF(O232&lt;=0.002,0,((O232)/100)/($AJ$3/100)/炼钢参数表!N232*1000))</f>
        <v>0.78444661997640397</v>
      </c>
      <c r="AK232" s="8">
        <f>IF(P232="",0,IF(P232&lt;=0.002,0,((P232+0.005)/100)/($AK$3/100)/炼钢参数表!O232*1000))</f>
        <v>2.1953458667624601</v>
      </c>
      <c r="AL232" s="8">
        <f>IF((BA232-J232*0.00003-K232*0.00024)&lt;=0.05,0,IF(T232="",0,IF(T232&lt;=0.03,0,IF(((BA232-J232*0.00003-K232*0.00024)-0.05)/0.18/100/($AL$3/100)/炼钢参数表!P232*1000&lt;=T232/100/($AL$3/100)/炼钢参数表!P232*1000,((BA232-J232*0.00003-K232*0.00024)-0.05)/0.18/100/($AL$3/100)/炼钢参数表!P232*1000,T232/100/($AL$3/100)/炼钢参数表!P232*1000))))</f>
        <v>0</v>
      </c>
      <c r="AM232" s="8">
        <f>IF(T232="",0,IF(T232&lt;=0.03,0,((T232-AL232*($AL$3/100)*炼钢参数表!P232/10)/100/($AM$3/100)/炼钢参数表!P232*1000)))</f>
        <v>3.5049349484073602</v>
      </c>
      <c r="AN232" s="8">
        <f>IF(U232="",0,IF(U232&lt;=0.02,0,(U232/100)/($AN$3/100)/炼钢参数表!Q232*1000))</f>
        <v>0</v>
      </c>
      <c r="AO232" s="8">
        <f>IF(V232="",0,IF(V232&lt;=0.02,0,(V232/100)/($AO$3/100)/炼钢参数表!R232*1000))</f>
        <v>0</v>
      </c>
      <c r="AP232" s="8">
        <f>IF(W232="",0,IF(W232&lt;=0.02,0,(W232/100)/($AP$3/100)/炼钢参数表!S232*1000))</f>
        <v>0</v>
      </c>
      <c r="AQ232" s="8">
        <f>IF(X232="",0,IF(X232&lt;=0.0002,0,(X232/100)/($AQ$3/100)/炼钢参数表!T232*1000))</f>
        <v>0</v>
      </c>
      <c r="AR232" s="8">
        <f>IF(Y232="",0,IF(Y232&lt;=0.02,0,(Y232/100)/($AR$3/100)/炼钢参数表!U232*1000))</f>
        <v>0</v>
      </c>
      <c r="AS232" s="8">
        <f>IF(L232&lt;=0.04,0,((L232-0.04)/100)/($AS$3/100)/炼钢参数表!V232*1000)</f>
        <v>0</v>
      </c>
      <c r="AT232" s="8">
        <f>IF(M232&lt;=0.03,0,((M232-0.03)/100)/($AT$3/100)/炼钢参数表!W232*1000)</f>
        <v>0</v>
      </c>
      <c r="AU232" s="6"/>
      <c r="AV232" s="8">
        <f t="shared" si="35"/>
        <v>33.252990966162898</v>
      </c>
      <c r="AW232" s="8" cm="1">
        <f t="array" ref="AW232">SUMPRODUCT($AB$4:$AU$4,AB232:AU232)/1000</f>
        <v>504.566927067601</v>
      </c>
      <c r="AY232" s="2" t="str">
        <f t="shared" si="36"/>
        <v>800L-ACH</v>
      </c>
      <c r="AZ232" s="37">
        <f>VLOOKUP(AY232,炼钢参数表!$F$5:$J$1027,4,0)</f>
        <v>3.9399999999999998E-2</v>
      </c>
      <c r="BA232" s="37">
        <f t="shared" si="37"/>
        <v>4.0599999999999997E-2</v>
      </c>
      <c r="BB232" s="37">
        <f>AB232*$BB$4*炼钢参数表!$X$5/1000</f>
        <v>2.1876766534765402E-3</v>
      </c>
      <c r="BC232" s="37">
        <f>AC232*$BC$4*炼钢参数表!$X$5/1000</f>
        <v>0</v>
      </c>
      <c r="BD232" s="37">
        <f>AD232*$BD$4*炼钢参数表!$X$5/1000</f>
        <v>2.9390268731104001E-2</v>
      </c>
      <c r="BE232" s="37">
        <f>AE232*$BE$4*炼钢参数表!$X$5/1000</f>
        <v>0</v>
      </c>
      <c r="BF232" s="37">
        <f>AL232*$BF$4*炼钢参数表!$X$5/1000</f>
        <v>0</v>
      </c>
      <c r="BG232" s="37">
        <f>AM232*$BG$4*炼钢参数表!$X$5/1000</f>
        <v>3.78532974427995E-4</v>
      </c>
      <c r="BH232" s="37">
        <f t="shared" si="38"/>
        <v>3.19564783590085E-2</v>
      </c>
      <c r="BI232" s="37">
        <f t="shared" si="39"/>
        <v>7.1356478359008504E-2</v>
      </c>
      <c r="BJ232" s="37">
        <f t="shared" si="40"/>
        <v>-8.6435216409914799E-3</v>
      </c>
      <c r="BK232" s="54"/>
      <c r="BL232" s="7"/>
    </row>
    <row r="233" spans="1:64" s="18" customFormat="1" x14ac:dyDescent="0.3">
      <c r="A233" s="21">
        <v>227</v>
      </c>
      <c r="B233" s="4" t="s">
        <v>405</v>
      </c>
      <c r="C233" s="4" t="s">
        <v>23</v>
      </c>
      <c r="D233" s="4">
        <v>3</v>
      </c>
      <c r="E233" s="4">
        <v>12</v>
      </c>
      <c r="F233" s="4" t="s">
        <v>406</v>
      </c>
      <c r="G233" s="50" t="s">
        <v>407</v>
      </c>
      <c r="H233" s="4">
        <v>1519</v>
      </c>
      <c r="I233" s="51">
        <v>0.15</v>
      </c>
      <c r="J233" s="52">
        <v>0.2</v>
      </c>
      <c r="K233" s="52">
        <v>0.6</v>
      </c>
      <c r="L233" s="51">
        <v>1.4999999999999999E-2</v>
      </c>
      <c r="M233" s="51">
        <v>5.0000000000000001E-3</v>
      </c>
      <c r="N233" s="51"/>
      <c r="O233" s="51"/>
      <c r="P233" s="51">
        <v>0.01</v>
      </c>
      <c r="Q233" s="51">
        <v>1.4999999999999999E-2</v>
      </c>
      <c r="R233" s="51" t="s">
        <v>631</v>
      </c>
      <c r="S233" s="32"/>
      <c r="T233" s="52"/>
      <c r="U233" s="52"/>
      <c r="V233" s="52"/>
      <c r="W233" s="52"/>
      <c r="X233" s="32"/>
      <c r="Y233" s="53" t="s">
        <v>631</v>
      </c>
      <c r="Z233" s="4">
        <v>40</v>
      </c>
      <c r="AA233" s="53" t="s">
        <v>631</v>
      </c>
      <c r="AB233" s="42">
        <f>IF(J233&lt;=0.04,0,IF((BA233-AL233*BF$4*炼钢参数表!$X$5/1000-AM233*BG$4*炼钢参数表!$X$5/1000)&lt;=0.03,0,IF((J233/100/0.1769/炼钢参数表!K233*1000)&gt;(K233-炼钢参数表!J233)/100/0.6566/炼钢参数表!L233*1000,IF(K233&lt;1.6,(K233-炼钢参数表!J233)/100/0.6566/炼钢参数表!L233*1000,(K233-0.08-炼钢参数表!J233)/100/0.6566/炼钢参数表!L233*1000),IF(K233&lt;1.6,J233/100/0.1769/炼钢参数表!K233*1000,(J233-0.08)/100/0.1769/炼钢参数表!K233*1000))))</f>
        <v>7.5400248433214196</v>
      </c>
      <c r="AC233" s="8">
        <f>IF((BA233-AB233*$BB$4*0.9/1000-AL233*BF$4*炼钢参数表!$X$5/1000-AM233*BG$4*炼钢参数表!$X$5/1000)&lt;(K233-炼钢参数表!J233-AB233*0.6566*炼钢参数表!L233/10)*0.082,0,(K233-炼钢参数表!J233-AB233*0.6566*炼钢参数表!L233/10)/100/($AC$3/100)/炼钢参数表!L233*1000)</f>
        <v>0</v>
      </c>
      <c r="AD233" s="8">
        <f>IF((BA233-AB233*$BB$4*0.9/1000-AC233*$BC$4*0.9/1000-AL233*BF$4*炼钢参数表!$X$5/1000-AM233*BG$4*炼钢参数表!$X$5/1000)&lt;=(K233-炼钢参数表!J233-AB233*0.6566*炼钢参数表!L233/10-AC233*($AC$3/100)*炼钢参数表!L233/10)*0.02,0,((K233-炼钢参数表!J233-AB233*0.6566*炼钢参数表!L233/10-AC233*($AC$3/100)*炼钢参数表!L233/10)/100/($AD$3/100)/炼钢参数表!L233*1000))</f>
        <v>0</v>
      </c>
      <c r="AE233" s="8">
        <f>(K233-炼钢参数表!J233-AB233*0.6566*炼钢参数表!L233/10-AC233*($AC$3/100)*炼钢参数表!L233/10-AD233*($AD$3/100)*炼钢参数表!L233/10)/100/($AE$3/100)/炼钢参数表!L233*1000</f>
        <v>0</v>
      </c>
      <c r="AF233" s="8">
        <v>0</v>
      </c>
      <c r="AG233" s="8">
        <f>IF(J233&lt;=0.04,0,((J233-(AB233*0.1769*炼钢参数表!K233/1000*100))/100/炼钢参数表!K233/($AG$3/100)*1000))</f>
        <v>1.61452250479917</v>
      </c>
      <c r="AH233" s="8">
        <v>1.36133922185441</v>
      </c>
      <c r="AI233" s="8">
        <f>IF(N233="",0,IF(N233&lt;=0.002,0,((N233)/100)/($AI$3/100)/炼钢参数表!M233*1000))</f>
        <v>0</v>
      </c>
      <c r="AJ233" s="8">
        <f>IF(O233="",0,IF(O233&lt;=0.002,0,((O233)/100)/($AJ$3/100)/炼钢参数表!N233*1000))</f>
        <v>0</v>
      </c>
      <c r="AK233" s="8">
        <f>IF(P233="",0,IF(P233&lt;=0.002,0,((P233+0.005)/100)/($AK$3/100)/炼钢参数表!O233*1000))</f>
        <v>0.29936534546760901</v>
      </c>
      <c r="AL233" s="8">
        <f>IF((BA233-J233*0.00003-K233*0.00024)&lt;=0.05,0,IF(T233="",0,IF(T233&lt;=0.03,0,IF(((BA233-J233*0.00003-K233*0.00024)-0.05)/0.18/100/($AL$3/100)/炼钢参数表!P233*1000&lt;=T233/100/($AL$3/100)/炼钢参数表!P233*1000,((BA233-J233*0.00003-K233*0.00024)-0.05)/0.18/100/($AL$3/100)/炼钢参数表!P233*1000,T233/100/($AL$3/100)/炼钢参数表!P233*1000))))</f>
        <v>0</v>
      </c>
      <c r="AM233" s="8">
        <f>IF(T233="",0,IF(T233&lt;=0.03,0,((T233-AL233*($AL$3/100)*炼钢参数表!P233/10)/100/($AM$3/100)/炼钢参数表!P233*1000)))</f>
        <v>0</v>
      </c>
      <c r="AN233" s="8">
        <f>IF(U233="",0,IF(U233&lt;=0.02,0,(U233/100)/($AN$3/100)/炼钢参数表!Q233*1000))</f>
        <v>0</v>
      </c>
      <c r="AO233" s="8">
        <f>IF(V233="",0,IF(V233&lt;=0.02,0,(V233/100)/($AO$3/100)/炼钢参数表!R233*1000))</f>
        <v>0</v>
      </c>
      <c r="AP233" s="8">
        <f>IF(W233="",0,IF(W233&lt;=0.02,0,(W233/100)/($AP$3/100)/炼钢参数表!S233*1000))</f>
        <v>0</v>
      </c>
      <c r="AQ233" s="8">
        <f>IF(X233="",0,IF(X233&lt;=0.0002,0,(X233/100)/($AQ$3/100)/炼钢参数表!T233*1000))</f>
        <v>0</v>
      </c>
      <c r="AR233" s="8">
        <f>IF(Y233="",0,IF(Y233&lt;=0.02,0,(Y233/100)/($AR$3/100)/炼钢参数表!U233*1000))</f>
        <v>0</v>
      </c>
      <c r="AS233" s="8">
        <f>IF(L233&lt;=0.04,0,((L233-0.04)/100)/($AS$3/100)/炼钢参数表!V233*1000)</f>
        <v>0</v>
      </c>
      <c r="AT233" s="8">
        <f>IF(M233&lt;=0.03,0,((M233-0.03)/100)/($AT$3/100)/炼钢参数表!W233*1000)</f>
        <v>0</v>
      </c>
      <c r="AU233" s="6"/>
      <c r="AV233" s="8">
        <f t="shared" si="35"/>
        <v>10.8152519154426</v>
      </c>
      <c r="AW233" s="8" cm="1">
        <f t="array" ref="AW233">SUMPRODUCT($AB$4:$AU$4,AB233:AU233)/1000</f>
        <v>86.890048551530597</v>
      </c>
      <c r="AY233" s="2" t="str">
        <f t="shared" si="36"/>
        <v>L245-1</v>
      </c>
      <c r="AZ233" s="37">
        <f>VLOOKUP(AY233,炼钢参数表!$F$5:$J$1027,4,0)</f>
        <v>6.7647058823529393E-2</v>
      </c>
      <c r="BA233" s="37">
        <f t="shared" si="37"/>
        <v>8.2352941176470601E-2</v>
      </c>
      <c r="BB233" s="37">
        <f>AB233*$BB$4*炼钢参数表!$X$5/1000</f>
        <v>1.1671958457461599E-2</v>
      </c>
      <c r="BC233" s="37">
        <f>AC233*$BC$4*炼钢参数表!$X$5/1000</f>
        <v>0</v>
      </c>
      <c r="BD233" s="37">
        <f>AD233*$BD$4*炼钢参数表!$X$5/1000</f>
        <v>0</v>
      </c>
      <c r="BE233" s="37">
        <f>AE233*$BE$4*炼钢参数表!$X$5/1000</f>
        <v>0</v>
      </c>
      <c r="BF233" s="37">
        <f>AL233*$BF$4*炼钢参数表!$X$5/1000</f>
        <v>0</v>
      </c>
      <c r="BG233" s="37">
        <f>AM233*$BG$4*炼钢参数表!$X$5/1000</f>
        <v>0</v>
      </c>
      <c r="BH233" s="37">
        <f t="shared" si="38"/>
        <v>1.1671958457461599E-2</v>
      </c>
      <c r="BI233" s="37">
        <f t="shared" si="39"/>
        <v>7.9319017280991E-2</v>
      </c>
      <c r="BJ233" s="37">
        <f t="shared" si="40"/>
        <v>-7.0680982719008995E-2</v>
      </c>
      <c r="BK233" s="54"/>
      <c r="BL233" s="7"/>
    </row>
    <row r="234" spans="1:64" s="18" customFormat="1" x14ac:dyDescent="0.3">
      <c r="A234" s="21">
        <v>228</v>
      </c>
      <c r="B234" s="4" t="s">
        <v>405</v>
      </c>
      <c r="C234" s="4" t="s">
        <v>26</v>
      </c>
      <c r="D234" s="4">
        <v>12.01</v>
      </c>
      <c r="E234" s="4">
        <v>28</v>
      </c>
      <c r="F234" s="4" t="s">
        <v>408</v>
      </c>
      <c r="G234" s="50" t="s">
        <v>407</v>
      </c>
      <c r="H234" s="4">
        <v>1519</v>
      </c>
      <c r="I234" s="51">
        <v>0.15</v>
      </c>
      <c r="J234" s="52">
        <v>0.2</v>
      </c>
      <c r="K234" s="52">
        <v>0.65</v>
      </c>
      <c r="L234" s="51">
        <v>1.4999999999999999E-2</v>
      </c>
      <c r="M234" s="51">
        <v>5.0000000000000001E-3</v>
      </c>
      <c r="N234" s="51"/>
      <c r="O234" s="51">
        <v>8.0000000000000002E-3</v>
      </c>
      <c r="P234" s="51">
        <v>0.01</v>
      </c>
      <c r="Q234" s="51">
        <v>1.4999999999999999E-2</v>
      </c>
      <c r="R234" s="51" t="s">
        <v>631</v>
      </c>
      <c r="S234" s="32"/>
      <c r="T234" s="52"/>
      <c r="U234" s="52"/>
      <c r="V234" s="52"/>
      <c r="W234" s="52"/>
      <c r="X234" s="32"/>
      <c r="Y234" s="53" t="s">
        <v>631</v>
      </c>
      <c r="Z234" s="4">
        <v>40</v>
      </c>
      <c r="AA234" s="53" t="s">
        <v>631</v>
      </c>
      <c r="AB234" s="42">
        <f>IF(J234&lt;=0.04,0,IF((BA234-AL234*BF$4*炼钢参数表!$X$5/1000-AM234*BG$4*炼钢参数表!$X$5/1000)&lt;=0.03,0,IF((J234/100/0.1769/炼钢参数表!K234*1000)&gt;(K234-炼钢参数表!J234)/100/0.6566/炼钢参数表!L234*1000,IF(K234&lt;1.6,(K234-炼钢参数表!J234)/100/0.6566/炼钢参数表!L234*1000,(K234-0.08-炼钢参数表!J234)/100/0.6566/炼钢参数表!L234*1000),IF(K234&lt;1.6,J234/100/0.1769/炼钢参数表!K234*1000,(J234-0.08)/100/0.1769/炼钢参数表!K234*1000))))</f>
        <v>8.4572970217633205</v>
      </c>
      <c r="AC234" s="8">
        <f>IF((BA234-AB234*$BB$4*0.9/1000-AL234*BF$4*炼钢参数表!$X$5/1000-AM234*BG$4*炼钢参数表!$X$5/1000)&lt;(K234-炼钢参数表!J234-AB234*0.6566*炼钢参数表!L234/10)*0.082,0,(K234-炼钢参数表!J234-AB234*0.6566*炼钢参数表!L234/10)/100/($AC$3/100)/炼钢参数表!L234*1000)</f>
        <v>0</v>
      </c>
      <c r="AD234" s="8">
        <f>IF((BA234-AB234*$BB$4*0.9/1000-AC234*$BC$4*0.9/1000-AL234*BF$4*炼钢参数表!$X$5/1000-AM234*BG$4*炼钢参数表!$X$5/1000)&lt;=(K234-炼钢参数表!J234-AB234*0.6566*炼钢参数表!L234/10-AC234*($AC$3/100)*炼钢参数表!L234/10)*0.02,0,((K234-炼钢参数表!J234-AB234*0.6566*炼钢参数表!L234/10-AC234*($AC$3/100)*炼钢参数表!L234/10)/100/($AD$3/100)/炼钢参数表!L234*1000))</f>
        <v>0</v>
      </c>
      <c r="AE234" s="8">
        <f>(K234-炼钢参数表!J234-AB234*0.6566*炼钢参数表!L234/10-AC234*($AC$3/100)*炼钢参数表!L234/10-AD234*($AD$3/100)*炼钢参数表!L234/10)/100/($AE$3/100)/炼钢参数表!L234*1000</f>
        <v>0</v>
      </c>
      <c r="AF234" s="8">
        <v>0</v>
      </c>
      <c r="AG234" s="8">
        <f>IF(J234&lt;=0.04,0,((J234-(AB234*0.1769*炼钢参数表!K234/1000*100))/100/炼钢参数表!K234/($AG$3/100)*1000))</f>
        <v>1.3898714617888299</v>
      </c>
      <c r="AH234" s="8">
        <v>1.33</v>
      </c>
      <c r="AI234" s="8">
        <f>IF(N234="",0,IF(N234&lt;=0.002,0,((N234)/100)/($AI$3/100)/炼钢参数表!M234*1000))</f>
        <v>0</v>
      </c>
      <c r="AJ234" s="8">
        <f>IF(O234="",0,IF(O234&lt;=0.002,0,((O234)/100)/($AJ$3/100)/炼钢参数表!N234*1000))</f>
        <v>0.125511459196225</v>
      </c>
      <c r="AK234" s="8">
        <f>IF(P234="",0,IF(P234&lt;=0.002,0,((P234+0.005)/100)/($AK$3/100)/炼钢参数表!O234*1000))</f>
        <v>0.29936534546760901</v>
      </c>
      <c r="AL234" s="8">
        <f>IF((BA234-J234*0.00003-K234*0.00024)&lt;=0.05,0,IF(T234="",0,IF(T234&lt;=0.03,0,IF(((BA234-J234*0.00003-K234*0.00024)-0.05)/0.18/100/($AL$3/100)/炼钢参数表!P234*1000&lt;=T234/100/($AL$3/100)/炼钢参数表!P234*1000,((BA234-J234*0.00003-K234*0.00024)-0.05)/0.18/100/($AL$3/100)/炼钢参数表!P234*1000,T234/100/($AL$3/100)/炼钢参数表!P234*1000))))</f>
        <v>0</v>
      </c>
      <c r="AM234" s="8">
        <f>IF(T234="",0,IF(T234&lt;=0.03,0,((T234-AL234*($AL$3/100)*炼钢参数表!P234/10)/100/($AM$3/100)/炼钢参数表!P234*1000)))</f>
        <v>0</v>
      </c>
      <c r="AN234" s="8">
        <f>IF(U234="",0,IF(U234&lt;=0.02,0,(U234/100)/($AN$3/100)/炼钢参数表!Q234*1000))</f>
        <v>0</v>
      </c>
      <c r="AO234" s="8">
        <f>IF(V234="",0,IF(V234&lt;=0.02,0,(V234/100)/($AO$3/100)/炼钢参数表!R234*1000))</f>
        <v>0</v>
      </c>
      <c r="AP234" s="8">
        <f>IF(W234="",0,IF(W234&lt;=0.02,0,(W234/100)/($AP$3/100)/炼钢参数表!S234*1000))</f>
        <v>0</v>
      </c>
      <c r="AQ234" s="8">
        <f>IF(X234="",0,IF(X234&lt;=0.0002,0,(X234/100)/($AQ$3/100)/炼钢参数表!T234*1000))</f>
        <v>0</v>
      </c>
      <c r="AR234" s="8">
        <f>IF(Y234="",0,IF(Y234&lt;=0.02,0,(Y234/100)/($AR$3/100)/炼钢参数表!U234*1000))</f>
        <v>0</v>
      </c>
      <c r="AS234" s="8">
        <f>IF(L234&lt;=0.04,0,((L234-0.04)/100)/($AS$3/100)/炼钢参数表!V234*1000)</f>
        <v>0</v>
      </c>
      <c r="AT234" s="8">
        <f>IF(M234&lt;=0.03,0,((M234-0.03)/100)/($AT$3/100)/炼钢参数表!W234*1000)</f>
        <v>0</v>
      </c>
      <c r="AU234" s="6"/>
      <c r="AV234" s="8">
        <f t="shared" si="35"/>
        <v>11.602045288216001</v>
      </c>
      <c r="AW234" s="8" cm="1">
        <f t="array" ref="AW234">SUMPRODUCT($AB$4:$AU$4,AB234:AU234)/1000</f>
        <v>117.033182555834</v>
      </c>
      <c r="AY234" s="2" t="str">
        <f t="shared" si="36"/>
        <v>L245-2</v>
      </c>
      <c r="AZ234" s="37">
        <f>VLOOKUP(AY234,炼钢参数表!$F$5:$J$1027,4,0)</f>
        <v>7.0900000000000005E-2</v>
      </c>
      <c r="BA234" s="37">
        <f t="shared" si="37"/>
        <v>7.9100000000000004E-2</v>
      </c>
      <c r="BB234" s="37">
        <f>AB234*$BB$4*炼钢参数表!$X$5/1000</f>
        <v>1.3091895789689599E-2</v>
      </c>
      <c r="BC234" s="37">
        <f>AC234*$BC$4*炼钢参数表!$X$5/1000</f>
        <v>0</v>
      </c>
      <c r="BD234" s="37">
        <f>AD234*$BD$4*炼钢参数表!$X$5/1000</f>
        <v>0</v>
      </c>
      <c r="BE234" s="37">
        <f>AE234*$BE$4*炼钢参数表!$X$5/1000</f>
        <v>0</v>
      </c>
      <c r="BF234" s="37">
        <f>AL234*$BF$4*炼钢参数表!$X$5/1000</f>
        <v>0</v>
      </c>
      <c r="BG234" s="37">
        <f>AM234*$BG$4*炼钢参数表!$X$5/1000</f>
        <v>0</v>
      </c>
      <c r="BH234" s="37">
        <f t="shared" si="38"/>
        <v>1.3091895789689599E-2</v>
      </c>
      <c r="BI234" s="37">
        <f t="shared" si="39"/>
        <v>8.3991895789689602E-2</v>
      </c>
      <c r="BJ234" s="37">
        <f t="shared" si="40"/>
        <v>-6.6008104210310406E-2</v>
      </c>
      <c r="BK234" s="54"/>
      <c r="BL234" s="7"/>
    </row>
    <row r="235" spans="1:64" s="18" customFormat="1" x14ac:dyDescent="0.3">
      <c r="A235" s="21">
        <v>229</v>
      </c>
      <c r="B235" s="4" t="s">
        <v>409</v>
      </c>
      <c r="C235" s="4" t="s">
        <v>23</v>
      </c>
      <c r="D235" s="4">
        <v>3</v>
      </c>
      <c r="E235" s="4">
        <v>12</v>
      </c>
      <c r="F235" s="4" t="s">
        <v>410</v>
      </c>
      <c r="G235" s="50" t="s">
        <v>411</v>
      </c>
      <c r="H235" s="4">
        <v>1519</v>
      </c>
      <c r="I235" s="51">
        <v>0.15</v>
      </c>
      <c r="J235" s="52">
        <v>0.15</v>
      </c>
      <c r="K235" s="52">
        <v>0.6</v>
      </c>
      <c r="L235" s="51">
        <v>1.4999999999999999E-2</v>
      </c>
      <c r="M235" s="51">
        <v>4.0000000000000001E-3</v>
      </c>
      <c r="N235" s="51"/>
      <c r="O235" s="51">
        <v>6.0000000000000001E-3</v>
      </c>
      <c r="P235" s="51">
        <v>0.01</v>
      </c>
      <c r="Q235" s="51">
        <v>1.4999999999999999E-2</v>
      </c>
      <c r="R235" s="51" t="s">
        <v>631</v>
      </c>
      <c r="S235" s="32"/>
      <c r="T235" s="52"/>
      <c r="U235" s="52"/>
      <c r="V235" s="52"/>
      <c r="W235" s="52"/>
      <c r="X235" s="32"/>
      <c r="Y235" s="53" t="s">
        <v>631</v>
      </c>
      <c r="Z235" s="4">
        <v>40</v>
      </c>
      <c r="AA235" s="53" t="s">
        <v>631</v>
      </c>
      <c r="AB235" s="42">
        <f>IF(J235&lt;=0.04,0,IF((BA235-AL235*BF$4*炼钢参数表!$X$5/1000-AM235*BG$4*炼钢参数表!$X$5/1000)&lt;=0.03,0,IF((J235/100/0.1769/炼钢参数表!K235*1000)&gt;(K235-炼钢参数表!J235)/100/0.6566/炼钢参数表!L235*1000,IF(K235&lt;1.6,(K235-炼钢参数表!J235)/100/0.6566/炼钢参数表!L235*1000,(K235-0.08-炼钢参数表!J235)/100/0.6566/炼钢参数表!L235*1000),IF(K235&lt;1.6,J235/100/0.1769/炼钢参数表!K235*1000,(J235-0.08)/100/0.1769/炼钢参数表!K235*1000))))</f>
        <v>7.8247869357916802</v>
      </c>
      <c r="AC235" s="8">
        <f>IF((BA235-AB235*$BB$4*0.9/1000-AL235*BF$4*炼钢参数表!$X$5/1000-AM235*BG$4*炼钢参数表!$X$5/1000)&lt;(K235-炼钢参数表!J235-AB235*0.6566*炼钢参数表!L235/10)*0.082,0,(K235-炼钢参数表!J235-AB235*0.6566*炼钢参数表!L235/10)/100/($AC$3/100)/炼钢参数表!L235*1000)</f>
        <v>0</v>
      </c>
      <c r="AD235" s="8">
        <f>IF((BA235-AB235*$BB$4*0.9/1000-AC235*$BC$4*0.9/1000-AL235*BF$4*炼钢参数表!$X$5/1000-AM235*BG$4*炼钢参数表!$X$5/1000)&lt;=(K235-炼钢参数表!J235-AB235*0.6566*炼钢参数表!L235/10-AC235*($AC$3/100)*炼钢参数表!L235/10)*0.02,0,((K235-炼钢参数表!J235-AB235*0.6566*炼钢参数表!L235/10-AC235*($AC$3/100)*炼钢参数表!L235/10)/100/($AD$3/100)/炼钢参数表!L235*1000))</f>
        <v>0</v>
      </c>
      <c r="AE235" s="8">
        <f>(K235-炼钢参数表!J235-AB235*0.6566*炼钢参数表!L235/10-AC235*($AC$3/100)*炼钢参数表!L235/10-AD235*($AD$3/100)*炼钢参数表!L235/10)/100/($AE$3/100)/炼钢参数表!L235*1000</f>
        <v>0</v>
      </c>
      <c r="AF235" s="8">
        <v>0</v>
      </c>
      <c r="AG235" s="8">
        <f>IF(J235&lt;=0.04,0,((J235-(AB235*0.1769*炼钢参数表!K235/1000*100))/100/炼钢参数表!K235/($AG$3/100)*1000))</f>
        <v>0.67948939645362305</v>
      </c>
      <c r="AH235" s="8">
        <v>1.33</v>
      </c>
      <c r="AI235" s="8">
        <f>IF(N235="",0,IF(N235&lt;=0.002,0,((N235)/100)/($AI$3/100)/炼钢参数表!M235*1000))</f>
        <v>0</v>
      </c>
      <c r="AJ235" s="8">
        <f>IF(O235="",0,IF(O235&lt;=0.002,0,((O235)/100)/($AJ$3/100)/炼钢参数表!N235*1000))</f>
        <v>9.4133594397168494E-2</v>
      </c>
      <c r="AK235" s="8">
        <f>IF(P235="",0,IF(P235&lt;=0.002,0,((P235+0.005)/100)/($AK$3/100)/炼钢参数表!O235*1000))</f>
        <v>0.29936534546760901</v>
      </c>
      <c r="AL235" s="8">
        <f>IF((BA235-J235*0.00003-K235*0.00024)&lt;=0.05,0,IF(T235="",0,IF(T235&lt;=0.03,0,IF(((BA235-J235*0.00003-K235*0.00024)-0.05)/0.18/100/($AL$3/100)/炼钢参数表!P235*1000&lt;=T235/100/($AL$3/100)/炼钢参数表!P235*1000,((BA235-J235*0.00003-K235*0.00024)-0.05)/0.18/100/($AL$3/100)/炼钢参数表!P235*1000,T235/100/($AL$3/100)/炼钢参数表!P235*1000))))</f>
        <v>0</v>
      </c>
      <c r="AM235" s="8">
        <f>IF(T235="",0,IF(T235&lt;=0.03,0,((T235-AL235*($AL$3/100)*炼钢参数表!P235/10)/100/($AM$3/100)/炼钢参数表!P235*1000)))</f>
        <v>0</v>
      </c>
      <c r="AN235" s="8">
        <f>IF(U235="",0,IF(U235&lt;=0.02,0,(U235/100)/($AN$3/100)/炼钢参数表!Q235*1000))</f>
        <v>0</v>
      </c>
      <c r="AO235" s="8">
        <f>IF(V235="",0,IF(V235&lt;=0.02,0,(V235/100)/($AO$3/100)/炼钢参数表!R235*1000))</f>
        <v>0</v>
      </c>
      <c r="AP235" s="8">
        <f>IF(W235="",0,IF(W235&lt;=0.02,0,(W235/100)/($AP$3/100)/炼钢参数表!S235*1000))</f>
        <v>0</v>
      </c>
      <c r="AQ235" s="8">
        <f>IF(X235="",0,IF(X235&lt;=0.0002,0,(X235/100)/($AQ$3/100)/炼钢参数表!T235*1000))</f>
        <v>0</v>
      </c>
      <c r="AR235" s="8">
        <f>IF(Y235="",0,IF(Y235&lt;=0.02,0,(Y235/100)/($AR$3/100)/炼钢参数表!U235*1000))</f>
        <v>0</v>
      </c>
      <c r="AS235" s="8">
        <f>IF(L235&lt;=0.04,0,((L235-0.04)/100)/($AS$3/100)/炼钢参数表!V235*1000)</f>
        <v>0</v>
      </c>
      <c r="AT235" s="8">
        <f>IF(M235&lt;=0.03,0,((M235-0.03)/100)/($AT$3/100)/炼钢参数表!W235*1000)</f>
        <v>0</v>
      </c>
      <c r="AU235" s="6"/>
      <c r="AV235" s="8">
        <f t="shared" si="35"/>
        <v>10.227775272110099</v>
      </c>
      <c r="AW235" s="8" cm="1">
        <f t="array" ref="AW235">SUMPRODUCT($AB$4:$AU$4,AB235:AU235)/1000</f>
        <v>103.15998470155</v>
      </c>
      <c r="AY235" s="2" t="str">
        <f t="shared" si="36"/>
        <v>L245M-1</v>
      </c>
      <c r="AZ235" s="37">
        <f>VLOOKUP(AY235,炼钢参数表!$F$5:$J$1027,4,0)</f>
        <v>6.2E-2</v>
      </c>
      <c r="BA235" s="37">
        <f t="shared" si="37"/>
        <v>8.7999999999999995E-2</v>
      </c>
      <c r="BB235" s="37">
        <f>AB235*$BB$4*炼钢参数表!$X$5/1000</f>
        <v>1.2112770176605499E-2</v>
      </c>
      <c r="BC235" s="37">
        <f>AC235*$BC$4*炼钢参数表!$X$5/1000</f>
        <v>0</v>
      </c>
      <c r="BD235" s="37">
        <f>AD235*$BD$4*炼钢参数表!$X$5/1000</f>
        <v>0</v>
      </c>
      <c r="BE235" s="37">
        <f>AE235*$BE$4*炼钢参数表!$X$5/1000</f>
        <v>0</v>
      </c>
      <c r="BF235" s="37">
        <f>AL235*$BF$4*炼钢参数表!$X$5/1000</f>
        <v>0</v>
      </c>
      <c r="BG235" s="37">
        <f>AM235*$BG$4*炼钢参数表!$X$5/1000</f>
        <v>0</v>
      </c>
      <c r="BH235" s="37">
        <f t="shared" si="38"/>
        <v>1.2112770176605499E-2</v>
      </c>
      <c r="BI235" s="37">
        <f t="shared" si="39"/>
        <v>7.4112770176605502E-2</v>
      </c>
      <c r="BJ235" s="37">
        <f t="shared" si="40"/>
        <v>-7.5887229823394506E-2</v>
      </c>
      <c r="BK235" s="54"/>
      <c r="BL235" s="7"/>
    </row>
    <row r="236" spans="1:64" s="18" customFormat="1" x14ac:dyDescent="0.3">
      <c r="A236" s="21">
        <v>230</v>
      </c>
      <c r="B236" s="4" t="s">
        <v>409</v>
      </c>
      <c r="C236" s="4" t="s">
        <v>26</v>
      </c>
      <c r="D236" s="4">
        <v>12.01</v>
      </c>
      <c r="E236" s="4">
        <v>28</v>
      </c>
      <c r="F236" s="4" t="s">
        <v>412</v>
      </c>
      <c r="G236" s="50" t="s">
        <v>411</v>
      </c>
      <c r="H236" s="4">
        <v>1519</v>
      </c>
      <c r="I236" s="51">
        <v>0.15</v>
      </c>
      <c r="J236" s="52">
        <v>0.15</v>
      </c>
      <c r="K236" s="52">
        <v>0.7</v>
      </c>
      <c r="L236" s="51">
        <v>1.4999999999999999E-2</v>
      </c>
      <c r="M236" s="51">
        <v>4.0000000000000001E-3</v>
      </c>
      <c r="N236" s="51"/>
      <c r="O236" s="51">
        <v>8.0000000000000002E-3</v>
      </c>
      <c r="P236" s="51">
        <v>1.4999999999999999E-2</v>
      </c>
      <c r="Q236" s="51">
        <v>1.4999999999999999E-2</v>
      </c>
      <c r="R236" s="51" t="s">
        <v>631</v>
      </c>
      <c r="S236" s="32"/>
      <c r="T236" s="52"/>
      <c r="U236" s="52"/>
      <c r="V236" s="52"/>
      <c r="W236" s="52"/>
      <c r="X236" s="32"/>
      <c r="Y236" s="53" t="s">
        <v>631</v>
      </c>
      <c r="Z236" s="4">
        <v>40</v>
      </c>
      <c r="AA236" s="53" t="s">
        <v>631</v>
      </c>
      <c r="AB236" s="42">
        <f>IF(J236&lt;=0.04,0,IF((BA236-AL236*BF$4*炼钢参数表!$X$5/1000-AM236*BG$4*炼钢参数表!$X$5/1000)&lt;=0.03,0,IF((J236/100/0.1769/炼钢参数表!K236*1000)&gt;(K236-炼钢参数表!J236)/100/0.6566/炼钢参数表!L236*1000,IF(K236&lt;1.6,(K236-炼钢参数表!J236)/100/0.6566/炼钢参数表!L236*1000,(K236-0.08-炼钢参数表!J236)/100/0.6566/炼钢参数表!L236*1000),IF(K236&lt;1.6,J236/100/0.1769/炼钢参数表!K236*1000,(J236-0.08)/100/0.1769/炼钢参数表!K236*1000))))</f>
        <v>9.2545394642779399</v>
      </c>
      <c r="AC236" s="8">
        <f>IF((BA236-AB236*$BB$4*0.9/1000-AL236*BF$4*炼钢参数表!$X$5/1000-AM236*BG$4*炼钢参数表!$X$5/1000)&lt;(K236-炼钢参数表!J236-AB236*0.6566*炼钢参数表!L236/10)*0.082,0,(K236-炼钢参数表!J236-AB236*0.6566*炼钢参数表!L236/10)/100/($AC$3/100)/炼钢参数表!L236*1000)</f>
        <v>0</v>
      </c>
      <c r="AD236" s="8">
        <f>IF((BA236-AB236*$BB$4*0.9/1000-AC236*$BC$4*0.9/1000-AL236*BF$4*炼钢参数表!$X$5/1000-AM236*BG$4*炼钢参数表!$X$5/1000)&lt;=(K236-炼钢参数表!J236-AB236*0.6566*炼钢参数表!L236/10-AC236*($AC$3/100)*炼钢参数表!L236/10)*0.02,0,((K236-炼钢参数表!J236-AB236*0.6566*炼钢参数表!L236/10-AC236*($AC$3/100)*炼钢参数表!L236/10)/100/($AD$3/100)/炼钢参数表!L236*1000))</f>
        <v>0</v>
      </c>
      <c r="AE236" s="8">
        <f>(K236-炼钢参数表!J236-AB236*0.6566*炼钢参数表!L236/10-AC236*($AC$3/100)*炼钢参数表!L236/10-AD236*($AD$3/100)*炼钢参数表!L236/10)/100/($AE$3/100)/炼钢参数表!L236*1000</f>
        <v>0</v>
      </c>
      <c r="AF236" s="8">
        <v>0</v>
      </c>
      <c r="AG236" s="8">
        <f>IF(J236&lt;=0.04,0,((J236-(AB236*0.1769*炼钢参数表!K236/1000*100))/100/炼钢参数表!K236/($AG$3/100)*1000))</f>
        <v>0.329325721679678</v>
      </c>
      <c r="AH236" s="8">
        <v>1.33</v>
      </c>
      <c r="AI236" s="8">
        <f>IF(N236="",0,IF(N236&lt;=0.002,0,((N236)/100)/($AI$3/100)/炼钢参数表!M236*1000))</f>
        <v>0</v>
      </c>
      <c r="AJ236" s="8">
        <f>IF(O236="",0,IF(O236&lt;=0.002,0,((O236)/100)/($AJ$3/100)/炼钢参数表!N236*1000))</f>
        <v>0.125511459196225</v>
      </c>
      <c r="AK236" s="8">
        <f>IF(P236="",0,IF(P236&lt;=0.002,0,((P236+0.005)/100)/($AK$3/100)/炼钢参数表!O236*1000))</f>
        <v>0.399153793956812</v>
      </c>
      <c r="AL236" s="8">
        <f>IF((BA236-J236*0.00003-K236*0.00024)&lt;=0.05,0,IF(T236="",0,IF(T236&lt;=0.03,0,IF(((BA236-J236*0.00003-K236*0.00024)-0.05)/0.18/100/($AL$3/100)/炼钢参数表!P236*1000&lt;=T236/100/($AL$3/100)/炼钢参数表!P236*1000,((BA236-J236*0.00003-K236*0.00024)-0.05)/0.18/100/($AL$3/100)/炼钢参数表!P236*1000,T236/100/($AL$3/100)/炼钢参数表!P236*1000))))</f>
        <v>0</v>
      </c>
      <c r="AM236" s="8">
        <f>IF(T236="",0,IF(T236&lt;=0.03,0,((T236-AL236*($AL$3/100)*炼钢参数表!P236/10)/100/($AM$3/100)/炼钢参数表!P236*1000)))</f>
        <v>0</v>
      </c>
      <c r="AN236" s="8">
        <f>IF(U236="",0,IF(U236&lt;=0.02,0,(U236/100)/($AN$3/100)/炼钢参数表!Q236*1000))</f>
        <v>0</v>
      </c>
      <c r="AO236" s="8">
        <f>IF(V236="",0,IF(V236&lt;=0.02,0,(V236/100)/($AO$3/100)/炼钢参数表!R236*1000))</f>
        <v>0</v>
      </c>
      <c r="AP236" s="8">
        <f>IF(W236="",0,IF(W236&lt;=0.02,0,(W236/100)/($AP$3/100)/炼钢参数表!S236*1000))</f>
        <v>0</v>
      </c>
      <c r="AQ236" s="8">
        <f>IF(X236="",0,IF(X236&lt;=0.0002,0,(X236/100)/($AQ$3/100)/炼钢参数表!T236*1000))</f>
        <v>0</v>
      </c>
      <c r="AR236" s="8">
        <f>IF(Y236="",0,IF(Y236&lt;=0.02,0,(Y236/100)/($AR$3/100)/炼钢参数表!U236*1000))</f>
        <v>0</v>
      </c>
      <c r="AS236" s="8">
        <f>IF(L236&lt;=0.04,0,((L236-0.04)/100)/($AS$3/100)/炼钢参数表!V236*1000)</f>
        <v>0</v>
      </c>
      <c r="AT236" s="8">
        <f>IF(M236&lt;=0.03,0,((M236-0.03)/100)/($AT$3/100)/炼钢参数表!W236*1000)</f>
        <v>0</v>
      </c>
      <c r="AU236" s="6"/>
      <c r="AV236" s="8">
        <f t="shared" si="35"/>
        <v>11.4385304391107</v>
      </c>
      <c r="AW236" s="8" cm="1">
        <f t="array" ref="AW236">SUMPRODUCT($AB$4:$AU$4,AB236:AU236)/1000</f>
        <v>118.260212586348</v>
      </c>
      <c r="AY236" s="2" t="str">
        <f t="shared" si="36"/>
        <v>L245M-2</v>
      </c>
      <c r="AZ236" s="37">
        <f>VLOOKUP(AY236,炼钢参数表!$F$5:$J$1027,4,0)</f>
        <v>7.0749999999999993E-2</v>
      </c>
      <c r="BA236" s="37">
        <f t="shared" si="37"/>
        <v>7.9250000000000001E-2</v>
      </c>
      <c r="BB236" s="37">
        <f>AB236*$BB$4*炼钢参数表!$X$5/1000</f>
        <v>1.43260270907023E-2</v>
      </c>
      <c r="BC236" s="37">
        <f>AC236*$BC$4*炼钢参数表!$X$5/1000</f>
        <v>0</v>
      </c>
      <c r="BD236" s="37">
        <f>AD236*$BD$4*炼钢参数表!$X$5/1000</f>
        <v>0</v>
      </c>
      <c r="BE236" s="37">
        <f>AE236*$BE$4*炼钢参数表!$X$5/1000</f>
        <v>0</v>
      </c>
      <c r="BF236" s="37">
        <f>AL236*$BF$4*炼钢参数表!$X$5/1000</f>
        <v>0</v>
      </c>
      <c r="BG236" s="37">
        <f>AM236*$BG$4*炼钢参数表!$X$5/1000</f>
        <v>0</v>
      </c>
      <c r="BH236" s="37">
        <f t="shared" si="38"/>
        <v>1.43260270907023E-2</v>
      </c>
      <c r="BI236" s="37">
        <f t="shared" si="39"/>
        <v>8.5076027090702194E-2</v>
      </c>
      <c r="BJ236" s="37">
        <f t="shared" si="40"/>
        <v>-6.4923972909297703E-2</v>
      </c>
      <c r="BK236" s="54"/>
      <c r="BL236" s="7"/>
    </row>
    <row r="237" spans="1:64" s="18" customFormat="1" x14ac:dyDescent="0.3">
      <c r="A237" s="21">
        <v>231</v>
      </c>
      <c r="B237" s="4" t="s">
        <v>413</v>
      </c>
      <c r="C237" s="4" t="s">
        <v>23</v>
      </c>
      <c r="D237" s="4">
        <v>3</v>
      </c>
      <c r="E237" s="4">
        <v>12</v>
      </c>
      <c r="F237" s="4" t="s">
        <v>414</v>
      </c>
      <c r="G237" s="50" t="s">
        <v>415</v>
      </c>
      <c r="H237" s="4">
        <v>1517</v>
      </c>
      <c r="I237" s="51">
        <v>0.15</v>
      </c>
      <c r="J237" s="52">
        <v>0.15</v>
      </c>
      <c r="K237" s="52">
        <v>0.75</v>
      </c>
      <c r="L237" s="51">
        <v>1.4999999999999999E-2</v>
      </c>
      <c r="M237" s="51">
        <v>5.0000000000000001E-3</v>
      </c>
      <c r="N237" s="51"/>
      <c r="O237" s="51"/>
      <c r="P237" s="51">
        <v>2.5000000000000001E-2</v>
      </c>
      <c r="Q237" s="51">
        <v>2.5000000000000001E-2</v>
      </c>
      <c r="R237" s="51"/>
      <c r="S237" s="32"/>
      <c r="T237" s="52"/>
      <c r="U237" s="52"/>
      <c r="V237" s="52"/>
      <c r="W237" s="52"/>
      <c r="X237" s="32"/>
      <c r="Y237" s="53"/>
      <c r="Z237" s="4">
        <v>40</v>
      </c>
      <c r="AA237" s="53"/>
      <c r="AB237" s="42">
        <f>IF(J237&lt;=0.04,0,IF((BA237-AL237*BF$4*炼钢参数表!$X$5/1000-AM237*BG$4*炼钢参数表!$X$5/1000)&lt;=0.03,0,IF((J237/100/0.1769/炼钢参数表!K237*1000)&gt;(K237-炼钢参数表!J237)/100/0.6566/炼钢参数表!L237*1000,IF(K237&lt;1.6,(K237-炼钢参数表!J237)/100/0.6566/炼钢参数表!L237*1000,(K237-0.08-炼钢参数表!J237)/100/0.6566/炼钢参数表!L237*1000),IF(K237&lt;1.6,J237/100/0.1769/炼钢参数表!K237*1000,(J237-0.08)/100/0.1769/炼钢参数表!K237*1000))))</f>
        <v>9.8528598158727405</v>
      </c>
      <c r="AC237" s="8">
        <f>IF((BA237-AB237*$BB$4*0.9/1000-AL237*BF$4*炼钢参数表!$X$5/1000-AM237*BG$4*炼钢参数表!$X$5/1000)&lt;(K237-炼钢参数表!J237-AB237*0.6566*炼钢参数表!L237/10)*0.082,0,(K237-炼钢参数表!J237-AB237*0.6566*炼钢参数表!L237/10)/100/($AC$3/100)/炼钢参数表!L237*1000)</f>
        <v>0</v>
      </c>
      <c r="AD237" s="8">
        <f>IF((BA237-AB237*$BB$4*0.9/1000-AC237*$BC$4*0.9/1000-AL237*BF$4*炼钢参数表!$X$5/1000-AM237*BG$4*炼钢参数表!$X$5/1000)&lt;=(K237-炼钢参数表!J237-AB237*0.6566*炼钢参数表!L237/10-AC237*($AC$3/100)*炼钢参数表!L237/10)*0.02,0,((K237-炼钢参数表!J237-AB237*0.6566*炼钢参数表!L237/10-AC237*($AC$3/100)*炼钢参数表!L237/10)/100/($AD$3/100)/炼钢参数表!L237*1000))</f>
        <v>0</v>
      </c>
      <c r="AE237" s="8">
        <f>(K237-炼钢参数表!J237-AB237*0.6566*炼钢参数表!L237/10-AC237*($AC$3/100)*炼钢参数表!L237/10-AD237*($AD$3/100)*炼钢参数表!L237/10)/100/($AE$3/100)/炼钢参数表!L237*1000</f>
        <v>0</v>
      </c>
      <c r="AF237" s="8">
        <v>0</v>
      </c>
      <c r="AG237" s="8">
        <f>IF(J237&lt;=0.04,0,((J237-(AB237*0.1769*炼钢参数表!K237/1000*100))/100/炼钢参数表!K237/($AG$3/100)*1000))</f>
        <v>0.18278983604058199</v>
      </c>
      <c r="AH237" s="8">
        <v>1.33</v>
      </c>
      <c r="AI237" s="8">
        <f>IF(N237="",0,IF(N237&lt;=0.002,0,((N237)/100)/($AI$3/100)/炼钢参数表!M237*1000))</f>
        <v>0</v>
      </c>
      <c r="AJ237" s="8">
        <f>IF(O237="",0,IF(O237&lt;=0.002,0,((O237)/100)/($AJ$3/100)/炼钢参数表!N237*1000))</f>
        <v>0</v>
      </c>
      <c r="AK237" s="8">
        <f>IF(P237="",0,IF(P237&lt;=0.002,0,((P237+0.005)/100)/($AK$3/100)/炼钢参数表!O237*1000))</f>
        <v>0.59873069093521702</v>
      </c>
      <c r="AL237" s="8">
        <f>IF((BA237-J237*0.00003-K237*0.00024)&lt;=0.05,0,IF(T237="",0,IF(T237&lt;=0.03,0,IF(((BA237-J237*0.00003-K237*0.00024)-0.05)/0.18/100/($AL$3/100)/炼钢参数表!P237*1000&lt;=T237/100/($AL$3/100)/炼钢参数表!P237*1000,((BA237-J237*0.00003-K237*0.00024)-0.05)/0.18/100/($AL$3/100)/炼钢参数表!P237*1000,T237/100/($AL$3/100)/炼钢参数表!P237*1000))))</f>
        <v>0</v>
      </c>
      <c r="AM237" s="8">
        <f>IF(T237="",0,IF(T237&lt;=0.03,0,((T237-AL237*($AL$3/100)*炼钢参数表!P237/10)/100/($AM$3/100)/炼钢参数表!P237*1000)))</f>
        <v>0</v>
      </c>
      <c r="AN237" s="8">
        <f>IF(U237="",0,IF(U237&lt;=0.02,0,(U237/100)/($AN$3/100)/炼钢参数表!Q237*1000))</f>
        <v>0</v>
      </c>
      <c r="AO237" s="8">
        <f>IF(V237="",0,IF(V237&lt;=0.02,0,(V237/100)/($AO$3/100)/炼钢参数表!R237*1000))</f>
        <v>0</v>
      </c>
      <c r="AP237" s="8">
        <f>IF(W237="",0,IF(W237&lt;=0.02,0,(W237/100)/($AP$3/100)/炼钢参数表!S237*1000))</f>
        <v>0</v>
      </c>
      <c r="AQ237" s="8">
        <f>IF(X237="",0,IF(X237&lt;=0.0002,0,(X237/100)/($AQ$3/100)/炼钢参数表!T237*1000))</f>
        <v>0</v>
      </c>
      <c r="AR237" s="8">
        <f>IF(Y237="",0,IF(Y237&lt;=0.02,0,(Y237/100)/($AR$3/100)/炼钢参数表!U237*1000))</f>
        <v>0</v>
      </c>
      <c r="AS237" s="8">
        <f>IF(L237&lt;=0.04,0,((L237-0.04)/100)/($AS$3/100)/炼钢参数表!V237*1000)</f>
        <v>0</v>
      </c>
      <c r="AT237" s="8">
        <f>IF(M237&lt;=0.03,0,((M237-0.03)/100)/($AT$3/100)/炼钢参数表!W237*1000)</f>
        <v>0</v>
      </c>
      <c r="AU237" s="6"/>
      <c r="AV237" s="8">
        <f t="shared" si="35"/>
        <v>11.9643803428485</v>
      </c>
      <c r="AW237" s="8" cm="1">
        <f t="array" ref="AW237">SUMPRODUCT($AB$4:$AU$4,AB237:AU237)/1000</f>
        <v>98.517861861889898</v>
      </c>
      <c r="AY237" s="2" t="str">
        <f t="shared" si="36"/>
        <v>L290-1</v>
      </c>
      <c r="AZ237" s="37">
        <f>VLOOKUP(AY237,炼钢参数表!$F$5:$J$1027,4,0)</f>
        <v>7.0499999999999993E-2</v>
      </c>
      <c r="BA237" s="37">
        <f t="shared" si="37"/>
        <v>7.9500000000000001E-2</v>
      </c>
      <c r="BB237" s="37">
        <f>AB237*$BB$4*炼钢参数表!$X$5/1000</f>
        <v>1.5252226994971E-2</v>
      </c>
      <c r="BC237" s="37">
        <f>AC237*$BC$4*炼钢参数表!$X$5/1000</f>
        <v>0</v>
      </c>
      <c r="BD237" s="37">
        <f>AD237*$BD$4*炼钢参数表!$X$5/1000</f>
        <v>0</v>
      </c>
      <c r="BE237" s="37">
        <f>AE237*$BE$4*炼钢参数表!$X$5/1000</f>
        <v>0</v>
      </c>
      <c r="BF237" s="37">
        <f>AL237*$BF$4*炼钢参数表!$X$5/1000</f>
        <v>0</v>
      </c>
      <c r="BG237" s="37">
        <f>AM237*$BG$4*炼钢参数表!$X$5/1000</f>
        <v>0</v>
      </c>
      <c r="BH237" s="37">
        <f t="shared" si="38"/>
        <v>1.5252226994971E-2</v>
      </c>
      <c r="BI237" s="37">
        <f t="shared" si="39"/>
        <v>8.5752226994970995E-2</v>
      </c>
      <c r="BJ237" s="37">
        <f t="shared" si="40"/>
        <v>-6.4247773005028999E-2</v>
      </c>
      <c r="BK237" s="54"/>
      <c r="BL237" s="7"/>
    </row>
    <row r="238" spans="1:64" s="18" customFormat="1" x14ac:dyDescent="0.3">
      <c r="A238" s="21">
        <v>232</v>
      </c>
      <c r="B238" s="4" t="s">
        <v>413</v>
      </c>
      <c r="C238" s="4" t="s">
        <v>26</v>
      </c>
      <c r="D238" s="4">
        <v>12.01</v>
      </c>
      <c r="E238" s="4">
        <v>28</v>
      </c>
      <c r="F238" s="4" t="s">
        <v>416</v>
      </c>
      <c r="G238" s="50" t="s">
        <v>415</v>
      </c>
      <c r="H238" s="4">
        <v>1517</v>
      </c>
      <c r="I238" s="51">
        <v>0.15</v>
      </c>
      <c r="J238" s="52">
        <v>0.15</v>
      </c>
      <c r="K238" s="52">
        <v>0.85</v>
      </c>
      <c r="L238" s="51">
        <v>1.4999999999999999E-2</v>
      </c>
      <c r="M238" s="51">
        <v>5.0000000000000001E-3</v>
      </c>
      <c r="N238" s="51"/>
      <c r="O238" s="51">
        <v>8.0000000000000002E-3</v>
      </c>
      <c r="P238" s="51">
        <v>2.5000000000000001E-2</v>
      </c>
      <c r="Q238" s="51">
        <v>2.5000000000000001E-2</v>
      </c>
      <c r="R238" s="51"/>
      <c r="S238" s="32"/>
      <c r="T238" s="52"/>
      <c r="U238" s="52"/>
      <c r="V238" s="52"/>
      <c r="W238" s="52"/>
      <c r="X238" s="32"/>
      <c r="Y238" s="53"/>
      <c r="Z238" s="4">
        <v>40</v>
      </c>
      <c r="AA238" s="53"/>
      <c r="AB238" s="42">
        <f>IF(J238&lt;=0.04,0,IF((BA238-AL238*BF$4*炼钢参数表!$X$5/1000-AM238*BG$4*炼钢参数表!$X$5/1000)&lt;=0.03,0,IF((J238/100/0.1769/炼钢参数表!K238*1000)&gt;(K238-炼钢参数表!J238)/100/0.6566/炼钢参数表!L238*1000,IF(K238&lt;1.6,(K238-炼钢参数表!J238)/100/0.6566/炼钢参数表!L238*1000,(K238-0.08-炼钢参数表!J238)/100/0.6566/炼钢参数表!L238*1000),IF(K238&lt;1.6,J238/100/0.1769/炼钢参数表!K238*1000,(J238-0.08)/100/0.1769/炼钢参数表!K238*1000))))</f>
        <v>10.5992085924251</v>
      </c>
      <c r="AC238" s="8">
        <f>IF((BA238-AB238*$BB$4*0.9/1000-AL238*BF$4*炼钢参数表!$X$5/1000-AM238*BG$4*炼钢参数表!$X$5/1000)&lt;(K238-炼钢参数表!J238-AB238*0.6566*炼钢参数表!L238/10)*0.082,0,(K238-炼钢参数表!J238-AB238*0.6566*炼钢参数表!L238/10)/100/($AC$3/100)/炼钢参数表!L238*1000)</f>
        <v>0.71093238147590898</v>
      </c>
      <c r="AD238" s="8">
        <f>IF((BA238-AB238*$BB$4*0.9/1000-AC238*$BC$4*0.9/1000-AL238*BF$4*炼钢参数表!$X$5/1000-AM238*BG$4*炼钢参数表!$X$5/1000)&lt;=(K238-炼钢参数表!J238-AB238*0.6566*炼钢参数表!L238/10-AC238*($AC$3/100)*炼钢参数表!L238/10)*0.02,0,((K238-炼钢参数表!J238-AB238*0.6566*炼钢参数表!L238/10-AC238*($AC$3/100)*炼钢参数表!L238/10)/100/($AD$3/100)/炼钢参数表!L238*1000))</f>
        <v>0</v>
      </c>
      <c r="AE238" s="8">
        <f>(K238-炼钢参数表!J238-AB238*0.6566*炼钢参数表!L238/10-AC238*($AC$3/100)*炼钢参数表!L238/10-AD238*($AD$3/100)*炼钢参数表!L238/10)/100/($AE$3/100)/炼钢参数表!L238*1000</f>
        <v>0</v>
      </c>
      <c r="AF238" s="8">
        <v>0</v>
      </c>
      <c r="AG238" s="8">
        <f>IF(J238&lt;=0.04,0,((J238-(AB238*0.1769*炼钢参数表!K238/1000*100))/100/炼钢参数表!K238/($AG$3/100)*1000))</f>
        <v>0</v>
      </c>
      <c r="AH238" s="8">
        <v>1.33</v>
      </c>
      <c r="AI238" s="8">
        <f>IF(N238="",0,IF(N238&lt;=0.002,0,((N238)/100)/($AI$3/100)/炼钢参数表!M238*1000))</f>
        <v>0</v>
      </c>
      <c r="AJ238" s="8">
        <f>IF(O238="",0,IF(O238&lt;=0.002,0,((O238)/100)/($AJ$3/100)/炼钢参数表!N238*1000))</f>
        <v>0.125511459196225</v>
      </c>
      <c r="AK238" s="8">
        <f>IF(P238="",0,IF(P238&lt;=0.002,0,((P238+0.005)/100)/($AK$3/100)/炼钢参数表!O238*1000))</f>
        <v>0.59873069093521702</v>
      </c>
      <c r="AL238" s="8">
        <f>IF((BA238-J238*0.00003-K238*0.00024)&lt;=0.05,0,IF(T238="",0,IF(T238&lt;=0.03,0,IF(((BA238-J238*0.00003-K238*0.00024)-0.05)/0.18/100/($AL$3/100)/炼钢参数表!P238*1000&lt;=T238/100/($AL$3/100)/炼钢参数表!P238*1000,((BA238-J238*0.00003-K238*0.00024)-0.05)/0.18/100/($AL$3/100)/炼钢参数表!P238*1000,T238/100/($AL$3/100)/炼钢参数表!P238*1000))))</f>
        <v>0</v>
      </c>
      <c r="AM238" s="8">
        <f>IF(T238="",0,IF(T238&lt;=0.03,0,((T238-AL238*($AL$3/100)*炼钢参数表!P238/10)/100/($AM$3/100)/炼钢参数表!P238*1000)))</f>
        <v>0</v>
      </c>
      <c r="AN238" s="8">
        <f>IF(U238="",0,IF(U238&lt;=0.02,0,(U238/100)/($AN$3/100)/炼钢参数表!Q238*1000))</f>
        <v>0</v>
      </c>
      <c r="AO238" s="8">
        <f>IF(V238="",0,IF(V238&lt;=0.02,0,(V238/100)/($AO$3/100)/炼钢参数表!R238*1000))</f>
        <v>0</v>
      </c>
      <c r="AP238" s="8">
        <f>IF(W238="",0,IF(W238&lt;=0.02,0,(W238/100)/($AP$3/100)/炼钢参数表!S238*1000))</f>
        <v>0</v>
      </c>
      <c r="AQ238" s="8">
        <f>IF(X238="",0,IF(X238&lt;=0.0002,0,(X238/100)/($AQ$3/100)/炼钢参数表!T238*1000))</f>
        <v>0</v>
      </c>
      <c r="AR238" s="8">
        <f>IF(Y238="",0,IF(Y238&lt;=0.02,0,(Y238/100)/($AR$3/100)/炼钢参数表!U238*1000))</f>
        <v>0</v>
      </c>
      <c r="AS238" s="8">
        <f>IF(L238&lt;=0.04,0,((L238-0.04)/100)/($AS$3/100)/炼钢参数表!V238*1000)</f>
        <v>0</v>
      </c>
      <c r="AT238" s="8">
        <f>IF(M238&lt;=0.03,0,((M238-0.03)/100)/($AT$3/100)/炼钢参数表!W238*1000)</f>
        <v>0</v>
      </c>
      <c r="AU238" s="6"/>
      <c r="AV238" s="8">
        <f t="shared" si="35"/>
        <v>13.3643831240325</v>
      </c>
      <c r="AW238" s="8" cm="1">
        <f t="array" ref="AW238">SUMPRODUCT($AB$4:$AU$4,AB238:AU238)/1000</f>
        <v>132.94794071890701</v>
      </c>
      <c r="AY238" s="2" t="str">
        <f t="shared" si="36"/>
        <v>L290-2</v>
      </c>
      <c r="AZ238" s="37">
        <f>VLOOKUP(AY238,炼钢参数表!$F$5:$J$1027,4,0)</f>
        <v>7.0499999999999993E-2</v>
      </c>
      <c r="BA238" s="37">
        <f t="shared" si="37"/>
        <v>7.9500000000000001E-2</v>
      </c>
      <c r="BB238" s="37">
        <f>AB238*$BB$4*炼钢参数表!$X$5/1000</f>
        <v>1.6407574901074098E-2</v>
      </c>
      <c r="BC238" s="37">
        <f>AC238*$BC$4*炼钢参数表!$X$5/1000</f>
        <v>4.2805238688664498E-3</v>
      </c>
      <c r="BD238" s="37">
        <f>AD238*$BD$4*炼钢参数表!$X$5/1000</f>
        <v>0</v>
      </c>
      <c r="BE238" s="37">
        <f>AE238*$BE$4*炼钢参数表!$X$5/1000</f>
        <v>0</v>
      </c>
      <c r="BF238" s="37">
        <f>AL238*$BF$4*炼钢参数表!$X$5/1000</f>
        <v>0</v>
      </c>
      <c r="BG238" s="37">
        <f>AM238*$BG$4*炼钢参数表!$X$5/1000</f>
        <v>0</v>
      </c>
      <c r="BH238" s="37">
        <f t="shared" si="38"/>
        <v>2.0688098769940499E-2</v>
      </c>
      <c r="BI238" s="37">
        <f t="shared" si="39"/>
        <v>9.1188098769940495E-2</v>
      </c>
      <c r="BJ238" s="37">
        <f t="shared" si="40"/>
        <v>-5.8811901230059499E-2</v>
      </c>
      <c r="BK238" s="54"/>
      <c r="BL238" s="7"/>
    </row>
    <row r="239" spans="1:64" s="18" customFormat="1" x14ac:dyDescent="0.3">
      <c r="A239" s="21"/>
      <c r="B239" s="18" t="s">
        <v>417</v>
      </c>
      <c r="C239" s="18" t="s">
        <v>23</v>
      </c>
      <c r="D239" s="18">
        <v>3</v>
      </c>
      <c r="E239" s="18">
        <v>12</v>
      </c>
      <c r="F239" s="18" t="s">
        <v>418</v>
      </c>
      <c r="G239" s="18" t="s">
        <v>419</v>
      </c>
      <c r="H239" s="18">
        <v>1518</v>
      </c>
      <c r="I239" s="18">
        <v>0.15</v>
      </c>
      <c r="J239" s="18">
        <v>0.12</v>
      </c>
      <c r="K239" s="18">
        <v>0.75</v>
      </c>
      <c r="L239" s="18">
        <v>1.2E-2</v>
      </c>
      <c r="M239" s="18">
        <v>3.0000000000000001E-3</v>
      </c>
      <c r="P239" s="18">
        <v>0.02</v>
      </c>
      <c r="Q239" s="18">
        <v>2.5000000000000001E-2</v>
      </c>
      <c r="Z239" s="18">
        <v>40</v>
      </c>
      <c r="AA239" s="53"/>
      <c r="AB239" s="42">
        <f>IF(J239&lt;=0.04,0,IF((BA239-AL239*BF$4*炼钢参数表!$X$5/1000-AM239*BG$4*炼钢参数表!$X$5/1000)&lt;=0.03,0,IF((J239/100/0.1769/炼钢参数表!K239*1000)&gt;(K239-炼钢参数表!J239)/100/0.6566/炼钢参数表!L239*1000,IF(K239&lt;1.6,(K239-炼钢参数表!J239)/100/0.6566/炼钢参数表!L239*1000,(K239-0.08-炼钢参数表!J239)/100/0.6566/炼钢参数表!L239*1000),IF(K239&lt;1.6,J239/100/0.1769/炼钢参数表!K239*1000,(J239-0.08)/100/0.1769/炼钢参数表!K239*1000))))</f>
        <v>8.47936687394008</v>
      </c>
      <c r="AC239" s="8">
        <f>IF((BA239-AB239*$BB$4*0.9/1000-AL239*BF$4*炼钢参数表!$X$5/1000-AM239*BG$4*炼钢参数表!$X$5/1000)&lt;(K239-炼钢参数表!J239-AB239*0.6566*炼钢参数表!L239/10)*0.082,0,(K239-炼钢参数表!J239-AB239*0.6566*炼钢参数表!L239/10)/100/($AC$3/100)/炼钢参数表!L239*1000)</f>
        <v>1.2088947261031999</v>
      </c>
      <c r="AD239" s="8">
        <f>IF((BA239-AB239*$BB$4*0.9/1000-AC239*$BC$4*0.9/1000-AL239*BF$4*炼钢参数表!$X$5/1000-AM239*BG$4*炼钢参数表!$X$5/1000)&lt;=(K239-炼钢参数表!J239-AB239*0.6566*炼钢参数表!L239/10-AC239*($AC$3/100)*炼钢参数表!L239/10)*0.02,0,((K239-炼钢参数表!J239-AB239*0.6566*炼钢参数表!L239/10-AC239*($AC$3/100)*炼钢参数表!L239/10)/100/($AD$3/100)/炼钢参数表!L239*1000))</f>
        <v>0</v>
      </c>
      <c r="AE239" s="8">
        <f>(K239-炼钢参数表!J239-AB239*0.6566*炼钢参数表!L239/10-AC239*($AC$3/100)*炼钢参数表!L239/10-AD239*($AD$3/100)*炼钢参数表!L239/10)/100/($AE$3/100)/炼钢参数表!L239*1000</f>
        <v>0</v>
      </c>
      <c r="AF239" s="8">
        <v>0</v>
      </c>
      <c r="AG239" s="8">
        <f>IF(J239&lt;=0.04,0,((J239-(AB239*0.1769*炼钢参数表!K239/1000*100))/100/炼钢参数表!K239/($AG$3/100)*1000))</f>
        <v>0</v>
      </c>
      <c r="AH239" s="8">
        <v>1.33</v>
      </c>
      <c r="AI239" s="8">
        <f>IF(N239="",0,IF(N239&lt;=0.002,0,((N239)/100)/($AI$3/100)/炼钢参数表!M239*1000))</f>
        <v>0</v>
      </c>
      <c r="AJ239" s="8">
        <f>IF(O239="",0,IF(O239&lt;=0.002,0,((O239)/100)/($AJ$3/100)/炼钢参数表!N239*1000))</f>
        <v>0</v>
      </c>
      <c r="AK239" s="8">
        <f>IF(P239="",0,IF(P239&lt;=0.002,0,((P239+0.005)/100)/($AK$3/100)/炼钢参数表!O239*1000))</f>
        <v>0.49894224244601398</v>
      </c>
      <c r="AL239" s="8">
        <f>IF((BA239-J239*0.00003-K239*0.00024)&lt;=0.05,0,IF(T239="",0,IF(T239&lt;=0.03,0,IF(((BA239-J239*0.00003-K239*0.00024)-0.05)/0.18/100/($AL$3/100)/炼钢参数表!P239*1000&lt;=T239/100/($AL$3/100)/炼钢参数表!P239*1000,((BA239-J239*0.00003-K239*0.00024)-0.05)/0.18/100/($AL$3/100)/炼钢参数表!P239*1000,T239/100/($AL$3/100)/炼钢参数表!P239*1000))))</f>
        <v>0</v>
      </c>
      <c r="AM239" s="8">
        <f>IF(T239="",0,IF(T239&lt;=0.03,0,((T239-AL239*($AL$3/100)*炼钢参数表!P239/10)/100/($AM$3/100)/炼钢参数表!P239*1000)))</f>
        <v>0</v>
      </c>
      <c r="AN239" s="8">
        <f>IF(U239="",0,IF(U239&lt;=0.02,0,(U239/100)/($AN$3/100)/炼钢参数表!Q239*1000))</f>
        <v>0</v>
      </c>
      <c r="AO239" s="8">
        <f>IF(V239="",0,IF(V239&lt;=0.02,0,(V239/100)/($AO$3/100)/炼钢参数表!R239*1000))</f>
        <v>0</v>
      </c>
      <c r="AP239" s="8">
        <f>IF(W239="",0,IF(W239&lt;=0.02,0,(W239/100)/($AP$3/100)/炼钢参数表!S239*1000))</f>
        <v>0</v>
      </c>
      <c r="AQ239" s="8">
        <f>IF(X239="",0,IF(X239&lt;=0.0002,0,(X239/100)/($AQ$3/100)/炼钢参数表!T239*1000))</f>
        <v>0</v>
      </c>
      <c r="AR239" s="8">
        <f>IF(Y239="",0,IF(Y239&lt;=0.02,0,(Y239/100)/($AR$3/100)/炼钢参数表!U239*1000))</f>
        <v>0</v>
      </c>
      <c r="AS239" s="8">
        <f>IF(L239&lt;=0.04,0,((L239-0.04)/100)/($AS$3/100)/炼钢参数表!V239*1000)</f>
        <v>0</v>
      </c>
      <c r="AT239" s="8">
        <f>IF(M239&lt;=0.03,0,((M239-0.03)/100)/($AT$3/100)/炼钢参数表!W239*1000)</f>
        <v>0</v>
      </c>
      <c r="AU239" s="6"/>
      <c r="AV239" s="8">
        <f t="shared" si="35"/>
        <v>11.5172038424893</v>
      </c>
      <c r="AW239" s="8" cm="1">
        <f t="array" ref="AW239">SUMPRODUCT($AB$4:$AU$4,AB239:AU239)/1000</f>
        <v>95.023919390326697</v>
      </c>
      <c r="AY239" s="2" t="str">
        <f t="shared" si="36"/>
        <v>L290M-HZ1</v>
      </c>
      <c r="AZ239" s="37">
        <f>VLOOKUP(AY239,炼钢参数表!$F$5:$J$1027,4,0)</f>
        <v>7.0499999999999993E-2</v>
      </c>
      <c r="BA239" s="37">
        <f t="shared" si="37"/>
        <v>7.9500000000000001E-2</v>
      </c>
      <c r="BB239" s="37">
        <f>AB239*$BB$4*炼钢参数表!$X$5/1000</f>
        <v>1.31260599208592E-2</v>
      </c>
      <c r="BC239" s="37">
        <f>AC239*$BC$4*炼钢参数表!$X$5/1000</f>
        <v>7.2787551458673699E-3</v>
      </c>
      <c r="BD239" s="37">
        <f>AD239*$BD$4*炼钢参数表!$X$5/1000</f>
        <v>0</v>
      </c>
      <c r="BE239" s="37">
        <f>AE239*$BE$4*炼钢参数表!$X$5/1000</f>
        <v>0</v>
      </c>
      <c r="BF239" s="37">
        <f>AL239*$BF$4*炼钢参数表!$X$5/1000</f>
        <v>0</v>
      </c>
      <c r="BG239" s="37">
        <f>AM239*$BG$4*炼钢参数表!$X$5/1000</f>
        <v>0</v>
      </c>
      <c r="BH239" s="37">
        <f t="shared" si="38"/>
        <v>2.04048150667266E-2</v>
      </c>
      <c r="BI239" s="37">
        <f t="shared" si="39"/>
        <v>9.0904815066726596E-2</v>
      </c>
      <c r="BJ239" s="37">
        <f t="shared" si="40"/>
        <v>-5.9095184933273398E-2</v>
      </c>
      <c r="BK239" s="54"/>
      <c r="BL239" s="7"/>
    </row>
    <row r="240" spans="1:64" s="18" customFormat="1" x14ac:dyDescent="0.3">
      <c r="A240" s="21"/>
      <c r="B240" s="18" t="s">
        <v>417</v>
      </c>
      <c r="C240" s="18" t="s">
        <v>26</v>
      </c>
      <c r="D240" s="18">
        <v>12.01</v>
      </c>
      <c r="E240" s="18">
        <v>25.4</v>
      </c>
      <c r="F240" s="18" t="s">
        <v>420</v>
      </c>
      <c r="G240" s="18" t="s">
        <v>419</v>
      </c>
      <c r="H240" s="18">
        <v>1518</v>
      </c>
      <c r="I240" s="18">
        <v>0.15</v>
      </c>
      <c r="J240" s="18">
        <v>0.12</v>
      </c>
      <c r="K240" s="18">
        <v>0.85</v>
      </c>
      <c r="L240" s="18">
        <v>1.2E-2</v>
      </c>
      <c r="M240" s="18">
        <v>3.0000000000000001E-3</v>
      </c>
      <c r="O240" s="18">
        <v>0.01</v>
      </c>
      <c r="P240" s="18">
        <v>0.02</v>
      </c>
      <c r="Q240" s="18">
        <v>2.5000000000000001E-2</v>
      </c>
      <c r="Z240" s="18">
        <v>40</v>
      </c>
      <c r="AA240" s="53"/>
      <c r="AB240" s="42">
        <f>IF(J240&lt;=0.04,0,IF((BA240-AL240*BF$4*炼钢参数表!$X$5/1000-AM240*BG$4*炼钢参数表!$X$5/1000)&lt;=0.03,0,IF((J240/100/0.1769/炼钢参数表!K240*1000)&gt;(K240-炼钢参数表!J240)/100/0.6566/炼钢参数表!L240*1000,IF(K240&lt;1.6,(K240-炼钢参数表!J240)/100/0.6566/炼钢参数表!L240*1000,(K240-0.08-炼钢参数表!J240)/100/0.6566/炼钢参数表!L240*1000),IF(K240&lt;1.6,J240/100/0.1769/炼钢参数表!K240*1000,(J240-0.08)/100/0.1769/炼钢参数表!K240*1000))))</f>
        <v>8.47936687394008</v>
      </c>
      <c r="AC240" s="8">
        <f>IF((BA240-AB240*$BB$4*0.9/1000-AL240*BF$4*炼钢参数表!$X$5/1000-AM240*BG$4*炼钢参数表!$X$5/1000)&lt;(K240-炼钢参数表!J240-AB240*0.6566*炼钢参数表!L240/10)*0.082,0,(K240-炼钢参数表!J240-AB240*0.6566*炼钢参数表!L240/10)/100/($AC$3/100)/炼钢参数表!L240*1000)</f>
        <v>2.5767340870486501</v>
      </c>
      <c r="AD240" s="8">
        <f>IF((BA240-AB240*$BB$4*0.9/1000-AC240*$BC$4*0.9/1000-AL240*BF$4*炼钢参数表!$X$5/1000-AM240*BG$4*炼钢参数表!$X$5/1000)&lt;=(K240-炼钢参数表!J240-AB240*0.6566*炼钢参数表!L240/10-AC240*($AC$3/100)*炼钢参数表!L240/10)*0.02,0,((K240-炼钢参数表!J240-AB240*0.6566*炼钢参数表!L240/10-AC240*($AC$3/100)*炼钢参数表!L240/10)/100/($AD$3/100)/炼钢参数表!L240*1000))</f>
        <v>0</v>
      </c>
      <c r="AE240" s="8">
        <f>(K240-炼钢参数表!J240-AB240*0.6566*炼钢参数表!L240/10-AC240*($AC$3/100)*炼钢参数表!L240/10-AD240*($AD$3/100)*炼钢参数表!L240/10)/100/($AE$3/100)/炼钢参数表!L240*1000</f>
        <v>0</v>
      </c>
      <c r="AF240" s="8">
        <v>0</v>
      </c>
      <c r="AG240" s="8">
        <f>IF(J240&lt;=0.04,0,((J240-(AB240*0.1769*炼钢参数表!K240/1000*100))/100/炼钢参数表!K240/($AG$3/100)*1000))</f>
        <v>0</v>
      </c>
      <c r="AH240" s="8">
        <v>1.33</v>
      </c>
      <c r="AI240" s="8">
        <f>IF(N240="",0,IF(N240&lt;=0.002,0,((N240)/100)/($AI$3/100)/炼钢参数表!M240*1000))</f>
        <v>0</v>
      </c>
      <c r="AJ240" s="8">
        <f>IF(O240="",0,IF(O240&lt;=0.002,0,((O240)/100)/($AJ$3/100)/炼钢参数表!N240*1000))</f>
        <v>0.15688932399528099</v>
      </c>
      <c r="AK240" s="8">
        <f>IF(P240="",0,IF(P240&lt;=0.002,0,((P240+0.005)/100)/($AK$3/100)/炼钢参数表!O240*1000))</f>
        <v>0.49894224244601398</v>
      </c>
      <c r="AL240" s="8">
        <f>IF((BA240-J240*0.00003-K240*0.00024)&lt;=0.05,0,IF(T240="",0,IF(T240&lt;=0.03,0,IF(((BA240-J240*0.00003-K240*0.00024)-0.05)/0.18/100/($AL$3/100)/炼钢参数表!P240*1000&lt;=T240/100/($AL$3/100)/炼钢参数表!P240*1000,((BA240-J240*0.00003-K240*0.00024)-0.05)/0.18/100/($AL$3/100)/炼钢参数表!P240*1000,T240/100/($AL$3/100)/炼钢参数表!P240*1000))))</f>
        <v>0</v>
      </c>
      <c r="AM240" s="8">
        <f>IF(T240="",0,IF(T240&lt;=0.03,0,((T240-AL240*($AL$3/100)*炼钢参数表!P240/10)/100/($AM$3/100)/炼钢参数表!P240*1000)))</f>
        <v>0</v>
      </c>
      <c r="AN240" s="8">
        <f>IF(U240="",0,IF(U240&lt;=0.02,0,(U240/100)/($AN$3/100)/炼钢参数表!Q240*1000))</f>
        <v>0</v>
      </c>
      <c r="AO240" s="8">
        <f>IF(V240="",0,IF(V240&lt;=0.02,0,(V240/100)/($AO$3/100)/炼钢参数表!R240*1000))</f>
        <v>0</v>
      </c>
      <c r="AP240" s="8">
        <f>IF(W240="",0,IF(W240&lt;=0.02,0,(W240/100)/($AP$3/100)/炼钢参数表!S240*1000))</f>
        <v>0</v>
      </c>
      <c r="AQ240" s="8">
        <f>IF(X240="",0,IF(X240&lt;=0.0002,0,(X240/100)/($AQ$3/100)/炼钢参数表!T240*1000))</f>
        <v>0</v>
      </c>
      <c r="AR240" s="8">
        <f>IF(Y240="",0,IF(Y240&lt;=0.02,0,(Y240/100)/($AR$3/100)/炼钢参数表!U240*1000))</f>
        <v>0</v>
      </c>
      <c r="AS240" s="8">
        <f>IF(L240&lt;=0.04,0,((L240-0.04)/100)/($AS$3/100)/炼钢参数表!V240*1000)</f>
        <v>0</v>
      </c>
      <c r="AT240" s="8">
        <f>IF(M240&lt;=0.03,0,((M240-0.03)/100)/($AT$3/100)/炼钢参数表!W240*1000)</f>
        <v>0</v>
      </c>
      <c r="AU240" s="6"/>
      <c r="AV240" s="8">
        <f t="shared" si="35"/>
        <v>13.041932527429999</v>
      </c>
      <c r="AW240" s="8" cm="1">
        <f t="array" ref="AW240">SUMPRODUCT($AB$4:$AU$4,AB240:AU240)/1000</f>
        <v>137.08169112714901</v>
      </c>
      <c r="AY240" s="2" t="str">
        <f t="shared" si="36"/>
        <v>L290M-HZ2</v>
      </c>
      <c r="AZ240" s="37">
        <f>VLOOKUP(AY240,炼钢参数表!$F$5:$J$1027,4,0)</f>
        <v>7.0499999999999993E-2</v>
      </c>
      <c r="BA240" s="37">
        <f t="shared" si="37"/>
        <v>7.9500000000000001E-2</v>
      </c>
      <c r="BB240" s="37">
        <f>AB240*$BB$4*炼钢参数表!$X$5/1000</f>
        <v>1.31260599208592E-2</v>
      </c>
      <c r="BC240" s="37">
        <f>AC240*$BC$4*炼钢参数表!$X$5/1000</f>
        <v>1.5514515938119901E-2</v>
      </c>
      <c r="BD240" s="37">
        <f>AD240*$BD$4*炼钢参数表!$X$5/1000</f>
        <v>0</v>
      </c>
      <c r="BE240" s="37">
        <f>AE240*$BE$4*炼钢参数表!$X$5/1000</f>
        <v>0</v>
      </c>
      <c r="BF240" s="37">
        <f>AL240*$BF$4*炼钢参数表!$X$5/1000</f>
        <v>0</v>
      </c>
      <c r="BG240" s="37">
        <f>AM240*$BG$4*炼钢参数表!$X$5/1000</f>
        <v>0</v>
      </c>
      <c r="BH240" s="37">
        <f t="shared" si="38"/>
        <v>2.8640575858979202E-2</v>
      </c>
      <c r="BI240" s="37">
        <f t="shared" si="39"/>
        <v>9.9140575858979105E-2</v>
      </c>
      <c r="BJ240" s="37">
        <f t="shared" si="40"/>
        <v>-5.08594241410208E-2</v>
      </c>
      <c r="BK240" s="54"/>
      <c r="BL240" s="7"/>
    </row>
    <row r="241" spans="1:65" s="18" customFormat="1" x14ac:dyDescent="0.3">
      <c r="A241" s="21">
        <v>233</v>
      </c>
      <c r="B241" s="4" t="s">
        <v>421</v>
      </c>
      <c r="C241" s="4" t="s">
        <v>23</v>
      </c>
      <c r="D241" s="4">
        <v>4</v>
      </c>
      <c r="E241" s="4">
        <v>25.4</v>
      </c>
      <c r="F241" s="4" t="s">
        <v>421</v>
      </c>
      <c r="G241" s="50" t="s">
        <v>422</v>
      </c>
      <c r="H241" s="4">
        <v>1521</v>
      </c>
      <c r="I241" s="51">
        <v>7.0000000000000007E-2</v>
      </c>
      <c r="J241" s="52">
        <v>0.2</v>
      </c>
      <c r="K241" s="52">
        <v>1.25</v>
      </c>
      <c r="L241" s="51">
        <v>1.4999999999999999E-2</v>
      </c>
      <c r="M241" s="51">
        <v>5.0000000000000001E-3</v>
      </c>
      <c r="N241" s="51" t="s">
        <v>631</v>
      </c>
      <c r="O241" s="51">
        <v>0.03</v>
      </c>
      <c r="P241" s="51">
        <v>2.5000000000000001E-2</v>
      </c>
      <c r="Q241" s="51">
        <v>0.02</v>
      </c>
      <c r="R241" s="51" t="s">
        <v>631</v>
      </c>
      <c r="S241" s="32"/>
      <c r="T241" s="52"/>
      <c r="U241" s="52"/>
      <c r="V241" s="52"/>
      <c r="W241" s="52"/>
      <c r="X241" s="32"/>
      <c r="Y241" s="53" t="s">
        <v>631</v>
      </c>
      <c r="Z241" s="4">
        <v>50</v>
      </c>
      <c r="AA241" s="53"/>
      <c r="AB241" s="42">
        <f>IF(J241&lt;=0.04,0,IF((BA241-AL241*BF$4*炼钢参数表!$X$5/1000-AM241*BG$4*炼钢参数表!$X$5/1000)&lt;=0.03,0,IF((J241/100/0.1769/炼钢参数表!K241*1000)&gt;(K241-炼钢参数表!J241)/100/0.6566/炼钢参数表!L241*1000,IF(K241&lt;1.6,(K241-炼钢参数表!J241)/100/0.6566/炼钢参数表!L241*1000,(K241-0.08-炼钢参数表!J241)/100/0.6566/炼钢参数表!L241*1000),IF(K241&lt;1.6,J241/100/0.1769/炼钢参数表!K241*1000,(J241-0.08)/100/0.1769/炼钢参数表!K241*1000))))</f>
        <v>0</v>
      </c>
      <c r="AC241" s="8">
        <f>IF((BA241-AB241*$BB$4*0.9/1000-AL241*BF$4*炼钢参数表!$X$5/1000-AM241*BG$4*炼钢参数表!$X$5/1000)&lt;(K241-炼钢参数表!J241-AB241*0.6566*炼钢参数表!L241/10)*0.082,0,(K241-炼钢参数表!J241-AB241*0.6566*炼钢参数表!L241/10)/100/($AC$3/100)/炼钢参数表!L241*1000)</f>
        <v>0</v>
      </c>
      <c r="AD241" s="8">
        <f>IF((BA241-AB241*$BB$4*0.9/1000-AC241*$BC$4*0.9/1000-AL241*BF$4*炼钢参数表!$X$5/1000-AM241*BG$4*炼钢参数表!$X$5/1000)&lt;=(K241-炼钢参数表!J241-AB241*0.6566*炼钢参数表!L241/10-AC241*($AC$3/100)*炼钢参数表!L241/10)*0.02,0,((K241-炼钢参数表!J241-AB241*0.6566*炼钢参数表!L241/10-AC241*($AC$3/100)*炼钢参数表!L241/10)/100/($AD$3/100)/炼钢参数表!L241*1000))</f>
        <v>14.877464352099601</v>
      </c>
      <c r="AE241" s="8">
        <f>(K241-炼钢参数表!J241-AB241*0.6566*炼钢参数表!L241/10-AC241*($AC$3/100)*炼钢参数表!L241/10-AD241*($AD$3/100)*炼钢参数表!L241/10)/100/($AE$3/100)/炼钢参数表!L241*1000</f>
        <v>0</v>
      </c>
      <c r="AF241" s="8">
        <v>0</v>
      </c>
      <c r="AG241" s="8">
        <f>IF(J241&lt;=0.04,0,((J241-(AB241*0.1769*炼钢参数表!K241/1000*100))/100/炼钢参数表!K241/($AG$3/100)*1000))</f>
        <v>3.4611657206147002</v>
      </c>
      <c r="AH241" s="8">
        <v>2</v>
      </c>
      <c r="AI241" s="8">
        <f>IF(N241="",0,IF(N241&lt;=0.002,0,((N241)/100)/($AI$3/100)/炼钢参数表!M241*1000))</f>
        <v>0</v>
      </c>
      <c r="AJ241" s="8">
        <f>IF(O241="",0,IF(O241&lt;=0.002,0,((O241)/100)/($AJ$3/100)/炼钢参数表!N241*1000))</f>
        <v>0.47066797198584198</v>
      </c>
      <c r="AK241" s="8">
        <f>IF(P241="",0,IF(P241&lt;=0.002,0,((P241+0.005)/100)/($AK$3/100)/炼钢参数表!O241*1000))</f>
        <v>0.59873069093521702</v>
      </c>
      <c r="AL241" s="8">
        <f>IF((BA241-J241*0.00003-K241*0.00024)&lt;=0.05,0,IF(T241="",0,IF(T241&lt;=0.03,0,IF(((BA241-J241*0.00003-K241*0.00024)-0.05)/0.18/100/($AL$3/100)/炼钢参数表!P241*1000&lt;=T241/100/($AL$3/100)/炼钢参数表!P241*1000,((BA241-J241*0.00003-K241*0.00024)-0.05)/0.18/100/($AL$3/100)/炼钢参数表!P241*1000,T241/100/($AL$3/100)/炼钢参数表!P241*1000))))</f>
        <v>0</v>
      </c>
      <c r="AM241" s="8">
        <f>IF(T241="",0,IF(T241&lt;=0.03,0,((T241-AL241*($AL$3/100)*炼钢参数表!P241/10)/100/($AM$3/100)/炼钢参数表!P241*1000)))</f>
        <v>0</v>
      </c>
      <c r="AN241" s="8">
        <f>IF(U241="",0,IF(U241&lt;=0.02,0,(U241/100)/($AN$3/100)/炼钢参数表!Q241*1000))</f>
        <v>0</v>
      </c>
      <c r="AO241" s="8">
        <f>IF(V241="",0,IF(V241&lt;=0.02,0,(V241/100)/($AO$3/100)/炼钢参数表!R241*1000))</f>
        <v>0</v>
      </c>
      <c r="AP241" s="8">
        <f>IF(W241="",0,IF(W241&lt;=0.02,0,(W241/100)/($AP$3/100)/炼钢参数表!S241*1000))</f>
        <v>0</v>
      </c>
      <c r="AQ241" s="8">
        <f>IF(X241="",0,IF(X241&lt;=0.0002,0,(X241/100)/($AQ$3/100)/炼钢参数表!T241*1000))</f>
        <v>0</v>
      </c>
      <c r="AR241" s="8">
        <f>IF(Y241="",0,IF(Y241&lt;=0.02,0,(Y241/100)/($AR$3/100)/炼钢参数表!U241*1000))</f>
        <v>0</v>
      </c>
      <c r="AS241" s="8">
        <f>IF(L241&lt;=0.04,0,((L241-0.04)/100)/($AS$3/100)/炼钢参数表!V241*1000)</f>
        <v>0</v>
      </c>
      <c r="AT241" s="8">
        <f>IF(M241&lt;=0.03,0,((M241-0.03)/100)/($AT$3/100)/炼钢参数表!W241*1000)</f>
        <v>0</v>
      </c>
      <c r="AU241" s="6"/>
      <c r="AV241" s="8">
        <f t="shared" ref="AV241:AV269" si="41">SUM(AB241:AU241)</f>
        <v>21.408028735635298</v>
      </c>
      <c r="AW241" s="8" cm="1">
        <f t="array" ref="AW241">SUMPRODUCT($AB$4:$AU$4,AB241:AU241)/1000</f>
        <v>293.41006611848201</v>
      </c>
      <c r="AY241" s="2" t="str">
        <f t="shared" ref="AY241:AY251" si="42">F241</f>
        <v>L360</v>
      </c>
      <c r="AZ241" s="37">
        <f>VLOOKUP(AY241,炼钢参数表!$F$5:$J$1027,4,0)</f>
        <v>4.2230240549828199E-2</v>
      </c>
      <c r="BA241" s="37">
        <f t="shared" ref="BA241:BA251" si="43">I241-AZ241</f>
        <v>2.7769759450171801E-2</v>
      </c>
      <c r="BB241" s="37">
        <f>AB241*$BB$4*炼钢参数表!$X$5/1000</f>
        <v>0</v>
      </c>
      <c r="BC241" s="37">
        <f>AC241*$BC$4*炼钢参数表!$X$5/1000</f>
        <v>0</v>
      </c>
      <c r="BD241" s="37">
        <f>AD241*$BD$4*炼钢参数表!$X$5/1000</f>
        <v>2.0084576875334399E-2</v>
      </c>
      <c r="BE241" s="37">
        <f>AE241*$BE$4*炼钢参数表!$X$5/1000</f>
        <v>0</v>
      </c>
      <c r="BF241" s="37">
        <f>AL241*$BF$4*炼钢参数表!$X$5/1000</f>
        <v>0</v>
      </c>
      <c r="BG241" s="37">
        <f>AM241*$BG$4*炼钢参数表!$X$5/1000</f>
        <v>0</v>
      </c>
      <c r="BH241" s="37">
        <f t="shared" ref="BH241:BH251" si="44">SUM(BB241:BG241)</f>
        <v>2.0084576875334399E-2</v>
      </c>
      <c r="BI241" s="37">
        <f t="shared" ref="BI241:BI251" si="45">AZ241+BH241</f>
        <v>6.2314817425162601E-2</v>
      </c>
      <c r="BJ241" s="37">
        <f t="shared" ref="BJ241:BJ251" si="46">BI241-I241</f>
        <v>-7.68518257483739E-3</v>
      </c>
      <c r="BK241" s="54"/>
      <c r="BL241" s="7"/>
    </row>
    <row r="242" spans="1:65" s="18" customFormat="1" x14ac:dyDescent="0.3">
      <c r="A242" s="21">
        <v>234</v>
      </c>
      <c r="B242" s="4" t="s">
        <v>423</v>
      </c>
      <c r="C242" s="4" t="s">
        <v>23</v>
      </c>
      <c r="D242" s="4">
        <v>4</v>
      </c>
      <c r="E242" s="4">
        <v>25.4</v>
      </c>
      <c r="F242" s="4" t="s">
        <v>423</v>
      </c>
      <c r="G242" s="4" t="s">
        <v>424</v>
      </c>
      <c r="H242" s="4">
        <v>1521</v>
      </c>
      <c r="I242" s="4">
        <v>7.0000000000000007E-2</v>
      </c>
      <c r="J242" s="4">
        <v>0.2</v>
      </c>
      <c r="K242" s="4">
        <v>1.25</v>
      </c>
      <c r="L242" s="4">
        <v>1.2E-2</v>
      </c>
      <c r="M242" s="4">
        <v>3.0000000000000001E-3</v>
      </c>
      <c r="N242" s="4" t="s">
        <v>631</v>
      </c>
      <c r="O242" s="4">
        <v>0.03</v>
      </c>
      <c r="P242" s="4">
        <v>2.5000000000000001E-2</v>
      </c>
      <c r="Q242" s="4">
        <v>0.02</v>
      </c>
      <c r="R242" s="4" t="s">
        <v>631</v>
      </c>
      <c r="S242" s="4">
        <v>0</v>
      </c>
      <c r="T242" s="4">
        <v>0</v>
      </c>
      <c r="U242" s="4">
        <v>0</v>
      </c>
      <c r="V242" s="4">
        <v>0</v>
      </c>
      <c r="W242" s="4"/>
      <c r="X242" s="4">
        <v>0</v>
      </c>
      <c r="Y242" s="4"/>
      <c r="Z242" s="4"/>
      <c r="AA242" s="53"/>
      <c r="AB242" s="42">
        <f>IF(J242&lt;=0.04,0,IF((BA242-AL242*BF$4*炼钢参数表!$X$5/1000-AM242*BG$4*炼钢参数表!$X$5/1000)&lt;=0.03,0,IF((J242/100/0.1769/炼钢参数表!K242*1000)&gt;(K242-炼钢参数表!J242)/100/0.6566/炼钢参数表!L242*1000,IF(K242&lt;1.6,(K242-炼钢参数表!J242)/100/0.6566/炼钢参数表!L242*1000,(K242-0.08-炼钢参数表!J242)/100/0.6566/炼钢参数表!L242*1000),IF(K242&lt;1.6,J242/100/0.1769/炼钢参数表!K242*1000,(J242-0.08)/100/0.1769/炼钢参数表!K242*1000))))</f>
        <v>0</v>
      </c>
      <c r="AC242" s="8">
        <f>IF((BA242-AB242*$BB$4*0.9/1000-AL242*BF$4*炼钢参数表!$X$5/1000-AM242*BG$4*炼钢参数表!$X$5/1000)&lt;(K242-炼钢参数表!J242-AB242*0.6566*炼钢参数表!L242/10)*0.082,0,(K242-炼钢参数表!J242-AB242*0.6566*炼钢参数表!L242/10)/100/($AC$3/100)/炼钢参数表!L242*1000)</f>
        <v>0</v>
      </c>
      <c r="AD242" s="8">
        <f>IF((BA242-AB242*$BB$4*0.9/1000-AC242*$BC$4*0.9/1000-AL242*BF$4*炼钢参数表!$X$5/1000-AM242*BG$4*炼钢参数表!$X$5/1000)&lt;=(K242-炼钢参数表!J242-AB242*0.6566*炼钢参数表!L242/10-AC242*($AC$3/100)*炼钢参数表!L242/10)*0.02,0,((K242-炼钢参数表!J242-AB242*0.6566*炼钢参数表!L242/10-AC242*($AC$3/100)*炼钢参数表!L242/10)/100/($AD$3/100)/炼钢参数表!L242*1000))</f>
        <v>14.877464352099601</v>
      </c>
      <c r="AE242" s="8">
        <f>(K242-炼钢参数表!J242-AB242*0.6566*炼钢参数表!L242/10-AC242*($AC$3/100)*炼钢参数表!L242/10-AD242*($AD$3/100)*炼钢参数表!L242/10)/100/($AE$3/100)/炼钢参数表!L242*1000</f>
        <v>0</v>
      </c>
      <c r="AF242" s="8">
        <v>0</v>
      </c>
      <c r="AG242" s="8">
        <f>IF(J242&lt;=0.04,0,((J242-(AB242*0.1769*炼钢参数表!K242/1000*100))/100/炼钢参数表!K242/($AG$3/100)*1000))</f>
        <v>3.4611657206147002</v>
      </c>
      <c r="AH242" s="8">
        <v>2</v>
      </c>
      <c r="AI242" s="8">
        <f>IF(N242="",0,IF(N242&lt;=0.002,0,((N242)/100)/($AI$3/100)/炼钢参数表!M242*1000))</f>
        <v>0</v>
      </c>
      <c r="AJ242" s="8">
        <f>IF(O242="",0,IF(O242&lt;=0.002,0,((O242)/100)/($AJ$3/100)/炼钢参数表!N242*1000))</f>
        <v>0.47066797198584198</v>
      </c>
      <c r="AK242" s="8">
        <f>IF(P242="",0,IF(P242&lt;=0.002,0,((P242+0.005)/100)/($AK$3/100)/炼钢参数表!O242*1000))</f>
        <v>0.59873069093521702</v>
      </c>
      <c r="AL242" s="8">
        <f>IF((BA242-J242*0.00003-K242*0.00024)&lt;=0.05,0,IF(T242="",0,IF(T242&lt;=0.03,0,IF(((BA242-J242*0.00003-K242*0.00024)-0.05)/0.18/100/($AL$3/100)/炼钢参数表!P242*1000&lt;=T242/100/($AL$3/100)/炼钢参数表!P242*1000,((BA242-J242*0.00003-K242*0.00024)-0.05)/0.18/100/($AL$3/100)/炼钢参数表!P242*1000,T242/100/($AL$3/100)/炼钢参数表!P242*1000))))</f>
        <v>0</v>
      </c>
      <c r="AM242" s="8">
        <f>IF(T242="",0,IF(T242&lt;=0.03,0,((T242-AL242*($AL$3/100)*炼钢参数表!P242/10)/100/($AM$3/100)/炼钢参数表!P242*1000)))</f>
        <v>0</v>
      </c>
      <c r="AN242" s="8">
        <f>IF(U242="",0,IF(U242&lt;=0.02,0,(U242/100)/($AN$3/100)/炼钢参数表!Q242*1000))</f>
        <v>0</v>
      </c>
      <c r="AO242" s="8">
        <f>IF(V242="",0,IF(V242&lt;=0.02,0,(V242/100)/($AO$3/100)/炼钢参数表!R242*1000))</f>
        <v>0</v>
      </c>
      <c r="AP242" s="8">
        <f>IF(W242="",0,IF(W242&lt;=0.02,0,(W242/100)/($AP$3/100)/炼钢参数表!S242*1000))</f>
        <v>0</v>
      </c>
      <c r="AQ242" s="8">
        <f>IF(X242="",0,IF(X242&lt;=0.0002,0,(X242/100)/($AQ$3/100)/炼钢参数表!T242*1000))</f>
        <v>0</v>
      </c>
      <c r="AR242" s="8">
        <f>IF(Y242="",0,IF(Y242&lt;=0.02,0,(Y242/100)/($AR$3/100)/炼钢参数表!U242*1000))</f>
        <v>0</v>
      </c>
      <c r="AS242" s="8">
        <f>IF(L242&lt;=0.04,0,((L242-0.04)/100)/($AS$3/100)/炼钢参数表!V242*1000)</f>
        <v>0</v>
      </c>
      <c r="AT242" s="8">
        <f>IF(M242&lt;=0.03,0,((M242-0.03)/100)/($AT$3/100)/炼钢参数表!W242*1000)</f>
        <v>0</v>
      </c>
      <c r="AU242" s="6"/>
      <c r="AV242" s="8">
        <f t="shared" si="41"/>
        <v>21.408028735635298</v>
      </c>
      <c r="AW242" s="8" cm="1">
        <f t="array" ref="AW242">SUMPRODUCT($AB$4:$AU$4,AB242:AU242)/1000</f>
        <v>293.41006611848201</v>
      </c>
      <c r="AY242" s="2" t="str">
        <f t="shared" si="42"/>
        <v>L360M</v>
      </c>
      <c r="AZ242" s="37">
        <f>VLOOKUP(AY242,炼钢参数表!$F$5:$J$1027,4,0)</f>
        <v>4.2230240549828199E-2</v>
      </c>
      <c r="BA242" s="37">
        <f t="shared" si="43"/>
        <v>2.7769759450171801E-2</v>
      </c>
      <c r="BB242" s="37">
        <f>AB242*$BB$4*炼钢参数表!$X$5/1000</f>
        <v>0</v>
      </c>
      <c r="BC242" s="37">
        <f>AC242*$BC$4*炼钢参数表!$X$5/1000</f>
        <v>0</v>
      </c>
      <c r="BD242" s="37">
        <f>AD242*$BD$4*炼钢参数表!$X$5/1000</f>
        <v>2.0084576875334399E-2</v>
      </c>
      <c r="BE242" s="37">
        <f>AE242*$BE$4*炼钢参数表!$X$5/1000</f>
        <v>0</v>
      </c>
      <c r="BF242" s="37">
        <f>AL242*$BF$4*炼钢参数表!$X$5/1000</f>
        <v>0</v>
      </c>
      <c r="BG242" s="37">
        <f>AM242*$BG$4*炼钢参数表!$X$5/1000</f>
        <v>0</v>
      </c>
      <c r="BH242" s="37">
        <f t="shared" si="44"/>
        <v>2.0084576875334399E-2</v>
      </c>
      <c r="BI242" s="37">
        <f t="shared" si="45"/>
        <v>6.2314817425162601E-2</v>
      </c>
      <c r="BJ242" s="37">
        <f t="shared" si="46"/>
        <v>-7.68518257483739E-3</v>
      </c>
      <c r="BK242" s="54"/>
      <c r="BL242" s="7"/>
    </row>
    <row r="243" spans="1:65" s="18" customFormat="1" x14ac:dyDescent="0.3">
      <c r="A243" s="21">
        <v>235</v>
      </c>
      <c r="B243" s="4" t="s">
        <v>425</v>
      </c>
      <c r="C243" s="4" t="s">
        <v>23</v>
      </c>
      <c r="D243" s="4">
        <v>6</v>
      </c>
      <c r="E243" s="4">
        <v>16</v>
      </c>
      <c r="F243" s="4" t="s">
        <v>426</v>
      </c>
      <c r="G243" s="50" t="s">
        <v>427</v>
      </c>
      <c r="H243" s="4">
        <v>1518</v>
      </c>
      <c r="I243" s="51">
        <v>0.08</v>
      </c>
      <c r="J243" s="52">
        <v>0.23</v>
      </c>
      <c r="K243" s="52">
        <v>1.4</v>
      </c>
      <c r="L243" s="51">
        <v>1.4999999999999999E-2</v>
      </c>
      <c r="M243" s="51">
        <v>5.0000000000000001E-3</v>
      </c>
      <c r="N243" s="51" t="s">
        <v>631</v>
      </c>
      <c r="O243" s="51">
        <v>2.5000000000000001E-2</v>
      </c>
      <c r="P243" s="51">
        <v>4.4999999999999998E-2</v>
      </c>
      <c r="Q243" s="51">
        <v>2.5000000000000001E-2</v>
      </c>
      <c r="R243" s="51" t="s">
        <v>631</v>
      </c>
      <c r="S243" s="32" t="s">
        <v>631</v>
      </c>
      <c r="T243" s="52"/>
      <c r="U243" s="52"/>
      <c r="V243" s="52"/>
      <c r="W243" s="52"/>
      <c r="X243" s="32"/>
      <c r="Y243" s="53" t="s">
        <v>631</v>
      </c>
      <c r="Z243" s="4">
        <v>40</v>
      </c>
      <c r="AA243" s="53"/>
      <c r="AB243" s="42">
        <f>IF(J243&lt;=0.04,0,IF((BA243-AL243*BF$4*炼钢参数表!$X$5/1000-AM243*BG$4*炼钢参数表!$X$5/1000)&lt;=0.03,0,IF((J243/100/0.1769/炼钢参数表!K243*1000)&gt;(K243-炼钢参数表!J243)/100/0.6566/炼钢参数表!L243*1000,IF(K243&lt;1.6,(K243-炼钢参数表!J243)/100/0.6566/炼钢参数表!L243*1000,(K243-0.08-炼钢参数表!J243)/100/0.6566/炼钢参数表!L243*1000),IF(K243&lt;1.6,J243/100/0.1769/炼钢参数表!K243*1000,(J243-0.08)/100/0.1769/炼钢参数表!K243*1000))))</f>
        <v>16.2521198417185</v>
      </c>
      <c r="AC243" s="8">
        <f>IF((BA243-AB243*$BB$4*0.9/1000-AL243*BF$4*炼钢参数表!$X$5/1000-AM243*BG$4*炼钢参数表!$X$5/1000)&lt;(K243-炼钢参数表!J243-AB243*0.6566*炼钢参数表!L243/10)*0.082,0,(K243-炼钢参数表!J243-AB243*0.6566*炼钢参数表!L243/10)/100/($AC$3/100)/炼钢参数表!L243*1000)</f>
        <v>0</v>
      </c>
      <c r="AD243" s="8">
        <f>IF((BA243-AB243*$BB$4*0.9/1000-AC243*$BC$4*0.9/1000-AL243*BF$4*炼钢参数表!$X$5/1000-AM243*BG$4*炼钢参数表!$X$5/1000)&lt;=(K243-炼钢参数表!J243-AB243*0.6566*炼钢参数表!L243/10-AC243*($AC$3/100)*炼钢参数表!L243/10)*0.02,0,((K243-炼钢参数表!J243-AB243*0.6566*炼钢参数表!L243/10-AC243*($AC$3/100)*炼钢参数表!L243/10)/100/($AD$3/100)/炼钢参数表!L243*1000))</f>
        <v>3.3874341290920098</v>
      </c>
      <c r="AE243" s="8">
        <f>(K243-炼钢参数表!J243-AB243*0.6566*炼钢参数表!L243/10-AC243*($AC$3/100)*炼钢参数表!L243/10-AD243*($AD$3/100)*炼钢参数表!L243/10)/100/($AE$3/100)/炼钢参数表!L243*1000</f>
        <v>0</v>
      </c>
      <c r="AF243" s="8">
        <v>0</v>
      </c>
      <c r="AG243" s="8">
        <f>IF(J243&lt;=0.04,0,((J243-(AB243*0.1769*炼钢参数表!K243/1000*100))/100/炼钢参数表!K243/($AG$3/100)*1000))</f>
        <v>0</v>
      </c>
      <c r="AH243" s="8">
        <v>2</v>
      </c>
      <c r="AI243" s="8">
        <f>IF(N243="",0,IF(N243&lt;=0.002,0,((N243)/100)/($AI$3/100)/炼钢参数表!M243*1000))</f>
        <v>0</v>
      </c>
      <c r="AJ243" s="8">
        <f>IF(O243="",0,IF(O243&lt;=0.002,0,((O243)/100)/($AJ$3/100)/炼钢参数表!N243*1000))</f>
        <v>0.39222330998820198</v>
      </c>
      <c r="AK243" s="8">
        <f>IF(P243="",0,IF(P243&lt;=0.002,0,((P243+0.005)/100)/($AK$3/100)/炼钢参数表!O243*1000))</f>
        <v>0.99788448489202897</v>
      </c>
      <c r="AL243" s="8">
        <f>IF((BA243-J243*0.00003-K243*0.00024)&lt;=0.05,0,IF(T243="",0,IF(T243&lt;=0.03,0,IF(((BA243-J243*0.00003-K243*0.00024)-0.05)/0.18/100/($AL$3/100)/炼钢参数表!P243*1000&lt;=T243/100/($AL$3/100)/炼钢参数表!P243*1000,((BA243-J243*0.00003-K243*0.00024)-0.05)/0.18/100/($AL$3/100)/炼钢参数表!P243*1000,T243/100/($AL$3/100)/炼钢参数表!P243*1000))))</f>
        <v>0</v>
      </c>
      <c r="AM243" s="8">
        <f>IF(T243="",0,IF(T243&lt;=0.03,0,((T243-AL243*($AL$3/100)*炼钢参数表!P243/10)/100/($AM$3/100)/炼钢参数表!P243*1000)))</f>
        <v>0</v>
      </c>
      <c r="AN243" s="8">
        <f>IF(U243="",0,IF(U243&lt;=0.02,0,(U243/100)/($AN$3/100)/炼钢参数表!Q243*1000))</f>
        <v>0</v>
      </c>
      <c r="AO243" s="8">
        <f>IF(V243="",0,IF(V243&lt;=0.02,0,(V243/100)/($AO$3/100)/炼钢参数表!R243*1000))</f>
        <v>0</v>
      </c>
      <c r="AP243" s="8">
        <f>IF(W243="",0,IF(W243&lt;=0.02,0,(W243/100)/($AP$3/100)/炼钢参数表!S243*1000))</f>
        <v>0</v>
      </c>
      <c r="AQ243" s="8">
        <f>IF(X243="",0,IF(X243&lt;=0.0002,0,(X243/100)/($AQ$3/100)/炼钢参数表!T243*1000))</f>
        <v>0</v>
      </c>
      <c r="AR243" s="8">
        <f>IF(Y243="",0,IF(Y243&lt;=0.02,0,(Y243/100)/($AR$3/100)/炼钢参数表!U243*1000))</f>
        <v>0</v>
      </c>
      <c r="AS243" s="8">
        <f>IF(L243&lt;=0.04,0,((L243-0.04)/100)/($AS$3/100)/炼钢参数表!V243*1000)</f>
        <v>0</v>
      </c>
      <c r="AT243" s="8">
        <f>IF(M243&lt;=0.03,0,((M243-0.03)/100)/($AT$3/100)/炼钢参数表!W243*1000)</f>
        <v>0</v>
      </c>
      <c r="AU243" s="6"/>
      <c r="AV243" s="8">
        <f t="shared" si="41"/>
        <v>23.029661765690701</v>
      </c>
      <c r="AW243" s="8" cm="1">
        <f t="array" ref="AW243">SUMPRODUCT($AB$4:$AU$4,AB243:AU243)/1000</f>
        <v>267.51906000424299</v>
      </c>
      <c r="AY243" s="2" t="str">
        <f t="shared" si="42"/>
        <v>L485-1</v>
      </c>
      <c r="AZ243" s="37">
        <f>VLOOKUP(AY243,炼钢参数表!$F$5:$J$1027,4,0)</f>
        <v>3.7999999999999999E-2</v>
      </c>
      <c r="BA243" s="37">
        <f t="shared" si="43"/>
        <v>4.2000000000000003E-2</v>
      </c>
      <c r="BB243" s="37">
        <f>AB243*$BB$4*炼钢参数表!$X$5/1000</f>
        <v>2.5158281514980198E-2</v>
      </c>
      <c r="BC243" s="37">
        <f>AC243*$BC$4*炼钢参数表!$X$5/1000</f>
        <v>0</v>
      </c>
      <c r="BD243" s="37">
        <f>AD243*$BD$4*炼钢参数表!$X$5/1000</f>
        <v>4.5730360742742204E-3</v>
      </c>
      <c r="BE243" s="37">
        <f>AE243*$BE$4*炼钢参数表!$X$5/1000</f>
        <v>0</v>
      </c>
      <c r="BF243" s="37">
        <f>AL243*$BF$4*炼钢参数表!$X$5/1000</f>
        <v>0</v>
      </c>
      <c r="BG243" s="37">
        <f>AM243*$BG$4*炼钢参数表!$X$5/1000</f>
        <v>0</v>
      </c>
      <c r="BH243" s="37">
        <f t="shared" si="44"/>
        <v>2.9731317589254399E-2</v>
      </c>
      <c r="BI243" s="37">
        <f t="shared" si="45"/>
        <v>6.7731317589254394E-2</v>
      </c>
      <c r="BJ243" s="37">
        <f t="shared" si="46"/>
        <v>-1.22686824107456E-2</v>
      </c>
      <c r="BK243" s="54"/>
      <c r="BL243" s="7"/>
    </row>
    <row r="244" spans="1:65" s="18" customFormat="1" x14ac:dyDescent="0.3">
      <c r="A244" s="21">
        <v>236</v>
      </c>
      <c r="B244" s="4" t="s">
        <v>425</v>
      </c>
      <c r="C244" s="4" t="s">
        <v>26</v>
      </c>
      <c r="D244" s="4">
        <v>16.010000000000002</v>
      </c>
      <c r="E244" s="4">
        <v>22</v>
      </c>
      <c r="F244" s="4" t="s">
        <v>428</v>
      </c>
      <c r="G244" s="50" t="s">
        <v>427</v>
      </c>
      <c r="H244" s="4">
        <v>1518</v>
      </c>
      <c r="I244" s="51">
        <v>0.08</v>
      </c>
      <c r="J244" s="52">
        <v>0.23</v>
      </c>
      <c r="K244" s="52">
        <v>1.5</v>
      </c>
      <c r="L244" s="51">
        <v>1.4999999999999999E-2</v>
      </c>
      <c r="M244" s="51">
        <v>5.0000000000000001E-3</v>
      </c>
      <c r="N244" s="51" t="s">
        <v>631</v>
      </c>
      <c r="O244" s="51">
        <v>2.5000000000000001E-2</v>
      </c>
      <c r="P244" s="51">
        <v>5.5E-2</v>
      </c>
      <c r="Q244" s="51">
        <v>2.5000000000000001E-2</v>
      </c>
      <c r="R244" s="51" t="s">
        <v>631</v>
      </c>
      <c r="S244" s="32" t="s">
        <v>631</v>
      </c>
      <c r="T244" s="52"/>
      <c r="U244" s="52"/>
      <c r="V244" s="52"/>
      <c r="W244" s="52"/>
      <c r="X244" s="32"/>
      <c r="Y244" s="53" t="s">
        <v>631</v>
      </c>
      <c r="Z244" s="4">
        <v>40</v>
      </c>
      <c r="AA244" s="53"/>
      <c r="AB244" s="42">
        <f>IF(J244&lt;=0.04,0,IF((BA244-AL244*BF$4*炼钢参数表!$X$5/1000-AM244*BG$4*炼钢参数表!$X$5/1000)&lt;=0.03,0,IF((J244/100/0.1769/炼钢参数表!K244*1000)&gt;(K244-炼钢参数表!J244)/100/0.6566/炼钢参数表!L244*1000,IF(K244&lt;1.6,(K244-炼钢参数表!J244)/100/0.6566/炼钢参数表!L244*1000,(K244-0.08-炼钢参数表!J244)/100/0.6566/炼钢参数表!L244*1000),IF(K244&lt;1.6,J244/100/0.1769/炼钢参数表!K244*1000,(J244-0.08)/100/0.1769/炼钢参数表!K244*1000))))</f>
        <v>16.2521198417185</v>
      </c>
      <c r="AC244" s="8">
        <f>IF((BA244-AB244*$BB$4*0.9/1000-AL244*BF$4*炼钢参数表!$X$5/1000-AM244*BG$4*炼钢参数表!$X$5/1000)&lt;(K244-炼钢参数表!J244-AB244*0.6566*炼钢参数表!L244/10)*0.082,0,(K244-炼钢参数表!J244-AB244*0.6566*炼钢参数表!L244/10)/100/($AC$3/100)/炼钢参数表!L244*1000)</f>
        <v>0</v>
      </c>
      <c r="AD244" s="8">
        <f>IF((BA244-AB244*$BB$4*0.9/1000-AC244*$BC$4*0.9/1000-AL244*BF$4*炼钢参数表!$X$5/1000-AM244*BG$4*炼钢参数表!$X$5/1000)&lt;=(K244-炼钢参数表!J244-AB244*0.6566*炼钢参数表!L244/10-AC244*($AC$3/100)*炼钢参数表!L244/10)*0.02,0,((K244-炼钢参数表!J244-AB244*0.6566*炼钢参数表!L244/10-AC244*($AC$3/100)*炼钢参数表!L244/10)/100/($AD$3/100)/炼钢参数表!L244*1000))</f>
        <v>4.6866551161881498</v>
      </c>
      <c r="AE244" s="8">
        <f>(K244-炼钢参数表!J244-AB244*0.6566*炼钢参数表!L244/10-AC244*($AC$3/100)*炼钢参数表!L244/10-AD244*($AD$3/100)*炼钢参数表!L244/10)/100/($AE$3/100)/炼钢参数表!L244*1000</f>
        <v>0</v>
      </c>
      <c r="AF244" s="8">
        <v>0</v>
      </c>
      <c r="AG244" s="8">
        <f>IF(J244&lt;=0.04,0,((J244-(AB244*0.1769*炼钢参数表!K244/1000*100))/100/炼钢参数表!K244/($AG$3/100)*1000))</f>
        <v>0</v>
      </c>
      <c r="AH244" s="8">
        <v>2</v>
      </c>
      <c r="AI244" s="8">
        <f>IF(N244="",0,IF(N244&lt;=0.002,0,((N244)/100)/($AI$3/100)/炼钢参数表!M244*1000))</f>
        <v>0</v>
      </c>
      <c r="AJ244" s="8">
        <f>IF(O244="",0,IF(O244&lt;=0.002,0,((O244)/100)/($AJ$3/100)/炼钢参数表!N244*1000))</f>
        <v>0.39222330998820198</v>
      </c>
      <c r="AK244" s="8">
        <f>IF(P244="",0,IF(P244&lt;=0.002,0,((P244+0.005)/100)/($AK$3/100)/炼钢参数表!O244*1000))</f>
        <v>1.1974613818704301</v>
      </c>
      <c r="AL244" s="8">
        <f>IF((BA244-J244*0.00003-K244*0.00024)&lt;=0.05,0,IF(T244="",0,IF(T244&lt;=0.03,0,IF(((BA244-J244*0.00003-K244*0.00024)-0.05)/0.18/100/($AL$3/100)/炼钢参数表!P244*1000&lt;=T244/100/($AL$3/100)/炼钢参数表!P244*1000,((BA244-J244*0.00003-K244*0.00024)-0.05)/0.18/100/($AL$3/100)/炼钢参数表!P244*1000,T244/100/($AL$3/100)/炼钢参数表!P244*1000))))</f>
        <v>0</v>
      </c>
      <c r="AM244" s="8">
        <f>IF(T244="",0,IF(T244&lt;=0.03,0,((T244-AL244*($AL$3/100)*炼钢参数表!P244/10)/100/($AM$3/100)/炼钢参数表!P244*1000)))</f>
        <v>0</v>
      </c>
      <c r="AN244" s="8">
        <f>IF(U244="",0,IF(U244&lt;=0.02,0,(U244/100)/($AN$3/100)/炼钢参数表!Q244*1000))</f>
        <v>0</v>
      </c>
      <c r="AO244" s="8">
        <f>IF(V244="",0,IF(V244&lt;=0.02,0,(V244/100)/($AO$3/100)/炼钢参数表!R244*1000))</f>
        <v>0</v>
      </c>
      <c r="AP244" s="8">
        <f>IF(W244="",0,IF(W244&lt;=0.02,0,(W244/100)/($AP$3/100)/炼钢参数表!S244*1000))</f>
        <v>0</v>
      </c>
      <c r="AQ244" s="8">
        <f>IF(X244="",0,IF(X244&lt;=0.0002,0,(X244/100)/($AQ$3/100)/炼钢参数表!T244*1000))</f>
        <v>0</v>
      </c>
      <c r="AR244" s="8">
        <f>IF(Y244="",0,IF(Y244&lt;=0.02,0,(Y244/100)/($AR$3/100)/炼钢参数表!U244*1000))</f>
        <v>0</v>
      </c>
      <c r="AS244" s="8">
        <f>IF(L244&lt;=0.04,0,((L244-0.04)/100)/($AS$3/100)/炼钢参数表!V244*1000)</f>
        <v>0</v>
      </c>
      <c r="AT244" s="8">
        <f>IF(M244&lt;=0.03,0,((M244-0.03)/100)/($AT$3/100)/炼钢参数表!W244*1000)</f>
        <v>0</v>
      </c>
      <c r="AU244" s="6"/>
      <c r="AV244" s="8">
        <f t="shared" si="41"/>
        <v>24.528459649765299</v>
      </c>
      <c r="AW244" s="8" cm="1">
        <f t="array" ref="AW244">SUMPRODUCT($AB$4:$AU$4,AB244:AU244)/1000</f>
        <v>282.36612807512603</v>
      </c>
      <c r="AY244" s="2" t="str">
        <f t="shared" si="42"/>
        <v>L485-2</v>
      </c>
      <c r="AZ244" s="37">
        <f>VLOOKUP(AY244,炼钢参数表!$F$5:$J$1027,4,0)</f>
        <v>3.7999999999999999E-2</v>
      </c>
      <c r="BA244" s="37">
        <f t="shared" si="43"/>
        <v>4.2000000000000003E-2</v>
      </c>
      <c r="BB244" s="37">
        <f>AB244*$BB$4*炼钢参数表!$X$5/1000</f>
        <v>2.5158281514980198E-2</v>
      </c>
      <c r="BC244" s="37">
        <f>AC244*$BC$4*炼钢参数表!$X$5/1000</f>
        <v>0</v>
      </c>
      <c r="BD244" s="37">
        <f>AD244*$BD$4*炼钢参数表!$X$5/1000</f>
        <v>6.3269844068540096E-3</v>
      </c>
      <c r="BE244" s="37">
        <f>AE244*$BE$4*炼钢参数表!$X$5/1000</f>
        <v>0</v>
      </c>
      <c r="BF244" s="37">
        <f>AL244*$BF$4*炼钢参数表!$X$5/1000</f>
        <v>0</v>
      </c>
      <c r="BG244" s="37">
        <f>AM244*$BG$4*炼钢参数表!$X$5/1000</f>
        <v>0</v>
      </c>
      <c r="BH244" s="37">
        <f t="shared" si="44"/>
        <v>3.1485265921834198E-2</v>
      </c>
      <c r="BI244" s="37">
        <f t="shared" si="45"/>
        <v>6.9485265921834197E-2</v>
      </c>
      <c r="BJ244" s="37">
        <f t="shared" si="46"/>
        <v>-1.05147340781658E-2</v>
      </c>
      <c r="BK244" s="54"/>
      <c r="BL244" s="7"/>
    </row>
    <row r="245" spans="1:65" s="18" customFormat="1" x14ac:dyDescent="0.3">
      <c r="A245" s="21">
        <v>237</v>
      </c>
      <c r="B245" s="4" t="s">
        <v>429</v>
      </c>
      <c r="C245" s="4" t="s">
        <v>23</v>
      </c>
      <c r="D245" s="4">
        <v>3</v>
      </c>
      <c r="E245" s="4">
        <v>12</v>
      </c>
      <c r="F245" s="4" t="s">
        <v>430</v>
      </c>
      <c r="G245" s="50" t="s">
        <v>431</v>
      </c>
      <c r="H245" s="4">
        <v>1517</v>
      </c>
      <c r="I245" s="51">
        <v>0.15</v>
      </c>
      <c r="J245" s="52">
        <v>0.15</v>
      </c>
      <c r="K245" s="52">
        <v>0.75</v>
      </c>
      <c r="L245" s="51">
        <v>1.4999999999999999E-2</v>
      </c>
      <c r="M245" s="51">
        <v>5.0000000000000001E-3</v>
      </c>
      <c r="N245" s="51"/>
      <c r="O245" s="51"/>
      <c r="P245" s="51">
        <v>2.5000000000000001E-2</v>
      </c>
      <c r="Q245" s="51">
        <v>2.5000000000000001E-2</v>
      </c>
      <c r="R245" s="51" t="s">
        <v>631</v>
      </c>
      <c r="S245" s="32"/>
      <c r="T245" s="52"/>
      <c r="U245" s="52"/>
      <c r="V245" s="52"/>
      <c r="W245" s="52"/>
      <c r="X245" s="32"/>
      <c r="Y245" s="53" t="s">
        <v>631</v>
      </c>
      <c r="Z245" s="4">
        <v>40</v>
      </c>
      <c r="AA245" s="53"/>
      <c r="AB245" s="42">
        <f>IF(J245&lt;=0.04,0,IF((BA245-AL245*BF$4*炼钢参数表!$X$5/1000-AM245*BG$4*炼钢参数表!$X$5/1000)&lt;=0.03,0,IF((J245/100/0.1769/炼钢参数表!K245*1000)&gt;(K245-炼钢参数表!J245)/100/0.6566/炼钢参数表!L245*1000,IF(K245&lt;1.6,(K245-炼钢参数表!J245)/100/0.6566/炼钢参数表!L245*1000,(K245-0.08-炼钢参数表!J245)/100/0.6566/炼钢参数表!L245*1000),IF(K245&lt;1.6,J245/100/0.1769/炼钢参数表!K245*1000,(J245-0.08)/100/0.1769/炼钢参数表!K245*1000))))</f>
        <v>9.8528598158727405</v>
      </c>
      <c r="AC245" s="8">
        <f>IF((BA245-AB245*$BB$4*0.9/1000-AL245*BF$4*炼钢参数表!$X$5/1000-AM245*BG$4*炼钢参数表!$X$5/1000)&lt;(K245-炼钢参数表!J245-AB245*0.6566*炼钢参数表!L245/10)*0.082,0,(K245-炼钢参数表!J245-AB245*0.6566*炼钢参数表!L245/10)/100/($AC$3/100)/炼钢参数表!L245*1000)</f>
        <v>0</v>
      </c>
      <c r="AD245" s="8">
        <f>IF((BA245-AB245*$BB$4*0.9/1000-AC245*$BC$4*0.9/1000-AL245*BF$4*炼钢参数表!$X$5/1000-AM245*BG$4*炼钢参数表!$X$5/1000)&lt;=(K245-炼钢参数表!J245-AB245*0.6566*炼钢参数表!L245/10-AC245*($AC$3/100)*炼钢参数表!L245/10)*0.02,0,((K245-炼钢参数表!J245-AB245*0.6566*炼钢参数表!L245/10-AC245*($AC$3/100)*炼钢参数表!L245/10)/100/($AD$3/100)/炼钢参数表!L245*1000))</f>
        <v>0</v>
      </c>
      <c r="AE245" s="8">
        <f>(K245-炼钢参数表!J245-AB245*0.6566*炼钢参数表!L245/10-AC245*($AC$3/100)*炼钢参数表!L245/10-AD245*($AD$3/100)*炼钢参数表!L245/10)/100/($AE$3/100)/炼钢参数表!L245*1000</f>
        <v>0</v>
      </c>
      <c r="AF245" s="8">
        <v>0</v>
      </c>
      <c r="AG245" s="8">
        <f>IF(J245&lt;=0.04,0,((J245-(AB245*0.1769*炼钢参数表!K245/1000*100))/100/炼钢参数表!K245/($AG$3/100)*1000))</f>
        <v>0.18278983604058199</v>
      </c>
      <c r="AH245" s="8">
        <v>1.4</v>
      </c>
      <c r="AI245" s="8">
        <f>IF(N245="",0,IF(N245&lt;=0.002,0,((N245)/100)/($AI$3/100)/炼钢参数表!M245*1000))</f>
        <v>0</v>
      </c>
      <c r="AJ245" s="8">
        <f>IF(O245="",0,IF(O245&lt;=0.002,0,((O245)/100)/($AJ$3/100)/炼钢参数表!N245*1000))</f>
        <v>0</v>
      </c>
      <c r="AK245" s="8">
        <f>IF(P245="",0,IF(P245&lt;=0.002,0,((P245+0.005)/100)/($AK$3/100)/炼钢参数表!O245*1000))</f>
        <v>0.59873069093521702</v>
      </c>
      <c r="AL245" s="8">
        <f>IF((BA245-J245*0.00003-K245*0.00024)&lt;=0.05,0,IF(T245="",0,IF(T245&lt;=0.03,0,IF(((BA245-J245*0.00003-K245*0.00024)-0.05)/0.18/100/($AL$3/100)/炼钢参数表!P245*1000&lt;=T245/100/($AL$3/100)/炼钢参数表!P245*1000,((BA245-J245*0.00003-K245*0.00024)-0.05)/0.18/100/($AL$3/100)/炼钢参数表!P245*1000,T245/100/($AL$3/100)/炼钢参数表!P245*1000))))</f>
        <v>0</v>
      </c>
      <c r="AM245" s="8">
        <f>IF(T245="",0,IF(T245&lt;=0.03,0,((T245-AL245*($AL$3/100)*炼钢参数表!P245/10)/100/($AM$3/100)/炼钢参数表!P245*1000)))</f>
        <v>0</v>
      </c>
      <c r="AN245" s="8">
        <f>IF(U245="",0,IF(U245&lt;=0.02,0,(U245/100)/($AN$3/100)/炼钢参数表!Q245*1000))</f>
        <v>0</v>
      </c>
      <c r="AO245" s="8">
        <f>IF(V245="",0,IF(V245&lt;=0.02,0,(V245/100)/($AO$3/100)/炼钢参数表!R245*1000))</f>
        <v>0</v>
      </c>
      <c r="AP245" s="8">
        <f>IF(W245="",0,IF(W245&lt;=0.02,0,(W245/100)/($AP$3/100)/炼钢参数表!S245*1000))</f>
        <v>0</v>
      </c>
      <c r="AQ245" s="8">
        <f>IF(X245="",0,IF(X245&lt;=0.0002,0,(X245/100)/($AQ$3/100)/炼钢参数表!T245*1000))</f>
        <v>0</v>
      </c>
      <c r="AR245" s="8">
        <f>IF(Y245="",0,IF(Y245&lt;=0.02,0,(Y245/100)/($AR$3/100)/炼钢参数表!U245*1000))</f>
        <v>0</v>
      </c>
      <c r="AS245" s="8">
        <f>IF(L245&lt;=0.04,0,((L245-0.04)/100)/($AS$3/100)/炼钢参数表!V245*1000)</f>
        <v>0</v>
      </c>
      <c r="AT245" s="8">
        <f>IF(M245&lt;=0.03,0,((M245-0.03)/100)/($AT$3/100)/炼钢参数表!W245*1000)</f>
        <v>0</v>
      </c>
      <c r="AU245" s="6"/>
      <c r="AV245" s="8">
        <f t="shared" si="41"/>
        <v>12.0343803428485</v>
      </c>
      <c r="AW245" s="8" cm="1">
        <f t="array" ref="AW245">SUMPRODUCT($AB$4:$AU$4,AB245:AU245)/1000</f>
        <v>100.081463631801</v>
      </c>
      <c r="AY245" s="2" t="str">
        <f t="shared" si="42"/>
        <v>X42-1</v>
      </c>
      <c r="AZ245" s="37">
        <f>VLOOKUP(AY245,炼钢参数表!$F$5:$J$1027,4,0)</f>
        <v>7.0499999999999993E-2</v>
      </c>
      <c r="BA245" s="37">
        <f t="shared" si="43"/>
        <v>7.9500000000000001E-2</v>
      </c>
      <c r="BB245" s="37">
        <f>AB245*$BB$4*炼钢参数表!$X$5/1000</f>
        <v>1.5252226994971E-2</v>
      </c>
      <c r="BC245" s="37">
        <f>AC245*$BC$4*炼钢参数表!$X$5/1000</f>
        <v>0</v>
      </c>
      <c r="BD245" s="37">
        <f>AD245*$BD$4*炼钢参数表!$X$5/1000</f>
        <v>0</v>
      </c>
      <c r="BE245" s="37">
        <f>AE245*$BE$4*炼钢参数表!$X$5/1000</f>
        <v>0</v>
      </c>
      <c r="BF245" s="37">
        <f>AL245*$BF$4*炼钢参数表!$X$5/1000</f>
        <v>0</v>
      </c>
      <c r="BG245" s="37">
        <f>AM245*$BG$4*炼钢参数表!$X$5/1000</f>
        <v>0</v>
      </c>
      <c r="BH245" s="37">
        <f t="shared" si="44"/>
        <v>1.5252226994971E-2</v>
      </c>
      <c r="BI245" s="37">
        <f t="shared" si="45"/>
        <v>8.5752226994970995E-2</v>
      </c>
      <c r="BJ245" s="37">
        <f t="shared" si="46"/>
        <v>-6.4247773005028999E-2</v>
      </c>
      <c r="BK245" s="54"/>
      <c r="BL245" s="7"/>
    </row>
    <row r="246" spans="1:65" s="18" customFormat="1" x14ac:dyDescent="0.3">
      <c r="A246" s="21">
        <v>238</v>
      </c>
      <c r="B246" s="4" t="s">
        <v>429</v>
      </c>
      <c r="C246" s="4" t="s">
        <v>26</v>
      </c>
      <c r="D246" s="4">
        <v>12.01</v>
      </c>
      <c r="E246" s="4">
        <v>28</v>
      </c>
      <c r="F246" s="4" t="s">
        <v>432</v>
      </c>
      <c r="G246" s="50" t="s">
        <v>431</v>
      </c>
      <c r="H246" s="4">
        <v>1517</v>
      </c>
      <c r="I246" s="51">
        <v>0.15</v>
      </c>
      <c r="J246" s="52">
        <v>0.15</v>
      </c>
      <c r="K246" s="52">
        <v>0.85</v>
      </c>
      <c r="L246" s="51">
        <v>1.4999999999999999E-2</v>
      </c>
      <c r="M246" s="51">
        <v>5.0000000000000001E-3</v>
      </c>
      <c r="N246" s="51"/>
      <c r="O246" s="51">
        <v>8.0000000000000002E-3</v>
      </c>
      <c r="P246" s="51">
        <v>2.5000000000000001E-2</v>
      </c>
      <c r="Q246" s="51">
        <v>2.5000000000000001E-2</v>
      </c>
      <c r="R246" s="51" t="s">
        <v>631</v>
      </c>
      <c r="S246" s="32"/>
      <c r="T246" s="52"/>
      <c r="U246" s="52"/>
      <c r="V246" s="52"/>
      <c r="W246" s="52"/>
      <c r="X246" s="32"/>
      <c r="Y246" s="53" t="s">
        <v>631</v>
      </c>
      <c r="Z246" s="4">
        <v>40</v>
      </c>
      <c r="AA246" s="53"/>
      <c r="AB246" s="42">
        <f>IF(J246&lt;=0.04,0,IF((BA246-AL246*BF$4*炼钢参数表!$X$5/1000-AM246*BG$4*炼钢参数表!$X$5/1000)&lt;=0.03,0,IF((J246/100/0.1769/炼钢参数表!K246*1000)&gt;(K246-炼钢参数表!J246)/100/0.6566/炼钢参数表!L246*1000,IF(K246&lt;1.6,(K246-炼钢参数表!J246)/100/0.6566/炼钢参数表!L246*1000,(K246-0.08-炼钢参数表!J246)/100/0.6566/炼钢参数表!L246*1000),IF(K246&lt;1.6,J246/100/0.1769/炼钢参数表!K246*1000,(J246-0.08)/100/0.1769/炼钢参数表!K246*1000))))</f>
        <v>10.5992085924251</v>
      </c>
      <c r="AC246" s="8">
        <f>IF((BA246-AB246*$BB$4*0.9/1000-AL246*BF$4*炼钢参数表!$X$5/1000-AM246*BG$4*炼钢参数表!$X$5/1000)&lt;(K246-炼钢参数表!J246-AB246*0.6566*炼钢参数表!L246/10)*0.082,0,(K246-炼钢参数表!J246-AB246*0.6566*炼钢参数表!L246/10)/100/($AC$3/100)/炼钢参数表!L246*1000)</f>
        <v>0.71093238147590898</v>
      </c>
      <c r="AD246" s="8">
        <f>IF((BA246-AB246*$BB$4*0.9/1000-AC246*$BC$4*0.9/1000-AL246*BF$4*炼钢参数表!$X$5/1000-AM246*BG$4*炼钢参数表!$X$5/1000)&lt;=(K246-炼钢参数表!J246-AB246*0.6566*炼钢参数表!L246/10-AC246*($AC$3/100)*炼钢参数表!L246/10)*0.02,0,((K246-炼钢参数表!J246-AB246*0.6566*炼钢参数表!L246/10-AC246*($AC$3/100)*炼钢参数表!L246/10)/100/($AD$3/100)/炼钢参数表!L246*1000))</f>
        <v>0</v>
      </c>
      <c r="AE246" s="8">
        <f>(K246-炼钢参数表!J246-AB246*0.6566*炼钢参数表!L246/10-AC246*($AC$3/100)*炼钢参数表!L246/10-AD246*($AD$3/100)*炼钢参数表!L246/10)/100/($AE$3/100)/炼钢参数表!L246*1000</f>
        <v>0</v>
      </c>
      <c r="AF246" s="8">
        <v>0</v>
      </c>
      <c r="AG246" s="8">
        <f>IF(J246&lt;=0.04,0,((J246-(AB246*0.1769*炼钢参数表!K246/1000*100))/100/炼钢参数表!K246/($AG$3/100)*1000))</f>
        <v>0</v>
      </c>
      <c r="AH246" s="8">
        <v>1.4</v>
      </c>
      <c r="AI246" s="8">
        <f>IF(N246="",0,IF(N246&lt;=0.002,0,((N246)/100)/($AI$3/100)/炼钢参数表!M246*1000))</f>
        <v>0</v>
      </c>
      <c r="AJ246" s="8">
        <f>IF(O246="",0,IF(O246&lt;=0.002,0,((O246)/100)/($AJ$3/100)/炼钢参数表!N246*1000))</f>
        <v>0.125511459196225</v>
      </c>
      <c r="AK246" s="8">
        <f>IF(P246="",0,IF(P246&lt;=0.002,0,((P246+0.005)/100)/($AK$3/100)/炼钢参数表!O246*1000))</f>
        <v>0.59873069093521702</v>
      </c>
      <c r="AL246" s="8">
        <f>IF((BA246-J246*0.00003-K246*0.00024)&lt;=0.05,0,IF(T246="",0,IF(T246&lt;=0.03,0,IF(((BA246-J246*0.00003-K246*0.00024)-0.05)/0.18/100/($AL$3/100)/炼钢参数表!P246*1000&lt;=T246/100/($AL$3/100)/炼钢参数表!P246*1000,((BA246-J246*0.00003-K246*0.00024)-0.05)/0.18/100/($AL$3/100)/炼钢参数表!P246*1000,T246/100/($AL$3/100)/炼钢参数表!P246*1000))))</f>
        <v>0</v>
      </c>
      <c r="AM246" s="8">
        <f>IF(T246="",0,IF(T246&lt;=0.03,0,((T246-AL246*($AL$3/100)*炼钢参数表!P246/10)/100/($AM$3/100)/炼钢参数表!P246*1000)))</f>
        <v>0</v>
      </c>
      <c r="AN246" s="8">
        <f>IF(U246="",0,IF(U246&lt;=0.02,0,(U246/100)/($AN$3/100)/炼钢参数表!Q246*1000))</f>
        <v>0</v>
      </c>
      <c r="AO246" s="8">
        <f>IF(V246="",0,IF(V246&lt;=0.02,0,(V246/100)/($AO$3/100)/炼钢参数表!R246*1000))</f>
        <v>0</v>
      </c>
      <c r="AP246" s="8">
        <f>IF(W246="",0,IF(W246&lt;=0.02,0,(W246/100)/($AP$3/100)/炼钢参数表!S246*1000))</f>
        <v>0</v>
      </c>
      <c r="AQ246" s="8">
        <f>IF(X246="",0,IF(X246&lt;=0.0002,0,(X246/100)/($AQ$3/100)/炼钢参数表!T246*1000))</f>
        <v>0</v>
      </c>
      <c r="AR246" s="8">
        <f>IF(Y246="",0,IF(Y246&lt;=0.02,0,(Y246/100)/($AR$3/100)/炼钢参数表!U246*1000))</f>
        <v>0</v>
      </c>
      <c r="AS246" s="8">
        <f>IF(L246&lt;=0.04,0,((L246-0.04)/100)/($AS$3/100)/炼钢参数表!V246*1000)</f>
        <v>0</v>
      </c>
      <c r="AT246" s="8">
        <f>IF(M246&lt;=0.03,0,((M246-0.03)/100)/($AT$3/100)/炼钢参数表!W246*1000)</f>
        <v>0</v>
      </c>
      <c r="AU246" s="6"/>
      <c r="AV246" s="8">
        <f t="shared" si="41"/>
        <v>13.4343831240325</v>
      </c>
      <c r="AW246" s="8" cm="1">
        <f t="array" ref="AW246">SUMPRODUCT($AB$4:$AU$4,AB246:AU246)/1000</f>
        <v>134.511542488819</v>
      </c>
      <c r="AY246" s="2" t="str">
        <f t="shared" si="42"/>
        <v>X42-2</v>
      </c>
      <c r="AZ246" s="37">
        <f>VLOOKUP(AY246,炼钢参数表!$F$5:$J$1027,4,0)</f>
        <v>7.0499999999999993E-2</v>
      </c>
      <c r="BA246" s="37">
        <f t="shared" si="43"/>
        <v>7.9500000000000001E-2</v>
      </c>
      <c r="BB246" s="37">
        <f>AB246*$BB$4*炼钢参数表!$X$5/1000</f>
        <v>1.6407574901074098E-2</v>
      </c>
      <c r="BC246" s="37">
        <f>AC246*$BC$4*炼钢参数表!$X$5/1000</f>
        <v>4.2805238688664498E-3</v>
      </c>
      <c r="BD246" s="37">
        <f>AD246*$BD$4*炼钢参数表!$X$5/1000</f>
        <v>0</v>
      </c>
      <c r="BE246" s="37">
        <f>AE246*$BE$4*炼钢参数表!$X$5/1000</f>
        <v>0</v>
      </c>
      <c r="BF246" s="37">
        <f>AL246*$BF$4*炼钢参数表!$X$5/1000</f>
        <v>0</v>
      </c>
      <c r="BG246" s="37">
        <f>AM246*$BG$4*炼钢参数表!$X$5/1000</f>
        <v>0</v>
      </c>
      <c r="BH246" s="37">
        <f t="shared" si="44"/>
        <v>2.0688098769940499E-2</v>
      </c>
      <c r="BI246" s="37">
        <f t="shared" si="45"/>
        <v>9.1188098769940495E-2</v>
      </c>
      <c r="BJ246" s="37">
        <f t="shared" si="46"/>
        <v>-5.8811901230059499E-2</v>
      </c>
      <c r="BK246" s="54"/>
      <c r="BL246" s="7"/>
    </row>
    <row r="247" spans="1:65" s="18" customFormat="1" x14ac:dyDescent="0.3">
      <c r="A247" s="21">
        <v>239</v>
      </c>
      <c r="B247" s="4" t="s">
        <v>433</v>
      </c>
      <c r="C247" s="4" t="s">
        <v>23</v>
      </c>
      <c r="D247" s="4">
        <v>6</v>
      </c>
      <c r="E247" s="4">
        <v>16</v>
      </c>
      <c r="F247" s="4" t="s">
        <v>434</v>
      </c>
      <c r="G247" s="50" t="s">
        <v>435</v>
      </c>
      <c r="H247" s="4">
        <v>1520</v>
      </c>
      <c r="I247" s="51">
        <v>0.06</v>
      </c>
      <c r="J247" s="52">
        <v>0.23</v>
      </c>
      <c r="K247" s="52">
        <v>1.35</v>
      </c>
      <c r="L247" s="51">
        <v>0.01</v>
      </c>
      <c r="M247" s="51">
        <v>3.0000000000000001E-3</v>
      </c>
      <c r="N247" s="51" t="s">
        <v>631</v>
      </c>
      <c r="O247" s="51">
        <v>0.03</v>
      </c>
      <c r="P247" s="51">
        <v>0.04</v>
      </c>
      <c r="Q247" s="51">
        <v>2.5000000000000001E-2</v>
      </c>
      <c r="R247" s="51" t="s">
        <v>631</v>
      </c>
      <c r="S247" s="32"/>
      <c r="T247" s="52"/>
      <c r="U247" s="52"/>
      <c r="V247" s="52"/>
      <c r="W247" s="52"/>
      <c r="X247" s="32"/>
      <c r="Y247" s="53" t="s">
        <v>631</v>
      </c>
      <c r="Z247" s="4"/>
      <c r="AA247" s="53"/>
      <c r="AB247" s="42">
        <f>IF(J247&lt;=0.04,0,IF((BA247-AL247*BF$4*炼钢参数表!$X$5/1000-AM247*BG$4*炼钢参数表!$X$5/1000)&lt;=0.03,0,IF((J247/100/0.1769/炼钢参数表!K247*1000)&gt;(K247-炼钢参数表!J247)/100/0.6566/炼钢参数表!L247*1000,IF(K247&lt;1.6,(K247-炼钢参数表!J247)/100/0.6566/炼钢参数表!L247*1000,(K247-0.08-炼钢参数表!J247)/100/0.6566/炼钢参数表!L247*1000),IF(K247&lt;1.6,J247/100/0.1769/炼钢参数表!K247*1000,(J247-0.08)/100/0.1769/炼钢参数表!K247*1000))))</f>
        <v>0</v>
      </c>
      <c r="AC247" s="8">
        <f>IF((BA247-AB247*$BB$4*0.9/1000-AL247*BF$4*炼钢参数表!$X$5/1000-AM247*BG$4*炼钢参数表!$X$5/1000)&lt;(K247-炼钢参数表!J247-AB247*0.6566*炼钢参数表!L247/10)*0.082,0,(K247-炼钢参数表!J247-AB247*0.6566*炼钢参数表!L247/10)/100/($AC$3/100)/炼钢参数表!L247*1000)</f>
        <v>0</v>
      </c>
      <c r="AD247" s="8">
        <f>IF((BA247-AB247*$BB$4*0.9/1000-AC247*$BC$4*0.9/1000-AL247*BF$4*炼钢参数表!$X$5/1000-AM247*BG$4*炼钢参数表!$X$5/1000)&lt;=(K247-炼钢参数表!J247-AB247*0.6566*炼钢参数表!L247/10-AC247*($AC$3/100)*炼钢参数表!L247/10)*0.02,0,((K247-炼钢参数表!J247-AB247*0.6566*炼钢参数表!L247/10-AC247*($AC$3/100)*炼钢参数表!L247/10)/100/($AD$3/100)/炼钢参数表!L247*1000))</f>
        <v>0</v>
      </c>
      <c r="AE247" s="8">
        <f>(K247-炼钢参数表!J247-AB247*0.6566*炼钢参数表!L247/10-AC247*($AC$3/100)*炼钢参数表!L247/10-AD247*($AD$3/100)*炼钢参数表!L247/10)/100/($AE$3/100)/炼钢参数表!L247*1000</f>
        <v>15.977261701576801</v>
      </c>
      <c r="AF247" s="8">
        <v>0</v>
      </c>
      <c r="AG247" s="8">
        <f>IF(J247&lt;=0.04,0,((J247-(AB247*0.1769*炼钢参数表!K247/1000*100))/100/炼钢参数表!K247/($AG$3/100)*1000))</f>
        <v>3.9803405787069099</v>
      </c>
      <c r="AH247" s="8">
        <v>2.2000000000000002</v>
      </c>
      <c r="AI247" s="8">
        <f>IF(N247="",0,IF(N247&lt;=0.002,0,((N247)/100)/($AI$3/100)/炼钢参数表!M247*1000))</f>
        <v>0</v>
      </c>
      <c r="AJ247" s="8">
        <f>IF(O247="",0,IF(O247&lt;=0.002,0,((O247)/100)/($AJ$3/100)/炼钢参数表!N247*1000))</f>
        <v>0.47066797198584198</v>
      </c>
      <c r="AK247" s="8">
        <f>IF(P247="",0,IF(P247&lt;=0.002,0,((P247+0.005)/100)/($AK$3/100)/炼钢参数表!O247*1000))</f>
        <v>0.89809603640282598</v>
      </c>
      <c r="AL247" s="8">
        <f>IF((BA247-J247*0.00003-K247*0.00024)&lt;=0.05,0,IF(T247="",0,IF(T247&lt;=0.03,0,IF(((BA247-J247*0.00003-K247*0.00024)-0.05)/0.18/100/($AL$3/100)/炼钢参数表!P247*1000&lt;=T247/100/($AL$3/100)/炼钢参数表!P247*1000,((BA247-J247*0.00003-K247*0.00024)-0.05)/0.18/100/($AL$3/100)/炼钢参数表!P247*1000,T247/100/($AL$3/100)/炼钢参数表!P247*1000))))</f>
        <v>0</v>
      </c>
      <c r="AM247" s="8">
        <f>IF(T247="",0,IF(T247&lt;=0.03,0,((T247-AL247*($AL$3/100)*炼钢参数表!P247/10)/100/($AM$3/100)/炼钢参数表!P247*1000)))</f>
        <v>0</v>
      </c>
      <c r="AN247" s="8">
        <f>IF(U247="",0,IF(U247&lt;=0.02,0,(U247/100)/($AN$3/100)/炼钢参数表!Q247*1000))</f>
        <v>0</v>
      </c>
      <c r="AO247" s="8">
        <f>IF(V247="",0,IF(V247&lt;=0.02,0,(V247/100)/($AO$3/100)/炼钢参数表!R247*1000))</f>
        <v>0</v>
      </c>
      <c r="AP247" s="8">
        <f>IF(W247="",0,IF(W247&lt;=0.02,0,(W247/100)/($AP$3/100)/炼钢参数表!S247*1000))</f>
        <v>0</v>
      </c>
      <c r="AQ247" s="8">
        <f>IF(X247="",0,IF(X247&lt;=0.0002,0,(X247/100)/($AQ$3/100)/炼钢参数表!T247*1000))</f>
        <v>0</v>
      </c>
      <c r="AR247" s="8">
        <f>IF(Y247="",0,IF(Y247&lt;=0.02,0,(Y247/100)/($AR$3/100)/炼钢参数表!U247*1000))</f>
        <v>0</v>
      </c>
      <c r="AS247" s="8">
        <f>IF(L247&lt;=0.04,0,((L247-0.04)/100)/($AS$3/100)/炼钢参数表!V247*1000)</f>
        <v>0</v>
      </c>
      <c r="AT247" s="8">
        <f>IF(M247&lt;=0.03,0,((M247-0.03)/100)/($AT$3/100)/炼钢参数表!W247*1000)</f>
        <v>0</v>
      </c>
      <c r="AU247" s="6"/>
      <c r="AV247" s="8">
        <f t="shared" si="41"/>
        <v>23.526366288672399</v>
      </c>
      <c r="AW247" s="8" cm="1">
        <f t="array" ref="AW247">SUMPRODUCT($AB$4:$AU$4,AB247:AU247)/1000</f>
        <v>327.09381577735701</v>
      </c>
      <c r="AY247" s="2" t="str">
        <f t="shared" si="42"/>
        <v>X60M-1</v>
      </c>
      <c r="AZ247" s="37">
        <f>VLOOKUP(AY247,炼钢参数表!$F$5:$J$1027,4,0)</f>
        <v>4.725E-2</v>
      </c>
      <c r="BA247" s="37">
        <f t="shared" si="43"/>
        <v>1.2749999999999999E-2</v>
      </c>
      <c r="BB247" s="37">
        <f>AB247*$BB$4*炼钢参数表!$X$5/1000</f>
        <v>0</v>
      </c>
      <c r="BC247" s="37">
        <f>AC247*$BC$4*炼钢参数表!$X$5/1000</f>
        <v>0</v>
      </c>
      <c r="BD247" s="37">
        <f>AD247*$BD$4*炼钢参数表!$X$5/1000</f>
        <v>0</v>
      </c>
      <c r="BE247" s="37">
        <f>AE247*$BE$4*炼钢参数表!$X$5/1000</f>
        <v>9.2029027401082392E-3</v>
      </c>
      <c r="BF247" s="37">
        <f>AL247*$BF$4*炼钢参数表!$X$5/1000</f>
        <v>0</v>
      </c>
      <c r="BG247" s="37">
        <f>AM247*$BG$4*炼钢参数表!$X$5/1000</f>
        <v>0</v>
      </c>
      <c r="BH247" s="37">
        <f t="shared" si="44"/>
        <v>9.2029027401082392E-3</v>
      </c>
      <c r="BI247" s="37">
        <f t="shared" si="45"/>
        <v>5.6452902740108203E-2</v>
      </c>
      <c r="BJ247" s="37">
        <f t="shared" si="46"/>
        <v>-3.5470972598917599E-3</v>
      </c>
      <c r="BK247" s="54"/>
      <c r="BL247" s="7"/>
    </row>
    <row r="248" spans="1:65" s="18" customFormat="1" x14ac:dyDescent="0.3">
      <c r="A248" s="21">
        <v>240</v>
      </c>
      <c r="B248" s="4" t="s">
        <v>433</v>
      </c>
      <c r="C248" s="4" t="s">
        <v>26</v>
      </c>
      <c r="D248" s="4">
        <v>16.010000000000002</v>
      </c>
      <c r="E248" s="4">
        <v>25.4</v>
      </c>
      <c r="F248" s="4" t="s">
        <v>436</v>
      </c>
      <c r="G248" s="50" t="s">
        <v>435</v>
      </c>
      <c r="H248" s="4">
        <v>1520</v>
      </c>
      <c r="I248" s="51">
        <v>0.06</v>
      </c>
      <c r="J248" s="52">
        <v>0.23</v>
      </c>
      <c r="K248" s="52">
        <v>1.45</v>
      </c>
      <c r="L248" s="51">
        <v>0.01</v>
      </c>
      <c r="M248" s="51">
        <v>3.0000000000000001E-3</v>
      </c>
      <c r="N248" s="51" t="s">
        <v>631</v>
      </c>
      <c r="O248" s="51">
        <v>3.5000000000000003E-2</v>
      </c>
      <c r="P248" s="51">
        <v>0.04</v>
      </c>
      <c r="Q248" s="51">
        <v>2.5000000000000001E-2</v>
      </c>
      <c r="R248" s="51" t="s">
        <v>631</v>
      </c>
      <c r="S248" s="32"/>
      <c r="T248" s="52"/>
      <c r="U248" s="52"/>
      <c r="V248" s="52"/>
      <c r="W248" s="52"/>
      <c r="X248" s="32"/>
      <c r="Y248" s="53" t="s">
        <v>631</v>
      </c>
      <c r="Z248" s="4"/>
      <c r="AA248" s="53"/>
      <c r="AB248" s="42">
        <f>IF(J248&lt;=0.04,0,IF((BA248-AL248*BF$4*炼钢参数表!$X$5/1000-AM248*BG$4*炼钢参数表!$X$5/1000)&lt;=0.03,0,IF((J248/100/0.1769/炼钢参数表!K248*1000)&gt;(K248-炼钢参数表!J248)/100/0.6566/炼钢参数表!L248*1000,IF(K248&lt;1.6,(K248-炼钢参数表!J248)/100/0.6566/炼钢参数表!L248*1000,(K248-0.08-炼钢参数表!J248)/100/0.6566/炼钢参数表!L248*1000),IF(K248&lt;1.6,J248/100/0.1769/炼钢参数表!K248*1000,(J248-0.08)/100/0.1769/炼钢参数表!K248*1000))))</f>
        <v>0</v>
      </c>
      <c r="AC248" s="8">
        <f>IF((BA248-AB248*$BB$4*0.9/1000-AL248*BF$4*炼钢参数表!$X$5/1000-AM248*BG$4*炼钢参数表!$X$5/1000)&lt;(K248-炼钢参数表!J248-AB248*0.6566*炼钢参数表!L248/10)*0.082,0,(K248-炼钢参数表!J248-AB248*0.6566*炼钢参数表!L248/10)/100/($AC$3/100)/炼钢参数表!L248*1000)</f>
        <v>0</v>
      </c>
      <c r="AD248" s="8">
        <f>IF((BA248-AB248*$BB$4*0.9/1000-AC248*$BC$4*0.9/1000-AL248*BF$4*炼钢参数表!$X$5/1000-AM248*BG$4*炼钢参数表!$X$5/1000)&lt;=(K248-炼钢参数表!J248-AB248*0.6566*炼钢参数表!L248/10-AC248*($AC$3/100)*炼钢参数表!L248/10)*0.02,0,((K248-炼钢参数表!J248-AB248*0.6566*炼钢参数表!L248/10-AC248*($AC$3/100)*炼钢参数表!L248/10)/100/($AD$3/100)/炼钢参数表!L248*1000))</f>
        <v>0</v>
      </c>
      <c r="AE248" s="8">
        <f>(K248-炼钢参数表!J248-AB248*0.6566*炼钢参数表!L248/10-AC248*($AC$3/100)*炼钢参数表!L248/10-AD248*($AD$3/100)*炼钢参数表!L248/10)/100/($AE$3/100)/炼钢参数表!L248*1000</f>
        <v>17.2340767813469</v>
      </c>
      <c r="AF248" s="8">
        <v>0</v>
      </c>
      <c r="AG248" s="8">
        <f>IF(J248&lt;=0.04,0,((J248-(AB248*0.1769*炼钢参数表!K248/1000*100))/100/炼钢参数表!K248/($AG$3/100)*1000))</f>
        <v>3.9803405787069099</v>
      </c>
      <c r="AH248" s="8">
        <v>2.2000000000000002</v>
      </c>
      <c r="AI248" s="8">
        <f>IF(N248="",0,IF(N248&lt;=0.002,0,((N248)/100)/($AI$3/100)/炼钢参数表!M248*1000))</f>
        <v>0</v>
      </c>
      <c r="AJ248" s="8">
        <f>IF(O248="",0,IF(O248&lt;=0.002,0,((O248)/100)/($AJ$3/100)/炼钢参数表!N248*1000))</f>
        <v>0.54911263398348298</v>
      </c>
      <c r="AK248" s="8">
        <f>IF(P248="",0,IF(P248&lt;=0.002,0,((P248+0.005)/100)/($AK$3/100)/炼钢参数表!O248*1000))</f>
        <v>0.89809603640282598</v>
      </c>
      <c r="AL248" s="8">
        <f>IF((BA248-J248*0.00003-K248*0.00024)&lt;=0.05,0,IF(T248="",0,IF(T248&lt;=0.03,0,IF(((BA248-J248*0.00003-K248*0.00024)-0.05)/0.18/100/($AL$3/100)/炼钢参数表!P248*1000&lt;=T248/100/($AL$3/100)/炼钢参数表!P248*1000,((BA248-J248*0.00003-K248*0.00024)-0.05)/0.18/100/($AL$3/100)/炼钢参数表!P248*1000,T248/100/($AL$3/100)/炼钢参数表!P248*1000))))</f>
        <v>0</v>
      </c>
      <c r="AM248" s="8">
        <f>IF(T248="",0,IF(T248&lt;=0.03,0,((T248-AL248*($AL$3/100)*炼钢参数表!P248/10)/100/($AM$3/100)/炼钢参数表!P248*1000)))</f>
        <v>0</v>
      </c>
      <c r="AN248" s="8">
        <f>IF(U248="",0,IF(U248&lt;=0.02,0,(U248/100)/($AN$3/100)/炼钢参数表!Q248*1000))</f>
        <v>0</v>
      </c>
      <c r="AO248" s="8">
        <f>IF(V248="",0,IF(V248&lt;=0.02,0,(V248/100)/($AO$3/100)/炼钢参数表!R248*1000))</f>
        <v>0</v>
      </c>
      <c r="AP248" s="8">
        <f>IF(W248="",0,IF(W248&lt;=0.02,0,(W248/100)/($AP$3/100)/炼钢参数表!S248*1000))</f>
        <v>0</v>
      </c>
      <c r="AQ248" s="8">
        <f>IF(X248="",0,IF(X248&lt;=0.0002,0,(X248/100)/($AQ$3/100)/炼钢参数表!T248*1000))</f>
        <v>0</v>
      </c>
      <c r="AR248" s="8">
        <f>IF(Y248="",0,IF(Y248&lt;=0.02,0,(Y248/100)/($AR$3/100)/炼钢参数表!U248*1000))</f>
        <v>0</v>
      </c>
      <c r="AS248" s="8">
        <f>IF(L248&lt;=0.04,0,((L248-0.04)/100)/($AS$3/100)/炼钢参数表!V248*1000)</f>
        <v>0</v>
      </c>
      <c r="AT248" s="8">
        <f>IF(M248&lt;=0.03,0,((M248-0.03)/100)/($AT$3/100)/炼钢参数表!W248*1000)</f>
        <v>0</v>
      </c>
      <c r="AU248" s="6"/>
      <c r="AV248" s="8">
        <f t="shared" si="41"/>
        <v>24.8616260304401</v>
      </c>
      <c r="AW248" s="8" cm="1">
        <f t="array" ref="AW248">SUMPRODUCT($AB$4:$AU$4,AB248:AU248)/1000</f>
        <v>354.55506610611098</v>
      </c>
      <c r="AY248" s="2" t="str">
        <f t="shared" si="42"/>
        <v>X60M-2</v>
      </c>
      <c r="AZ248" s="37">
        <f>VLOOKUP(AY248,炼钢参数表!$F$5:$J$1027,4,0)</f>
        <v>4.725E-2</v>
      </c>
      <c r="BA248" s="37">
        <f t="shared" si="43"/>
        <v>1.2749999999999999E-2</v>
      </c>
      <c r="BB248" s="37">
        <f>AB248*$BB$4*炼钢参数表!$X$5/1000</f>
        <v>0</v>
      </c>
      <c r="BC248" s="37">
        <f>AC248*$BC$4*炼钢参数表!$X$5/1000</f>
        <v>0</v>
      </c>
      <c r="BD248" s="37">
        <f>AD248*$BD$4*炼钢参数表!$X$5/1000</f>
        <v>0</v>
      </c>
      <c r="BE248" s="37">
        <f>AE248*$BE$4*炼钢参数表!$X$5/1000</f>
        <v>9.9268282260557908E-3</v>
      </c>
      <c r="BF248" s="37">
        <f>AL248*$BF$4*炼钢参数表!$X$5/1000</f>
        <v>0</v>
      </c>
      <c r="BG248" s="37">
        <f>AM248*$BG$4*炼钢参数表!$X$5/1000</f>
        <v>0</v>
      </c>
      <c r="BH248" s="37">
        <f t="shared" si="44"/>
        <v>9.9268282260557908E-3</v>
      </c>
      <c r="BI248" s="37">
        <f t="shared" si="45"/>
        <v>5.7176828226055798E-2</v>
      </c>
      <c r="BJ248" s="37">
        <f t="shared" si="46"/>
        <v>-2.8231717739442101E-3</v>
      </c>
      <c r="BK248" s="54"/>
      <c r="BL248" s="7"/>
    </row>
    <row r="249" spans="1:65" s="18" customFormat="1" x14ac:dyDescent="0.3">
      <c r="A249" s="21">
        <v>241</v>
      </c>
      <c r="B249" s="4" t="s">
        <v>437</v>
      </c>
      <c r="C249" s="4" t="s">
        <v>23</v>
      </c>
      <c r="D249" s="4">
        <v>6</v>
      </c>
      <c r="E249" s="4">
        <v>16</v>
      </c>
      <c r="F249" s="4" t="s">
        <v>438</v>
      </c>
      <c r="G249" s="50" t="s">
        <v>439</v>
      </c>
      <c r="H249" s="4">
        <v>1520</v>
      </c>
      <c r="I249" s="51">
        <v>0.06</v>
      </c>
      <c r="J249" s="52">
        <v>0.23</v>
      </c>
      <c r="K249" s="52">
        <v>1.35</v>
      </c>
      <c r="L249" s="51">
        <v>0.01</v>
      </c>
      <c r="M249" s="51">
        <v>3.0000000000000001E-3</v>
      </c>
      <c r="N249" s="51" t="s">
        <v>631</v>
      </c>
      <c r="O249" s="51">
        <v>3.5000000000000003E-2</v>
      </c>
      <c r="P249" s="51">
        <v>4.4999999999999998E-2</v>
      </c>
      <c r="Q249" s="51">
        <v>2.5000000000000001E-2</v>
      </c>
      <c r="R249" s="51" t="s">
        <v>631</v>
      </c>
      <c r="S249" s="32"/>
      <c r="T249" s="52"/>
      <c r="U249" s="52"/>
      <c r="V249" s="52"/>
      <c r="W249" s="52"/>
      <c r="X249" s="32"/>
      <c r="Y249" s="53" t="s">
        <v>631</v>
      </c>
      <c r="Z249" s="4">
        <v>40</v>
      </c>
      <c r="AA249" s="53" t="s">
        <v>631</v>
      </c>
      <c r="AB249" s="42">
        <f>IF(J249&lt;=0.04,0,IF((BA249-AL249*BF$4*炼钢参数表!$X$5/1000-AM249*BG$4*炼钢参数表!$X$5/1000)&lt;=0.03,0,IF((J249/100/0.1769/炼钢参数表!K249*1000)&gt;(K249-炼钢参数表!J249)/100/0.6566/炼钢参数表!L249*1000,IF(K249&lt;1.6,(K249-炼钢参数表!J249)/100/0.6566/炼钢参数表!L249*1000,(K249-0.08-炼钢参数表!J249)/100/0.6566/炼钢参数表!L249*1000),IF(K249&lt;1.6,J249/100/0.1769/炼钢参数表!K249*1000,(J249-0.08)/100/0.1769/炼钢参数表!K249*1000))))</f>
        <v>0</v>
      </c>
      <c r="AC249" s="8">
        <f>IF((BA249-AB249*$BB$4*0.9/1000-AL249*BF$4*炼钢参数表!$X$5/1000-AM249*BG$4*炼钢参数表!$X$5/1000)&lt;(K249-炼钢参数表!J249-AB249*0.6566*炼钢参数表!L249/10)*0.082,0,(K249-炼钢参数表!J249-AB249*0.6566*炼钢参数表!L249/10)/100/($AC$3/100)/炼钢参数表!L249*1000)</f>
        <v>0</v>
      </c>
      <c r="AD249" s="8">
        <f>IF((BA249-AB249*$BB$4*0.9/1000-AC249*$BC$4*0.9/1000-AL249*BF$4*炼钢参数表!$X$5/1000-AM249*BG$4*炼钢参数表!$X$5/1000)&lt;=(K249-炼钢参数表!J249-AB249*0.6566*炼钢参数表!L249/10-AC249*($AC$3/100)*炼钢参数表!L249/10)*0.02,0,((K249-炼钢参数表!J249-AB249*0.6566*炼钢参数表!L249/10-AC249*($AC$3/100)*炼钢参数表!L249/10)/100/($AD$3/100)/炼钢参数表!L249*1000))</f>
        <v>0</v>
      </c>
      <c r="AE249" s="8">
        <f>(K249-炼钢参数表!J249-AB249*0.6566*炼钢参数表!L249/10-AC249*($AC$3/100)*炼钢参数表!L249/10-AD249*($AD$3/100)*炼钢参数表!L249/10)/100/($AE$3/100)/炼钢参数表!L249*1000</f>
        <v>15.977261701576801</v>
      </c>
      <c r="AF249" s="8">
        <v>0</v>
      </c>
      <c r="AG249" s="8">
        <f>IF(J249&lt;=0.04,0,((J249-(AB249*0.1769*炼钢参数表!K249/1000*100))/100/炼钢参数表!K249/($AG$3/100)*1000))</f>
        <v>3.9803405787069099</v>
      </c>
      <c r="AH249" s="8">
        <v>2.2000000000000002</v>
      </c>
      <c r="AI249" s="8">
        <f>IF(N249="",0,IF(N249&lt;=0.002,0,((N249)/100)/($AI$3/100)/炼钢参数表!M249*1000))</f>
        <v>0</v>
      </c>
      <c r="AJ249" s="8">
        <f>IF(O249="",0,IF(O249&lt;=0.002,0,((O249)/100)/($AJ$3/100)/炼钢参数表!N249*1000))</f>
        <v>0.54911263398348298</v>
      </c>
      <c r="AK249" s="8">
        <f>IF(P249="",0,IF(P249&lt;=0.002,0,((P249+0.005)/100)/($AK$3/100)/炼钢参数表!O249*1000))</f>
        <v>0.99788448489202897</v>
      </c>
      <c r="AL249" s="8">
        <f>IF((BA249-J249*0.00003-K249*0.00024)&lt;=0.05,0,IF(T249="",0,IF(T249&lt;=0.03,0,IF(((BA249-J249*0.00003-K249*0.00024)-0.05)/0.18/100/($AL$3/100)/炼钢参数表!P249*1000&lt;=T249/100/($AL$3/100)/炼钢参数表!P249*1000,((BA249-J249*0.00003-K249*0.00024)-0.05)/0.18/100/($AL$3/100)/炼钢参数表!P249*1000,T249/100/($AL$3/100)/炼钢参数表!P249*1000))))</f>
        <v>0</v>
      </c>
      <c r="AM249" s="8">
        <f>IF(T249="",0,IF(T249&lt;=0.03,0,((T249-AL249*($AL$3/100)*炼钢参数表!P249/10)/100/($AM$3/100)/炼钢参数表!P249*1000)))</f>
        <v>0</v>
      </c>
      <c r="AN249" s="8">
        <f>IF(U249="",0,IF(U249&lt;=0.02,0,(U249/100)/($AN$3/100)/炼钢参数表!Q249*1000))</f>
        <v>0</v>
      </c>
      <c r="AO249" s="8">
        <f>IF(V249="",0,IF(V249&lt;=0.02,0,(V249/100)/($AO$3/100)/炼钢参数表!R249*1000))</f>
        <v>0</v>
      </c>
      <c r="AP249" s="8">
        <f>IF(W249="",0,IF(W249&lt;=0.02,0,(W249/100)/($AP$3/100)/炼钢参数表!S249*1000))</f>
        <v>0</v>
      </c>
      <c r="AQ249" s="8">
        <f>IF(X249="",0,IF(X249&lt;=0.0002,0,(X249/100)/($AQ$3/100)/炼钢参数表!T249*1000))</f>
        <v>0</v>
      </c>
      <c r="AR249" s="8">
        <f>IF(Y249="",0,IF(Y249&lt;=0.02,0,(Y249/100)/($AR$3/100)/炼钢参数表!U249*1000))</f>
        <v>0</v>
      </c>
      <c r="AS249" s="8">
        <f>IF(L249&lt;=0.04,0,((L249-0.04)/100)/($AS$3/100)/炼钢参数表!V249*1000)</f>
        <v>0</v>
      </c>
      <c r="AT249" s="8">
        <f>IF(M249&lt;=0.03,0,((M249-0.03)/100)/($AT$3/100)/炼钢参数表!W249*1000)</f>
        <v>0</v>
      </c>
      <c r="AU249" s="6"/>
      <c r="AV249" s="8">
        <f t="shared" si="41"/>
        <v>23.7045993991592</v>
      </c>
      <c r="AW249" s="8" cm="1">
        <f t="array" ref="AW249">SUMPRODUCT($AB$4:$AU$4,AB249:AU249)/1000</f>
        <v>346.39090906282797</v>
      </c>
      <c r="AY249" s="2" t="str">
        <f t="shared" si="42"/>
        <v>X65-1</v>
      </c>
      <c r="AZ249" s="37">
        <f>VLOOKUP(AY249,炼钢参数表!$F$5:$J$1027,4,0)</f>
        <v>4.725E-2</v>
      </c>
      <c r="BA249" s="37">
        <f t="shared" si="43"/>
        <v>1.2749999999999999E-2</v>
      </c>
      <c r="BB249" s="37">
        <f>AB249*$BB$4*炼钢参数表!$X$5/1000</f>
        <v>0</v>
      </c>
      <c r="BC249" s="37">
        <f>AC249*$BC$4*炼钢参数表!$X$5/1000</f>
        <v>0</v>
      </c>
      <c r="BD249" s="37">
        <f>AD249*$BD$4*炼钢参数表!$X$5/1000</f>
        <v>0</v>
      </c>
      <c r="BE249" s="37">
        <f>AE249*$BE$4*炼钢参数表!$X$5/1000</f>
        <v>9.2029027401082392E-3</v>
      </c>
      <c r="BF249" s="37">
        <f>AL249*$BF$4*炼钢参数表!$X$5/1000</f>
        <v>0</v>
      </c>
      <c r="BG249" s="37">
        <f>AM249*$BG$4*炼钢参数表!$X$5/1000</f>
        <v>0</v>
      </c>
      <c r="BH249" s="37">
        <f t="shared" si="44"/>
        <v>9.2029027401082392E-3</v>
      </c>
      <c r="BI249" s="37">
        <f t="shared" si="45"/>
        <v>5.6452902740108203E-2</v>
      </c>
      <c r="BJ249" s="37">
        <f t="shared" si="46"/>
        <v>-3.5470972598917599E-3</v>
      </c>
      <c r="BK249" s="54"/>
      <c r="BL249" s="7"/>
    </row>
    <row r="250" spans="1:65" s="18" customFormat="1" x14ac:dyDescent="0.3">
      <c r="A250" s="21">
        <v>242</v>
      </c>
      <c r="B250" s="4" t="s">
        <v>437</v>
      </c>
      <c r="C250" s="4" t="s">
        <v>26</v>
      </c>
      <c r="D250" s="4">
        <v>16.010000000000002</v>
      </c>
      <c r="E250" s="4">
        <v>25</v>
      </c>
      <c r="F250" s="4" t="s">
        <v>440</v>
      </c>
      <c r="G250" s="50" t="s">
        <v>439</v>
      </c>
      <c r="H250" s="4">
        <v>1520</v>
      </c>
      <c r="I250" s="51">
        <v>0.06</v>
      </c>
      <c r="J250" s="52">
        <v>0.23</v>
      </c>
      <c r="K250" s="52">
        <v>1.45</v>
      </c>
      <c r="L250" s="51">
        <v>0.01</v>
      </c>
      <c r="M250" s="51">
        <v>3.0000000000000001E-3</v>
      </c>
      <c r="N250" s="51" t="s">
        <v>631</v>
      </c>
      <c r="O250" s="51">
        <v>0.04</v>
      </c>
      <c r="P250" s="51">
        <v>4.4999999999999998E-2</v>
      </c>
      <c r="Q250" s="51">
        <v>2.5000000000000001E-2</v>
      </c>
      <c r="R250" s="51" t="s">
        <v>631</v>
      </c>
      <c r="S250" s="32"/>
      <c r="T250" s="52"/>
      <c r="U250" s="52"/>
      <c r="V250" s="52"/>
      <c r="W250" s="52"/>
      <c r="X250" s="32"/>
      <c r="Y250" s="53" t="s">
        <v>631</v>
      </c>
      <c r="Z250" s="4">
        <v>40</v>
      </c>
      <c r="AA250" s="53" t="s">
        <v>631</v>
      </c>
      <c r="AB250" s="42">
        <f>IF(J250&lt;=0.04,0,IF((BA250-AL250*BF$4*炼钢参数表!$X$5/1000-AM250*BG$4*炼钢参数表!$X$5/1000)&lt;=0.03,0,IF((J250/100/0.1769/炼钢参数表!K250*1000)&gt;(K250-炼钢参数表!J250)/100/0.6566/炼钢参数表!L250*1000,IF(K250&lt;1.6,(K250-炼钢参数表!J250)/100/0.6566/炼钢参数表!L250*1000,(K250-0.08-炼钢参数表!J250)/100/0.6566/炼钢参数表!L250*1000),IF(K250&lt;1.6,J250/100/0.1769/炼钢参数表!K250*1000,(J250-0.08)/100/0.1769/炼钢参数表!K250*1000))))</f>
        <v>0</v>
      </c>
      <c r="AC250" s="8">
        <f>IF((BA250-AB250*$BB$4*0.9/1000-AL250*BF$4*炼钢参数表!$X$5/1000-AM250*BG$4*炼钢参数表!$X$5/1000)&lt;(K250-炼钢参数表!J250-AB250*0.6566*炼钢参数表!L250/10)*0.082,0,(K250-炼钢参数表!J250-AB250*0.6566*炼钢参数表!L250/10)/100/($AC$3/100)/炼钢参数表!L250*1000)</f>
        <v>0</v>
      </c>
      <c r="AD250" s="8">
        <f>IF((BA250-AB250*$BB$4*0.9/1000-AC250*$BC$4*0.9/1000-AL250*BF$4*炼钢参数表!$X$5/1000-AM250*BG$4*炼钢参数表!$X$5/1000)&lt;=(K250-炼钢参数表!J250-AB250*0.6566*炼钢参数表!L250/10-AC250*($AC$3/100)*炼钢参数表!L250/10)*0.02,0,((K250-炼钢参数表!J250-AB250*0.6566*炼钢参数表!L250/10-AC250*($AC$3/100)*炼钢参数表!L250/10)/100/($AD$3/100)/炼钢参数表!L250*1000))</f>
        <v>0</v>
      </c>
      <c r="AE250" s="8">
        <f>(K250-炼钢参数表!J250-AB250*0.6566*炼钢参数表!L250/10-AC250*($AC$3/100)*炼钢参数表!L250/10-AD250*($AD$3/100)*炼钢参数表!L250/10)/100/($AE$3/100)/炼钢参数表!L250*1000</f>
        <v>17.034033714483499</v>
      </c>
      <c r="AF250" s="8">
        <v>0</v>
      </c>
      <c r="AG250" s="8">
        <f>IF(J250&lt;=0.04,0,((J250-(AB250*0.1769*炼钢参数表!K250/1000*100))/100/炼钢参数表!K250/($AG$3/100)*1000))</f>
        <v>3.9803405787069099</v>
      </c>
      <c r="AH250" s="8">
        <v>2.2000000000000002</v>
      </c>
      <c r="AI250" s="8">
        <f>IF(N250="",0,IF(N250&lt;=0.002,0,((N250)/100)/($AI$3/100)/炼钢参数表!M250*1000))</f>
        <v>0</v>
      </c>
      <c r="AJ250" s="8">
        <f>IF(O250="",0,IF(O250&lt;=0.002,0,((O250)/100)/($AJ$3/100)/炼钢参数表!N250*1000))</f>
        <v>0.62755729598112298</v>
      </c>
      <c r="AK250" s="8">
        <f>IF(P250="",0,IF(P250&lt;=0.002,0,((P250+0.005)/100)/($AK$3/100)/炼钢参数表!O250*1000))</f>
        <v>0.99788448489202897</v>
      </c>
      <c r="AL250" s="8">
        <f>IF((BA250-J250*0.00003-K250*0.00024)&lt;=0.05,0,IF(T250="",0,IF(T250&lt;=0.03,0,IF(((BA250-J250*0.00003-K250*0.00024)-0.05)/0.18/100/($AL$3/100)/炼钢参数表!P250*1000&lt;=T250/100/($AL$3/100)/炼钢参数表!P250*1000,((BA250-J250*0.00003-K250*0.00024)-0.05)/0.18/100/($AL$3/100)/炼钢参数表!P250*1000,T250/100/($AL$3/100)/炼钢参数表!P250*1000))))</f>
        <v>0</v>
      </c>
      <c r="AM250" s="8">
        <f>IF(T250="",0,IF(T250&lt;=0.03,0,((T250-AL250*($AL$3/100)*炼钢参数表!P250/10)/100/($AM$3/100)/炼钢参数表!P250*1000)))</f>
        <v>0</v>
      </c>
      <c r="AN250" s="8">
        <f>IF(U250="",0,IF(U250&lt;=0.02,0,(U250/100)/($AN$3/100)/炼钢参数表!Q250*1000))</f>
        <v>0</v>
      </c>
      <c r="AO250" s="8">
        <f>IF(V250="",0,IF(V250&lt;=0.02,0,(V250/100)/($AO$3/100)/炼钢参数表!R250*1000))</f>
        <v>0</v>
      </c>
      <c r="AP250" s="8">
        <f>IF(W250="",0,IF(W250&lt;=0.02,0,(W250/100)/($AP$3/100)/炼钢参数表!S250*1000))</f>
        <v>0</v>
      </c>
      <c r="AQ250" s="8">
        <f>IF(X250="",0,IF(X250&lt;=0.0002,0,(X250/100)/($AQ$3/100)/炼钢参数表!T250*1000))</f>
        <v>0</v>
      </c>
      <c r="AR250" s="8">
        <f>IF(Y250="",0,IF(Y250&lt;=0.02,0,(Y250/100)/($AR$3/100)/炼钢参数表!U250*1000))</f>
        <v>0</v>
      </c>
      <c r="AS250" s="8">
        <f>IF(L250&lt;=0.04,0,((L250-0.04)/100)/($AS$3/100)/炼钢参数表!V250*1000)</f>
        <v>0</v>
      </c>
      <c r="AT250" s="8">
        <f>IF(M250&lt;=0.03,0,((M250-0.03)/100)/($AT$3/100)/炼钢参数表!W250*1000)</f>
        <v>0</v>
      </c>
      <c r="AU250" s="6"/>
      <c r="AV250" s="8">
        <f t="shared" si="41"/>
        <v>24.839816074063499</v>
      </c>
      <c r="AW250" s="8" cm="1">
        <f t="array" ref="AW250">SUMPRODUCT($AB$4:$AU$4,AB250:AU250)/1000</f>
        <v>372.17038139582701</v>
      </c>
      <c r="AY250" s="2" t="str">
        <f t="shared" si="42"/>
        <v>X65-2</v>
      </c>
      <c r="AZ250" s="37">
        <f>VLOOKUP(AY250,炼钢参数表!$F$5:$J$1027,4,0)</f>
        <v>4.6583333333333303E-2</v>
      </c>
      <c r="BA250" s="37">
        <f t="shared" si="43"/>
        <v>1.34166666666667E-2</v>
      </c>
      <c r="BB250" s="37">
        <f>AB250*$BB$4*炼钢参数表!$X$5/1000</f>
        <v>0</v>
      </c>
      <c r="BC250" s="37">
        <f>AC250*$BC$4*炼钢参数表!$X$5/1000</f>
        <v>0</v>
      </c>
      <c r="BD250" s="37">
        <f>AD250*$BD$4*炼钢参数表!$X$5/1000</f>
        <v>0</v>
      </c>
      <c r="BE250" s="37">
        <f>AE250*$BE$4*炼钢参数表!$X$5/1000</f>
        <v>9.8116034195424705E-3</v>
      </c>
      <c r="BF250" s="37">
        <f>AL250*$BF$4*炼钢参数表!$X$5/1000</f>
        <v>0</v>
      </c>
      <c r="BG250" s="37">
        <f>AM250*$BG$4*炼钢参数表!$X$5/1000</f>
        <v>0</v>
      </c>
      <c r="BH250" s="37">
        <f t="shared" si="44"/>
        <v>9.8116034195424705E-3</v>
      </c>
      <c r="BI250" s="37">
        <f t="shared" si="45"/>
        <v>5.6394936752875803E-2</v>
      </c>
      <c r="BJ250" s="37">
        <f t="shared" si="46"/>
        <v>-3.6050632471242199E-3</v>
      </c>
      <c r="BK250" s="54"/>
      <c r="BL250" s="7"/>
    </row>
    <row r="251" spans="1:65" s="18" customFormat="1" x14ac:dyDescent="0.3">
      <c r="A251" s="21">
        <v>243</v>
      </c>
      <c r="B251" s="4" t="s">
        <v>441</v>
      </c>
      <c r="C251" s="4" t="s">
        <v>23</v>
      </c>
      <c r="D251" s="4">
        <v>6</v>
      </c>
      <c r="E251" s="4">
        <v>14</v>
      </c>
      <c r="F251" s="4" t="s">
        <v>442</v>
      </c>
      <c r="G251" s="50" t="s">
        <v>443</v>
      </c>
      <c r="H251" s="4">
        <v>1520</v>
      </c>
      <c r="I251" s="51">
        <v>0.06</v>
      </c>
      <c r="J251" s="52">
        <v>0.23</v>
      </c>
      <c r="K251" s="52">
        <v>1.6</v>
      </c>
      <c r="L251" s="51">
        <v>0.01</v>
      </c>
      <c r="M251" s="51">
        <v>2E-3</v>
      </c>
      <c r="N251" s="51" t="s">
        <v>631</v>
      </c>
      <c r="O251" s="51">
        <v>0.06</v>
      </c>
      <c r="P251" s="51">
        <v>1.4999999999999999E-2</v>
      </c>
      <c r="Q251" s="51">
        <v>2.5000000000000001E-2</v>
      </c>
      <c r="R251" s="51" t="s">
        <v>631</v>
      </c>
      <c r="S251" s="32"/>
      <c r="T251" s="52">
        <v>0.25</v>
      </c>
      <c r="U251" s="52"/>
      <c r="V251" s="52"/>
      <c r="W251" s="52"/>
      <c r="X251" s="32"/>
      <c r="Y251" s="53" t="s">
        <v>631</v>
      </c>
      <c r="Z251" s="4">
        <v>40</v>
      </c>
      <c r="AA251" s="53" t="s">
        <v>641</v>
      </c>
      <c r="AB251" s="42">
        <f>IF(J251&lt;=0.04,0,IF((BA251-AL251*BF$4*炼钢参数表!$X$5/1000-AM251*BG$4*炼钢参数表!$X$5/1000)&lt;=0.03,0,IF((J251/100/0.1769/炼钢参数表!K251*1000)&gt;(K251-炼钢参数表!J251)/100/0.6566/炼钢参数表!L251*1000,IF(K251&lt;1.6,(K251-炼钢参数表!J251)/100/0.6566/炼钢参数表!L251*1000,(K251-0.08-炼钢参数表!J251)/100/0.6566/炼钢参数表!L251*1000),IF(K251&lt;1.6,J251/100/0.1769/炼钢参数表!K251*1000,(J251-0.08)/100/0.1769/炼钢参数表!K251*1000))))</f>
        <v>0</v>
      </c>
      <c r="AC251" s="8">
        <f>IF((BA251-AB251*$BB$4*0.9/1000-AL251*BF$4*炼钢参数表!$X$5/1000-AM251*BG$4*炼钢参数表!$X$5/1000)&lt;(K251-炼钢参数表!J251-AB251*0.6566*炼钢参数表!L251/10)*0.082,0,(K251-炼钢参数表!J251-AB251*0.6566*炼钢参数表!L251/10)/100/($AC$3/100)/炼钢参数表!L251*1000)</f>
        <v>0</v>
      </c>
      <c r="AD251" s="8">
        <f>IF((BA251-AB251*$BB$4*0.9/1000-AC251*$BC$4*0.9/1000-AL251*BF$4*炼钢参数表!$X$5/1000-AM251*BG$4*炼钢参数表!$X$5/1000)&lt;=(K251-炼钢参数表!J251-AB251*0.6566*炼钢参数表!L251/10-AC251*($AC$3/100)*炼钢参数表!L251/10)*0.02,0,((K251-炼钢参数表!J251-AB251*0.6566*炼钢参数表!L251/10-AC251*($AC$3/100)*炼钢参数表!L251/10)/100/($AD$3/100)/炼钢参数表!L251*1000))</f>
        <v>0</v>
      </c>
      <c r="AE251" s="8">
        <f>(K251-炼钢参数表!J251-AB251*0.6566*炼钢参数表!L251/10-AC251*($AC$3/100)*炼钢参数表!L251/10-AD251*($AD$3/100)*炼钢参数表!L251/10)/100/($AE$3/100)/炼钢参数表!L251*1000</f>
        <v>19.2921114744703</v>
      </c>
      <c r="AF251" s="8">
        <v>0</v>
      </c>
      <c r="AG251" s="8">
        <f>IF(J251&lt;=0.04,0,((J251-(AB251*0.1769*炼钢参数表!K251/1000*100))/100/炼钢参数表!K251/($AG$3/100)*1000))</f>
        <v>3.9803405787069099</v>
      </c>
      <c r="AH251" s="8">
        <v>2.2000000000000002</v>
      </c>
      <c r="AI251" s="8">
        <f>IF(N251="",0,IF(N251&lt;=0.002,0,((N251)/100)/($AI$3/100)/炼钢参数表!M251*1000))</f>
        <v>0</v>
      </c>
      <c r="AJ251" s="8">
        <f>IF(O251="",0,IF(O251&lt;=0.002,0,((O251)/100)/($AJ$3/100)/炼钢参数表!N251*1000))</f>
        <v>0.94133594397168396</v>
      </c>
      <c r="AK251" s="8">
        <f>IF(P251="",0,IF(P251&lt;=0.002,0,((P251+0.005)/100)/($AK$3/100)/炼钢参数表!O251*1000))</f>
        <v>0.399153793956812</v>
      </c>
      <c r="AL251" s="8">
        <f>IF((BA251-J251*0.00003-K251*0.00024)&lt;=0.05,0,IF(T251="",0,IF(T251&lt;=0.03,0,IF(((BA251-J251*0.00003-K251*0.00024)-0.05)/0.18/100/($AL$3/100)/炼钢参数表!P251*1000&lt;=T251/100/($AL$3/100)/炼钢参数表!P251*1000,((BA251-J251*0.00003-K251*0.00024)-0.05)/0.18/100/($AL$3/100)/炼钢参数表!P251*1000,T251/100/($AL$3/100)/炼钢参数表!P251*1000))))</f>
        <v>0</v>
      </c>
      <c r="AM251" s="8">
        <f>IF(T251="",0,IF(T251&lt;=0.03,0,((T251-AL251*($AL$3/100)*炼钢参数表!P251/10)/100/($AM$3/100)/炼钢参数表!P251*1000)))</f>
        <v>4.3811686855092002</v>
      </c>
      <c r="AN251" s="8">
        <f>IF(U251="",0,IF(U251&lt;=0.02,0,(U251/100)/($AN$3/100)/炼钢参数表!Q251*1000))</f>
        <v>0</v>
      </c>
      <c r="AO251" s="8">
        <f>IF(V251="",0,IF(V251&lt;=0.02,0,(V251/100)/($AO$3/100)/炼钢参数表!R251*1000))</f>
        <v>0</v>
      </c>
      <c r="AP251" s="8">
        <f>IF(W251="",0,IF(W251&lt;=0.02,0,(W251/100)/($AP$3/100)/炼钢参数表!S251*1000))</f>
        <v>0</v>
      </c>
      <c r="AQ251" s="8">
        <f>IF(X251="",0,IF(X251&lt;=0.0002,0,(X251/100)/($AQ$3/100)/炼钢参数表!T251*1000))</f>
        <v>0</v>
      </c>
      <c r="AR251" s="8">
        <f>IF(Y251="",0,IF(Y251&lt;=0.02,0,(Y251/100)/($AR$3/100)/炼钢参数表!U251*1000))</f>
        <v>0</v>
      </c>
      <c r="AS251" s="8">
        <f>IF(L251&lt;=0.04,0,((L251-0.04)/100)/($AS$3/100)/炼钢参数表!V251*1000)</f>
        <v>0</v>
      </c>
      <c r="AT251" s="8">
        <f>IF(M251&lt;=0.03,0,((M251-0.03)/100)/($AT$3/100)/炼钢参数表!W251*1000)</f>
        <v>0</v>
      </c>
      <c r="AU251" s="6"/>
      <c r="AV251" s="8">
        <f t="shared" si="41"/>
        <v>31.194110476614899</v>
      </c>
      <c r="AW251" s="8" cm="1">
        <f t="array" ref="AW251">SUMPRODUCT($AB$4:$AU$4,AB251:AU251)/1000</f>
        <v>507.44256598098599</v>
      </c>
      <c r="AY251" s="2" t="str">
        <f t="shared" si="42"/>
        <v>X70-1</v>
      </c>
      <c r="AZ251" s="37">
        <f>VLOOKUP(AY251,炼钢参数表!$F$5:$J$1027,4,0)</f>
        <v>4.0500000000000001E-2</v>
      </c>
      <c r="BA251" s="37">
        <f t="shared" si="43"/>
        <v>1.95E-2</v>
      </c>
      <c r="BB251" s="37">
        <f>AB251*$BB$4*炼钢参数表!$X$5/1000</f>
        <v>0</v>
      </c>
      <c r="BC251" s="37">
        <f>AC251*$BC$4*炼钢参数表!$X$5/1000</f>
        <v>0</v>
      </c>
      <c r="BD251" s="37">
        <f>AD251*$BD$4*炼钢参数表!$X$5/1000</f>
        <v>0</v>
      </c>
      <c r="BE251" s="37">
        <f>AE251*$BE$4*炼钢参数表!$X$5/1000</f>
        <v>1.11122562092949E-2</v>
      </c>
      <c r="BF251" s="37">
        <f>AL251*$BF$4*炼钢参数表!$X$5/1000</f>
        <v>0</v>
      </c>
      <c r="BG251" s="37">
        <f>AM251*$BG$4*炼钢参数表!$X$5/1000</f>
        <v>4.7316621803499302E-4</v>
      </c>
      <c r="BH251" s="37">
        <f t="shared" si="44"/>
        <v>1.15854224273299E-2</v>
      </c>
      <c r="BI251" s="37">
        <f t="shared" si="45"/>
        <v>5.20854224273299E-2</v>
      </c>
      <c r="BJ251" s="37">
        <f t="shared" si="46"/>
        <v>-7.9145775726700996E-3</v>
      </c>
      <c r="BK251" s="54"/>
      <c r="BL251" s="7"/>
    </row>
    <row r="252" spans="1:65" s="18" customFormat="1" x14ac:dyDescent="0.3">
      <c r="A252" s="21">
        <v>244</v>
      </c>
      <c r="B252" s="4" t="s">
        <v>441</v>
      </c>
      <c r="C252" s="4" t="s">
        <v>26</v>
      </c>
      <c r="D252" s="4">
        <v>14.01</v>
      </c>
      <c r="E252" s="4">
        <v>19</v>
      </c>
      <c r="F252" s="4" t="s">
        <v>444</v>
      </c>
      <c r="G252" s="50" t="s">
        <v>443</v>
      </c>
      <c r="H252" s="4">
        <v>1520</v>
      </c>
      <c r="I252" s="51">
        <v>0.06</v>
      </c>
      <c r="J252" s="52">
        <v>0.23</v>
      </c>
      <c r="K252" s="52">
        <v>1.65</v>
      </c>
      <c r="L252" s="51">
        <v>0.01</v>
      </c>
      <c r="M252" s="51">
        <v>2E-3</v>
      </c>
      <c r="N252" s="51" t="s">
        <v>631</v>
      </c>
      <c r="O252" s="51">
        <v>6.5000000000000002E-2</v>
      </c>
      <c r="P252" s="51">
        <v>1.4999999999999999E-2</v>
      </c>
      <c r="Q252" s="51">
        <v>2.5000000000000001E-2</v>
      </c>
      <c r="R252" s="51" t="s">
        <v>631</v>
      </c>
      <c r="S252" s="32"/>
      <c r="T252" s="52">
        <v>0.25</v>
      </c>
      <c r="U252" s="52"/>
      <c r="V252" s="52"/>
      <c r="W252" s="52"/>
      <c r="X252" s="32"/>
      <c r="Y252" s="53" t="s">
        <v>631</v>
      </c>
      <c r="Z252" s="4">
        <v>40</v>
      </c>
      <c r="AA252" s="53" t="s">
        <v>641</v>
      </c>
      <c r="AB252" s="42">
        <f>IF(J252&lt;=0.04,0,IF((BA252-AL252*BF$4*炼钢参数表!$X$5/1000-AM252*BG$4*炼钢参数表!$X$5/1000)&lt;=0.03,0,IF((J252/100/0.1769/炼钢参数表!K252*1000)&gt;(K252-炼钢参数表!J252)/100/0.6566/炼钢参数表!L252*1000,IF(K252&lt;1.6,(K252-炼钢参数表!J252)/100/0.6566/炼钢参数表!L252*1000,(K252-0.08-炼钢参数表!J252)/100/0.6566/炼钢参数表!L252*1000),IF(K252&lt;1.6,J252/100/0.1769/炼钢参数表!K252*1000,(J252-0.08)/100/0.1769/炼钢参数表!K252*1000))))</f>
        <v>0</v>
      </c>
      <c r="AC252" s="8">
        <f>IF((BA252-AB252*$BB$4*0.9/1000-AL252*BF$4*炼钢参数表!$X$5/1000-AM252*BG$4*炼钢参数表!$X$5/1000)&lt;(K252-炼钢参数表!J252-AB252*0.6566*炼钢参数表!L252/10)*0.082,0,(K252-炼钢参数表!J252-AB252*0.6566*炼钢参数表!L252/10)/100/($AC$3/100)/炼钢参数表!L252*1000)</f>
        <v>0</v>
      </c>
      <c r="AD252" s="8">
        <f>IF((BA252-AB252*$BB$4*0.9/1000-AC252*$BC$4*0.9/1000-AL252*BF$4*炼钢参数表!$X$5/1000-AM252*BG$4*炼钢参数表!$X$5/1000)&lt;=(K252-炼钢参数表!J252-AB252*0.6566*炼钢参数表!L252/10-AC252*($AC$3/100)*炼钢参数表!L252/10)*0.02,0,((K252-炼钢参数表!J252-AB252*0.6566*炼钢参数表!L252/10-AC252*($AC$3/100)*炼钢参数表!L252/10)/100/($AD$3/100)/炼钢参数表!L252*1000))</f>
        <v>0</v>
      </c>
      <c r="AE252" s="8">
        <f>(K252-炼钢参数表!J252-AB252*0.6566*炼钢参数表!L252/10-AC252*($AC$3/100)*炼钢参数表!L252/10-AD252*($AD$3/100)*炼钢参数表!L252/10)/100/($AE$3/100)/炼钢参数表!L252*1000</f>
        <v>19.9205190143553</v>
      </c>
      <c r="AF252" s="8">
        <v>0</v>
      </c>
      <c r="AG252" s="8">
        <f>IF(J252&lt;=0.04,0,((J252-(AB252*0.1769*炼钢参数表!K252/1000*100))/100/炼钢参数表!K252/($AG$3/100)*1000))</f>
        <v>3.9803405787069099</v>
      </c>
      <c r="AH252" s="8">
        <v>2.2000000000000002</v>
      </c>
      <c r="AI252" s="8">
        <f>IF(N252="",0,IF(N252&lt;=0.002,0,((N252)/100)/($AI$3/100)/炼钢参数表!M252*1000))</f>
        <v>0</v>
      </c>
      <c r="AJ252" s="8">
        <f>IF(O252="",0,IF(O252&lt;=0.002,0,((O252)/100)/($AJ$3/100)/炼钢参数表!N252*1000))</f>
        <v>1.01978060596932</v>
      </c>
      <c r="AK252" s="8">
        <f>IF(P252="",0,IF(P252&lt;=0.002,0,((P252+0.005)/100)/($AK$3/100)/炼钢参数表!O252*1000))</f>
        <v>0.399153793956812</v>
      </c>
      <c r="AL252" s="8">
        <f>IF((BA252-J252*0.00003-K252*0.00024)&lt;=0.05,0,IF(T252="",0,IF(T252&lt;=0.03,0,IF(((BA252-J252*0.00003-K252*0.00024)-0.05)/0.18/100/($AL$3/100)/炼钢参数表!P252*1000&lt;=T252/100/($AL$3/100)/炼钢参数表!P252*1000,((BA252-J252*0.00003-K252*0.00024)-0.05)/0.18/100/($AL$3/100)/炼钢参数表!P252*1000,T252/100/($AL$3/100)/炼钢参数表!P252*1000))))</f>
        <v>0</v>
      </c>
      <c r="AM252" s="8">
        <f>IF(T252="",0,IF(T252&lt;=0.03,0,((T252-AL252*($AL$3/100)*炼钢参数表!P252/10)/100/($AM$3/100)/炼钢参数表!P252*1000)))</f>
        <v>4.3811686855092002</v>
      </c>
      <c r="AN252" s="8">
        <f>IF(U252="",0,IF(U252&lt;=0.02,0,(U252/100)/($AN$3/100)/炼钢参数表!Q252*1000))</f>
        <v>0</v>
      </c>
      <c r="AO252" s="8">
        <f>IF(V252="",0,IF(V252&lt;=0.02,0,(V252/100)/($AO$3/100)/炼钢参数表!R252*1000))</f>
        <v>0</v>
      </c>
      <c r="AP252" s="8">
        <f>IF(W252="",0,IF(W252&lt;=0.02,0,(W252/100)/($AP$3/100)/炼钢参数表!S252*1000))</f>
        <v>0</v>
      </c>
      <c r="AQ252" s="8">
        <f>IF(X252="",0,IF(X252&lt;=0.0002,0,(X252/100)/($AQ$3/100)/炼钢参数表!T252*1000))</f>
        <v>0</v>
      </c>
      <c r="AR252" s="8">
        <f>IF(Y252="",0,IF(Y252&lt;=0.02,0,(Y252/100)/($AR$3/100)/炼钢参数表!U252*1000))</f>
        <v>0</v>
      </c>
      <c r="AS252" s="8">
        <f>IF(L252&lt;=0.04,0,((L252-0.04)/100)/($AS$3/100)/炼钢参数表!V252*1000)</f>
        <v>0</v>
      </c>
      <c r="AT252" s="8">
        <f>IF(M252&lt;=0.03,0,((M252-0.03)/100)/($AT$3/100)/炼钢参数表!W252*1000)</f>
        <v>0</v>
      </c>
      <c r="AU252" s="6"/>
      <c r="AV252" s="8">
        <f t="shared" si="41"/>
        <v>31.900962678497599</v>
      </c>
      <c r="AW252" s="8" cm="1">
        <f t="array" ref="AW252">SUMPRODUCT($AB$4:$AU$4,AB252:AU252)/1000</f>
        <v>529.62074407176601</v>
      </c>
      <c r="AY252" s="2" t="str">
        <f t="shared" ref="AY252:AY273" si="47">F252</f>
        <v>X70-2</v>
      </c>
      <c r="AZ252" s="37">
        <f>VLOOKUP(AY252,炼钢参数表!$F$5:$J$1027,4,0)</f>
        <v>4.0500000000000001E-2</v>
      </c>
      <c r="BA252" s="37">
        <f t="shared" ref="BA252:BA273" si="48">I252-AZ252</f>
        <v>1.95E-2</v>
      </c>
      <c r="BB252" s="37">
        <f>AB252*$BB$4*炼钢参数表!$X$5/1000</f>
        <v>0</v>
      </c>
      <c r="BC252" s="37">
        <f>AC252*$BC$4*炼钢参数表!$X$5/1000</f>
        <v>0</v>
      </c>
      <c r="BD252" s="37">
        <f>AD252*$BD$4*炼钢参数表!$X$5/1000</f>
        <v>0</v>
      </c>
      <c r="BE252" s="37">
        <f>AE252*$BE$4*炼钢参数表!$X$5/1000</f>
        <v>1.1474218952268699E-2</v>
      </c>
      <c r="BF252" s="37">
        <f>AL252*$BF$4*炼钢参数表!$X$5/1000</f>
        <v>0</v>
      </c>
      <c r="BG252" s="37">
        <f>AM252*$BG$4*炼钢参数表!$X$5/1000</f>
        <v>4.7316621803499302E-4</v>
      </c>
      <c r="BH252" s="37">
        <f t="shared" ref="BH252:BH273" si="49">SUM(BB252:BG252)</f>
        <v>1.19473851703037E-2</v>
      </c>
      <c r="BI252" s="37">
        <f t="shared" ref="BI252:BI273" si="50">AZ252+BH252</f>
        <v>5.2447385170303701E-2</v>
      </c>
      <c r="BJ252" s="37">
        <f t="shared" ref="BJ252:BJ273" si="51">BI252-I252</f>
        <v>-7.5526148296963204E-3</v>
      </c>
      <c r="BK252" s="54"/>
      <c r="BL252" s="7"/>
    </row>
    <row r="253" spans="1:65" s="18" customFormat="1" x14ac:dyDescent="0.3">
      <c r="A253" s="21">
        <v>245</v>
      </c>
      <c r="B253" s="4" t="s">
        <v>445</v>
      </c>
      <c r="C253" s="4" t="s">
        <v>23</v>
      </c>
      <c r="D253" s="4">
        <v>6</v>
      </c>
      <c r="E253" s="4">
        <v>14</v>
      </c>
      <c r="F253" s="4" t="s">
        <v>446</v>
      </c>
      <c r="G253" s="50" t="s">
        <v>447</v>
      </c>
      <c r="H253" s="4">
        <v>1520</v>
      </c>
      <c r="I253" s="51">
        <v>0.06</v>
      </c>
      <c r="J253" s="52">
        <v>0.23</v>
      </c>
      <c r="K253" s="52">
        <v>1.6</v>
      </c>
      <c r="L253" s="51">
        <v>0.01</v>
      </c>
      <c r="M253" s="51">
        <v>2E-3</v>
      </c>
      <c r="N253" s="51" t="s">
        <v>631</v>
      </c>
      <c r="O253" s="51">
        <v>0.06</v>
      </c>
      <c r="P253" s="51">
        <v>1.4999999999999999E-2</v>
      </c>
      <c r="Q253" s="51">
        <v>2.5000000000000001E-2</v>
      </c>
      <c r="R253" s="51" t="s">
        <v>631</v>
      </c>
      <c r="S253" s="32"/>
      <c r="T253" s="52">
        <v>0.25</v>
      </c>
      <c r="U253" s="52"/>
      <c r="V253" s="52"/>
      <c r="W253" s="52"/>
      <c r="X253" s="32"/>
      <c r="Y253" s="53" t="s">
        <v>631</v>
      </c>
      <c r="Z253" s="4">
        <v>40</v>
      </c>
      <c r="AA253" s="53" t="s">
        <v>642</v>
      </c>
      <c r="AB253" s="42">
        <f>IF(J253&lt;=0.04,0,IF((BA253-AL253*BF$4*炼钢参数表!$X$5/1000-AM253*BG$4*炼钢参数表!$X$5/1000)&lt;=0.03,0,IF((J253/100/0.1769/炼钢参数表!K253*1000)&gt;(K253-炼钢参数表!J253)/100/0.6566/炼钢参数表!L253*1000,IF(K253&lt;1.6,(K253-炼钢参数表!J253)/100/0.6566/炼钢参数表!L253*1000,(K253-0.08-炼钢参数表!J253)/100/0.6566/炼钢参数表!L253*1000),IF(K253&lt;1.6,J253/100/0.1769/炼钢参数表!K253*1000,(J253-0.08)/100/0.1769/炼钢参数表!K253*1000))))</f>
        <v>0</v>
      </c>
      <c r="AC253" s="8">
        <f>IF((BA253-AB253*$BB$4*0.9/1000-AL253*BF$4*炼钢参数表!$X$5/1000-AM253*BG$4*炼钢参数表!$X$5/1000)&lt;(K253-炼钢参数表!J253-AB253*0.6566*炼钢参数表!L253/10)*0.082,0,(K253-炼钢参数表!J253-AB253*0.6566*炼钢参数表!L253/10)/100/($AC$3/100)/炼钢参数表!L253*1000)</f>
        <v>0</v>
      </c>
      <c r="AD253" s="8">
        <f>IF((BA253-AB253*$BB$4*0.9/1000-AC253*$BC$4*0.9/1000-AL253*BF$4*炼钢参数表!$X$5/1000-AM253*BG$4*炼钢参数表!$X$5/1000)&lt;=(K253-炼钢参数表!J253-AB253*0.6566*炼钢参数表!L253/10-AC253*($AC$3/100)*炼钢参数表!L253/10)*0.02,0,((K253-炼钢参数表!J253-AB253*0.6566*炼钢参数表!L253/10-AC253*($AC$3/100)*炼钢参数表!L253/10)/100/($AD$3/100)/炼钢参数表!L253*1000))</f>
        <v>0</v>
      </c>
      <c r="AE253" s="8">
        <f>(K253-炼钢参数表!J253-AB253*0.6566*炼钢参数表!L253/10-AC253*($AC$3/100)*炼钢参数表!L253/10-AD253*($AD$3/100)*炼钢参数表!L253/10)/100/($AE$3/100)/炼钢参数表!L253*1000</f>
        <v>19.2921114744703</v>
      </c>
      <c r="AF253" s="8">
        <v>0</v>
      </c>
      <c r="AG253" s="8">
        <f>IF(J253&lt;=0.04,0,((J253-(AB253*0.1769*炼钢参数表!K253/1000*100))/100/炼钢参数表!K253/($AG$3/100)*1000))</f>
        <v>3.9803405787069099</v>
      </c>
      <c r="AH253" s="8">
        <v>2.2000000000000002</v>
      </c>
      <c r="AI253" s="8">
        <f>IF(N253="",0,IF(N253&lt;=0.002,0,((N253)/100)/($AI$3/100)/炼钢参数表!M253*1000))</f>
        <v>0</v>
      </c>
      <c r="AJ253" s="8">
        <f>IF(O253="",0,IF(O253&lt;=0.002,0,((O253)/100)/($AJ$3/100)/炼钢参数表!N253*1000))</f>
        <v>0.94133594397168396</v>
      </c>
      <c r="AK253" s="8">
        <f>IF(P253="",0,IF(P253&lt;=0.002,0,((P253+0.005)/100)/($AK$3/100)/炼钢参数表!O253*1000))</f>
        <v>0.399153793956812</v>
      </c>
      <c r="AL253" s="8">
        <f>IF((BA253-J253*0.00003-K253*0.00024)&lt;=0.05,0,IF(T253="",0,IF(T253&lt;=0.03,0,IF(((BA253-J253*0.00003-K253*0.00024)-0.05)/0.18/100/($AL$3/100)/炼钢参数表!P253*1000&lt;=T253/100/($AL$3/100)/炼钢参数表!P253*1000,((BA253-J253*0.00003-K253*0.00024)-0.05)/0.18/100/($AL$3/100)/炼钢参数表!P253*1000,T253/100/($AL$3/100)/炼钢参数表!P253*1000))))</f>
        <v>0</v>
      </c>
      <c r="AM253" s="8">
        <f>IF(T253="",0,IF(T253&lt;=0.03,0,((T253-AL253*($AL$3/100)*炼钢参数表!P253/10)/100/($AM$3/100)/炼钢参数表!P253*1000)))</f>
        <v>4.3811686855092002</v>
      </c>
      <c r="AN253" s="8">
        <f>IF(U253="",0,IF(U253&lt;=0.02,0,(U253/100)/($AN$3/100)/炼钢参数表!Q253*1000))</f>
        <v>0</v>
      </c>
      <c r="AO253" s="8">
        <f>IF(V253="",0,IF(V253&lt;=0.02,0,(V253/100)/($AO$3/100)/炼钢参数表!R253*1000))</f>
        <v>0</v>
      </c>
      <c r="AP253" s="8">
        <f>IF(W253="",0,IF(W253&lt;=0.02,0,(W253/100)/($AP$3/100)/炼钢参数表!S253*1000))</f>
        <v>0</v>
      </c>
      <c r="AQ253" s="8">
        <f>IF(X253="",0,IF(X253&lt;=0.0002,0,(X253/100)/($AQ$3/100)/炼钢参数表!T253*1000))</f>
        <v>0</v>
      </c>
      <c r="AR253" s="8">
        <f>IF(Y253="",0,IF(Y253&lt;=0.02,0,(Y253/100)/($AR$3/100)/炼钢参数表!U253*1000))</f>
        <v>0</v>
      </c>
      <c r="AS253" s="8">
        <f>IF(L253&lt;=0.04,0,((L253-0.04)/100)/($AS$3/100)/炼钢参数表!V253*1000)</f>
        <v>0</v>
      </c>
      <c r="AT253" s="8">
        <f>IF(M253&lt;=0.03,0,((M253-0.03)/100)/($AT$3/100)/炼钢参数表!W253*1000)</f>
        <v>0</v>
      </c>
      <c r="AU253" s="6"/>
      <c r="AV253" s="8">
        <f t="shared" si="41"/>
        <v>31.194110476614899</v>
      </c>
      <c r="AW253" s="8" cm="1">
        <f t="array" ref="AW253">SUMPRODUCT($AB$4:$AU$4,AB253:AU253)/1000</f>
        <v>507.44256598098599</v>
      </c>
      <c r="AY253" s="2" t="str">
        <f t="shared" si="47"/>
        <v>X70M-1</v>
      </c>
      <c r="AZ253" s="37">
        <f>VLOOKUP(AY253,炼钢参数表!$F$5:$J$1027,4,0)</f>
        <v>4.0500000000000001E-2</v>
      </c>
      <c r="BA253" s="37">
        <f t="shared" si="48"/>
        <v>1.95E-2</v>
      </c>
      <c r="BB253" s="37">
        <f>AB253*$BB$4*炼钢参数表!$X$5/1000</f>
        <v>0</v>
      </c>
      <c r="BC253" s="37">
        <f>AC253*$BC$4*炼钢参数表!$X$5/1000</f>
        <v>0</v>
      </c>
      <c r="BD253" s="37">
        <f>AD253*$BD$4*炼钢参数表!$X$5/1000</f>
        <v>0</v>
      </c>
      <c r="BE253" s="37">
        <f>AE253*$BE$4*炼钢参数表!$X$5/1000</f>
        <v>1.11122562092949E-2</v>
      </c>
      <c r="BF253" s="37">
        <f>AL253*$BF$4*炼钢参数表!$X$5/1000</f>
        <v>0</v>
      </c>
      <c r="BG253" s="37">
        <f>AM253*$BG$4*炼钢参数表!$X$5/1000</f>
        <v>4.7316621803499302E-4</v>
      </c>
      <c r="BH253" s="37">
        <f t="shared" si="49"/>
        <v>1.15854224273299E-2</v>
      </c>
      <c r="BI253" s="37">
        <f t="shared" si="50"/>
        <v>5.20854224273299E-2</v>
      </c>
      <c r="BJ253" s="37">
        <f t="shared" si="51"/>
        <v>-7.9145775726700996E-3</v>
      </c>
      <c r="BK253" s="54"/>
      <c r="BL253" s="7"/>
    </row>
    <row r="254" spans="1:65" s="18" customFormat="1" x14ac:dyDescent="0.3">
      <c r="A254" s="21">
        <v>246</v>
      </c>
      <c r="B254" s="4" t="s">
        <v>445</v>
      </c>
      <c r="C254" s="4" t="s">
        <v>26</v>
      </c>
      <c r="D254" s="4">
        <v>14.01</v>
      </c>
      <c r="E254" s="4">
        <v>24</v>
      </c>
      <c r="F254" s="4" t="s">
        <v>448</v>
      </c>
      <c r="G254" s="50" t="s">
        <v>447</v>
      </c>
      <c r="H254" s="4">
        <v>1520</v>
      </c>
      <c r="I254" s="51">
        <v>0.06</v>
      </c>
      <c r="J254" s="52">
        <v>0.23</v>
      </c>
      <c r="K254" s="52">
        <v>1.65</v>
      </c>
      <c r="L254" s="51">
        <v>0.01</v>
      </c>
      <c r="M254" s="51">
        <v>2E-3</v>
      </c>
      <c r="N254" s="51" t="s">
        <v>631</v>
      </c>
      <c r="O254" s="51">
        <v>6.5000000000000002E-2</v>
      </c>
      <c r="P254" s="51">
        <v>1.4999999999999999E-2</v>
      </c>
      <c r="Q254" s="51">
        <v>2.5000000000000001E-2</v>
      </c>
      <c r="R254" s="51" t="s">
        <v>631</v>
      </c>
      <c r="S254" s="32"/>
      <c r="T254" s="52">
        <v>0.25</v>
      </c>
      <c r="U254" s="52"/>
      <c r="V254" s="52"/>
      <c r="W254" s="52"/>
      <c r="X254" s="32"/>
      <c r="Y254" s="53" t="s">
        <v>631</v>
      </c>
      <c r="Z254" s="4">
        <v>40</v>
      </c>
      <c r="AA254" s="53" t="s">
        <v>642</v>
      </c>
      <c r="AB254" s="42">
        <f>IF(J254&lt;=0.04,0,IF((BA254-AL254*BF$4*炼钢参数表!$X$5/1000-AM254*BG$4*炼钢参数表!$X$5/1000)&lt;=0.03,0,IF((J254/100/0.1769/炼钢参数表!K254*1000)&gt;(K254-炼钢参数表!J254)/100/0.6566/炼钢参数表!L254*1000,IF(K254&lt;1.6,(K254-炼钢参数表!J254)/100/0.6566/炼钢参数表!L254*1000,(K254-0.08-炼钢参数表!J254)/100/0.6566/炼钢参数表!L254*1000),IF(K254&lt;1.6,J254/100/0.1769/炼钢参数表!K254*1000,(J254-0.08)/100/0.1769/炼钢参数表!K254*1000))))</f>
        <v>0</v>
      </c>
      <c r="AC254" s="8">
        <f>IF((BA254-AB254*$BB$4*0.9/1000-AL254*BF$4*炼钢参数表!$X$5/1000-AM254*BG$4*炼钢参数表!$X$5/1000)&lt;(K254-炼钢参数表!J254-AB254*0.6566*炼钢参数表!L254/10)*0.082,0,(K254-炼钢参数表!J254-AB254*0.6566*炼钢参数表!L254/10)/100/($AC$3/100)/炼钢参数表!L254*1000)</f>
        <v>0</v>
      </c>
      <c r="AD254" s="8">
        <f>IF((BA254-AB254*$BB$4*0.9/1000-AC254*$BC$4*0.9/1000-AL254*BF$4*炼钢参数表!$X$5/1000-AM254*BG$4*炼钢参数表!$X$5/1000)&lt;=(K254-炼钢参数表!J254-AB254*0.6566*炼钢参数表!L254/10-AC254*($AC$3/100)*炼钢参数表!L254/10)*0.02,0,((K254-炼钢参数表!J254-AB254*0.6566*炼钢参数表!L254/10-AC254*($AC$3/100)*炼钢参数表!L254/10)/100/($AD$3/100)/炼钢参数表!L254*1000))</f>
        <v>0</v>
      </c>
      <c r="AE254" s="8">
        <f>(K254-炼钢参数表!J254-AB254*0.6566*炼钢参数表!L254/10-AC254*($AC$3/100)*炼钢参数表!L254/10-AD254*($AD$3/100)*炼钢参数表!L254/10)/100/($AE$3/100)/炼钢参数表!L254*1000</f>
        <v>19.9205190143553</v>
      </c>
      <c r="AF254" s="8">
        <v>0</v>
      </c>
      <c r="AG254" s="8">
        <f>IF(J254&lt;=0.04,0,((J254-(AB254*0.1769*炼钢参数表!K254/1000*100))/100/炼钢参数表!K254/($AG$3/100)*1000))</f>
        <v>3.9803405787069099</v>
      </c>
      <c r="AH254" s="8">
        <v>2.2000000000000002</v>
      </c>
      <c r="AI254" s="8">
        <f>IF(N254="",0,IF(N254&lt;=0.002,0,((N254)/100)/($AI$3/100)/炼钢参数表!M254*1000))</f>
        <v>0</v>
      </c>
      <c r="AJ254" s="8">
        <f>IF(O254="",0,IF(O254&lt;=0.002,0,((O254)/100)/($AJ$3/100)/炼钢参数表!N254*1000))</f>
        <v>1.01978060596932</v>
      </c>
      <c r="AK254" s="8">
        <f>IF(P254="",0,IF(P254&lt;=0.002,0,((P254+0.005)/100)/($AK$3/100)/炼钢参数表!O254*1000))</f>
        <v>0.399153793956812</v>
      </c>
      <c r="AL254" s="8">
        <f>IF((BA254-J254*0.00003-K254*0.00024)&lt;=0.05,0,IF(T254="",0,IF(T254&lt;=0.03,0,IF(((BA254-J254*0.00003-K254*0.00024)-0.05)/0.18/100/($AL$3/100)/炼钢参数表!P254*1000&lt;=T254/100/($AL$3/100)/炼钢参数表!P254*1000,((BA254-J254*0.00003-K254*0.00024)-0.05)/0.18/100/($AL$3/100)/炼钢参数表!P254*1000,T254/100/($AL$3/100)/炼钢参数表!P254*1000))))</f>
        <v>0</v>
      </c>
      <c r="AM254" s="8">
        <f>IF(T254="",0,IF(T254&lt;=0.03,0,((T254-AL254*($AL$3/100)*炼钢参数表!P254/10)/100/($AM$3/100)/炼钢参数表!P254*1000)))</f>
        <v>4.3811686855092002</v>
      </c>
      <c r="AN254" s="8">
        <f>IF(U254="",0,IF(U254&lt;=0.02,0,(U254/100)/($AN$3/100)/炼钢参数表!Q254*1000))</f>
        <v>0</v>
      </c>
      <c r="AO254" s="8">
        <f>IF(V254="",0,IF(V254&lt;=0.02,0,(V254/100)/($AO$3/100)/炼钢参数表!R254*1000))</f>
        <v>0</v>
      </c>
      <c r="AP254" s="8">
        <f>IF(W254="",0,IF(W254&lt;=0.02,0,(W254/100)/($AP$3/100)/炼钢参数表!S254*1000))</f>
        <v>0</v>
      </c>
      <c r="AQ254" s="8">
        <f>IF(X254="",0,IF(X254&lt;=0.0002,0,(X254/100)/($AQ$3/100)/炼钢参数表!T254*1000))</f>
        <v>0</v>
      </c>
      <c r="AR254" s="8">
        <f>IF(Y254="",0,IF(Y254&lt;=0.02,0,(Y254/100)/($AR$3/100)/炼钢参数表!U254*1000))</f>
        <v>0</v>
      </c>
      <c r="AS254" s="8">
        <f>IF(L254&lt;=0.04,0,((L254-0.04)/100)/($AS$3/100)/炼钢参数表!V254*1000)</f>
        <v>0</v>
      </c>
      <c r="AT254" s="8">
        <f>IF(M254&lt;=0.03,0,((M254-0.03)/100)/($AT$3/100)/炼钢参数表!W254*1000)</f>
        <v>0</v>
      </c>
      <c r="AU254" s="6"/>
      <c r="AV254" s="8">
        <f t="shared" si="41"/>
        <v>31.900962678497599</v>
      </c>
      <c r="AW254" s="8" cm="1">
        <f t="array" ref="AW254">SUMPRODUCT($AB$4:$AU$4,AB254:AU254)/1000</f>
        <v>529.62074407176601</v>
      </c>
      <c r="AY254" s="2" t="str">
        <f t="shared" si="47"/>
        <v>X70M-2</v>
      </c>
      <c r="AZ254" s="37">
        <f>VLOOKUP(AY254,炼钢参数表!$F$5:$J$1027,4,0)</f>
        <v>4.0500000000000001E-2</v>
      </c>
      <c r="BA254" s="37">
        <f t="shared" si="48"/>
        <v>1.95E-2</v>
      </c>
      <c r="BB254" s="37">
        <f>AB254*$BB$4*炼钢参数表!$X$5/1000</f>
        <v>0</v>
      </c>
      <c r="BC254" s="37">
        <f>AC254*$BC$4*炼钢参数表!$X$5/1000</f>
        <v>0</v>
      </c>
      <c r="BD254" s="37">
        <f>AD254*$BD$4*炼钢参数表!$X$5/1000</f>
        <v>0</v>
      </c>
      <c r="BE254" s="37">
        <f>AE254*$BE$4*炼钢参数表!$X$5/1000</f>
        <v>1.1474218952268699E-2</v>
      </c>
      <c r="BF254" s="37">
        <f>AL254*$BF$4*炼钢参数表!$X$5/1000</f>
        <v>0</v>
      </c>
      <c r="BG254" s="37">
        <f>AM254*$BG$4*炼钢参数表!$X$5/1000</f>
        <v>4.7316621803499302E-4</v>
      </c>
      <c r="BH254" s="37">
        <f t="shared" si="49"/>
        <v>1.19473851703037E-2</v>
      </c>
      <c r="BI254" s="37">
        <f t="shared" si="50"/>
        <v>5.2447385170303701E-2</v>
      </c>
      <c r="BJ254" s="37">
        <f t="shared" si="51"/>
        <v>-7.5526148296963204E-3</v>
      </c>
      <c r="BK254" s="54"/>
      <c r="BL254" s="7"/>
    </row>
    <row r="255" spans="1:65" s="18" customFormat="1" x14ac:dyDescent="0.3">
      <c r="A255" s="21">
        <v>247</v>
      </c>
      <c r="B255" s="4" t="s">
        <v>449</v>
      </c>
      <c r="C255" s="4" t="s">
        <v>23</v>
      </c>
      <c r="D255" s="4">
        <v>6</v>
      </c>
      <c r="E255" s="4">
        <v>16</v>
      </c>
      <c r="F255" s="4" t="s">
        <v>450</v>
      </c>
      <c r="G255" s="50" t="s">
        <v>451</v>
      </c>
      <c r="H255" s="4">
        <v>1520</v>
      </c>
      <c r="I255" s="51">
        <v>0.04</v>
      </c>
      <c r="J255" s="52">
        <v>0.23</v>
      </c>
      <c r="K255" s="52">
        <v>1.8</v>
      </c>
      <c r="L255" s="51">
        <v>0.01</v>
      </c>
      <c r="M255" s="51">
        <v>2E-3</v>
      </c>
      <c r="N255" s="51"/>
      <c r="O255" s="51">
        <v>0.08</v>
      </c>
      <c r="P255" s="51">
        <v>1.2E-2</v>
      </c>
      <c r="Q255" s="51">
        <v>2.5000000000000001E-2</v>
      </c>
      <c r="R255" s="51" t="s">
        <v>631</v>
      </c>
      <c r="S255" s="32"/>
      <c r="T255" s="52">
        <v>0.25</v>
      </c>
      <c r="U255" s="52"/>
      <c r="V255" s="52"/>
      <c r="W255" s="52">
        <v>0.18</v>
      </c>
      <c r="X255" s="32"/>
      <c r="Y255" s="53" t="s">
        <v>631</v>
      </c>
      <c r="Z255" s="4">
        <v>40</v>
      </c>
      <c r="AA255" s="53" t="s">
        <v>643</v>
      </c>
      <c r="AB255" s="42">
        <f>IF(J255&lt;=0.04,0,IF((BA255-AL255*BF$4*炼钢参数表!$X$5/1000-AM255*BG$4*炼钢参数表!$X$5/1000)&lt;=0.03,0,IF((J255/100/0.1769/炼钢参数表!K255*1000)&gt;(K255-炼钢参数表!J255)/100/0.6566/炼钢参数表!L255*1000,IF(K255&lt;1.6,(K255-炼钢参数表!J255)/100/0.6566/炼钢参数表!L255*1000,(K255-0.08-炼钢参数表!J255)/100/0.6566/炼钢参数表!L255*1000),IF(K255&lt;1.6,J255/100/0.1769/炼钢参数表!K255*1000,(J255-0.08)/100/0.1769/炼钢参数表!K255*1000))))</f>
        <v>0</v>
      </c>
      <c r="AC255" s="8">
        <f>IF((BA255-AB255*$BB$4*0.9/1000-AL255*BF$4*炼钢参数表!$X$5/1000-AM255*BG$4*炼钢参数表!$X$5/1000)&lt;(K255-炼钢参数表!J255-AB255*0.6566*炼钢参数表!L255/10)*0.082,0,(K255-炼钢参数表!J255-AB255*0.6566*炼钢参数表!L255/10)/100/($AC$3/100)/炼钢参数表!L255*1000)</f>
        <v>0</v>
      </c>
      <c r="AD255" s="8">
        <f>IF((BA255-AB255*$BB$4*0.9/1000-AC255*$BC$4*0.9/1000-AL255*BF$4*炼钢参数表!$X$5/1000-AM255*BG$4*炼钢参数表!$X$5/1000)&lt;=(K255-炼钢参数表!J255-AB255*0.6566*炼钢参数表!L255/10-AC255*($AC$3/100)*炼钢参数表!L255/10)*0.02,0,((K255-炼钢参数表!J255-AB255*0.6566*炼钢参数表!L255/10-AC255*($AC$3/100)*炼钢参数表!L255/10)/100/($AD$3/100)/炼钢参数表!L255*1000))</f>
        <v>0</v>
      </c>
      <c r="AE255" s="8">
        <f>(K255-炼钢参数表!J255-AB255*0.6566*炼钢参数表!L255/10-AC255*($AC$3/100)*炼钢参数表!L255/10-AD255*($AD$3/100)*炼钢参数表!L255/10)/100/($AE$3/100)/炼钢参数表!L255*1000</f>
        <v>22.0822409515598</v>
      </c>
      <c r="AF255" s="8">
        <v>0</v>
      </c>
      <c r="AG255" s="8">
        <f>IF(J255&lt;=0.04,0,((J255-(AB255*0.1769*炼钢参数表!K255/1000*100))/100/炼钢参数表!K255/($AG$3/100)*1000))</f>
        <v>3.9803405787069099</v>
      </c>
      <c r="AH255" s="8">
        <v>2.2999999999999998</v>
      </c>
      <c r="AI255" s="8">
        <f>IF(N255="",0,IF(N255&lt;=0.002,0,((N255)/100)/($AI$3/100)/炼钢参数表!M255*1000))</f>
        <v>0</v>
      </c>
      <c r="AJ255" s="8">
        <f>IF(O255="",0,IF(O255&lt;=0.002,0,((O255)/100)/($AJ$3/100)/炼钢参数表!N255*1000))</f>
        <v>1.2551145919622499</v>
      </c>
      <c r="AK255" s="8">
        <f>IF(P255="",0,IF(P255&lt;=0.002,0,((P255+0.005)/100)/($AK$3/100)/炼钢参数表!O255*1000))</f>
        <v>0.33928072486328997</v>
      </c>
      <c r="AL255" s="8">
        <f>IF((BA255-J255*0.00003-K255*0.00024)&lt;=0.05,0,IF(T255="",0,IF(T255&lt;=0.03,0,IF(((BA255-J255*0.00003-K255*0.00024)-0.05)/0.18/100/($AL$3/100)/炼钢参数表!P255*1000&lt;=T255/100/($AL$3/100)/炼钢参数表!P255*1000,((BA255-J255*0.00003-K255*0.00024)-0.05)/0.18/100/($AL$3/100)/炼钢参数表!P255*1000,T255/100/($AL$3/100)/炼钢参数表!P255*1000))))</f>
        <v>0</v>
      </c>
      <c r="AM255" s="8">
        <f>IF(T255="",0,IF(T255&lt;=0.03,0,((T255-AL255*($AL$3/100)*炼钢参数表!P255/10)/100/($AM$3/100)/炼钢参数表!P255*1000)))</f>
        <v>4.3811686855092002</v>
      </c>
      <c r="AN255" s="8">
        <f>IF(U255="",0,IF(U255&lt;=0.02,0,(U255/100)/($AN$3/100)/炼钢参数表!Q255*1000))</f>
        <v>0</v>
      </c>
      <c r="AO255" s="8">
        <f>IF(V255="",0,IF(V255&lt;=0.02,0,(V255/100)/($AO$3/100)/炼钢参数表!R255*1000))</f>
        <v>0</v>
      </c>
      <c r="AP255" s="8">
        <f>IF(W255="",0,IF(W255&lt;=0.02,0,(W255/100)/($AP$3/100)/炼钢参数表!S255*1000))</f>
        <v>3.18324903618293</v>
      </c>
      <c r="AQ255" s="8">
        <f>IF(X255="",0,IF(X255&lt;=0.0002,0,(X255/100)/($AQ$3/100)/炼钢参数表!T255*1000))</f>
        <v>0</v>
      </c>
      <c r="AR255" s="8">
        <f>IF(Y255="",0,IF(Y255&lt;=0.02,0,(Y255/100)/($AR$3/100)/炼钢参数表!U255*1000))</f>
        <v>0</v>
      </c>
      <c r="AS255" s="8">
        <f>IF(L255&lt;=0.04,0,((L255-0.04)/100)/($AS$3/100)/炼钢参数表!V255*1000)</f>
        <v>0</v>
      </c>
      <c r="AT255" s="8">
        <f>IF(M255&lt;=0.03,0,((M255-0.03)/100)/($AT$3/100)/炼钢参数表!W255*1000)</f>
        <v>0</v>
      </c>
      <c r="AU255" s="6"/>
      <c r="AV255" s="8">
        <f t="shared" si="41"/>
        <v>37.521394568784402</v>
      </c>
      <c r="AW255" s="8" cm="1">
        <f t="array" ref="AW255">SUMPRODUCT($AB$4:$AU$4,AB255:AU255)/1000</f>
        <v>1466.9189944341299</v>
      </c>
      <c r="AY255" s="2" t="str">
        <f t="shared" si="47"/>
        <v>X80M-1</v>
      </c>
      <c r="AZ255" s="37">
        <f>VLOOKUP(AY255,炼钢参数表!$F$5:$J$1027,4,0)</f>
        <v>0.03</v>
      </c>
      <c r="BA255" s="37">
        <f t="shared" si="48"/>
        <v>0.01</v>
      </c>
      <c r="BB255" s="37">
        <f>AB255*$BB$4*炼钢参数表!$X$5/1000</f>
        <v>0</v>
      </c>
      <c r="BC255" s="37">
        <f>AC255*$BC$4*炼钢参数表!$X$5/1000</f>
        <v>0</v>
      </c>
      <c r="BD255" s="37">
        <f>AD255*$BD$4*炼钢参数表!$X$5/1000</f>
        <v>0</v>
      </c>
      <c r="BE255" s="37">
        <f>AE255*$BE$4*炼钢参数表!$X$5/1000</f>
        <v>1.27193707880985E-2</v>
      </c>
      <c r="BF255" s="37">
        <f>AL255*$BF$4*炼钢参数表!$X$5/1000</f>
        <v>0</v>
      </c>
      <c r="BG255" s="37">
        <f>AM255*$BG$4*炼钢参数表!$X$5/1000</f>
        <v>4.7316621803499302E-4</v>
      </c>
      <c r="BH255" s="37">
        <f t="shared" si="49"/>
        <v>1.3192537006133501E-2</v>
      </c>
      <c r="BI255" s="37">
        <f t="shared" si="50"/>
        <v>4.31925370061335E-2</v>
      </c>
      <c r="BJ255" s="37">
        <f t="shared" si="51"/>
        <v>3.1925370061334601E-3</v>
      </c>
      <c r="BK255" s="54"/>
      <c r="BL255" s="7"/>
      <c r="BM255" s="18" t="s">
        <v>633</v>
      </c>
    </row>
    <row r="256" spans="1:65" s="18" customFormat="1" x14ac:dyDescent="0.3">
      <c r="A256" s="21">
        <v>248</v>
      </c>
      <c r="B256" s="4" t="s">
        <v>449</v>
      </c>
      <c r="C256" s="4" t="s">
        <v>26</v>
      </c>
      <c r="D256" s="4">
        <v>16.010000000000002</v>
      </c>
      <c r="E256" s="4">
        <v>19</v>
      </c>
      <c r="F256" s="4" t="s">
        <v>452</v>
      </c>
      <c r="G256" s="50" t="s">
        <v>451</v>
      </c>
      <c r="H256" s="4">
        <v>1520</v>
      </c>
      <c r="I256" s="51">
        <v>4.4999999999999998E-2</v>
      </c>
      <c r="J256" s="52">
        <v>0.23</v>
      </c>
      <c r="K256" s="52">
        <v>1.8</v>
      </c>
      <c r="L256" s="51">
        <v>0.01</v>
      </c>
      <c r="M256" s="51">
        <v>2E-3</v>
      </c>
      <c r="N256" s="51">
        <v>0.04</v>
      </c>
      <c r="O256" s="51">
        <v>0.08</v>
      </c>
      <c r="P256" s="51">
        <v>1.2E-2</v>
      </c>
      <c r="Q256" s="51">
        <v>2.5000000000000001E-2</v>
      </c>
      <c r="R256" s="51" t="s">
        <v>631</v>
      </c>
      <c r="S256" s="32"/>
      <c r="T256" s="52">
        <v>0.35</v>
      </c>
      <c r="U256" s="52"/>
      <c r="V256" s="52"/>
      <c r="W256" s="52">
        <v>0.18</v>
      </c>
      <c r="X256" s="32"/>
      <c r="Y256" s="53" t="s">
        <v>631</v>
      </c>
      <c r="Z256" s="4">
        <v>40</v>
      </c>
      <c r="AA256" s="53" t="s">
        <v>643</v>
      </c>
      <c r="AB256" s="42">
        <f>IF(J256&lt;=0.04,0,IF((BA256-AL256*BF$4*炼钢参数表!$X$5/1000-AM256*BG$4*炼钢参数表!$X$5/1000)&lt;=0.03,0,IF((J256/100/0.1769/炼钢参数表!K256*1000)&gt;(K256-炼钢参数表!J256)/100/0.6566/炼钢参数表!L256*1000,IF(K256&lt;1.6,(K256-炼钢参数表!J256)/100/0.6566/炼钢参数表!L256*1000,(K256-0.08-炼钢参数表!J256)/100/0.6566/炼钢参数表!L256*1000),IF(K256&lt;1.6,J256/100/0.1769/炼钢参数表!K256*1000,(J256-0.08)/100/0.1769/炼钢参数表!K256*1000))))</f>
        <v>0</v>
      </c>
      <c r="AC256" s="8">
        <f>IF((BA256-AB256*$BB$4*0.9/1000-AL256*BF$4*炼钢参数表!$X$5/1000-AM256*BG$4*炼钢参数表!$X$5/1000)&lt;(K256-炼钢参数表!J256-AB256*0.6566*炼钢参数表!L256/10)*0.082,0,(K256-炼钢参数表!J256-AB256*0.6566*炼钢参数表!L256/10)/100/($AC$3/100)/炼钢参数表!L256*1000)</f>
        <v>0</v>
      </c>
      <c r="AD256" s="8">
        <f>IF((BA256-AB256*$BB$4*0.9/1000-AC256*$BC$4*0.9/1000-AL256*BF$4*炼钢参数表!$X$5/1000-AM256*BG$4*炼钢参数表!$X$5/1000)&lt;=(K256-炼钢参数表!J256-AB256*0.6566*炼钢参数表!L256/10-AC256*($AC$3/100)*炼钢参数表!L256/10)*0.02,0,((K256-炼钢参数表!J256-AB256*0.6566*炼钢参数表!L256/10-AC256*($AC$3/100)*炼钢参数表!L256/10)/100/($AD$3/100)/炼钢参数表!L256*1000))</f>
        <v>0</v>
      </c>
      <c r="AE256" s="8">
        <f>(K256-炼钢参数表!J256-AB256*0.6566*炼钢参数表!L256/10-AC256*($AC$3/100)*炼钢参数表!L256/10-AD256*($AD$3/100)*炼钢参数表!L256/10)/100/($AE$3/100)/炼钢参数表!L256*1000</f>
        <v>22.0822409515598</v>
      </c>
      <c r="AF256" s="8">
        <v>0</v>
      </c>
      <c r="AG256" s="8">
        <f>IF(J256&lt;=0.04,0,((J256-(AB256*0.1769*炼钢参数表!K256/1000*100))/100/炼钢参数表!K256/($AG$3/100)*1000))</f>
        <v>3.9803405787069099</v>
      </c>
      <c r="AH256" s="8">
        <v>3.3</v>
      </c>
      <c r="AI256" s="8">
        <f>IF(N256="",0,IF(N256&lt;=0.002,0,((N256)/100)/($AI$3/100)/炼钢参数表!M256*1000))</f>
        <v>0.79766125719390701</v>
      </c>
      <c r="AJ256" s="8">
        <f>IF(O256="",0,IF(O256&lt;=0.002,0,((O256)/100)/($AJ$3/100)/炼钢参数表!N256*1000))</f>
        <v>1.2551145919622499</v>
      </c>
      <c r="AK256" s="8">
        <f>IF(P256="",0,IF(P256&lt;=0.002,0,((P256+0.005)/100)/($AK$3/100)/炼钢参数表!O256*1000))</f>
        <v>0.33928072486328997</v>
      </c>
      <c r="AL256" s="8">
        <f>IF((BA256-J256*0.00003-K256*0.00024)&lt;=0.05,0,IF(T256="",0,IF(T256&lt;=0.03,0,IF(((BA256-J256*0.00003-K256*0.00024)-0.05)/0.18/100/($AL$3/100)/炼钢参数表!P256*1000&lt;=T256/100/($AL$3/100)/炼钢参数表!P256*1000,((BA256-J256*0.00003-K256*0.00024)-0.05)/0.18/100/($AL$3/100)/炼钢参数表!P256*1000,T256/100/($AL$3/100)/炼钢参数表!P256*1000))))</f>
        <v>0</v>
      </c>
      <c r="AM256" s="8">
        <f>IF(T256="",0,IF(T256&lt;=0.03,0,((T256-AL256*($AL$3/100)*炼钢参数表!P256/10)/100/($AM$3/100)/炼钢参数表!P256*1000)))</f>
        <v>6.1336361597128803</v>
      </c>
      <c r="AN256" s="8">
        <f>IF(U256="",0,IF(U256&lt;=0.02,0,(U256/100)/($AN$3/100)/炼钢参数表!Q256*1000))</f>
        <v>0</v>
      </c>
      <c r="AO256" s="8">
        <f>IF(V256="",0,IF(V256&lt;=0.02,0,(V256/100)/($AO$3/100)/炼钢参数表!R256*1000))</f>
        <v>0</v>
      </c>
      <c r="AP256" s="8">
        <f>IF(W256="",0,IF(W256&lt;=0.02,0,(W256/100)/($AP$3/100)/炼钢参数表!S256*1000))</f>
        <v>3.18324903618293</v>
      </c>
      <c r="AQ256" s="8">
        <f>IF(X256="",0,IF(X256&lt;=0.0002,0,(X256/100)/($AQ$3/100)/炼钢参数表!T256*1000))</f>
        <v>0</v>
      </c>
      <c r="AR256" s="8">
        <f>IF(Y256="",0,IF(Y256&lt;=0.02,0,(Y256/100)/($AR$3/100)/炼钢参数表!U256*1000))</f>
        <v>0</v>
      </c>
      <c r="AS256" s="8">
        <f>IF(L256&lt;=0.04,0,((L256-0.04)/100)/($AS$3/100)/炼钢参数表!V256*1000)</f>
        <v>0</v>
      </c>
      <c r="AT256" s="8">
        <f>IF(M256&lt;=0.03,0,((M256-0.03)/100)/($AT$3/100)/炼钢参数表!W256*1000)</f>
        <v>0</v>
      </c>
      <c r="AU256" s="6"/>
      <c r="AV256" s="8">
        <f t="shared" si="41"/>
        <v>41.071523300182001</v>
      </c>
      <c r="AW256" s="8" cm="1">
        <f t="array" ref="AW256">SUMPRODUCT($AB$4:$AU$4,AB256:AU256)/1000</f>
        <v>1582.6229606281499</v>
      </c>
      <c r="AY256" s="2" t="str">
        <f t="shared" si="47"/>
        <v>X80M-2</v>
      </c>
      <c r="AZ256" s="37">
        <f>VLOOKUP(AY256,炼钢参数表!$F$5:$J$1027,4,0)</f>
        <v>0.03</v>
      </c>
      <c r="BA256" s="37">
        <f t="shared" si="48"/>
        <v>1.4999999999999999E-2</v>
      </c>
      <c r="BB256" s="37">
        <f>AB256*$BB$4*炼钢参数表!$X$5/1000</f>
        <v>0</v>
      </c>
      <c r="BC256" s="37">
        <f>AC256*$BC$4*炼钢参数表!$X$5/1000</f>
        <v>0</v>
      </c>
      <c r="BD256" s="37">
        <f>AD256*$BD$4*炼钢参数表!$X$5/1000</f>
        <v>0</v>
      </c>
      <c r="BE256" s="37">
        <f>AE256*$BE$4*炼钢参数表!$X$5/1000</f>
        <v>1.27193707880985E-2</v>
      </c>
      <c r="BF256" s="37">
        <f>AL256*$BF$4*炼钢参数表!$X$5/1000</f>
        <v>0</v>
      </c>
      <c r="BG256" s="37">
        <f>AM256*$BG$4*炼钢参数表!$X$5/1000</f>
        <v>6.6243270524899095E-4</v>
      </c>
      <c r="BH256" s="37">
        <f t="shared" si="49"/>
        <v>1.3381803493347499E-2</v>
      </c>
      <c r="BI256" s="37">
        <f t="shared" si="50"/>
        <v>4.3381803493347498E-2</v>
      </c>
      <c r="BJ256" s="37">
        <f t="shared" si="51"/>
        <v>-1.6181965066525399E-3</v>
      </c>
      <c r="BK256" s="54"/>
      <c r="BL256" s="7"/>
    </row>
    <row r="257" spans="1:16371" s="18" customFormat="1" x14ac:dyDescent="0.3">
      <c r="A257" s="21">
        <v>249</v>
      </c>
      <c r="B257" s="4" t="s">
        <v>453</v>
      </c>
      <c r="C257" s="4" t="s">
        <v>23</v>
      </c>
      <c r="D257" s="4">
        <v>1.2</v>
      </c>
      <c r="E257" s="4">
        <v>12</v>
      </c>
      <c r="F257" s="4" t="s">
        <v>454</v>
      </c>
      <c r="G257" s="50" t="s">
        <v>455</v>
      </c>
      <c r="H257" s="4">
        <v>1519</v>
      </c>
      <c r="I257" s="4">
        <v>0.16</v>
      </c>
      <c r="J257" s="4">
        <v>0.1</v>
      </c>
      <c r="K257" s="4">
        <v>0.4</v>
      </c>
      <c r="L257" s="4">
        <v>1.4999999999999999E-2</v>
      </c>
      <c r="M257" s="4">
        <v>0.01</v>
      </c>
      <c r="N257" s="4" t="s">
        <v>631</v>
      </c>
      <c r="O257" s="4" t="s">
        <v>631</v>
      </c>
      <c r="P257" s="4" t="s">
        <v>631</v>
      </c>
      <c r="Q257" s="4">
        <v>0.02</v>
      </c>
      <c r="R257" s="4" t="s">
        <v>631</v>
      </c>
      <c r="S257" s="4" t="s">
        <v>631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 t="s">
        <v>631</v>
      </c>
      <c r="Z257" s="4" t="s">
        <v>631</v>
      </c>
      <c r="AA257" s="4"/>
      <c r="AB257" s="42">
        <f>IF(J257&lt;=0.04,0,IF((BA257-AL257*BF$4*炼钢参数表!$X$5/1000-AM257*BG$4*炼钢参数表!$X$5/1000)&lt;=0.03,0,IF((J257/100/0.1769/炼钢参数表!K257*1000)&gt;(K257-炼钢参数表!J257)/100/0.6566/炼钢参数表!L257*1000,IF(K257&lt;1.6,(K257-炼钢参数表!J257)/100/0.6566/炼钢参数表!L257*1000,(K257-0.08-炼钢参数表!J257)/100/0.6566/炼钢参数表!L257*1000),IF(K257&lt;1.6,J257/100/0.1769/炼钢参数表!K257*1000,(J257-0.08)/100/0.1769/炼钢参数表!K257*1000))))</f>
        <v>4.6280467715566296</v>
      </c>
      <c r="AC257" s="8">
        <f>IF((BA257-AB257*$BB$4*0.9/1000-AL257*BF$4*炼钢参数表!$X$5/1000-AM257*BG$4*炼钢参数表!$X$5/1000)&lt;(K257-炼钢参数表!J257-AB257*0.6566*炼钢参数表!L257/10)*0.082,0,(K257-炼钢参数表!J257-AB257*0.6566*炼钢参数表!L257/10)/100/($AC$3/100)/炼钢参数表!L257*1000)</f>
        <v>0</v>
      </c>
      <c r="AD257" s="8">
        <f>IF((BA257-AB257*$BB$4*0.9/1000-AC257*$BC$4*0.9/1000-AL257*BF$4*炼钢参数表!$X$5/1000-AM257*BG$4*炼钢参数表!$X$5/1000)&lt;=(K257-炼钢参数表!J257-AB257*0.6566*炼钢参数表!L257/10-AC257*($AC$3/100)*炼钢参数表!L257/10)*0.02,0,((K257-炼钢参数表!J257-AB257*0.6566*炼钢参数表!L257/10-AC257*($AC$3/100)*炼钢参数表!L257/10)/100/($AD$3/100)/炼钢参数表!L257*1000))</f>
        <v>0</v>
      </c>
      <c r="AE257" s="8">
        <f>(K257-炼钢参数表!J257-AB257*0.6566*炼钢参数表!L257/10-AC257*($AC$3/100)*炼钢参数表!L257/10-AD257*($AD$3/100)*炼钢参数表!L257/10)/100/($AE$3/100)/炼钢参数表!L257*1000</f>
        <v>0</v>
      </c>
      <c r="AF257" s="8">
        <v>0</v>
      </c>
      <c r="AG257" s="8">
        <f>IF(J257&lt;=0.04,0,((J257-(AB257*0.1769*炼钢参数表!K257/1000*100))/100/炼钢参数表!K257/($AG$3/100)*1000))</f>
        <v>0.59711826957169101</v>
      </c>
      <c r="AH257" s="8">
        <v>1.6</v>
      </c>
      <c r="AI257" s="8">
        <f>IF(N257="",0,IF(N257&lt;=0.002,0,((N257)/100)/($AI$3/100)/炼钢参数表!M257*1000))</f>
        <v>0</v>
      </c>
      <c r="AJ257" s="8">
        <f>IF(O257="",0,IF(O257&lt;=0.002,0,((O257)/100)/($AJ$3/100)/炼钢参数表!N257*1000))</f>
        <v>0</v>
      </c>
      <c r="AK257" s="8">
        <f>IF(P257="",0,IF(P257&lt;=0.002,0,((P257+0.005)/100)/($AK$3/100)/炼钢参数表!O257*1000))</f>
        <v>0</v>
      </c>
      <c r="AL257" s="8">
        <f>IF((BA257-J257*0.00003-K257*0.00024)&lt;=0.05,0,IF(T257="",0,IF(T257&lt;=0.03,0,IF(((BA257-J257*0.00003-K257*0.00024)-0.05)/0.18/100/($AL$3/100)/炼钢参数表!P257*1000&lt;=T257/100/($AL$3/100)/炼钢参数表!P257*1000,((BA257-J257*0.00003-K257*0.00024)-0.05)/0.18/100/($AL$3/100)/炼钢参数表!P257*1000,T257/100/($AL$3/100)/炼钢参数表!P257*1000))))</f>
        <v>0</v>
      </c>
      <c r="AM257" s="8">
        <f>IF(T257="",0,IF(T257&lt;=0.03,0,((T257-AL257*($AL$3/100)*炼钢参数表!P257/10)/100/($AM$3/100)/炼钢参数表!P257*1000)))</f>
        <v>0</v>
      </c>
      <c r="AN257" s="8">
        <f>IF(U257="",0,IF(U257&lt;=0.02,0,(U257/100)/($AN$3/100)/炼钢参数表!Q257*1000))</f>
        <v>0</v>
      </c>
      <c r="AO257" s="8">
        <f>IF(V257="",0,IF(V257&lt;=0.02,0,(V257/100)/($AO$3/100)/炼钢参数表!R257*1000))</f>
        <v>0</v>
      </c>
      <c r="AP257" s="8">
        <f>IF(W257="",0,IF(W257&lt;=0.02,0,(W257/100)/($AP$3/100)/炼钢参数表!S257*1000))</f>
        <v>0</v>
      </c>
      <c r="AQ257" s="8">
        <f>IF(X257="",0,IF(X257&lt;=0.0002,0,(X257/100)/($AQ$3/100)/炼钢参数表!T257*1000))</f>
        <v>0</v>
      </c>
      <c r="AR257" s="8">
        <f>IF(Y257="",0,IF(Y257&lt;=0.02,0,(Y257/100)/($AR$3/100)/炼钢参数表!U257*1000))</f>
        <v>0</v>
      </c>
      <c r="AS257" s="8">
        <f>IF(L257&lt;=0.04,0,((L257-0.04)/100)/($AS$3/100)/炼钢参数表!V257*1000)</f>
        <v>0</v>
      </c>
      <c r="AT257" s="8">
        <f>IF(M257&lt;=0.03,0,((M257-0.03)/100)/($AT$3/100)/炼钢参数表!W257*1000)</f>
        <v>0</v>
      </c>
      <c r="AU257" s="6"/>
      <c r="AV257" s="8">
        <f t="shared" si="41"/>
        <v>6.8251650411283196</v>
      </c>
      <c r="AW257" s="8" cm="1">
        <f t="array" ref="AW257">SUMPRODUCT($AB$4:$AU$4,AB257:AU257)/1000</f>
        <v>63.942159087904599</v>
      </c>
      <c r="AY257" s="2" t="str">
        <f t="shared" si="47"/>
        <v>Gr.B-1</v>
      </c>
      <c r="AZ257" s="37">
        <f>VLOOKUP(AY257,炼钢参数表!$F$5:$J$1027,4,0)</f>
        <v>5.8999999999999997E-2</v>
      </c>
      <c r="BA257" s="37">
        <f t="shared" si="48"/>
        <v>0.10100000000000001</v>
      </c>
      <c r="BB257" s="37">
        <f>AB257*$BB$4*炼钢参数表!$X$5/1000</f>
        <v>7.1642164023696603E-3</v>
      </c>
      <c r="BC257" s="37">
        <f>AC257*$BC$4*炼钢参数表!$X$5/1000</f>
        <v>0</v>
      </c>
      <c r="BD257" s="37">
        <f>AD257*$BD$4*炼钢参数表!$X$5/1000</f>
        <v>0</v>
      </c>
      <c r="BE257" s="37">
        <f>AE257*$BE$4*炼钢参数表!$X$5/1000</f>
        <v>0</v>
      </c>
      <c r="BF257" s="37">
        <f>AL257*$BF$4*炼钢参数表!$X$5/1000</f>
        <v>0</v>
      </c>
      <c r="BG257" s="37">
        <f>AM257*$BG$4*炼钢参数表!$X$5/1000</f>
        <v>0</v>
      </c>
      <c r="BH257" s="37">
        <f t="shared" si="49"/>
        <v>7.1642164023696603E-3</v>
      </c>
      <c r="BI257" s="37">
        <f t="shared" si="50"/>
        <v>6.6164216402369705E-2</v>
      </c>
      <c r="BJ257" s="37">
        <f t="shared" si="51"/>
        <v>-9.3835783597630298E-2</v>
      </c>
      <c r="BK257" s="54"/>
      <c r="BL257" s="7"/>
    </row>
    <row r="258" spans="1:16371" s="18" customFormat="1" x14ac:dyDescent="0.3">
      <c r="A258" s="21">
        <v>250</v>
      </c>
      <c r="B258" s="4" t="s">
        <v>453</v>
      </c>
      <c r="C258" s="4" t="s">
        <v>26</v>
      </c>
      <c r="D258" s="4">
        <v>12.01</v>
      </c>
      <c r="E258" s="4">
        <v>25.4</v>
      </c>
      <c r="F258" s="4" t="s">
        <v>456</v>
      </c>
      <c r="G258" s="50" t="s">
        <v>455</v>
      </c>
      <c r="H258" s="4">
        <v>1519</v>
      </c>
      <c r="I258" s="4">
        <v>0.16</v>
      </c>
      <c r="J258" s="4">
        <v>0.1</v>
      </c>
      <c r="K258" s="4">
        <v>0.45</v>
      </c>
      <c r="L258" s="4">
        <v>1.4999999999999999E-2</v>
      </c>
      <c r="M258" s="4">
        <v>0.01</v>
      </c>
      <c r="N258" s="4" t="s">
        <v>631</v>
      </c>
      <c r="O258" s="4" t="s">
        <v>631</v>
      </c>
      <c r="P258" s="4" t="s">
        <v>631</v>
      </c>
      <c r="Q258" s="4">
        <v>0.02</v>
      </c>
      <c r="R258" s="4" t="s">
        <v>631</v>
      </c>
      <c r="S258" s="4" t="s">
        <v>631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 t="s">
        <v>631</v>
      </c>
      <c r="Z258" s="4" t="s">
        <v>631</v>
      </c>
      <c r="AA258" s="4"/>
      <c r="AB258" s="42">
        <f>IF(J258&lt;=0.04,0,IF((BA258-AL258*BF$4*炼钢参数表!$X$5/1000-AM258*BG$4*炼钢参数表!$X$5/1000)&lt;=0.03,0,IF((J258/100/0.1769/炼钢参数表!K258*1000)&gt;(K258-炼钢参数表!J258)/100/0.6566/炼钢参数表!L258*1000,IF(K258&lt;1.6,(K258-炼钢参数表!J258)/100/0.6566/炼钢参数表!L258*1000,(K258-0.08-炼钢参数表!J258)/100/0.6566/炼钢参数表!L258*1000),IF(K258&lt;1.6,J258/100/0.1769/炼钢参数表!K258*1000,(J258-0.08)/100/0.1769/炼钢参数表!K258*1000))))</f>
        <v>5.4050861892122102</v>
      </c>
      <c r="AC258" s="8">
        <f>IF((BA258-AB258*$BB$4*0.9/1000-AL258*BF$4*炼钢参数表!$X$5/1000-AM258*BG$4*炼钢参数表!$X$5/1000)&lt;(K258-炼钢参数表!J258-AB258*0.6566*炼钢参数表!L258/10)*0.082,0,(K258-炼钢参数表!J258-AB258*0.6566*炼钢参数表!L258/10)/100/($AC$3/100)/炼钢参数表!L258*1000)</f>
        <v>0</v>
      </c>
      <c r="AD258" s="8">
        <f>IF((BA258-AB258*$BB$4*0.9/1000-AC258*$BC$4*0.9/1000-AL258*BF$4*炼钢参数表!$X$5/1000-AM258*BG$4*炼钢参数表!$X$5/1000)&lt;=(K258-炼钢参数表!J258-AB258*0.6566*炼钢参数表!L258/10-AC258*($AC$3/100)*炼钢参数表!L258/10)*0.02,0,((K258-炼钢参数表!J258-AB258*0.6566*炼钢参数表!L258/10-AC258*($AC$3/100)*炼钢参数表!L258/10)/100/($AD$3/100)/炼钢参数表!L258*1000))</f>
        <v>0</v>
      </c>
      <c r="AE258" s="8">
        <f>(K258-炼钢参数表!J258-AB258*0.6566*炼钢参数表!L258/10-AC258*($AC$3/100)*炼钢参数表!L258/10-AD258*($AD$3/100)*炼钢参数表!L258/10)/100/($AE$3/100)/炼钢参数表!L258*1000</f>
        <v>0</v>
      </c>
      <c r="AF258" s="8">
        <v>0</v>
      </c>
      <c r="AG258" s="8">
        <f>IF(J258&lt;=0.04,0,((J258-(AB258*0.1769*炼钢参数表!K258/1000*100))/100/炼钢参数表!K258/($AG$3/100)*1000))</f>
        <v>0.40681192458585103</v>
      </c>
      <c r="AH258" s="8">
        <v>1.6</v>
      </c>
      <c r="AI258" s="8">
        <f>IF(N258="",0,IF(N258&lt;=0.002,0,((N258)/100)/($AI$3/100)/炼钢参数表!M258*1000))</f>
        <v>0</v>
      </c>
      <c r="AJ258" s="8">
        <f>IF(O258="",0,IF(O258&lt;=0.002,0,((O258)/100)/($AJ$3/100)/炼钢参数表!N258*1000))</f>
        <v>0</v>
      </c>
      <c r="AK258" s="8">
        <f>IF(P258="",0,IF(P258&lt;=0.002,0,((P258+0.005)/100)/($AK$3/100)/炼钢参数表!O258*1000))</f>
        <v>0</v>
      </c>
      <c r="AL258" s="8">
        <f>IF((BA258-J258*0.00003-K258*0.00024)&lt;=0.05,0,IF(T258="",0,IF(T258&lt;=0.03,0,IF(((BA258-J258*0.00003-K258*0.00024)-0.05)/0.18/100/($AL$3/100)/炼钢参数表!P258*1000&lt;=T258/100/($AL$3/100)/炼钢参数表!P258*1000,((BA258-J258*0.00003-K258*0.00024)-0.05)/0.18/100/($AL$3/100)/炼钢参数表!P258*1000,T258/100/($AL$3/100)/炼钢参数表!P258*1000))))</f>
        <v>0</v>
      </c>
      <c r="AM258" s="8">
        <f>IF(T258="",0,IF(T258&lt;=0.03,0,((T258-AL258*($AL$3/100)*炼钢参数表!P258/10)/100/($AM$3/100)/炼钢参数表!P258*1000)))</f>
        <v>0</v>
      </c>
      <c r="AN258" s="8">
        <f>IF(U258="",0,IF(U258&lt;=0.02,0,(U258/100)/($AN$3/100)/炼钢参数表!Q258*1000))</f>
        <v>0</v>
      </c>
      <c r="AO258" s="8">
        <f>IF(V258="",0,IF(V258&lt;=0.02,0,(V258/100)/($AO$3/100)/炼钢参数表!R258*1000))</f>
        <v>0</v>
      </c>
      <c r="AP258" s="8">
        <f>IF(W258="",0,IF(W258&lt;=0.02,0,(W258/100)/($AP$3/100)/炼钢参数表!S258*1000))</f>
        <v>0</v>
      </c>
      <c r="AQ258" s="8">
        <f>IF(X258="",0,IF(X258&lt;=0.0002,0,(X258/100)/($AQ$3/100)/炼钢参数表!T258*1000))</f>
        <v>0</v>
      </c>
      <c r="AR258" s="8">
        <f>IF(Y258="",0,IF(Y258&lt;=0.02,0,(Y258/100)/($AR$3/100)/炼钢参数表!U258*1000))</f>
        <v>0</v>
      </c>
      <c r="AS258" s="8">
        <f>IF(L258&lt;=0.04,0,((L258-0.04)/100)/($AS$3/100)/炼钢参数表!V258*1000)</f>
        <v>0</v>
      </c>
      <c r="AT258" s="8">
        <f>IF(M258&lt;=0.03,0,((M258-0.03)/100)/($AT$3/100)/炼钢参数表!W258*1000)</f>
        <v>0</v>
      </c>
      <c r="AU258" s="6"/>
      <c r="AV258" s="8">
        <f t="shared" si="41"/>
        <v>7.4118981137980597</v>
      </c>
      <c r="AW258" s="8" cm="1">
        <f t="array" ref="AW258">SUMPRODUCT($AB$4:$AU$4,AB258:AU258)/1000</f>
        <v>67.170527626498995</v>
      </c>
      <c r="AY258" s="2" t="str">
        <f t="shared" si="47"/>
        <v>Gr.B-2</v>
      </c>
      <c r="AZ258" s="37">
        <f>VLOOKUP(AY258,炼钢参数表!$F$5:$J$1027,4,0)</f>
        <v>5.8999999999999997E-2</v>
      </c>
      <c r="BA258" s="37">
        <f t="shared" si="48"/>
        <v>0.10100000000000001</v>
      </c>
      <c r="BB258" s="37">
        <f>AB258*$BB$4*炼钢参数表!$X$5/1000</f>
        <v>8.3670734209004994E-3</v>
      </c>
      <c r="BC258" s="37">
        <f>AC258*$BC$4*炼钢参数表!$X$5/1000</f>
        <v>0</v>
      </c>
      <c r="BD258" s="37">
        <f>AD258*$BD$4*炼钢参数表!$X$5/1000</f>
        <v>0</v>
      </c>
      <c r="BE258" s="37">
        <f>AE258*$BE$4*炼钢参数表!$X$5/1000</f>
        <v>0</v>
      </c>
      <c r="BF258" s="37">
        <f>AL258*$BF$4*炼钢参数表!$X$5/1000</f>
        <v>0</v>
      </c>
      <c r="BG258" s="37">
        <f>AM258*$BG$4*炼钢参数表!$X$5/1000</f>
        <v>0</v>
      </c>
      <c r="BH258" s="37">
        <f t="shared" si="49"/>
        <v>8.3670734209004994E-3</v>
      </c>
      <c r="BI258" s="37">
        <f t="shared" si="50"/>
        <v>6.7367073420900495E-2</v>
      </c>
      <c r="BJ258" s="37">
        <f t="shared" si="51"/>
        <v>-9.2632926579099495E-2</v>
      </c>
      <c r="BK258" s="54"/>
      <c r="BL258" s="7"/>
    </row>
    <row r="259" spans="1:16371" s="18" customFormat="1" x14ac:dyDescent="0.3">
      <c r="A259" s="21">
        <v>251</v>
      </c>
      <c r="B259" s="4" t="s">
        <v>457</v>
      </c>
      <c r="C259" s="4" t="s">
        <v>23</v>
      </c>
      <c r="D259" s="4">
        <v>2.5</v>
      </c>
      <c r="E259" s="4">
        <v>10</v>
      </c>
      <c r="F259" s="4" t="s">
        <v>457</v>
      </c>
      <c r="G259" s="50" t="s">
        <v>458</v>
      </c>
      <c r="H259" s="4">
        <v>1512</v>
      </c>
      <c r="I259" s="51">
        <v>0.18</v>
      </c>
      <c r="J259" s="52">
        <v>0.1</v>
      </c>
      <c r="K259" s="52">
        <v>1.25</v>
      </c>
      <c r="L259" s="51">
        <v>0.02</v>
      </c>
      <c r="M259" s="51">
        <v>0.01</v>
      </c>
      <c r="N259" s="51"/>
      <c r="O259" s="51"/>
      <c r="P259" s="51">
        <v>2.5000000000000001E-2</v>
      </c>
      <c r="Q259" s="51">
        <v>0.02</v>
      </c>
      <c r="R259" s="51" t="s">
        <v>631</v>
      </c>
      <c r="S259" s="32"/>
      <c r="T259" s="52"/>
      <c r="U259" s="52"/>
      <c r="V259" s="52"/>
      <c r="W259" s="52" t="s">
        <v>631</v>
      </c>
      <c r="X259" s="32" t="s">
        <v>631</v>
      </c>
      <c r="Y259" s="53" t="s">
        <v>631</v>
      </c>
      <c r="Z259" s="4">
        <v>45</v>
      </c>
      <c r="AA259" s="53"/>
      <c r="AB259" s="42">
        <f>IF(J259&lt;=0.04,0,IF((BA259-AL259*BF$4*炼钢参数表!$X$5/1000-AM259*BG$4*炼钢参数表!$X$5/1000)&lt;=0.03,0,IF((J259/100/0.1769/炼钢参数表!K259*1000)&gt;(K259-炼钢参数表!J259)/100/0.6566/炼钢参数表!L259*1000,IF(K259&lt;1.6,(K259-炼钢参数表!J259)/100/0.6566/炼钢参数表!L259*1000,(K259-0.08-炼钢参数表!J259)/100/0.6566/炼钢参数表!L259*1000),IF(K259&lt;1.6,J259/100/0.1769/炼钢参数表!K259*1000,(J259-0.08)/100/0.1769/炼钢参数表!K259*1000))))</f>
        <v>7.0661390616167301</v>
      </c>
      <c r="AC259" s="8">
        <f>IF((BA259-AB259*$BB$4*0.9/1000-AL259*BF$4*炼钢参数表!$X$5/1000-AM259*BG$4*炼钢参数表!$X$5/1000)&lt;(K259-炼钢参数表!J259-AB259*0.6566*炼钢参数表!L259/10)*0.082,0,(K259-炼钢参数表!J259-AB259*0.6566*炼钢参数表!L259/10)/100/($AC$3/100)/炼钢参数表!L259*1000)</f>
        <v>9.48072116635608</v>
      </c>
      <c r="AD259" s="8">
        <f>IF((BA259-AB259*$BB$4*0.9/1000-AC259*$BC$4*0.9/1000-AL259*BF$4*炼钢参数表!$X$5/1000-AM259*BG$4*炼钢参数表!$X$5/1000)&lt;=(K259-炼钢参数表!J259-AB259*0.6566*炼钢参数表!L259/10-AC259*($AC$3/100)*炼钢参数表!L259/10)*0.02,0,((K259-炼钢参数表!J259-AB259*0.6566*炼钢参数表!L259/10-AC259*($AC$3/100)*炼钢参数表!L259/10)/100/($AD$3/100)/炼钢参数表!L259*1000))</f>
        <v>0</v>
      </c>
      <c r="AE259" s="8">
        <f>(K259-炼钢参数表!J259-AB259*0.6566*炼钢参数表!L259/10-AC259*($AC$3/100)*炼钢参数表!L259/10-AD259*($AD$3/100)*炼钢参数表!L259/10)/100/($AE$3/100)/炼钢参数表!L259*1000</f>
        <v>0</v>
      </c>
      <c r="AF259" s="8">
        <v>0</v>
      </c>
      <c r="AG259" s="8">
        <f>IF(J259&lt;=0.04,0,((J259-(AB259*0.1769*炼钢参数表!K259/1000*100))/100/炼钢参数表!K259/($AG$3/100)*1000))</f>
        <v>0</v>
      </c>
      <c r="AH259" s="8">
        <v>1.6</v>
      </c>
      <c r="AI259" s="8">
        <f>IF(N259="",0,IF(N259&lt;=0.002,0,((N259)/100)/($AI$3/100)/炼钢参数表!M259*1000))</f>
        <v>0</v>
      </c>
      <c r="AJ259" s="8">
        <f>IF(O259="",0,IF(O259&lt;=0.002,0,((O259)/100)/($AJ$3/100)/炼钢参数表!N259*1000))</f>
        <v>0</v>
      </c>
      <c r="AK259" s="8">
        <f>IF(P259="",0,IF(P259&lt;=0.002,0,((P259+0.005)/100)/($AK$3/100)/炼钢参数表!O259*1000))</f>
        <v>0.59873069093521702</v>
      </c>
      <c r="AL259" s="8">
        <f>IF((BA259-J259*0.00003-K259*0.00024)&lt;=0.05,0,IF(T259="",0,IF(T259&lt;=0.03,0,IF(((BA259-J259*0.00003-K259*0.00024)-0.05)/0.18/100/($AL$3/100)/炼钢参数表!P259*1000&lt;=T259/100/($AL$3/100)/炼钢参数表!P259*1000,((BA259-J259*0.00003-K259*0.00024)-0.05)/0.18/100/($AL$3/100)/炼钢参数表!P259*1000,T259/100/($AL$3/100)/炼钢参数表!P259*1000))))</f>
        <v>0</v>
      </c>
      <c r="AM259" s="8">
        <f>IF(T259="",0,IF(T259&lt;=0.03,0,((T259-AL259*($AL$3/100)*炼钢参数表!P259/10)/100/($AM$3/100)/炼钢参数表!P259*1000)))</f>
        <v>0</v>
      </c>
      <c r="AN259" s="8">
        <f>IF(U259="",0,IF(U259&lt;=0.02,0,(U259/100)/($AN$3/100)/炼钢参数表!Q259*1000))</f>
        <v>0</v>
      </c>
      <c r="AO259" s="8">
        <f>IF(V259="",0,IF(V259&lt;=0.02,0,(V259/100)/($AO$3/100)/炼钢参数表!R259*1000))</f>
        <v>0</v>
      </c>
      <c r="AP259" s="8">
        <f>IF(W259="",0,IF(W259&lt;=0.02,0,(W259/100)/($AP$3/100)/炼钢参数表!S259*1000))</f>
        <v>0</v>
      </c>
      <c r="AQ259" s="8">
        <f>IF(X259="",0,IF(X259&lt;=0.0002,0,(X259/100)/($AQ$3/100)/炼钢参数表!T259*1000))</f>
        <v>0</v>
      </c>
      <c r="AR259" s="8">
        <f>IF(Y259="",0,IF(Y259&lt;=0.02,0,(Y259/100)/($AR$3/100)/炼钢参数表!U259*1000))</f>
        <v>0</v>
      </c>
      <c r="AS259" s="8">
        <f>IF(L259&lt;=0.04,0,((L259-0.04)/100)/($AS$3/100)/炼钢参数表!V259*1000)</f>
        <v>0</v>
      </c>
      <c r="AT259" s="8">
        <f>IF(M259&lt;=0.03,0,((M259-0.03)/100)/($AT$3/100)/炼钢参数表!W259*1000)</f>
        <v>0</v>
      </c>
      <c r="AU259" s="6"/>
      <c r="AV259" s="8">
        <f t="shared" si="41"/>
        <v>18.745590918908</v>
      </c>
      <c r="AW259" s="8" cm="1">
        <f t="array" ref="AW259">SUMPRODUCT($AB$4:$AU$4,AB259:AU259)/1000</f>
        <v>145.787462661381</v>
      </c>
      <c r="AY259" s="2" t="str">
        <f t="shared" si="47"/>
        <v>JF-RS</v>
      </c>
      <c r="AZ259" s="37">
        <f>VLOOKUP(AY259,炼钢参数表!$F$5:$J$1027,4,0)</f>
        <v>5.8999999999999997E-2</v>
      </c>
      <c r="BA259" s="37">
        <f t="shared" si="48"/>
        <v>0.121</v>
      </c>
      <c r="BB259" s="37">
        <f>AB259*$BB$4*炼钢参数表!$X$5/1000</f>
        <v>1.09383832673827E-2</v>
      </c>
      <c r="BC259" s="37">
        <f>AC259*$BC$4*炼钢参数表!$X$5/1000</f>
        <v>5.708342214263E-2</v>
      </c>
      <c r="BD259" s="37">
        <f>AD259*$BD$4*炼钢参数表!$X$5/1000</f>
        <v>0</v>
      </c>
      <c r="BE259" s="37">
        <f>AE259*$BE$4*炼钢参数表!$X$5/1000</f>
        <v>0</v>
      </c>
      <c r="BF259" s="37">
        <f>AL259*$BF$4*炼钢参数表!$X$5/1000</f>
        <v>0</v>
      </c>
      <c r="BG259" s="37">
        <f>AM259*$BG$4*炼钢参数表!$X$5/1000</f>
        <v>0</v>
      </c>
      <c r="BH259" s="37">
        <f t="shared" si="49"/>
        <v>6.8021805410012695E-2</v>
      </c>
      <c r="BI259" s="37">
        <f t="shared" si="50"/>
        <v>0.12702180541001301</v>
      </c>
      <c r="BJ259" s="37">
        <f t="shared" si="51"/>
        <v>-5.2978194589987301E-2</v>
      </c>
      <c r="BK259" s="54"/>
      <c r="BL259" s="7"/>
    </row>
    <row r="260" spans="1:16371" s="18" customFormat="1" x14ac:dyDescent="0.3">
      <c r="A260" s="21">
        <v>252</v>
      </c>
      <c r="B260" s="4" t="s">
        <v>459</v>
      </c>
      <c r="C260" s="4" t="s">
        <v>23</v>
      </c>
      <c r="D260" s="4">
        <v>3</v>
      </c>
      <c r="E260" s="4">
        <v>10</v>
      </c>
      <c r="F260" s="4" t="s">
        <v>459</v>
      </c>
      <c r="G260" s="50" t="s">
        <v>460</v>
      </c>
      <c r="H260" s="4">
        <v>1512</v>
      </c>
      <c r="I260" s="51">
        <v>0.16</v>
      </c>
      <c r="J260" s="52">
        <v>0.18</v>
      </c>
      <c r="K260" s="52">
        <v>1.4</v>
      </c>
      <c r="L260" s="51">
        <v>1.4999999999999999E-2</v>
      </c>
      <c r="M260" s="51">
        <v>5.0000000000000001E-3</v>
      </c>
      <c r="N260" s="51"/>
      <c r="O260" s="51" t="s">
        <v>631</v>
      </c>
      <c r="P260" s="51">
        <v>0.03</v>
      </c>
      <c r="Q260" s="51">
        <v>0.03</v>
      </c>
      <c r="R260" s="51" t="s">
        <v>631</v>
      </c>
      <c r="S260" s="32"/>
      <c r="T260" s="52"/>
      <c r="U260" s="52"/>
      <c r="V260" s="52">
        <v>0.25</v>
      </c>
      <c r="W260" s="52" t="s">
        <v>631</v>
      </c>
      <c r="X260" s="32" t="s">
        <v>631</v>
      </c>
      <c r="Y260" s="53" t="s">
        <v>631</v>
      </c>
      <c r="Z260" s="4">
        <v>45</v>
      </c>
      <c r="AA260" s="53" t="s">
        <v>631</v>
      </c>
      <c r="AB260" s="42">
        <f>IF(J260&lt;=0.04,0,IF((BA260-AL260*BF$4*炼钢参数表!$X$5/1000-AM260*BG$4*炼钢参数表!$X$5/1000)&lt;=0.03,0,IF((J260/100/0.1769/炼钢参数表!K260*1000)&gt;(K260-炼钢参数表!J260)/100/0.6566/炼钢参数表!L260*1000,IF(K260&lt;1.6,(K260-炼钢参数表!J260)/100/0.6566/炼钢参数表!L260*1000,(K260-0.08-炼钢参数表!J260)/100/0.6566/炼钢参数表!L260*1000),IF(K260&lt;1.6,J260/100/0.1769/炼钢参数表!K260*1000,(J260-0.08)/100/0.1769/炼钢参数表!K260*1000))))</f>
        <v>12.719050310910101</v>
      </c>
      <c r="AC260" s="8">
        <f>IF((BA260-AB260*$BB$4*0.9/1000-AL260*BF$4*炼钢参数表!$X$5/1000-AM260*BG$4*炼钢参数表!$X$5/1000)&lt;(K260-炼钢参数表!J260-AB260*0.6566*炼钢参数表!L260/10)*0.082,0,(K260-炼钢参数表!J260-AB260*0.6566*炼钢参数表!L260/10)/100/($AC$3/100)/炼钢参数表!L260*1000)</f>
        <v>6.5570089929136204</v>
      </c>
      <c r="AD260" s="8">
        <f>IF((BA260-AB260*$BB$4*0.9/1000-AC260*$BC$4*0.9/1000-AL260*BF$4*炼钢参数表!$X$5/1000-AM260*BG$4*炼钢参数表!$X$5/1000)&lt;=(K260-炼钢参数表!J260-AB260*0.6566*炼钢参数表!L260/10-AC260*($AC$3/100)*炼钢参数表!L260/10)*0.02,0,((K260-炼钢参数表!J260-AB260*0.6566*炼钢参数表!L260/10-AC260*($AC$3/100)*炼钢参数表!L260/10)/100/($AD$3/100)/炼钢参数表!L260*1000))</f>
        <v>0</v>
      </c>
      <c r="AE260" s="8">
        <f>(K260-炼钢参数表!J260-AB260*0.6566*炼钢参数表!L260/10-AC260*($AC$3/100)*炼钢参数表!L260/10-AD260*($AD$3/100)*炼钢参数表!L260/10)/100/($AE$3/100)/炼钢参数表!L260*1000</f>
        <v>0</v>
      </c>
      <c r="AF260" s="8">
        <v>0</v>
      </c>
      <c r="AG260" s="8">
        <f>IF(J260&lt;=0.04,0,((J260-(AB260*0.1769*炼钢参数表!K260/1000*100))/100/炼钢参数表!K260/($AG$3/100)*1000))</f>
        <v>0</v>
      </c>
      <c r="AH260" s="8">
        <v>1.7</v>
      </c>
      <c r="AI260" s="8">
        <f>IF(N260="",0,IF(N260&lt;=0.002,0,((N260)/100)/($AI$3/100)/炼钢参数表!M260*1000))</f>
        <v>0</v>
      </c>
      <c r="AJ260" s="8">
        <f>IF(O260="",0,IF(O260&lt;=0.002,0,((O260)/100)/($AJ$3/100)/炼钢参数表!N260*1000))</f>
        <v>0</v>
      </c>
      <c r="AK260" s="8">
        <f>IF(P260="",0,IF(P260&lt;=0.002,0,((P260+0.005)/100)/($AK$3/100)/炼钢参数表!O260*1000))</f>
        <v>0.69851913942442001</v>
      </c>
      <c r="AL260" s="8">
        <f>IF((BA260-J260*0.00003-K260*0.00024)&lt;=0.05,0,IF(T260="",0,IF(T260&lt;=0.03,0,IF(((BA260-J260*0.00003-K260*0.00024)-0.05)/0.18/100/($AL$3/100)/炼钢参数表!P260*1000&lt;=T260/100/($AL$3/100)/炼钢参数表!P260*1000,((BA260-J260*0.00003-K260*0.00024)-0.05)/0.18/100/($AL$3/100)/炼钢参数表!P260*1000,T260/100/($AL$3/100)/炼钢参数表!P260*1000))))</f>
        <v>0</v>
      </c>
      <c r="AM260" s="8">
        <f>IF(T260="",0,IF(T260&lt;=0.03,0,((T260-AL260*($AL$3/100)*炼钢参数表!P260/10)/100/($AM$3/100)/炼钢参数表!P260*1000)))</f>
        <v>0</v>
      </c>
      <c r="AN260" s="8">
        <f>IF(U260="",0,IF(U260&lt;=0.02,0,(U260/100)/($AN$3/100)/炼钢参数表!Q260*1000))</f>
        <v>0</v>
      </c>
      <c r="AO260" s="8">
        <f>IF(V260="",0,IF(V260&lt;=0.02,0,(V260/100)/($AO$3/100)/炼钢参数表!R260*1000))</f>
        <v>2.5767882910740099</v>
      </c>
      <c r="AP260" s="8">
        <f>IF(W260="",0,IF(W260&lt;=0.02,0,(W260/100)/($AP$3/100)/炼钢参数表!S260*1000))</f>
        <v>0</v>
      </c>
      <c r="AQ260" s="8">
        <f>IF(X260="",0,IF(X260&lt;=0.0002,0,(X260/100)/($AQ$3/100)/炼钢参数表!T260*1000))</f>
        <v>0</v>
      </c>
      <c r="AR260" s="8">
        <f>IF(Y260="",0,IF(Y260&lt;=0.02,0,(Y260/100)/($AR$3/100)/炼钢参数表!U260*1000))</f>
        <v>0</v>
      </c>
      <c r="AS260" s="8">
        <f>IF(L260&lt;=0.04,0,((L260-0.04)/100)/($AS$3/100)/炼钢参数表!V260*1000)</f>
        <v>0</v>
      </c>
      <c r="AT260" s="8">
        <f>IF(M260&lt;=0.03,0,((M260-0.03)/100)/($AT$3/100)/炼钢参数表!W260*1000)</f>
        <v>0</v>
      </c>
      <c r="AU260" s="6"/>
      <c r="AV260" s="8">
        <f t="shared" si="41"/>
        <v>24.2513667343222</v>
      </c>
      <c r="AW260" s="8" cm="1">
        <f t="array" ref="AW260">SUMPRODUCT($AB$4:$AU$4,AB260:AU260)/1000</f>
        <v>410.743388026292</v>
      </c>
      <c r="AY260" s="2" t="str">
        <f t="shared" si="47"/>
        <v>F520JJ</v>
      </c>
      <c r="AZ260" s="37">
        <f>VLOOKUP(AY260,炼钢参数表!$F$5:$J$1027,4,0)</f>
        <v>5.8999999999999997E-2</v>
      </c>
      <c r="BA260" s="37">
        <f t="shared" si="48"/>
        <v>0.10100000000000001</v>
      </c>
      <c r="BB260" s="37">
        <f>AB260*$BB$4*炼钢参数表!$X$5/1000</f>
        <v>1.9689089881288899E-2</v>
      </c>
      <c r="BC260" s="37">
        <f>AC260*$BC$4*炼钢参数表!$X$5/1000</f>
        <v>3.9479751146332898E-2</v>
      </c>
      <c r="BD260" s="37">
        <f>AD260*$BD$4*炼钢参数表!$X$5/1000</f>
        <v>0</v>
      </c>
      <c r="BE260" s="37">
        <f>AE260*$BE$4*炼钢参数表!$X$5/1000</f>
        <v>0</v>
      </c>
      <c r="BF260" s="37">
        <f>AL260*$BF$4*炼钢参数表!$X$5/1000</f>
        <v>0</v>
      </c>
      <c r="BG260" s="37">
        <f>AM260*$BG$4*炼钢参数表!$X$5/1000</f>
        <v>0</v>
      </c>
      <c r="BH260" s="37">
        <f t="shared" si="49"/>
        <v>5.91688410276218E-2</v>
      </c>
      <c r="BI260" s="37">
        <f t="shared" si="50"/>
        <v>0.118168841027622</v>
      </c>
      <c r="BJ260" s="37">
        <f t="shared" si="51"/>
        <v>-4.1831158972378199E-2</v>
      </c>
      <c r="BK260" s="54"/>
      <c r="BL260" s="7"/>
    </row>
    <row r="261" spans="1:16371" s="18" customFormat="1" x14ac:dyDescent="0.3">
      <c r="A261" s="21">
        <v>253</v>
      </c>
      <c r="B261" s="4" t="s">
        <v>461</v>
      </c>
      <c r="C261" s="4" t="s">
        <v>23</v>
      </c>
      <c r="D261" s="4">
        <v>3</v>
      </c>
      <c r="E261" s="4">
        <v>10</v>
      </c>
      <c r="F261" s="4" t="s">
        <v>461</v>
      </c>
      <c r="G261" s="50" t="s">
        <v>462</v>
      </c>
      <c r="H261" s="4">
        <v>1523</v>
      </c>
      <c r="I261" s="51">
        <v>7.0000000000000007E-2</v>
      </c>
      <c r="J261" s="52">
        <v>0.25</v>
      </c>
      <c r="K261" s="52">
        <v>0.5</v>
      </c>
      <c r="L261" s="51">
        <v>1.4999999999999999E-2</v>
      </c>
      <c r="M261" s="51">
        <v>5.0000000000000001E-3</v>
      </c>
      <c r="N261" s="51" t="s">
        <v>631</v>
      </c>
      <c r="O261" s="51"/>
      <c r="P261" s="51"/>
      <c r="Q261" s="51">
        <v>0.02</v>
      </c>
      <c r="R261" s="51" t="s">
        <v>631</v>
      </c>
      <c r="S261" s="32"/>
      <c r="T261" s="52">
        <v>0.75</v>
      </c>
      <c r="U261" s="52">
        <v>0.08</v>
      </c>
      <c r="V261" s="52">
        <v>0.27</v>
      </c>
      <c r="W261" s="52"/>
      <c r="X261" s="32" t="s">
        <v>631</v>
      </c>
      <c r="Y261" s="53">
        <v>0.05</v>
      </c>
      <c r="Z261" s="4">
        <v>45</v>
      </c>
      <c r="AA261" s="53"/>
      <c r="AB261" s="42">
        <f>IF(J261&lt;=0.04,0,IF((BA261-AL261*BF$4*炼钢参数表!$X$5/1000-AM261*BG$4*炼钢参数表!$X$5/1000)&lt;=0.03,0,IF((J261/100/0.1769/炼钢参数表!K261*1000)&gt;(K261-炼钢参数表!J261)/100/0.6566/炼钢参数表!L261*1000,IF(K261&lt;1.6,(K261-炼钢参数表!J261)/100/0.6566/炼钢参数表!L261*1000,(K261-0.08-炼钢参数表!J261)/100/0.6566/炼钢参数表!L261*1000),IF(K261&lt;1.6,J261/100/0.1769/炼钢参数表!K261*1000,(J261-0.08)/100/0.1769/炼钢参数表!K261*1000))))</f>
        <v>6.6514574151317598</v>
      </c>
      <c r="AC261" s="8">
        <f>IF((BA261-AB261*$BB$4*0.9/1000-AL261*BF$4*炼钢参数表!$X$5/1000-AM261*BG$4*炼钢参数表!$X$5/1000)&lt;(K261-炼钢参数表!J261-AB261*0.6566*炼钢参数表!L261/10)*0.082,0,(K261-炼钢参数表!J261-AB261*0.6566*炼钢参数表!L261/10)/100/($AC$3/100)/炼钢参数表!L261*1000)</f>
        <v>0</v>
      </c>
      <c r="AD261" s="8">
        <f>IF((BA261-AB261*$BB$4*0.9/1000-AC261*$BC$4*0.9/1000-AL261*BF$4*炼钢参数表!$X$5/1000-AM261*BG$4*炼钢参数表!$X$5/1000)&lt;=(K261-炼钢参数表!J261-AB261*0.6566*炼钢参数表!L261/10-AC261*($AC$3/100)*炼钢参数表!L261/10)*0.02,0,((K261-炼钢参数表!J261-AB261*0.6566*炼钢参数表!L261/10-AC261*($AC$3/100)*炼钢参数表!L261/10)/100/($AD$3/100)/炼钢参数表!L261*1000))</f>
        <v>0</v>
      </c>
      <c r="AE261" s="8">
        <f>(K261-炼钢参数表!J261-AB261*0.6566*炼钢参数表!L261/10-AC261*($AC$3/100)*炼钢参数表!L261/10-AD261*($AD$3/100)*炼钢参数表!L261/10)/100/($AE$3/100)/炼钢参数表!L261*1000</f>
        <v>0</v>
      </c>
      <c r="AF261" s="8">
        <v>0</v>
      </c>
      <c r="AG261" s="8">
        <f>IF(J261&lt;=0.04,0,((J261-(AB261*0.1769*炼钢参数表!K261/1000*100))/100/炼钢参数表!K261/($AG$3/100)*1000))</f>
        <v>2.69743483768959</v>
      </c>
      <c r="AH261" s="8">
        <v>2.1</v>
      </c>
      <c r="AI261" s="8">
        <f>IF(N261="",0,IF(N261&lt;=0.002,0,((N261)/100)/($AI$3/100)/炼钢参数表!M261*1000))</f>
        <v>0</v>
      </c>
      <c r="AJ261" s="8">
        <f>IF(O261="",0,IF(O261&lt;=0.002,0,((O261)/100)/($AJ$3/100)/炼钢参数表!N261*1000))</f>
        <v>0</v>
      </c>
      <c r="AK261" s="8">
        <f>IF(P261="",0,IF(P261&lt;=0.002,0,((P261+0.005)/100)/($AK$3/100)/炼钢参数表!O261*1000))</f>
        <v>0</v>
      </c>
      <c r="AL261" s="8">
        <f>IF((BA261-J261*0.00003-K261*0.00024)&lt;=0.05,0,IF(T261="",0,IF(T261&lt;=0.03,0,IF(((BA261-J261*0.00003-K261*0.00024)-0.05)/0.18/100/($AL$3/100)/炼钢参数表!P261*1000&lt;=T261/100/($AL$3/100)/炼钢参数表!P261*1000,((BA261-J261*0.00003-K261*0.00024)-0.05)/0.18/100/($AL$3/100)/炼钢参数表!P261*1000,T261/100/($AL$3/100)/炼钢参数表!P261*1000))))</f>
        <v>0</v>
      </c>
      <c r="AM261" s="8">
        <f>IF(T261="",0,IF(T261&lt;=0.03,0,((T261-AL261*($AL$3/100)*炼钢参数表!P261/10)/100/($AM$3/100)/炼钢参数表!P261*1000)))</f>
        <v>13.143506056527601</v>
      </c>
      <c r="AN261" s="8">
        <f>IF(U261="",0,IF(U261&lt;=0.02,0,(U261/100)/($AN$3/100)/炼钢参数表!Q261*1000))</f>
        <v>0.82457225314368199</v>
      </c>
      <c r="AO261" s="8">
        <f>IF(V261="",0,IF(V261&lt;=0.02,0,(V261/100)/($AO$3/100)/炼钢参数表!R261*1000))</f>
        <v>2.7829313543599299</v>
      </c>
      <c r="AP261" s="8">
        <f>IF(W261="",0,IF(W261&lt;=0.02,0,(W261/100)/($AP$3/100)/炼钢参数表!S261*1000))</f>
        <v>0</v>
      </c>
      <c r="AQ261" s="8">
        <f>IF(X261="",0,IF(X261&lt;=0.0002,0,(X261/100)/($AQ$3/100)/炼钢参数表!T261*1000))</f>
        <v>0</v>
      </c>
      <c r="AR261" s="8">
        <f>IF(Y261="",0,IF(Y261&lt;=0.02,0,(Y261/100)/($AR$3/100)/炼钢参数表!U261*1000))</f>
        <v>0.52345058626465701</v>
      </c>
      <c r="AS261" s="8">
        <f>IF(L261&lt;=0.04,0,((L261-0.04)/100)/($AS$3/100)/炼钢参数表!V261*1000)</f>
        <v>0</v>
      </c>
      <c r="AT261" s="8">
        <f>IF(M261&lt;=0.03,0,((M261-0.03)/100)/($AT$3/100)/炼钢参数表!W261*1000)</f>
        <v>0</v>
      </c>
      <c r="AU261" s="6"/>
      <c r="AV261" s="8">
        <f t="shared" si="41"/>
        <v>28.723352503117201</v>
      </c>
      <c r="AW261" s="8" cm="1">
        <f t="array" ref="AW261">SUMPRODUCT($AB$4:$AU$4,AB261:AU261)/1000</f>
        <v>759.24958565016198</v>
      </c>
      <c r="AY261" s="2" t="str">
        <f t="shared" si="47"/>
        <v>09CrCuSb</v>
      </c>
      <c r="AZ261" s="37">
        <f>VLOOKUP(AY261,炼钢参数表!$F$5:$J$1027,4,0)</f>
        <v>3.1E-2</v>
      </c>
      <c r="BA261" s="37">
        <f t="shared" si="48"/>
        <v>3.9E-2</v>
      </c>
      <c r="BB261" s="77">
        <f>AB261*$BB$4*炼钢参数表!$X$5/1000</f>
        <v>1.0296456078624E-2</v>
      </c>
      <c r="BC261" s="77">
        <f>AC261*$BC$4*炼钢参数表!$X$5/1000</f>
        <v>0</v>
      </c>
      <c r="BD261" s="77">
        <f>AD261*$BD$4*炼钢参数表!$X$5/1000</f>
        <v>0</v>
      </c>
      <c r="BE261" s="77">
        <f>AE261*$BE$4*炼钢参数表!$X$5/1000</f>
        <v>0</v>
      </c>
      <c r="BF261" s="77">
        <f>AL261*$BF$4*炼钢参数表!$X$5/1000</f>
        <v>0</v>
      </c>
      <c r="BG261" s="77">
        <f>AM261*$BG$4*炼钢参数表!$X$5/1000</f>
        <v>1.41949865410498E-3</v>
      </c>
      <c r="BH261" s="77">
        <f t="shared" si="49"/>
        <v>1.1715954732728901E-2</v>
      </c>
      <c r="BI261" s="77">
        <f t="shared" si="50"/>
        <v>4.2715954732728899E-2</v>
      </c>
      <c r="BJ261" s="77">
        <f t="shared" si="51"/>
        <v>-2.7284045267271101E-2</v>
      </c>
      <c r="BK261" s="54"/>
      <c r="BL261" s="7"/>
    </row>
    <row r="262" spans="1:16371" s="18" customFormat="1" x14ac:dyDescent="0.3">
      <c r="A262" s="21">
        <v>254</v>
      </c>
      <c r="B262" s="4" t="s">
        <v>463</v>
      </c>
      <c r="C262" s="4" t="s">
        <v>23</v>
      </c>
      <c r="D262" s="4">
        <v>3</v>
      </c>
      <c r="E262" s="4">
        <v>9.99</v>
      </c>
      <c r="F262" s="4" t="s">
        <v>464</v>
      </c>
      <c r="G262" s="50" t="s">
        <v>465</v>
      </c>
      <c r="H262" s="4">
        <v>1522</v>
      </c>
      <c r="I262" s="51">
        <v>0.08</v>
      </c>
      <c r="J262" s="52">
        <v>0.25</v>
      </c>
      <c r="K262" s="52">
        <v>0.3</v>
      </c>
      <c r="L262" s="51">
        <v>0.02</v>
      </c>
      <c r="M262" s="51">
        <v>4.0000000000000001E-3</v>
      </c>
      <c r="N262" s="51" t="s">
        <v>631</v>
      </c>
      <c r="O262" s="51" t="s">
        <v>631</v>
      </c>
      <c r="P262" s="51" t="s">
        <v>631</v>
      </c>
      <c r="Q262" s="51" t="s">
        <v>631</v>
      </c>
      <c r="R262" s="51">
        <v>0.03</v>
      </c>
      <c r="S262" s="32"/>
      <c r="T262" s="52">
        <v>0.45</v>
      </c>
      <c r="U262" s="52">
        <v>7.0000000000000007E-2</v>
      </c>
      <c r="V262" s="52">
        <v>0.28000000000000003</v>
      </c>
      <c r="W262" s="52"/>
      <c r="X262" s="32" t="s">
        <v>631</v>
      </c>
      <c r="Y262" s="53" t="s">
        <v>631</v>
      </c>
      <c r="Z262" s="4">
        <v>45</v>
      </c>
      <c r="AA262" s="53"/>
      <c r="AB262" s="42">
        <f>IF(J262&lt;=0.04,0,IF((BA262-AL262*BF$4*炼钢参数表!$X$5/1000-AM262*BG$4*炼钢参数表!$X$5/1000)&lt;=0.03,0,IF((J262/100/0.1769/炼钢参数表!K262*1000)&gt;(K262-炼钢参数表!J262)/100/0.6566/炼钢参数表!L262*1000,IF(K262&lt;1.6,(K262-炼钢参数表!J262)/100/0.6566/炼钢参数表!L262*1000,(K262-0.08-炼钢参数表!J262)/100/0.6566/炼钢参数表!L262*1000),IF(K262&lt;1.6,J262/100/0.1769/炼钢参数表!K262*1000,(J262-0.08)/100/0.1769/炼钢参数表!K262*1000))))</f>
        <v>3.4655958027438798</v>
      </c>
      <c r="AC262" s="8">
        <f>IF((BA262-AB262*$BB$4*0.9/1000-AL262*BF$4*炼钢参数表!$X$5/1000-AM262*BG$4*炼钢参数表!$X$5/1000)&lt;(K262-炼钢参数表!J262-AB262*0.6566*炼钢参数表!L262/10)*0.082,0,(K262-炼钢参数表!J262-AB262*0.6566*炼钢参数表!L262/10)/100/($AC$3/100)/炼钢参数表!L262*1000)</f>
        <v>0</v>
      </c>
      <c r="AD262" s="8">
        <f>IF((BA262-AB262*$BB$4*0.9/1000-AC262*$BC$4*0.9/1000-AL262*BF$4*炼钢参数表!$X$5/1000-AM262*BG$4*炼钢参数表!$X$5/1000)&lt;=(K262-炼钢参数表!J262-AB262*0.6566*炼钢参数表!L262/10-AC262*($AC$3/100)*炼钢参数表!L262/10)*0.02,0,((K262-炼钢参数表!J262-AB262*0.6566*炼钢参数表!L262/10-AC262*($AC$3/100)*炼钢参数表!L262/10)/100/($AD$3/100)/炼钢参数表!L262*1000))</f>
        <v>0</v>
      </c>
      <c r="AE262" s="8">
        <f>(K262-炼钢参数表!J262-AB262*0.6566*炼钢参数表!L262/10-AC262*($AC$3/100)*炼钢参数表!L262/10-AD262*($AD$3/100)*炼钢参数表!L262/10)/100/($AE$3/100)/炼钢参数表!L262*1000</f>
        <v>0</v>
      </c>
      <c r="AF262" s="8">
        <v>0</v>
      </c>
      <c r="AG262" s="8">
        <f>IF(J262&lt;=0.04,0,((J262-(AB262*0.1769*炼钢参数表!K262/1000*100))/100/炼钢参数表!K262/($AG$3/100)*1000))</f>
        <v>3.4776908521315302</v>
      </c>
      <c r="AH262" s="8">
        <v>2.33</v>
      </c>
      <c r="AI262" s="8">
        <f>IF(N262="",0,IF(N262&lt;=0.002,0,((N262)/100)/($AI$3/100)/炼钢参数表!M262*1000))</f>
        <v>0</v>
      </c>
      <c r="AJ262" s="8">
        <f>IF(O262="",0,IF(O262&lt;=0.002,0,((O262)/100)/($AJ$3/100)/炼钢参数表!N262*1000))</f>
        <v>0</v>
      </c>
      <c r="AK262" s="8">
        <f>IF(P262="",0,IF(P262&lt;=0.002,0,((P262+0.005)/100)/($AK$3/100)/炼钢参数表!O262*1000))</f>
        <v>0</v>
      </c>
      <c r="AL262" s="8">
        <f>IF((BA262-J262*0.00003-K262*0.00024)&lt;=0.05,0,IF(T262="",0,IF(T262&lt;=0.03,0,IF(((BA262-J262*0.00003-K262*0.00024)-0.05)/0.18/100/($AL$3/100)/炼钢参数表!P262*1000&lt;=T262/100/($AL$3/100)/炼钢参数表!P262*1000,((BA262-J262*0.00003-K262*0.00024)-0.05)/0.18/100/($AL$3/100)/炼钢参数表!P262*1000,T262/100/($AL$3/100)/炼钢参数表!P262*1000))))</f>
        <v>0</v>
      </c>
      <c r="AM262" s="8">
        <f>IF(T262="",0,IF(T262&lt;=0.03,0,((T262-AL262*($AL$3/100)*炼钢参数表!P262/10)/100/($AM$3/100)/炼钢参数表!P262*1000)))</f>
        <v>7.8861036339165604</v>
      </c>
      <c r="AN262" s="8">
        <f>IF(U262="",0,IF(U262&lt;=0.02,0,(U262/100)/($AN$3/100)/炼钢参数表!Q262*1000))</f>
        <v>0.72150072150072198</v>
      </c>
      <c r="AO262" s="8">
        <f>IF(V262="",0,IF(V262&lt;=0.02,0,(V262/100)/($AO$3/100)/炼钢参数表!R262*1000))</f>
        <v>2.8860028860028901</v>
      </c>
      <c r="AP262" s="8">
        <f>IF(W262="",0,IF(W262&lt;=0.02,0,(W262/100)/($AP$3/100)/炼钢参数表!S262*1000))</f>
        <v>0</v>
      </c>
      <c r="AQ262" s="8">
        <f>IF(X262="",0,IF(X262&lt;=0.0002,0,(X262/100)/($AQ$3/100)/炼钢参数表!T262*1000))</f>
        <v>0</v>
      </c>
      <c r="AR262" s="8">
        <f>IF(Y262="",0,IF(Y262&lt;=0.02,0,(Y262/100)/($AR$3/100)/炼钢参数表!U262*1000))</f>
        <v>0</v>
      </c>
      <c r="AS262" s="8">
        <f>IF(L262&lt;=0.04,0,((L262-0.04)/100)/($AS$3/100)/炼钢参数表!V262*1000)</f>
        <v>0</v>
      </c>
      <c r="AT262" s="8">
        <f>IF(M262&lt;=0.03,0,((M262-0.03)/100)/($AT$3/100)/炼钢参数表!W262*1000)</f>
        <v>0</v>
      </c>
      <c r="AU262" s="6"/>
      <c r="AV262" s="8">
        <f t="shared" si="41"/>
        <v>20.766893896295599</v>
      </c>
      <c r="AW262" s="8" cm="1">
        <f t="array" ref="AW262">SUMPRODUCT($AB$4:$AU$4,AB262:AU262)/1000</f>
        <v>578.91522405133503</v>
      </c>
      <c r="AY262" s="2" t="str">
        <f t="shared" si="47"/>
        <v>Q235NH-1</v>
      </c>
      <c r="AZ262" s="37">
        <f>VLOOKUP(AY262,炼钢参数表!$F$5:$J$1027,4,0)</f>
        <v>3.6999999999999998E-2</v>
      </c>
      <c r="BA262" s="37">
        <f t="shared" si="48"/>
        <v>4.2999999999999997E-2</v>
      </c>
      <c r="BB262" s="77">
        <f>AB262*$BB$4*炼钢参数表!$X$5/1000</f>
        <v>5.3647423026475299E-3</v>
      </c>
      <c r="BC262" s="77">
        <f>AC262*$BC$4*炼钢参数表!$X$5/1000</f>
        <v>0</v>
      </c>
      <c r="BD262" s="77">
        <f>AD262*$BD$4*炼钢参数表!$X$5/1000</f>
        <v>0</v>
      </c>
      <c r="BE262" s="77">
        <f>AE262*$BE$4*炼钢参数表!$X$5/1000</f>
        <v>0</v>
      </c>
      <c r="BF262" s="77">
        <f>AL262*$BF$4*炼钢参数表!$X$5/1000</f>
        <v>0</v>
      </c>
      <c r="BG262" s="77">
        <f>AM262*$BG$4*炼钢参数表!$X$5/1000</f>
        <v>8.5169919246298796E-4</v>
      </c>
      <c r="BH262" s="77">
        <f t="shared" si="49"/>
        <v>6.2164414951105199E-3</v>
      </c>
      <c r="BI262" s="77">
        <f t="shared" si="50"/>
        <v>4.3216441495110502E-2</v>
      </c>
      <c r="BJ262" s="77">
        <f t="shared" si="51"/>
        <v>-3.6783558504889499E-2</v>
      </c>
      <c r="BK262" s="54"/>
      <c r="BL262" s="7"/>
    </row>
    <row r="263" spans="1:16371" s="18" customFormat="1" x14ac:dyDescent="0.3">
      <c r="A263" s="21">
        <v>255</v>
      </c>
      <c r="B263" s="4" t="s">
        <v>463</v>
      </c>
      <c r="C263" s="4" t="s">
        <v>26</v>
      </c>
      <c r="D263" s="4">
        <v>10</v>
      </c>
      <c r="E263" s="4">
        <v>20</v>
      </c>
      <c r="F263" s="4" t="s">
        <v>466</v>
      </c>
      <c r="G263" s="50" t="s">
        <v>465</v>
      </c>
      <c r="H263" s="4">
        <v>1522</v>
      </c>
      <c r="I263" s="51">
        <v>0.08</v>
      </c>
      <c r="J263" s="52">
        <v>0.25</v>
      </c>
      <c r="K263" s="52">
        <v>0.4</v>
      </c>
      <c r="L263" s="51">
        <v>0.02</v>
      </c>
      <c r="M263" s="51">
        <v>4.0000000000000001E-3</v>
      </c>
      <c r="N263" s="51" t="s">
        <v>631</v>
      </c>
      <c r="O263" s="51" t="s">
        <v>631</v>
      </c>
      <c r="P263" s="51" t="s">
        <v>631</v>
      </c>
      <c r="Q263" s="51" t="s">
        <v>631</v>
      </c>
      <c r="R263" s="51">
        <v>0.03</v>
      </c>
      <c r="S263" s="32"/>
      <c r="T263" s="52">
        <v>0.5</v>
      </c>
      <c r="U263" s="52">
        <v>7.0000000000000007E-2</v>
      </c>
      <c r="V263" s="52">
        <v>0.28000000000000003</v>
      </c>
      <c r="W263" s="52"/>
      <c r="X263" s="32" t="s">
        <v>631</v>
      </c>
      <c r="Y263" s="53" t="s">
        <v>631</v>
      </c>
      <c r="Z263" s="4">
        <v>45</v>
      </c>
      <c r="AA263" s="53"/>
      <c r="AB263" s="42">
        <f>IF(J263&lt;=0.04,0,IF((BA263-AL263*BF$4*炼钢参数表!$X$5/1000-AM263*BG$4*炼钢参数表!$X$5/1000)&lt;=0.03,0,IF((J263/100/0.1769/炼钢参数表!K263*1000)&gt;(K263-炼钢参数表!J263)/100/0.6566/炼钢参数表!L263*1000,IF(K263&lt;1.6,(K263-炼钢参数表!J263)/100/0.6566/炼钢参数表!L263*1000,(K263-0.08-炼钢参数表!J263)/100/0.6566/炼钢参数表!L263*1000),IF(K263&lt;1.6,J263/100/0.1769/炼钢参数表!K263*1000,(J263-0.08)/100/0.1769/炼钢参数表!K263*1000))))</f>
        <v>5.0196746380550401</v>
      </c>
      <c r="AC263" s="8">
        <f>IF((BA263-AB263*$BB$4*0.9/1000-AL263*BF$4*炼钢参数表!$X$5/1000-AM263*BG$4*炼钢参数表!$X$5/1000)&lt;(K263-炼钢参数表!J263-AB263*0.6566*炼钢参数表!L263/10)*0.082,0,(K263-炼钢参数表!J263-AB263*0.6566*炼钢参数表!L263/10)/100/($AC$3/100)/炼钢参数表!L263*1000)</f>
        <v>0</v>
      </c>
      <c r="AD263" s="8">
        <f>IF((BA263-AB263*$BB$4*0.9/1000-AC263*$BC$4*0.9/1000-AL263*BF$4*炼钢参数表!$X$5/1000-AM263*BG$4*炼钢参数表!$X$5/1000)&lt;=(K263-炼钢参数表!J263-AB263*0.6566*炼钢参数表!L263/10-AC263*($AC$3/100)*炼钢参数表!L263/10)*0.02,0,((K263-炼钢参数表!J263-AB263*0.6566*炼钢参数表!L263/10-AC263*($AC$3/100)*炼钢参数表!L263/10)/100/($AD$3/100)/炼钢参数表!L263*1000))</f>
        <v>0</v>
      </c>
      <c r="AE263" s="8">
        <f>(K263-炼钢参数表!J263-AB263*0.6566*炼钢参数表!L263/10-AC263*($AC$3/100)*炼钢参数表!L263/10-AD263*($AD$3/100)*炼钢参数表!L263/10)/100/($AE$3/100)/炼钢参数表!L263*1000</f>
        <v>0</v>
      </c>
      <c r="AF263" s="8">
        <v>0</v>
      </c>
      <c r="AG263" s="8">
        <f>IF(J263&lt;=0.04,0,((J263-(AB263*0.1769*炼钢参数表!K263/1000*100))/100/炼钢参数表!K263/($AG$3/100)*1000))</f>
        <v>3.0970781621598502</v>
      </c>
      <c r="AH263" s="8">
        <v>2.33</v>
      </c>
      <c r="AI263" s="8">
        <f>IF(N263="",0,IF(N263&lt;=0.002,0,((N263)/100)/($AI$3/100)/炼钢参数表!M263*1000))</f>
        <v>0</v>
      </c>
      <c r="AJ263" s="8">
        <f>IF(O263="",0,IF(O263&lt;=0.002,0,((O263)/100)/($AJ$3/100)/炼钢参数表!N263*1000))</f>
        <v>0</v>
      </c>
      <c r="AK263" s="8">
        <f>IF(P263="",0,IF(P263&lt;=0.002,0,((P263+0.005)/100)/($AK$3/100)/炼钢参数表!O263*1000))</f>
        <v>0</v>
      </c>
      <c r="AL263" s="8">
        <f>IF((BA263-J263*0.00003-K263*0.00024)&lt;=0.05,0,IF(T263="",0,IF(T263&lt;=0.03,0,IF(((BA263-J263*0.00003-K263*0.00024)-0.05)/0.18/100/($AL$3/100)/炼钢参数表!P263*1000&lt;=T263/100/($AL$3/100)/炼钢参数表!P263*1000,((BA263-J263*0.00003-K263*0.00024)-0.05)/0.18/100/($AL$3/100)/炼钢参数表!P263*1000,T263/100/($AL$3/100)/炼钢参数表!P263*1000))))</f>
        <v>0</v>
      </c>
      <c r="AM263" s="8">
        <f>IF(T263="",0,IF(T263&lt;=0.03,0,((T263-AL263*($AL$3/100)*炼钢参数表!P263/10)/100/($AM$3/100)/炼钢参数表!P263*1000)))</f>
        <v>8.7623373710184005</v>
      </c>
      <c r="AN263" s="8">
        <f>IF(U263="",0,IF(U263&lt;=0.02,0,(U263/100)/($AN$3/100)/炼钢参数表!Q263*1000))</f>
        <v>0.72150072150072198</v>
      </c>
      <c r="AO263" s="8">
        <f>IF(V263="",0,IF(V263&lt;=0.02,0,(V263/100)/($AO$3/100)/炼钢参数表!R263*1000))</f>
        <v>2.8860028860028901</v>
      </c>
      <c r="AP263" s="8">
        <f>IF(W263="",0,IF(W263&lt;=0.02,0,(W263/100)/($AP$3/100)/炼钢参数表!S263*1000))</f>
        <v>0</v>
      </c>
      <c r="AQ263" s="8">
        <f>IF(X263="",0,IF(X263&lt;=0.0002,0,(X263/100)/($AQ$3/100)/炼钢参数表!T263*1000))</f>
        <v>0</v>
      </c>
      <c r="AR263" s="8">
        <f>IF(Y263="",0,IF(Y263&lt;=0.02,0,(Y263/100)/($AR$3/100)/炼钢参数表!U263*1000))</f>
        <v>0</v>
      </c>
      <c r="AS263" s="8">
        <f>IF(L263&lt;=0.04,0,((L263-0.04)/100)/($AS$3/100)/炼钢参数表!V263*1000)</f>
        <v>0</v>
      </c>
      <c r="AT263" s="8">
        <f>IF(M263&lt;=0.03,0,((M263-0.03)/100)/($AT$3/100)/炼钢参数表!W263*1000)</f>
        <v>0</v>
      </c>
      <c r="AU263" s="6"/>
      <c r="AV263" s="8">
        <f t="shared" si="41"/>
        <v>22.816593778736902</v>
      </c>
      <c r="AW263" s="8" cm="1">
        <f t="array" ref="AW263">SUMPRODUCT($AB$4:$AU$4,AB263:AU263)/1000</f>
        <v>597.99593036747797</v>
      </c>
      <c r="AY263" s="2" t="str">
        <f t="shared" si="47"/>
        <v>Q235NH-2</v>
      </c>
      <c r="AZ263" s="37">
        <f>VLOOKUP(AY263,炼钢参数表!$F$5:$J$1027,4,0)</f>
        <v>3.6999999999999998E-2</v>
      </c>
      <c r="BA263" s="37">
        <f t="shared" si="48"/>
        <v>4.2999999999999997E-2</v>
      </c>
      <c r="BB263" s="77">
        <f>AB263*$BB$4*炼钢参数表!$X$5/1000</f>
        <v>7.7704563397092002E-3</v>
      </c>
      <c r="BC263" s="77">
        <f>AC263*$BC$4*炼钢参数表!$X$5/1000</f>
        <v>0</v>
      </c>
      <c r="BD263" s="77">
        <f>AD263*$BD$4*炼钢参数表!$X$5/1000</f>
        <v>0</v>
      </c>
      <c r="BE263" s="77">
        <f>AE263*$BE$4*炼钢参数表!$X$5/1000</f>
        <v>0</v>
      </c>
      <c r="BF263" s="77">
        <f>AL263*$BF$4*炼钢参数表!$X$5/1000</f>
        <v>0</v>
      </c>
      <c r="BG263" s="77">
        <f>AM263*$BG$4*炼钢参数表!$X$5/1000</f>
        <v>9.4633243606998701E-4</v>
      </c>
      <c r="BH263" s="77">
        <f t="shared" si="49"/>
        <v>8.7167887757791905E-3</v>
      </c>
      <c r="BI263" s="77">
        <f t="shared" si="50"/>
        <v>4.5716788775779199E-2</v>
      </c>
      <c r="BJ263" s="77">
        <f t="shared" si="51"/>
        <v>-3.4283211224220803E-2</v>
      </c>
      <c r="BK263" s="54"/>
      <c r="BL263" s="7"/>
    </row>
    <row r="264" spans="1:16371" s="18" customFormat="1" x14ac:dyDescent="0.3">
      <c r="A264" s="21">
        <v>256</v>
      </c>
      <c r="B264" s="4" t="s">
        <v>467</v>
      </c>
      <c r="C264" s="4" t="s">
        <v>23</v>
      </c>
      <c r="D264" s="4">
        <v>3</v>
      </c>
      <c r="E264" s="4">
        <v>10</v>
      </c>
      <c r="F264" s="4" t="s">
        <v>468</v>
      </c>
      <c r="G264" s="50" t="s">
        <v>469</v>
      </c>
      <c r="H264" s="4">
        <v>1518</v>
      </c>
      <c r="I264" s="51">
        <v>7.4999999999999997E-2</v>
      </c>
      <c r="J264" s="52">
        <v>0.25</v>
      </c>
      <c r="K264" s="52">
        <v>1.1000000000000001</v>
      </c>
      <c r="L264" s="51">
        <v>0.02</v>
      </c>
      <c r="M264" s="51">
        <v>5.0000000000000001E-3</v>
      </c>
      <c r="N264" s="51">
        <v>3.5000000000000003E-2</v>
      </c>
      <c r="O264" s="51" t="s">
        <v>631</v>
      </c>
      <c r="P264" s="51" t="s">
        <v>631</v>
      </c>
      <c r="Q264" s="51">
        <v>0.02</v>
      </c>
      <c r="R264" s="51" t="s">
        <v>631</v>
      </c>
      <c r="S264" s="32"/>
      <c r="T264" s="52">
        <v>0.55000000000000004</v>
      </c>
      <c r="U264" s="52">
        <v>0.15</v>
      </c>
      <c r="V264" s="52">
        <v>0.28000000000000003</v>
      </c>
      <c r="W264" s="52"/>
      <c r="X264" s="32" t="s">
        <v>631</v>
      </c>
      <c r="Y264" s="53" t="s">
        <v>631</v>
      </c>
      <c r="Z264" s="4">
        <v>40</v>
      </c>
      <c r="AA264" s="53"/>
      <c r="AB264" s="42">
        <f>IF(J264&lt;=0.04,0,IF((BA264-AL264*BF$4*炼钢参数表!$X$5/1000-AM264*BG$4*炼钢参数表!$X$5/1000)&lt;=0.03,0,IF((J264/100/0.1769/炼钢参数表!K264*1000)&gt;(K264-炼钢参数表!J264)/100/0.6566/炼钢参数表!L264*1000,IF(K264&lt;1.6,(K264-炼钢参数表!J264)/100/0.6566/炼钢参数表!L264*1000,(K264-0.08-炼钢参数表!J264)/100/0.6566/炼钢参数表!L264*1000),IF(K264&lt;1.6,J264/100/0.1769/炼钢参数表!K264*1000,(J264-0.08)/100/0.1769/炼钢参数表!K264*1000))))</f>
        <v>15.898226485233099</v>
      </c>
      <c r="AC264" s="8">
        <f>IF((BA264-AB264*$BB$4*0.9/1000-AL264*BF$4*炼钢参数表!$X$5/1000-AM264*BG$4*炼钢参数表!$X$5/1000)&lt;(K264-炼钢参数表!J264-AB264*0.6566*炼钢参数表!L264/10)*0.082,0,(K264-炼钢参数表!J264-AB264*0.6566*炼钢参数表!L264/10)/100/($AC$3/100)/炼钢参数表!L264*1000)</f>
        <v>0</v>
      </c>
      <c r="AD264" s="8">
        <f>IF((BA264-AB264*$BB$4*0.9/1000-AC264*$BC$4*0.9/1000-AL264*BF$4*炼钢参数表!$X$5/1000-AM264*BG$4*炼钢参数表!$X$5/1000)&lt;=(K264-炼钢参数表!J264-AB264*0.6566*炼钢参数表!L264/10-AC264*($AC$3/100)*炼钢参数表!L264/10)*0.02,0,((K264-炼钢参数表!J264-AB264*0.6566*炼钢参数表!L264/10-AC264*($AC$3/100)*炼钢参数表!L264/10)/100/($AD$3/100)/炼钢参数表!L264*1000))</f>
        <v>0</v>
      </c>
      <c r="AE264" s="8">
        <f>(K264-炼钢参数表!J264-AB264*0.6566*炼钢参数表!L264/10-AC264*($AC$3/100)*炼钢参数表!L264/10-AD264*($AD$3/100)*炼钢参数表!L264/10)/100/($AE$3/100)/炼钢参数表!L264*1000</f>
        <v>0</v>
      </c>
      <c r="AF264" s="8">
        <v>0</v>
      </c>
      <c r="AG264" s="8">
        <f>IF(J264&lt;=0.04,0,((J264-(AB264*0.1769*炼钢参数表!K264/1000*100))/100/炼钢参数表!K264/($AG$3/100)*1000))</f>
        <v>0.43278933235810102</v>
      </c>
      <c r="AH264" s="8">
        <v>2.33</v>
      </c>
      <c r="AI264" s="8">
        <f>IF(N264="",0,IF(N264&lt;=0.002,0,((N264)/100)/($AI$3/100)/炼钢参数表!M264*1000))</f>
        <v>0.697953600044669</v>
      </c>
      <c r="AJ264" s="8">
        <f>IF(O264="",0,IF(O264&lt;=0.002,0,((O264)/100)/($AJ$3/100)/炼钢参数表!N264*1000))</f>
        <v>0</v>
      </c>
      <c r="AK264" s="8">
        <f>IF(P264="",0,IF(P264&lt;=0.002,0,((P264+0.005)/100)/($AK$3/100)/炼钢参数表!O264*1000))</f>
        <v>0</v>
      </c>
      <c r="AL264" s="8">
        <f>IF((BA264-J264*0.00003-K264*0.00024)&lt;=0.05,0,IF(T264="",0,IF(T264&lt;=0.03,0,IF(((BA264-J264*0.00003-K264*0.00024)-0.05)/0.18/100/($AL$3/100)/炼钢参数表!P264*1000&lt;=T264/100/($AL$3/100)/炼钢参数表!P264*1000,((BA264-J264*0.00003-K264*0.00024)-0.05)/0.18/100/($AL$3/100)/炼钢参数表!P264*1000,T264/100/($AL$3/100)/炼钢参数表!P264*1000))))</f>
        <v>0</v>
      </c>
      <c r="AM264" s="8">
        <f>IF(T264="",0,IF(T264&lt;=0.03,0,((T264-AL264*($AL$3/100)*炼钢参数表!P264/10)/100/($AM$3/100)/炼钢参数表!P264*1000)))</f>
        <v>9.6385711081202405</v>
      </c>
      <c r="AN264" s="8">
        <f>IF(U264="",0,IF(U264&lt;=0.02,0,(U264/100)/($AN$3/100)/炼钢参数表!Q264*1000))</f>
        <v>1.5460729746444</v>
      </c>
      <c r="AO264" s="8">
        <f>IF(V264="",0,IF(V264&lt;=0.02,0,(V264/100)/($AO$3/100)/炼钢参数表!R264*1000))</f>
        <v>2.8860028860028901</v>
      </c>
      <c r="AP264" s="8">
        <f>IF(W264="",0,IF(W264&lt;=0.02,0,(W264/100)/($AP$3/100)/炼钢参数表!S264*1000))</f>
        <v>0</v>
      </c>
      <c r="AQ264" s="8">
        <f>IF(X264="",0,IF(X264&lt;=0.0002,0,(X264/100)/($AQ$3/100)/炼钢参数表!T264*1000))</f>
        <v>0</v>
      </c>
      <c r="AR264" s="8">
        <f>IF(Y264="",0,IF(Y264&lt;=0.02,0,(Y264/100)/($AR$3/100)/炼钢参数表!U264*1000))</f>
        <v>0</v>
      </c>
      <c r="AS264" s="8">
        <f>IF(L264&lt;=0.04,0,((L264-0.04)/100)/($AS$3/100)/炼钢参数表!V264*1000)</f>
        <v>0</v>
      </c>
      <c r="AT264" s="8">
        <f>IF(M264&lt;=0.03,0,((M264-0.03)/100)/($AT$3/100)/炼钢参数表!W264*1000)</f>
        <v>0</v>
      </c>
      <c r="AU264" s="6"/>
      <c r="AV264" s="8">
        <f t="shared" si="41"/>
        <v>33.429616386403403</v>
      </c>
      <c r="AW264" s="8" cm="1">
        <f t="array" ref="AW264">SUMPRODUCT($AB$4:$AU$4,AB264:AU264)/1000</f>
        <v>829.03690181824095</v>
      </c>
      <c r="AY264" s="2" t="str">
        <f t="shared" si="47"/>
        <v>A709-50W-1</v>
      </c>
      <c r="AZ264" s="37">
        <f>VLOOKUP(AY264,炼钢参数表!$F$5:$J$1027,4,0)</f>
        <v>3.6999999999999998E-2</v>
      </c>
      <c r="BA264" s="37">
        <f t="shared" si="48"/>
        <v>3.7999999999999999E-2</v>
      </c>
      <c r="BB264" s="77">
        <f>AB264*$BB$4*炼钢参数表!$X$5/1000</f>
        <v>2.46104545991409E-2</v>
      </c>
      <c r="BC264" s="77">
        <f>AC264*$BC$4*炼钢参数表!$X$5/1000</f>
        <v>0</v>
      </c>
      <c r="BD264" s="77">
        <f>AD264*$BD$4*炼钢参数表!$X$5/1000</f>
        <v>0</v>
      </c>
      <c r="BE264" s="77">
        <f>AE264*$BE$4*炼钢参数表!$X$5/1000</f>
        <v>0</v>
      </c>
      <c r="BF264" s="77">
        <f>AL264*$BF$4*炼钢参数表!$X$5/1000</f>
        <v>0</v>
      </c>
      <c r="BG264" s="77">
        <f>AM264*$BG$4*炼钢参数表!$X$5/1000</f>
        <v>1.0409656796769901E-3</v>
      </c>
      <c r="BH264" s="77">
        <f t="shared" si="49"/>
        <v>2.56514202788179E-2</v>
      </c>
      <c r="BI264" s="77">
        <f t="shared" si="50"/>
        <v>6.2651420278817899E-2</v>
      </c>
      <c r="BJ264" s="77">
        <f t="shared" si="51"/>
        <v>-1.23485797211821E-2</v>
      </c>
      <c r="BK264" s="54"/>
      <c r="BL264" s="7"/>
    </row>
    <row r="265" spans="1:16371" s="18" customFormat="1" x14ac:dyDescent="0.3">
      <c r="A265" s="21">
        <v>257</v>
      </c>
      <c r="B265" s="4" t="s">
        <v>467</v>
      </c>
      <c r="C265" s="4" t="s">
        <v>26</v>
      </c>
      <c r="D265" s="4">
        <v>10.01</v>
      </c>
      <c r="E265" s="4">
        <v>20</v>
      </c>
      <c r="F265" s="4" t="s">
        <v>470</v>
      </c>
      <c r="G265" s="50" t="s">
        <v>469</v>
      </c>
      <c r="H265" s="4">
        <v>1518</v>
      </c>
      <c r="I265" s="51">
        <v>7.4999999999999997E-2</v>
      </c>
      <c r="J265" s="52">
        <v>0.25</v>
      </c>
      <c r="K265" s="52">
        <v>1.2</v>
      </c>
      <c r="L265" s="51">
        <v>0.02</v>
      </c>
      <c r="M265" s="51">
        <v>5.0000000000000001E-3</v>
      </c>
      <c r="N265" s="51">
        <v>4.4999999999999998E-2</v>
      </c>
      <c r="O265" s="51" t="s">
        <v>631</v>
      </c>
      <c r="P265" s="51" t="s">
        <v>631</v>
      </c>
      <c r="Q265" s="51">
        <v>0.02</v>
      </c>
      <c r="R265" s="51" t="s">
        <v>631</v>
      </c>
      <c r="S265" s="32"/>
      <c r="T265" s="52">
        <v>0.55000000000000004</v>
      </c>
      <c r="U265" s="52">
        <v>0.15</v>
      </c>
      <c r="V265" s="52">
        <v>0.28000000000000003</v>
      </c>
      <c r="W265" s="52"/>
      <c r="X265" s="32" t="s">
        <v>631</v>
      </c>
      <c r="Y265" s="53" t="s">
        <v>631</v>
      </c>
      <c r="Z265" s="4">
        <v>40</v>
      </c>
      <c r="AA265" s="53"/>
      <c r="AB265" s="42">
        <f>IF(J265&lt;=0.04,0,IF((BA265-AL265*BF$4*炼钢参数表!$X$5/1000-AM265*BG$4*炼钢参数表!$X$5/1000)&lt;=0.03,0,IF((J265/100/0.1769/炼钢参数表!K265*1000)&gt;(K265-炼钢参数表!J265)/100/0.6566/炼钢参数表!L265*1000,IF(K265&lt;1.6,(K265-炼钢参数表!J265)/100/0.6566/炼钢参数表!L265*1000,(K265-0.08-炼钢参数表!J265)/100/0.6566/炼钢参数表!L265*1000),IF(K265&lt;1.6,J265/100/0.1769/炼钢参数表!K265*1000,(J265-0.08)/100/0.1769/炼钢参数表!K265*1000))))</f>
        <v>17.452305320544301</v>
      </c>
      <c r="AC265" s="8">
        <f>IF((BA265-AB265*$BB$4*0.9/1000-AL265*BF$4*炼钢参数表!$X$5/1000-AM265*BG$4*炼钢参数表!$X$5/1000)&lt;(K265-炼钢参数表!J265-AB265*0.6566*炼钢参数表!L265/10)*0.082,0,(K265-炼钢参数表!J265-AB265*0.6566*炼钢参数表!L265/10)/100/($AC$3/100)/炼钢参数表!L265*1000)</f>
        <v>0</v>
      </c>
      <c r="AD265" s="8">
        <f>IF((BA265-AB265*$BB$4*0.9/1000-AC265*$BC$4*0.9/1000-AL265*BF$4*炼钢参数表!$X$5/1000-AM265*BG$4*炼钢参数表!$X$5/1000)&lt;=(K265-炼钢参数表!J265-AB265*0.6566*炼钢参数表!L265/10-AC265*($AC$3/100)*炼钢参数表!L265/10)*0.02,0,((K265-炼钢参数表!J265-AB265*0.6566*炼钢参数表!L265/10-AC265*($AC$3/100)*炼钢参数表!L265/10)/100/($AD$3/100)/炼钢参数表!L265*1000))</f>
        <v>0</v>
      </c>
      <c r="AE265" s="8">
        <f>(K265-炼钢参数表!J265-AB265*0.6566*炼钢参数表!L265/10-AC265*($AC$3/100)*炼钢参数表!L265/10-AD265*($AD$3/100)*炼钢参数表!L265/10)/100/($AE$3/100)/炼钢参数表!L265*1000</f>
        <v>0</v>
      </c>
      <c r="AF265" s="8">
        <v>0</v>
      </c>
      <c r="AG265" s="8">
        <f>IF(J265&lt;=0.04,0,((J265-(AB265*0.1769*炼钢参数表!K265/1000*100))/100/炼钢参数表!K265/($AG$3/100)*1000))</f>
        <v>5.2176642386421397E-2</v>
      </c>
      <c r="AH265" s="8">
        <v>2.33</v>
      </c>
      <c r="AI265" s="8">
        <f>IF(N265="",0,IF(N265&lt;=0.002,0,((N265)/100)/($AI$3/100)/炼钢参数表!M265*1000))</f>
        <v>0.89736891434314603</v>
      </c>
      <c r="AJ265" s="8">
        <f>IF(O265="",0,IF(O265&lt;=0.002,0,((O265)/100)/($AJ$3/100)/炼钢参数表!N265*1000))</f>
        <v>0</v>
      </c>
      <c r="AK265" s="8">
        <f>IF(P265="",0,IF(P265&lt;=0.002,0,((P265+0.005)/100)/($AK$3/100)/炼钢参数表!O265*1000))</f>
        <v>0</v>
      </c>
      <c r="AL265" s="8">
        <f>IF((BA265-J265*0.00003-K265*0.00024)&lt;=0.05,0,IF(T265="",0,IF(T265&lt;=0.03,0,IF(((BA265-J265*0.00003-K265*0.00024)-0.05)/0.18/100/($AL$3/100)/炼钢参数表!P265*1000&lt;=T265/100/($AL$3/100)/炼钢参数表!P265*1000,((BA265-J265*0.00003-K265*0.00024)-0.05)/0.18/100/($AL$3/100)/炼钢参数表!P265*1000,T265/100/($AL$3/100)/炼钢参数表!P265*1000))))</f>
        <v>0</v>
      </c>
      <c r="AM265" s="8">
        <f>IF(T265="",0,IF(T265&lt;=0.03,0,((T265-AL265*($AL$3/100)*炼钢参数表!P265/10)/100/($AM$3/100)/炼钢参数表!P265*1000)))</f>
        <v>9.6385711081202405</v>
      </c>
      <c r="AN265" s="8">
        <f>IF(U265="",0,IF(U265&lt;=0.02,0,(U265/100)/($AN$3/100)/炼钢参数表!Q265*1000))</f>
        <v>1.5460729746444</v>
      </c>
      <c r="AO265" s="8">
        <f>IF(V265="",0,IF(V265&lt;=0.02,0,(V265/100)/($AO$3/100)/炼钢参数表!R265*1000))</f>
        <v>2.8860028860028901</v>
      </c>
      <c r="AP265" s="8">
        <f>IF(W265="",0,IF(W265&lt;=0.02,0,(W265/100)/($AP$3/100)/炼钢参数表!S265*1000))</f>
        <v>0</v>
      </c>
      <c r="AQ265" s="8">
        <f>IF(X265="",0,IF(X265&lt;=0.0002,0,(X265/100)/($AQ$3/100)/炼钢参数表!T265*1000))</f>
        <v>0</v>
      </c>
      <c r="AR265" s="8">
        <f>IF(Y265="",0,IF(Y265&lt;=0.02,0,(Y265/100)/($AR$3/100)/炼钢参数表!U265*1000))</f>
        <v>0</v>
      </c>
      <c r="AS265" s="8">
        <f>IF(L265&lt;=0.04,0,((L265-0.04)/100)/($AS$3/100)/炼钢参数表!V265*1000)</f>
        <v>0</v>
      </c>
      <c r="AT265" s="8">
        <f>IF(M265&lt;=0.03,0,((M265-0.03)/100)/($AT$3/100)/炼钢参数表!W265*1000)</f>
        <v>0</v>
      </c>
      <c r="AU265" s="6"/>
      <c r="AV265" s="8">
        <f t="shared" si="41"/>
        <v>34.802497846041398</v>
      </c>
      <c r="AW265" s="8" cm="1">
        <f t="array" ref="AW265">SUMPRODUCT($AB$4:$AU$4,AB265:AU265)/1000</f>
        <v>852.52335378906105</v>
      </c>
      <c r="AY265" s="2" t="str">
        <f t="shared" si="47"/>
        <v>A709-50W-2</v>
      </c>
      <c r="AZ265" s="37">
        <f>VLOOKUP(AY265,炼钢参数表!$F$5:$J$1027,4,0)</f>
        <v>3.6999999999999998E-2</v>
      </c>
      <c r="BA265" s="37">
        <f t="shared" si="48"/>
        <v>3.7999999999999999E-2</v>
      </c>
      <c r="BB265" s="77">
        <f>AB265*$BB$4*炼钢参数表!$X$5/1000</f>
        <v>2.7016168636202601E-2</v>
      </c>
      <c r="BC265" s="77">
        <f>AC265*$BC$4*炼钢参数表!$X$5/1000</f>
        <v>0</v>
      </c>
      <c r="BD265" s="77">
        <f>AD265*$BD$4*炼钢参数表!$X$5/1000</f>
        <v>0</v>
      </c>
      <c r="BE265" s="77">
        <f>AE265*$BE$4*炼钢参数表!$X$5/1000</f>
        <v>0</v>
      </c>
      <c r="BF265" s="77">
        <f>AL265*$BF$4*炼钢参数表!$X$5/1000</f>
        <v>0</v>
      </c>
      <c r="BG265" s="77">
        <f>AM265*$BG$4*炼钢参数表!$X$5/1000</f>
        <v>1.0409656796769901E-3</v>
      </c>
      <c r="BH265" s="77">
        <f t="shared" si="49"/>
        <v>2.8057134315879601E-2</v>
      </c>
      <c r="BI265" s="77">
        <f t="shared" si="50"/>
        <v>6.5057134315879603E-2</v>
      </c>
      <c r="BJ265" s="77">
        <f t="shared" si="51"/>
        <v>-9.9428656841204395E-3</v>
      </c>
      <c r="BK265" s="54"/>
      <c r="BL265" s="7"/>
    </row>
    <row r="266" spans="1:16371" s="18" customFormat="1" x14ac:dyDescent="0.3">
      <c r="A266" s="21">
        <v>258</v>
      </c>
      <c r="B266" s="4" t="s">
        <v>471</v>
      </c>
      <c r="C266" s="4" t="s">
        <v>23</v>
      </c>
      <c r="D266" s="4">
        <v>3</v>
      </c>
      <c r="E266" s="4">
        <v>9.99</v>
      </c>
      <c r="F266" s="4" t="s">
        <v>472</v>
      </c>
      <c r="G266" s="50" t="s">
        <v>473</v>
      </c>
      <c r="H266" s="4">
        <v>1518</v>
      </c>
      <c r="I266" s="51">
        <v>0.08</v>
      </c>
      <c r="J266" s="52">
        <v>0.4</v>
      </c>
      <c r="K266" s="52">
        <v>1</v>
      </c>
      <c r="L266" s="51">
        <v>0.02</v>
      </c>
      <c r="M266" s="51">
        <v>6.0000000000000001E-3</v>
      </c>
      <c r="N266" s="51">
        <v>3.5000000000000003E-2</v>
      </c>
      <c r="O266" s="51">
        <v>0.01</v>
      </c>
      <c r="P266" s="51" t="s">
        <v>631</v>
      </c>
      <c r="Q266" s="51">
        <v>0.02</v>
      </c>
      <c r="R266" s="51" t="s">
        <v>631</v>
      </c>
      <c r="S266" s="32"/>
      <c r="T266" s="52">
        <v>0.55000000000000004</v>
      </c>
      <c r="U266" s="52"/>
      <c r="V266" s="52">
        <v>0.28000000000000003</v>
      </c>
      <c r="W266" s="52"/>
      <c r="X266" s="32" t="s">
        <v>631</v>
      </c>
      <c r="Y266" s="53" t="s">
        <v>631</v>
      </c>
      <c r="Z266" s="4" t="s">
        <v>631</v>
      </c>
      <c r="AA266" s="53" t="s">
        <v>631</v>
      </c>
      <c r="AB266" s="42">
        <f>IF(J266&lt;=0.04,0,IF((BA266-AL266*BF$4*炼钢参数表!$X$5/1000-AM266*BG$4*炼钢参数表!$X$5/1000)&lt;=0.03,0,IF((J266/100/0.1769/炼钢参数表!K266*1000)&gt;(K266-炼钢参数表!J266)/100/0.6566/炼钢参数表!L266*1000,IF(K266&lt;1.6,(K266-炼钢参数表!J266)/100/0.6566/炼钢参数表!L266*1000,(K266-0.08-炼钢参数表!J266)/100/0.6566/炼钢参数表!L266*1000),IF(K266&lt;1.6,J266/100/0.1769/炼钢参数表!K266*1000,(J266-0.08)/100/0.1769/炼钢参数表!K266*1000))))</f>
        <v>14.344147649922</v>
      </c>
      <c r="AC266" s="8">
        <f>IF((BA266-AB266*$BB$4*0.9/1000-AL266*BF$4*炼钢参数表!$X$5/1000-AM266*BG$4*炼钢参数表!$X$5/1000)&lt;(K266-炼钢参数表!J266-AB266*0.6566*炼钢参数表!L266/10)*0.082,0,(K266-炼钢参数表!J266-AB266*0.6566*炼钢参数表!L266/10)/100/($AC$3/100)/炼钢参数表!L266*1000)</f>
        <v>0</v>
      </c>
      <c r="AD266" s="8">
        <f>IF((BA266-AB266*$BB$4*0.9/1000-AC266*$BC$4*0.9/1000-AL266*BF$4*炼钢参数表!$X$5/1000-AM266*BG$4*炼钢参数表!$X$5/1000)&lt;=(K266-炼钢参数表!J266-AB266*0.6566*炼钢参数表!L266/10-AC266*($AC$3/100)*炼钢参数表!L266/10)*0.02,0,((K266-炼钢参数表!J266-AB266*0.6566*炼钢参数表!L266/10-AC266*($AC$3/100)*炼钢参数表!L266/10)/100/($AD$3/100)/炼钢参数表!L266*1000))</f>
        <v>0</v>
      </c>
      <c r="AE266" s="8">
        <f>(K266-炼钢参数表!J266-AB266*0.6566*炼钢参数表!L266/10-AC266*($AC$3/100)*炼钢参数表!L266/10-AD266*($AD$3/100)*炼钢参数表!L266/10)/100/($AE$3/100)/炼钢参数表!L266*1000</f>
        <v>0</v>
      </c>
      <c r="AF266" s="8">
        <v>0</v>
      </c>
      <c r="AG266" s="8">
        <f>IF(J266&lt;=0.04,0,((J266-(AB266*0.1769*炼钢参数表!K266/1000*100))/100/炼钢参数表!K266/($AG$3/100)*1000))</f>
        <v>3.4092763127908099</v>
      </c>
      <c r="AH266" s="8">
        <v>1.8</v>
      </c>
      <c r="AI266" s="8">
        <f>IF(N266="",0,IF(N266&lt;=0.002,0,((N266)/100)/($AI$3/100)/炼钢参数表!M266*1000))</f>
        <v>0.697953600044669</v>
      </c>
      <c r="AJ266" s="8">
        <f>IF(O266="",0,IF(O266&lt;=0.002,0,((O266)/100)/($AJ$3/100)/炼钢参数表!N266*1000))</f>
        <v>0.15688932399528099</v>
      </c>
      <c r="AK266" s="8">
        <f>IF(P266="",0,IF(P266&lt;=0.002,0,((P266+0.005)/100)/($AK$3/100)/炼钢参数表!O266*1000))</f>
        <v>0</v>
      </c>
      <c r="AL266" s="8">
        <f>IF((BA266-J266*0.00003-K266*0.00024)&lt;=0.05,0,IF(T266="",0,IF(T266&lt;=0.03,0,IF(((BA266-J266*0.00003-K266*0.00024)-0.05)/0.18/100/($AL$3/100)/炼钢参数表!P266*1000&lt;=T266/100/($AL$3/100)/炼钢参数表!P266*1000,((BA266-J266*0.00003-K266*0.00024)-0.05)/0.18/100/($AL$3/100)/炼钢参数表!P266*1000,T266/100/($AL$3/100)/炼钢参数表!P266*1000))))</f>
        <v>0</v>
      </c>
      <c r="AM266" s="8">
        <f>IF(T266="",0,IF(T266&lt;=0.03,0,((T266-AL266*($AL$3/100)*炼钢参数表!P266/10)/100/($AM$3/100)/炼钢参数表!P266*1000)))</f>
        <v>9.6385711081202405</v>
      </c>
      <c r="AN266" s="8">
        <f>IF(U266="",0,IF(U266&lt;=0.02,0,(U266/100)/($AN$3/100)/炼钢参数表!Q266*1000))</f>
        <v>0</v>
      </c>
      <c r="AO266" s="8">
        <f>IF(V266="",0,IF(V266&lt;=0.02,0,(V266/100)/($AO$3/100)/炼钢参数表!R266*1000))</f>
        <v>2.8860028860028901</v>
      </c>
      <c r="AP266" s="8">
        <f>IF(W266="",0,IF(W266&lt;=0.02,0,(W266/100)/($AP$3/100)/炼钢参数表!S266*1000))</f>
        <v>0</v>
      </c>
      <c r="AQ266" s="8">
        <f>IF(X266="",0,IF(X266&lt;=0.0002,0,(X266/100)/($AQ$3/100)/炼钢参数表!T266*1000))</f>
        <v>0</v>
      </c>
      <c r="AR266" s="8">
        <f>IF(Y266="",0,IF(Y266&lt;=0.02,0,(Y266/100)/($AR$3/100)/炼钢参数表!U266*1000))</f>
        <v>0</v>
      </c>
      <c r="AS266" s="8">
        <f>IF(L266&lt;=0.04,0,((L266-0.04)/100)/($AS$3/100)/炼钢参数表!V266*1000)</f>
        <v>0</v>
      </c>
      <c r="AT266" s="8">
        <f>IF(M266&lt;=0.03,0,((M266-0.03)/100)/($AT$3/100)/炼钢参数表!W266*1000)</f>
        <v>0</v>
      </c>
      <c r="AU266" s="6"/>
      <c r="AV266" s="8">
        <f t="shared" si="41"/>
        <v>32.932840880875901</v>
      </c>
      <c r="AW266" s="8" cm="1">
        <f t="array" ref="AW266">SUMPRODUCT($AB$4:$AU$4,AB266:AU266)/1000</f>
        <v>644.96376688027397</v>
      </c>
      <c r="AY266" s="2" t="str">
        <f t="shared" si="47"/>
        <v>A588GR.A-1</v>
      </c>
      <c r="AZ266" s="37">
        <f>VLOOKUP(AY266,炼钢参数表!$F$5:$J$1027,4,0)</f>
        <v>3.6999999999999998E-2</v>
      </c>
      <c r="BA266" s="37">
        <f t="shared" si="48"/>
        <v>4.2999999999999997E-2</v>
      </c>
      <c r="BB266" s="77">
        <f>AB266*$BB$4*炼钢参数表!$X$5/1000</f>
        <v>2.22047405620792E-2</v>
      </c>
      <c r="BC266" s="77">
        <f>AC266*$BC$4*炼钢参数表!$X$5/1000</f>
        <v>0</v>
      </c>
      <c r="BD266" s="77">
        <f>AD266*$BD$4*炼钢参数表!$X$5/1000</f>
        <v>0</v>
      </c>
      <c r="BE266" s="77">
        <f>AE266*$BE$4*炼钢参数表!$X$5/1000</f>
        <v>0</v>
      </c>
      <c r="BF266" s="77">
        <f>AL266*$BF$4*炼钢参数表!$X$5/1000</f>
        <v>0</v>
      </c>
      <c r="BG266" s="77">
        <f>AM266*$BG$4*炼钢参数表!$X$5/1000</f>
        <v>1.0409656796769901E-3</v>
      </c>
      <c r="BH266" s="77">
        <f t="shared" si="49"/>
        <v>2.32457062417562E-2</v>
      </c>
      <c r="BI266" s="77">
        <f t="shared" si="50"/>
        <v>6.0245706241756201E-2</v>
      </c>
      <c r="BJ266" s="77">
        <f t="shared" si="51"/>
        <v>-1.97542937582438E-2</v>
      </c>
      <c r="BK266" s="54"/>
      <c r="BL266" s="7"/>
    </row>
    <row r="267" spans="1:16371" s="18" customFormat="1" x14ac:dyDescent="0.3">
      <c r="A267" s="21">
        <v>259</v>
      </c>
      <c r="B267" s="4" t="s">
        <v>471</v>
      </c>
      <c r="C267" s="4" t="s">
        <v>26</v>
      </c>
      <c r="D267" s="4">
        <v>10</v>
      </c>
      <c r="E267" s="4">
        <v>20</v>
      </c>
      <c r="F267" s="4" t="s">
        <v>474</v>
      </c>
      <c r="G267" s="50" t="s">
        <v>473</v>
      </c>
      <c r="H267" s="4">
        <v>1518</v>
      </c>
      <c r="I267" s="51">
        <v>0.08</v>
      </c>
      <c r="J267" s="52">
        <v>0.4</v>
      </c>
      <c r="K267" s="52">
        <v>1.1499999999999999</v>
      </c>
      <c r="L267" s="51">
        <v>0.02</v>
      </c>
      <c r="M267" s="51">
        <v>6.0000000000000001E-3</v>
      </c>
      <c r="N267" s="51">
        <v>0.04</v>
      </c>
      <c r="O267" s="51">
        <v>1.4999999999999999E-2</v>
      </c>
      <c r="P267" s="51" t="s">
        <v>631</v>
      </c>
      <c r="Q267" s="51">
        <v>0.02</v>
      </c>
      <c r="R267" s="51" t="s">
        <v>631</v>
      </c>
      <c r="S267" s="32"/>
      <c r="T267" s="52">
        <v>0.55000000000000004</v>
      </c>
      <c r="U267" s="52"/>
      <c r="V267" s="52">
        <v>0.28000000000000003</v>
      </c>
      <c r="W267" s="52"/>
      <c r="X267" s="32" t="s">
        <v>631</v>
      </c>
      <c r="Y267" s="53" t="s">
        <v>631</v>
      </c>
      <c r="Z267" s="4" t="s">
        <v>631</v>
      </c>
      <c r="AA267" s="53" t="s">
        <v>631</v>
      </c>
      <c r="AB267" s="42">
        <f>IF(J267&lt;=0.04,0,IF((BA267-AL267*BF$4*炼钢参数表!$X$5/1000-AM267*BG$4*炼钢参数表!$X$5/1000)&lt;=0.03,0,IF((J267/100/0.1769/炼钢参数表!K267*1000)&gt;(K267-炼钢参数表!J267)/100/0.6566/炼钢参数表!L267*1000,IF(K267&lt;1.6,(K267-炼钢参数表!J267)/100/0.6566/炼钢参数表!L267*1000,(K267-0.08-炼钢参数表!J267)/100/0.6566/炼钢参数表!L267*1000),IF(K267&lt;1.6,J267/100/0.1769/炼钢参数表!K267*1000,(J267-0.08)/100/0.1769/炼钢参数表!K267*1000))))</f>
        <v>16.6752659028887</v>
      </c>
      <c r="AC267" s="8">
        <f>IF((BA267-AB267*$BB$4*0.9/1000-AL267*BF$4*炼钢参数表!$X$5/1000-AM267*BG$4*炼钢参数表!$X$5/1000)&lt;(K267-炼钢参数表!J267-AB267*0.6566*炼钢参数表!L267/10)*0.082,0,(K267-炼钢参数表!J267-AB267*0.6566*炼钢参数表!L267/10)/100/($AC$3/100)/炼钢参数表!L267*1000)</f>
        <v>0</v>
      </c>
      <c r="AD267" s="8">
        <f>IF((BA267-AB267*$BB$4*0.9/1000-AC267*$BC$4*0.9/1000-AL267*BF$4*炼钢参数表!$X$5/1000-AM267*BG$4*炼钢参数表!$X$5/1000)&lt;=(K267-炼钢参数表!J267-AB267*0.6566*炼钢参数表!L267/10-AC267*($AC$3/100)*炼钢参数表!L267/10)*0.02,0,((K267-炼钢参数表!J267-AB267*0.6566*炼钢参数表!L267/10-AC267*($AC$3/100)*炼钢参数表!L267/10)/100/($AD$3/100)/炼钢参数表!L267*1000))</f>
        <v>0</v>
      </c>
      <c r="AE267" s="8">
        <f>(K267-炼钢参数表!J267-AB267*0.6566*炼钢参数表!L267/10-AC267*($AC$3/100)*炼钢参数表!L267/10-AD267*($AD$3/100)*炼钢参数表!L267/10)/100/($AE$3/100)/炼钢参数表!L267*1000</f>
        <v>0</v>
      </c>
      <c r="AF267" s="8">
        <v>0</v>
      </c>
      <c r="AG267" s="8">
        <f>IF(J267&lt;=0.04,0,((J267-(AB267*0.1769*炼钢参数表!K267/1000*100))/100/炼钢参数表!K267/($AG$3/100)*1000))</f>
        <v>2.8383572778332899</v>
      </c>
      <c r="AH267" s="8">
        <v>1.8</v>
      </c>
      <c r="AI267" s="8">
        <f>IF(N267="",0,IF(N267&lt;=0.002,0,((N267)/100)/($AI$3/100)/炼钢参数表!M267*1000))</f>
        <v>0.79766125719390701</v>
      </c>
      <c r="AJ267" s="8">
        <f>IF(O267="",0,IF(O267&lt;=0.002,0,((O267)/100)/($AJ$3/100)/炼钢参数表!N267*1000))</f>
        <v>0.23533398599292099</v>
      </c>
      <c r="AK267" s="8">
        <f>IF(P267="",0,IF(P267&lt;=0.002,0,((P267+0.005)/100)/($AK$3/100)/炼钢参数表!O267*1000))</f>
        <v>0</v>
      </c>
      <c r="AL267" s="8">
        <f>IF((BA267-J267*0.00003-K267*0.00024)&lt;=0.05,0,IF(T267="",0,IF(T267&lt;=0.03,0,IF(((BA267-J267*0.00003-K267*0.00024)-0.05)/0.18/100/($AL$3/100)/炼钢参数表!P267*1000&lt;=T267/100/($AL$3/100)/炼钢参数表!P267*1000,((BA267-J267*0.00003-K267*0.00024)-0.05)/0.18/100/($AL$3/100)/炼钢参数表!P267*1000,T267/100/($AL$3/100)/炼钢参数表!P267*1000))))</f>
        <v>0</v>
      </c>
      <c r="AM267" s="8">
        <f>IF(T267="",0,IF(T267&lt;=0.03,0,((T267-AL267*($AL$3/100)*炼钢参数表!P267/10)/100/($AM$3/100)/炼钢参数表!P267*1000)))</f>
        <v>9.6385711081202405</v>
      </c>
      <c r="AN267" s="8">
        <f>IF(U267="",0,IF(U267&lt;=0.02,0,(U267/100)/($AN$3/100)/炼钢参数表!Q267*1000))</f>
        <v>0</v>
      </c>
      <c r="AO267" s="8">
        <f>IF(V267="",0,IF(V267&lt;=0.02,0,(V267/100)/($AO$3/100)/炼钢参数表!R267*1000))</f>
        <v>2.8860028860028901</v>
      </c>
      <c r="AP267" s="8">
        <f>IF(W267="",0,IF(W267&lt;=0.02,0,(W267/100)/($AP$3/100)/炼钢参数表!S267*1000))</f>
        <v>0</v>
      </c>
      <c r="AQ267" s="8">
        <f>IF(X267="",0,IF(X267&lt;=0.0002,0,(X267/100)/($AQ$3/100)/炼钢参数表!T267*1000))</f>
        <v>0</v>
      </c>
      <c r="AR267" s="8">
        <f>IF(Y267="",0,IF(Y267&lt;=0.02,0,(Y267/100)/($AR$3/100)/炼钢参数表!U267*1000))</f>
        <v>0</v>
      </c>
      <c r="AS267" s="8">
        <f>IF(L267&lt;=0.04,0,((L267-0.04)/100)/($AS$3/100)/炼钢参数表!V267*1000)</f>
        <v>0</v>
      </c>
      <c r="AT267" s="8">
        <f>IF(M267&lt;=0.03,0,((M267-0.03)/100)/($AT$3/100)/炼钢参数表!W267*1000)</f>
        <v>0</v>
      </c>
      <c r="AU267" s="6"/>
      <c r="AV267" s="8">
        <f t="shared" si="41"/>
        <v>34.871192418032003</v>
      </c>
      <c r="AW267" s="8" cm="1">
        <f t="array" ref="AW267">SUMPRODUCT($AB$4:$AU$4,AB267:AU267)/1000</f>
        <v>680.05883579568194</v>
      </c>
      <c r="AY267" s="2" t="str">
        <f t="shared" si="47"/>
        <v>A588GR.A-2</v>
      </c>
      <c r="AZ267" s="37">
        <f>VLOOKUP(AY267,炼钢参数表!$F$5:$J$1027,4,0)</f>
        <v>3.6999999999999998E-2</v>
      </c>
      <c r="BA267" s="37">
        <f t="shared" si="48"/>
        <v>4.2999999999999997E-2</v>
      </c>
      <c r="BB267" s="77">
        <f>AB267*$BB$4*炼钢参数表!$X$5/1000</f>
        <v>2.58133116176717E-2</v>
      </c>
      <c r="BC267" s="77">
        <f>AC267*$BC$4*炼钢参数表!$X$5/1000</f>
        <v>0</v>
      </c>
      <c r="BD267" s="77">
        <f>AD267*$BD$4*炼钢参数表!$X$5/1000</f>
        <v>0</v>
      </c>
      <c r="BE267" s="77">
        <f>AE267*$BE$4*炼钢参数表!$X$5/1000</f>
        <v>0</v>
      </c>
      <c r="BF267" s="77">
        <f>AL267*$BF$4*炼钢参数表!$X$5/1000</f>
        <v>0</v>
      </c>
      <c r="BG267" s="77">
        <f>AM267*$BG$4*炼钢参数表!$X$5/1000</f>
        <v>1.0409656796769901E-3</v>
      </c>
      <c r="BH267" s="77">
        <f t="shared" si="49"/>
        <v>2.6854277297348701E-2</v>
      </c>
      <c r="BI267" s="77">
        <f t="shared" si="50"/>
        <v>6.3854277297348702E-2</v>
      </c>
      <c r="BJ267" s="77">
        <f t="shared" si="51"/>
        <v>-1.6145722702651299E-2</v>
      </c>
      <c r="BK267" s="54"/>
      <c r="BL267" s="7"/>
    </row>
    <row r="268" spans="1:16371" s="18" customFormat="1" x14ac:dyDescent="0.3">
      <c r="A268" s="21">
        <v>260</v>
      </c>
      <c r="B268" s="4" t="s">
        <v>475</v>
      </c>
      <c r="C268" s="4" t="s">
        <v>23</v>
      </c>
      <c r="D268" s="4">
        <v>4</v>
      </c>
      <c r="E268" s="4">
        <v>14</v>
      </c>
      <c r="F268" s="4" t="s">
        <v>475</v>
      </c>
      <c r="G268" s="50" t="s">
        <v>476</v>
      </c>
      <c r="H268" s="4">
        <v>1519</v>
      </c>
      <c r="I268" s="51">
        <v>7.4999999999999997E-2</v>
      </c>
      <c r="J268" s="52">
        <v>0.2</v>
      </c>
      <c r="K268" s="52">
        <v>1.1000000000000001</v>
      </c>
      <c r="L268" s="51">
        <v>1.4999999999999999E-2</v>
      </c>
      <c r="M268" s="51">
        <v>3.0000000000000001E-3</v>
      </c>
      <c r="N268" s="51" t="s">
        <v>631</v>
      </c>
      <c r="O268" s="51">
        <v>0.02</v>
      </c>
      <c r="P268" s="51">
        <v>0.03</v>
      </c>
      <c r="Q268" s="51">
        <v>2.5000000000000001E-2</v>
      </c>
      <c r="R268" s="51" t="s">
        <v>631</v>
      </c>
      <c r="S268" s="32"/>
      <c r="T268" s="52">
        <v>0.45</v>
      </c>
      <c r="U268" s="52">
        <v>0.15</v>
      </c>
      <c r="V268" s="52">
        <v>0.28000000000000003</v>
      </c>
      <c r="W268" s="52"/>
      <c r="X268" s="32" t="s">
        <v>631</v>
      </c>
      <c r="Y268" s="53" t="s">
        <v>631</v>
      </c>
      <c r="Z268" s="4">
        <v>45</v>
      </c>
      <c r="AA268" s="53"/>
      <c r="AB268" s="42">
        <f>IF(J268&lt;=0.04,0,IF((BA268-AL268*BF$4*炼钢参数表!$X$5/1000-AM268*BG$4*炼钢参数表!$X$5/1000)&lt;=0.03,0,IF((J268/100/0.1769/炼钢参数表!K268*1000)&gt;(K268-炼钢参数表!J268)/100/0.6566/炼钢参数表!L268*1000,IF(K268&lt;1.6,(K268-炼钢参数表!J268)/100/0.6566/炼钢参数表!L268*1000,(K268-0.08-炼钢参数表!J268)/100/0.6566/炼钢参数表!L268*1000),IF(K268&lt;1.6,J268/100/0.1769/炼钢参数表!K268*1000,(J268-0.08)/100/0.1769/炼钢参数表!K268*1000))))</f>
        <v>14.132278123233499</v>
      </c>
      <c r="AC268" s="8">
        <f>IF((BA268-AB268*$BB$4*0.9/1000-AL268*BF$4*炼钢参数表!$X$5/1000-AM268*BG$4*炼钢参数表!$X$5/1000)&lt;(K268-炼钢参数表!J268-AB268*0.6566*炼钢参数表!L268/10)*0.082,0,(K268-炼钢参数表!J268-AB268*0.6566*炼钢参数表!L268/10)/100/($AC$3/100)/炼钢参数表!L268*1000)</f>
        <v>0</v>
      </c>
      <c r="AD268" s="8">
        <f>IF((BA268-AB268*$BB$4*0.9/1000-AC268*$BC$4*0.9/1000-AL268*BF$4*炼钢参数表!$X$5/1000-AM268*BG$4*炼钢参数表!$X$5/1000)&lt;=(K268-炼钢参数表!J268-AB268*0.6566*炼钢参数表!L268/10-AC268*($AC$3/100)*炼钢参数表!L268/10)*0.02,0,((K268-炼钢参数表!J268-AB268*0.6566*炼钢参数表!L268/10-AC268*($AC$3/100)*炼钢参数表!L268/10)/100/($AD$3/100)/炼钢参数表!L268*1000))</f>
        <v>1.3853999529671699</v>
      </c>
      <c r="AE268" s="8">
        <f>(K268-炼钢参数表!J268-AB268*0.6566*炼钢参数表!L268/10-AC268*($AC$3/100)*炼钢参数表!L268/10-AD268*($AD$3/100)*炼钢参数表!L268/10)/100/($AE$3/100)/炼钢参数表!L268*1000</f>
        <v>0</v>
      </c>
      <c r="AF268" s="8">
        <v>0</v>
      </c>
      <c r="AG268" s="8">
        <f>IF(J268&lt;=0.04,0,((J268-(AB268*0.1769*炼钢参数表!K268/1000*100))/100/炼钢参数表!K268/($AG$3/100)*1000))</f>
        <v>0</v>
      </c>
      <c r="AH268" s="8">
        <v>1.8</v>
      </c>
      <c r="AI268" s="8">
        <f>IF(N268="",0,IF(N268&lt;=0.002,0,((N268)/100)/($AI$3/100)/炼钢参数表!M268*1000))</f>
        <v>0</v>
      </c>
      <c r="AJ268" s="8">
        <f>IF(O268="",0,IF(O268&lt;=0.002,0,((O268)/100)/($AJ$3/100)/炼钢参数表!N268*1000))</f>
        <v>0.31377864799056099</v>
      </c>
      <c r="AK268" s="8">
        <f>IF(P268="",0,IF(P268&lt;=0.002,0,((P268+0.005)/100)/($AK$3/100)/炼钢参数表!O268*1000))</f>
        <v>0.69851913942442001</v>
      </c>
      <c r="AL268" s="8">
        <f>IF((BA268-J268*0.00003-K268*0.00024)&lt;=0.05,0,IF(T268="",0,IF(T268&lt;=0.03,0,IF(((BA268-J268*0.00003-K268*0.00024)-0.05)/0.18/100/($AL$3/100)/炼钢参数表!P268*1000&lt;=T268/100/($AL$3/100)/炼钢参数表!P268*1000,((BA268-J268*0.00003-K268*0.00024)-0.05)/0.18/100/($AL$3/100)/炼钢参数表!P268*1000,T268/100/($AL$3/100)/炼钢参数表!P268*1000))))</f>
        <v>0</v>
      </c>
      <c r="AM268" s="8">
        <f>IF(T268="",0,IF(T268&lt;=0.03,0,((T268-AL268*($AL$3/100)*炼钢参数表!P268/10)/100/($AM$3/100)/炼钢参数表!P268*1000)))</f>
        <v>7.8861036339165604</v>
      </c>
      <c r="AN268" s="8">
        <f>IF(U268="",0,IF(U268&lt;=0.02,0,(U268/100)/($AN$3/100)/炼钢参数表!Q268*1000))</f>
        <v>1.5460729746444</v>
      </c>
      <c r="AO268" s="8">
        <f>IF(V268="",0,IF(V268&lt;=0.02,0,(V268/100)/($AO$3/100)/炼钢参数表!R268*1000))</f>
        <v>2.8860028860028901</v>
      </c>
      <c r="AP268" s="8">
        <f>IF(W268="",0,IF(W268&lt;=0.02,0,(W268/100)/($AP$3/100)/炼钢参数表!S268*1000))</f>
        <v>0</v>
      </c>
      <c r="AQ268" s="8">
        <f>IF(X268="",0,IF(X268&lt;=0.0002,0,(X268/100)/($AQ$3/100)/炼钢参数表!T268*1000))</f>
        <v>0</v>
      </c>
      <c r="AR268" s="8">
        <f>IF(Y268="",0,IF(Y268&lt;=0.02,0,(Y268/100)/($AR$3/100)/炼钢参数表!U268*1000))</f>
        <v>0</v>
      </c>
      <c r="AS268" s="8">
        <f>IF(L268&lt;=0.04,0,((L268-0.04)/100)/($AS$3/100)/炼钢参数表!V268*1000)</f>
        <v>0</v>
      </c>
      <c r="AT268" s="8">
        <f>IF(M268&lt;=0.03,0,((M268-0.03)/100)/($AT$3/100)/炼钢参数表!W268*1000)</f>
        <v>0</v>
      </c>
      <c r="AU268" s="6"/>
      <c r="AV268" s="8">
        <f t="shared" si="41"/>
        <v>30.648155358179501</v>
      </c>
      <c r="AW268" s="8" cm="1">
        <f t="array" ref="AW268">SUMPRODUCT($AB$4:$AU$4,AB268:AU268)/1000</f>
        <v>815.62560607062403</v>
      </c>
      <c r="AY268" s="2" t="str">
        <f t="shared" si="47"/>
        <v>Q450NQR1</v>
      </c>
      <c r="AZ268" s="37">
        <f>VLOOKUP(AY268,炼钢参数表!$F$5:$J$1027,4,0)</f>
        <v>4.3999999999999997E-2</v>
      </c>
      <c r="BA268" s="37">
        <f t="shared" si="48"/>
        <v>3.1E-2</v>
      </c>
      <c r="BB268" s="77">
        <f>AB268*$BB$4*炼钢参数表!$X$5/1000</f>
        <v>2.1876766534765401E-2</v>
      </c>
      <c r="BC268" s="77">
        <f>AC268*$BC$4*炼钢参数表!$X$5/1000</f>
        <v>0</v>
      </c>
      <c r="BD268" s="77">
        <f>AD268*$BD$4*炼钢参数表!$X$5/1000</f>
        <v>1.8702899365056801E-3</v>
      </c>
      <c r="BE268" s="77">
        <f>AE268*$BE$4*炼钢参数表!$X$5/1000</f>
        <v>0</v>
      </c>
      <c r="BF268" s="77">
        <f>AL268*$BF$4*炼钢参数表!$X$5/1000</f>
        <v>0</v>
      </c>
      <c r="BG268" s="77">
        <f>AM268*$BG$4*炼钢参数表!$X$5/1000</f>
        <v>8.5169919246298796E-4</v>
      </c>
      <c r="BH268" s="77">
        <f t="shared" si="49"/>
        <v>2.4598755663734099E-2</v>
      </c>
      <c r="BI268" s="77">
        <f t="shared" si="50"/>
        <v>6.8598755663734107E-2</v>
      </c>
      <c r="BJ268" s="77">
        <f t="shared" si="51"/>
        <v>-6.40124433626592E-3</v>
      </c>
      <c r="BK268" s="54"/>
      <c r="BL268" s="7"/>
    </row>
    <row r="269" spans="1:16371" s="18" customFormat="1" x14ac:dyDescent="0.3">
      <c r="A269" s="21">
        <v>261</v>
      </c>
      <c r="B269" s="4" t="s">
        <v>477</v>
      </c>
      <c r="C269" s="4" t="s">
        <v>23</v>
      </c>
      <c r="D269" s="4">
        <v>2</v>
      </c>
      <c r="E269" s="4">
        <v>9.99</v>
      </c>
      <c r="F269" s="4" t="s">
        <v>478</v>
      </c>
      <c r="G269" s="50" t="s">
        <v>479</v>
      </c>
      <c r="H269" s="4">
        <v>1502</v>
      </c>
      <c r="I269" s="51">
        <v>0.19</v>
      </c>
      <c r="J269" s="52">
        <v>0.9</v>
      </c>
      <c r="K269" s="52">
        <v>1.6</v>
      </c>
      <c r="L269" s="51">
        <v>0.01</v>
      </c>
      <c r="M269" s="51">
        <v>2E-3</v>
      </c>
      <c r="N269" s="51" t="s">
        <v>631</v>
      </c>
      <c r="O269" s="51" t="s">
        <v>631</v>
      </c>
      <c r="P269" s="51">
        <v>0.03</v>
      </c>
      <c r="Q269" s="51">
        <v>2.5000000000000001E-2</v>
      </c>
      <c r="R269" s="51" t="s">
        <v>631</v>
      </c>
      <c r="S269" s="32"/>
      <c r="T269" s="52"/>
      <c r="U269" s="52"/>
      <c r="V269" s="52"/>
      <c r="W269" s="52"/>
      <c r="X269" s="32">
        <v>1E-3</v>
      </c>
      <c r="Y269" s="53" t="s">
        <v>631</v>
      </c>
      <c r="Z269" s="4">
        <v>45</v>
      </c>
      <c r="AA269" s="53" t="s">
        <v>631</v>
      </c>
      <c r="AB269" s="42">
        <f>IF(J269&lt;=0.04,0,IF((BA269-AL269*BF$4*炼钢参数表!$X$5/1000-AM269*BG$4*炼钢参数表!$X$5/1000)&lt;=0.03,0,IF((J269/100/0.1769/炼钢参数表!K269*1000)&gt;(K269-炼钢参数表!J269)/100/0.6566/炼钢参数表!L269*1000,IF(K269&lt;1.6,(K269-炼钢参数表!J269)/100/0.6566/炼钢参数表!L269*1000,(K269-0.08-炼钢参数表!J269)/100/0.6566/炼钢参数表!L269*1000),IF(K269&lt;1.6,J269/100/0.1769/炼钢参数表!K269*1000,(J269-0.08)/100/0.1769/炼钢参数表!K269*1000))))</f>
        <v>21.916396774975599</v>
      </c>
      <c r="AC269" s="8">
        <f>IF((BA269-AB269*$BB$4*0.9/1000-AL269*BF$4*炼钢参数表!$X$5/1000-AM269*BG$4*炼钢参数表!$X$5/1000)&lt;(K269-炼钢参数表!J269-AB269*0.6566*炼钢参数表!L269/10)*0.082,0,(K269-炼钢参数表!J269-AB269*0.6566*炼钢参数表!L269/10)/100/($AC$3/100)/炼钢参数表!L269*1000)</f>
        <v>1.09427148875636</v>
      </c>
      <c r="AD269" s="8">
        <f>IF((BA269-AB269*$BB$4*0.9/1000-AC269*$BC$4*0.9/1000-AL269*BF$4*炼钢参数表!$X$5/1000-AM269*BG$4*炼钢参数表!$X$5/1000)&lt;=(K269-炼钢参数表!J269-AB269*0.6566*炼钢参数表!L269/10-AC269*($AC$3/100)*炼钢参数表!L269/10)*0.02,0,((K269-炼钢参数表!J269-AB269*0.6566*炼钢参数表!L269/10-AC269*($AC$3/100)*炼钢参数表!L269/10)/100/($AD$3/100)/炼钢参数表!L269*1000))</f>
        <v>0</v>
      </c>
      <c r="AE269" s="8">
        <f>(K269-炼钢参数表!J269-AB269*0.6566*炼钢参数表!L269/10-AC269*($AC$3/100)*炼钢参数表!L269/10-AD269*($AD$3/100)*炼钢参数表!L269/10)/100/($AE$3/100)/炼钢参数表!L269*1000</f>
        <v>0</v>
      </c>
      <c r="AF269" s="8">
        <v>0</v>
      </c>
      <c r="AG269" s="8">
        <f>IF(J269&lt;=0.04,0,((J269-(AB269*0.1769*炼钢参数表!K269/1000*100))/100/炼钢参数表!K269/($AG$3/100)*1000))</f>
        <v>10.2076552824406</v>
      </c>
      <c r="AH269" s="8">
        <v>1.7</v>
      </c>
      <c r="AI269" s="8">
        <f>IF(N269="",0,IF(N269&lt;=0.002,0,((N269)/100)/($AI$3/100)/炼钢参数表!M269*1000))</f>
        <v>0</v>
      </c>
      <c r="AJ269" s="8">
        <f>IF(O269="",0,IF(O269&lt;=0.002,0,((O269)/100)/($AJ$3/100)/炼钢参数表!N269*1000))</f>
        <v>0</v>
      </c>
      <c r="AK269" s="8">
        <f>IF(P269="",0,IF(P269&lt;=0.002,0,((P269+0.005)/100)/($AK$3/100)/炼钢参数表!O269*1000))</f>
        <v>0.69851913942442001</v>
      </c>
      <c r="AL269" s="8">
        <f>IF((BA269-J269*0.00003-K269*0.00024)&lt;=0.05,0,IF(T269="",0,IF(T269&lt;=0.03,0,IF(((BA269-J269*0.00003-K269*0.00024)-0.05)/0.18/100/($AL$3/100)/炼钢参数表!P269*1000&lt;=T269/100/($AL$3/100)/炼钢参数表!P269*1000,((BA269-J269*0.00003-K269*0.00024)-0.05)/0.18/100/($AL$3/100)/炼钢参数表!P269*1000,T269/100/($AL$3/100)/炼钢参数表!P269*1000))))</f>
        <v>0</v>
      </c>
      <c r="AM269" s="8">
        <f>IF(T269="",0,IF(T269&lt;=0.03,0,((T269-AL269*($AL$3/100)*炼钢参数表!P269/10)/100/($AM$3/100)/炼钢参数表!P269*1000)))</f>
        <v>0</v>
      </c>
      <c r="AN269" s="8">
        <f>IF(U269="",0,IF(U269&lt;=0.02,0,(U269/100)/($AN$3/100)/炼钢参数表!Q269*1000))</f>
        <v>0</v>
      </c>
      <c r="AO269" s="8">
        <f>IF(V269="",0,IF(V269&lt;=0.02,0,(V269/100)/($AO$3/100)/炼钢参数表!R269*1000))</f>
        <v>0</v>
      </c>
      <c r="AP269" s="8">
        <f>IF(W269="",0,IF(W269&lt;=0.02,0,(W269/100)/($AP$3/100)/炼钢参数表!S269*1000))</f>
        <v>0</v>
      </c>
      <c r="AQ269" s="8">
        <f>IF(X269="",0,IF(X269&lt;=0.0002,0,(X269/100)/($AQ$3/100)/炼钢参数表!T269*1000))</f>
        <v>7.9365079365079402E-2</v>
      </c>
      <c r="AR269" s="8">
        <f>IF(Y269="",0,IF(Y269&lt;=0.02,0,(Y269/100)/($AR$3/100)/炼钢参数表!U269*1000))</f>
        <v>0</v>
      </c>
      <c r="AS269" s="8">
        <f>IF(L269&lt;=0.04,0,((L269-0.04)/100)/($AS$3/100)/炼钢参数表!V269*1000)</f>
        <v>0</v>
      </c>
      <c r="AT269" s="8">
        <f>IF(M269&lt;=0.03,0,((M269-0.03)/100)/($AT$3/100)/炼钢参数表!W269*1000)</f>
        <v>0</v>
      </c>
      <c r="AU269" s="6"/>
      <c r="AV269" s="8">
        <f t="shared" si="41"/>
        <v>35.696207764961997</v>
      </c>
      <c r="AW269" s="8" cm="1">
        <f t="array" ref="AW269">SUMPRODUCT($AB$4:$AU$4,AB269:AU269)/1000</f>
        <v>235.13840460617899</v>
      </c>
      <c r="AY269" s="2" t="str">
        <f t="shared" si="47"/>
        <v>HXN-11</v>
      </c>
      <c r="AZ269" s="37">
        <f>VLOOKUP(AY269,炼钢参数表!$F$5:$J$1027,4,0)</f>
        <v>5.7625000000000003E-2</v>
      </c>
      <c r="BA269" s="37">
        <f t="shared" si="48"/>
        <v>0.13237499999999999</v>
      </c>
      <c r="BB269" s="77">
        <f>AB269*$BB$4*炼钢参数表!$X$5/1000</f>
        <v>3.3926582207662197E-2</v>
      </c>
      <c r="BC269" s="77">
        <f>AC269*$BC$4*炼钢参数表!$X$5/1000</f>
        <v>6.58860863380205E-3</v>
      </c>
      <c r="BD269" s="77">
        <f>AD269*$BD$4*炼钢参数表!$X$5/1000</f>
        <v>0</v>
      </c>
      <c r="BE269" s="77">
        <f>AE269*$BE$4*炼钢参数表!$X$5/1000</f>
        <v>0</v>
      </c>
      <c r="BF269" s="77">
        <f>AL269*$BF$4*炼钢参数表!$X$5/1000</f>
        <v>0</v>
      </c>
      <c r="BG269" s="77">
        <f>AM269*$BG$4*炼钢参数表!$X$5/1000</f>
        <v>0</v>
      </c>
      <c r="BH269" s="77">
        <f t="shared" si="49"/>
        <v>4.0515190841464301E-2</v>
      </c>
      <c r="BI269" s="77">
        <f t="shared" si="50"/>
        <v>9.8140190841464303E-2</v>
      </c>
      <c r="BJ269" s="77">
        <f t="shared" si="51"/>
        <v>-9.1859809158535699E-2</v>
      </c>
      <c r="BK269" s="54"/>
      <c r="BL269" s="7"/>
    </row>
    <row r="270" spans="1:16371" s="18" customFormat="1" x14ac:dyDescent="0.3">
      <c r="A270" s="21">
        <v>262</v>
      </c>
      <c r="B270" s="4" t="s">
        <v>477</v>
      </c>
      <c r="C270" s="4" t="s">
        <v>26</v>
      </c>
      <c r="D270" s="4">
        <v>10</v>
      </c>
      <c r="E270" s="4">
        <v>20</v>
      </c>
      <c r="F270" s="4" t="s">
        <v>480</v>
      </c>
      <c r="G270" s="50" t="s">
        <v>479</v>
      </c>
      <c r="H270" s="4">
        <v>1502</v>
      </c>
      <c r="I270" s="51">
        <v>0.19</v>
      </c>
      <c r="J270" s="52">
        <v>0.9</v>
      </c>
      <c r="K270" s="52">
        <v>1.7</v>
      </c>
      <c r="L270" s="51">
        <v>0.01</v>
      </c>
      <c r="M270" s="51">
        <v>2E-3</v>
      </c>
      <c r="N270" s="51" t="s">
        <v>631</v>
      </c>
      <c r="O270" s="51" t="s">
        <v>631</v>
      </c>
      <c r="P270" s="51">
        <v>3.5000000000000003E-2</v>
      </c>
      <c r="Q270" s="51">
        <v>2.5000000000000001E-2</v>
      </c>
      <c r="R270" s="51" t="s">
        <v>631</v>
      </c>
      <c r="S270" s="32"/>
      <c r="T270" s="52"/>
      <c r="U270" s="52"/>
      <c r="V270" s="52"/>
      <c r="W270" s="52"/>
      <c r="X270" s="32">
        <v>1E-3</v>
      </c>
      <c r="Y270" s="53" t="s">
        <v>631</v>
      </c>
      <c r="Z270" s="4">
        <v>45</v>
      </c>
      <c r="AA270" s="53" t="s">
        <v>631</v>
      </c>
      <c r="AB270" s="42">
        <f>IF(J270&lt;=0.04,0,IF((BA270-AL270*BF$4*炼钢参数表!$X$5/1000-AM270*BG$4*炼钢参数表!$X$5/1000)&lt;=0.03,0,IF((J270/100/0.1769/炼钢参数表!K270*1000)&gt;(K270-炼钢参数表!J270)/100/0.6566/炼钢参数表!L270*1000,IF(K270&lt;1.6,(K270-炼钢参数表!J270)/100/0.6566/炼钢参数表!L270*1000,(K270-0.08-炼钢参数表!J270)/100/0.6566/炼钢参数表!L270*1000),IF(K270&lt;1.6,J270/100/0.1769/炼钢参数表!K270*1000,(J270-0.08)/100/0.1769/炼钢参数表!K270*1000))))</f>
        <v>23.470475610286801</v>
      </c>
      <c r="AC270" s="8">
        <f>IF((BA270-AB270*$BB$4*0.9/1000-AL270*BF$4*炼钢参数表!$X$5/1000-AM270*BG$4*炼钢参数表!$X$5/1000)&lt;(K270-炼钢参数表!J270-AB270*0.6566*炼钢参数表!L270/10)*0.082,0,(K270-炼钢参数表!J270-AB270*0.6566*炼钢参数表!L270/10)/100/($AC$3/100)/炼钢参数表!L270*1000)</f>
        <v>1.09427148875636</v>
      </c>
      <c r="AD270" s="8">
        <f>IF((BA270-AB270*$BB$4*0.9/1000-AC270*$BC$4*0.9/1000-AL270*BF$4*炼钢参数表!$X$5/1000-AM270*BG$4*炼钢参数表!$X$5/1000)&lt;=(K270-炼钢参数表!J270-AB270*0.6566*炼钢参数表!L270/10-AC270*($AC$3/100)*炼钢参数表!L270/10)*0.02,0,((K270-炼钢参数表!J270-AB270*0.6566*炼钢参数表!L270/10-AC270*($AC$3/100)*炼钢参数表!L270/10)/100/($AD$3/100)/炼钢参数表!L270*1000))</f>
        <v>0</v>
      </c>
      <c r="AE270" s="8">
        <f>(K270-炼钢参数表!J270-AB270*0.6566*炼钢参数表!L270/10-AC270*($AC$3/100)*炼钢参数表!L270/10-AD270*($AD$3/100)*炼钢参数表!L270/10)/100/($AE$3/100)/炼钢参数表!L270*1000</f>
        <v>0</v>
      </c>
      <c r="AF270" s="8">
        <v>0</v>
      </c>
      <c r="AG270" s="8">
        <f>IF(J270&lt;=0.04,0,((J270-(AB270*0.1769*炼钢参数表!K270/1000*100))/100/炼钢参数表!K270/($AG$3/100)*1000))</f>
        <v>9.8270425924688798</v>
      </c>
      <c r="AH270" s="8">
        <v>1.7</v>
      </c>
      <c r="AI270" s="8">
        <f>IF(N270="",0,IF(N270&lt;=0.002,0,((N270)/100)/($AI$3/100)/炼钢参数表!M270*1000))</f>
        <v>0</v>
      </c>
      <c r="AJ270" s="8">
        <f>IF(O270="",0,IF(O270&lt;=0.002,0,((O270)/100)/($AJ$3/100)/炼钢参数表!N270*1000))</f>
        <v>0</v>
      </c>
      <c r="AK270" s="8">
        <f>IF(P270="",0,IF(P270&lt;=0.002,0,((P270+0.005)/100)/($AK$3/100)/炼钢参数表!O270*1000))</f>
        <v>0.798307587913623</v>
      </c>
      <c r="AL270" s="8">
        <f>IF((BA270-J270*0.00003-K270*0.00024)&lt;=0.05,0,IF(T270="",0,IF(T270&lt;=0.03,0,IF(((BA270-J270*0.00003-K270*0.00024)-0.05)/0.18/100/($AL$3/100)/炼钢参数表!P270*1000&lt;=T270/100/($AL$3/100)/炼钢参数表!P270*1000,((BA270-J270*0.00003-K270*0.00024)-0.05)/0.18/100/($AL$3/100)/炼钢参数表!P270*1000,T270/100/($AL$3/100)/炼钢参数表!P270*1000))))</f>
        <v>0</v>
      </c>
      <c r="AM270" s="8">
        <f>IF(T270="",0,IF(T270&lt;=0.03,0,((T270-AL270*($AL$3/100)*炼钢参数表!P270/10)/100/($AM$3/100)/炼钢参数表!P270*1000)))</f>
        <v>0</v>
      </c>
      <c r="AN270" s="8">
        <f>IF(U270="",0,IF(U270&lt;=0.02,0,(U270/100)/($AN$3/100)/炼钢参数表!Q270*1000))</f>
        <v>0</v>
      </c>
      <c r="AO270" s="8">
        <f>IF(V270="",0,IF(V270&lt;=0.02,0,(V270/100)/($AO$3/100)/炼钢参数表!R270*1000))</f>
        <v>0</v>
      </c>
      <c r="AP270" s="8">
        <f>IF(W270="",0,IF(W270&lt;=0.02,0,(W270/100)/($AP$3/100)/炼钢参数表!S270*1000))</f>
        <v>0</v>
      </c>
      <c r="AQ270" s="8">
        <f>IF(X270="",0,IF(X270&lt;=0.0002,0,(X270/100)/($AQ$3/100)/炼钢参数表!T270*1000))</f>
        <v>7.9365079365079402E-2</v>
      </c>
      <c r="AR270" s="8">
        <f>IF(Y270="",0,IF(Y270&lt;=0.02,0,(Y270/100)/($AR$3/100)/炼钢参数表!U270*1000))</f>
        <v>0</v>
      </c>
      <c r="AS270" s="8">
        <f>IF(L270&lt;=0.04,0,((L270-0.04)/100)/($AS$3/100)/炼钢参数表!V270*1000)</f>
        <v>0</v>
      </c>
      <c r="AT270" s="8">
        <f>IF(M270&lt;=0.03,0,((M270-0.03)/100)/($AT$3/100)/炼钢参数表!W270*1000)</f>
        <v>0</v>
      </c>
      <c r="AU270" s="6"/>
      <c r="AV270" s="8">
        <f t="shared" ref="AV270:AV284" si="52">SUM(AB270:AU270)</f>
        <v>36.9694623587907</v>
      </c>
      <c r="AW270" s="8" cm="1">
        <f t="array" ref="AW270">SUMPRODUCT($AB$4:$AU$4,AB270:AU270)/1000</f>
        <v>243.99712911602899</v>
      </c>
      <c r="AY270" s="2" t="str">
        <f t="shared" si="47"/>
        <v>HXN-12</v>
      </c>
      <c r="AZ270" s="37">
        <f>VLOOKUP(AY270,炼钢参数表!$F$5:$J$1027,4,0)</f>
        <v>5.7625000000000003E-2</v>
      </c>
      <c r="BA270" s="37">
        <f t="shared" si="48"/>
        <v>0.13237499999999999</v>
      </c>
      <c r="BB270" s="77">
        <f>AB270*$BB$4*炼钢参数表!$X$5/1000</f>
        <v>3.6332296244723901E-2</v>
      </c>
      <c r="BC270" s="77">
        <f>AC270*$BC$4*炼钢参数表!$X$5/1000</f>
        <v>6.58860863380205E-3</v>
      </c>
      <c r="BD270" s="77">
        <f>AD270*$BD$4*炼钢参数表!$X$5/1000</f>
        <v>0</v>
      </c>
      <c r="BE270" s="77">
        <f>AE270*$BE$4*炼钢参数表!$X$5/1000</f>
        <v>0</v>
      </c>
      <c r="BF270" s="77">
        <f>AL270*$BF$4*炼钢参数表!$X$5/1000</f>
        <v>0</v>
      </c>
      <c r="BG270" s="77">
        <f>AM270*$BG$4*炼钢参数表!$X$5/1000</f>
        <v>0</v>
      </c>
      <c r="BH270" s="77">
        <f t="shared" si="49"/>
        <v>4.2920904878525998E-2</v>
      </c>
      <c r="BI270" s="77">
        <f t="shared" si="50"/>
        <v>0.10054590487852599</v>
      </c>
      <c r="BJ270" s="77">
        <f t="shared" si="51"/>
        <v>-8.9454095121473995E-2</v>
      </c>
      <c r="BK270" s="54"/>
      <c r="BL270" s="7"/>
    </row>
    <row r="271" spans="1:16371" s="20" customFormat="1" x14ac:dyDescent="0.3">
      <c r="A271" s="21">
        <v>263</v>
      </c>
      <c r="B271" s="71" t="s">
        <v>481</v>
      </c>
      <c r="C271" s="71" t="s">
        <v>23</v>
      </c>
      <c r="D271" s="71">
        <v>3</v>
      </c>
      <c r="E271" s="71">
        <v>16</v>
      </c>
      <c r="F271" s="71" t="s">
        <v>481</v>
      </c>
      <c r="G271" s="72" t="s">
        <v>482</v>
      </c>
      <c r="H271" s="71">
        <v>1511</v>
      </c>
      <c r="I271" s="73">
        <v>0.17</v>
      </c>
      <c r="J271" s="74">
        <v>0.5</v>
      </c>
      <c r="K271" s="74">
        <v>1.45</v>
      </c>
      <c r="L271" s="73">
        <v>1.2E-2</v>
      </c>
      <c r="M271" s="73">
        <v>3.0000000000000001E-3</v>
      </c>
      <c r="N271" s="73">
        <v>0.03</v>
      </c>
      <c r="O271" s="73" t="s">
        <v>631</v>
      </c>
      <c r="P271" s="73">
        <v>0.03</v>
      </c>
      <c r="Q271" s="73">
        <v>0.02</v>
      </c>
      <c r="R271" s="73" t="s">
        <v>631</v>
      </c>
      <c r="S271" s="75"/>
      <c r="T271" s="74">
        <v>0.55000000000000004</v>
      </c>
      <c r="U271" s="74"/>
      <c r="V271" s="74"/>
      <c r="W271" s="74"/>
      <c r="X271" s="75">
        <v>1.5E-3</v>
      </c>
      <c r="Y271" s="76" t="s">
        <v>631</v>
      </c>
      <c r="Z271" s="71">
        <v>45</v>
      </c>
      <c r="AA271" s="76"/>
      <c r="AB271" s="42">
        <f>IF(J271&lt;=0.04,0,IF((BA271-AL271*BF$4*炼钢参数表!$X$5/1000-AM271*BG$4*炼钢参数表!$X$5/1000)&lt;=0.03,0,IF((J271/100/0.1769/炼钢参数表!K271*1000)&gt;(K271-炼钢参数表!J271)/100/0.6566/炼钢参数表!L271*1000,IF(K271&lt;1.6,(K271-炼钢参数表!J271)/100/0.6566/炼钢参数表!L271*1000,(K271-0.08-炼钢参数表!J271)/100/0.6566/炼钢参数表!L271*1000),IF(K271&lt;1.6,J271/100/0.1769/炼钢参数表!K271*1000,(J271-0.08)/100/0.1769/炼钢参数表!K271*1000))))</f>
        <v>20.964523488347499</v>
      </c>
      <c r="AC271" s="8">
        <f>IF((BA271-AB271*$BB$4*0.9/1000-AL271*BF$4*炼钢参数表!$X$5/1000-AM271*BG$4*炼钢参数表!$X$5/1000)&lt;(K271-炼钢参数表!J271-AB271*0.6566*炼钢参数表!L271/10)*0.082,0,(K271-炼钢参数表!J271-AB271*0.6566*炼钢参数表!L271/10)/100/($AC$3/100)/炼钢参数表!L271*1000)</f>
        <v>0</v>
      </c>
      <c r="AD271" s="8">
        <f>IF((BA271-AB271*$BB$4*0.9/1000-AC271*$BC$4*0.9/1000-AL271*BF$4*炼钢参数表!$X$5/1000-AM271*BG$4*炼钢参数表!$X$5/1000)&lt;=(K271-炼钢参数表!J271-AB271*0.6566*炼钢参数表!L271/10-AC271*($AC$3/100)*炼钢参数表!L271/10)*0.02,0,((K271-炼钢参数表!J271-AB271*0.6566*炼钢参数表!L271/10-AC271*($AC$3/100)*炼钢参数表!L271/10)/100/($AD$3/100)/炼钢参数表!L271*1000))</f>
        <v>0</v>
      </c>
      <c r="AE271" s="8">
        <f>(K271-炼钢参数表!J271-AB271*0.6566*炼钢参数表!L271/10-AC271*($AC$3/100)*炼钢参数表!L271/10-AD271*($AD$3/100)*炼钢参数表!L271/10)/100/($AE$3/100)/炼钢参数表!L271*1000</f>
        <v>0</v>
      </c>
      <c r="AF271" s="8">
        <v>0</v>
      </c>
      <c r="AG271" s="8">
        <f>IF(J271&lt;=0.04,0,((J271-(AB271*0.1769*炼钢参数表!K271/1000*100))/100/炼钢参数表!K271/($AG$3/100)*1000))</f>
        <v>3.5184491138188099</v>
      </c>
      <c r="AH271" s="8">
        <v>1.7</v>
      </c>
      <c r="AI271" s="8">
        <f>IF(N271="",0,IF(N271&lt;=0.002,0,((N271)/100)/($AI$3/100)/炼钢参数表!M271*1000))</f>
        <v>0.59824594289543098</v>
      </c>
      <c r="AJ271" s="8">
        <f>IF(O271="",0,IF(O271&lt;=0.002,0,((O271)/100)/($AJ$3/100)/炼钢参数表!N271*1000))</f>
        <v>0</v>
      </c>
      <c r="AK271" s="8">
        <f>IF(P271="",0,IF(P271&lt;=0.002,0,((P271+0.005)/100)/($AK$3/100)/炼钢参数表!O271*1000))</f>
        <v>0.69851913942442001</v>
      </c>
      <c r="AL271" s="8">
        <f>IF((BA271-J271*0.00003-K271*0.00024)&lt;=0.05,0,IF(T271="",0,IF(T271&lt;=0.03,0,IF(((BA271-J271*0.00003-K271*0.00024)-0.05)/0.18/100/($AL$3/100)/炼钢参数表!P271*1000&lt;=T271/100/($AL$3/100)/炼钢参数表!P271*1000,((BA271-J271*0.00003-K271*0.00024)-0.05)/0.18/100/($AL$3/100)/炼钢参数表!P271*1000,T271/100/($AL$3/100)/炼钢参数表!P271*1000))))</f>
        <v>8.5845129985754998</v>
      </c>
      <c r="AM271" s="8">
        <f>IF(T271="",0,IF(T271&lt;=0.03,0,((T271-AL271*($AL$3/100)*炼钢参数表!P271/10)/100/($AM$3/100)/炼钢参数表!P271*1000)))</f>
        <v>2.1285664660286101</v>
      </c>
      <c r="AN271" s="8">
        <f>IF(U271="",0,IF(U271&lt;=0.02,0,(U271/100)/($AN$3/100)/炼钢参数表!Q271*1000))</f>
        <v>0</v>
      </c>
      <c r="AO271" s="8">
        <f>IF(V271="",0,IF(V271&lt;=0.02,0,(V271/100)/($AO$3/100)/炼钢参数表!R271*1000))</f>
        <v>0</v>
      </c>
      <c r="AP271" s="8">
        <f>IF(W271="",0,IF(W271&lt;=0.02,0,(W271/100)/($AP$3/100)/炼钢参数表!S271*1000))</f>
        <v>0</v>
      </c>
      <c r="AQ271" s="8">
        <f>IF(X271="",0,IF(X271&lt;=0.0002,0,(X271/100)/($AQ$3/100)/炼钢参数表!T271*1000))</f>
        <v>0.119047619047619</v>
      </c>
      <c r="AR271" s="8">
        <f>IF(Y271="",0,IF(Y271&lt;=0.02,0,(Y271/100)/($AR$3/100)/炼钢参数表!U271*1000))</f>
        <v>0</v>
      </c>
      <c r="AS271" s="8">
        <f>IF(L271&lt;=0.04,0,((L271-0.04)/100)/($AS$3/100)/炼钢参数表!V271*1000)</f>
        <v>0</v>
      </c>
      <c r="AT271" s="8">
        <f>IF(M271&lt;=0.03,0,((M271-0.03)/100)/($AT$3/100)/炼钢参数表!W271*1000)</f>
        <v>0</v>
      </c>
      <c r="AU271" s="74"/>
      <c r="AV271" s="8">
        <f t="shared" si="52"/>
        <v>38.311864768137902</v>
      </c>
      <c r="AW271" s="8" cm="1">
        <f t="array" ref="AW271">SUMPRODUCT($AB$4:$AU$4,AB271:AU271)/1000</f>
        <v>338.15913401311599</v>
      </c>
      <c r="AY271" s="71" t="str">
        <f t="shared" si="47"/>
        <v>HXN-2</v>
      </c>
      <c r="AZ271" s="77">
        <f>VLOOKUP(AY271,炼钢参数表!$F$5:$J$1027,4,0)</f>
        <v>4.2500000000000003E-2</v>
      </c>
      <c r="BA271" s="77">
        <f t="shared" si="48"/>
        <v>0.1275</v>
      </c>
      <c r="BB271" s="77">
        <f>AB271*$BB$4*炼钢参数表!$X$5/1000</f>
        <v>3.2453082359961999E-2</v>
      </c>
      <c r="BC271" s="77">
        <f>AC271*$BC$4*炼钢参数表!$X$5/1000</f>
        <v>0</v>
      </c>
      <c r="BD271" s="77">
        <f>AD271*$BD$4*炼钢参数表!$X$5/1000</f>
        <v>0</v>
      </c>
      <c r="BE271" s="77">
        <f>AE271*$BE$4*炼钢参数表!$X$5/1000</f>
        <v>0</v>
      </c>
      <c r="BF271" s="77">
        <f>AL271*$BF$4*炼钢参数表!$X$5/1000</f>
        <v>7.7260616987179495E-2</v>
      </c>
      <c r="BG271" s="77">
        <f>AM271*$BG$4*炼钢参数表!$X$5/1000</f>
        <v>2.2988517833109001E-4</v>
      </c>
      <c r="BH271" s="77">
        <f t="shared" si="49"/>
        <v>0.109943584525473</v>
      </c>
      <c r="BI271" s="77">
        <f t="shared" si="50"/>
        <v>0.15244358452547299</v>
      </c>
      <c r="BJ271" s="77">
        <f t="shared" si="51"/>
        <v>-1.7556415474527399E-2</v>
      </c>
      <c r="BK271" s="78"/>
      <c r="BL271" s="76"/>
    </row>
    <row r="272" spans="1:16371" s="20" customFormat="1" x14ac:dyDescent="0.3">
      <c r="A272" s="21">
        <v>264</v>
      </c>
      <c r="B272" s="4" t="s">
        <v>483</v>
      </c>
      <c r="C272" s="4" t="s">
        <v>23</v>
      </c>
      <c r="D272" s="4">
        <v>3</v>
      </c>
      <c r="E272" s="4">
        <v>16</v>
      </c>
      <c r="F272" s="4" t="s">
        <v>483</v>
      </c>
      <c r="G272" s="4" t="s">
        <v>484</v>
      </c>
      <c r="H272" s="4">
        <v>1511</v>
      </c>
      <c r="I272" s="4">
        <v>0.14000000000000001</v>
      </c>
      <c r="J272" s="4">
        <v>0.5</v>
      </c>
      <c r="K272" s="4">
        <v>1.5</v>
      </c>
      <c r="L272" s="4">
        <v>0.01</v>
      </c>
      <c r="M272" s="4">
        <v>3.0000000000000001E-3</v>
      </c>
      <c r="N272" s="4">
        <v>0.03</v>
      </c>
      <c r="O272" s="4" t="s">
        <v>631</v>
      </c>
      <c r="P272" s="4">
        <v>0.03</v>
      </c>
      <c r="Q272" s="4">
        <v>0.02</v>
      </c>
      <c r="R272" s="4" t="s">
        <v>631</v>
      </c>
      <c r="S272" s="4" t="s">
        <v>631</v>
      </c>
      <c r="T272" s="4">
        <v>0.55000000000000004</v>
      </c>
      <c r="U272" s="4">
        <v>0</v>
      </c>
      <c r="V272" s="4">
        <v>0</v>
      </c>
      <c r="W272" s="4" t="s">
        <v>631</v>
      </c>
      <c r="X272" s="4">
        <v>1.5E-3</v>
      </c>
      <c r="Y272" s="4"/>
      <c r="Z272" s="4" t="s">
        <v>631</v>
      </c>
      <c r="AA272" s="76"/>
      <c r="AB272" s="42">
        <f>IF(J272&lt;=0.04,0,IF((BA272-AL272*BF$4*炼钢参数表!$X$5/1000-AM272*BG$4*炼钢参数表!$X$5/1000)&lt;=0.03,0,IF((J272/100/0.1769/炼钢参数表!K272*1000)&gt;(K272-炼钢参数表!J272)/100/0.6566/炼钢参数表!L272*1000,IF(K272&lt;1.6,(K272-炼钢参数表!J272)/100/0.6566/炼钢参数表!L272*1000,(K272-0.08-炼钢参数表!J272)/100/0.6566/炼钢参数表!L272*1000),IF(K272&lt;1.6,J272/100/0.1769/炼钢参数表!K272*1000,(J272-0.08)/100/0.1769/炼钢参数表!K272*1000))))</f>
        <v>21.7415629060031</v>
      </c>
      <c r="AC272" s="8">
        <f>IF((BA272-AB272*$BB$4*0.9/1000-AL272*BF$4*炼钢参数表!$X$5/1000-AM272*BG$4*炼钢参数表!$X$5/1000)&lt;(K272-炼钢参数表!J272-AB272*0.6566*炼钢参数表!L272/10)*0.082,0,(K272-炼钢参数表!J272-AB272*0.6566*炼钢参数表!L272/10)/100/($AC$3/100)/炼钢参数表!L272*1000)</f>
        <v>0</v>
      </c>
      <c r="AD272" s="8">
        <f>IF((BA272-AB272*$BB$4*0.9/1000-AC272*$BC$4*0.9/1000-AL272*BF$4*炼钢参数表!$X$5/1000-AM272*BG$4*炼钢参数表!$X$5/1000)&lt;=(K272-炼钢参数表!J272-AB272*0.6566*炼钢参数表!L272/10-AC272*($AC$3/100)*炼钢参数表!L272/10)*0.02,0,((K272-炼钢参数表!J272-AB272*0.6566*炼钢参数表!L272/10-AC272*($AC$3/100)*炼钢参数表!L272/10)/100/($AD$3/100)/炼钢参数表!L272*1000))</f>
        <v>0</v>
      </c>
      <c r="AE272" s="8">
        <f>(K272-炼钢参数表!J272-AB272*0.6566*炼钢参数表!L272/10-AC272*($AC$3/100)*炼钢参数表!L272/10-AD272*($AD$3/100)*炼钢参数表!L272/10)/100/($AE$3/100)/炼钢参数表!L272*1000</f>
        <v>0</v>
      </c>
      <c r="AF272" s="8">
        <v>0</v>
      </c>
      <c r="AG272" s="8">
        <f>IF(J272&lt;=0.04,0,((J272-(AB272*0.1769*炼钢参数表!K272/1000*100))/100/炼钢参数表!K272/($AG$3/100)*1000))</f>
        <v>3.3281427688329699</v>
      </c>
      <c r="AH272" s="8">
        <v>1.7</v>
      </c>
      <c r="AI272" s="8">
        <f>IF(N272="",0,IF(N272&lt;=0.002,0,((N272)/100)/($AI$3/100)/炼钢参数表!M272*1000))</f>
        <v>0.59824594289543098</v>
      </c>
      <c r="AJ272" s="8">
        <f>IF(O272="",0,IF(O272&lt;=0.002,0,((O272)/100)/($AJ$3/100)/炼钢参数表!N272*1000))</f>
        <v>0</v>
      </c>
      <c r="AK272" s="8">
        <f>IF(P272="",0,IF(P272&lt;=0.002,0,((P272+0.005)/100)/($AK$3/100)/炼钢参数表!O272*1000))</f>
        <v>0.69851913942442001</v>
      </c>
      <c r="AL272" s="8">
        <f>IF((BA272-J272*0.00003-K272*0.00024)&lt;=0.05,0,IF(T272="",0,IF(T272&lt;=0.03,0,IF(((BA272-J272*0.00003-K272*0.00024)-0.05)/0.18/100/($AL$3/100)/炼钢参数表!P272*1000&lt;=T272/100/($AL$3/100)/炼钢参数表!P272*1000,((BA272-J272*0.00003-K272*0.00024)-0.05)/0.18/100/($AL$3/100)/炼钢参数表!P272*1000,T272/100/($AL$3/100)/炼钢参数表!P272*1000))))</f>
        <v>5.2445023148148202</v>
      </c>
      <c r="AM272" s="8">
        <f>IF(T272="",0,IF(T272&lt;=0.03,0,((T272-AL272*($AL$3/100)*炼钢参数表!P272/10)/100/($AM$3/100)/炼钢参数表!P272*1000)))</f>
        <v>5.0505139013508797</v>
      </c>
      <c r="AN272" s="8">
        <f>IF(U272="",0,IF(U272&lt;=0.02,0,(U272/100)/($AN$3/100)/炼钢参数表!Q272*1000))</f>
        <v>0</v>
      </c>
      <c r="AO272" s="8">
        <f>IF(V272="",0,IF(V272&lt;=0.02,0,(V272/100)/($AO$3/100)/炼钢参数表!R272*1000))</f>
        <v>0</v>
      </c>
      <c r="AP272" s="8">
        <f>IF(W272="",0,IF(W272&lt;=0.02,0,(W272/100)/($AP$3/100)/炼钢参数表!S272*1000))</f>
        <v>0</v>
      </c>
      <c r="AQ272" s="8">
        <f>IF(X272="",0,IF(X272&lt;=0.0002,0,(X272/100)/($AQ$3/100)/炼钢参数表!T272*1000))</f>
        <v>0.119047619047619</v>
      </c>
      <c r="AR272" s="8">
        <f>IF(Y272="",0,IF(Y272&lt;=0.02,0,(Y272/100)/($AR$3/100)/炼钢参数表!U272*1000))</f>
        <v>0</v>
      </c>
      <c r="AS272" s="8">
        <f>IF(L272&lt;=0.04,0,((L272-0.04)/100)/($AS$3/100)/炼钢参数表!V272*1000)</f>
        <v>0</v>
      </c>
      <c r="AT272" s="8">
        <f>IF(M272&lt;=0.03,0,((M272-0.03)/100)/($AT$3/100)/炼钢参数表!W272*1000)</f>
        <v>0</v>
      </c>
      <c r="AU272" s="74"/>
      <c r="AV272" s="8">
        <f t="shared" si="52"/>
        <v>38.480534592369203</v>
      </c>
      <c r="AW272" s="8" cm="1">
        <f t="array" ref="AW272">SUMPRODUCT($AB$4:$AU$4,AB272:AU272)/1000</f>
        <v>357.50308692055199</v>
      </c>
      <c r="AY272" s="71" t="str">
        <f t="shared" si="47"/>
        <v>HXN-3</v>
      </c>
      <c r="AZ272" s="77">
        <f>VLOOKUP(AY272,炼钢参数表!$F$5:$J$1027,4,0)</f>
        <v>4.2500000000000003E-2</v>
      </c>
      <c r="BA272" s="77">
        <f t="shared" si="48"/>
        <v>9.7500000000000003E-2</v>
      </c>
      <c r="BB272" s="77">
        <f>AB272*$BB$4*炼钢参数表!$X$5/1000</f>
        <v>3.3655939378492802E-2</v>
      </c>
      <c r="BC272" s="77">
        <f>AC272*$BC$4*炼钢参数表!$X$5/1000</f>
        <v>0</v>
      </c>
      <c r="BD272" s="77">
        <f>AD272*$BD$4*炼钢参数表!$X$5/1000</f>
        <v>0</v>
      </c>
      <c r="BE272" s="77">
        <f>AE272*$BE$4*炼钢参数表!$X$5/1000</f>
        <v>0</v>
      </c>
      <c r="BF272" s="77">
        <f>AL272*$BF$4*炼钢参数表!$X$5/1000</f>
        <v>4.7200520833333301E-2</v>
      </c>
      <c r="BG272" s="77">
        <f>AM272*$BG$4*炼钢参数表!$X$5/1000</f>
        <v>5.4545550134589495E-4</v>
      </c>
      <c r="BH272" s="77">
        <f t="shared" si="49"/>
        <v>8.1401915713171999E-2</v>
      </c>
      <c r="BI272" s="77">
        <f t="shared" si="50"/>
        <v>0.123901915713172</v>
      </c>
      <c r="BJ272" s="77">
        <f t="shared" si="51"/>
        <v>-1.6098084286828001E-2</v>
      </c>
      <c r="BK272" s="78"/>
      <c r="BL272" s="76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  <c r="DC272" s="18"/>
      <c r="DD272" s="18"/>
      <c r="DE272" s="18"/>
      <c r="DF272" s="18"/>
      <c r="DG272" s="18"/>
      <c r="DH272" s="18"/>
      <c r="DI272" s="18"/>
      <c r="DJ272" s="18"/>
      <c r="DK272" s="18"/>
      <c r="DL272" s="18"/>
      <c r="DM272" s="18"/>
      <c r="DN272" s="18"/>
      <c r="DO272" s="18"/>
      <c r="DP272" s="18"/>
      <c r="DQ272" s="18"/>
      <c r="DR272" s="18"/>
      <c r="DS272" s="18"/>
      <c r="DT272" s="18"/>
      <c r="DU272" s="18"/>
      <c r="DV272" s="18"/>
      <c r="DW272" s="18"/>
      <c r="DX272" s="18"/>
      <c r="DY272" s="18"/>
      <c r="DZ272" s="18"/>
      <c r="EA272" s="18"/>
      <c r="EB272" s="18"/>
      <c r="EC272" s="18"/>
      <c r="ED272" s="18"/>
      <c r="EE272" s="18"/>
      <c r="EF272" s="18"/>
      <c r="EG272" s="18"/>
      <c r="EH272" s="18"/>
      <c r="EI272" s="18"/>
      <c r="EJ272" s="18"/>
      <c r="EK272" s="18"/>
      <c r="EL272" s="18"/>
      <c r="EM272" s="18"/>
      <c r="EN272" s="18"/>
      <c r="EO272" s="18"/>
      <c r="EP272" s="18"/>
      <c r="EQ272" s="18"/>
      <c r="ER272" s="18"/>
      <c r="ES272" s="18"/>
      <c r="ET272" s="18"/>
      <c r="EU272" s="18"/>
      <c r="EV272" s="18"/>
      <c r="EW272" s="18"/>
      <c r="EX272" s="18"/>
      <c r="EY272" s="18"/>
      <c r="EZ272" s="18"/>
      <c r="FA272" s="18"/>
      <c r="FB272" s="18"/>
      <c r="FC272" s="18"/>
      <c r="FD272" s="18"/>
      <c r="FE272" s="18"/>
      <c r="FF272" s="18"/>
      <c r="FG272" s="18"/>
      <c r="FH272" s="18"/>
      <c r="FI272" s="18"/>
      <c r="FJ272" s="18"/>
      <c r="FK272" s="18"/>
      <c r="FL272" s="18"/>
      <c r="FM272" s="18"/>
      <c r="FN272" s="18"/>
      <c r="FO272" s="18"/>
      <c r="FP272" s="18"/>
      <c r="FQ272" s="18"/>
      <c r="FR272" s="18"/>
      <c r="FS272" s="18"/>
      <c r="FT272" s="18"/>
      <c r="FU272" s="18"/>
      <c r="FV272" s="18"/>
      <c r="FW272" s="18"/>
      <c r="FX272" s="18"/>
      <c r="FY272" s="18"/>
      <c r="FZ272" s="18"/>
      <c r="GA272" s="18"/>
      <c r="GB272" s="18"/>
      <c r="GC272" s="18"/>
      <c r="GD272" s="18"/>
      <c r="GE272" s="18"/>
      <c r="GF272" s="18"/>
      <c r="GG272" s="18"/>
      <c r="GH272" s="18"/>
      <c r="GI272" s="18"/>
      <c r="GJ272" s="18"/>
      <c r="GK272" s="18"/>
      <c r="GL272" s="18"/>
      <c r="GM272" s="18"/>
      <c r="GN272" s="18"/>
      <c r="GO272" s="18"/>
      <c r="GP272" s="18"/>
      <c r="GQ272" s="18"/>
      <c r="GR272" s="18"/>
      <c r="GS272" s="18"/>
      <c r="GT272" s="18"/>
      <c r="GU272" s="18"/>
      <c r="GV272" s="18"/>
      <c r="GW272" s="18"/>
      <c r="GX272" s="18"/>
      <c r="GY272" s="18"/>
      <c r="GZ272" s="18"/>
      <c r="HA272" s="18"/>
      <c r="HB272" s="18"/>
      <c r="HC272" s="18"/>
      <c r="HD272" s="18"/>
      <c r="HE272" s="18"/>
      <c r="HF272" s="18"/>
      <c r="HG272" s="18"/>
      <c r="HH272" s="18"/>
      <c r="HI272" s="18"/>
      <c r="HJ272" s="18"/>
      <c r="HK272" s="18"/>
      <c r="HL272" s="18"/>
      <c r="HM272" s="18"/>
      <c r="HN272" s="18"/>
      <c r="HO272" s="18"/>
      <c r="HP272" s="18"/>
      <c r="HQ272" s="18"/>
      <c r="HR272" s="18"/>
      <c r="HS272" s="18"/>
      <c r="HT272" s="18"/>
      <c r="HU272" s="18"/>
      <c r="HV272" s="18"/>
      <c r="HW272" s="18"/>
      <c r="HX272" s="18"/>
      <c r="HY272" s="18"/>
      <c r="HZ272" s="18"/>
      <c r="IA272" s="18"/>
      <c r="IB272" s="18"/>
      <c r="IC272" s="18"/>
      <c r="ID272" s="18"/>
      <c r="IE272" s="18"/>
      <c r="IF272" s="18"/>
      <c r="IG272" s="18"/>
      <c r="IH272" s="18"/>
      <c r="II272" s="18"/>
      <c r="IJ272" s="18"/>
      <c r="IK272" s="18"/>
      <c r="IL272" s="18"/>
      <c r="IM272" s="18"/>
      <c r="IN272" s="18"/>
      <c r="IO272" s="18"/>
      <c r="IP272" s="18"/>
      <c r="IQ272" s="18"/>
      <c r="IR272" s="18"/>
      <c r="IS272" s="18"/>
      <c r="IT272" s="18"/>
      <c r="IU272" s="18"/>
      <c r="IV272" s="18"/>
      <c r="IW272" s="18"/>
      <c r="IX272" s="18"/>
      <c r="IY272" s="18"/>
      <c r="IZ272" s="18"/>
      <c r="JA272" s="18"/>
      <c r="JB272" s="18"/>
      <c r="JC272" s="18"/>
      <c r="JD272" s="18"/>
      <c r="JE272" s="18"/>
      <c r="JF272" s="18"/>
      <c r="JG272" s="18"/>
      <c r="JH272" s="18"/>
      <c r="JI272" s="18"/>
      <c r="JJ272" s="18"/>
      <c r="JK272" s="18"/>
      <c r="JL272" s="18"/>
      <c r="JM272" s="18"/>
      <c r="JN272" s="18"/>
      <c r="JO272" s="18"/>
      <c r="JP272" s="18"/>
      <c r="JQ272" s="18"/>
      <c r="JR272" s="18"/>
      <c r="JS272" s="18"/>
      <c r="JT272" s="18"/>
      <c r="JU272" s="18"/>
      <c r="JV272" s="18"/>
      <c r="JW272" s="18"/>
      <c r="JX272" s="18"/>
      <c r="JY272" s="18"/>
      <c r="JZ272" s="18"/>
      <c r="KA272" s="18"/>
      <c r="KB272" s="18"/>
      <c r="KC272" s="18"/>
      <c r="KD272" s="18"/>
      <c r="KE272" s="18"/>
      <c r="KF272" s="18"/>
      <c r="KG272" s="18"/>
      <c r="KH272" s="18"/>
      <c r="KI272" s="18"/>
      <c r="KJ272" s="18"/>
      <c r="KK272" s="18"/>
      <c r="KL272" s="18"/>
      <c r="KM272" s="18"/>
      <c r="KN272" s="18"/>
      <c r="KO272" s="18"/>
      <c r="KP272" s="18"/>
      <c r="KQ272" s="18"/>
      <c r="KR272" s="18"/>
      <c r="KS272" s="18"/>
      <c r="KT272" s="18"/>
      <c r="KU272" s="18"/>
      <c r="KV272" s="18"/>
      <c r="KW272" s="18"/>
      <c r="KX272" s="18"/>
      <c r="KY272" s="18"/>
      <c r="KZ272" s="18"/>
      <c r="LA272" s="18"/>
      <c r="LB272" s="18"/>
      <c r="LC272" s="18"/>
      <c r="LD272" s="18"/>
      <c r="LE272" s="18"/>
      <c r="LF272" s="18"/>
      <c r="LG272" s="18"/>
      <c r="LH272" s="18"/>
      <c r="LI272" s="18"/>
      <c r="LJ272" s="18"/>
      <c r="LK272" s="18"/>
      <c r="LL272" s="18"/>
      <c r="LM272" s="18"/>
      <c r="LN272" s="18"/>
      <c r="LO272" s="18"/>
      <c r="LP272" s="18"/>
      <c r="LQ272" s="18"/>
      <c r="LR272" s="18"/>
      <c r="LS272" s="18"/>
      <c r="LT272" s="18"/>
      <c r="LU272" s="18"/>
      <c r="LV272" s="18"/>
      <c r="LW272" s="18"/>
      <c r="LX272" s="18"/>
      <c r="LY272" s="18"/>
      <c r="LZ272" s="18"/>
      <c r="MA272" s="18"/>
      <c r="MB272" s="18"/>
      <c r="MC272" s="18"/>
      <c r="MD272" s="18"/>
      <c r="ME272" s="18"/>
      <c r="MF272" s="18"/>
      <c r="MG272" s="18"/>
      <c r="MH272" s="18"/>
      <c r="MI272" s="18"/>
      <c r="MJ272" s="18"/>
      <c r="MK272" s="18"/>
      <c r="ML272" s="18"/>
      <c r="MM272" s="18"/>
      <c r="MN272" s="18"/>
      <c r="MO272" s="18"/>
      <c r="MP272" s="18"/>
      <c r="MQ272" s="18"/>
      <c r="MR272" s="18"/>
      <c r="MS272" s="18"/>
      <c r="MT272" s="18"/>
      <c r="MU272" s="18"/>
      <c r="MV272" s="18"/>
      <c r="MW272" s="18"/>
      <c r="MX272" s="18"/>
      <c r="MY272" s="18"/>
      <c r="MZ272" s="18"/>
      <c r="NA272" s="18"/>
      <c r="NB272" s="18"/>
      <c r="NC272" s="18"/>
      <c r="ND272" s="18"/>
      <c r="NE272" s="18"/>
      <c r="NF272" s="18"/>
      <c r="NG272" s="18"/>
      <c r="NH272" s="18"/>
      <c r="NI272" s="18"/>
      <c r="NJ272" s="18"/>
      <c r="NK272" s="18"/>
      <c r="NL272" s="18"/>
      <c r="NM272" s="18"/>
      <c r="NN272" s="18"/>
      <c r="NO272" s="18"/>
      <c r="NP272" s="18"/>
      <c r="NQ272" s="18"/>
      <c r="NR272" s="18"/>
      <c r="NS272" s="18"/>
      <c r="NT272" s="18"/>
      <c r="NU272" s="18"/>
      <c r="NV272" s="18"/>
      <c r="NW272" s="18"/>
      <c r="NX272" s="18"/>
      <c r="NY272" s="18"/>
      <c r="NZ272" s="18"/>
      <c r="OA272" s="18"/>
      <c r="OB272" s="18"/>
      <c r="OC272" s="18"/>
      <c r="OD272" s="18"/>
      <c r="OE272" s="18"/>
      <c r="OF272" s="18"/>
      <c r="OG272" s="18"/>
      <c r="OH272" s="18"/>
      <c r="OI272" s="18"/>
      <c r="OJ272" s="18"/>
      <c r="OK272" s="18"/>
      <c r="OL272" s="18"/>
      <c r="OM272" s="18"/>
      <c r="ON272" s="18"/>
      <c r="OO272" s="18"/>
      <c r="OP272" s="18"/>
      <c r="OQ272" s="18"/>
      <c r="OR272" s="18"/>
      <c r="OS272" s="18"/>
      <c r="OT272" s="18"/>
      <c r="OU272" s="18"/>
      <c r="OV272" s="18"/>
      <c r="OW272" s="18"/>
      <c r="OX272" s="18"/>
      <c r="OY272" s="18"/>
      <c r="OZ272" s="18"/>
      <c r="PA272" s="18"/>
      <c r="PB272" s="18"/>
      <c r="PC272" s="18"/>
      <c r="PD272" s="18"/>
      <c r="PE272" s="18"/>
      <c r="PF272" s="18"/>
      <c r="PG272" s="18"/>
      <c r="PH272" s="18"/>
      <c r="PI272" s="18"/>
      <c r="PJ272" s="18"/>
      <c r="PK272" s="18"/>
      <c r="PL272" s="18"/>
      <c r="PM272" s="18"/>
      <c r="PN272" s="18"/>
      <c r="PO272" s="18"/>
      <c r="PP272" s="18"/>
      <c r="PQ272" s="18"/>
      <c r="PR272" s="18"/>
      <c r="PS272" s="18"/>
      <c r="PT272" s="18"/>
      <c r="PU272" s="18"/>
      <c r="PV272" s="18"/>
      <c r="PW272" s="18"/>
      <c r="PX272" s="18"/>
      <c r="PY272" s="18"/>
      <c r="PZ272" s="18"/>
      <c r="QA272" s="18"/>
      <c r="QB272" s="18"/>
      <c r="QC272" s="18"/>
      <c r="QD272" s="18"/>
      <c r="QE272" s="18"/>
      <c r="QF272" s="18"/>
      <c r="QG272" s="18"/>
      <c r="QH272" s="18"/>
      <c r="QI272" s="18"/>
      <c r="QJ272" s="18"/>
      <c r="QK272" s="18"/>
      <c r="QL272" s="18"/>
      <c r="QM272" s="18"/>
      <c r="QN272" s="18"/>
      <c r="QO272" s="18"/>
      <c r="QP272" s="18"/>
      <c r="QQ272" s="18"/>
      <c r="QR272" s="18"/>
      <c r="QS272" s="18"/>
      <c r="QT272" s="18"/>
      <c r="QU272" s="18"/>
      <c r="QV272" s="18"/>
      <c r="QW272" s="18"/>
      <c r="QX272" s="18"/>
      <c r="QY272" s="18"/>
      <c r="QZ272" s="18"/>
      <c r="RA272" s="18"/>
      <c r="RB272" s="18"/>
      <c r="RC272" s="18"/>
      <c r="RD272" s="18"/>
      <c r="RE272" s="18"/>
      <c r="RF272" s="18"/>
      <c r="RG272" s="18"/>
      <c r="RH272" s="18"/>
      <c r="RI272" s="18"/>
      <c r="RJ272" s="18"/>
      <c r="RK272" s="18"/>
      <c r="RL272" s="18"/>
      <c r="RM272" s="18"/>
      <c r="RN272" s="18"/>
      <c r="RO272" s="18"/>
      <c r="RP272" s="18"/>
      <c r="RQ272" s="18"/>
      <c r="RR272" s="18"/>
      <c r="RS272" s="18"/>
      <c r="RT272" s="18"/>
      <c r="RU272" s="18"/>
      <c r="RV272" s="18"/>
      <c r="RW272" s="18"/>
      <c r="RX272" s="18"/>
      <c r="RY272" s="18"/>
      <c r="RZ272" s="18"/>
      <c r="SA272" s="18"/>
      <c r="SB272" s="18"/>
      <c r="SC272" s="18"/>
      <c r="SD272" s="18"/>
      <c r="SE272" s="18"/>
      <c r="SF272" s="18"/>
      <c r="SG272" s="18"/>
      <c r="SH272" s="18"/>
      <c r="SI272" s="18"/>
      <c r="SJ272" s="18"/>
      <c r="SK272" s="18"/>
      <c r="SL272" s="18"/>
      <c r="SM272" s="18"/>
      <c r="SN272" s="18"/>
      <c r="SO272" s="18"/>
      <c r="SP272" s="18"/>
      <c r="SQ272" s="18"/>
      <c r="SR272" s="18"/>
      <c r="SS272" s="18"/>
      <c r="ST272" s="18"/>
      <c r="SU272" s="18"/>
      <c r="SV272" s="18"/>
      <c r="SW272" s="18"/>
      <c r="SX272" s="18"/>
      <c r="SY272" s="18"/>
      <c r="SZ272" s="18"/>
      <c r="TA272" s="18"/>
      <c r="TB272" s="18"/>
      <c r="TC272" s="18"/>
      <c r="TD272" s="18"/>
      <c r="TE272" s="18"/>
      <c r="TF272" s="18"/>
      <c r="TG272" s="18"/>
      <c r="TH272" s="18"/>
      <c r="TI272" s="18"/>
      <c r="TJ272" s="18"/>
      <c r="TK272" s="18"/>
      <c r="TL272" s="18"/>
      <c r="TM272" s="18"/>
      <c r="TN272" s="18"/>
      <c r="TO272" s="18"/>
      <c r="TP272" s="18"/>
      <c r="TQ272" s="18"/>
      <c r="TR272" s="18"/>
      <c r="TS272" s="18"/>
      <c r="TT272" s="18"/>
      <c r="TU272" s="18"/>
      <c r="TV272" s="18"/>
      <c r="TW272" s="18"/>
      <c r="TX272" s="18"/>
      <c r="TY272" s="18"/>
      <c r="TZ272" s="18"/>
      <c r="UA272" s="18"/>
      <c r="UB272" s="18"/>
      <c r="UC272" s="18"/>
      <c r="UD272" s="18"/>
      <c r="UE272" s="18"/>
      <c r="UF272" s="18"/>
      <c r="UG272" s="18"/>
      <c r="UH272" s="18"/>
      <c r="UI272" s="18"/>
      <c r="UJ272" s="18"/>
      <c r="UK272" s="18"/>
      <c r="UL272" s="18"/>
      <c r="UM272" s="18"/>
      <c r="UN272" s="18"/>
      <c r="UO272" s="18"/>
      <c r="UP272" s="18"/>
      <c r="UQ272" s="18"/>
      <c r="UR272" s="18"/>
      <c r="US272" s="18"/>
      <c r="UT272" s="18"/>
      <c r="UU272" s="18"/>
      <c r="UV272" s="18"/>
      <c r="UW272" s="18"/>
      <c r="UX272" s="18"/>
      <c r="UY272" s="18"/>
      <c r="UZ272" s="18"/>
      <c r="VA272" s="18"/>
      <c r="VB272" s="18"/>
      <c r="VC272" s="18"/>
      <c r="VD272" s="18"/>
      <c r="VE272" s="18"/>
      <c r="VF272" s="18"/>
      <c r="VG272" s="18"/>
      <c r="VH272" s="18"/>
      <c r="VI272" s="18"/>
      <c r="VJ272" s="18"/>
      <c r="VK272" s="18"/>
      <c r="VL272" s="18"/>
      <c r="VM272" s="18"/>
      <c r="VN272" s="18"/>
      <c r="VO272" s="18"/>
      <c r="VP272" s="18"/>
      <c r="VQ272" s="18"/>
      <c r="VR272" s="18"/>
      <c r="VS272" s="18"/>
      <c r="VT272" s="18"/>
      <c r="VU272" s="18"/>
      <c r="VV272" s="18"/>
      <c r="VW272" s="18"/>
      <c r="VX272" s="18"/>
      <c r="VY272" s="18"/>
      <c r="VZ272" s="18"/>
      <c r="WA272" s="18"/>
      <c r="WB272" s="18"/>
      <c r="WC272" s="18"/>
      <c r="WD272" s="18"/>
      <c r="WE272" s="18"/>
      <c r="WF272" s="18"/>
      <c r="WG272" s="18"/>
      <c r="WH272" s="18"/>
      <c r="WI272" s="18"/>
      <c r="WJ272" s="18"/>
      <c r="WK272" s="18"/>
      <c r="WL272" s="18"/>
      <c r="WM272" s="18"/>
      <c r="WN272" s="18"/>
      <c r="WO272" s="18"/>
      <c r="WP272" s="18"/>
      <c r="WQ272" s="18"/>
      <c r="WR272" s="18"/>
      <c r="WS272" s="18"/>
      <c r="WT272" s="18"/>
      <c r="WU272" s="18"/>
      <c r="WV272" s="18"/>
      <c r="WW272" s="18"/>
      <c r="WX272" s="18"/>
      <c r="WY272" s="18"/>
      <c r="WZ272" s="18"/>
      <c r="XA272" s="18"/>
      <c r="XB272" s="18"/>
      <c r="XC272" s="18"/>
      <c r="XD272" s="18"/>
      <c r="XE272" s="18"/>
      <c r="XF272" s="18"/>
      <c r="XG272" s="18"/>
      <c r="XH272" s="18"/>
      <c r="XI272" s="18"/>
      <c r="XJ272" s="18"/>
      <c r="XK272" s="18"/>
      <c r="XL272" s="18"/>
      <c r="XM272" s="18"/>
      <c r="XN272" s="18"/>
      <c r="XO272" s="18"/>
      <c r="XP272" s="18"/>
      <c r="XQ272" s="18"/>
      <c r="XR272" s="18"/>
      <c r="XS272" s="18"/>
      <c r="XT272" s="18"/>
      <c r="XU272" s="18"/>
      <c r="XV272" s="18"/>
      <c r="XW272" s="18"/>
      <c r="XX272" s="18"/>
      <c r="XY272" s="18"/>
      <c r="XZ272" s="18"/>
      <c r="YA272" s="18"/>
      <c r="YB272" s="18"/>
      <c r="YC272" s="18"/>
      <c r="YD272" s="18"/>
      <c r="YE272" s="18"/>
      <c r="YF272" s="18"/>
      <c r="YG272" s="18"/>
      <c r="YH272" s="18"/>
      <c r="YI272" s="18"/>
      <c r="YJ272" s="18"/>
      <c r="YK272" s="18"/>
      <c r="YL272" s="18"/>
      <c r="YM272" s="18"/>
      <c r="YN272" s="18"/>
      <c r="YO272" s="18"/>
      <c r="YP272" s="18"/>
      <c r="YQ272" s="18"/>
      <c r="YR272" s="18"/>
      <c r="YS272" s="18"/>
      <c r="YT272" s="18"/>
      <c r="YU272" s="18"/>
      <c r="YV272" s="18"/>
      <c r="YW272" s="18"/>
      <c r="YX272" s="18"/>
      <c r="YY272" s="18"/>
      <c r="YZ272" s="18"/>
      <c r="ZA272" s="18"/>
      <c r="ZB272" s="18"/>
      <c r="ZC272" s="18"/>
      <c r="ZD272" s="18"/>
      <c r="ZE272" s="18"/>
      <c r="ZF272" s="18"/>
      <c r="ZG272" s="18"/>
      <c r="ZH272" s="18"/>
      <c r="ZI272" s="18"/>
      <c r="ZJ272" s="18"/>
      <c r="ZK272" s="18"/>
      <c r="ZL272" s="18"/>
      <c r="ZM272" s="18"/>
      <c r="ZN272" s="18"/>
      <c r="ZO272" s="18"/>
      <c r="ZP272" s="18"/>
      <c r="ZQ272" s="18"/>
      <c r="ZR272" s="18"/>
      <c r="ZS272" s="18"/>
      <c r="ZT272" s="18"/>
      <c r="ZU272" s="18"/>
      <c r="ZV272" s="18"/>
      <c r="ZW272" s="18"/>
      <c r="ZX272" s="18"/>
      <c r="ZY272" s="18"/>
      <c r="ZZ272" s="18"/>
      <c r="AAA272" s="18"/>
      <c r="AAB272" s="18"/>
      <c r="AAC272" s="18"/>
      <c r="AAD272" s="18"/>
      <c r="AAE272" s="18"/>
      <c r="AAF272" s="18"/>
      <c r="AAG272" s="18"/>
      <c r="AAH272" s="18"/>
      <c r="AAI272" s="18"/>
      <c r="AAJ272" s="18"/>
      <c r="AAK272" s="18"/>
      <c r="AAL272" s="18"/>
      <c r="AAM272" s="18"/>
      <c r="AAN272" s="18"/>
      <c r="AAO272" s="18"/>
      <c r="AAP272" s="18"/>
      <c r="AAQ272" s="18"/>
      <c r="AAR272" s="18"/>
      <c r="AAS272" s="18"/>
      <c r="AAT272" s="18"/>
      <c r="AAU272" s="18"/>
      <c r="AAV272" s="18"/>
      <c r="AAW272" s="18"/>
      <c r="AAX272" s="18"/>
      <c r="AAY272" s="18"/>
      <c r="AAZ272" s="18"/>
      <c r="ABA272" s="18"/>
      <c r="ABB272" s="18"/>
      <c r="ABC272" s="18"/>
      <c r="ABD272" s="18"/>
      <c r="ABE272" s="18"/>
      <c r="ABF272" s="18"/>
      <c r="ABG272" s="18"/>
      <c r="ABH272" s="18"/>
      <c r="ABI272" s="18"/>
      <c r="ABJ272" s="18"/>
      <c r="ABK272" s="18"/>
      <c r="ABL272" s="18"/>
      <c r="ABM272" s="18"/>
      <c r="ABN272" s="18"/>
      <c r="ABO272" s="18"/>
      <c r="ABP272" s="18"/>
      <c r="ABQ272" s="18"/>
      <c r="ABR272" s="18"/>
      <c r="ABS272" s="18"/>
      <c r="ABT272" s="18"/>
      <c r="ABU272" s="18"/>
      <c r="ABV272" s="18"/>
      <c r="ABW272" s="18"/>
      <c r="ABX272" s="18"/>
      <c r="ABY272" s="18"/>
      <c r="ABZ272" s="18"/>
      <c r="ACA272" s="18"/>
      <c r="ACB272" s="18"/>
      <c r="ACC272" s="18"/>
      <c r="ACD272" s="18"/>
      <c r="ACE272" s="18"/>
      <c r="ACF272" s="18"/>
      <c r="ACG272" s="18"/>
      <c r="ACH272" s="18"/>
      <c r="ACI272" s="18"/>
      <c r="ACJ272" s="18"/>
      <c r="ACK272" s="18"/>
      <c r="ACL272" s="18"/>
      <c r="ACM272" s="18"/>
      <c r="ACN272" s="18"/>
      <c r="ACO272" s="18"/>
      <c r="ACP272" s="18"/>
      <c r="ACQ272" s="18"/>
      <c r="ACR272" s="18"/>
      <c r="ACS272" s="18"/>
      <c r="ACT272" s="18"/>
      <c r="ACU272" s="18"/>
      <c r="ACV272" s="18"/>
      <c r="ACW272" s="18"/>
      <c r="ACX272" s="18"/>
      <c r="ACY272" s="18"/>
      <c r="ACZ272" s="18"/>
      <c r="ADA272" s="18"/>
      <c r="ADB272" s="18"/>
      <c r="ADC272" s="18"/>
      <c r="ADD272" s="18"/>
      <c r="ADE272" s="18"/>
      <c r="ADF272" s="18"/>
      <c r="ADG272" s="18"/>
      <c r="ADH272" s="18"/>
      <c r="ADI272" s="18"/>
      <c r="ADJ272" s="18"/>
      <c r="ADK272" s="18"/>
      <c r="ADL272" s="18"/>
      <c r="ADM272" s="18"/>
      <c r="ADN272" s="18"/>
      <c r="ADO272" s="18"/>
      <c r="ADP272" s="18"/>
      <c r="ADQ272" s="18"/>
      <c r="ADR272" s="18"/>
      <c r="ADS272" s="18"/>
      <c r="ADT272" s="18"/>
      <c r="ADU272" s="18"/>
      <c r="ADV272" s="18"/>
      <c r="ADW272" s="18"/>
      <c r="ADX272" s="18"/>
      <c r="ADY272" s="18"/>
      <c r="ADZ272" s="18"/>
      <c r="AEA272" s="18"/>
      <c r="AEB272" s="18"/>
      <c r="AEC272" s="18"/>
      <c r="AED272" s="18"/>
      <c r="AEE272" s="18"/>
      <c r="AEF272" s="18"/>
      <c r="AEG272" s="18"/>
      <c r="AEH272" s="18"/>
      <c r="AEI272" s="18"/>
      <c r="AEJ272" s="18"/>
      <c r="AEK272" s="18"/>
      <c r="AEL272" s="18"/>
      <c r="AEM272" s="18"/>
      <c r="AEN272" s="18"/>
      <c r="AEO272" s="18"/>
      <c r="AEP272" s="18"/>
      <c r="AEQ272" s="18"/>
      <c r="AER272" s="18"/>
      <c r="AES272" s="18"/>
      <c r="AET272" s="18"/>
      <c r="AEU272" s="18"/>
      <c r="AEV272" s="18"/>
      <c r="AEW272" s="18"/>
      <c r="AEX272" s="18"/>
      <c r="AEY272" s="18"/>
      <c r="AEZ272" s="18"/>
      <c r="AFA272" s="18"/>
      <c r="AFB272" s="18"/>
      <c r="AFC272" s="18"/>
      <c r="AFD272" s="18"/>
      <c r="AFE272" s="18"/>
      <c r="AFF272" s="18"/>
      <c r="AFG272" s="18"/>
      <c r="AFH272" s="18"/>
      <c r="AFI272" s="18"/>
      <c r="AFJ272" s="18"/>
      <c r="AFK272" s="18"/>
      <c r="AFL272" s="18"/>
      <c r="AFM272" s="18"/>
      <c r="AFN272" s="18"/>
      <c r="AFO272" s="18"/>
      <c r="AFP272" s="18"/>
      <c r="AFQ272" s="18"/>
      <c r="AFR272" s="18"/>
      <c r="AFS272" s="18"/>
      <c r="AFT272" s="18"/>
      <c r="AFU272" s="18"/>
      <c r="AFV272" s="18"/>
      <c r="AFW272" s="18"/>
      <c r="AFX272" s="18"/>
      <c r="AFY272" s="18"/>
      <c r="AFZ272" s="18"/>
      <c r="AGA272" s="18"/>
      <c r="AGB272" s="18"/>
      <c r="AGC272" s="18"/>
      <c r="AGD272" s="18"/>
      <c r="AGE272" s="18"/>
      <c r="AGF272" s="18"/>
      <c r="AGG272" s="18"/>
      <c r="AGH272" s="18"/>
      <c r="AGI272" s="18"/>
      <c r="AGJ272" s="18"/>
      <c r="AGK272" s="18"/>
      <c r="AGL272" s="18"/>
      <c r="AGM272" s="18"/>
      <c r="AGN272" s="18"/>
      <c r="AGO272" s="18"/>
      <c r="AGP272" s="18"/>
      <c r="AGQ272" s="18"/>
      <c r="AGR272" s="18"/>
      <c r="AGS272" s="18"/>
      <c r="AGT272" s="18"/>
      <c r="AGU272" s="18"/>
      <c r="AGV272" s="18"/>
      <c r="AGW272" s="18"/>
      <c r="AGX272" s="18"/>
      <c r="AGY272" s="18"/>
      <c r="AGZ272" s="18"/>
      <c r="AHA272" s="18"/>
      <c r="AHB272" s="18"/>
      <c r="AHC272" s="18"/>
      <c r="AHD272" s="18"/>
      <c r="AHE272" s="18"/>
      <c r="AHF272" s="18"/>
      <c r="AHG272" s="18"/>
      <c r="AHH272" s="18"/>
      <c r="AHI272" s="18"/>
      <c r="AHJ272" s="18"/>
      <c r="AHK272" s="18"/>
      <c r="AHL272" s="18"/>
      <c r="AHM272" s="18"/>
      <c r="AHN272" s="18"/>
      <c r="AHO272" s="18"/>
      <c r="AHP272" s="18"/>
      <c r="AHQ272" s="18"/>
      <c r="AHR272" s="18"/>
      <c r="AHS272" s="18"/>
      <c r="AHT272" s="18"/>
      <c r="AHU272" s="18"/>
      <c r="AHV272" s="18"/>
      <c r="AHW272" s="18"/>
      <c r="AHX272" s="18"/>
      <c r="AHY272" s="18"/>
      <c r="AHZ272" s="18"/>
      <c r="AIA272" s="18"/>
      <c r="AIB272" s="18"/>
      <c r="AIC272" s="18"/>
      <c r="AID272" s="18"/>
      <c r="AIE272" s="18"/>
      <c r="AIF272" s="18"/>
      <c r="AIG272" s="18"/>
      <c r="AIH272" s="18"/>
      <c r="AII272" s="18"/>
      <c r="AIJ272" s="18"/>
      <c r="AIK272" s="18"/>
      <c r="AIL272" s="18"/>
      <c r="AIM272" s="18"/>
      <c r="AIN272" s="18"/>
      <c r="AIO272" s="18"/>
      <c r="AIP272" s="18"/>
      <c r="AIQ272" s="18"/>
      <c r="AIR272" s="18"/>
      <c r="AIS272" s="18"/>
      <c r="AIT272" s="18"/>
      <c r="AIU272" s="18"/>
      <c r="AIV272" s="18"/>
      <c r="AIW272" s="18"/>
      <c r="AIX272" s="18"/>
      <c r="AIY272" s="18"/>
      <c r="AIZ272" s="18"/>
      <c r="AJA272" s="18"/>
      <c r="AJB272" s="18"/>
      <c r="AJC272" s="18"/>
      <c r="AJD272" s="18"/>
      <c r="AJE272" s="18"/>
      <c r="AJF272" s="18"/>
      <c r="AJG272" s="18"/>
      <c r="AJH272" s="18"/>
      <c r="AJI272" s="18"/>
      <c r="AJJ272" s="18"/>
      <c r="AJK272" s="18"/>
      <c r="AJL272" s="18"/>
      <c r="AJM272" s="18"/>
      <c r="AJN272" s="18"/>
      <c r="AJO272" s="18"/>
      <c r="AJP272" s="18"/>
      <c r="AJQ272" s="18"/>
      <c r="AJR272" s="18"/>
      <c r="AJS272" s="18"/>
      <c r="AJT272" s="18"/>
      <c r="AJU272" s="18"/>
      <c r="AJV272" s="18"/>
      <c r="AJW272" s="18"/>
      <c r="AJX272" s="18"/>
      <c r="AJY272" s="18"/>
      <c r="AJZ272" s="18"/>
      <c r="AKA272" s="18"/>
      <c r="AKB272" s="18"/>
      <c r="AKC272" s="18"/>
      <c r="AKD272" s="18"/>
      <c r="AKE272" s="18"/>
      <c r="AKF272" s="18"/>
      <c r="AKG272" s="18"/>
      <c r="AKH272" s="18"/>
      <c r="AKI272" s="18"/>
      <c r="AKJ272" s="18"/>
      <c r="AKK272" s="18"/>
      <c r="AKL272" s="18"/>
      <c r="AKM272" s="18"/>
      <c r="AKN272" s="18"/>
      <c r="AKO272" s="18"/>
      <c r="AKP272" s="18"/>
      <c r="AKQ272" s="18"/>
      <c r="AKR272" s="18"/>
      <c r="AKS272" s="18"/>
      <c r="AKT272" s="18"/>
      <c r="AKU272" s="18"/>
      <c r="AKV272" s="18"/>
      <c r="AKW272" s="18"/>
      <c r="AKX272" s="18"/>
      <c r="AKY272" s="18"/>
      <c r="AKZ272" s="18"/>
      <c r="ALA272" s="18"/>
      <c r="ALB272" s="18"/>
      <c r="ALC272" s="18"/>
      <c r="ALD272" s="18"/>
      <c r="ALE272" s="18"/>
      <c r="ALF272" s="18"/>
      <c r="ALG272" s="18"/>
      <c r="ALH272" s="18"/>
      <c r="ALI272" s="18"/>
      <c r="ALJ272" s="18"/>
      <c r="ALK272" s="18"/>
      <c r="ALL272" s="18"/>
      <c r="ALM272" s="18"/>
      <c r="ALN272" s="18"/>
      <c r="ALO272" s="18"/>
      <c r="ALP272" s="18"/>
      <c r="ALQ272" s="18"/>
      <c r="ALR272" s="18"/>
      <c r="ALS272" s="18"/>
      <c r="ALT272" s="18"/>
      <c r="ALU272" s="18"/>
      <c r="ALV272" s="18"/>
      <c r="ALW272" s="18"/>
      <c r="ALX272" s="18"/>
      <c r="ALY272" s="18"/>
      <c r="ALZ272" s="18"/>
      <c r="AMA272" s="18"/>
      <c r="AMB272" s="18"/>
      <c r="AMC272" s="18"/>
      <c r="AMD272" s="18"/>
      <c r="AME272" s="18"/>
      <c r="AMF272" s="18"/>
      <c r="AMG272" s="18"/>
      <c r="AMH272" s="18"/>
      <c r="AMI272" s="18"/>
      <c r="AMJ272" s="18"/>
      <c r="AMK272" s="18"/>
      <c r="AML272" s="18"/>
      <c r="AMM272" s="18"/>
      <c r="AMN272" s="18"/>
      <c r="AMO272" s="18"/>
      <c r="AMP272" s="18"/>
      <c r="AMQ272" s="18"/>
      <c r="AMR272" s="18"/>
      <c r="AMS272" s="18"/>
      <c r="AMT272" s="18"/>
      <c r="AMU272" s="18"/>
      <c r="AMV272" s="18"/>
      <c r="AMW272" s="18"/>
      <c r="AMX272" s="18"/>
      <c r="AMY272" s="18"/>
      <c r="AMZ272" s="18"/>
      <c r="ANA272" s="18"/>
      <c r="ANB272" s="18"/>
      <c r="ANC272" s="18"/>
      <c r="AND272" s="18"/>
      <c r="ANE272" s="18"/>
      <c r="ANF272" s="18"/>
      <c r="ANG272" s="18"/>
      <c r="ANH272" s="18"/>
      <c r="ANI272" s="18"/>
      <c r="ANJ272" s="18"/>
      <c r="ANK272" s="18"/>
      <c r="ANL272" s="18"/>
      <c r="ANM272" s="18"/>
      <c r="ANN272" s="18"/>
      <c r="ANO272" s="18"/>
      <c r="ANP272" s="18"/>
      <c r="ANQ272" s="18"/>
      <c r="ANR272" s="18"/>
      <c r="ANS272" s="18"/>
      <c r="ANT272" s="18"/>
      <c r="ANU272" s="18"/>
      <c r="ANV272" s="18"/>
      <c r="ANW272" s="18"/>
      <c r="ANX272" s="18"/>
      <c r="ANY272" s="18"/>
      <c r="ANZ272" s="18"/>
      <c r="AOA272" s="18"/>
      <c r="AOB272" s="18"/>
      <c r="AOC272" s="18"/>
      <c r="AOD272" s="18"/>
      <c r="AOE272" s="18"/>
      <c r="AOF272" s="18"/>
      <c r="AOG272" s="18"/>
      <c r="AOH272" s="18"/>
      <c r="AOI272" s="18"/>
      <c r="AOJ272" s="18"/>
      <c r="AOK272" s="18"/>
      <c r="AOL272" s="18"/>
      <c r="AOM272" s="18"/>
      <c r="AON272" s="18"/>
      <c r="AOO272" s="18"/>
      <c r="AOP272" s="18"/>
      <c r="AOQ272" s="18"/>
      <c r="AOR272" s="18"/>
      <c r="AOS272" s="18"/>
      <c r="AOT272" s="18"/>
      <c r="AOU272" s="18"/>
      <c r="AOV272" s="18"/>
      <c r="AOW272" s="18"/>
      <c r="AOX272" s="18"/>
      <c r="AOY272" s="18"/>
      <c r="AOZ272" s="18"/>
      <c r="APA272" s="18"/>
      <c r="APB272" s="18"/>
      <c r="APC272" s="18"/>
      <c r="APD272" s="18"/>
      <c r="APE272" s="18"/>
      <c r="APF272" s="18"/>
      <c r="APG272" s="18"/>
      <c r="APH272" s="18"/>
      <c r="API272" s="18"/>
      <c r="APJ272" s="18"/>
      <c r="APK272" s="18"/>
      <c r="APL272" s="18"/>
      <c r="APM272" s="18"/>
      <c r="APN272" s="18"/>
      <c r="APO272" s="18"/>
      <c r="APP272" s="18"/>
      <c r="APQ272" s="18"/>
      <c r="APR272" s="18"/>
      <c r="APS272" s="18"/>
      <c r="APT272" s="18"/>
      <c r="APU272" s="18"/>
      <c r="APV272" s="18"/>
      <c r="APW272" s="18"/>
      <c r="APX272" s="18"/>
      <c r="APY272" s="18"/>
      <c r="APZ272" s="18"/>
      <c r="AQA272" s="18"/>
      <c r="AQB272" s="18"/>
      <c r="AQC272" s="18"/>
      <c r="AQD272" s="18"/>
      <c r="AQE272" s="18"/>
      <c r="AQF272" s="18"/>
      <c r="AQG272" s="18"/>
      <c r="AQH272" s="18"/>
      <c r="AQI272" s="18"/>
      <c r="AQJ272" s="18"/>
      <c r="AQK272" s="18"/>
      <c r="AQL272" s="18"/>
      <c r="AQM272" s="18"/>
      <c r="AQN272" s="18"/>
      <c r="AQO272" s="18"/>
      <c r="AQP272" s="18"/>
      <c r="AQQ272" s="18"/>
      <c r="AQR272" s="18"/>
      <c r="AQS272" s="18"/>
      <c r="AQT272" s="18"/>
      <c r="AQU272" s="18"/>
      <c r="AQV272" s="18"/>
      <c r="AQW272" s="18"/>
      <c r="AQX272" s="18"/>
      <c r="AQY272" s="18"/>
      <c r="AQZ272" s="18"/>
      <c r="ARA272" s="18"/>
      <c r="ARB272" s="18"/>
      <c r="ARC272" s="18"/>
      <c r="ARD272" s="18"/>
      <c r="ARE272" s="18"/>
      <c r="ARF272" s="18"/>
      <c r="ARG272" s="18"/>
      <c r="ARH272" s="18"/>
      <c r="ARI272" s="18"/>
      <c r="ARJ272" s="18"/>
      <c r="ARK272" s="18"/>
      <c r="ARL272" s="18"/>
      <c r="ARM272" s="18"/>
      <c r="ARN272" s="18"/>
      <c r="ARO272" s="18"/>
      <c r="ARP272" s="18"/>
      <c r="ARQ272" s="18"/>
      <c r="ARR272" s="18"/>
      <c r="ARS272" s="18"/>
      <c r="ART272" s="18"/>
      <c r="ARU272" s="18"/>
      <c r="ARV272" s="18"/>
      <c r="ARW272" s="18"/>
      <c r="ARX272" s="18"/>
      <c r="ARY272" s="18"/>
      <c r="ARZ272" s="18"/>
      <c r="ASA272" s="18"/>
      <c r="ASB272" s="18"/>
      <c r="ASC272" s="18"/>
      <c r="ASD272" s="18"/>
      <c r="ASE272" s="18"/>
      <c r="ASF272" s="18"/>
      <c r="ASG272" s="18"/>
      <c r="ASH272" s="18"/>
      <c r="ASI272" s="18"/>
      <c r="ASJ272" s="18"/>
      <c r="ASK272" s="18"/>
      <c r="ASL272" s="18"/>
      <c r="ASM272" s="18"/>
      <c r="ASN272" s="18"/>
      <c r="ASO272" s="18"/>
      <c r="ASP272" s="18"/>
      <c r="ASQ272" s="18"/>
      <c r="ASR272" s="18"/>
      <c r="ASS272" s="18"/>
      <c r="AST272" s="18"/>
      <c r="ASU272" s="18"/>
      <c r="ASV272" s="18"/>
      <c r="ASW272" s="18"/>
      <c r="ASX272" s="18"/>
      <c r="ASY272" s="18"/>
      <c r="ASZ272" s="18"/>
      <c r="ATA272" s="18"/>
      <c r="ATB272" s="18"/>
      <c r="ATC272" s="18"/>
      <c r="ATD272" s="18"/>
      <c r="ATE272" s="18"/>
      <c r="ATF272" s="18"/>
      <c r="ATG272" s="18"/>
      <c r="ATH272" s="18"/>
      <c r="ATI272" s="18"/>
      <c r="ATJ272" s="18"/>
      <c r="ATK272" s="18"/>
      <c r="ATL272" s="18"/>
      <c r="ATM272" s="18"/>
      <c r="ATN272" s="18"/>
      <c r="ATO272" s="18"/>
      <c r="ATP272" s="18"/>
      <c r="ATQ272" s="18"/>
      <c r="ATR272" s="18"/>
      <c r="ATS272" s="18"/>
      <c r="ATT272" s="18"/>
      <c r="ATU272" s="18"/>
      <c r="ATV272" s="18"/>
      <c r="ATW272" s="18"/>
      <c r="ATX272" s="18"/>
      <c r="ATY272" s="18"/>
      <c r="ATZ272" s="18"/>
      <c r="AUA272" s="18"/>
      <c r="AUB272" s="18"/>
      <c r="AUC272" s="18"/>
      <c r="AUD272" s="18"/>
      <c r="AUE272" s="18"/>
      <c r="AUF272" s="18"/>
      <c r="AUG272" s="18"/>
      <c r="AUH272" s="18"/>
      <c r="AUI272" s="18"/>
      <c r="AUJ272" s="18"/>
      <c r="AUK272" s="18"/>
      <c r="AUL272" s="18"/>
      <c r="AUM272" s="18"/>
      <c r="AUN272" s="18"/>
      <c r="AUO272" s="18"/>
      <c r="AUP272" s="18"/>
      <c r="AUQ272" s="18"/>
      <c r="AUR272" s="18"/>
      <c r="AUS272" s="18"/>
      <c r="AUT272" s="18"/>
      <c r="AUU272" s="18"/>
      <c r="AUV272" s="18"/>
      <c r="AUW272" s="18"/>
      <c r="AUX272" s="18"/>
      <c r="AUY272" s="18"/>
      <c r="AUZ272" s="18"/>
      <c r="AVA272" s="18"/>
      <c r="AVB272" s="18"/>
      <c r="AVC272" s="18"/>
      <c r="AVD272" s="18"/>
      <c r="AVE272" s="18"/>
      <c r="AVF272" s="18"/>
      <c r="AVG272" s="18"/>
      <c r="AVH272" s="18"/>
      <c r="AVI272" s="18"/>
      <c r="AVJ272" s="18"/>
      <c r="AVK272" s="18"/>
      <c r="AVL272" s="18"/>
      <c r="AVM272" s="18"/>
      <c r="AVN272" s="18"/>
      <c r="AVO272" s="18"/>
      <c r="AVP272" s="18"/>
      <c r="AVQ272" s="18"/>
      <c r="AVR272" s="18"/>
      <c r="AVS272" s="18"/>
      <c r="AVT272" s="18"/>
      <c r="AVU272" s="18"/>
      <c r="AVV272" s="18"/>
      <c r="AVW272" s="18"/>
      <c r="AVX272" s="18"/>
      <c r="AVY272" s="18"/>
      <c r="AVZ272" s="18"/>
      <c r="AWA272" s="18"/>
      <c r="AWB272" s="18"/>
      <c r="AWC272" s="18"/>
      <c r="AWD272" s="18"/>
      <c r="AWE272" s="18"/>
      <c r="AWF272" s="18"/>
      <c r="AWG272" s="18"/>
      <c r="AWH272" s="18"/>
      <c r="AWI272" s="18"/>
      <c r="AWJ272" s="18"/>
      <c r="AWK272" s="18"/>
      <c r="AWL272" s="18"/>
      <c r="AWM272" s="18"/>
      <c r="AWN272" s="18"/>
      <c r="AWO272" s="18"/>
      <c r="AWP272" s="18"/>
      <c r="AWQ272" s="18"/>
      <c r="AWR272" s="18"/>
      <c r="AWS272" s="18"/>
      <c r="AWT272" s="18"/>
      <c r="AWU272" s="18"/>
      <c r="AWV272" s="18"/>
      <c r="AWW272" s="18"/>
      <c r="AWX272" s="18"/>
      <c r="AWY272" s="18"/>
      <c r="AWZ272" s="18"/>
      <c r="AXA272" s="18"/>
      <c r="AXB272" s="18"/>
      <c r="AXC272" s="18"/>
      <c r="AXD272" s="18"/>
      <c r="AXE272" s="18"/>
      <c r="AXF272" s="18"/>
      <c r="AXG272" s="18"/>
      <c r="AXH272" s="18"/>
      <c r="AXI272" s="18"/>
      <c r="AXJ272" s="18"/>
      <c r="AXK272" s="18"/>
      <c r="AXL272" s="18"/>
      <c r="AXM272" s="18"/>
      <c r="AXN272" s="18"/>
      <c r="AXO272" s="18"/>
      <c r="AXP272" s="18"/>
      <c r="AXQ272" s="18"/>
      <c r="AXR272" s="18"/>
      <c r="AXS272" s="18"/>
      <c r="AXT272" s="18"/>
      <c r="AXU272" s="18"/>
      <c r="AXV272" s="18"/>
      <c r="AXW272" s="18"/>
      <c r="AXX272" s="18"/>
      <c r="AXY272" s="18"/>
      <c r="AXZ272" s="18"/>
      <c r="AYA272" s="18"/>
      <c r="AYB272" s="18"/>
      <c r="AYC272" s="18"/>
      <c r="AYD272" s="18"/>
      <c r="AYE272" s="18"/>
      <c r="AYF272" s="18"/>
      <c r="AYG272" s="18"/>
      <c r="AYH272" s="18"/>
      <c r="AYI272" s="18"/>
      <c r="AYJ272" s="18"/>
      <c r="AYK272" s="18"/>
      <c r="AYL272" s="18"/>
      <c r="AYM272" s="18"/>
      <c r="AYN272" s="18"/>
      <c r="AYO272" s="18"/>
      <c r="AYP272" s="18"/>
      <c r="AYQ272" s="18"/>
      <c r="AYR272" s="18"/>
      <c r="AYS272" s="18"/>
      <c r="AYT272" s="18"/>
      <c r="AYU272" s="18"/>
      <c r="AYV272" s="18"/>
      <c r="AYW272" s="18"/>
      <c r="AYX272" s="18"/>
      <c r="AYY272" s="18"/>
      <c r="AYZ272" s="18"/>
      <c r="AZA272" s="18"/>
      <c r="AZB272" s="18"/>
      <c r="AZC272" s="18"/>
      <c r="AZD272" s="18"/>
      <c r="AZE272" s="18"/>
      <c r="AZF272" s="18"/>
      <c r="AZG272" s="18"/>
      <c r="AZH272" s="18"/>
      <c r="AZI272" s="18"/>
      <c r="AZJ272" s="18"/>
      <c r="AZK272" s="18"/>
      <c r="AZL272" s="18"/>
      <c r="AZM272" s="18"/>
      <c r="AZN272" s="18"/>
      <c r="AZO272" s="18"/>
      <c r="AZP272" s="18"/>
      <c r="AZQ272" s="18"/>
      <c r="AZR272" s="18"/>
      <c r="AZS272" s="18"/>
      <c r="AZT272" s="18"/>
      <c r="AZU272" s="18"/>
      <c r="AZV272" s="18"/>
      <c r="AZW272" s="18"/>
      <c r="AZX272" s="18"/>
      <c r="AZY272" s="18"/>
      <c r="AZZ272" s="18"/>
      <c r="BAA272" s="18"/>
      <c r="BAB272" s="18"/>
      <c r="BAC272" s="18"/>
      <c r="BAD272" s="18"/>
      <c r="BAE272" s="18"/>
      <c r="BAF272" s="18"/>
      <c r="BAG272" s="18"/>
      <c r="BAH272" s="18"/>
      <c r="BAI272" s="18"/>
      <c r="BAJ272" s="18"/>
      <c r="BAK272" s="18"/>
      <c r="BAL272" s="18"/>
      <c r="BAM272" s="18"/>
      <c r="BAN272" s="18"/>
      <c r="BAO272" s="18"/>
      <c r="BAP272" s="18"/>
      <c r="BAQ272" s="18"/>
      <c r="BAR272" s="18"/>
      <c r="BAS272" s="18"/>
      <c r="BAT272" s="18"/>
      <c r="BAU272" s="18"/>
      <c r="BAV272" s="18"/>
      <c r="BAW272" s="18"/>
      <c r="BAX272" s="18"/>
      <c r="BAY272" s="18"/>
      <c r="BAZ272" s="18"/>
      <c r="BBA272" s="18"/>
      <c r="BBB272" s="18"/>
      <c r="BBC272" s="18"/>
      <c r="BBD272" s="18"/>
      <c r="BBE272" s="18"/>
      <c r="BBF272" s="18"/>
      <c r="BBG272" s="18"/>
      <c r="BBH272" s="18"/>
      <c r="BBI272" s="18"/>
      <c r="BBJ272" s="18"/>
      <c r="BBK272" s="18"/>
      <c r="BBL272" s="18"/>
      <c r="BBM272" s="18"/>
      <c r="BBN272" s="18"/>
      <c r="BBO272" s="18"/>
      <c r="BBP272" s="18"/>
      <c r="BBQ272" s="18"/>
      <c r="BBR272" s="18"/>
      <c r="BBS272" s="18"/>
      <c r="BBT272" s="18"/>
      <c r="BBU272" s="18"/>
      <c r="BBV272" s="18"/>
      <c r="BBW272" s="18"/>
      <c r="BBX272" s="18"/>
      <c r="BBY272" s="18"/>
      <c r="BBZ272" s="18"/>
      <c r="BCA272" s="18"/>
      <c r="BCB272" s="18"/>
      <c r="BCC272" s="18"/>
      <c r="BCD272" s="18"/>
      <c r="BCE272" s="18"/>
      <c r="BCF272" s="18"/>
      <c r="BCG272" s="18"/>
      <c r="BCH272" s="18"/>
      <c r="BCI272" s="18"/>
      <c r="BCJ272" s="18"/>
      <c r="BCK272" s="18"/>
      <c r="BCL272" s="18"/>
      <c r="BCM272" s="18"/>
      <c r="BCN272" s="18"/>
      <c r="BCO272" s="18"/>
      <c r="BCP272" s="18"/>
      <c r="BCQ272" s="18"/>
      <c r="BCR272" s="18"/>
      <c r="BCS272" s="18"/>
      <c r="BCT272" s="18"/>
      <c r="BCU272" s="18"/>
      <c r="BCV272" s="18"/>
      <c r="BCW272" s="18"/>
      <c r="BCX272" s="18"/>
      <c r="BCY272" s="18"/>
      <c r="BCZ272" s="18"/>
      <c r="BDA272" s="18"/>
      <c r="BDB272" s="18"/>
      <c r="BDC272" s="18"/>
      <c r="BDD272" s="18"/>
      <c r="BDE272" s="18"/>
      <c r="BDF272" s="18"/>
      <c r="BDG272" s="18"/>
      <c r="BDH272" s="18"/>
      <c r="BDI272" s="18"/>
      <c r="BDJ272" s="18"/>
      <c r="BDK272" s="18"/>
      <c r="BDL272" s="18"/>
      <c r="BDM272" s="18"/>
      <c r="BDN272" s="18"/>
      <c r="BDO272" s="18"/>
      <c r="BDP272" s="18"/>
      <c r="BDQ272" s="18"/>
      <c r="BDR272" s="18"/>
      <c r="BDS272" s="18"/>
      <c r="BDT272" s="18"/>
      <c r="BDU272" s="18"/>
      <c r="BDV272" s="18"/>
      <c r="BDW272" s="18"/>
      <c r="BDX272" s="18"/>
      <c r="BDY272" s="18"/>
      <c r="BDZ272" s="18"/>
      <c r="BEA272" s="18"/>
      <c r="BEB272" s="18"/>
      <c r="BEC272" s="18"/>
      <c r="BED272" s="18"/>
      <c r="BEE272" s="18"/>
      <c r="BEF272" s="18"/>
      <c r="BEG272" s="18"/>
      <c r="BEH272" s="18"/>
      <c r="BEI272" s="18"/>
      <c r="BEJ272" s="18"/>
      <c r="BEK272" s="18"/>
      <c r="BEL272" s="18"/>
      <c r="BEM272" s="18"/>
      <c r="BEN272" s="18"/>
      <c r="BEO272" s="18"/>
      <c r="BEP272" s="18"/>
      <c r="BEQ272" s="18"/>
      <c r="BER272" s="18"/>
      <c r="BES272" s="18"/>
      <c r="BET272" s="18"/>
      <c r="BEU272" s="18"/>
      <c r="BEV272" s="18"/>
      <c r="BEW272" s="18"/>
      <c r="BEX272" s="18"/>
      <c r="BEY272" s="18"/>
      <c r="BEZ272" s="18"/>
      <c r="BFA272" s="18"/>
      <c r="BFB272" s="18"/>
      <c r="BFC272" s="18"/>
      <c r="BFD272" s="18"/>
      <c r="BFE272" s="18"/>
      <c r="BFF272" s="18"/>
      <c r="BFG272" s="18"/>
      <c r="BFH272" s="18"/>
      <c r="BFI272" s="18"/>
      <c r="BFJ272" s="18"/>
      <c r="BFK272" s="18"/>
      <c r="BFL272" s="18"/>
      <c r="BFM272" s="18"/>
      <c r="BFN272" s="18"/>
      <c r="BFO272" s="18"/>
      <c r="BFP272" s="18"/>
      <c r="BFQ272" s="18"/>
      <c r="BFR272" s="18"/>
      <c r="BFS272" s="18"/>
      <c r="BFT272" s="18"/>
      <c r="BFU272" s="18"/>
      <c r="BFV272" s="18"/>
      <c r="BFW272" s="18"/>
      <c r="BFX272" s="18"/>
      <c r="BFY272" s="18"/>
      <c r="BFZ272" s="18"/>
      <c r="BGA272" s="18"/>
      <c r="BGB272" s="18"/>
      <c r="BGC272" s="18"/>
      <c r="BGD272" s="18"/>
      <c r="BGE272" s="18"/>
      <c r="BGF272" s="18"/>
      <c r="BGG272" s="18"/>
      <c r="BGH272" s="18"/>
      <c r="BGI272" s="18"/>
      <c r="BGJ272" s="18"/>
      <c r="BGK272" s="18"/>
      <c r="BGL272" s="18"/>
      <c r="BGM272" s="18"/>
      <c r="BGN272" s="18"/>
      <c r="BGO272" s="18"/>
      <c r="BGP272" s="18"/>
      <c r="BGQ272" s="18"/>
      <c r="BGR272" s="18"/>
      <c r="BGS272" s="18"/>
      <c r="BGT272" s="18"/>
      <c r="BGU272" s="18"/>
      <c r="BGV272" s="18"/>
      <c r="BGW272" s="18"/>
      <c r="BGX272" s="18"/>
      <c r="BGY272" s="18"/>
      <c r="BGZ272" s="18"/>
      <c r="BHA272" s="18"/>
      <c r="BHB272" s="18"/>
      <c r="BHC272" s="18"/>
      <c r="BHD272" s="18"/>
      <c r="BHE272" s="18"/>
      <c r="BHF272" s="18"/>
      <c r="BHG272" s="18"/>
      <c r="BHH272" s="18"/>
      <c r="BHI272" s="18"/>
      <c r="BHJ272" s="18"/>
      <c r="BHK272" s="18"/>
      <c r="BHL272" s="18"/>
      <c r="BHM272" s="18"/>
      <c r="BHN272" s="18"/>
      <c r="BHO272" s="18"/>
      <c r="BHP272" s="18"/>
      <c r="BHQ272" s="18"/>
      <c r="BHR272" s="18"/>
      <c r="BHS272" s="18"/>
      <c r="BHT272" s="18"/>
      <c r="BHU272" s="18"/>
      <c r="BHV272" s="18"/>
      <c r="BHW272" s="18"/>
      <c r="BHX272" s="18"/>
      <c r="BHY272" s="18"/>
      <c r="BHZ272" s="18"/>
      <c r="BIA272" s="18"/>
      <c r="BIB272" s="18"/>
      <c r="BIC272" s="18"/>
      <c r="BID272" s="18"/>
      <c r="BIE272" s="18"/>
      <c r="BIF272" s="18"/>
      <c r="BIG272" s="18"/>
      <c r="BIH272" s="18"/>
      <c r="BII272" s="18"/>
      <c r="BIJ272" s="18"/>
      <c r="BIK272" s="18"/>
      <c r="BIL272" s="18"/>
      <c r="BIM272" s="18"/>
      <c r="BIN272" s="18"/>
      <c r="BIO272" s="18"/>
      <c r="BIP272" s="18"/>
      <c r="BIQ272" s="18"/>
      <c r="BIR272" s="18"/>
      <c r="BIS272" s="18"/>
      <c r="BIT272" s="18"/>
      <c r="BIU272" s="18"/>
      <c r="BIV272" s="18"/>
      <c r="BIW272" s="18"/>
      <c r="BIX272" s="18"/>
      <c r="BIY272" s="18"/>
      <c r="BIZ272" s="18"/>
      <c r="BJA272" s="18"/>
      <c r="BJB272" s="18"/>
      <c r="BJC272" s="18"/>
      <c r="BJD272" s="18"/>
      <c r="BJE272" s="18"/>
      <c r="BJF272" s="18"/>
      <c r="BJG272" s="18"/>
      <c r="BJH272" s="18"/>
      <c r="BJI272" s="18"/>
      <c r="BJJ272" s="18"/>
      <c r="BJK272" s="18"/>
      <c r="BJL272" s="18"/>
      <c r="BJM272" s="18"/>
      <c r="BJN272" s="18"/>
      <c r="BJO272" s="18"/>
      <c r="BJP272" s="18"/>
      <c r="BJQ272" s="18"/>
      <c r="BJR272" s="18"/>
      <c r="BJS272" s="18"/>
      <c r="BJT272" s="18"/>
      <c r="BJU272" s="18"/>
      <c r="BJV272" s="18"/>
      <c r="BJW272" s="18"/>
      <c r="BJX272" s="18"/>
      <c r="BJY272" s="18"/>
      <c r="BJZ272" s="18"/>
      <c r="BKA272" s="18"/>
      <c r="BKB272" s="18"/>
      <c r="BKC272" s="18"/>
      <c r="BKD272" s="18"/>
      <c r="BKE272" s="18"/>
      <c r="BKF272" s="18"/>
      <c r="BKG272" s="18"/>
      <c r="BKH272" s="18"/>
      <c r="BKI272" s="18"/>
      <c r="BKJ272" s="18"/>
      <c r="BKK272" s="18"/>
      <c r="BKL272" s="18"/>
      <c r="BKM272" s="18"/>
      <c r="BKN272" s="18"/>
      <c r="BKO272" s="18"/>
      <c r="BKP272" s="18"/>
      <c r="BKQ272" s="18"/>
      <c r="BKR272" s="18"/>
      <c r="BKS272" s="18"/>
      <c r="BKT272" s="18"/>
      <c r="BKU272" s="18"/>
      <c r="BKV272" s="18"/>
      <c r="BKW272" s="18"/>
      <c r="BKX272" s="18"/>
      <c r="BKY272" s="18"/>
      <c r="BKZ272" s="18"/>
      <c r="BLA272" s="18"/>
      <c r="BLB272" s="18"/>
      <c r="BLC272" s="18"/>
      <c r="BLD272" s="18"/>
      <c r="BLE272" s="18"/>
      <c r="BLF272" s="18"/>
      <c r="BLG272" s="18"/>
      <c r="BLH272" s="18"/>
      <c r="BLI272" s="18"/>
      <c r="BLJ272" s="18"/>
      <c r="BLK272" s="18"/>
      <c r="BLL272" s="18"/>
      <c r="BLM272" s="18"/>
      <c r="BLN272" s="18"/>
      <c r="BLO272" s="18"/>
      <c r="BLP272" s="18"/>
      <c r="BLQ272" s="18"/>
      <c r="BLR272" s="18"/>
      <c r="BLS272" s="18"/>
      <c r="BLT272" s="18"/>
      <c r="BLU272" s="18"/>
      <c r="BLV272" s="18"/>
      <c r="BLW272" s="18"/>
      <c r="BLX272" s="18"/>
      <c r="BLY272" s="18"/>
      <c r="BLZ272" s="18"/>
      <c r="BMA272" s="18"/>
      <c r="BMB272" s="18"/>
      <c r="BMC272" s="18"/>
      <c r="BMD272" s="18"/>
      <c r="BME272" s="18"/>
      <c r="BMF272" s="18"/>
      <c r="BMG272" s="18"/>
      <c r="BMH272" s="18"/>
      <c r="BMI272" s="18"/>
      <c r="BMJ272" s="18"/>
      <c r="BMK272" s="18"/>
      <c r="BML272" s="18"/>
      <c r="BMM272" s="18"/>
      <c r="BMN272" s="18"/>
      <c r="BMO272" s="18"/>
      <c r="BMP272" s="18"/>
      <c r="BMQ272" s="18"/>
      <c r="BMR272" s="18"/>
      <c r="BMS272" s="18"/>
      <c r="BMT272" s="18"/>
      <c r="BMU272" s="18"/>
      <c r="BMV272" s="18"/>
      <c r="BMW272" s="18"/>
      <c r="BMX272" s="18"/>
      <c r="BMY272" s="18"/>
      <c r="BMZ272" s="18"/>
      <c r="BNA272" s="18"/>
      <c r="BNB272" s="18"/>
      <c r="BNC272" s="18"/>
      <c r="BND272" s="18"/>
      <c r="BNE272" s="18"/>
      <c r="BNF272" s="18"/>
      <c r="BNG272" s="18"/>
      <c r="BNH272" s="18"/>
      <c r="BNI272" s="18"/>
      <c r="BNJ272" s="18"/>
      <c r="BNK272" s="18"/>
      <c r="BNL272" s="18"/>
      <c r="BNM272" s="18"/>
      <c r="BNN272" s="18"/>
      <c r="BNO272" s="18"/>
      <c r="BNP272" s="18"/>
      <c r="BNQ272" s="18"/>
      <c r="BNR272" s="18"/>
      <c r="BNS272" s="18"/>
      <c r="BNT272" s="18"/>
      <c r="BNU272" s="18"/>
      <c r="BNV272" s="18"/>
      <c r="BNW272" s="18"/>
      <c r="BNX272" s="18"/>
      <c r="BNY272" s="18"/>
      <c r="BNZ272" s="18"/>
      <c r="BOA272" s="18"/>
      <c r="BOB272" s="18"/>
      <c r="BOC272" s="18"/>
      <c r="BOD272" s="18"/>
      <c r="BOE272" s="18"/>
      <c r="BOF272" s="18"/>
      <c r="BOG272" s="18"/>
      <c r="BOH272" s="18"/>
      <c r="BOI272" s="18"/>
      <c r="BOJ272" s="18"/>
      <c r="BOK272" s="18"/>
      <c r="BOL272" s="18"/>
      <c r="BOM272" s="18"/>
      <c r="BON272" s="18"/>
      <c r="BOO272" s="18"/>
      <c r="BOP272" s="18"/>
      <c r="BOQ272" s="18"/>
      <c r="BOR272" s="18"/>
      <c r="BOS272" s="18"/>
      <c r="BOT272" s="18"/>
      <c r="BOU272" s="18"/>
      <c r="BOV272" s="18"/>
      <c r="BOW272" s="18"/>
      <c r="BOX272" s="18"/>
      <c r="BOY272" s="18"/>
      <c r="BOZ272" s="18"/>
      <c r="BPA272" s="18"/>
      <c r="BPB272" s="18"/>
      <c r="BPC272" s="18"/>
      <c r="BPD272" s="18"/>
      <c r="BPE272" s="18"/>
      <c r="BPF272" s="18"/>
      <c r="BPG272" s="18"/>
      <c r="BPH272" s="18"/>
      <c r="BPI272" s="18"/>
      <c r="BPJ272" s="18"/>
      <c r="BPK272" s="18"/>
      <c r="BPL272" s="18"/>
      <c r="BPM272" s="18"/>
      <c r="BPN272" s="18"/>
      <c r="BPO272" s="18"/>
      <c r="BPP272" s="18"/>
      <c r="BPQ272" s="18"/>
      <c r="BPR272" s="18"/>
      <c r="BPS272" s="18"/>
      <c r="BPT272" s="18"/>
      <c r="BPU272" s="18"/>
      <c r="BPV272" s="18"/>
      <c r="BPW272" s="18"/>
      <c r="BPX272" s="18"/>
      <c r="BPY272" s="18"/>
      <c r="BPZ272" s="18"/>
      <c r="BQA272" s="18"/>
      <c r="BQB272" s="18"/>
      <c r="BQC272" s="18"/>
      <c r="BQD272" s="18"/>
      <c r="BQE272" s="18"/>
      <c r="BQF272" s="18"/>
      <c r="BQG272" s="18"/>
      <c r="BQH272" s="18"/>
      <c r="BQI272" s="18"/>
      <c r="BQJ272" s="18"/>
      <c r="BQK272" s="18"/>
      <c r="BQL272" s="18"/>
      <c r="BQM272" s="18"/>
      <c r="BQN272" s="18"/>
      <c r="BQO272" s="18"/>
      <c r="BQP272" s="18"/>
      <c r="BQQ272" s="18"/>
      <c r="BQR272" s="18"/>
      <c r="BQS272" s="18"/>
      <c r="BQT272" s="18"/>
      <c r="BQU272" s="18"/>
      <c r="BQV272" s="18"/>
      <c r="BQW272" s="18"/>
      <c r="BQX272" s="18"/>
      <c r="BQY272" s="18"/>
      <c r="BQZ272" s="18"/>
      <c r="BRA272" s="18"/>
      <c r="BRB272" s="18"/>
      <c r="BRC272" s="18"/>
      <c r="BRD272" s="18"/>
      <c r="BRE272" s="18"/>
      <c r="BRF272" s="18"/>
      <c r="BRG272" s="18"/>
      <c r="BRH272" s="18"/>
      <c r="BRI272" s="18"/>
      <c r="BRJ272" s="18"/>
      <c r="BRK272" s="18"/>
      <c r="BRL272" s="18"/>
      <c r="BRM272" s="18"/>
      <c r="BRN272" s="18"/>
      <c r="BRO272" s="18"/>
      <c r="BRP272" s="18"/>
      <c r="BRQ272" s="18"/>
      <c r="BRR272" s="18"/>
      <c r="BRS272" s="18"/>
      <c r="BRT272" s="18"/>
      <c r="BRU272" s="18"/>
      <c r="BRV272" s="18"/>
      <c r="BRW272" s="18"/>
      <c r="BRX272" s="18"/>
      <c r="BRY272" s="18"/>
      <c r="BRZ272" s="18"/>
      <c r="BSA272" s="18"/>
      <c r="BSB272" s="18"/>
      <c r="BSC272" s="18"/>
      <c r="BSD272" s="18"/>
      <c r="BSE272" s="18"/>
      <c r="BSF272" s="18"/>
      <c r="BSG272" s="18"/>
      <c r="BSH272" s="18"/>
      <c r="BSI272" s="18"/>
      <c r="BSJ272" s="18"/>
      <c r="BSK272" s="18"/>
      <c r="BSL272" s="18"/>
      <c r="BSM272" s="18"/>
      <c r="BSN272" s="18"/>
      <c r="BSO272" s="18"/>
      <c r="BSP272" s="18"/>
      <c r="BSQ272" s="18"/>
      <c r="BSR272" s="18"/>
      <c r="BSS272" s="18"/>
      <c r="BST272" s="18"/>
      <c r="BSU272" s="18"/>
      <c r="BSV272" s="18"/>
      <c r="BSW272" s="18"/>
      <c r="BSX272" s="18"/>
      <c r="BSY272" s="18"/>
      <c r="BSZ272" s="18"/>
      <c r="BTA272" s="18"/>
      <c r="BTB272" s="18"/>
      <c r="BTC272" s="18"/>
      <c r="BTD272" s="18"/>
      <c r="BTE272" s="18"/>
      <c r="BTF272" s="18"/>
      <c r="BTG272" s="18"/>
      <c r="BTH272" s="18"/>
      <c r="BTI272" s="18"/>
      <c r="BTJ272" s="18"/>
      <c r="BTK272" s="18"/>
      <c r="BTL272" s="18"/>
      <c r="BTM272" s="18"/>
      <c r="BTN272" s="18"/>
      <c r="BTO272" s="18"/>
      <c r="BTP272" s="18"/>
      <c r="BTQ272" s="18"/>
      <c r="BTR272" s="18"/>
      <c r="BTS272" s="18"/>
      <c r="BTT272" s="18"/>
      <c r="BTU272" s="18"/>
      <c r="BTV272" s="18"/>
      <c r="BTW272" s="18"/>
      <c r="BTX272" s="18"/>
      <c r="BTY272" s="18"/>
      <c r="BTZ272" s="18"/>
      <c r="BUA272" s="18"/>
      <c r="BUB272" s="18"/>
      <c r="BUC272" s="18"/>
      <c r="BUD272" s="18"/>
      <c r="BUE272" s="18"/>
      <c r="BUF272" s="18"/>
      <c r="BUG272" s="18"/>
      <c r="BUH272" s="18"/>
      <c r="BUI272" s="18"/>
      <c r="BUJ272" s="18"/>
      <c r="BUK272" s="18"/>
      <c r="BUL272" s="18"/>
      <c r="BUM272" s="18"/>
      <c r="BUN272" s="18"/>
      <c r="BUO272" s="18"/>
      <c r="BUP272" s="18"/>
      <c r="BUQ272" s="18"/>
      <c r="BUR272" s="18"/>
      <c r="BUS272" s="18"/>
      <c r="BUT272" s="18"/>
      <c r="BUU272" s="18"/>
      <c r="BUV272" s="18"/>
      <c r="BUW272" s="18"/>
      <c r="BUX272" s="18"/>
      <c r="BUY272" s="18"/>
      <c r="BUZ272" s="18"/>
      <c r="BVA272" s="18"/>
      <c r="BVB272" s="18"/>
      <c r="BVC272" s="18"/>
      <c r="BVD272" s="18"/>
      <c r="BVE272" s="18"/>
      <c r="BVF272" s="18"/>
      <c r="BVG272" s="18"/>
      <c r="BVH272" s="18"/>
      <c r="BVI272" s="18"/>
      <c r="BVJ272" s="18"/>
      <c r="BVK272" s="18"/>
      <c r="BVL272" s="18"/>
      <c r="BVM272" s="18"/>
      <c r="BVN272" s="18"/>
      <c r="BVO272" s="18"/>
      <c r="BVP272" s="18"/>
      <c r="BVQ272" s="18"/>
      <c r="BVR272" s="18"/>
      <c r="BVS272" s="18"/>
      <c r="BVT272" s="18"/>
      <c r="BVU272" s="18"/>
      <c r="BVV272" s="18"/>
      <c r="BVW272" s="18"/>
      <c r="BVX272" s="18"/>
      <c r="BVY272" s="18"/>
      <c r="BVZ272" s="18"/>
      <c r="BWA272" s="18"/>
      <c r="BWB272" s="18"/>
      <c r="BWC272" s="18"/>
      <c r="BWD272" s="18"/>
      <c r="BWE272" s="18"/>
      <c r="BWF272" s="18"/>
      <c r="BWG272" s="18"/>
      <c r="BWH272" s="18"/>
      <c r="BWI272" s="18"/>
      <c r="BWJ272" s="18"/>
      <c r="BWK272" s="18"/>
      <c r="BWL272" s="18"/>
      <c r="BWM272" s="18"/>
      <c r="BWN272" s="18"/>
      <c r="BWO272" s="18"/>
      <c r="BWP272" s="18"/>
      <c r="BWQ272" s="18"/>
      <c r="BWR272" s="18"/>
      <c r="BWS272" s="18"/>
      <c r="BWT272" s="18"/>
      <c r="BWU272" s="18"/>
      <c r="BWV272" s="18"/>
      <c r="BWW272" s="18"/>
      <c r="BWX272" s="18"/>
      <c r="BWY272" s="18"/>
      <c r="BWZ272" s="18"/>
      <c r="BXA272" s="18"/>
      <c r="BXB272" s="18"/>
      <c r="BXC272" s="18"/>
      <c r="BXD272" s="18"/>
      <c r="BXE272" s="18"/>
      <c r="BXF272" s="18"/>
      <c r="BXG272" s="18"/>
      <c r="BXH272" s="18"/>
      <c r="BXI272" s="18"/>
      <c r="BXJ272" s="18"/>
      <c r="BXK272" s="18"/>
      <c r="BXL272" s="18"/>
      <c r="BXM272" s="18"/>
      <c r="BXN272" s="18"/>
      <c r="BXO272" s="18"/>
      <c r="BXP272" s="18"/>
      <c r="BXQ272" s="18"/>
      <c r="BXR272" s="18"/>
      <c r="BXS272" s="18"/>
      <c r="BXT272" s="18"/>
      <c r="BXU272" s="18"/>
      <c r="BXV272" s="18"/>
      <c r="BXW272" s="18"/>
      <c r="BXX272" s="18"/>
      <c r="BXY272" s="18"/>
      <c r="BXZ272" s="18"/>
      <c r="BYA272" s="18"/>
      <c r="BYB272" s="18"/>
      <c r="BYC272" s="18"/>
      <c r="BYD272" s="18"/>
      <c r="BYE272" s="18"/>
      <c r="BYF272" s="18"/>
      <c r="BYG272" s="18"/>
      <c r="BYH272" s="18"/>
      <c r="BYI272" s="18"/>
      <c r="BYJ272" s="18"/>
      <c r="BYK272" s="18"/>
      <c r="BYL272" s="18"/>
      <c r="BYM272" s="18"/>
      <c r="BYN272" s="18"/>
      <c r="BYO272" s="18"/>
      <c r="BYP272" s="18"/>
      <c r="BYQ272" s="18"/>
      <c r="BYR272" s="18"/>
      <c r="BYS272" s="18"/>
      <c r="BYT272" s="18"/>
      <c r="BYU272" s="18"/>
      <c r="BYV272" s="18"/>
      <c r="BYW272" s="18"/>
      <c r="BYX272" s="18"/>
      <c r="BYY272" s="18"/>
      <c r="BYZ272" s="18"/>
      <c r="BZA272" s="18"/>
      <c r="BZB272" s="18"/>
      <c r="BZC272" s="18"/>
      <c r="BZD272" s="18"/>
      <c r="BZE272" s="18"/>
      <c r="BZF272" s="18"/>
      <c r="BZG272" s="18"/>
      <c r="BZH272" s="18"/>
      <c r="BZI272" s="18"/>
      <c r="BZJ272" s="18"/>
      <c r="BZK272" s="18"/>
      <c r="BZL272" s="18"/>
      <c r="BZM272" s="18"/>
      <c r="BZN272" s="18"/>
      <c r="BZO272" s="18"/>
      <c r="BZP272" s="18"/>
      <c r="BZQ272" s="18"/>
      <c r="BZR272" s="18"/>
      <c r="BZS272" s="18"/>
      <c r="BZT272" s="18"/>
      <c r="BZU272" s="18"/>
      <c r="BZV272" s="18"/>
      <c r="BZW272" s="18"/>
      <c r="BZX272" s="18"/>
      <c r="BZY272" s="18"/>
      <c r="BZZ272" s="18"/>
      <c r="CAA272" s="18"/>
      <c r="CAB272" s="18"/>
      <c r="CAC272" s="18"/>
      <c r="CAD272" s="18"/>
      <c r="CAE272" s="18"/>
      <c r="CAF272" s="18"/>
      <c r="CAG272" s="18"/>
      <c r="CAH272" s="18"/>
      <c r="CAI272" s="18"/>
      <c r="CAJ272" s="18"/>
      <c r="CAK272" s="18"/>
      <c r="CAL272" s="18"/>
      <c r="CAM272" s="18"/>
      <c r="CAN272" s="18"/>
      <c r="CAO272" s="18"/>
      <c r="CAP272" s="18"/>
      <c r="CAQ272" s="18"/>
      <c r="CAR272" s="18"/>
      <c r="CAS272" s="18"/>
      <c r="CAT272" s="18"/>
      <c r="CAU272" s="18"/>
      <c r="CAV272" s="18"/>
      <c r="CAW272" s="18"/>
      <c r="CAX272" s="18"/>
      <c r="CAY272" s="18"/>
      <c r="CAZ272" s="18"/>
      <c r="CBA272" s="18"/>
      <c r="CBB272" s="18"/>
      <c r="CBC272" s="18"/>
      <c r="CBD272" s="18"/>
      <c r="CBE272" s="18"/>
      <c r="CBF272" s="18"/>
      <c r="CBG272" s="18"/>
      <c r="CBH272" s="18"/>
      <c r="CBI272" s="18"/>
      <c r="CBJ272" s="18"/>
      <c r="CBK272" s="18"/>
      <c r="CBL272" s="18"/>
      <c r="CBM272" s="18"/>
      <c r="CBN272" s="18"/>
      <c r="CBO272" s="18"/>
      <c r="CBP272" s="18"/>
      <c r="CBQ272" s="18"/>
      <c r="CBR272" s="18"/>
      <c r="CBS272" s="18"/>
      <c r="CBT272" s="18"/>
      <c r="CBU272" s="18"/>
      <c r="CBV272" s="18"/>
      <c r="CBW272" s="18"/>
      <c r="CBX272" s="18"/>
      <c r="CBY272" s="18"/>
      <c r="CBZ272" s="18"/>
      <c r="CCA272" s="18"/>
      <c r="CCB272" s="18"/>
      <c r="CCC272" s="18"/>
      <c r="CCD272" s="18"/>
      <c r="CCE272" s="18"/>
      <c r="CCF272" s="18"/>
      <c r="CCG272" s="18"/>
      <c r="CCH272" s="18"/>
      <c r="CCI272" s="18"/>
      <c r="CCJ272" s="18"/>
      <c r="CCK272" s="18"/>
      <c r="CCL272" s="18"/>
      <c r="CCM272" s="18"/>
      <c r="CCN272" s="18"/>
      <c r="CCO272" s="18"/>
      <c r="CCP272" s="18"/>
      <c r="CCQ272" s="18"/>
      <c r="CCR272" s="18"/>
      <c r="CCS272" s="18"/>
      <c r="CCT272" s="18"/>
      <c r="CCU272" s="18"/>
      <c r="CCV272" s="18"/>
      <c r="CCW272" s="18"/>
      <c r="CCX272" s="18"/>
      <c r="CCY272" s="18"/>
      <c r="CCZ272" s="18"/>
      <c r="CDA272" s="18"/>
      <c r="CDB272" s="18"/>
      <c r="CDC272" s="18"/>
      <c r="CDD272" s="18"/>
      <c r="CDE272" s="18"/>
      <c r="CDF272" s="18"/>
      <c r="CDG272" s="18"/>
      <c r="CDH272" s="18"/>
      <c r="CDI272" s="18"/>
      <c r="CDJ272" s="18"/>
      <c r="CDK272" s="18"/>
      <c r="CDL272" s="18"/>
      <c r="CDM272" s="18"/>
      <c r="CDN272" s="18"/>
      <c r="CDO272" s="18"/>
      <c r="CDP272" s="18"/>
      <c r="CDQ272" s="18"/>
      <c r="CDR272" s="18"/>
      <c r="CDS272" s="18"/>
      <c r="CDT272" s="18"/>
      <c r="CDU272" s="18"/>
      <c r="CDV272" s="18"/>
      <c r="CDW272" s="18"/>
      <c r="CDX272" s="18"/>
      <c r="CDY272" s="18"/>
      <c r="CDZ272" s="18"/>
      <c r="CEA272" s="18"/>
      <c r="CEB272" s="18"/>
      <c r="CEC272" s="18"/>
      <c r="CED272" s="18"/>
      <c r="CEE272" s="18"/>
      <c r="CEF272" s="18"/>
      <c r="CEG272" s="18"/>
      <c r="CEH272" s="18"/>
      <c r="CEI272" s="18"/>
      <c r="CEJ272" s="18"/>
      <c r="CEK272" s="18"/>
      <c r="CEL272" s="18"/>
      <c r="CEM272" s="18"/>
      <c r="CEN272" s="18"/>
      <c r="CEO272" s="18"/>
      <c r="CEP272" s="18"/>
      <c r="CEQ272" s="18"/>
      <c r="CER272" s="18"/>
      <c r="CES272" s="18"/>
      <c r="CET272" s="18"/>
      <c r="CEU272" s="18"/>
      <c r="CEV272" s="18"/>
      <c r="CEW272" s="18"/>
      <c r="CEX272" s="18"/>
      <c r="CEY272" s="18"/>
      <c r="CEZ272" s="18"/>
      <c r="CFA272" s="18"/>
      <c r="CFB272" s="18"/>
      <c r="CFC272" s="18"/>
      <c r="CFD272" s="18"/>
      <c r="CFE272" s="18"/>
      <c r="CFF272" s="18"/>
      <c r="CFG272" s="18"/>
      <c r="CFH272" s="18"/>
      <c r="CFI272" s="18"/>
      <c r="CFJ272" s="18"/>
      <c r="CFK272" s="18"/>
      <c r="CFL272" s="18"/>
      <c r="CFM272" s="18"/>
      <c r="CFN272" s="18"/>
      <c r="CFO272" s="18"/>
      <c r="CFP272" s="18"/>
      <c r="CFQ272" s="18"/>
      <c r="CFR272" s="18"/>
      <c r="CFS272" s="18"/>
      <c r="CFT272" s="18"/>
      <c r="CFU272" s="18"/>
      <c r="CFV272" s="18"/>
      <c r="CFW272" s="18"/>
      <c r="CFX272" s="18"/>
      <c r="CFY272" s="18"/>
      <c r="CFZ272" s="18"/>
      <c r="CGA272" s="18"/>
      <c r="CGB272" s="18"/>
      <c r="CGC272" s="18"/>
      <c r="CGD272" s="18"/>
      <c r="CGE272" s="18"/>
      <c r="CGF272" s="18"/>
      <c r="CGG272" s="18"/>
      <c r="CGH272" s="18"/>
      <c r="CGI272" s="18"/>
      <c r="CGJ272" s="18"/>
      <c r="CGK272" s="18"/>
      <c r="CGL272" s="18"/>
      <c r="CGM272" s="18"/>
      <c r="CGN272" s="18"/>
      <c r="CGO272" s="18"/>
      <c r="CGP272" s="18"/>
      <c r="CGQ272" s="18"/>
      <c r="CGR272" s="18"/>
      <c r="CGS272" s="18"/>
      <c r="CGT272" s="18"/>
      <c r="CGU272" s="18"/>
      <c r="CGV272" s="18"/>
      <c r="CGW272" s="18"/>
      <c r="CGX272" s="18"/>
      <c r="CGY272" s="18"/>
      <c r="CGZ272" s="18"/>
      <c r="CHA272" s="18"/>
      <c r="CHB272" s="18"/>
      <c r="CHC272" s="18"/>
      <c r="CHD272" s="18"/>
      <c r="CHE272" s="18"/>
      <c r="CHF272" s="18"/>
      <c r="CHG272" s="18"/>
      <c r="CHH272" s="18"/>
      <c r="CHI272" s="18"/>
      <c r="CHJ272" s="18"/>
      <c r="CHK272" s="18"/>
      <c r="CHL272" s="18"/>
      <c r="CHM272" s="18"/>
      <c r="CHN272" s="18"/>
      <c r="CHO272" s="18"/>
      <c r="CHP272" s="18"/>
      <c r="CHQ272" s="18"/>
      <c r="CHR272" s="18"/>
      <c r="CHS272" s="18"/>
      <c r="CHT272" s="18"/>
      <c r="CHU272" s="18"/>
      <c r="CHV272" s="18"/>
      <c r="CHW272" s="18"/>
      <c r="CHX272" s="18"/>
      <c r="CHY272" s="18"/>
      <c r="CHZ272" s="18"/>
      <c r="CIA272" s="18"/>
      <c r="CIB272" s="18"/>
      <c r="CIC272" s="18"/>
      <c r="CID272" s="18"/>
      <c r="CIE272" s="18"/>
      <c r="CIF272" s="18"/>
      <c r="CIG272" s="18"/>
      <c r="CIH272" s="18"/>
      <c r="CII272" s="18"/>
      <c r="CIJ272" s="18"/>
      <c r="CIK272" s="18"/>
      <c r="CIL272" s="18"/>
      <c r="CIM272" s="18"/>
      <c r="CIN272" s="18"/>
      <c r="CIO272" s="18"/>
      <c r="CIP272" s="18"/>
      <c r="CIQ272" s="18"/>
      <c r="CIR272" s="18"/>
      <c r="CIS272" s="18"/>
      <c r="CIT272" s="18"/>
      <c r="CIU272" s="18"/>
      <c r="CIV272" s="18"/>
      <c r="CIW272" s="18"/>
      <c r="CIX272" s="18"/>
      <c r="CIY272" s="18"/>
      <c r="CIZ272" s="18"/>
      <c r="CJA272" s="18"/>
      <c r="CJB272" s="18"/>
      <c r="CJC272" s="18"/>
      <c r="CJD272" s="18"/>
      <c r="CJE272" s="18"/>
      <c r="CJF272" s="18"/>
      <c r="CJG272" s="18"/>
      <c r="CJH272" s="18"/>
      <c r="CJI272" s="18"/>
      <c r="CJJ272" s="18"/>
      <c r="CJK272" s="18"/>
      <c r="CJL272" s="18"/>
      <c r="CJM272" s="18"/>
      <c r="CJN272" s="18"/>
      <c r="CJO272" s="18"/>
      <c r="CJP272" s="18"/>
      <c r="CJQ272" s="18"/>
      <c r="CJR272" s="18"/>
      <c r="CJS272" s="18"/>
      <c r="CJT272" s="18"/>
      <c r="CJU272" s="18"/>
      <c r="CJV272" s="18"/>
      <c r="CJW272" s="18"/>
      <c r="CJX272" s="18"/>
      <c r="CJY272" s="18"/>
      <c r="CJZ272" s="18"/>
      <c r="CKA272" s="18"/>
      <c r="CKB272" s="18"/>
      <c r="CKC272" s="18"/>
      <c r="CKD272" s="18"/>
      <c r="CKE272" s="18"/>
      <c r="CKF272" s="18"/>
      <c r="CKG272" s="18"/>
      <c r="CKH272" s="18"/>
      <c r="CKI272" s="18"/>
      <c r="CKJ272" s="18"/>
      <c r="CKK272" s="18"/>
      <c r="CKL272" s="18"/>
      <c r="CKM272" s="18"/>
      <c r="CKN272" s="18"/>
      <c r="CKO272" s="18"/>
      <c r="CKP272" s="18"/>
      <c r="CKQ272" s="18"/>
      <c r="CKR272" s="18"/>
      <c r="CKS272" s="18"/>
      <c r="CKT272" s="18"/>
      <c r="CKU272" s="18"/>
      <c r="CKV272" s="18"/>
      <c r="CKW272" s="18"/>
      <c r="CKX272" s="18"/>
      <c r="CKY272" s="18"/>
      <c r="CKZ272" s="18"/>
      <c r="CLA272" s="18"/>
      <c r="CLB272" s="18"/>
      <c r="CLC272" s="18"/>
      <c r="CLD272" s="18"/>
      <c r="CLE272" s="18"/>
      <c r="CLF272" s="18"/>
      <c r="CLG272" s="18"/>
      <c r="CLH272" s="18"/>
      <c r="CLI272" s="18"/>
      <c r="CLJ272" s="18"/>
      <c r="CLK272" s="18"/>
      <c r="CLL272" s="18"/>
      <c r="CLM272" s="18"/>
      <c r="CLN272" s="18"/>
      <c r="CLO272" s="18"/>
      <c r="CLP272" s="18"/>
      <c r="CLQ272" s="18"/>
      <c r="CLR272" s="18"/>
      <c r="CLS272" s="18"/>
      <c r="CLT272" s="18"/>
      <c r="CLU272" s="18"/>
      <c r="CLV272" s="18"/>
      <c r="CLW272" s="18"/>
      <c r="CLX272" s="18"/>
      <c r="CLY272" s="18"/>
      <c r="CLZ272" s="18"/>
      <c r="CMA272" s="18"/>
      <c r="CMB272" s="18"/>
      <c r="CMC272" s="18"/>
      <c r="CMD272" s="18"/>
      <c r="CME272" s="18"/>
      <c r="CMF272" s="18"/>
      <c r="CMG272" s="18"/>
      <c r="CMH272" s="18"/>
      <c r="CMI272" s="18"/>
      <c r="CMJ272" s="18"/>
      <c r="CMK272" s="18"/>
      <c r="CML272" s="18"/>
      <c r="CMM272" s="18"/>
      <c r="CMN272" s="18"/>
      <c r="CMO272" s="18"/>
      <c r="CMP272" s="18"/>
      <c r="CMQ272" s="18"/>
      <c r="CMR272" s="18"/>
      <c r="CMS272" s="18"/>
      <c r="CMT272" s="18"/>
      <c r="CMU272" s="18"/>
      <c r="CMV272" s="18"/>
      <c r="CMW272" s="18"/>
      <c r="CMX272" s="18"/>
      <c r="CMY272" s="18"/>
      <c r="CMZ272" s="18"/>
      <c r="CNA272" s="18"/>
      <c r="CNB272" s="18"/>
      <c r="CNC272" s="18"/>
      <c r="CND272" s="18"/>
      <c r="CNE272" s="18"/>
      <c r="CNF272" s="18"/>
      <c r="CNG272" s="18"/>
      <c r="CNH272" s="18"/>
      <c r="CNI272" s="18"/>
      <c r="CNJ272" s="18"/>
      <c r="CNK272" s="18"/>
      <c r="CNL272" s="18"/>
      <c r="CNM272" s="18"/>
      <c r="CNN272" s="18"/>
      <c r="CNO272" s="18"/>
      <c r="CNP272" s="18"/>
      <c r="CNQ272" s="18"/>
      <c r="CNR272" s="18"/>
      <c r="CNS272" s="18"/>
      <c r="CNT272" s="18"/>
      <c r="CNU272" s="18"/>
      <c r="CNV272" s="18"/>
      <c r="CNW272" s="18"/>
      <c r="CNX272" s="18"/>
      <c r="CNY272" s="18"/>
      <c r="CNZ272" s="18"/>
      <c r="COA272" s="18"/>
      <c r="COB272" s="18"/>
      <c r="COC272" s="18"/>
      <c r="COD272" s="18"/>
      <c r="COE272" s="18"/>
      <c r="COF272" s="18"/>
      <c r="COG272" s="18"/>
      <c r="COH272" s="18"/>
      <c r="COI272" s="18"/>
      <c r="COJ272" s="18"/>
      <c r="COK272" s="18"/>
      <c r="COL272" s="18"/>
      <c r="COM272" s="18"/>
      <c r="CON272" s="18"/>
      <c r="COO272" s="18"/>
      <c r="COP272" s="18"/>
      <c r="COQ272" s="18"/>
      <c r="COR272" s="18"/>
      <c r="COS272" s="18"/>
      <c r="COT272" s="18"/>
      <c r="COU272" s="18"/>
      <c r="COV272" s="18"/>
      <c r="COW272" s="18"/>
      <c r="COX272" s="18"/>
      <c r="COY272" s="18"/>
      <c r="COZ272" s="18"/>
      <c r="CPA272" s="18"/>
      <c r="CPB272" s="18"/>
      <c r="CPC272" s="18"/>
      <c r="CPD272" s="18"/>
      <c r="CPE272" s="18"/>
      <c r="CPF272" s="18"/>
      <c r="CPG272" s="18"/>
      <c r="CPH272" s="18"/>
      <c r="CPI272" s="18"/>
      <c r="CPJ272" s="18"/>
      <c r="CPK272" s="18"/>
      <c r="CPL272" s="18"/>
      <c r="CPM272" s="18"/>
      <c r="CPN272" s="18"/>
      <c r="CPO272" s="18"/>
      <c r="CPP272" s="18"/>
      <c r="CPQ272" s="18"/>
      <c r="CPR272" s="18"/>
      <c r="CPS272" s="18"/>
      <c r="CPT272" s="18"/>
      <c r="CPU272" s="18"/>
      <c r="CPV272" s="18"/>
      <c r="CPW272" s="18"/>
      <c r="CPX272" s="18"/>
      <c r="CPY272" s="18"/>
      <c r="CPZ272" s="18"/>
      <c r="CQA272" s="18"/>
      <c r="CQB272" s="18"/>
      <c r="CQC272" s="18"/>
      <c r="CQD272" s="18"/>
      <c r="CQE272" s="18"/>
      <c r="CQF272" s="18"/>
      <c r="CQG272" s="18"/>
      <c r="CQH272" s="18"/>
      <c r="CQI272" s="18"/>
      <c r="CQJ272" s="18"/>
      <c r="CQK272" s="18"/>
      <c r="CQL272" s="18"/>
      <c r="CQM272" s="18"/>
      <c r="CQN272" s="18"/>
      <c r="CQO272" s="18"/>
      <c r="CQP272" s="18"/>
      <c r="CQQ272" s="18"/>
      <c r="CQR272" s="18"/>
      <c r="CQS272" s="18"/>
      <c r="CQT272" s="18"/>
      <c r="CQU272" s="18"/>
      <c r="CQV272" s="18"/>
      <c r="CQW272" s="18"/>
      <c r="CQX272" s="18"/>
      <c r="CQY272" s="18"/>
      <c r="CQZ272" s="18"/>
      <c r="CRA272" s="18"/>
      <c r="CRB272" s="18"/>
      <c r="CRC272" s="18"/>
      <c r="CRD272" s="18"/>
      <c r="CRE272" s="18"/>
      <c r="CRF272" s="18"/>
      <c r="CRG272" s="18"/>
      <c r="CRH272" s="18"/>
      <c r="CRI272" s="18"/>
      <c r="CRJ272" s="18"/>
      <c r="CRK272" s="18"/>
      <c r="CRL272" s="18"/>
      <c r="CRM272" s="18"/>
      <c r="CRN272" s="18"/>
      <c r="CRO272" s="18"/>
      <c r="CRP272" s="18"/>
      <c r="CRQ272" s="18"/>
      <c r="CRR272" s="18"/>
      <c r="CRS272" s="18"/>
      <c r="CRT272" s="18"/>
      <c r="CRU272" s="18"/>
      <c r="CRV272" s="18"/>
      <c r="CRW272" s="18"/>
      <c r="CRX272" s="18"/>
      <c r="CRY272" s="18"/>
      <c r="CRZ272" s="18"/>
      <c r="CSA272" s="18"/>
      <c r="CSB272" s="18"/>
      <c r="CSC272" s="18"/>
      <c r="CSD272" s="18"/>
      <c r="CSE272" s="18"/>
      <c r="CSF272" s="18"/>
      <c r="CSG272" s="18"/>
      <c r="CSH272" s="18"/>
      <c r="CSI272" s="18"/>
      <c r="CSJ272" s="18"/>
      <c r="CSK272" s="18"/>
      <c r="CSL272" s="18"/>
      <c r="CSM272" s="18"/>
      <c r="CSN272" s="18"/>
      <c r="CSO272" s="18"/>
      <c r="CSP272" s="18"/>
      <c r="CSQ272" s="18"/>
      <c r="CSR272" s="18"/>
      <c r="CSS272" s="18"/>
      <c r="CST272" s="18"/>
      <c r="CSU272" s="18"/>
      <c r="CSV272" s="18"/>
      <c r="CSW272" s="18"/>
      <c r="CSX272" s="18"/>
      <c r="CSY272" s="18"/>
      <c r="CSZ272" s="18"/>
      <c r="CTA272" s="18"/>
      <c r="CTB272" s="18"/>
      <c r="CTC272" s="18"/>
      <c r="CTD272" s="18"/>
      <c r="CTE272" s="18"/>
      <c r="CTF272" s="18"/>
      <c r="CTG272" s="18"/>
      <c r="CTH272" s="18"/>
      <c r="CTI272" s="18"/>
      <c r="CTJ272" s="18"/>
      <c r="CTK272" s="18"/>
      <c r="CTL272" s="18"/>
      <c r="CTM272" s="18"/>
      <c r="CTN272" s="18"/>
      <c r="CTO272" s="18"/>
      <c r="CTP272" s="18"/>
      <c r="CTQ272" s="18"/>
      <c r="CTR272" s="18"/>
      <c r="CTS272" s="18"/>
      <c r="CTT272" s="18"/>
      <c r="CTU272" s="18"/>
      <c r="CTV272" s="18"/>
      <c r="CTW272" s="18"/>
      <c r="CTX272" s="18"/>
      <c r="CTY272" s="18"/>
      <c r="CTZ272" s="18"/>
      <c r="CUA272" s="18"/>
      <c r="CUB272" s="18"/>
      <c r="CUC272" s="18"/>
      <c r="CUD272" s="18"/>
      <c r="CUE272" s="18"/>
      <c r="CUF272" s="18"/>
      <c r="CUG272" s="18"/>
      <c r="CUH272" s="18"/>
      <c r="CUI272" s="18"/>
      <c r="CUJ272" s="18"/>
      <c r="CUK272" s="18"/>
      <c r="CUL272" s="18"/>
      <c r="CUM272" s="18"/>
      <c r="CUN272" s="18"/>
      <c r="CUO272" s="18"/>
      <c r="CUP272" s="18"/>
      <c r="CUQ272" s="18"/>
      <c r="CUR272" s="18"/>
      <c r="CUS272" s="18"/>
      <c r="CUT272" s="18"/>
      <c r="CUU272" s="18"/>
      <c r="CUV272" s="18"/>
      <c r="CUW272" s="18"/>
      <c r="CUX272" s="18"/>
      <c r="CUY272" s="18"/>
      <c r="CUZ272" s="18"/>
      <c r="CVA272" s="18"/>
      <c r="CVB272" s="18"/>
      <c r="CVC272" s="18"/>
      <c r="CVD272" s="18"/>
      <c r="CVE272" s="18"/>
      <c r="CVF272" s="18"/>
      <c r="CVG272" s="18"/>
      <c r="CVH272" s="18"/>
      <c r="CVI272" s="18"/>
      <c r="CVJ272" s="18"/>
      <c r="CVK272" s="18"/>
      <c r="CVL272" s="18"/>
      <c r="CVM272" s="18"/>
      <c r="CVN272" s="18"/>
      <c r="CVO272" s="18"/>
      <c r="CVP272" s="18"/>
      <c r="CVQ272" s="18"/>
      <c r="CVR272" s="18"/>
      <c r="CVS272" s="18"/>
      <c r="CVT272" s="18"/>
      <c r="CVU272" s="18"/>
      <c r="CVV272" s="18"/>
      <c r="CVW272" s="18"/>
      <c r="CVX272" s="18"/>
      <c r="CVY272" s="18"/>
      <c r="CVZ272" s="18"/>
      <c r="CWA272" s="18"/>
      <c r="CWB272" s="18"/>
      <c r="CWC272" s="18"/>
      <c r="CWD272" s="18"/>
      <c r="CWE272" s="18"/>
      <c r="CWF272" s="18"/>
      <c r="CWG272" s="18"/>
      <c r="CWH272" s="18"/>
      <c r="CWI272" s="18"/>
      <c r="CWJ272" s="18"/>
      <c r="CWK272" s="18"/>
      <c r="CWL272" s="18"/>
      <c r="CWM272" s="18"/>
      <c r="CWN272" s="18"/>
      <c r="CWO272" s="18"/>
      <c r="CWP272" s="18"/>
      <c r="CWQ272" s="18"/>
      <c r="CWR272" s="18"/>
      <c r="CWS272" s="18"/>
      <c r="CWT272" s="18"/>
      <c r="CWU272" s="18"/>
      <c r="CWV272" s="18"/>
      <c r="CWW272" s="18"/>
      <c r="CWX272" s="18"/>
      <c r="CWY272" s="18"/>
      <c r="CWZ272" s="18"/>
      <c r="CXA272" s="18"/>
      <c r="CXB272" s="18"/>
      <c r="CXC272" s="18"/>
      <c r="CXD272" s="18"/>
      <c r="CXE272" s="18"/>
      <c r="CXF272" s="18"/>
      <c r="CXG272" s="18"/>
      <c r="CXH272" s="18"/>
      <c r="CXI272" s="18"/>
      <c r="CXJ272" s="18"/>
      <c r="CXK272" s="18"/>
      <c r="CXL272" s="18"/>
      <c r="CXM272" s="18"/>
      <c r="CXN272" s="18"/>
      <c r="CXO272" s="18"/>
      <c r="CXP272" s="18"/>
      <c r="CXQ272" s="18"/>
      <c r="CXR272" s="18"/>
      <c r="CXS272" s="18"/>
      <c r="CXT272" s="18"/>
      <c r="CXU272" s="18"/>
      <c r="CXV272" s="18"/>
      <c r="CXW272" s="18"/>
      <c r="CXX272" s="18"/>
      <c r="CXY272" s="18"/>
      <c r="CXZ272" s="18"/>
      <c r="CYA272" s="18"/>
      <c r="CYB272" s="18"/>
      <c r="CYC272" s="18"/>
      <c r="CYD272" s="18"/>
      <c r="CYE272" s="18"/>
      <c r="CYF272" s="18"/>
      <c r="CYG272" s="18"/>
      <c r="CYH272" s="18"/>
      <c r="CYI272" s="18"/>
      <c r="CYJ272" s="18"/>
      <c r="CYK272" s="18"/>
      <c r="CYL272" s="18"/>
      <c r="CYM272" s="18"/>
      <c r="CYN272" s="18"/>
      <c r="CYO272" s="18"/>
      <c r="CYP272" s="18"/>
      <c r="CYQ272" s="18"/>
      <c r="CYR272" s="18"/>
      <c r="CYS272" s="18"/>
      <c r="CYT272" s="18"/>
      <c r="CYU272" s="18"/>
      <c r="CYV272" s="18"/>
      <c r="CYW272" s="18"/>
      <c r="CYX272" s="18"/>
      <c r="CYY272" s="18"/>
      <c r="CYZ272" s="18"/>
      <c r="CZA272" s="18"/>
      <c r="CZB272" s="18"/>
      <c r="CZC272" s="18"/>
      <c r="CZD272" s="18"/>
      <c r="CZE272" s="18"/>
      <c r="CZF272" s="18"/>
      <c r="CZG272" s="18"/>
      <c r="CZH272" s="18"/>
      <c r="CZI272" s="18"/>
      <c r="CZJ272" s="18"/>
      <c r="CZK272" s="18"/>
      <c r="CZL272" s="18"/>
      <c r="CZM272" s="18"/>
      <c r="CZN272" s="18"/>
      <c r="CZO272" s="18"/>
      <c r="CZP272" s="18"/>
      <c r="CZQ272" s="18"/>
      <c r="CZR272" s="18"/>
      <c r="CZS272" s="18"/>
      <c r="CZT272" s="18"/>
      <c r="CZU272" s="18"/>
      <c r="CZV272" s="18"/>
      <c r="CZW272" s="18"/>
      <c r="CZX272" s="18"/>
      <c r="CZY272" s="18"/>
      <c r="CZZ272" s="18"/>
      <c r="DAA272" s="18"/>
      <c r="DAB272" s="18"/>
      <c r="DAC272" s="18"/>
      <c r="DAD272" s="18"/>
      <c r="DAE272" s="18"/>
      <c r="DAF272" s="18"/>
      <c r="DAG272" s="18"/>
      <c r="DAH272" s="18"/>
      <c r="DAI272" s="18"/>
      <c r="DAJ272" s="18"/>
      <c r="DAK272" s="18"/>
      <c r="DAL272" s="18"/>
      <c r="DAM272" s="18"/>
      <c r="DAN272" s="18"/>
      <c r="DAO272" s="18"/>
      <c r="DAP272" s="18"/>
      <c r="DAQ272" s="18"/>
      <c r="DAR272" s="18"/>
      <c r="DAS272" s="18"/>
      <c r="DAT272" s="18"/>
      <c r="DAU272" s="18"/>
      <c r="DAV272" s="18"/>
      <c r="DAW272" s="18"/>
      <c r="DAX272" s="18"/>
      <c r="DAY272" s="18"/>
      <c r="DAZ272" s="18"/>
      <c r="DBA272" s="18"/>
      <c r="DBB272" s="18"/>
      <c r="DBC272" s="18"/>
      <c r="DBD272" s="18"/>
      <c r="DBE272" s="18"/>
      <c r="DBF272" s="18"/>
      <c r="DBG272" s="18"/>
      <c r="DBH272" s="18"/>
      <c r="DBI272" s="18"/>
      <c r="DBJ272" s="18"/>
      <c r="DBK272" s="18"/>
      <c r="DBL272" s="18"/>
      <c r="DBM272" s="18"/>
      <c r="DBN272" s="18"/>
      <c r="DBO272" s="18"/>
      <c r="DBP272" s="18"/>
      <c r="DBQ272" s="18"/>
      <c r="DBR272" s="18"/>
      <c r="DBS272" s="18"/>
      <c r="DBT272" s="18"/>
      <c r="DBU272" s="18"/>
      <c r="DBV272" s="18"/>
      <c r="DBW272" s="18"/>
      <c r="DBX272" s="18"/>
      <c r="DBY272" s="18"/>
      <c r="DBZ272" s="18"/>
      <c r="DCA272" s="18"/>
      <c r="DCB272" s="18"/>
      <c r="DCC272" s="18"/>
      <c r="DCD272" s="18"/>
      <c r="DCE272" s="18"/>
      <c r="DCF272" s="18"/>
      <c r="DCG272" s="18"/>
      <c r="DCH272" s="18"/>
      <c r="DCI272" s="18"/>
      <c r="DCJ272" s="18"/>
      <c r="DCK272" s="18"/>
      <c r="DCL272" s="18"/>
      <c r="DCM272" s="18"/>
      <c r="DCN272" s="18"/>
      <c r="DCO272" s="18"/>
      <c r="DCP272" s="18"/>
      <c r="DCQ272" s="18"/>
      <c r="DCR272" s="18"/>
      <c r="DCS272" s="18"/>
      <c r="DCT272" s="18"/>
      <c r="DCU272" s="18"/>
      <c r="DCV272" s="18"/>
      <c r="DCW272" s="18"/>
      <c r="DCX272" s="18"/>
      <c r="DCY272" s="18"/>
      <c r="DCZ272" s="18"/>
      <c r="DDA272" s="18"/>
      <c r="DDB272" s="18"/>
      <c r="DDC272" s="18"/>
      <c r="DDD272" s="18"/>
      <c r="DDE272" s="18"/>
      <c r="DDF272" s="18"/>
      <c r="DDG272" s="18"/>
      <c r="DDH272" s="18"/>
      <c r="DDI272" s="18"/>
      <c r="DDJ272" s="18"/>
      <c r="DDK272" s="18"/>
      <c r="DDL272" s="18"/>
      <c r="DDM272" s="18"/>
      <c r="DDN272" s="18"/>
      <c r="DDO272" s="18"/>
      <c r="DDP272" s="18"/>
      <c r="DDQ272" s="18"/>
      <c r="DDR272" s="18"/>
      <c r="DDS272" s="18"/>
      <c r="DDT272" s="18"/>
      <c r="DDU272" s="18"/>
      <c r="DDV272" s="18"/>
      <c r="DDW272" s="18"/>
      <c r="DDX272" s="18"/>
      <c r="DDY272" s="18"/>
      <c r="DDZ272" s="18"/>
      <c r="DEA272" s="18"/>
      <c r="DEB272" s="18"/>
      <c r="DEC272" s="18"/>
      <c r="DED272" s="18"/>
      <c r="DEE272" s="18"/>
      <c r="DEF272" s="18"/>
      <c r="DEG272" s="18"/>
      <c r="DEH272" s="18"/>
      <c r="DEI272" s="18"/>
      <c r="DEJ272" s="18"/>
      <c r="DEK272" s="18"/>
      <c r="DEL272" s="18"/>
      <c r="DEM272" s="18"/>
      <c r="DEN272" s="18"/>
      <c r="DEO272" s="18"/>
      <c r="DEP272" s="18"/>
      <c r="DEQ272" s="18"/>
      <c r="DER272" s="18"/>
      <c r="DES272" s="18"/>
      <c r="DET272" s="18"/>
      <c r="DEU272" s="18"/>
      <c r="DEV272" s="18"/>
      <c r="DEW272" s="18"/>
      <c r="DEX272" s="18"/>
      <c r="DEY272" s="18"/>
      <c r="DEZ272" s="18"/>
      <c r="DFA272" s="18"/>
      <c r="DFB272" s="18"/>
      <c r="DFC272" s="18"/>
      <c r="DFD272" s="18"/>
      <c r="DFE272" s="18"/>
      <c r="DFF272" s="18"/>
      <c r="DFG272" s="18"/>
      <c r="DFH272" s="18"/>
      <c r="DFI272" s="18"/>
      <c r="DFJ272" s="18"/>
      <c r="DFK272" s="18"/>
      <c r="DFL272" s="18"/>
      <c r="DFM272" s="18"/>
      <c r="DFN272" s="18"/>
      <c r="DFO272" s="18"/>
      <c r="DFP272" s="18"/>
      <c r="DFQ272" s="18"/>
      <c r="DFR272" s="18"/>
      <c r="DFS272" s="18"/>
      <c r="DFT272" s="18"/>
      <c r="DFU272" s="18"/>
      <c r="DFV272" s="18"/>
      <c r="DFW272" s="18"/>
      <c r="DFX272" s="18"/>
      <c r="DFY272" s="18"/>
      <c r="DFZ272" s="18"/>
      <c r="DGA272" s="18"/>
      <c r="DGB272" s="18"/>
      <c r="DGC272" s="18"/>
      <c r="DGD272" s="18"/>
      <c r="DGE272" s="18"/>
      <c r="DGF272" s="18"/>
      <c r="DGG272" s="18"/>
      <c r="DGH272" s="18"/>
      <c r="DGI272" s="18"/>
      <c r="DGJ272" s="18"/>
      <c r="DGK272" s="18"/>
      <c r="DGL272" s="18"/>
      <c r="DGM272" s="18"/>
      <c r="DGN272" s="18"/>
      <c r="DGO272" s="18"/>
      <c r="DGP272" s="18"/>
      <c r="DGQ272" s="18"/>
      <c r="DGR272" s="18"/>
      <c r="DGS272" s="18"/>
      <c r="DGT272" s="18"/>
      <c r="DGU272" s="18"/>
      <c r="DGV272" s="18"/>
      <c r="DGW272" s="18"/>
      <c r="DGX272" s="18"/>
      <c r="DGY272" s="18"/>
      <c r="DGZ272" s="18"/>
      <c r="DHA272" s="18"/>
      <c r="DHB272" s="18"/>
      <c r="DHC272" s="18"/>
      <c r="DHD272" s="18"/>
      <c r="DHE272" s="18"/>
      <c r="DHF272" s="18"/>
      <c r="DHG272" s="18"/>
      <c r="DHH272" s="18"/>
      <c r="DHI272" s="18"/>
      <c r="DHJ272" s="18"/>
      <c r="DHK272" s="18"/>
      <c r="DHL272" s="18"/>
      <c r="DHM272" s="18"/>
      <c r="DHN272" s="18"/>
      <c r="DHO272" s="18"/>
      <c r="DHP272" s="18"/>
      <c r="DHQ272" s="18"/>
      <c r="DHR272" s="18"/>
      <c r="DHS272" s="18"/>
      <c r="DHT272" s="18"/>
      <c r="DHU272" s="18"/>
      <c r="DHV272" s="18"/>
      <c r="DHW272" s="18"/>
      <c r="DHX272" s="18"/>
      <c r="DHY272" s="18"/>
      <c r="DHZ272" s="18"/>
      <c r="DIA272" s="18"/>
      <c r="DIB272" s="18"/>
      <c r="DIC272" s="18"/>
      <c r="DID272" s="18"/>
      <c r="DIE272" s="18"/>
      <c r="DIF272" s="18"/>
      <c r="DIG272" s="18"/>
      <c r="DIH272" s="18"/>
      <c r="DII272" s="18"/>
      <c r="DIJ272" s="18"/>
      <c r="DIK272" s="18"/>
      <c r="DIL272" s="18"/>
      <c r="DIM272" s="18"/>
      <c r="DIN272" s="18"/>
      <c r="DIO272" s="18"/>
      <c r="DIP272" s="18"/>
      <c r="DIQ272" s="18"/>
      <c r="DIR272" s="18"/>
      <c r="DIS272" s="18"/>
      <c r="DIT272" s="18"/>
      <c r="DIU272" s="18"/>
      <c r="DIV272" s="18"/>
      <c r="DIW272" s="18"/>
      <c r="DIX272" s="18"/>
      <c r="DIY272" s="18"/>
      <c r="DIZ272" s="18"/>
      <c r="DJA272" s="18"/>
      <c r="DJB272" s="18"/>
      <c r="DJC272" s="18"/>
      <c r="DJD272" s="18"/>
      <c r="DJE272" s="18"/>
      <c r="DJF272" s="18"/>
      <c r="DJG272" s="18"/>
      <c r="DJH272" s="18"/>
      <c r="DJI272" s="18"/>
      <c r="DJJ272" s="18"/>
      <c r="DJK272" s="18"/>
      <c r="DJL272" s="18"/>
      <c r="DJM272" s="18"/>
      <c r="DJN272" s="18"/>
      <c r="DJO272" s="18"/>
      <c r="DJP272" s="18"/>
      <c r="DJQ272" s="18"/>
      <c r="DJR272" s="18"/>
      <c r="DJS272" s="18"/>
      <c r="DJT272" s="18"/>
      <c r="DJU272" s="18"/>
      <c r="DJV272" s="18"/>
      <c r="DJW272" s="18"/>
      <c r="DJX272" s="18"/>
      <c r="DJY272" s="18"/>
      <c r="DJZ272" s="18"/>
      <c r="DKA272" s="18"/>
      <c r="DKB272" s="18"/>
      <c r="DKC272" s="18"/>
      <c r="DKD272" s="18"/>
      <c r="DKE272" s="18"/>
      <c r="DKF272" s="18"/>
      <c r="DKG272" s="18"/>
      <c r="DKH272" s="18"/>
      <c r="DKI272" s="18"/>
      <c r="DKJ272" s="18"/>
      <c r="DKK272" s="18"/>
      <c r="DKL272" s="18"/>
      <c r="DKM272" s="18"/>
      <c r="DKN272" s="18"/>
      <c r="DKO272" s="18"/>
      <c r="DKP272" s="18"/>
      <c r="DKQ272" s="18"/>
      <c r="DKR272" s="18"/>
      <c r="DKS272" s="18"/>
      <c r="DKT272" s="18"/>
      <c r="DKU272" s="18"/>
      <c r="DKV272" s="18"/>
      <c r="DKW272" s="18"/>
      <c r="DKX272" s="18"/>
      <c r="DKY272" s="18"/>
      <c r="DKZ272" s="18"/>
      <c r="DLA272" s="18"/>
      <c r="DLB272" s="18"/>
      <c r="DLC272" s="18"/>
      <c r="DLD272" s="18"/>
      <c r="DLE272" s="18"/>
      <c r="DLF272" s="18"/>
      <c r="DLG272" s="18"/>
      <c r="DLH272" s="18"/>
      <c r="DLI272" s="18"/>
      <c r="DLJ272" s="18"/>
      <c r="DLK272" s="18"/>
      <c r="DLL272" s="18"/>
      <c r="DLM272" s="18"/>
      <c r="DLN272" s="18"/>
      <c r="DLO272" s="18"/>
      <c r="DLP272" s="18"/>
      <c r="DLQ272" s="18"/>
      <c r="DLR272" s="18"/>
      <c r="DLS272" s="18"/>
      <c r="DLT272" s="18"/>
      <c r="DLU272" s="18"/>
      <c r="DLV272" s="18"/>
      <c r="DLW272" s="18"/>
      <c r="DLX272" s="18"/>
      <c r="DLY272" s="18"/>
      <c r="DLZ272" s="18"/>
      <c r="DMA272" s="18"/>
      <c r="DMB272" s="18"/>
      <c r="DMC272" s="18"/>
      <c r="DMD272" s="18"/>
      <c r="DME272" s="18"/>
      <c r="DMF272" s="18"/>
      <c r="DMG272" s="18"/>
      <c r="DMH272" s="18"/>
      <c r="DMI272" s="18"/>
      <c r="DMJ272" s="18"/>
      <c r="DMK272" s="18"/>
      <c r="DML272" s="18"/>
      <c r="DMM272" s="18"/>
      <c r="DMN272" s="18"/>
      <c r="DMO272" s="18"/>
      <c r="DMP272" s="18"/>
      <c r="DMQ272" s="18"/>
      <c r="DMR272" s="18"/>
      <c r="DMS272" s="18"/>
      <c r="DMT272" s="18"/>
      <c r="DMU272" s="18"/>
      <c r="DMV272" s="18"/>
      <c r="DMW272" s="18"/>
      <c r="DMX272" s="18"/>
      <c r="DMY272" s="18"/>
      <c r="DMZ272" s="18"/>
      <c r="DNA272" s="18"/>
      <c r="DNB272" s="18"/>
      <c r="DNC272" s="18"/>
      <c r="DND272" s="18"/>
      <c r="DNE272" s="18"/>
      <c r="DNF272" s="18"/>
      <c r="DNG272" s="18"/>
      <c r="DNH272" s="18"/>
      <c r="DNI272" s="18"/>
      <c r="DNJ272" s="18"/>
      <c r="DNK272" s="18"/>
      <c r="DNL272" s="18"/>
      <c r="DNM272" s="18"/>
      <c r="DNN272" s="18"/>
      <c r="DNO272" s="18"/>
      <c r="DNP272" s="18"/>
      <c r="DNQ272" s="18"/>
      <c r="DNR272" s="18"/>
      <c r="DNS272" s="18"/>
      <c r="DNT272" s="18"/>
      <c r="DNU272" s="18"/>
      <c r="DNV272" s="18"/>
      <c r="DNW272" s="18"/>
      <c r="DNX272" s="18"/>
      <c r="DNY272" s="18"/>
      <c r="DNZ272" s="18"/>
      <c r="DOA272" s="18"/>
      <c r="DOB272" s="18"/>
      <c r="DOC272" s="18"/>
      <c r="DOD272" s="18"/>
      <c r="DOE272" s="18"/>
      <c r="DOF272" s="18"/>
      <c r="DOG272" s="18"/>
      <c r="DOH272" s="18"/>
      <c r="DOI272" s="18"/>
      <c r="DOJ272" s="18"/>
      <c r="DOK272" s="18"/>
      <c r="DOL272" s="18"/>
      <c r="DOM272" s="18"/>
      <c r="DON272" s="18"/>
      <c r="DOO272" s="18"/>
      <c r="DOP272" s="18"/>
      <c r="DOQ272" s="18"/>
      <c r="DOR272" s="18"/>
      <c r="DOS272" s="18"/>
      <c r="DOT272" s="18"/>
      <c r="DOU272" s="18"/>
      <c r="DOV272" s="18"/>
      <c r="DOW272" s="18"/>
      <c r="DOX272" s="18"/>
      <c r="DOY272" s="18"/>
      <c r="DOZ272" s="18"/>
      <c r="DPA272" s="18"/>
      <c r="DPB272" s="18"/>
      <c r="DPC272" s="18"/>
      <c r="DPD272" s="18"/>
      <c r="DPE272" s="18"/>
      <c r="DPF272" s="18"/>
      <c r="DPG272" s="18"/>
      <c r="DPH272" s="18"/>
      <c r="DPI272" s="18"/>
      <c r="DPJ272" s="18"/>
      <c r="DPK272" s="18"/>
      <c r="DPL272" s="18"/>
      <c r="DPM272" s="18"/>
      <c r="DPN272" s="18"/>
      <c r="DPO272" s="18"/>
      <c r="DPP272" s="18"/>
      <c r="DPQ272" s="18"/>
      <c r="DPR272" s="18"/>
      <c r="DPS272" s="18"/>
      <c r="DPT272" s="18"/>
      <c r="DPU272" s="18"/>
      <c r="DPV272" s="18"/>
      <c r="DPW272" s="18"/>
      <c r="DPX272" s="18"/>
      <c r="DPY272" s="18"/>
      <c r="DPZ272" s="18"/>
      <c r="DQA272" s="18"/>
      <c r="DQB272" s="18"/>
      <c r="DQC272" s="18"/>
      <c r="DQD272" s="18"/>
      <c r="DQE272" s="18"/>
      <c r="DQF272" s="18"/>
      <c r="DQG272" s="18"/>
      <c r="DQH272" s="18"/>
      <c r="DQI272" s="18"/>
      <c r="DQJ272" s="18"/>
      <c r="DQK272" s="18"/>
      <c r="DQL272" s="18"/>
      <c r="DQM272" s="18"/>
      <c r="DQN272" s="18"/>
      <c r="DQO272" s="18"/>
      <c r="DQP272" s="18"/>
      <c r="DQQ272" s="18"/>
      <c r="DQR272" s="18"/>
      <c r="DQS272" s="18"/>
      <c r="DQT272" s="18"/>
      <c r="DQU272" s="18"/>
      <c r="DQV272" s="18"/>
      <c r="DQW272" s="18"/>
      <c r="DQX272" s="18"/>
      <c r="DQY272" s="18"/>
      <c r="DQZ272" s="18"/>
      <c r="DRA272" s="18"/>
      <c r="DRB272" s="18"/>
      <c r="DRC272" s="18"/>
      <c r="DRD272" s="18"/>
      <c r="DRE272" s="18"/>
      <c r="DRF272" s="18"/>
      <c r="DRG272" s="18"/>
      <c r="DRH272" s="18"/>
      <c r="DRI272" s="18"/>
      <c r="DRJ272" s="18"/>
      <c r="DRK272" s="18"/>
      <c r="DRL272" s="18"/>
      <c r="DRM272" s="18"/>
      <c r="DRN272" s="18"/>
      <c r="DRO272" s="18"/>
      <c r="DRP272" s="18"/>
      <c r="DRQ272" s="18"/>
      <c r="DRR272" s="18"/>
      <c r="DRS272" s="18"/>
      <c r="DRT272" s="18"/>
      <c r="DRU272" s="18"/>
      <c r="DRV272" s="18"/>
      <c r="DRW272" s="18"/>
      <c r="DRX272" s="18"/>
      <c r="DRY272" s="18"/>
      <c r="DRZ272" s="18"/>
      <c r="DSA272" s="18"/>
      <c r="DSB272" s="18"/>
      <c r="DSC272" s="18"/>
      <c r="DSD272" s="18"/>
      <c r="DSE272" s="18"/>
      <c r="DSF272" s="18"/>
      <c r="DSG272" s="18"/>
      <c r="DSH272" s="18"/>
      <c r="DSI272" s="18"/>
      <c r="DSJ272" s="18"/>
      <c r="DSK272" s="18"/>
      <c r="DSL272" s="18"/>
      <c r="DSM272" s="18"/>
      <c r="DSN272" s="18"/>
      <c r="DSO272" s="18"/>
      <c r="DSP272" s="18"/>
      <c r="DSQ272" s="18"/>
      <c r="DSR272" s="18"/>
      <c r="DSS272" s="18"/>
      <c r="DST272" s="18"/>
      <c r="DSU272" s="18"/>
      <c r="DSV272" s="18"/>
      <c r="DSW272" s="18"/>
      <c r="DSX272" s="18"/>
      <c r="DSY272" s="18"/>
      <c r="DSZ272" s="18"/>
      <c r="DTA272" s="18"/>
      <c r="DTB272" s="18"/>
      <c r="DTC272" s="18"/>
      <c r="DTD272" s="18"/>
      <c r="DTE272" s="18"/>
      <c r="DTF272" s="18"/>
      <c r="DTG272" s="18"/>
      <c r="DTH272" s="18"/>
      <c r="DTI272" s="18"/>
      <c r="DTJ272" s="18"/>
      <c r="DTK272" s="18"/>
      <c r="DTL272" s="18"/>
      <c r="DTM272" s="18"/>
      <c r="DTN272" s="18"/>
      <c r="DTO272" s="18"/>
      <c r="DTP272" s="18"/>
      <c r="DTQ272" s="18"/>
      <c r="DTR272" s="18"/>
      <c r="DTS272" s="18"/>
      <c r="DTT272" s="18"/>
      <c r="DTU272" s="18"/>
      <c r="DTV272" s="18"/>
      <c r="DTW272" s="18"/>
      <c r="DTX272" s="18"/>
      <c r="DTY272" s="18"/>
      <c r="DTZ272" s="18"/>
      <c r="DUA272" s="18"/>
      <c r="DUB272" s="18"/>
      <c r="DUC272" s="18"/>
      <c r="DUD272" s="18"/>
      <c r="DUE272" s="18"/>
      <c r="DUF272" s="18"/>
      <c r="DUG272" s="18"/>
      <c r="DUH272" s="18"/>
      <c r="DUI272" s="18"/>
      <c r="DUJ272" s="18"/>
      <c r="DUK272" s="18"/>
      <c r="DUL272" s="18"/>
      <c r="DUM272" s="18"/>
      <c r="DUN272" s="18"/>
      <c r="DUO272" s="18"/>
      <c r="DUP272" s="18"/>
      <c r="DUQ272" s="18"/>
      <c r="DUR272" s="18"/>
      <c r="DUS272" s="18"/>
      <c r="DUT272" s="18"/>
      <c r="DUU272" s="18"/>
      <c r="DUV272" s="18"/>
      <c r="DUW272" s="18"/>
      <c r="DUX272" s="18"/>
      <c r="DUY272" s="18"/>
      <c r="DUZ272" s="18"/>
      <c r="DVA272" s="18"/>
      <c r="DVB272" s="18"/>
      <c r="DVC272" s="18"/>
      <c r="DVD272" s="18"/>
      <c r="DVE272" s="18"/>
      <c r="DVF272" s="18"/>
      <c r="DVG272" s="18"/>
      <c r="DVH272" s="18"/>
      <c r="DVI272" s="18"/>
      <c r="DVJ272" s="18"/>
      <c r="DVK272" s="18"/>
      <c r="DVL272" s="18"/>
      <c r="DVM272" s="18"/>
      <c r="DVN272" s="18"/>
      <c r="DVO272" s="18"/>
      <c r="DVP272" s="18"/>
      <c r="DVQ272" s="18"/>
      <c r="DVR272" s="18"/>
      <c r="DVS272" s="18"/>
      <c r="DVT272" s="18"/>
      <c r="DVU272" s="18"/>
      <c r="DVV272" s="18"/>
      <c r="DVW272" s="18"/>
      <c r="DVX272" s="18"/>
      <c r="DVY272" s="18"/>
      <c r="DVZ272" s="18"/>
      <c r="DWA272" s="18"/>
      <c r="DWB272" s="18"/>
      <c r="DWC272" s="18"/>
      <c r="DWD272" s="18"/>
      <c r="DWE272" s="18"/>
      <c r="DWF272" s="18"/>
      <c r="DWG272" s="18"/>
      <c r="DWH272" s="18"/>
      <c r="DWI272" s="18"/>
      <c r="DWJ272" s="18"/>
      <c r="DWK272" s="18"/>
      <c r="DWL272" s="18"/>
      <c r="DWM272" s="18"/>
      <c r="DWN272" s="18"/>
      <c r="DWO272" s="18"/>
      <c r="DWP272" s="18"/>
      <c r="DWQ272" s="18"/>
      <c r="DWR272" s="18"/>
      <c r="DWS272" s="18"/>
      <c r="DWT272" s="18"/>
      <c r="DWU272" s="18"/>
      <c r="DWV272" s="18"/>
      <c r="DWW272" s="18"/>
      <c r="DWX272" s="18"/>
      <c r="DWY272" s="18"/>
      <c r="DWZ272" s="18"/>
      <c r="DXA272" s="18"/>
      <c r="DXB272" s="18"/>
      <c r="DXC272" s="18"/>
      <c r="DXD272" s="18"/>
      <c r="DXE272" s="18"/>
      <c r="DXF272" s="18"/>
      <c r="DXG272" s="18"/>
      <c r="DXH272" s="18"/>
      <c r="DXI272" s="18"/>
      <c r="DXJ272" s="18"/>
      <c r="DXK272" s="18"/>
      <c r="DXL272" s="18"/>
      <c r="DXM272" s="18"/>
      <c r="DXN272" s="18"/>
      <c r="DXO272" s="18"/>
      <c r="DXP272" s="18"/>
      <c r="DXQ272" s="18"/>
      <c r="DXR272" s="18"/>
      <c r="DXS272" s="18"/>
      <c r="DXT272" s="18"/>
      <c r="DXU272" s="18"/>
      <c r="DXV272" s="18"/>
      <c r="DXW272" s="18"/>
      <c r="DXX272" s="18"/>
      <c r="DXY272" s="18"/>
      <c r="DXZ272" s="18"/>
      <c r="DYA272" s="18"/>
      <c r="DYB272" s="18"/>
      <c r="DYC272" s="18"/>
      <c r="DYD272" s="18"/>
      <c r="DYE272" s="18"/>
      <c r="DYF272" s="18"/>
      <c r="DYG272" s="18"/>
      <c r="DYH272" s="18"/>
      <c r="DYI272" s="18"/>
      <c r="DYJ272" s="18"/>
      <c r="DYK272" s="18"/>
      <c r="DYL272" s="18"/>
      <c r="DYM272" s="18"/>
      <c r="DYN272" s="18"/>
      <c r="DYO272" s="18"/>
      <c r="DYP272" s="18"/>
      <c r="DYQ272" s="18"/>
      <c r="DYR272" s="18"/>
      <c r="DYS272" s="18"/>
      <c r="DYT272" s="18"/>
      <c r="DYU272" s="18"/>
      <c r="DYV272" s="18"/>
      <c r="DYW272" s="18"/>
      <c r="DYX272" s="18"/>
      <c r="DYY272" s="18"/>
      <c r="DYZ272" s="18"/>
      <c r="DZA272" s="18"/>
      <c r="DZB272" s="18"/>
      <c r="DZC272" s="18"/>
      <c r="DZD272" s="18"/>
      <c r="DZE272" s="18"/>
      <c r="DZF272" s="18"/>
      <c r="DZG272" s="18"/>
      <c r="DZH272" s="18"/>
      <c r="DZI272" s="18"/>
      <c r="DZJ272" s="18"/>
      <c r="DZK272" s="18"/>
      <c r="DZL272" s="18"/>
      <c r="DZM272" s="18"/>
      <c r="DZN272" s="18"/>
      <c r="DZO272" s="18"/>
      <c r="DZP272" s="18"/>
      <c r="DZQ272" s="18"/>
      <c r="DZR272" s="18"/>
      <c r="DZS272" s="18"/>
      <c r="DZT272" s="18"/>
      <c r="DZU272" s="18"/>
      <c r="DZV272" s="18"/>
      <c r="DZW272" s="18"/>
      <c r="DZX272" s="18"/>
      <c r="DZY272" s="18"/>
      <c r="DZZ272" s="18"/>
      <c r="EAA272" s="18"/>
      <c r="EAB272" s="18"/>
      <c r="EAC272" s="18"/>
      <c r="EAD272" s="18"/>
      <c r="EAE272" s="18"/>
      <c r="EAF272" s="18"/>
      <c r="EAG272" s="18"/>
      <c r="EAH272" s="18"/>
      <c r="EAI272" s="18"/>
      <c r="EAJ272" s="18"/>
      <c r="EAK272" s="18"/>
      <c r="EAL272" s="18"/>
      <c r="EAM272" s="18"/>
      <c r="EAN272" s="18"/>
      <c r="EAO272" s="18"/>
      <c r="EAP272" s="18"/>
      <c r="EAQ272" s="18"/>
      <c r="EAR272" s="18"/>
      <c r="EAS272" s="18"/>
      <c r="EAT272" s="18"/>
      <c r="EAU272" s="18"/>
      <c r="EAV272" s="18"/>
      <c r="EAW272" s="18"/>
      <c r="EAX272" s="18"/>
      <c r="EAY272" s="18"/>
      <c r="EAZ272" s="18"/>
      <c r="EBA272" s="18"/>
      <c r="EBB272" s="18"/>
      <c r="EBC272" s="18"/>
      <c r="EBD272" s="18"/>
      <c r="EBE272" s="18"/>
      <c r="EBF272" s="18"/>
      <c r="EBG272" s="18"/>
      <c r="EBH272" s="18"/>
      <c r="EBI272" s="18"/>
      <c r="EBJ272" s="18"/>
      <c r="EBK272" s="18"/>
      <c r="EBL272" s="18"/>
      <c r="EBM272" s="18"/>
      <c r="EBN272" s="18"/>
      <c r="EBO272" s="18"/>
      <c r="EBP272" s="18"/>
      <c r="EBQ272" s="18"/>
      <c r="EBR272" s="18"/>
      <c r="EBS272" s="18"/>
      <c r="EBT272" s="18"/>
      <c r="EBU272" s="18"/>
      <c r="EBV272" s="18"/>
      <c r="EBW272" s="18"/>
      <c r="EBX272" s="18"/>
      <c r="EBY272" s="18"/>
      <c r="EBZ272" s="18"/>
      <c r="ECA272" s="18"/>
      <c r="ECB272" s="18"/>
      <c r="ECC272" s="18"/>
      <c r="ECD272" s="18"/>
      <c r="ECE272" s="18"/>
      <c r="ECF272" s="18"/>
      <c r="ECG272" s="18"/>
      <c r="ECH272" s="18"/>
      <c r="ECI272" s="18"/>
      <c r="ECJ272" s="18"/>
      <c r="ECK272" s="18"/>
      <c r="ECL272" s="18"/>
      <c r="ECM272" s="18"/>
      <c r="ECN272" s="18"/>
      <c r="ECO272" s="18"/>
      <c r="ECP272" s="18"/>
      <c r="ECQ272" s="18"/>
      <c r="ECR272" s="18"/>
      <c r="ECS272" s="18"/>
      <c r="ECT272" s="18"/>
      <c r="ECU272" s="18"/>
      <c r="ECV272" s="18"/>
      <c r="ECW272" s="18"/>
      <c r="ECX272" s="18"/>
      <c r="ECY272" s="18"/>
      <c r="ECZ272" s="18"/>
      <c r="EDA272" s="18"/>
      <c r="EDB272" s="18"/>
      <c r="EDC272" s="18"/>
      <c r="EDD272" s="18"/>
      <c r="EDE272" s="18"/>
      <c r="EDF272" s="18"/>
      <c r="EDG272" s="18"/>
      <c r="EDH272" s="18"/>
      <c r="EDI272" s="18"/>
      <c r="EDJ272" s="18"/>
      <c r="EDK272" s="18"/>
      <c r="EDL272" s="18"/>
      <c r="EDM272" s="18"/>
      <c r="EDN272" s="18"/>
      <c r="EDO272" s="18"/>
      <c r="EDP272" s="18"/>
      <c r="EDQ272" s="18"/>
      <c r="EDR272" s="18"/>
      <c r="EDS272" s="18"/>
      <c r="EDT272" s="18"/>
      <c r="EDU272" s="18"/>
      <c r="EDV272" s="18"/>
      <c r="EDW272" s="18"/>
      <c r="EDX272" s="18"/>
      <c r="EDY272" s="18"/>
      <c r="EDZ272" s="18"/>
      <c r="EEA272" s="18"/>
      <c r="EEB272" s="18"/>
      <c r="EEC272" s="18"/>
      <c r="EED272" s="18"/>
      <c r="EEE272" s="18"/>
      <c r="EEF272" s="18"/>
      <c r="EEG272" s="18"/>
      <c r="EEH272" s="18"/>
      <c r="EEI272" s="18"/>
      <c r="EEJ272" s="18"/>
      <c r="EEK272" s="18"/>
      <c r="EEL272" s="18"/>
      <c r="EEM272" s="18"/>
      <c r="EEN272" s="18"/>
      <c r="EEO272" s="18"/>
      <c r="EEP272" s="18"/>
      <c r="EEQ272" s="18"/>
      <c r="EER272" s="18"/>
      <c r="EES272" s="18"/>
      <c r="EET272" s="18"/>
      <c r="EEU272" s="18"/>
      <c r="EEV272" s="18"/>
      <c r="EEW272" s="18"/>
      <c r="EEX272" s="18"/>
      <c r="EEY272" s="18"/>
      <c r="EEZ272" s="18"/>
      <c r="EFA272" s="18"/>
      <c r="EFB272" s="18"/>
      <c r="EFC272" s="18"/>
      <c r="EFD272" s="18"/>
      <c r="EFE272" s="18"/>
      <c r="EFF272" s="18"/>
      <c r="EFG272" s="18"/>
      <c r="EFH272" s="18"/>
      <c r="EFI272" s="18"/>
      <c r="EFJ272" s="18"/>
      <c r="EFK272" s="18"/>
      <c r="EFL272" s="18"/>
      <c r="EFM272" s="18"/>
      <c r="EFN272" s="18"/>
      <c r="EFO272" s="18"/>
      <c r="EFP272" s="18"/>
      <c r="EFQ272" s="18"/>
      <c r="EFR272" s="18"/>
      <c r="EFS272" s="18"/>
      <c r="EFT272" s="18"/>
      <c r="EFU272" s="18"/>
      <c r="EFV272" s="18"/>
      <c r="EFW272" s="18"/>
      <c r="EFX272" s="18"/>
      <c r="EFY272" s="18"/>
      <c r="EFZ272" s="18"/>
      <c r="EGA272" s="18"/>
      <c r="EGB272" s="18"/>
      <c r="EGC272" s="18"/>
      <c r="EGD272" s="18"/>
      <c r="EGE272" s="18"/>
      <c r="EGF272" s="18"/>
      <c r="EGG272" s="18"/>
      <c r="EGH272" s="18"/>
      <c r="EGI272" s="18"/>
      <c r="EGJ272" s="18"/>
      <c r="EGK272" s="18"/>
      <c r="EGL272" s="18"/>
      <c r="EGM272" s="18"/>
      <c r="EGN272" s="18"/>
      <c r="EGO272" s="18"/>
      <c r="EGP272" s="18"/>
      <c r="EGQ272" s="18"/>
      <c r="EGR272" s="18"/>
      <c r="EGS272" s="18"/>
      <c r="EGT272" s="18"/>
      <c r="EGU272" s="18"/>
      <c r="EGV272" s="18"/>
      <c r="EGW272" s="18"/>
      <c r="EGX272" s="18"/>
      <c r="EGY272" s="18"/>
      <c r="EGZ272" s="18"/>
      <c r="EHA272" s="18"/>
      <c r="EHB272" s="18"/>
      <c r="EHC272" s="18"/>
      <c r="EHD272" s="18"/>
      <c r="EHE272" s="18"/>
      <c r="EHF272" s="18"/>
      <c r="EHG272" s="18"/>
      <c r="EHH272" s="18"/>
      <c r="EHI272" s="18"/>
      <c r="EHJ272" s="18"/>
      <c r="EHK272" s="18"/>
      <c r="EHL272" s="18"/>
      <c r="EHM272" s="18"/>
      <c r="EHN272" s="18"/>
      <c r="EHO272" s="18"/>
      <c r="EHP272" s="18"/>
      <c r="EHQ272" s="18"/>
      <c r="EHR272" s="18"/>
      <c r="EHS272" s="18"/>
      <c r="EHT272" s="18"/>
      <c r="EHU272" s="18"/>
      <c r="EHV272" s="18"/>
      <c r="EHW272" s="18"/>
      <c r="EHX272" s="18"/>
      <c r="EHY272" s="18"/>
      <c r="EHZ272" s="18"/>
      <c r="EIA272" s="18"/>
      <c r="EIB272" s="18"/>
      <c r="EIC272" s="18"/>
      <c r="EID272" s="18"/>
      <c r="EIE272" s="18"/>
      <c r="EIF272" s="18"/>
      <c r="EIG272" s="18"/>
      <c r="EIH272" s="18"/>
      <c r="EII272" s="18"/>
      <c r="EIJ272" s="18"/>
      <c r="EIK272" s="18"/>
      <c r="EIL272" s="18"/>
      <c r="EIM272" s="18"/>
      <c r="EIN272" s="18"/>
      <c r="EIO272" s="18"/>
      <c r="EIP272" s="18"/>
      <c r="EIQ272" s="18"/>
      <c r="EIR272" s="18"/>
      <c r="EIS272" s="18"/>
      <c r="EIT272" s="18"/>
      <c r="EIU272" s="18"/>
      <c r="EIV272" s="18"/>
      <c r="EIW272" s="18"/>
      <c r="EIX272" s="18"/>
      <c r="EIY272" s="18"/>
      <c r="EIZ272" s="18"/>
      <c r="EJA272" s="18"/>
      <c r="EJB272" s="18"/>
      <c r="EJC272" s="18"/>
      <c r="EJD272" s="18"/>
      <c r="EJE272" s="18"/>
      <c r="EJF272" s="18"/>
      <c r="EJG272" s="18"/>
      <c r="EJH272" s="18"/>
      <c r="EJI272" s="18"/>
      <c r="EJJ272" s="18"/>
      <c r="EJK272" s="18"/>
      <c r="EJL272" s="18"/>
      <c r="EJM272" s="18"/>
      <c r="EJN272" s="18"/>
      <c r="EJO272" s="18"/>
      <c r="EJP272" s="18"/>
      <c r="EJQ272" s="18"/>
      <c r="EJR272" s="18"/>
      <c r="EJS272" s="18"/>
      <c r="EJT272" s="18"/>
      <c r="EJU272" s="18"/>
      <c r="EJV272" s="18"/>
      <c r="EJW272" s="18"/>
      <c r="EJX272" s="18"/>
      <c r="EJY272" s="18"/>
      <c r="EJZ272" s="18"/>
      <c r="EKA272" s="18"/>
      <c r="EKB272" s="18"/>
      <c r="EKC272" s="18"/>
      <c r="EKD272" s="18"/>
      <c r="EKE272" s="18"/>
      <c r="EKF272" s="18"/>
      <c r="EKG272" s="18"/>
      <c r="EKH272" s="18"/>
      <c r="EKI272" s="18"/>
      <c r="EKJ272" s="18"/>
      <c r="EKK272" s="18"/>
      <c r="EKL272" s="18"/>
      <c r="EKM272" s="18"/>
      <c r="EKN272" s="18"/>
      <c r="EKO272" s="18"/>
      <c r="EKP272" s="18"/>
      <c r="EKQ272" s="18"/>
      <c r="EKR272" s="18"/>
      <c r="EKS272" s="18"/>
      <c r="EKT272" s="18"/>
      <c r="EKU272" s="18"/>
      <c r="EKV272" s="18"/>
      <c r="EKW272" s="18"/>
      <c r="EKX272" s="18"/>
      <c r="EKY272" s="18"/>
      <c r="EKZ272" s="18"/>
      <c r="ELA272" s="18"/>
      <c r="ELB272" s="18"/>
      <c r="ELC272" s="18"/>
      <c r="ELD272" s="18"/>
      <c r="ELE272" s="18"/>
      <c r="ELF272" s="18"/>
      <c r="ELG272" s="18"/>
      <c r="ELH272" s="18"/>
      <c r="ELI272" s="18"/>
      <c r="ELJ272" s="18"/>
      <c r="ELK272" s="18"/>
      <c r="ELL272" s="18"/>
      <c r="ELM272" s="18"/>
      <c r="ELN272" s="18"/>
      <c r="ELO272" s="18"/>
      <c r="ELP272" s="18"/>
      <c r="ELQ272" s="18"/>
      <c r="ELR272" s="18"/>
      <c r="ELS272" s="18"/>
      <c r="ELT272" s="18"/>
      <c r="ELU272" s="18"/>
      <c r="ELV272" s="18"/>
      <c r="ELW272" s="18"/>
      <c r="ELX272" s="18"/>
      <c r="ELY272" s="18"/>
      <c r="ELZ272" s="18"/>
      <c r="EMA272" s="18"/>
      <c r="EMB272" s="18"/>
      <c r="EMC272" s="18"/>
      <c r="EMD272" s="18"/>
      <c r="EME272" s="18"/>
      <c r="EMF272" s="18"/>
      <c r="EMG272" s="18"/>
      <c r="EMH272" s="18"/>
      <c r="EMI272" s="18"/>
      <c r="EMJ272" s="18"/>
      <c r="EMK272" s="18"/>
      <c r="EML272" s="18"/>
      <c r="EMM272" s="18"/>
      <c r="EMN272" s="18"/>
      <c r="EMO272" s="18"/>
      <c r="EMP272" s="18"/>
      <c r="EMQ272" s="18"/>
      <c r="EMR272" s="18"/>
      <c r="EMS272" s="18"/>
      <c r="EMT272" s="18"/>
      <c r="EMU272" s="18"/>
      <c r="EMV272" s="18"/>
      <c r="EMW272" s="18"/>
      <c r="EMX272" s="18"/>
      <c r="EMY272" s="18"/>
      <c r="EMZ272" s="18"/>
      <c r="ENA272" s="18"/>
      <c r="ENB272" s="18"/>
      <c r="ENC272" s="18"/>
      <c r="END272" s="18"/>
      <c r="ENE272" s="18"/>
      <c r="ENF272" s="18"/>
      <c r="ENG272" s="18"/>
      <c r="ENH272" s="18"/>
      <c r="ENI272" s="18"/>
      <c r="ENJ272" s="18"/>
      <c r="ENK272" s="18"/>
      <c r="ENL272" s="18"/>
      <c r="ENM272" s="18"/>
      <c r="ENN272" s="18"/>
      <c r="ENO272" s="18"/>
      <c r="ENP272" s="18"/>
      <c r="ENQ272" s="18"/>
      <c r="ENR272" s="18"/>
      <c r="ENS272" s="18"/>
      <c r="ENT272" s="18"/>
      <c r="ENU272" s="18"/>
      <c r="ENV272" s="18"/>
      <c r="ENW272" s="18"/>
      <c r="ENX272" s="18"/>
      <c r="ENY272" s="18"/>
      <c r="ENZ272" s="18"/>
      <c r="EOA272" s="18"/>
      <c r="EOB272" s="18"/>
      <c r="EOC272" s="18"/>
      <c r="EOD272" s="18"/>
      <c r="EOE272" s="18"/>
      <c r="EOF272" s="18"/>
      <c r="EOG272" s="18"/>
      <c r="EOH272" s="18"/>
      <c r="EOI272" s="18"/>
      <c r="EOJ272" s="18"/>
      <c r="EOK272" s="18"/>
      <c r="EOL272" s="18"/>
      <c r="EOM272" s="18"/>
      <c r="EON272" s="18"/>
      <c r="EOO272" s="18"/>
      <c r="EOP272" s="18"/>
      <c r="EOQ272" s="18"/>
      <c r="EOR272" s="18"/>
      <c r="EOS272" s="18"/>
      <c r="EOT272" s="18"/>
      <c r="EOU272" s="18"/>
      <c r="EOV272" s="18"/>
      <c r="EOW272" s="18"/>
      <c r="EOX272" s="18"/>
      <c r="EOY272" s="18"/>
      <c r="EOZ272" s="18"/>
      <c r="EPA272" s="18"/>
      <c r="EPB272" s="18"/>
      <c r="EPC272" s="18"/>
      <c r="EPD272" s="18"/>
      <c r="EPE272" s="18"/>
      <c r="EPF272" s="18"/>
      <c r="EPG272" s="18"/>
      <c r="EPH272" s="18"/>
      <c r="EPI272" s="18"/>
      <c r="EPJ272" s="18"/>
      <c r="EPK272" s="18"/>
      <c r="EPL272" s="18"/>
      <c r="EPM272" s="18"/>
      <c r="EPN272" s="18"/>
      <c r="EPO272" s="18"/>
      <c r="EPP272" s="18"/>
      <c r="EPQ272" s="18"/>
      <c r="EPR272" s="18"/>
      <c r="EPS272" s="18"/>
      <c r="EPT272" s="18"/>
      <c r="EPU272" s="18"/>
      <c r="EPV272" s="18"/>
      <c r="EPW272" s="18"/>
      <c r="EPX272" s="18"/>
      <c r="EPY272" s="18"/>
      <c r="EPZ272" s="18"/>
      <c r="EQA272" s="18"/>
      <c r="EQB272" s="18"/>
      <c r="EQC272" s="18"/>
      <c r="EQD272" s="18"/>
      <c r="EQE272" s="18"/>
      <c r="EQF272" s="18"/>
      <c r="EQG272" s="18"/>
      <c r="EQH272" s="18"/>
      <c r="EQI272" s="18"/>
      <c r="EQJ272" s="18"/>
      <c r="EQK272" s="18"/>
      <c r="EQL272" s="18"/>
      <c r="EQM272" s="18"/>
      <c r="EQN272" s="18"/>
      <c r="EQO272" s="18"/>
      <c r="EQP272" s="18"/>
      <c r="EQQ272" s="18"/>
      <c r="EQR272" s="18"/>
      <c r="EQS272" s="18"/>
      <c r="EQT272" s="18"/>
      <c r="EQU272" s="18"/>
      <c r="EQV272" s="18"/>
      <c r="EQW272" s="18"/>
      <c r="EQX272" s="18"/>
      <c r="EQY272" s="18"/>
      <c r="EQZ272" s="18"/>
      <c r="ERA272" s="18"/>
      <c r="ERB272" s="18"/>
      <c r="ERC272" s="18"/>
      <c r="ERD272" s="18"/>
      <c r="ERE272" s="18"/>
      <c r="ERF272" s="18"/>
      <c r="ERG272" s="18"/>
      <c r="ERH272" s="18"/>
      <c r="ERI272" s="18"/>
      <c r="ERJ272" s="18"/>
      <c r="ERK272" s="18"/>
      <c r="ERL272" s="18"/>
      <c r="ERM272" s="18"/>
      <c r="ERN272" s="18"/>
      <c r="ERO272" s="18"/>
      <c r="ERP272" s="18"/>
      <c r="ERQ272" s="18"/>
      <c r="ERR272" s="18"/>
      <c r="ERS272" s="18"/>
      <c r="ERT272" s="18"/>
      <c r="ERU272" s="18"/>
      <c r="ERV272" s="18"/>
      <c r="ERW272" s="18"/>
      <c r="ERX272" s="18"/>
      <c r="ERY272" s="18"/>
      <c r="ERZ272" s="18"/>
      <c r="ESA272" s="18"/>
      <c r="ESB272" s="18"/>
      <c r="ESC272" s="18"/>
      <c r="ESD272" s="18"/>
      <c r="ESE272" s="18"/>
      <c r="ESF272" s="18"/>
      <c r="ESG272" s="18"/>
      <c r="ESH272" s="18"/>
      <c r="ESI272" s="18"/>
      <c r="ESJ272" s="18"/>
      <c r="ESK272" s="18"/>
      <c r="ESL272" s="18"/>
      <c r="ESM272" s="18"/>
      <c r="ESN272" s="18"/>
      <c r="ESO272" s="18"/>
      <c r="ESP272" s="18"/>
      <c r="ESQ272" s="18"/>
      <c r="ESR272" s="18"/>
      <c r="ESS272" s="18"/>
      <c r="EST272" s="18"/>
      <c r="ESU272" s="18"/>
      <c r="ESV272" s="18"/>
      <c r="ESW272" s="18"/>
      <c r="ESX272" s="18"/>
      <c r="ESY272" s="18"/>
      <c r="ESZ272" s="18"/>
      <c r="ETA272" s="18"/>
      <c r="ETB272" s="18"/>
      <c r="ETC272" s="18"/>
      <c r="ETD272" s="18"/>
      <c r="ETE272" s="18"/>
      <c r="ETF272" s="18"/>
      <c r="ETG272" s="18"/>
      <c r="ETH272" s="18"/>
      <c r="ETI272" s="18"/>
      <c r="ETJ272" s="18"/>
      <c r="ETK272" s="18"/>
      <c r="ETL272" s="18"/>
      <c r="ETM272" s="18"/>
      <c r="ETN272" s="18"/>
      <c r="ETO272" s="18"/>
      <c r="ETP272" s="18"/>
      <c r="ETQ272" s="18"/>
      <c r="ETR272" s="18"/>
      <c r="ETS272" s="18"/>
      <c r="ETT272" s="18"/>
      <c r="ETU272" s="18"/>
      <c r="ETV272" s="18"/>
      <c r="ETW272" s="18"/>
      <c r="ETX272" s="18"/>
      <c r="ETY272" s="18"/>
      <c r="ETZ272" s="18"/>
      <c r="EUA272" s="18"/>
      <c r="EUB272" s="18"/>
      <c r="EUC272" s="18"/>
      <c r="EUD272" s="18"/>
      <c r="EUE272" s="18"/>
      <c r="EUF272" s="18"/>
      <c r="EUG272" s="18"/>
      <c r="EUH272" s="18"/>
      <c r="EUI272" s="18"/>
      <c r="EUJ272" s="18"/>
      <c r="EUK272" s="18"/>
      <c r="EUL272" s="18"/>
      <c r="EUM272" s="18"/>
      <c r="EUN272" s="18"/>
      <c r="EUO272" s="18"/>
      <c r="EUP272" s="18"/>
      <c r="EUQ272" s="18"/>
      <c r="EUR272" s="18"/>
      <c r="EUS272" s="18"/>
      <c r="EUT272" s="18"/>
      <c r="EUU272" s="18"/>
      <c r="EUV272" s="18"/>
      <c r="EUW272" s="18"/>
      <c r="EUX272" s="18"/>
      <c r="EUY272" s="18"/>
      <c r="EUZ272" s="18"/>
      <c r="EVA272" s="18"/>
      <c r="EVB272" s="18"/>
      <c r="EVC272" s="18"/>
      <c r="EVD272" s="18"/>
      <c r="EVE272" s="18"/>
      <c r="EVF272" s="18"/>
      <c r="EVG272" s="18"/>
      <c r="EVH272" s="18"/>
      <c r="EVI272" s="18"/>
      <c r="EVJ272" s="18"/>
      <c r="EVK272" s="18"/>
      <c r="EVL272" s="18"/>
      <c r="EVM272" s="18"/>
      <c r="EVN272" s="18"/>
      <c r="EVO272" s="18"/>
      <c r="EVP272" s="18"/>
      <c r="EVQ272" s="18"/>
      <c r="EVR272" s="18"/>
      <c r="EVS272" s="18"/>
      <c r="EVT272" s="18"/>
      <c r="EVU272" s="18"/>
      <c r="EVV272" s="18"/>
      <c r="EVW272" s="18"/>
      <c r="EVX272" s="18"/>
      <c r="EVY272" s="18"/>
      <c r="EVZ272" s="18"/>
      <c r="EWA272" s="18"/>
      <c r="EWB272" s="18"/>
      <c r="EWC272" s="18"/>
      <c r="EWD272" s="18"/>
      <c r="EWE272" s="18"/>
      <c r="EWF272" s="18"/>
      <c r="EWG272" s="18"/>
      <c r="EWH272" s="18"/>
      <c r="EWI272" s="18"/>
      <c r="EWJ272" s="18"/>
      <c r="EWK272" s="18"/>
      <c r="EWL272" s="18"/>
      <c r="EWM272" s="18"/>
      <c r="EWN272" s="18"/>
      <c r="EWO272" s="18"/>
      <c r="EWP272" s="18"/>
      <c r="EWQ272" s="18"/>
      <c r="EWR272" s="18"/>
      <c r="EWS272" s="18"/>
      <c r="EWT272" s="18"/>
      <c r="EWU272" s="18"/>
      <c r="EWV272" s="18"/>
      <c r="EWW272" s="18"/>
      <c r="EWX272" s="18"/>
      <c r="EWY272" s="18"/>
      <c r="EWZ272" s="18"/>
      <c r="EXA272" s="18"/>
      <c r="EXB272" s="18"/>
      <c r="EXC272" s="18"/>
      <c r="EXD272" s="18"/>
      <c r="EXE272" s="18"/>
      <c r="EXF272" s="18"/>
      <c r="EXG272" s="18"/>
      <c r="EXH272" s="18"/>
      <c r="EXI272" s="18"/>
      <c r="EXJ272" s="18"/>
      <c r="EXK272" s="18"/>
      <c r="EXL272" s="18"/>
      <c r="EXM272" s="18"/>
      <c r="EXN272" s="18"/>
      <c r="EXO272" s="18"/>
      <c r="EXP272" s="18"/>
      <c r="EXQ272" s="18"/>
      <c r="EXR272" s="18"/>
      <c r="EXS272" s="18"/>
      <c r="EXT272" s="18"/>
      <c r="EXU272" s="18"/>
      <c r="EXV272" s="18"/>
      <c r="EXW272" s="18"/>
      <c r="EXX272" s="18"/>
      <c r="EXY272" s="18"/>
      <c r="EXZ272" s="18"/>
      <c r="EYA272" s="18"/>
      <c r="EYB272" s="18"/>
      <c r="EYC272" s="18"/>
      <c r="EYD272" s="18"/>
      <c r="EYE272" s="18"/>
      <c r="EYF272" s="18"/>
      <c r="EYG272" s="18"/>
      <c r="EYH272" s="18"/>
      <c r="EYI272" s="18"/>
      <c r="EYJ272" s="18"/>
      <c r="EYK272" s="18"/>
      <c r="EYL272" s="18"/>
      <c r="EYM272" s="18"/>
      <c r="EYN272" s="18"/>
      <c r="EYO272" s="18"/>
      <c r="EYP272" s="18"/>
      <c r="EYQ272" s="18"/>
      <c r="EYR272" s="18"/>
      <c r="EYS272" s="18"/>
      <c r="EYT272" s="18"/>
      <c r="EYU272" s="18"/>
      <c r="EYV272" s="18"/>
      <c r="EYW272" s="18"/>
      <c r="EYX272" s="18"/>
      <c r="EYY272" s="18"/>
      <c r="EYZ272" s="18"/>
      <c r="EZA272" s="18"/>
      <c r="EZB272" s="18"/>
      <c r="EZC272" s="18"/>
      <c r="EZD272" s="18"/>
      <c r="EZE272" s="18"/>
      <c r="EZF272" s="18"/>
      <c r="EZG272" s="18"/>
      <c r="EZH272" s="18"/>
      <c r="EZI272" s="18"/>
      <c r="EZJ272" s="18"/>
      <c r="EZK272" s="18"/>
      <c r="EZL272" s="18"/>
      <c r="EZM272" s="18"/>
      <c r="EZN272" s="18"/>
      <c r="EZO272" s="18"/>
      <c r="EZP272" s="18"/>
      <c r="EZQ272" s="18"/>
      <c r="EZR272" s="18"/>
      <c r="EZS272" s="18"/>
      <c r="EZT272" s="18"/>
      <c r="EZU272" s="18"/>
      <c r="EZV272" s="18"/>
      <c r="EZW272" s="18"/>
      <c r="EZX272" s="18"/>
      <c r="EZY272" s="18"/>
      <c r="EZZ272" s="18"/>
      <c r="FAA272" s="18"/>
      <c r="FAB272" s="18"/>
      <c r="FAC272" s="18"/>
      <c r="FAD272" s="18"/>
      <c r="FAE272" s="18"/>
      <c r="FAF272" s="18"/>
      <c r="FAG272" s="18"/>
      <c r="FAH272" s="18"/>
      <c r="FAI272" s="18"/>
      <c r="FAJ272" s="18"/>
      <c r="FAK272" s="18"/>
      <c r="FAL272" s="18"/>
      <c r="FAM272" s="18"/>
      <c r="FAN272" s="18"/>
      <c r="FAO272" s="18"/>
      <c r="FAP272" s="18"/>
      <c r="FAQ272" s="18"/>
      <c r="FAR272" s="18"/>
      <c r="FAS272" s="18"/>
      <c r="FAT272" s="18"/>
      <c r="FAU272" s="18"/>
      <c r="FAV272" s="18"/>
      <c r="FAW272" s="18"/>
      <c r="FAX272" s="18"/>
      <c r="FAY272" s="18"/>
      <c r="FAZ272" s="18"/>
      <c r="FBA272" s="18"/>
      <c r="FBB272" s="18"/>
      <c r="FBC272" s="18"/>
      <c r="FBD272" s="18"/>
      <c r="FBE272" s="18"/>
      <c r="FBF272" s="18"/>
      <c r="FBG272" s="18"/>
      <c r="FBH272" s="18"/>
      <c r="FBI272" s="18"/>
      <c r="FBJ272" s="18"/>
      <c r="FBK272" s="18"/>
      <c r="FBL272" s="18"/>
      <c r="FBM272" s="18"/>
      <c r="FBN272" s="18"/>
      <c r="FBO272" s="18"/>
      <c r="FBP272" s="18"/>
      <c r="FBQ272" s="18"/>
      <c r="FBR272" s="18"/>
      <c r="FBS272" s="18"/>
      <c r="FBT272" s="18"/>
      <c r="FBU272" s="18"/>
      <c r="FBV272" s="18"/>
      <c r="FBW272" s="18"/>
      <c r="FBX272" s="18"/>
      <c r="FBY272" s="18"/>
      <c r="FBZ272" s="18"/>
      <c r="FCA272" s="18"/>
      <c r="FCB272" s="18"/>
      <c r="FCC272" s="18"/>
      <c r="FCD272" s="18"/>
      <c r="FCE272" s="18"/>
      <c r="FCF272" s="18"/>
      <c r="FCG272" s="18"/>
      <c r="FCH272" s="18"/>
      <c r="FCI272" s="18"/>
      <c r="FCJ272" s="18"/>
      <c r="FCK272" s="18"/>
      <c r="FCL272" s="18"/>
      <c r="FCM272" s="18"/>
      <c r="FCN272" s="18"/>
      <c r="FCO272" s="18"/>
      <c r="FCP272" s="18"/>
      <c r="FCQ272" s="18"/>
      <c r="FCR272" s="18"/>
      <c r="FCS272" s="18"/>
      <c r="FCT272" s="18"/>
      <c r="FCU272" s="18"/>
      <c r="FCV272" s="18"/>
      <c r="FCW272" s="18"/>
      <c r="FCX272" s="18"/>
      <c r="FCY272" s="18"/>
      <c r="FCZ272" s="18"/>
      <c r="FDA272" s="18"/>
      <c r="FDB272" s="18"/>
      <c r="FDC272" s="18"/>
      <c r="FDD272" s="18"/>
      <c r="FDE272" s="18"/>
      <c r="FDF272" s="18"/>
      <c r="FDG272" s="18"/>
      <c r="FDH272" s="18"/>
      <c r="FDI272" s="18"/>
      <c r="FDJ272" s="18"/>
      <c r="FDK272" s="18"/>
      <c r="FDL272" s="18"/>
      <c r="FDM272" s="18"/>
      <c r="FDN272" s="18"/>
      <c r="FDO272" s="18"/>
      <c r="FDP272" s="18"/>
      <c r="FDQ272" s="18"/>
      <c r="FDR272" s="18"/>
      <c r="FDS272" s="18"/>
      <c r="FDT272" s="18"/>
      <c r="FDU272" s="18"/>
      <c r="FDV272" s="18"/>
      <c r="FDW272" s="18"/>
      <c r="FDX272" s="18"/>
      <c r="FDY272" s="18"/>
      <c r="FDZ272" s="18"/>
      <c r="FEA272" s="18"/>
      <c r="FEB272" s="18"/>
      <c r="FEC272" s="18"/>
      <c r="FED272" s="18"/>
      <c r="FEE272" s="18"/>
      <c r="FEF272" s="18"/>
      <c r="FEG272" s="18"/>
      <c r="FEH272" s="18"/>
      <c r="FEI272" s="18"/>
      <c r="FEJ272" s="18"/>
      <c r="FEK272" s="18"/>
      <c r="FEL272" s="18"/>
      <c r="FEM272" s="18"/>
      <c r="FEN272" s="18"/>
      <c r="FEO272" s="18"/>
      <c r="FEP272" s="18"/>
      <c r="FEQ272" s="18"/>
      <c r="FER272" s="18"/>
      <c r="FES272" s="18"/>
      <c r="FET272" s="18"/>
      <c r="FEU272" s="18"/>
      <c r="FEV272" s="18"/>
      <c r="FEW272" s="18"/>
      <c r="FEX272" s="18"/>
      <c r="FEY272" s="18"/>
      <c r="FEZ272" s="18"/>
      <c r="FFA272" s="18"/>
      <c r="FFB272" s="18"/>
      <c r="FFC272" s="18"/>
      <c r="FFD272" s="18"/>
      <c r="FFE272" s="18"/>
      <c r="FFF272" s="18"/>
      <c r="FFG272" s="18"/>
      <c r="FFH272" s="18"/>
      <c r="FFI272" s="18"/>
      <c r="FFJ272" s="18"/>
      <c r="FFK272" s="18"/>
      <c r="FFL272" s="18"/>
      <c r="FFM272" s="18"/>
      <c r="FFN272" s="18"/>
      <c r="FFO272" s="18"/>
      <c r="FFP272" s="18"/>
      <c r="FFQ272" s="18"/>
      <c r="FFR272" s="18"/>
      <c r="FFS272" s="18"/>
      <c r="FFT272" s="18"/>
      <c r="FFU272" s="18"/>
      <c r="FFV272" s="18"/>
      <c r="FFW272" s="18"/>
      <c r="FFX272" s="18"/>
      <c r="FFY272" s="18"/>
      <c r="FFZ272" s="18"/>
      <c r="FGA272" s="18"/>
      <c r="FGB272" s="18"/>
      <c r="FGC272" s="18"/>
      <c r="FGD272" s="18"/>
      <c r="FGE272" s="18"/>
      <c r="FGF272" s="18"/>
      <c r="FGG272" s="18"/>
      <c r="FGH272" s="18"/>
      <c r="FGI272" s="18"/>
      <c r="FGJ272" s="18"/>
      <c r="FGK272" s="18"/>
      <c r="FGL272" s="18"/>
      <c r="FGM272" s="18"/>
      <c r="FGN272" s="18"/>
      <c r="FGO272" s="18"/>
      <c r="FGP272" s="18"/>
      <c r="FGQ272" s="18"/>
      <c r="FGR272" s="18"/>
      <c r="FGS272" s="18"/>
      <c r="FGT272" s="18"/>
      <c r="FGU272" s="18"/>
      <c r="FGV272" s="18"/>
      <c r="FGW272" s="18"/>
      <c r="FGX272" s="18"/>
      <c r="FGY272" s="18"/>
      <c r="FGZ272" s="18"/>
      <c r="FHA272" s="18"/>
      <c r="FHB272" s="18"/>
      <c r="FHC272" s="18"/>
      <c r="FHD272" s="18"/>
      <c r="FHE272" s="18"/>
      <c r="FHF272" s="18"/>
      <c r="FHG272" s="18"/>
      <c r="FHH272" s="18"/>
      <c r="FHI272" s="18"/>
      <c r="FHJ272" s="18"/>
      <c r="FHK272" s="18"/>
      <c r="FHL272" s="18"/>
      <c r="FHM272" s="18"/>
      <c r="FHN272" s="18"/>
      <c r="FHO272" s="18"/>
      <c r="FHP272" s="18"/>
      <c r="FHQ272" s="18"/>
      <c r="FHR272" s="18"/>
      <c r="FHS272" s="18"/>
      <c r="FHT272" s="18"/>
      <c r="FHU272" s="18"/>
      <c r="FHV272" s="18"/>
      <c r="FHW272" s="18"/>
      <c r="FHX272" s="18"/>
      <c r="FHY272" s="18"/>
      <c r="FHZ272" s="18"/>
      <c r="FIA272" s="18"/>
      <c r="FIB272" s="18"/>
      <c r="FIC272" s="18"/>
      <c r="FID272" s="18"/>
      <c r="FIE272" s="18"/>
      <c r="FIF272" s="18"/>
      <c r="FIG272" s="18"/>
      <c r="FIH272" s="18"/>
      <c r="FII272" s="18"/>
      <c r="FIJ272" s="18"/>
      <c r="FIK272" s="18"/>
      <c r="FIL272" s="18"/>
      <c r="FIM272" s="18"/>
      <c r="FIN272" s="18"/>
      <c r="FIO272" s="18"/>
      <c r="FIP272" s="18"/>
      <c r="FIQ272" s="18"/>
      <c r="FIR272" s="18"/>
      <c r="FIS272" s="18"/>
      <c r="FIT272" s="18"/>
      <c r="FIU272" s="18"/>
      <c r="FIV272" s="18"/>
      <c r="FIW272" s="18"/>
      <c r="FIX272" s="18"/>
      <c r="FIY272" s="18"/>
      <c r="FIZ272" s="18"/>
      <c r="FJA272" s="18"/>
      <c r="FJB272" s="18"/>
      <c r="FJC272" s="18"/>
      <c r="FJD272" s="18"/>
      <c r="FJE272" s="18"/>
      <c r="FJF272" s="18"/>
      <c r="FJG272" s="18"/>
      <c r="FJH272" s="18"/>
      <c r="FJI272" s="18"/>
      <c r="FJJ272" s="18"/>
      <c r="FJK272" s="18"/>
      <c r="FJL272" s="18"/>
      <c r="FJM272" s="18"/>
      <c r="FJN272" s="18"/>
      <c r="FJO272" s="18"/>
      <c r="FJP272" s="18"/>
      <c r="FJQ272" s="18"/>
      <c r="FJR272" s="18"/>
      <c r="FJS272" s="18"/>
      <c r="FJT272" s="18"/>
      <c r="FJU272" s="18"/>
      <c r="FJV272" s="18"/>
      <c r="FJW272" s="18"/>
      <c r="FJX272" s="18"/>
      <c r="FJY272" s="18"/>
      <c r="FJZ272" s="18"/>
      <c r="FKA272" s="18"/>
      <c r="FKB272" s="18"/>
      <c r="FKC272" s="18"/>
      <c r="FKD272" s="18"/>
      <c r="FKE272" s="18"/>
      <c r="FKF272" s="18"/>
      <c r="FKG272" s="18"/>
      <c r="FKH272" s="18"/>
      <c r="FKI272" s="18"/>
      <c r="FKJ272" s="18"/>
      <c r="FKK272" s="18"/>
      <c r="FKL272" s="18"/>
      <c r="FKM272" s="18"/>
      <c r="FKN272" s="18"/>
      <c r="FKO272" s="18"/>
      <c r="FKP272" s="18"/>
      <c r="FKQ272" s="18"/>
      <c r="FKR272" s="18"/>
      <c r="FKS272" s="18"/>
      <c r="FKT272" s="18"/>
      <c r="FKU272" s="18"/>
      <c r="FKV272" s="18"/>
      <c r="FKW272" s="18"/>
      <c r="FKX272" s="18"/>
      <c r="FKY272" s="18"/>
      <c r="FKZ272" s="18"/>
      <c r="FLA272" s="18"/>
      <c r="FLB272" s="18"/>
      <c r="FLC272" s="18"/>
      <c r="FLD272" s="18"/>
      <c r="FLE272" s="18"/>
      <c r="FLF272" s="18"/>
      <c r="FLG272" s="18"/>
      <c r="FLH272" s="18"/>
      <c r="FLI272" s="18"/>
      <c r="FLJ272" s="18"/>
      <c r="FLK272" s="18"/>
      <c r="FLL272" s="18"/>
      <c r="FLM272" s="18"/>
      <c r="FLN272" s="18"/>
      <c r="FLO272" s="18"/>
      <c r="FLP272" s="18"/>
      <c r="FLQ272" s="18"/>
      <c r="FLR272" s="18"/>
      <c r="FLS272" s="18"/>
      <c r="FLT272" s="18"/>
      <c r="FLU272" s="18"/>
      <c r="FLV272" s="18"/>
      <c r="FLW272" s="18"/>
      <c r="FLX272" s="18"/>
      <c r="FLY272" s="18"/>
      <c r="FLZ272" s="18"/>
      <c r="FMA272" s="18"/>
      <c r="FMB272" s="18"/>
      <c r="FMC272" s="18"/>
      <c r="FMD272" s="18"/>
      <c r="FME272" s="18"/>
      <c r="FMF272" s="18"/>
      <c r="FMG272" s="18"/>
      <c r="FMH272" s="18"/>
      <c r="FMI272" s="18"/>
      <c r="FMJ272" s="18"/>
      <c r="FMK272" s="18"/>
      <c r="FML272" s="18"/>
      <c r="FMM272" s="18"/>
      <c r="FMN272" s="18"/>
      <c r="FMO272" s="18"/>
      <c r="FMP272" s="18"/>
      <c r="FMQ272" s="18"/>
      <c r="FMR272" s="18"/>
      <c r="FMS272" s="18"/>
      <c r="FMT272" s="18"/>
      <c r="FMU272" s="18"/>
      <c r="FMV272" s="18"/>
      <c r="FMW272" s="18"/>
      <c r="FMX272" s="18"/>
      <c r="FMY272" s="18"/>
      <c r="FMZ272" s="18"/>
      <c r="FNA272" s="18"/>
      <c r="FNB272" s="18"/>
      <c r="FNC272" s="18"/>
      <c r="FND272" s="18"/>
      <c r="FNE272" s="18"/>
      <c r="FNF272" s="18"/>
      <c r="FNG272" s="18"/>
      <c r="FNH272" s="18"/>
      <c r="FNI272" s="18"/>
      <c r="FNJ272" s="18"/>
      <c r="FNK272" s="18"/>
      <c r="FNL272" s="18"/>
      <c r="FNM272" s="18"/>
      <c r="FNN272" s="18"/>
      <c r="FNO272" s="18"/>
      <c r="FNP272" s="18"/>
      <c r="FNQ272" s="18"/>
      <c r="FNR272" s="18"/>
      <c r="FNS272" s="18"/>
      <c r="FNT272" s="18"/>
      <c r="FNU272" s="18"/>
      <c r="FNV272" s="18"/>
      <c r="FNW272" s="18"/>
      <c r="FNX272" s="18"/>
      <c r="FNY272" s="18"/>
      <c r="FNZ272" s="18"/>
      <c r="FOA272" s="18"/>
      <c r="FOB272" s="18"/>
      <c r="FOC272" s="18"/>
      <c r="FOD272" s="18"/>
      <c r="FOE272" s="18"/>
      <c r="FOF272" s="18"/>
      <c r="FOG272" s="18"/>
      <c r="FOH272" s="18"/>
      <c r="FOI272" s="18"/>
      <c r="FOJ272" s="18"/>
      <c r="FOK272" s="18"/>
      <c r="FOL272" s="18"/>
      <c r="FOM272" s="18"/>
      <c r="FON272" s="18"/>
      <c r="FOO272" s="18"/>
      <c r="FOP272" s="18"/>
      <c r="FOQ272" s="18"/>
      <c r="FOR272" s="18"/>
      <c r="FOS272" s="18"/>
      <c r="FOT272" s="18"/>
      <c r="FOU272" s="18"/>
      <c r="FOV272" s="18"/>
      <c r="FOW272" s="18"/>
      <c r="FOX272" s="18"/>
      <c r="FOY272" s="18"/>
      <c r="FOZ272" s="18"/>
      <c r="FPA272" s="18"/>
      <c r="FPB272" s="18"/>
      <c r="FPC272" s="18"/>
      <c r="FPD272" s="18"/>
      <c r="FPE272" s="18"/>
      <c r="FPF272" s="18"/>
      <c r="FPG272" s="18"/>
      <c r="FPH272" s="18"/>
      <c r="FPI272" s="18"/>
      <c r="FPJ272" s="18"/>
      <c r="FPK272" s="18"/>
      <c r="FPL272" s="18"/>
      <c r="FPM272" s="18"/>
      <c r="FPN272" s="18"/>
      <c r="FPO272" s="18"/>
      <c r="FPP272" s="18"/>
      <c r="FPQ272" s="18"/>
      <c r="FPR272" s="18"/>
      <c r="FPS272" s="18"/>
      <c r="FPT272" s="18"/>
      <c r="FPU272" s="18"/>
      <c r="FPV272" s="18"/>
      <c r="FPW272" s="18"/>
      <c r="FPX272" s="18"/>
      <c r="FPY272" s="18"/>
      <c r="FPZ272" s="18"/>
      <c r="FQA272" s="18"/>
      <c r="FQB272" s="18"/>
      <c r="FQC272" s="18"/>
      <c r="FQD272" s="18"/>
      <c r="FQE272" s="18"/>
      <c r="FQF272" s="18"/>
      <c r="FQG272" s="18"/>
      <c r="FQH272" s="18"/>
      <c r="FQI272" s="18"/>
      <c r="FQJ272" s="18"/>
      <c r="FQK272" s="18"/>
      <c r="FQL272" s="18"/>
      <c r="FQM272" s="18"/>
      <c r="FQN272" s="18"/>
      <c r="FQO272" s="18"/>
      <c r="FQP272" s="18"/>
      <c r="FQQ272" s="18"/>
      <c r="FQR272" s="18"/>
      <c r="FQS272" s="18"/>
      <c r="FQT272" s="18"/>
      <c r="FQU272" s="18"/>
      <c r="FQV272" s="18"/>
      <c r="FQW272" s="18"/>
      <c r="FQX272" s="18"/>
      <c r="FQY272" s="18"/>
      <c r="FQZ272" s="18"/>
      <c r="FRA272" s="18"/>
      <c r="FRB272" s="18"/>
      <c r="FRC272" s="18"/>
      <c r="FRD272" s="18"/>
      <c r="FRE272" s="18"/>
      <c r="FRF272" s="18"/>
      <c r="FRG272" s="18"/>
      <c r="FRH272" s="18"/>
      <c r="FRI272" s="18"/>
      <c r="FRJ272" s="18"/>
      <c r="FRK272" s="18"/>
      <c r="FRL272" s="18"/>
      <c r="FRM272" s="18"/>
      <c r="FRN272" s="18"/>
      <c r="FRO272" s="18"/>
      <c r="FRP272" s="18"/>
      <c r="FRQ272" s="18"/>
      <c r="FRR272" s="18"/>
      <c r="FRS272" s="18"/>
      <c r="FRT272" s="18"/>
      <c r="FRU272" s="18"/>
      <c r="FRV272" s="18"/>
      <c r="FRW272" s="18"/>
      <c r="FRX272" s="18"/>
      <c r="FRY272" s="18"/>
      <c r="FRZ272" s="18"/>
      <c r="FSA272" s="18"/>
      <c r="FSB272" s="18"/>
      <c r="FSC272" s="18"/>
      <c r="FSD272" s="18"/>
      <c r="FSE272" s="18"/>
      <c r="FSF272" s="18"/>
      <c r="FSG272" s="18"/>
      <c r="FSH272" s="18"/>
      <c r="FSI272" s="18"/>
      <c r="FSJ272" s="18"/>
      <c r="FSK272" s="18"/>
      <c r="FSL272" s="18"/>
      <c r="FSM272" s="18"/>
      <c r="FSN272" s="18"/>
      <c r="FSO272" s="18"/>
      <c r="FSP272" s="18"/>
      <c r="FSQ272" s="18"/>
      <c r="FSR272" s="18"/>
      <c r="FSS272" s="18"/>
      <c r="FST272" s="18"/>
      <c r="FSU272" s="18"/>
      <c r="FSV272" s="18"/>
      <c r="FSW272" s="18"/>
      <c r="FSX272" s="18"/>
      <c r="FSY272" s="18"/>
      <c r="FSZ272" s="18"/>
      <c r="FTA272" s="18"/>
      <c r="FTB272" s="18"/>
      <c r="FTC272" s="18"/>
      <c r="FTD272" s="18"/>
      <c r="FTE272" s="18"/>
      <c r="FTF272" s="18"/>
      <c r="FTG272" s="18"/>
      <c r="FTH272" s="18"/>
      <c r="FTI272" s="18"/>
      <c r="FTJ272" s="18"/>
      <c r="FTK272" s="18"/>
      <c r="FTL272" s="18"/>
      <c r="FTM272" s="18"/>
      <c r="FTN272" s="18"/>
      <c r="FTO272" s="18"/>
      <c r="FTP272" s="18"/>
      <c r="FTQ272" s="18"/>
      <c r="FTR272" s="18"/>
      <c r="FTS272" s="18"/>
      <c r="FTT272" s="18"/>
      <c r="FTU272" s="18"/>
      <c r="FTV272" s="18"/>
      <c r="FTW272" s="18"/>
      <c r="FTX272" s="18"/>
      <c r="FTY272" s="18"/>
      <c r="FTZ272" s="18"/>
      <c r="FUA272" s="18"/>
      <c r="FUB272" s="18"/>
      <c r="FUC272" s="18"/>
      <c r="FUD272" s="18"/>
      <c r="FUE272" s="18"/>
      <c r="FUF272" s="18"/>
      <c r="FUG272" s="18"/>
      <c r="FUH272" s="18"/>
      <c r="FUI272" s="18"/>
      <c r="FUJ272" s="18"/>
      <c r="FUK272" s="18"/>
      <c r="FUL272" s="18"/>
      <c r="FUM272" s="18"/>
      <c r="FUN272" s="18"/>
      <c r="FUO272" s="18"/>
      <c r="FUP272" s="18"/>
      <c r="FUQ272" s="18"/>
      <c r="FUR272" s="18"/>
      <c r="FUS272" s="18"/>
      <c r="FUT272" s="18"/>
      <c r="FUU272" s="18"/>
      <c r="FUV272" s="18"/>
      <c r="FUW272" s="18"/>
      <c r="FUX272" s="18"/>
      <c r="FUY272" s="18"/>
      <c r="FUZ272" s="18"/>
      <c r="FVA272" s="18"/>
      <c r="FVB272" s="18"/>
      <c r="FVC272" s="18"/>
      <c r="FVD272" s="18"/>
      <c r="FVE272" s="18"/>
      <c r="FVF272" s="18"/>
      <c r="FVG272" s="18"/>
      <c r="FVH272" s="18"/>
      <c r="FVI272" s="18"/>
      <c r="FVJ272" s="18"/>
      <c r="FVK272" s="18"/>
      <c r="FVL272" s="18"/>
      <c r="FVM272" s="18"/>
      <c r="FVN272" s="18"/>
      <c r="FVO272" s="18"/>
      <c r="FVP272" s="18"/>
      <c r="FVQ272" s="18"/>
      <c r="FVR272" s="18"/>
      <c r="FVS272" s="18"/>
      <c r="FVT272" s="18"/>
      <c r="FVU272" s="18"/>
      <c r="FVV272" s="18"/>
      <c r="FVW272" s="18"/>
      <c r="FVX272" s="18"/>
      <c r="FVY272" s="18"/>
      <c r="FVZ272" s="18"/>
      <c r="FWA272" s="18"/>
      <c r="FWB272" s="18"/>
      <c r="FWC272" s="18"/>
      <c r="FWD272" s="18"/>
      <c r="FWE272" s="18"/>
      <c r="FWF272" s="18"/>
      <c r="FWG272" s="18"/>
      <c r="FWH272" s="18"/>
      <c r="FWI272" s="18"/>
      <c r="FWJ272" s="18"/>
      <c r="FWK272" s="18"/>
      <c r="FWL272" s="18"/>
      <c r="FWM272" s="18"/>
      <c r="FWN272" s="18"/>
      <c r="FWO272" s="18"/>
      <c r="FWP272" s="18"/>
      <c r="FWQ272" s="18"/>
      <c r="FWR272" s="18"/>
      <c r="FWS272" s="18"/>
      <c r="FWT272" s="18"/>
      <c r="FWU272" s="18"/>
      <c r="FWV272" s="18"/>
      <c r="FWW272" s="18"/>
      <c r="FWX272" s="18"/>
      <c r="FWY272" s="18"/>
      <c r="FWZ272" s="18"/>
      <c r="FXA272" s="18"/>
      <c r="FXB272" s="18"/>
      <c r="FXC272" s="18"/>
      <c r="FXD272" s="18"/>
      <c r="FXE272" s="18"/>
      <c r="FXF272" s="18"/>
      <c r="FXG272" s="18"/>
      <c r="FXH272" s="18"/>
      <c r="FXI272" s="18"/>
      <c r="FXJ272" s="18"/>
      <c r="FXK272" s="18"/>
      <c r="FXL272" s="18"/>
      <c r="FXM272" s="18"/>
      <c r="FXN272" s="18"/>
      <c r="FXO272" s="18"/>
      <c r="FXP272" s="18"/>
      <c r="FXQ272" s="18"/>
      <c r="FXR272" s="18"/>
      <c r="FXS272" s="18"/>
      <c r="FXT272" s="18"/>
      <c r="FXU272" s="18"/>
      <c r="FXV272" s="18"/>
      <c r="FXW272" s="18"/>
      <c r="FXX272" s="18"/>
      <c r="FXY272" s="18"/>
      <c r="FXZ272" s="18"/>
      <c r="FYA272" s="18"/>
      <c r="FYB272" s="18"/>
      <c r="FYC272" s="18"/>
      <c r="FYD272" s="18"/>
      <c r="FYE272" s="18"/>
      <c r="FYF272" s="18"/>
      <c r="FYG272" s="18"/>
      <c r="FYH272" s="18"/>
      <c r="FYI272" s="18"/>
      <c r="FYJ272" s="18"/>
      <c r="FYK272" s="18"/>
      <c r="FYL272" s="18"/>
      <c r="FYM272" s="18"/>
      <c r="FYN272" s="18"/>
      <c r="FYO272" s="18"/>
      <c r="FYP272" s="18"/>
      <c r="FYQ272" s="18"/>
      <c r="FYR272" s="18"/>
      <c r="FYS272" s="18"/>
      <c r="FYT272" s="18"/>
      <c r="FYU272" s="18"/>
      <c r="FYV272" s="18"/>
      <c r="FYW272" s="18"/>
      <c r="FYX272" s="18"/>
      <c r="FYY272" s="18"/>
      <c r="FYZ272" s="18"/>
      <c r="FZA272" s="18"/>
      <c r="FZB272" s="18"/>
      <c r="FZC272" s="18"/>
      <c r="FZD272" s="18"/>
      <c r="FZE272" s="18"/>
      <c r="FZF272" s="18"/>
      <c r="FZG272" s="18"/>
      <c r="FZH272" s="18"/>
      <c r="FZI272" s="18"/>
      <c r="FZJ272" s="18"/>
      <c r="FZK272" s="18"/>
      <c r="FZL272" s="18"/>
      <c r="FZM272" s="18"/>
      <c r="FZN272" s="18"/>
      <c r="FZO272" s="18"/>
      <c r="FZP272" s="18"/>
      <c r="FZQ272" s="18"/>
      <c r="FZR272" s="18"/>
      <c r="FZS272" s="18"/>
      <c r="FZT272" s="18"/>
      <c r="FZU272" s="18"/>
      <c r="FZV272" s="18"/>
      <c r="FZW272" s="18"/>
      <c r="FZX272" s="18"/>
      <c r="FZY272" s="18"/>
      <c r="FZZ272" s="18"/>
      <c r="GAA272" s="18"/>
      <c r="GAB272" s="18"/>
      <c r="GAC272" s="18"/>
      <c r="GAD272" s="18"/>
      <c r="GAE272" s="18"/>
      <c r="GAF272" s="18"/>
      <c r="GAG272" s="18"/>
      <c r="GAH272" s="18"/>
      <c r="GAI272" s="18"/>
      <c r="GAJ272" s="18"/>
      <c r="GAK272" s="18"/>
      <c r="GAL272" s="18"/>
      <c r="GAM272" s="18"/>
      <c r="GAN272" s="18"/>
      <c r="GAO272" s="18"/>
      <c r="GAP272" s="18"/>
      <c r="GAQ272" s="18"/>
      <c r="GAR272" s="18"/>
      <c r="GAS272" s="18"/>
      <c r="GAT272" s="18"/>
      <c r="GAU272" s="18"/>
      <c r="GAV272" s="18"/>
      <c r="GAW272" s="18"/>
      <c r="GAX272" s="18"/>
      <c r="GAY272" s="18"/>
      <c r="GAZ272" s="18"/>
      <c r="GBA272" s="18"/>
      <c r="GBB272" s="18"/>
      <c r="GBC272" s="18"/>
      <c r="GBD272" s="18"/>
      <c r="GBE272" s="18"/>
      <c r="GBF272" s="18"/>
      <c r="GBG272" s="18"/>
      <c r="GBH272" s="18"/>
      <c r="GBI272" s="18"/>
      <c r="GBJ272" s="18"/>
      <c r="GBK272" s="18"/>
      <c r="GBL272" s="18"/>
      <c r="GBM272" s="18"/>
      <c r="GBN272" s="18"/>
      <c r="GBO272" s="18"/>
      <c r="GBP272" s="18"/>
      <c r="GBQ272" s="18"/>
      <c r="GBR272" s="18"/>
      <c r="GBS272" s="18"/>
      <c r="GBT272" s="18"/>
      <c r="GBU272" s="18"/>
      <c r="GBV272" s="18"/>
      <c r="GBW272" s="18"/>
      <c r="GBX272" s="18"/>
      <c r="GBY272" s="18"/>
      <c r="GBZ272" s="18"/>
      <c r="GCA272" s="18"/>
      <c r="GCB272" s="18"/>
      <c r="GCC272" s="18"/>
      <c r="GCD272" s="18"/>
      <c r="GCE272" s="18"/>
      <c r="GCF272" s="18"/>
      <c r="GCG272" s="18"/>
      <c r="GCH272" s="18"/>
      <c r="GCI272" s="18"/>
      <c r="GCJ272" s="18"/>
      <c r="GCK272" s="18"/>
      <c r="GCL272" s="18"/>
      <c r="GCM272" s="18"/>
      <c r="GCN272" s="18"/>
      <c r="GCO272" s="18"/>
      <c r="GCP272" s="18"/>
      <c r="GCQ272" s="18"/>
      <c r="GCR272" s="18"/>
      <c r="GCS272" s="18"/>
      <c r="GCT272" s="18"/>
      <c r="GCU272" s="18"/>
      <c r="GCV272" s="18"/>
      <c r="GCW272" s="18"/>
      <c r="GCX272" s="18"/>
      <c r="GCY272" s="18"/>
      <c r="GCZ272" s="18"/>
      <c r="GDA272" s="18"/>
      <c r="GDB272" s="18"/>
      <c r="GDC272" s="18"/>
      <c r="GDD272" s="18"/>
      <c r="GDE272" s="18"/>
      <c r="GDF272" s="18"/>
      <c r="GDG272" s="18"/>
      <c r="GDH272" s="18"/>
      <c r="GDI272" s="18"/>
      <c r="GDJ272" s="18"/>
      <c r="GDK272" s="18"/>
      <c r="GDL272" s="18"/>
      <c r="GDM272" s="18"/>
      <c r="GDN272" s="18"/>
      <c r="GDO272" s="18"/>
      <c r="GDP272" s="18"/>
      <c r="GDQ272" s="18"/>
      <c r="GDR272" s="18"/>
      <c r="GDS272" s="18"/>
      <c r="GDT272" s="18"/>
      <c r="GDU272" s="18"/>
      <c r="GDV272" s="18"/>
      <c r="GDW272" s="18"/>
      <c r="GDX272" s="18"/>
      <c r="GDY272" s="18"/>
      <c r="GDZ272" s="18"/>
      <c r="GEA272" s="18"/>
      <c r="GEB272" s="18"/>
      <c r="GEC272" s="18"/>
      <c r="GED272" s="18"/>
      <c r="GEE272" s="18"/>
      <c r="GEF272" s="18"/>
      <c r="GEG272" s="18"/>
      <c r="GEH272" s="18"/>
      <c r="GEI272" s="18"/>
      <c r="GEJ272" s="18"/>
      <c r="GEK272" s="18"/>
      <c r="GEL272" s="18"/>
      <c r="GEM272" s="18"/>
      <c r="GEN272" s="18"/>
      <c r="GEO272" s="18"/>
      <c r="GEP272" s="18"/>
      <c r="GEQ272" s="18"/>
      <c r="GER272" s="18"/>
      <c r="GES272" s="18"/>
      <c r="GET272" s="18"/>
      <c r="GEU272" s="18"/>
      <c r="GEV272" s="18"/>
      <c r="GEW272" s="18"/>
      <c r="GEX272" s="18"/>
      <c r="GEY272" s="18"/>
      <c r="GEZ272" s="18"/>
      <c r="GFA272" s="18"/>
      <c r="GFB272" s="18"/>
      <c r="GFC272" s="18"/>
      <c r="GFD272" s="18"/>
      <c r="GFE272" s="18"/>
      <c r="GFF272" s="18"/>
      <c r="GFG272" s="18"/>
      <c r="GFH272" s="18"/>
      <c r="GFI272" s="18"/>
      <c r="GFJ272" s="18"/>
      <c r="GFK272" s="18"/>
      <c r="GFL272" s="18"/>
      <c r="GFM272" s="18"/>
      <c r="GFN272" s="18"/>
      <c r="GFO272" s="18"/>
      <c r="GFP272" s="18"/>
      <c r="GFQ272" s="18"/>
      <c r="GFR272" s="18"/>
      <c r="GFS272" s="18"/>
      <c r="GFT272" s="18"/>
      <c r="GFU272" s="18"/>
      <c r="GFV272" s="18"/>
      <c r="GFW272" s="18"/>
      <c r="GFX272" s="18"/>
      <c r="GFY272" s="18"/>
      <c r="GFZ272" s="18"/>
      <c r="GGA272" s="18"/>
      <c r="GGB272" s="18"/>
      <c r="GGC272" s="18"/>
      <c r="GGD272" s="18"/>
      <c r="GGE272" s="18"/>
      <c r="GGF272" s="18"/>
      <c r="GGG272" s="18"/>
      <c r="GGH272" s="18"/>
      <c r="GGI272" s="18"/>
      <c r="GGJ272" s="18"/>
      <c r="GGK272" s="18"/>
      <c r="GGL272" s="18"/>
      <c r="GGM272" s="18"/>
      <c r="GGN272" s="18"/>
      <c r="GGO272" s="18"/>
      <c r="GGP272" s="18"/>
      <c r="GGQ272" s="18"/>
      <c r="GGR272" s="18"/>
      <c r="GGS272" s="18"/>
      <c r="GGT272" s="18"/>
      <c r="GGU272" s="18"/>
      <c r="GGV272" s="18"/>
      <c r="GGW272" s="18"/>
      <c r="GGX272" s="18"/>
      <c r="GGY272" s="18"/>
      <c r="GGZ272" s="18"/>
      <c r="GHA272" s="18"/>
      <c r="GHB272" s="18"/>
      <c r="GHC272" s="18"/>
      <c r="GHD272" s="18"/>
      <c r="GHE272" s="18"/>
      <c r="GHF272" s="18"/>
      <c r="GHG272" s="18"/>
      <c r="GHH272" s="18"/>
      <c r="GHI272" s="18"/>
      <c r="GHJ272" s="18"/>
      <c r="GHK272" s="18"/>
      <c r="GHL272" s="18"/>
      <c r="GHM272" s="18"/>
      <c r="GHN272" s="18"/>
      <c r="GHO272" s="18"/>
      <c r="GHP272" s="18"/>
      <c r="GHQ272" s="18"/>
      <c r="GHR272" s="18"/>
      <c r="GHS272" s="18"/>
      <c r="GHT272" s="18"/>
      <c r="GHU272" s="18"/>
      <c r="GHV272" s="18"/>
      <c r="GHW272" s="18"/>
      <c r="GHX272" s="18"/>
      <c r="GHY272" s="18"/>
      <c r="GHZ272" s="18"/>
      <c r="GIA272" s="18"/>
      <c r="GIB272" s="18"/>
      <c r="GIC272" s="18"/>
      <c r="GID272" s="18"/>
      <c r="GIE272" s="18"/>
      <c r="GIF272" s="18"/>
      <c r="GIG272" s="18"/>
      <c r="GIH272" s="18"/>
      <c r="GII272" s="18"/>
      <c r="GIJ272" s="18"/>
      <c r="GIK272" s="18"/>
      <c r="GIL272" s="18"/>
      <c r="GIM272" s="18"/>
      <c r="GIN272" s="18"/>
      <c r="GIO272" s="18"/>
      <c r="GIP272" s="18"/>
      <c r="GIQ272" s="18"/>
      <c r="GIR272" s="18"/>
      <c r="GIS272" s="18"/>
      <c r="GIT272" s="18"/>
      <c r="GIU272" s="18"/>
      <c r="GIV272" s="18"/>
      <c r="GIW272" s="18"/>
      <c r="GIX272" s="18"/>
      <c r="GIY272" s="18"/>
      <c r="GIZ272" s="18"/>
      <c r="GJA272" s="18"/>
      <c r="GJB272" s="18"/>
      <c r="GJC272" s="18"/>
      <c r="GJD272" s="18"/>
      <c r="GJE272" s="18"/>
      <c r="GJF272" s="18"/>
      <c r="GJG272" s="18"/>
      <c r="GJH272" s="18"/>
      <c r="GJI272" s="18"/>
      <c r="GJJ272" s="18"/>
      <c r="GJK272" s="18"/>
      <c r="GJL272" s="18"/>
      <c r="GJM272" s="18"/>
      <c r="GJN272" s="18"/>
      <c r="GJO272" s="18"/>
      <c r="GJP272" s="18"/>
      <c r="GJQ272" s="18"/>
      <c r="GJR272" s="18"/>
      <c r="GJS272" s="18"/>
      <c r="GJT272" s="18"/>
      <c r="GJU272" s="18"/>
      <c r="GJV272" s="18"/>
      <c r="GJW272" s="18"/>
      <c r="GJX272" s="18"/>
      <c r="GJY272" s="18"/>
      <c r="GJZ272" s="18"/>
      <c r="GKA272" s="18"/>
      <c r="GKB272" s="18"/>
      <c r="GKC272" s="18"/>
      <c r="GKD272" s="18"/>
      <c r="GKE272" s="18"/>
      <c r="GKF272" s="18"/>
      <c r="GKG272" s="18"/>
      <c r="GKH272" s="18"/>
      <c r="GKI272" s="18"/>
      <c r="GKJ272" s="18"/>
      <c r="GKK272" s="18"/>
      <c r="GKL272" s="18"/>
      <c r="GKM272" s="18"/>
      <c r="GKN272" s="18"/>
      <c r="GKO272" s="18"/>
      <c r="GKP272" s="18"/>
      <c r="GKQ272" s="18"/>
      <c r="GKR272" s="18"/>
      <c r="GKS272" s="18"/>
      <c r="GKT272" s="18"/>
      <c r="GKU272" s="18"/>
      <c r="GKV272" s="18"/>
      <c r="GKW272" s="18"/>
      <c r="GKX272" s="18"/>
      <c r="GKY272" s="18"/>
      <c r="GKZ272" s="18"/>
      <c r="GLA272" s="18"/>
      <c r="GLB272" s="18"/>
      <c r="GLC272" s="18"/>
      <c r="GLD272" s="18"/>
      <c r="GLE272" s="18"/>
      <c r="GLF272" s="18"/>
      <c r="GLG272" s="18"/>
      <c r="GLH272" s="18"/>
      <c r="GLI272" s="18"/>
      <c r="GLJ272" s="18"/>
      <c r="GLK272" s="18"/>
      <c r="GLL272" s="18"/>
      <c r="GLM272" s="18"/>
      <c r="GLN272" s="18"/>
      <c r="GLO272" s="18"/>
      <c r="GLP272" s="18"/>
      <c r="GLQ272" s="18"/>
      <c r="GLR272" s="18"/>
      <c r="GLS272" s="18"/>
      <c r="GLT272" s="18"/>
      <c r="GLU272" s="18"/>
      <c r="GLV272" s="18"/>
      <c r="GLW272" s="18"/>
      <c r="GLX272" s="18"/>
      <c r="GLY272" s="18"/>
      <c r="GLZ272" s="18"/>
      <c r="GMA272" s="18"/>
      <c r="GMB272" s="18"/>
      <c r="GMC272" s="18"/>
      <c r="GMD272" s="18"/>
      <c r="GME272" s="18"/>
      <c r="GMF272" s="18"/>
      <c r="GMG272" s="18"/>
      <c r="GMH272" s="18"/>
      <c r="GMI272" s="18"/>
      <c r="GMJ272" s="18"/>
      <c r="GMK272" s="18"/>
      <c r="GML272" s="18"/>
      <c r="GMM272" s="18"/>
      <c r="GMN272" s="18"/>
      <c r="GMO272" s="18"/>
      <c r="GMP272" s="18"/>
      <c r="GMQ272" s="18"/>
      <c r="GMR272" s="18"/>
      <c r="GMS272" s="18"/>
      <c r="GMT272" s="18"/>
      <c r="GMU272" s="18"/>
      <c r="GMV272" s="18"/>
      <c r="GMW272" s="18"/>
      <c r="GMX272" s="18"/>
      <c r="GMY272" s="18"/>
      <c r="GMZ272" s="18"/>
      <c r="GNA272" s="18"/>
      <c r="GNB272" s="18"/>
      <c r="GNC272" s="18"/>
      <c r="GND272" s="18"/>
      <c r="GNE272" s="18"/>
      <c r="GNF272" s="18"/>
      <c r="GNG272" s="18"/>
      <c r="GNH272" s="18"/>
      <c r="GNI272" s="18"/>
      <c r="GNJ272" s="18"/>
      <c r="GNK272" s="18"/>
      <c r="GNL272" s="18"/>
      <c r="GNM272" s="18"/>
      <c r="GNN272" s="18"/>
      <c r="GNO272" s="18"/>
      <c r="GNP272" s="18"/>
      <c r="GNQ272" s="18"/>
      <c r="GNR272" s="18"/>
      <c r="GNS272" s="18"/>
      <c r="GNT272" s="18"/>
      <c r="GNU272" s="18"/>
      <c r="GNV272" s="18"/>
      <c r="GNW272" s="18"/>
      <c r="GNX272" s="18"/>
      <c r="GNY272" s="18"/>
      <c r="GNZ272" s="18"/>
      <c r="GOA272" s="18"/>
      <c r="GOB272" s="18"/>
      <c r="GOC272" s="18"/>
      <c r="GOD272" s="18"/>
      <c r="GOE272" s="18"/>
      <c r="GOF272" s="18"/>
      <c r="GOG272" s="18"/>
      <c r="GOH272" s="18"/>
      <c r="GOI272" s="18"/>
      <c r="GOJ272" s="18"/>
      <c r="GOK272" s="18"/>
      <c r="GOL272" s="18"/>
      <c r="GOM272" s="18"/>
      <c r="GON272" s="18"/>
      <c r="GOO272" s="18"/>
      <c r="GOP272" s="18"/>
      <c r="GOQ272" s="18"/>
      <c r="GOR272" s="18"/>
      <c r="GOS272" s="18"/>
      <c r="GOT272" s="18"/>
      <c r="GOU272" s="18"/>
      <c r="GOV272" s="18"/>
      <c r="GOW272" s="18"/>
      <c r="GOX272" s="18"/>
      <c r="GOY272" s="18"/>
      <c r="GOZ272" s="18"/>
      <c r="GPA272" s="18"/>
      <c r="GPB272" s="18"/>
      <c r="GPC272" s="18"/>
      <c r="GPD272" s="18"/>
      <c r="GPE272" s="18"/>
      <c r="GPF272" s="18"/>
      <c r="GPG272" s="18"/>
      <c r="GPH272" s="18"/>
      <c r="GPI272" s="18"/>
      <c r="GPJ272" s="18"/>
      <c r="GPK272" s="18"/>
      <c r="GPL272" s="18"/>
      <c r="GPM272" s="18"/>
      <c r="GPN272" s="18"/>
      <c r="GPO272" s="18"/>
      <c r="GPP272" s="18"/>
      <c r="GPQ272" s="18"/>
      <c r="GPR272" s="18"/>
      <c r="GPS272" s="18"/>
      <c r="GPT272" s="18"/>
      <c r="GPU272" s="18"/>
      <c r="GPV272" s="18"/>
      <c r="GPW272" s="18"/>
      <c r="GPX272" s="18"/>
      <c r="GPY272" s="18"/>
      <c r="GPZ272" s="18"/>
      <c r="GQA272" s="18"/>
      <c r="GQB272" s="18"/>
      <c r="GQC272" s="18"/>
      <c r="GQD272" s="18"/>
      <c r="GQE272" s="18"/>
      <c r="GQF272" s="18"/>
      <c r="GQG272" s="18"/>
      <c r="GQH272" s="18"/>
      <c r="GQI272" s="18"/>
      <c r="GQJ272" s="18"/>
      <c r="GQK272" s="18"/>
      <c r="GQL272" s="18"/>
      <c r="GQM272" s="18"/>
      <c r="GQN272" s="18"/>
      <c r="GQO272" s="18"/>
      <c r="GQP272" s="18"/>
      <c r="GQQ272" s="18"/>
      <c r="GQR272" s="18"/>
      <c r="GQS272" s="18"/>
      <c r="GQT272" s="18"/>
      <c r="GQU272" s="18"/>
      <c r="GQV272" s="18"/>
      <c r="GQW272" s="18"/>
      <c r="GQX272" s="18"/>
      <c r="GQY272" s="18"/>
      <c r="GQZ272" s="18"/>
      <c r="GRA272" s="18"/>
      <c r="GRB272" s="18"/>
      <c r="GRC272" s="18"/>
      <c r="GRD272" s="18"/>
      <c r="GRE272" s="18"/>
      <c r="GRF272" s="18"/>
      <c r="GRG272" s="18"/>
      <c r="GRH272" s="18"/>
      <c r="GRI272" s="18"/>
      <c r="GRJ272" s="18"/>
      <c r="GRK272" s="18"/>
      <c r="GRL272" s="18"/>
      <c r="GRM272" s="18"/>
      <c r="GRN272" s="18"/>
      <c r="GRO272" s="18"/>
      <c r="GRP272" s="18"/>
      <c r="GRQ272" s="18"/>
      <c r="GRR272" s="18"/>
      <c r="GRS272" s="18"/>
      <c r="GRT272" s="18"/>
      <c r="GRU272" s="18"/>
      <c r="GRV272" s="18"/>
      <c r="GRW272" s="18"/>
      <c r="GRX272" s="18"/>
      <c r="GRY272" s="18"/>
      <c r="GRZ272" s="18"/>
      <c r="GSA272" s="18"/>
      <c r="GSB272" s="18"/>
      <c r="GSC272" s="18"/>
      <c r="GSD272" s="18"/>
      <c r="GSE272" s="18"/>
      <c r="GSF272" s="18"/>
      <c r="GSG272" s="18"/>
      <c r="GSH272" s="18"/>
      <c r="GSI272" s="18"/>
      <c r="GSJ272" s="18"/>
      <c r="GSK272" s="18"/>
      <c r="GSL272" s="18"/>
      <c r="GSM272" s="18"/>
      <c r="GSN272" s="18"/>
      <c r="GSO272" s="18"/>
      <c r="GSP272" s="18"/>
      <c r="GSQ272" s="18"/>
      <c r="GSR272" s="18"/>
      <c r="GSS272" s="18"/>
      <c r="GST272" s="18"/>
      <c r="GSU272" s="18"/>
      <c r="GSV272" s="18"/>
      <c r="GSW272" s="18"/>
      <c r="GSX272" s="18"/>
      <c r="GSY272" s="18"/>
      <c r="GSZ272" s="18"/>
      <c r="GTA272" s="18"/>
      <c r="GTB272" s="18"/>
      <c r="GTC272" s="18"/>
      <c r="GTD272" s="18"/>
      <c r="GTE272" s="18"/>
      <c r="GTF272" s="18"/>
      <c r="GTG272" s="18"/>
      <c r="GTH272" s="18"/>
      <c r="GTI272" s="18"/>
      <c r="GTJ272" s="18"/>
      <c r="GTK272" s="18"/>
      <c r="GTL272" s="18"/>
      <c r="GTM272" s="18"/>
      <c r="GTN272" s="18"/>
      <c r="GTO272" s="18"/>
      <c r="GTP272" s="18"/>
      <c r="GTQ272" s="18"/>
      <c r="GTR272" s="18"/>
      <c r="GTS272" s="18"/>
      <c r="GTT272" s="18"/>
      <c r="GTU272" s="18"/>
      <c r="GTV272" s="18"/>
      <c r="GTW272" s="18"/>
      <c r="GTX272" s="18"/>
      <c r="GTY272" s="18"/>
      <c r="GTZ272" s="18"/>
      <c r="GUA272" s="18"/>
      <c r="GUB272" s="18"/>
      <c r="GUC272" s="18"/>
      <c r="GUD272" s="18"/>
      <c r="GUE272" s="18"/>
      <c r="GUF272" s="18"/>
      <c r="GUG272" s="18"/>
      <c r="GUH272" s="18"/>
      <c r="GUI272" s="18"/>
      <c r="GUJ272" s="18"/>
      <c r="GUK272" s="18"/>
      <c r="GUL272" s="18"/>
      <c r="GUM272" s="18"/>
      <c r="GUN272" s="18"/>
      <c r="GUO272" s="18"/>
      <c r="GUP272" s="18"/>
      <c r="GUQ272" s="18"/>
      <c r="GUR272" s="18"/>
      <c r="GUS272" s="18"/>
      <c r="GUT272" s="18"/>
      <c r="GUU272" s="18"/>
      <c r="GUV272" s="18"/>
      <c r="GUW272" s="18"/>
      <c r="GUX272" s="18"/>
      <c r="GUY272" s="18"/>
      <c r="GUZ272" s="18"/>
      <c r="GVA272" s="18"/>
      <c r="GVB272" s="18"/>
      <c r="GVC272" s="18"/>
      <c r="GVD272" s="18"/>
      <c r="GVE272" s="18"/>
      <c r="GVF272" s="18"/>
      <c r="GVG272" s="18"/>
      <c r="GVH272" s="18"/>
      <c r="GVI272" s="18"/>
      <c r="GVJ272" s="18"/>
      <c r="GVK272" s="18"/>
      <c r="GVL272" s="18"/>
      <c r="GVM272" s="18"/>
      <c r="GVN272" s="18"/>
      <c r="GVO272" s="18"/>
      <c r="GVP272" s="18"/>
      <c r="GVQ272" s="18"/>
      <c r="GVR272" s="18"/>
      <c r="GVS272" s="18"/>
      <c r="GVT272" s="18"/>
      <c r="GVU272" s="18"/>
      <c r="GVV272" s="18"/>
      <c r="GVW272" s="18"/>
      <c r="GVX272" s="18"/>
      <c r="GVY272" s="18"/>
      <c r="GVZ272" s="18"/>
      <c r="GWA272" s="18"/>
      <c r="GWB272" s="18"/>
      <c r="GWC272" s="18"/>
      <c r="GWD272" s="18"/>
      <c r="GWE272" s="18"/>
      <c r="GWF272" s="18"/>
      <c r="GWG272" s="18"/>
      <c r="GWH272" s="18"/>
      <c r="GWI272" s="18"/>
      <c r="GWJ272" s="18"/>
      <c r="GWK272" s="18"/>
      <c r="GWL272" s="18"/>
      <c r="GWM272" s="18"/>
      <c r="GWN272" s="18"/>
      <c r="GWO272" s="18"/>
      <c r="GWP272" s="18"/>
      <c r="GWQ272" s="18"/>
      <c r="GWR272" s="18"/>
      <c r="GWS272" s="18"/>
      <c r="GWT272" s="18"/>
      <c r="GWU272" s="18"/>
      <c r="GWV272" s="18"/>
      <c r="GWW272" s="18"/>
      <c r="GWX272" s="18"/>
      <c r="GWY272" s="18"/>
      <c r="GWZ272" s="18"/>
      <c r="GXA272" s="18"/>
      <c r="GXB272" s="18"/>
      <c r="GXC272" s="18"/>
      <c r="GXD272" s="18"/>
      <c r="GXE272" s="18"/>
      <c r="GXF272" s="18"/>
      <c r="GXG272" s="18"/>
      <c r="GXH272" s="18"/>
      <c r="GXI272" s="18"/>
      <c r="GXJ272" s="18"/>
      <c r="GXK272" s="18"/>
      <c r="GXL272" s="18"/>
      <c r="GXM272" s="18"/>
      <c r="GXN272" s="18"/>
      <c r="GXO272" s="18"/>
      <c r="GXP272" s="18"/>
      <c r="GXQ272" s="18"/>
      <c r="GXR272" s="18"/>
      <c r="GXS272" s="18"/>
      <c r="GXT272" s="18"/>
      <c r="GXU272" s="18"/>
      <c r="GXV272" s="18"/>
      <c r="GXW272" s="18"/>
      <c r="GXX272" s="18"/>
      <c r="GXY272" s="18"/>
      <c r="GXZ272" s="18"/>
      <c r="GYA272" s="18"/>
      <c r="GYB272" s="18"/>
      <c r="GYC272" s="18"/>
      <c r="GYD272" s="18"/>
      <c r="GYE272" s="18"/>
      <c r="GYF272" s="18"/>
      <c r="GYG272" s="18"/>
      <c r="GYH272" s="18"/>
      <c r="GYI272" s="18"/>
      <c r="GYJ272" s="18"/>
      <c r="GYK272" s="18"/>
      <c r="GYL272" s="18"/>
      <c r="GYM272" s="18"/>
      <c r="GYN272" s="18"/>
      <c r="GYO272" s="18"/>
      <c r="GYP272" s="18"/>
      <c r="GYQ272" s="18"/>
      <c r="GYR272" s="18"/>
      <c r="GYS272" s="18"/>
      <c r="GYT272" s="18"/>
      <c r="GYU272" s="18"/>
      <c r="GYV272" s="18"/>
      <c r="GYW272" s="18"/>
      <c r="GYX272" s="18"/>
      <c r="GYY272" s="18"/>
      <c r="GYZ272" s="18"/>
      <c r="GZA272" s="18"/>
      <c r="GZB272" s="18"/>
      <c r="GZC272" s="18"/>
      <c r="GZD272" s="18"/>
      <c r="GZE272" s="18"/>
      <c r="GZF272" s="18"/>
      <c r="GZG272" s="18"/>
      <c r="GZH272" s="18"/>
      <c r="GZI272" s="18"/>
      <c r="GZJ272" s="18"/>
      <c r="GZK272" s="18"/>
      <c r="GZL272" s="18"/>
      <c r="GZM272" s="18"/>
      <c r="GZN272" s="18"/>
      <c r="GZO272" s="18"/>
      <c r="GZP272" s="18"/>
      <c r="GZQ272" s="18"/>
      <c r="GZR272" s="18"/>
      <c r="GZS272" s="18"/>
      <c r="GZT272" s="18"/>
      <c r="GZU272" s="18"/>
      <c r="GZV272" s="18"/>
      <c r="GZW272" s="18"/>
      <c r="GZX272" s="18"/>
      <c r="GZY272" s="18"/>
      <c r="GZZ272" s="18"/>
      <c r="HAA272" s="18"/>
      <c r="HAB272" s="18"/>
      <c r="HAC272" s="18"/>
      <c r="HAD272" s="18"/>
      <c r="HAE272" s="18"/>
      <c r="HAF272" s="18"/>
      <c r="HAG272" s="18"/>
      <c r="HAH272" s="18"/>
      <c r="HAI272" s="18"/>
      <c r="HAJ272" s="18"/>
      <c r="HAK272" s="18"/>
      <c r="HAL272" s="18"/>
      <c r="HAM272" s="18"/>
      <c r="HAN272" s="18"/>
      <c r="HAO272" s="18"/>
      <c r="HAP272" s="18"/>
      <c r="HAQ272" s="18"/>
      <c r="HAR272" s="18"/>
      <c r="HAS272" s="18"/>
      <c r="HAT272" s="18"/>
      <c r="HAU272" s="18"/>
      <c r="HAV272" s="18"/>
      <c r="HAW272" s="18"/>
      <c r="HAX272" s="18"/>
      <c r="HAY272" s="18"/>
      <c r="HAZ272" s="18"/>
      <c r="HBA272" s="18"/>
      <c r="HBB272" s="18"/>
      <c r="HBC272" s="18"/>
      <c r="HBD272" s="18"/>
      <c r="HBE272" s="18"/>
      <c r="HBF272" s="18"/>
      <c r="HBG272" s="18"/>
      <c r="HBH272" s="18"/>
      <c r="HBI272" s="18"/>
      <c r="HBJ272" s="18"/>
      <c r="HBK272" s="18"/>
      <c r="HBL272" s="18"/>
      <c r="HBM272" s="18"/>
      <c r="HBN272" s="18"/>
      <c r="HBO272" s="18"/>
      <c r="HBP272" s="18"/>
      <c r="HBQ272" s="18"/>
      <c r="HBR272" s="18"/>
      <c r="HBS272" s="18"/>
      <c r="HBT272" s="18"/>
      <c r="HBU272" s="18"/>
      <c r="HBV272" s="18"/>
      <c r="HBW272" s="18"/>
      <c r="HBX272" s="18"/>
      <c r="HBY272" s="18"/>
      <c r="HBZ272" s="18"/>
      <c r="HCA272" s="18"/>
      <c r="HCB272" s="18"/>
      <c r="HCC272" s="18"/>
      <c r="HCD272" s="18"/>
      <c r="HCE272" s="18"/>
      <c r="HCF272" s="18"/>
      <c r="HCG272" s="18"/>
      <c r="HCH272" s="18"/>
      <c r="HCI272" s="18"/>
      <c r="HCJ272" s="18"/>
      <c r="HCK272" s="18"/>
      <c r="HCL272" s="18"/>
      <c r="HCM272" s="18"/>
      <c r="HCN272" s="18"/>
      <c r="HCO272" s="18"/>
      <c r="HCP272" s="18"/>
      <c r="HCQ272" s="18"/>
      <c r="HCR272" s="18"/>
      <c r="HCS272" s="18"/>
      <c r="HCT272" s="18"/>
      <c r="HCU272" s="18"/>
      <c r="HCV272" s="18"/>
      <c r="HCW272" s="18"/>
      <c r="HCX272" s="18"/>
      <c r="HCY272" s="18"/>
      <c r="HCZ272" s="18"/>
      <c r="HDA272" s="18"/>
      <c r="HDB272" s="18"/>
      <c r="HDC272" s="18"/>
      <c r="HDD272" s="18"/>
      <c r="HDE272" s="18"/>
      <c r="HDF272" s="18"/>
      <c r="HDG272" s="18"/>
      <c r="HDH272" s="18"/>
      <c r="HDI272" s="18"/>
      <c r="HDJ272" s="18"/>
      <c r="HDK272" s="18"/>
      <c r="HDL272" s="18"/>
      <c r="HDM272" s="18"/>
      <c r="HDN272" s="18"/>
      <c r="HDO272" s="18"/>
      <c r="HDP272" s="18"/>
      <c r="HDQ272" s="18"/>
      <c r="HDR272" s="18"/>
      <c r="HDS272" s="18"/>
      <c r="HDT272" s="18"/>
      <c r="HDU272" s="18"/>
      <c r="HDV272" s="18"/>
      <c r="HDW272" s="18"/>
      <c r="HDX272" s="18"/>
      <c r="HDY272" s="18"/>
      <c r="HDZ272" s="18"/>
      <c r="HEA272" s="18"/>
      <c r="HEB272" s="18"/>
      <c r="HEC272" s="18"/>
      <c r="HED272" s="18"/>
      <c r="HEE272" s="18"/>
      <c r="HEF272" s="18"/>
      <c r="HEG272" s="18"/>
      <c r="HEH272" s="18"/>
      <c r="HEI272" s="18"/>
      <c r="HEJ272" s="18"/>
      <c r="HEK272" s="18"/>
      <c r="HEL272" s="18"/>
      <c r="HEM272" s="18"/>
      <c r="HEN272" s="18"/>
      <c r="HEO272" s="18"/>
      <c r="HEP272" s="18"/>
      <c r="HEQ272" s="18"/>
      <c r="HER272" s="18"/>
      <c r="HES272" s="18"/>
      <c r="HET272" s="18"/>
      <c r="HEU272" s="18"/>
      <c r="HEV272" s="18"/>
      <c r="HEW272" s="18"/>
      <c r="HEX272" s="18"/>
      <c r="HEY272" s="18"/>
      <c r="HEZ272" s="18"/>
      <c r="HFA272" s="18"/>
      <c r="HFB272" s="18"/>
      <c r="HFC272" s="18"/>
      <c r="HFD272" s="18"/>
      <c r="HFE272" s="18"/>
      <c r="HFF272" s="18"/>
      <c r="HFG272" s="18"/>
      <c r="HFH272" s="18"/>
      <c r="HFI272" s="18"/>
      <c r="HFJ272" s="18"/>
      <c r="HFK272" s="18"/>
      <c r="HFL272" s="18"/>
      <c r="HFM272" s="18"/>
      <c r="HFN272" s="18"/>
      <c r="HFO272" s="18"/>
      <c r="HFP272" s="18"/>
      <c r="HFQ272" s="18"/>
      <c r="HFR272" s="18"/>
      <c r="HFS272" s="18"/>
      <c r="HFT272" s="18"/>
      <c r="HFU272" s="18"/>
      <c r="HFV272" s="18"/>
      <c r="HFW272" s="18"/>
      <c r="HFX272" s="18"/>
      <c r="HFY272" s="18"/>
      <c r="HFZ272" s="18"/>
      <c r="HGA272" s="18"/>
      <c r="HGB272" s="18"/>
      <c r="HGC272" s="18"/>
      <c r="HGD272" s="18"/>
      <c r="HGE272" s="18"/>
      <c r="HGF272" s="18"/>
      <c r="HGG272" s="18"/>
      <c r="HGH272" s="18"/>
      <c r="HGI272" s="18"/>
      <c r="HGJ272" s="18"/>
      <c r="HGK272" s="18"/>
      <c r="HGL272" s="18"/>
      <c r="HGM272" s="18"/>
      <c r="HGN272" s="18"/>
      <c r="HGO272" s="18"/>
      <c r="HGP272" s="18"/>
      <c r="HGQ272" s="18"/>
      <c r="HGR272" s="18"/>
      <c r="HGS272" s="18"/>
      <c r="HGT272" s="18"/>
      <c r="HGU272" s="18"/>
      <c r="HGV272" s="18"/>
      <c r="HGW272" s="18"/>
      <c r="HGX272" s="18"/>
      <c r="HGY272" s="18"/>
      <c r="HGZ272" s="18"/>
      <c r="HHA272" s="18"/>
      <c r="HHB272" s="18"/>
      <c r="HHC272" s="18"/>
      <c r="HHD272" s="18"/>
      <c r="HHE272" s="18"/>
      <c r="HHF272" s="18"/>
      <c r="HHG272" s="18"/>
      <c r="HHH272" s="18"/>
      <c r="HHI272" s="18"/>
      <c r="HHJ272" s="18"/>
      <c r="HHK272" s="18"/>
      <c r="HHL272" s="18"/>
      <c r="HHM272" s="18"/>
      <c r="HHN272" s="18"/>
      <c r="HHO272" s="18"/>
      <c r="HHP272" s="18"/>
      <c r="HHQ272" s="18"/>
      <c r="HHR272" s="18"/>
      <c r="HHS272" s="18"/>
      <c r="HHT272" s="18"/>
      <c r="HHU272" s="18"/>
      <c r="HHV272" s="18"/>
      <c r="HHW272" s="18"/>
      <c r="HHX272" s="18"/>
      <c r="HHY272" s="18"/>
      <c r="HHZ272" s="18"/>
      <c r="HIA272" s="18"/>
      <c r="HIB272" s="18"/>
      <c r="HIC272" s="18"/>
      <c r="HID272" s="18"/>
      <c r="HIE272" s="18"/>
      <c r="HIF272" s="18"/>
      <c r="HIG272" s="18"/>
      <c r="HIH272" s="18"/>
      <c r="HII272" s="18"/>
      <c r="HIJ272" s="18"/>
      <c r="HIK272" s="18"/>
      <c r="HIL272" s="18"/>
      <c r="HIM272" s="18"/>
      <c r="HIN272" s="18"/>
      <c r="HIO272" s="18"/>
      <c r="HIP272" s="18"/>
      <c r="HIQ272" s="18"/>
      <c r="HIR272" s="18"/>
      <c r="HIS272" s="18"/>
      <c r="HIT272" s="18"/>
      <c r="HIU272" s="18"/>
      <c r="HIV272" s="18"/>
      <c r="HIW272" s="18"/>
      <c r="HIX272" s="18"/>
      <c r="HIY272" s="18"/>
      <c r="HIZ272" s="18"/>
      <c r="HJA272" s="18"/>
      <c r="HJB272" s="18"/>
      <c r="HJC272" s="18"/>
      <c r="HJD272" s="18"/>
      <c r="HJE272" s="18"/>
      <c r="HJF272" s="18"/>
      <c r="HJG272" s="18"/>
      <c r="HJH272" s="18"/>
      <c r="HJI272" s="18"/>
      <c r="HJJ272" s="18"/>
      <c r="HJK272" s="18"/>
      <c r="HJL272" s="18"/>
      <c r="HJM272" s="18"/>
      <c r="HJN272" s="18"/>
      <c r="HJO272" s="18"/>
      <c r="HJP272" s="18"/>
      <c r="HJQ272" s="18"/>
      <c r="HJR272" s="18"/>
      <c r="HJS272" s="18"/>
      <c r="HJT272" s="18"/>
      <c r="HJU272" s="18"/>
      <c r="HJV272" s="18"/>
      <c r="HJW272" s="18"/>
      <c r="HJX272" s="18"/>
      <c r="HJY272" s="18"/>
      <c r="HJZ272" s="18"/>
      <c r="HKA272" s="18"/>
      <c r="HKB272" s="18"/>
      <c r="HKC272" s="18"/>
      <c r="HKD272" s="18"/>
      <c r="HKE272" s="18"/>
      <c r="HKF272" s="18"/>
      <c r="HKG272" s="18"/>
      <c r="HKH272" s="18"/>
      <c r="HKI272" s="18"/>
      <c r="HKJ272" s="18"/>
      <c r="HKK272" s="18"/>
      <c r="HKL272" s="18"/>
      <c r="HKM272" s="18"/>
      <c r="HKN272" s="18"/>
      <c r="HKO272" s="18"/>
      <c r="HKP272" s="18"/>
      <c r="HKQ272" s="18"/>
      <c r="HKR272" s="18"/>
      <c r="HKS272" s="18"/>
      <c r="HKT272" s="18"/>
      <c r="HKU272" s="18"/>
      <c r="HKV272" s="18"/>
      <c r="HKW272" s="18"/>
      <c r="HKX272" s="18"/>
      <c r="HKY272" s="18"/>
      <c r="HKZ272" s="18"/>
      <c r="HLA272" s="18"/>
      <c r="HLB272" s="18"/>
      <c r="HLC272" s="18"/>
      <c r="HLD272" s="18"/>
      <c r="HLE272" s="18"/>
      <c r="HLF272" s="18"/>
      <c r="HLG272" s="18"/>
      <c r="HLH272" s="18"/>
      <c r="HLI272" s="18"/>
      <c r="HLJ272" s="18"/>
      <c r="HLK272" s="18"/>
      <c r="HLL272" s="18"/>
      <c r="HLM272" s="18"/>
      <c r="HLN272" s="18"/>
      <c r="HLO272" s="18"/>
      <c r="HLP272" s="18"/>
      <c r="HLQ272" s="18"/>
      <c r="HLR272" s="18"/>
      <c r="HLS272" s="18"/>
      <c r="HLT272" s="18"/>
      <c r="HLU272" s="18"/>
      <c r="HLV272" s="18"/>
      <c r="HLW272" s="18"/>
      <c r="HLX272" s="18"/>
      <c r="HLY272" s="18"/>
      <c r="HLZ272" s="18"/>
      <c r="HMA272" s="18"/>
      <c r="HMB272" s="18"/>
      <c r="HMC272" s="18"/>
      <c r="HMD272" s="18"/>
      <c r="HME272" s="18"/>
      <c r="HMF272" s="18"/>
      <c r="HMG272" s="18"/>
      <c r="HMH272" s="18"/>
      <c r="HMI272" s="18"/>
      <c r="HMJ272" s="18"/>
      <c r="HMK272" s="18"/>
      <c r="HML272" s="18"/>
      <c r="HMM272" s="18"/>
      <c r="HMN272" s="18"/>
      <c r="HMO272" s="18"/>
      <c r="HMP272" s="18"/>
      <c r="HMQ272" s="18"/>
      <c r="HMR272" s="18"/>
      <c r="HMS272" s="18"/>
      <c r="HMT272" s="18"/>
      <c r="HMU272" s="18"/>
      <c r="HMV272" s="18"/>
      <c r="HMW272" s="18"/>
      <c r="HMX272" s="18"/>
      <c r="HMY272" s="18"/>
      <c r="HMZ272" s="18"/>
      <c r="HNA272" s="18"/>
      <c r="HNB272" s="18"/>
      <c r="HNC272" s="18"/>
      <c r="HND272" s="18"/>
      <c r="HNE272" s="18"/>
      <c r="HNF272" s="18"/>
      <c r="HNG272" s="18"/>
      <c r="HNH272" s="18"/>
      <c r="HNI272" s="18"/>
      <c r="HNJ272" s="18"/>
      <c r="HNK272" s="18"/>
      <c r="HNL272" s="18"/>
      <c r="HNM272" s="18"/>
      <c r="HNN272" s="18"/>
      <c r="HNO272" s="18"/>
      <c r="HNP272" s="18"/>
      <c r="HNQ272" s="18"/>
      <c r="HNR272" s="18"/>
      <c r="HNS272" s="18"/>
      <c r="HNT272" s="18"/>
      <c r="HNU272" s="18"/>
      <c r="HNV272" s="18"/>
      <c r="HNW272" s="18"/>
      <c r="HNX272" s="18"/>
      <c r="HNY272" s="18"/>
      <c r="HNZ272" s="18"/>
      <c r="HOA272" s="18"/>
      <c r="HOB272" s="18"/>
      <c r="HOC272" s="18"/>
      <c r="HOD272" s="18"/>
      <c r="HOE272" s="18"/>
      <c r="HOF272" s="18"/>
      <c r="HOG272" s="18"/>
      <c r="HOH272" s="18"/>
      <c r="HOI272" s="18"/>
      <c r="HOJ272" s="18"/>
      <c r="HOK272" s="18"/>
      <c r="HOL272" s="18"/>
      <c r="HOM272" s="18"/>
      <c r="HON272" s="18"/>
      <c r="HOO272" s="18"/>
      <c r="HOP272" s="18"/>
      <c r="HOQ272" s="18"/>
      <c r="HOR272" s="18"/>
      <c r="HOS272" s="18"/>
      <c r="HOT272" s="18"/>
      <c r="HOU272" s="18"/>
      <c r="HOV272" s="18"/>
      <c r="HOW272" s="18"/>
      <c r="HOX272" s="18"/>
      <c r="HOY272" s="18"/>
      <c r="HOZ272" s="18"/>
      <c r="HPA272" s="18"/>
      <c r="HPB272" s="18"/>
      <c r="HPC272" s="18"/>
      <c r="HPD272" s="18"/>
      <c r="HPE272" s="18"/>
      <c r="HPF272" s="18"/>
      <c r="HPG272" s="18"/>
      <c r="HPH272" s="18"/>
      <c r="HPI272" s="18"/>
      <c r="HPJ272" s="18"/>
      <c r="HPK272" s="18"/>
      <c r="HPL272" s="18"/>
      <c r="HPM272" s="18"/>
      <c r="HPN272" s="18"/>
      <c r="HPO272" s="18"/>
      <c r="HPP272" s="18"/>
      <c r="HPQ272" s="18"/>
      <c r="HPR272" s="18"/>
      <c r="HPS272" s="18"/>
      <c r="HPT272" s="18"/>
      <c r="HPU272" s="18"/>
      <c r="HPV272" s="18"/>
      <c r="HPW272" s="18"/>
      <c r="HPX272" s="18"/>
      <c r="HPY272" s="18"/>
      <c r="HPZ272" s="18"/>
      <c r="HQA272" s="18"/>
      <c r="HQB272" s="18"/>
      <c r="HQC272" s="18"/>
      <c r="HQD272" s="18"/>
      <c r="HQE272" s="18"/>
      <c r="HQF272" s="18"/>
      <c r="HQG272" s="18"/>
      <c r="HQH272" s="18"/>
      <c r="HQI272" s="18"/>
      <c r="HQJ272" s="18"/>
      <c r="HQK272" s="18"/>
      <c r="HQL272" s="18"/>
      <c r="HQM272" s="18"/>
      <c r="HQN272" s="18"/>
      <c r="HQO272" s="18"/>
      <c r="HQP272" s="18"/>
      <c r="HQQ272" s="18"/>
      <c r="HQR272" s="18"/>
      <c r="HQS272" s="18"/>
      <c r="HQT272" s="18"/>
      <c r="HQU272" s="18"/>
      <c r="HQV272" s="18"/>
      <c r="HQW272" s="18"/>
      <c r="HQX272" s="18"/>
      <c r="HQY272" s="18"/>
      <c r="HQZ272" s="18"/>
      <c r="HRA272" s="18"/>
      <c r="HRB272" s="18"/>
      <c r="HRC272" s="18"/>
      <c r="HRD272" s="18"/>
      <c r="HRE272" s="18"/>
      <c r="HRF272" s="18"/>
      <c r="HRG272" s="18"/>
      <c r="HRH272" s="18"/>
      <c r="HRI272" s="18"/>
      <c r="HRJ272" s="18"/>
      <c r="HRK272" s="18"/>
      <c r="HRL272" s="18"/>
      <c r="HRM272" s="18"/>
      <c r="HRN272" s="18"/>
      <c r="HRO272" s="18"/>
      <c r="HRP272" s="18"/>
      <c r="HRQ272" s="18"/>
      <c r="HRR272" s="18"/>
      <c r="HRS272" s="18"/>
      <c r="HRT272" s="18"/>
      <c r="HRU272" s="18"/>
      <c r="HRV272" s="18"/>
      <c r="HRW272" s="18"/>
      <c r="HRX272" s="18"/>
      <c r="HRY272" s="18"/>
      <c r="HRZ272" s="18"/>
      <c r="HSA272" s="18"/>
      <c r="HSB272" s="18"/>
      <c r="HSC272" s="18"/>
      <c r="HSD272" s="18"/>
      <c r="HSE272" s="18"/>
      <c r="HSF272" s="18"/>
      <c r="HSG272" s="18"/>
      <c r="HSH272" s="18"/>
      <c r="HSI272" s="18"/>
      <c r="HSJ272" s="18"/>
      <c r="HSK272" s="18"/>
      <c r="HSL272" s="18"/>
      <c r="HSM272" s="18"/>
      <c r="HSN272" s="18"/>
      <c r="HSO272" s="18"/>
      <c r="HSP272" s="18"/>
      <c r="HSQ272" s="18"/>
      <c r="HSR272" s="18"/>
      <c r="HSS272" s="18"/>
      <c r="HST272" s="18"/>
      <c r="HSU272" s="18"/>
      <c r="HSV272" s="18"/>
      <c r="HSW272" s="18"/>
      <c r="HSX272" s="18"/>
      <c r="HSY272" s="18"/>
      <c r="HSZ272" s="18"/>
      <c r="HTA272" s="18"/>
      <c r="HTB272" s="18"/>
      <c r="HTC272" s="18"/>
      <c r="HTD272" s="18"/>
      <c r="HTE272" s="18"/>
      <c r="HTF272" s="18"/>
      <c r="HTG272" s="18"/>
      <c r="HTH272" s="18"/>
      <c r="HTI272" s="18"/>
      <c r="HTJ272" s="18"/>
      <c r="HTK272" s="18"/>
      <c r="HTL272" s="18"/>
      <c r="HTM272" s="18"/>
      <c r="HTN272" s="18"/>
      <c r="HTO272" s="18"/>
      <c r="HTP272" s="18"/>
      <c r="HTQ272" s="18"/>
      <c r="HTR272" s="18"/>
      <c r="HTS272" s="18"/>
      <c r="HTT272" s="18"/>
      <c r="HTU272" s="18"/>
      <c r="HTV272" s="18"/>
      <c r="HTW272" s="18"/>
      <c r="HTX272" s="18"/>
      <c r="HTY272" s="18"/>
      <c r="HTZ272" s="18"/>
      <c r="HUA272" s="18"/>
      <c r="HUB272" s="18"/>
      <c r="HUC272" s="18"/>
      <c r="HUD272" s="18"/>
      <c r="HUE272" s="18"/>
      <c r="HUF272" s="18"/>
      <c r="HUG272" s="18"/>
      <c r="HUH272" s="18"/>
      <c r="HUI272" s="18"/>
      <c r="HUJ272" s="18"/>
      <c r="HUK272" s="18"/>
      <c r="HUL272" s="18"/>
      <c r="HUM272" s="18"/>
      <c r="HUN272" s="18"/>
      <c r="HUO272" s="18"/>
      <c r="HUP272" s="18"/>
      <c r="HUQ272" s="18"/>
      <c r="HUR272" s="18"/>
      <c r="HUS272" s="18"/>
      <c r="HUT272" s="18"/>
      <c r="HUU272" s="18"/>
      <c r="HUV272" s="18"/>
      <c r="HUW272" s="18"/>
      <c r="HUX272" s="18"/>
      <c r="HUY272" s="18"/>
      <c r="HUZ272" s="18"/>
      <c r="HVA272" s="18"/>
      <c r="HVB272" s="18"/>
      <c r="HVC272" s="18"/>
      <c r="HVD272" s="18"/>
      <c r="HVE272" s="18"/>
      <c r="HVF272" s="18"/>
      <c r="HVG272" s="18"/>
      <c r="HVH272" s="18"/>
      <c r="HVI272" s="18"/>
      <c r="HVJ272" s="18"/>
      <c r="HVK272" s="18"/>
      <c r="HVL272" s="18"/>
      <c r="HVM272" s="18"/>
      <c r="HVN272" s="18"/>
      <c r="HVO272" s="18"/>
      <c r="HVP272" s="18"/>
      <c r="HVQ272" s="18"/>
      <c r="HVR272" s="18"/>
      <c r="HVS272" s="18"/>
      <c r="HVT272" s="18"/>
      <c r="HVU272" s="18"/>
      <c r="HVV272" s="18"/>
      <c r="HVW272" s="18"/>
      <c r="HVX272" s="18"/>
      <c r="HVY272" s="18"/>
      <c r="HVZ272" s="18"/>
      <c r="HWA272" s="18"/>
      <c r="HWB272" s="18"/>
      <c r="HWC272" s="18"/>
      <c r="HWD272" s="18"/>
      <c r="HWE272" s="18"/>
      <c r="HWF272" s="18"/>
      <c r="HWG272" s="18"/>
      <c r="HWH272" s="18"/>
      <c r="HWI272" s="18"/>
      <c r="HWJ272" s="18"/>
      <c r="HWK272" s="18"/>
      <c r="HWL272" s="18"/>
      <c r="HWM272" s="18"/>
      <c r="HWN272" s="18"/>
      <c r="HWO272" s="18"/>
      <c r="HWP272" s="18"/>
      <c r="HWQ272" s="18"/>
      <c r="HWR272" s="18"/>
      <c r="HWS272" s="18"/>
      <c r="HWT272" s="18"/>
      <c r="HWU272" s="18"/>
      <c r="HWV272" s="18"/>
      <c r="HWW272" s="18"/>
      <c r="HWX272" s="18"/>
      <c r="HWY272" s="18"/>
      <c r="HWZ272" s="18"/>
      <c r="HXA272" s="18"/>
      <c r="HXB272" s="18"/>
      <c r="HXC272" s="18"/>
      <c r="HXD272" s="18"/>
      <c r="HXE272" s="18"/>
      <c r="HXF272" s="18"/>
      <c r="HXG272" s="18"/>
      <c r="HXH272" s="18"/>
      <c r="HXI272" s="18"/>
      <c r="HXJ272" s="18"/>
      <c r="HXK272" s="18"/>
      <c r="HXL272" s="18"/>
      <c r="HXM272" s="18"/>
      <c r="HXN272" s="18"/>
      <c r="HXO272" s="18"/>
      <c r="HXP272" s="18"/>
      <c r="HXQ272" s="18"/>
      <c r="HXR272" s="18"/>
      <c r="HXS272" s="18"/>
      <c r="HXT272" s="18"/>
      <c r="HXU272" s="18"/>
      <c r="HXV272" s="18"/>
      <c r="HXW272" s="18"/>
      <c r="HXX272" s="18"/>
      <c r="HXY272" s="18"/>
      <c r="HXZ272" s="18"/>
      <c r="HYA272" s="18"/>
      <c r="HYB272" s="18"/>
      <c r="HYC272" s="18"/>
      <c r="HYD272" s="18"/>
      <c r="HYE272" s="18"/>
      <c r="HYF272" s="18"/>
      <c r="HYG272" s="18"/>
      <c r="HYH272" s="18"/>
      <c r="HYI272" s="18"/>
      <c r="HYJ272" s="18"/>
      <c r="HYK272" s="18"/>
      <c r="HYL272" s="18"/>
      <c r="HYM272" s="18"/>
      <c r="HYN272" s="18"/>
      <c r="HYO272" s="18"/>
      <c r="HYP272" s="18"/>
      <c r="HYQ272" s="18"/>
      <c r="HYR272" s="18"/>
      <c r="HYS272" s="18"/>
      <c r="HYT272" s="18"/>
      <c r="HYU272" s="18"/>
      <c r="HYV272" s="18"/>
      <c r="HYW272" s="18"/>
      <c r="HYX272" s="18"/>
      <c r="HYY272" s="18"/>
      <c r="HYZ272" s="18"/>
      <c r="HZA272" s="18"/>
      <c r="HZB272" s="18"/>
      <c r="HZC272" s="18"/>
      <c r="HZD272" s="18"/>
      <c r="HZE272" s="18"/>
      <c r="HZF272" s="18"/>
      <c r="HZG272" s="18"/>
      <c r="HZH272" s="18"/>
      <c r="HZI272" s="18"/>
      <c r="HZJ272" s="18"/>
      <c r="HZK272" s="18"/>
      <c r="HZL272" s="18"/>
      <c r="HZM272" s="18"/>
      <c r="HZN272" s="18"/>
      <c r="HZO272" s="18"/>
      <c r="HZP272" s="18"/>
      <c r="HZQ272" s="18"/>
      <c r="HZR272" s="18"/>
      <c r="HZS272" s="18"/>
      <c r="HZT272" s="18"/>
      <c r="HZU272" s="18"/>
      <c r="HZV272" s="18"/>
      <c r="HZW272" s="18"/>
      <c r="HZX272" s="18"/>
      <c r="HZY272" s="18"/>
      <c r="HZZ272" s="18"/>
      <c r="IAA272" s="18"/>
      <c r="IAB272" s="18"/>
      <c r="IAC272" s="18"/>
      <c r="IAD272" s="18"/>
      <c r="IAE272" s="18"/>
      <c r="IAF272" s="18"/>
      <c r="IAG272" s="18"/>
      <c r="IAH272" s="18"/>
      <c r="IAI272" s="18"/>
      <c r="IAJ272" s="18"/>
      <c r="IAK272" s="18"/>
      <c r="IAL272" s="18"/>
      <c r="IAM272" s="18"/>
      <c r="IAN272" s="18"/>
      <c r="IAO272" s="18"/>
      <c r="IAP272" s="18"/>
      <c r="IAQ272" s="18"/>
      <c r="IAR272" s="18"/>
      <c r="IAS272" s="18"/>
      <c r="IAT272" s="18"/>
      <c r="IAU272" s="18"/>
      <c r="IAV272" s="18"/>
      <c r="IAW272" s="18"/>
      <c r="IAX272" s="18"/>
      <c r="IAY272" s="18"/>
      <c r="IAZ272" s="18"/>
      <c r="IBA272" s="18"/>
      <c r="IBB272" s="18"/>
      <c r="IBC272" s="18"/>
      <c r="IBD272" s="18"/>
      <c r="IBE272" s="18"/>
      <c r="IBF272" s="18"/>
      <c r="IBG272" s="18"/>
      <c r="IBH272" s="18"/>
      <c r="IBI272" s="18"/>
      <c r="IBJ272" s="18"/>
      <c r="IBK272" s="18"/>
      <c r="IBL272" s="18"/>
      <c r="IBM272" s="18"/>
      <c r="IBN272" s="18"/>
      <c r="IBO272" s="18"/>
      <c r="IBP272" s="18"/>
      <c r="IBQ272" s="18"/>
      <c r="IBR272" s="18"/>
      <c r="IBS272" s="18"/>
      <c r="IBT272" s="18"/>
      <c r="IBU272" s="18"/>
      <c r="IBV272" s="18"/>
      <c r="IBW272" s="18"/>
      <c r="IBX272" s="18"/>
      <c r="IBY272" s="18"/>
      <c r="IBZ272" s="18"/>
      <c r="ICA272" s="18"/>
      <c r="ICB272" s="18"/>
      <c r="ICC272" s="18"/>
      <c r="ICD272" s="18"/>
      <c r="ICE272" s="18"/>
      <c r="ICF272" s="18"/>
      <c r="ICG272" s="18"/>
      <c r="ICH272" s="18"/>
      <c r="ICI272" s="18"/>
      <c r="ICJ272" s="18"/>
      <c r="ICK272" s="18"/>
      <c r="ICL272" s="18"/>
      <c r="ICM272" s="18"/>
      <c r="ICN272" s="18"/>
      <c r="ICO272" s="18"/>
      <c r="ICP272" s="18"/>
      <c r="ICQ272" s="18"/>
      <c r="ICR272" s="18"/>
      <c r="ICS272" s="18"/>
      <c r="ICT272" s="18"/>
      <c r="ICU272" s="18"/>
      <c r="ICV272" s="18"/>
      <c r="ICW272" s="18"/>
      <c r="ICX272" s="18"/>
      <c r="ICY272" s="18"/>
      <c r="ICZ272" s="18"/>
      <c r="IDA272" s="18"/>
      <c r="IDB272" s="18"/>
      <c r="IDC272" s="18"/>
      <c r="IDD272" s="18"/>
      <c r="IDE272" s="18"/>
      <c r="IDF272" s="18"/>
      <c r="IDG272" s="18"/>
      <c r="IDH272" s="18"/>
      <c r="IDI272" s="18"/>
      <c r="IDJ272" s="18"/>
      <c r="IDK272" s="18"/>
      <c r="IDL272" s="18"/>
      <c r="IDM272" s="18"/>
      <c r="IDN272" s="18"/>
      <c r="IDO272" s="18"/>
      <c r="IDP272" s="18"/>
      <c r="IDQ272" s="18"/>
      <c r="IDR272" s="18"/>
      <c r="IDS272" s="18"/>
      <c r="IDT272" s="18"/>
      <c r="IDU272" s="18"/>
      <c r="IDV272" s="18"/>
      <c r="IDW272" s="18"/>
      <c r="IDX272" s="18"/>
      <c r="IDY272" s="18"/>
      <c r="IDZ272" s="18"/>
      <c r="IEA272" s="18"/>
      <c r="IEB272" s="18"/>
      <c r="IEC272" s="18"/>
      <c r="IED272" s="18"/>
      <c r="IEE272" s="18"/>
      <c r="IEF272" s="18"/>
      <c r="IEG272" s="18"/>
      <c r="IEH272" s="18"/>
      <c r="IEI272" s="18"/>
      <c r="IEJ272" s="18"/>
      <c r="IEK272" s="18"/>
      <c r="IEL272" s="18"/>
      <c r="IEM272" s="18"/>
      <c r="IEN272" s="18"/>
      <c r="IEO272" s="18"/>
      <c r="IEP272" s="18"/>
      <c r="IEQ272" s="18"/>
      <c r="IER272" s="18"/>
      <c r="IES272" s="18"/>
      <c r="IET272" s="18"/>
      <c r="IEU272" s="18"/>
      <c r="IEV272" s="18"/>
      <c r="IEW272" s="18"/>
      <c r="IEX272" s="18"/>
      <c r="IEY272" s="18"/>
      <c r="IEZ272" s="18"/>
      <c r="IFA272" s="18"/>
      <c r="IFB272" s="18"/>
      <c r="IFC272" s="18"/>
      <c r="IFD272" s="18"/>
      <c r="IFE272" s="18"/>
      <c r="IFF272" s="18"/>
      <c r="IFG272" s="18"/>
      <c r="IFH272" s="18"/>
      <c r="IFI272" s="18"/>
      <c r="IFJ272" s="18"/>
      <c r="IFK272" s="18"/>
      <c r="IFL272" s="18"/>
      <c r="IFM272" s="18"/>
      <c r="IFN272" s="18"/>
      <c r="IFO272" s="18"/>
      <c r="IFP272" s="18"/>
      <c r="IFQ272" s="18"/>
      <c r="IFR272" s="18"/>
      <c r="IFS272" s="18"/>
      <c r="IFT272" s="18"/>
      <c r="IFU272" s="18"/>
      <c r="IFV272" s="18"/>
      <c r="IFW272" s="18"/>
      <c r="IFX272" s="18"/>
      <c r="IFY272" s="18"/>
      <c r="IFZ272" s="18"/>
      <c r="IGA272" s="18"/>
      <c r="IGB272" s="18"/>
      <c r="IGC272" s="18"/>
      <c r="IGD272" s="18"/>
      <c r="IGE272" s="18"/>
      <c r="IGF272" s="18"/>
      <c r="IGG272" s="18"/>
      <c r="IGH272" s="18"/>
      <c r="IGI272" s="18"/>
      <c r="IGJ272" s="18"/>
      <c r="IGK272" s="18"/>
      <c r="IGL272" s="18"/>
      <c r="IGM272" s="18"/>
      <c r="IGN272" s="18"/>
      <c r="IGO272" s="18"/>
      <c r="IGP272" s="18"/>
      <c r="IGQ272" s="18"/>
      <c r="IGR272" s="18"/>
      <c r="IGS272" s="18"/>
      <c r="IGT272" s="18"/>
      <c r="IGU272" s="18"/>
      <c r="IGV272" s="18"/>
      <c r="IGW272" s="18"/>
      <c r="IGX272" s="18"/>
      <c r="IGY272" s="18"/>
      <c r="IGZ272" s="18"/>
      <c r="IHA272" s="18"/>
      <c r="IHB272" s="18"/>
      <c r="IHC272" s="18"/>
      <c r="IHD272" s="18"/>
      <c r="IHE272" s="18"/>
      <c r="IHF272" s="18"/>
      <c r="IHG272" s="18"/>
      <c r="IHH272" s="18"/>
      <c r="IHI272" s="18"/>
      <c r="IHJ272" s="18"/>
      <c r="IHK272" s="18"/>
      <c r="IHL272" s="18"/>
      <c r="IHM272" s="18"/>
      <c r="IHN272" s="18"/>
      <c r="IHO272" s="18"/>
      <c r="IHP272" s="18"/>
      <c r="IHQ272" s="18"/>
      <c r="IHR272" s="18"/>
      <c r="IHS272" s="18"/>
      <c r="IHT272" s="18"/>
      <c r="IHU272" s="18"/>
      <c r="IHV272" s="18"/>
      <c r="IHW272" s="18"/>
      <c r="IHX272" s="18"/>
      <c r="IHY272" s="18"/>
      <c r="IHZ272" s="18"/>
      <c r="IIA272" s="18"/>
      <c r="IIB272" s="18"/>
      <c r="IIC272" s="18"/>
      <c r="IID272" s="18"/>
      <c r="IIE272" s="18"/>
      <c r="IIF272" s="18"/>
      <c r="IIG272" s="18"/>
      <c r="IIH272" s="18"/>
      <c r="III272" s="18"/>
      <c r="IIJ272" s="18"/>
      <c r="IIK272" s="18"/>
      <c r="IIL272" s="18"/>
      <c r="IIM272" s="18"/>
      <c r="IIN272" s="18"/>
      <c r="IIO272" s="18"/>
      <c r="IIP272" s="18"/>
      <c r="IIQ272" s="18"/>
      <c r="IIR272" s="18"/>
      <c r="IIS272" s="18"/>
      <c r="IIT272" s="18"/>
      <c r="IIU272" s="18"/>
      <c r="IIV272" s="18"/>
      <c r="IIW272" s="18"/>
      <c r="IIX272" s="18"/>
      <c r="IIY272" s="18"/>
      <c r="IIZ272" s="18"/>
      <c r="IJA272" s="18"/>
      <c r="IJB272" s="18"/>
      <c r="IJC272" s="18"/>
      <c r="IJD272" s="18"/>
      <c r="IJE272" s="18"/>
      <c r="IJF272" s="18"/>
      <c r="IJG272" s="18"/>
      <c r="IJH272" s="18"/>
      <c r="IJI272" s="18"/>
      <c r="IJJ272" s="18"/>
      <c r="IJK272" s="18"/>
      <c r="IJL272" s="18"/>
      <c r="IJM272" s="18"/>
      <c r="IJN272" s="18"/>
      <c r="IJO272" s="18"/>
      <c r="IJP272" s="18"/>
      <c r="IJQ272" s="18"/>
      <c r="IJR272" s="18"/>
      <c r="IJS272" s="18"/>
      <c r="IJT272" s="18"/>
      <c r="IJU272" s="18"/>
      <c r="IJV272" s="18"/>
      <c r="IJW272" s="18"/>
      <c r="IJX272" s="18"/>
      <c r="IJY272" s="18"/>
      <c r="IJZ272" s="18"/>
      <c r="IKA272" s="18"/>
      <c r="IKB272" s="18"/>
      <c r="IKC272" s="18"/>
      <c r="IKD272" s="18"/>
      <c r="IKE272" s="18"/>
      <c r="IKF272" s="18"/>
      <c r="IKG272" s="18"/>
      <c r="IKH272" s="18"/>
      <c r="IKI272" s="18"/>
      <c r="IKJ272" s="18"/>
      <c r="IKK272" s="18"/>
      <c r="IKL272" s="18"/>
      <c r="IKM272" s="18"/>
      <c r="IKN272" s="18"/>
      <c r="IKO272" s="18"/>
      <c r="IKP272" s="18"/>
      <c r="IKQ272" s="18"/>
      <c r="IKR272" s="18"/>
      <c r="IKS272" s="18"/>
      <c r="IKT272" s="18"/>
      <c r="IKU272" s="18"/>
      <c r="IKV272" s="18"/>
      <c r="IKW272" s="18"/>
      <c r="IKX272" s="18"/>
      <c r="IKY272" s="18"/>
      <c r="IKZ272" s="18"/>
      <c r="ILA272" s="18"/>
      <c r="ILB272" s="18"/>
      <c r="ILC272" s="18"/>
      <c r="ILD272" s="18"/>
      <c r="ILE272" s="18"/>
      <c r="ILF272" s="18"/>
      <c r="ILG272" s="18"/>
      <c r="ILH272" s="18"/>
      <c r="ILI272" s="18"/>
      <c r="ILJ272" s="18"/>
      <c r="ILK272" s="18"/>
      <c r="ILL272" s="18"/>
      <c r="ILM272" s="18"/>
      <c r="ILN272" s="18"/>
      <c r="ILO272" s="18"/>
      <c r="ILP272" s="18"/>
      <c r="ILQ272" s="18"/>
      <c r="ILR272" s="18"/>
      <c r="ILS272" s="18"/>
      <c r="ILT272" s="18"/>
      <c r="ILU272" s="18"/>
      <c r="ILV272" s="18"/>
      <c r="ILW272" s="18"/>
      <c r="ILX272" s="18"/>
      <c r="ILY272" s="18"/>
      <c r="ILZ272" s="18"/>
      <c r="IMA272" s="18"/>
      <c r="IMB272" s="18"/>
      <c r="IMC272" s="18"/>
      <c r="IMD272" s="18"/>
      <c r="IME272" s="18"/>
      <c r="IMF272" s="18"/>
      <c r="IMG272" s="18"/>
      <c r="IMH272" s="18"/>
      <c r="IMI272" s="18"/>
      <c r="IMJ272" s="18"/>
      <c r="IMK272" s="18"/>
      <c r="IML272" s="18"/>
      <c r="IMM272" s="18"/>
      <c r="IMN272" s="18"/>
      <c r="IMO272" s="18"/>
      <c r="IMP272" s="18"/>
      <c r="IMQ272" s="18"/>
      <c r="IMR272" s="18"/>
      <c r="IMS272" s="18"/>
      <c r="IMT272" s="18"/>
      <c r="IMU272" s="18"/>
      <c r="IMV272" s="18"/>
      <c r="IMW272" s="18"/>
      <c r="IMX272" s="18"/>
      <c r="IMY272" s="18"/>
      <c r="IMZ272" s="18"/>
      <c r="INA272" s="18"/>
      <c r="INB272" s="18"/>
      <c r="INC272" s="18"/>
      <c r="IND272" s="18"/>
      <c r="INE272" s="18"/>
      <c r="INF272" s="18"/>
      <c r="ING272" s="18"/>
      <c r="INH272" s="18"/>
      <c r="INI272" s="18"/>
      <c r="INJ272" s="18"/>
      <c r="INK272" s="18"/>
      <c r="INL272" s="18"/>
      <c r="INM272" s="18"/>
      <c r="INN272" s="18"/>
      <c r="INO272" s="18"/>
      <c r="INP272" s="18"/>
      <c r="INQ272" s="18"/>
      <c r="INR272" s="18"/>
      <c r="INS272" s="18"/>
      <c r="INT272" s="18"/>
      <c r="INU272" s="18"/>
      <c r="INV272" s="18"/>
      <c r="INW272" s="18"/>
      <c r="INX272" s="18"/>
      <c r="INY272" s="18"/>
      <c r="INZ272" s="18"/>
      <c r="IOA272" s="18"/>
      <c r="IOB272" s="18"/>
      <c r="IOC272" s="18"/>
      <c r="IOD272" s="18"/>
      <c r="IOE272" s="18"/>
      <c r="IOF272" s="18"/>
      <c r="IOG272" s="18"/>
      <c r="IOH272" s="18"/>
      <c r="IOI272" s="18"/>
      <c r="IOJ272" s="18"/>
      <c r="IOK272" s="18"/>
      <c r="IOL272" s="18"/>
      <c r="IOM272" s="18"/>
      <c r="ION272" s="18"/>
      <c r="IOO272" s="18"/>
      <c r="IOP272" s="18"/>
      <c r="IOQ272" s="18"/>
      <c r="IOR272" s="18"/>
      <c r="IOS272" s="18"/>
      <c r="IOT272" s="18"/>
      <c r="IOU272" s="18"/>
      <c r="IOV272" s="18"/>
      <c r="IOW272" s="18"/>
      <c r="IOX272" s="18"/>
      <c r="IOY272" s="18"/>
      <c r="IOZ272" s="18"/>
      <c r="IPA272" s="18"/>
      <c r="IPB272" s="18"/>
      <c r="IPC272" s="18"/>
      <c r="IPD272" s="18"/>
      <c r="IPE272" s="18"/>
      <c r="IPF272" s="18"/>
      <c r="IPG272" s="18"/>
      <c r="IPH272" s="18"/>
      <c r="IPI272" s="18"/>
      <c r="IPJ272" s="18"/>
      <c r="IPK272" s="18"/>
      <c r="IPL272" s="18"/>
      <c r="IPM272" s="18"/>
      <c r="IPN272" s="18"/>
      <c r="IPO272" s="18"/>
      <c r="IPP272" s="18"/>
      <c r="IPQ272" s="18"/>
      <c r="IPR272" s="18"/>
      <c r="IPS272" s="18"/>
      <c r="IPT272" s="18"/>
      <c r="IPU272" s="18"/>
      <c r="IPV272" s="18"/>
      <c r="IPW272" s="18"/>
      <c r="IPX272" s="18"/>
      <c r="IPY272" s="18"/>
      <c r="IPZ272" s="18"/>
      <c r="IQA272" s="18"/>
      <c r="IQB272" s="18"/>
      <c r="IQC272" s="18"/>
      <c r="IQD272" s="18"/>
      <c r="IQE272" s="18"/>
      <c r="IQF272" s="18"/>
      <c r="IQG272" s="18"/>
      <c r="IQH272" s="18"/>
      <c r="IQI272" s="18"/>
      <c r="IQJ272" s="18"/>
      <c r="IQK272" s="18"/>
      <c r="IQL272" s="18"/>
      <c r="IQM272" s="18"/>
      <c r="IQN272" s="18"/>
      <c r="IQO272" s="18"/>
      <c r="IQP272" s="18"/>
      <c r="IQQ272" s="18"/>
      <c r="IQR272" s="18"/>
      <c r="IQS272" s="18"/>
      <c r="IQT272" s="18"/>
      <c r="IQU272" s="18"/>
      <c r="IQV272" s="18"/>
      <c r="IQW272" s="18"/>
      <c r="IQX272" s="18"/>
      <c r="IQY272" s="18"/>
      <c r="IQZ272" s="18"/>
      <c r="IRA272" s="18"/>
      <c r="IRB272" s="18"/>
      <c r="IRC272" s="18"/>
      <c r="IRD272" s="18"/>
      <c r="IRE272" s="18"/>
      <c r="IRF272" s="18"/>
      <c r="IRG272" s="18"/>
      <c r="IRH272" s="18"/>
      <c r="IRI272" s="18"/>
      <c r="IRJ272" s="18"/>
      <c r="IRK272" s="18"/>
      <c r="IRL272" s="18"/>
      <c r="IRM272" s="18"/>
      <c r="IRN272" s="18"/>
      <c r="IRO272" s="18"/>
      <c r="IRP272" s="18"/>
      <c r="IRQ272" s="18"/>
      <c r="IRR272" s="18"/>
      <c r="IRS272" s="18"/>
      <c r="IRT272" s="18"/>
      <c r="IRU272" s="18"/>
      <c r="IRV272" s="18"/>
      <c r="IRW272" s="18"/>
      <c r="IRX272" s="18"/>
      <c r="IRY272" s="18"/>
      <c r="IRZ272" s="18"/>
      <c r="ISA272" s="18"/>
      <c r="ISB272" s="18"/>
      <c r="ISC272" s="18"/>
      <c r="ISD272" s="18"/>
      <c r="ISE272" s="18"/>
      <c r="ISF272" s="18"/>
      <c r="ISG272" s="18"/>
      <c r="ISH272" s="18"/>
      <c r="ISI272" s="18"/>
      <c r="ISJ272" s="18"/>
      <c r="ISK272" s="18"/>
      <c r="ISL272" s="18"/>
      <c r="ISM272" s="18"/>
      <c r="ISN272" s="18"/>
      <c r="ISO272" s="18"/>
      <c r="ISP272" s="18"/>
      <c r="ISQ272" s="18"/>
      <c r="ISR272" s="18"/>
      <c r="ISS272" s="18"/>
      <c r="IST272" s="18"/>
      <c r="ISU272" s="18"/>
      <c r="ISV272" s="18"/>
      <c r="ISW272" s="18"/>
      <c r="ISX272" s="18"/>
      <c r="ISY272" s="18"/>
      <c r="ISZ272" s="18"/>
      <c r="ITA272" s="18"/>
      <c r="ITB272" s="18"/>
      <c r="ITC272" s="18"/>
      <c r="ITD272" s="18"/>
      <c r="ITE272" s="18"/>
      <c r="ITF272" s="18"/>
      <c r="ITG272" s="18"/>
      <c r="ITH272" s="18"/>
      <c r="ITI272" s="18"/>
      <c r="ITJ272" s="18"/>
      <c r="ITK272" s="18"/>
      <c r="ITL272" s="18"/>
      <c r="ITM272" s="18"/>
      <c r="ITN272" s="18"/>
      <c r="ITO272" s="18"/>
      <c r="ITP272" s="18"/>
      <c r="ITQ272" s="18"/>
      <c r="ITR272" s="18"/>
      <c r="ITS272" s="18"/>
      <c r="ITT272" s="18"/>
      <c r="ITU272" s="18"/>
      <c r="ITV272" s="18"/>
      <c r="ITW272" s="18"/>
      <c r="ITX272" s="18"/>
      <c r="ITY272" s="18"/>
      <c r="ITZ272" s="18"/>
      <c r="IUA272" s="18"/>
      <c r="IUB272" s="18"/>
      <c r="IUC272" s="18"/>
      <c r="IUD272" s="18"/>
      <c r="IUE272" s="18"/>
      <c r="IUF272" s="18"/>
      <c r="IUG272" s="18"/>
      <c r="IUH272" s="18"/>
      <c r="IUI272" s="18"/>
      <c r="IUJ272" s="18"/>
      <c r="IUK272" s="18"/>
      <c r="IUL272" s="18"/>
      <c r="IUM272" s="18"/>
      <c r="IUN272" s="18"/>
      <c r="IUO272" s="18"/>
      <c r="IUP272" s="18"/>
      <c r="IUQ272" s="18"/>
      <c r="IUR272" s="18"/>
      <c r="IUS272" s="18"/>
      <c r="IUT272" s="18"/>
      <c r="IUU272" s="18"/>
      <c r="IUV272" s="18"/>
      <c r="IUW272" s="18"/>
      <c r="IUX272" s="18"/>
      <c r="IUY272" s="18"/>
      <c r="IUZ272" s="18"/>
      <c r="IVA272" s="18"/>
      <c r="IVB272" s="18"/>
      <c r="IVC272" s="18"/>
      <c r="IVD272" s="18"/>
      <c r="IVE272" s="18"/>
      <c r="IVF272" s="18"/>
      <c r="IVG272" s="18"/>
      <c r="IVH272" s="18"/>
      <c r="IVI272" s="18"/>
      <c r="IVJ272" s="18"/>
      <c r="IVK272" s="18"/>
      <c r="IVL272" s="18"/>
      <c r="IVM272" s="18"/>
      <c r="IVN272" s="18"/>
      <c r="IVO272" s="18"/>
      <c r="IVP272" s="18"/>
      <c r="IVQ272" s="18"/>
      <c r="IVR272" s="18"/>
      <c r="IVS272" s="18"/>
      <c r="IVT272" s="18"/>
      <c r="IVU272" s="18"/>
      <c r="IVV272" s="18"/>
      <c r="IVW272" s="18"/>
      <c r="IVX272" s="18"/>
      <c r="IVY272" s="18"/>
      <c r="IVZ272" s="18"/>
      <c r="IWA272" s="18"/>
      <c r="IWB272" s="18"/>
      <c r="IWC272" s="18"/>
      <c r="IWD272" s="18"/>
      <c r="IWE272" s="18"/>
      <c r="IWF272" s="18"/>
      <c r="IWG272" s="18"/>
      <c r="IWH272" s="18"/>
      <c r="IWI272" s="18"/>
      <c r="IWJ272" s="18"/>
      <c r="IWK272" s="18"/>
      <c r="IWL272" s="18"/>
      <c r="IWM272" s="18"/>
      <c r="IWN272" s="18"/>
      <c r="IWO272" s="18"/>
      <c r="IWP272" s="18"/>
      <c r="IWQ272" s="18"/>
      <c r="IWR272" s="18"/>
      <c r="IWS272" s="18"/>
      <c r="IWT272" s="18"/>
      <c r="IWU272" s="18"/>
      <c r="IWV272" s="18"/>
      <c r="IWW272" s="18"/>
      <c r="IWX272" s="18"/>
      <c r="IWY272" s="18"/>
      <c r="IWZ272" s="18"/>
      <c r="IXA272" s="18"/>
      <c r="IXB272" s="18"/>
      <c r="IXC272" s="18"/>
      <c r="IXD272" s="18"/>
      <c r="IXE272" s="18"/>
      <c r="IXF272" s="18"/>
      <c r="IXG272" s="18"/>
      <c r="IXH272" s="18"/>
      <c r="IXI272" s="18"/>
      <c r="IXJ272" s="18"/>
      <c r="IXK272" s="18"/>
      <c r="IXL272" s="18"/>
      <c r="IXM272" s="18"/>
      <c r="IXN272" s="18"/>
      <c r="IXO272" s="18"/>
      <c r="IXP272" s="18"/>
      <c r="IXQ272" s="18"/>
      <c r="IXR272" s="18"/>
      <c r="IXS272" s="18"/>
      <c r="IXT272" s="18"/>
      <c r="IXU272" s="18"/>
      <c r="IXV272" s="18"/>
      <c r="IXW272" s="18"/>
      <c r="IXX272" s="18"/>
      <c r="IXY272" s="18"/>
      <c r="IXZ272" s="18"/>
      <c r="IYA272" s="18"/>
      <c r="IYB272" s="18"/>
      <c r="IYC272" s="18"/>
      <c r="IYD272" s="18"/>
      <c r="IYE272" s="18"/>
      <c r="IYF272" s="18"/>
      <c r="IYG272" s="18"/>
      <c r="IYH272" s="18"/>
      <c r="IYI272" s="18"/>
      <c r="IYJ272" s="18"/>
      <c r="IYK272" s="18"/>
      <c r="IYL272" s="18"/>
      <c r="IYM272" s="18"/>
      <c r="IYN272" s="18"/>
      <c r="IYO272" s="18"/>
      <c r="IYP272" s="18"/>
      <c r="IYQ272" s="18"/>
      <c r="IYR272" s="18"/>
      <c r="IYS272" s="18"/>
      <c r="IYT272" s="18"/>
      <c r="IYU272" s="18"/>
      <c r="IYV272" s="18"/>
      <c r="IYW272" s="18"/>
      <c r="IYX272" s="18"/>
      <c r="IYY272" s="18"/>
      <c r="IYZ272" s="18"/>
      <c r="IZA272" s="18"/>
      <c r="IZB272" s="18"/>
      <c r="IZC272" s="18"/>
      <c r="IZD272" s="18"/>
      <c r="IZE272" s="18"/>
      <c r="IZF272" s="18"/>
      <c r="IZG272" s="18"/>
      <c r="IZH272" s="18"/>
      <c r="IZI272" s="18"/>
      <c r="IZJ272" s="18"/>
      <c r="IZK272" s="18"/>
      <c r="IZL272" s="18"/>
      <c r="IZM272" s="18"/>
      <c r="IZN272" s="18"/>
      <c r="IZO272" s="18"/>
      <c r="IZP272" s="18"/>
      <c r="IZQ272" s="18"/>
      <c r="IZR272" s="18"/>
      <c r="IZS272" s="18"/>
      <c r="IZT272" s="18"/>
      <c r="IZU272" s="18"/>
      <c r="IZV272" s="18"/>
      <c r="IZW272" s="18"/>
      <c r="IZX272" s="18"/>
      <c r="IZY272" s="18"/>
      <c r="IZZ272" s="18"/>
      <c r="JAA272" s="18"/>
      <c r="JAB272" s="18"/>
      <c r="JAC272" s="18"/>
      <c r="JAD272" s="18"/>
      <c r="JAE272" s="18"/>
      <c r="JAF272" s="18"/>
      <c r="JAG272" s="18"/>
      <c r="JAH272" s="18"/>
      <c r="JAI272" s="18"/>
      <c r="JAJ272" s="18"/>
      <c r="JAK272" s="18"/>
      <c r="JAL272" s="18"/>
      <c r="JAM272" s="18"/>
      <c r="JAN272" s="18"/>
      <c r="JAO272" s="18"/>
      <c r="JAP272" s="18"/>
      <c r="JAQ272" s="18"/>
      <c r="JAR272" s="18"/>
      <c r="JAS272" s="18"/>
      <c r="JAT272" s="18"/>
      <c r="JAU272" s="18"/>
      <c r="JAV272" s="18"/>
      <c r="JAW272" s="18"/>
      <c r="JAX272" s="18"/>
      <c r="JAY272" s="18"/>
      <c r="JAZ272" s="18"/>
      <c r="JBA272" s="18"/>
      <c r="JBB272" s="18"/>
      <c r="JBC272" s="18"/>
      <c r="JBD272" s="18"/>
      <c r="JBE272" s="18"/>
      <c r="JBF272" s="18"/>
      <c r="JBG272" s="18"/>
      <c r="JBH272" s="18"/>
      <c r="JBI272" s="18"/>
      <c r="JBJ272" s="18"/>
      <c r="JBK272" s="18"/>
      <c r="JBL272" s="18"/>
      <c r="JBM272" s="18"/>
      <c r="JBN272" s="18"/>
      <c r="JBO272" s="18"/>
      <c r="JBP272" s="18"/>
      <c r="JBQ272" s="18"/>
      <c r="JBR272" s="18"/>
      <c r="JBS272" s="18"/>
      <c r="JBT272" s="18"/>
      <c r="JBU272" s="18"/>
      <c r="JBV272" s="18"/>
      <c r="JBW272" s="18"/>
      <c r="JBX272" s="18"/>
      <c r="JBY272" s="18"/>
      <c r="JBZ272" s="18"/>
      <c r="JCA272" s="18"/>
      <c r="JCB272" s="18"/>
      <c r="JCC272" s="18"/>
      <c r="JCD272" s="18"/>
      <c r="JCE272" s="18"/>
      <c r="JCF272" s="18"/>
      <c r="JCG272" s="18"/>
      <c r="JCH272" s="18"/>
      <c r="JCI272" s="18"/>
      <c r="JCJ272" s="18"/>
      <c r="JCK272" s="18"/>
      <c r="JCL272" s="18"/>
      <c r="JCM272" s="18"/>
      <c r="JCN272" s="18"/>
      <c r="JCO272" s="18"/>
      <c r="JCP272" s="18"/>
      <c r="JCQ272" s="18"/>
      <c r="JCR272" s="18"/>
      <c r="JCS272" s="18"/>
      <c r="JCT272" s="18"/>
      <c r="JCU272" s="18"/>
      <c r="JCV272" s="18"/>
      <c r="JCW272" s="18"/>
      <c r="JCX272" s="18"/>
      <c r="JCY272" s="18"/>
      <c r="JCZ272" s="18"/>
      <c r="JDA272" s="18"/>
      <c r="JDB272" s="18"/>
      <c r="JDC272" s="18"/>
      <c r="JDD272" s="18"/>
      <c r="JDE272" s="18"/>
      <c r="JDF272" s="18"/>
      <c r="JDG272" s="18"/>
      <c r="JDH272" s="18"/>
      <c r="JDI272" s="18"/>
      <c r="JDJ272" s="18"/>
      <c r="JDK272" s="18"/>
      <c r="JDL272" s="18"/>
      <c r="JDM272" s="18"/>
      <c r="JDN272" s="18"/>
      <c r="JDO272" s="18"/>
      <c r="JDP272" s="18"/>
      <c r="JDQ272" s="18"/>
      <c r="JDR272" s="18"/>
      <c r="JDS272" s="18"/>
      <c r="JDT272" s="18"/>
      <c r="JDU272" s="18"/>
      <c r="JDV272" s="18"/>
      <c r="JDW272" s="18"/>
      <c r="JDX272" s="18"/>
      <c r="JDY272" s="18"/>
      <c r="JDZ272" s="18"/>
      <c r="JEA272" s="18"/>
      <c r="JEB272" s="18"/>
      <c r="JEC272" s="18"/>
      <c r="JED272" s="18"/>
      <c r="JEE272" s="18"/>
      <c r="JEF272" s="18"/>
      <c r="JEG272" s="18"/>
      <c r="JEH272" s="18"/>
      <c r="JEI272" s="18"/>
      <c r="JEJ272" s="18"/>
      <c r="JEK272" s="18"/>
      <c r="JEL272" s="18"/>
      <c r="JEM272" s="18"/>
      <c r="JEN272" s="18"/>
      <c r="JEO272" s="18"/>
      <c r="JEP272" s="18"/>
      <c r="JEQ272" s="18"/>
      <c r="JER272" s="18"/>
      <c r="JES272" s="18"/>
      <c r="JET272" s="18"/>
      <c r="JEU272" s="18"/>
      <c r="JEV272" s="18"/>
      <c r="JEW272" s="18"/>
      <c r="JEX272" s="18"/>
      <c r="JEY272" s="18"/>
      <c r="JEZ272" s="18"/>
      <c r="JFA272" s="18"/>
      <c r="JFB272" s="18"/>
      <c r="JFC272" s="18"/>
      <c r="JFD272" s="18"/>
      <c r="JFE272" s="18"/>
      <c r="JFF272" s="18"/>
      <c r="JFG272" s="18"/>
      <c r="JFH272" s="18"/>
      <c r="JFI272" s="18"/>
      <c r="JFJ272" s="18"/>
      <c r="JFK272" s="18"/>
      <c r="JFL272" s="18"/>
      <c r="JFM272" s="18"/>
      <c r="JFN272" s="18"/>
      <c r="JFO272" s="18"/>
      <c r="JFP272" s="18"/>
      <c r="JFQ272" s="18"/>
      <c r="JFR272" s="18"/>
      <c r="JFS272" s="18"/>
      <c r="JFT272" s="18"/>
      <c r="JFU272" s="18"/>
      <c r="JFV272" s="18"/>
      <c r="JFW272" s="18"/>
      <c r="JFX272" s="18"/>
      <c r="JFY272" s="18"/>
      <c r="JFZ272" s="18"/>
      <c r="JGA272" s="18"/>
      <c r="JGB272" s="18"/>
      <c r="JGC272" s="18"/>
      <c r="JGD272" s="18"/>
      <c r="JGE272" s="18"/>
      <c r="JGF272" s="18"/>
      <c r="JGG272" s="18"/>
      <c r="JGH272" s="18"/>
      <c r="JGI272" s="18"/>
      <c r="JGJ272" s="18"/>
      <c r="JGK272" s="18"/>
      <c r="JGL272" s="18"/>
      <c r="JGM272" s="18"/>
      <c r="JGN272" s="18"/>
      <c r="JGO272" s="18"/>
      <c r="JGP272" s="18"/>
      <c r="JGQ272" s="18"/>
      <c r="JGR272" s="18"/>
      <c r="JGS272" s="18"/>
      <c r="JGT272" s="18"/>
      <c r="JGU272" s="18"/>
      <c r="JGV272" s="18"/>
      <c r="JGW272" s="18"/>
      <c r="JGX272" s="18"/>
      <c r="JGY272" s="18"/>
      <c r="JGZ272" s="18"/>
      <c r="JHA272" s="18"/>
      <c r="JHB272" s="18"/>
      <c r="JHC272" s="18"/>
      <c r="JHD272" s="18"/>
      <c r="JHE272" s="18"/>
      <c r="JHF272" s="18"/>
      <c r="JHG272" s="18"/>
      <c r="JHH272" s="18"/>
      <c r="JHI272" s="18"/>
      <c r="JHJ272" s="18"/>
      <c r="JHK272" s="18"/>
      <c r="JHL272" s="18"/>
      <c r="JHM272" s="18"/>
      <c r="JHN272" s="18"/>
      <c r="JHO272" s="18"/>
      <c r="JHP272" s="18"/>
      <c r="JHQ272" s="18"/>
      <c r="JHR272" s="18"/>
      <c r="JHS272" s="18"/>
      <c r="JHT272" s="18"/>
      <c r="JHU272" s="18"/>
      <c r="JHV272" s="18"/>
      <c r="JHW272" s="18"/>
      <c r="JHX272" s="18"/>
      <c r="JHY272" s="18"/>
      <c r="JHZ272" s="18"/>
      <c r="JIA272" s="18"/>
      <c r="JIB272" s="18"/>
      <c r="JIC272" s="18"/>
      <c r="JID272" s="18"/>
      <c r="JIE272" s="18"/>
      <c r="JIF272" s="18"/>
      <c r="JIG272" s="18"/>
      <c r="JIH272" s="18"/>
      <c r="JII272" s="18"/>
      <c r="JIJ272" s="18"/>
      <c r="JIK272" s="18"/>
      <c r="JIL272" s="18"/>
      <c r="JIM272" s="18"/>
      <c r="JIN272" s="18"/>
      <c r="JIO272" s="18"/>
      <c r="JIP272" s="18"/>
      <c r="JIQ272" s="18"/>
      <c r="JIR272" s="18"/>
      <c r="JIS272" s="18"/>
      <c r="JIT272" s="18"/>
      <c r="JIU272" s="18"/>
      <c r="JIV272" s="18"/>
      <c r="JIW272" s="18"/>
      <c r="JIX272" s="18"/>
      <c r="JIY272" s="18"/>
      <c r="JIZ272" s="18"/>
      <c r="JJA272" s="18"/>
      <c r="JJB272" s="18"/>
      <c r="JJC272" s="18"/>
      <c r="JJD272" s="18"/>
      <c r="JJE272" s="18"/>
      <c r="JJF272" s="18"/>
      <c r="JJG272" s="18"/>
      <c r="JJH272" s="18"/>
      <c r="JJI272" s="18"/>
      <c r="JJJ272" s="18"/>
      <c r="JJK272" s="18"/>
      <c r="JJL272" s="18"/>
      <c r="JJM272" s="18"/>
      <c r="JJN272" s="18"/>
      <c r="JJO272" s="18"/>
      <c r="JJP272" s="18"/>
      <c r="JJQ272" s="18"/>
      <c r="JJR272" s="18"/>
      <c r="JJS272" s="18"/>
      <c r="JJT272" s="18"/>
      <c r="JJU272" s="18"/>
      <c r="JJV272" s="18"/>
      <c r="JJW272" s="18"/>
      <c r="JJX272" s="18"/>
      <c r="JJY272" s="18"/>
      <c r="JJZ272" s="18"/>
      <c r="JKA272" s="18"/>
      <c r="JKB272" s="18"/>
      <c r="JKC272" s="18"/>
      <c r="JKD272" s="18"/>
      <c r="JKE272" s="18"/>
      <c r="JKF272" s="18"/>
      <c r="JKG272" s="18"/>
      <c r="JKH272" s="18"/>
      <c r="JKI272" s="18"/>
      <c r="JKJ272" s="18"/>
      <c r="JKK272" s="18"/>
      <c r="JKL272" s="18"/>
      <c r="JKM272" s="18"/>
      <c r="JKN272" s="18"/>
      <c r="JKO272" s="18"/>
      <c r="JKP272" s="18"/>
      <c r="JKQ272" s="18"/>
      <c r="JKR272" s="18"/>
      <c r="JKS272" s="18"/>
      <c r="JKT272" s="18"/>
      <c r="JKU272" s="18"/>
      <c r="JKV272" s="18"/>
      <c r="JKW272" s="18"/>
      <c r="JKX272" s="18"/>
      <c r="JKY272" s="18"/>
      <c r="JKZ272" s="18"/>
      <c r="JLA272" s="18"/>
      <c r="JLB272" s="18"/>
      <c r="JLC272" s="18"/>
      <c r="JLD272" s="18"/>
      <c r="JLE272" s="18"/>
      <c r="JLF272" s="18"/>
      <c r="JLG272" s="18"/>
      <c r="JLH272" s="18"/>
      <c r="JLI272" s="18"/>
      <c r="JLJ272" s="18"/>
      <c r="JLK272" s="18"/>
      <c r="JLL272" s="18"/>
      <c r="JLM272" s="18"/>
      <c r="JLN272" s="18"/>
      <c r="JLO272" s="18"/>
      <c r="JLP272" s="18"/>
      <c r="JLQ272" s="18"/>
      <c r="JLR272" s="18"/>
      <c r="JLS272" s="18"/>
      <c r="JLT272" s="18"/>
      <c r="JLU272" s="18"/>
      <c r="JLV272" s="18"/>
      <c r="JLW272" s="18"/>
      <c r="JLX272" s="18"/>
      <c r="JLY272" s="18"/>
      <c r="JLZ272" s="18"/>
      <c r="JMA272" s="18"/>
      <c r="JMB272" s="18"/>
      <c r="JMC272" s="18"/>
      <c r="JMD272" s="18"/>
      <c r="JME272" s="18"/>
      <c r="JMF272" s="18"/>
      <c r="JMG272" s="18"/>
      <c r="JMH272" s="18"/>
      <c r="JMI272" s="18"/>
      <c r="JMJ272" s="18"/>
      <c r="JMK272" s="18"/>
      <c r="JML272" s="18"/>
      <c r="JMM272" s="18"/>
      <c r="JMN272" s="18"/>
      <c r="JMO272" s="18"/>
      <c r="JMP272" s="18"/>
      <c r="JMQ272" s="18"/>
      <c r="JMR272" s="18"/>
      <c r="JMS272" s="18"/>
      <c r="JMT272" s="18"/>
      <c r="JMU272" s="18"/>
      <c r="JMV272" s="18"/>
      <c r="JMW272" s="18"/>
      <c r="JMX272" s="18"/>
      <c r="JMY272" s="18"/>
      <c r="JMZ272" s="18"/>
      <c r="JNA272" s="18"/>
      <c r="JNB272" s="18"/>
      <c r="JNC272" s="18"/>
      <c r="JND272" s="18"/>
      <c r="JNE272" s="18"/>
      <c r="JNF272" s="18"/>
      <c r="JNG272" s="18"/>
      <c r="JNH272" s="18"/>
      <c r="JNI272" s="18"/>
      <c r="JNJ272" s="18"/>
      <c r="JNK272" s="18"/>
      <c r="JNL272" s="18"/>
      <c r="JNM272" s="18"/>
      <c r="JNN272" s="18"/>
      <c r="JNO272" s="18"/>
      <c r="JNP272" s="18"/>
      <c r="JNQ272" s="18"/>
      <c r="JNR272" s="18"/>
      <c r="JNS272" s="18"/>
      <c r="JNT272" s="18"/>
      <c r="JNU272" s="18"/>
      <c r="JNV272" s="18"/>
      <c r="JNW272" s="18"/>
      <c r="JNX272" s="18"/>
      <c r="JNY272" s="18"/>
      <c r="JNZ272" s="18"/>
      <c r="JOA272" s="18"/>
      <c r="JOB272" s="18"/>
      <c r="JOC272" s="18"/>
      <c r="JOD272" s="18"/>
      <c r="JOE272" s="18"/>
      <c r="JOF272" s="18"/>
      <c r="JOG272" s="18"/>
      <c r="JOH272" s="18"/>
      <c r="JOI272" s="18"/>
      <c r="JOJ272" s="18"/>
      <c r="JOK272" s="18"/>
      <c r="JOL272" s="18"/>
      <c r="JOM272" s="18"/>
      <c r="JON272" s="18"/>
      <c r="JOO272" s="18"/>
      <c r="JOP272" s="18"/>
      <c r="JOQ272" s="18"/>
      <c r="JOR272" s="18"/>
      <c r="JOS272" s="18"/>
      <c r="JOT272" s="18"/>
      <c r="JOU272" s="18"/>
      <c r="JOV272" s="18"/>
      <c r="JOW272" s="18"/>
      <c r="JOX272" s="18"/>
      <c r="JOY272" s="18"/>
      <c r="JOZ272" s="18"/>
      <c r="JPA272" s="18"/>
      <c r="JPB272" s="18"/>
      <c r="JPC272" s="18"/>
      <c r="JPD272" s="18"/>
      <c r="JPE272" s="18"/>
      <c r="JPF272" s="18"/>
      <c r="JPG272" s="18"/>
      <c r="JPH272" s="18"/>
      <c r="JPI272" s="18"/>
      <c r="JPJ272" s="18"/>
      <c r="JPK272" s="18"/>
      <c r="JPL272" s="18"/>
      <c r="JPM272" s="18"/>
      <c r="JPN272" s="18"/>
      <c r="JPO272" s="18"/>
      <c r="JPP272" s="18"/>
      <c r="JPQ272" s="18"/>
      <c r="JPR272" s="18"/>
      <c r="JPS272" s="18"/>
      <c r="JPT272" s="18"/>
      <c r="JPU272" s="18"/>
      <c r="JPV272" s="18"/>
      <c r="JPW272" s="18"/>
      <c r="JPX272" s="18"/>
      <c r="JPY272" s="18"/>
      <c r="JPZ272" s="18"/>
      <c r="JQA272" s="18"/>
      <c r="JQB272" s="18"/>
      <c r="JQC272" s="18"/>
      <c r="JQD272" s="18"/>
      <c r="JQE272" s="18"/>
      <c r="JQF272" s="18"/>
      <c r="JQG272" s="18"/>
      <c r="JQH272" s="18"/>
      <c r="JQI272" s="18"/>
      <c r="JQJ272" s="18"/>
      <c r="JQK272" s="18"/>
      <c r="JQL272" s="18"/>
      <c r="JQM272" s="18"/>
      <c r="JQN272" s="18"/>
      <c r="JQO272" s="18"/>
      <c r="JQP272" s="18"/>
      <c r="JQQ272" s="18"/>
      <c r="JQR272" s="18"/>
      <c r="JQS272" s="18"/>
      <c r="JQT272" s="18"/>
      <c r="JQU272" s="18"/>
      <c r="JQV272" s="18"/>
      <c r="JQW272" s="18"/>
      <c r="JQX272" s="18"/>
      <c r="JQY272" s="18"/>
      <c r="JQZ272" s="18"/>
      <c r="JRA272" s="18"/>
      <c r="JRB272" s="18"/>
      <c r="JRC272" s="18"/>
      <c r="JRD272" s="18"/>
      <c r="JRE272" s="18"/>
      <c r="JRF272" s="18"/>
      <c r="JRG272" s="18"/>
      <c r="JRH272" s="18"/>
      <c r="JRI272" s="18"/>
      <c r="JRJ272" s="18"/>
      <c r="JRK272" s="18"/>
      <c r="JRL272" s="18"/>
      <c r="JRM272" s="18"/>
      <c r="JRN272" s="18"/>
      <c r="JRO272" s="18"/>
      <c r="JRP272" s="18"/>
      <c r="JRQ272" s="18"/>
      <c r="JRR272" s="18"/>
      <c r="JRS272" s="18"/>
      <c r="JRT272" s="18"/>
      <c r="JRU272" s="18"/>
      <c r="JRV272" s="18"/>
      <c r="JRW272" s="18"/>
      <c r="JRX272" s="18"/>
      <c r="JRY272" s="18"/>
      <c r="JRZ272" s="18"/>
      <c r="JSA272" s="18"/>
      <c r="JSB272" s="18"/>
      <c r="JSC272" s="18"/>
      <c r="JSD272" s="18"/>
      <c r="JSE272" s="18"/>
      <c r="JSF272" s="18"/>
      <c r="JSG272" s="18"/>
      <c r="JSH272" s="18"/>
      <c r="JSI272" s="18"/>
      <c r="JSJ272" s="18"/>
      <c r="JSK272" s="18"/>
      <c r="JSL272" s="18"/>
      <c r="JSM272" s="18"/>
      <c r="JSN272" s="18"/>
      <c r="JSO272" s="18"/>
      <c r="JSP272" s="18"/>
      <c r="JSQ272" s="18"/>
      <c r="JSR272" s="18"/>
      <c r="JSS272" s="18"/>
      <c r="JST272" s="18"/>
      <c r="JSU272" s="18"/>
      <c r="JSV272" s="18"/>
      <c r="JSW272" s="18"/>
      <c r="JSX272" s="18"/>
      <c r="JSY272" s="18"/>
      <c r="JSZ272" s="18"/>
      <c r="JTA272" s="18"/>
      <c r="JTB272" s="18"/>
      <c r="JTC272" s="18"/>
      <c r="JTD272" s="18"/>
      <c r="JTE272" s="18"/>
      <c r="JTF272" s="18"/>
      <c r="JTG272" s="18"/>
      <c r="JTH272" s="18"/>
      <c r="JTI272" s="18"/>
      <c r="JTJ272" s="18"/>
      <c r="JTK272" s="18"/>
      <c r="JTL272" s="18"/>
      <c r="JTM272" s="18"/>
      <c r="JTN272" s="18"/>
      <c r="JTO272" s="18"/>
      <c r="JTP272" s="18"/>
      <c r="JTQ272" s="18"/>
      <c r="JTR272" s="18"/>
      <c r="JTS272" s="18"/>
      <c r="JTT272" s="18"/>
      <c r="JTU272" s="18"/>
      <c r="JTV272" s="18"/>
      <c r="JTW272" s="18"/>
      <c r="JTX272" s="18"/>
      <c r="JTY272" s="18"/>
      <c r="JTZ272" s="18"/>
      <c r="JUA272" s="18"/>
      <c r="JUB272" s="18"/>
      <c r="JUC272" s="18"/>
      <c r="JUD272" s="18"/>
      <c r="JUE272" s="18"/>
      <c r="JUF272" s="18"/>
      <c r="JUG272" s="18"/>
      <c r="JUH272" s="18"/>
      <c r="JUI272" s="18"/>
      <c r="JUJ272" s="18"/>
      <c r="JUK272" s="18"/>
      <c r="JUL272" s="18"/>
      <c r="JUM272" s="18"/>
      <c r="JUN272" s="18"/>
      <c r="JUO272" s="18"/>
      <c r="JUP272" s="18"/>
      <c r="JUQ272" s="18"/>
      <c r="JUR272" s="18"/>
      <c r="JUS272" s="18"/>
      <c r="JUT272" s="18"/>
      <c r="JUU272" s="18"/>
      <c r="JUV272" s="18"/>
      <c r="JUW272" s="18"/>
      <c r="JUX272" s="18"/>
      <c r="JUY272" s="18"/>
      <c r="JUZ272" s="18"/>
      <c r="JVA272" s="18"/>
      <c r="JVB272" s="18"/>
      <c r="JVC272" s="18"/>
      <c r="JVD272" s="18"/>
      <c r="JVE272" s="18"/>
      <c r="JVF272" s="18"/>
      <c r="JVG272" s="18"/>
      <c r="JVH272" s="18"/>
      <c r="JVI272" s="18"/>
      <c r="JVJ272" s="18"/>
      <c r="JVK272" s="18"/>
      <c r="JVL272" s="18"/>
      <c r="JVM272" s="18"/>
      <c r="JVN272" s="18"/>
      <c r="JVO272" s="18"/>
      <c r="JVP272" s="18"/>
      <c r="JVQ272" s="18"/>
      <c r="JVR272" s="18"/>
      <c r="JVS272" s="18"/>
      <c r="JVT272" s="18"/>
      <c r="JVU272" s="18"/>
      <c r="JVV272" s="18"/>
      <c r="JVW272" s="18"/>
      <c r="JVX272" s="18"/>
      <c r="JVY272" s="18"/>
      <c r="JVZ272" s="18"/>
      <c r="JWA272" s="18"/>
      <c r="JWB272" s="18"/>
      <c r="JWC272" s="18"/>
      <c r="JWD272" s="18"/>
      <c r="JWE272" s="18"/>
      <c r="JWF272" s="18"/>
      <c r="JWG272" s="18"/>
      <c r="JWH272" s="18"/>
      <c r="JWI272" s="18"/>
      <c r="JWJ272" s="18"/>
      <c r="JWK272" s="18"/>
      <c r="JWL272" s="18"/>
      <c r="JWM272" s="18"/>
      <c r="JWN272" s="18"/>
      <c r="JWO272" s="18"/>
      <c r="JWP272" s="18"/>
      <c r="JWQ272" s="18"/>
      <c r="JWR272" s="18"/>
      <c r="JWS272" s="18"/>
      <c r="JWT272" s="18"/>
      <c r="JWU272" s="18"/>
      <c r="JWV272" s="18"/>
      <c r="JWW272" s="18"/>
      <c r="JWX272" s="18"/>
      <c r="JWY272" s="18"/>
      <c r="JWZ272" s="18"/>
      <c r="JXA272" s="18"/>
      <c r="JXB272" s="18"/>
      <c r="JXC272" s="18"/>
      <c r="JXD272" s="18"/>
      <c r="JXE272" s="18"/>
      <c r="JXF272" s="18"/>
      <c r="JXG272" s="18"/>
      <c r="JXH272" s="18"/>
      <c r="JXI272" s="18"/>
      <c r="JXJ272" s="18"/>
      <c r="JXK272" s="18"/>
      <c r="JXL272" s="18"/>
      <c r="JXM272" s="18"/>
      <c r="JXN272" s="18"/>
      <c r="JXO272" s="18"/>
      <c r="JXP272" s="18"/>
      <c r="JXQ272" s="18"/>
      <c r="JXR272" s="18"/>
      <c r="JXS272" s="18"/>
      <c r="JXT272" s="18"/>
      <c r="JXU272" s="18"/>
      <c r="JXV272" s="18"/>
      <c r="JXW272" s="18"/>
      <c r="JXX272" s="18"/>
      <c r="JXY272" s="18"/>
      <c r="JXZ272" s="18"/>
      <c r="JYA272" s="18"/>
      <c r="JYB272" s="18"/>
      <c r="JYC272" s="18"/>
      <c r="JYD272" s="18"/>
      <c r="JYE272" s="18"/>
      <c r="JYF272" s="18"/>
      <c r="JYG272" s="18"/>
      <c r="JYH272" s="18"/>
      <c r="JYI272" s="18"/>
      <c r="JYJ272" s="18"/>
      <c r="JYK272" s="18"/>
      <c r="JYL272" s="18"/>
      <c r="JYM272" s="18"/>
      <c r="JYN272" s="18"/>
      <c r="JYO272" s="18"/>
      <c r="JYP272" s="18"/>
      <c r="JYQ272" s="18"/>
      <c r="JYR272" s="18"/>
      <c r="JYS272" s="18"/>
      <c r="JYT272" s="18"/>
      <c r="JYU272" s="18"/>
      <c r="JYV272" s="18"/>
      <c r="JYW272" s="18"/>
      <c r="JYX272" s="18"/>
      <c r="JYY272" s="18"/>
      <c r="JYZ272" s="18"/>
      <c r="JZA272" s="18"/>
      <c r="JZB272" s="18"/>
      <c r="JZC272" s="18"/>
      <c r="JZD272" s="18"/>
      <c r="JZE272" s="18"/>
      <c r="JZF272" s="18"/>
      <c r="JZG272" s="18"/>
      <c r="JZH272" s="18"/>
      <c r="JZI272" s="18"/>
      <c r="JZJ272" s="18"/>
      <c r="JZK272" s="18"/>
      <c r="JZL272" s="18"/>
      <c r="JZM272" s="18"/>
      <c r="JZN272" s="18"/>
      <c r="JZO272" s="18"/>
      <c r="JZP272" s="18"/>
      <c r="JZQ272" s="18"/>
      <c r="JZR272" s="18"/>
      <c r="JZS272" s="18"/>
      <c r="JZT272" s="18"/>
      <c r="JZU272" s="18"/>
      <c r="JZV272" s="18"/>
      <c r="JZW272" s="18"/>
      <c r="JZX272" s="18"/>
      <c r="JZY272" s="18"/>
      <c r="JZZ272" s="18"/>
      <c r="KAA272" s="18"/>
      <c r="KAB272" s="18"/>
      <c r="KAC272" s="18"/>
      <c r="KAD272" s="18"/>
      <c r="KAE272" s="18"/>
      <c r="KAF272" s="18"/>
      <c r="KAG272" s="18"/>
      <c r="KAH272" s="18"/>
      <c r="KAI272" s="18"/>
      <c r="KAJ272" s="18"/>
      <c r="KAK272" s="18"/>
      <c r="KAL272" s="18"/>
      <c r="KAM272" s="18"/>
      <c r="KAN272" s="18"/>
      <c r="KAO272" s="18"/>
      <c r="KAP272" s="18"/>
      <c r="KAQ272" s="18"/>
      <c r="KAR272" s="18"/>
      <c r="KAS272" s="18"/>
      <c r="KAT272" s="18"/>
      <c r="KAU272" s="18"/>
      <c r="KAV272" s="18"/>
      <c r="KAW272" s="18"/>
      <c r="KAX272" s="18"/>
      <c r="KAY272" s="18"/>
      <c r="KAZ272" s="18"/>
      <c r="KBA272" s="18"/>
      <c r="KBB272" s="18"/>
      <c r="KBC272" s="18"/>
      <c r="KBD272" s="18"/>
      <c r="KBE272" s="18"/>
      <c r="KBF272" s="18"/>
      <c r="KBG272" s="18"/>
      <c r="KBH272" s="18"/>
      <c r="KBI272" s="18"/>
      <c r="KBJ272" s="18"/>
      <c r="KBK272" s="18"/>
      <c r="KBL272" s="18"/>
      <c r="KBM272" s="18"/>
      <c r="KBN272" s="18"/>
      <c r="KBO272" s="18"/>
      <c r="KBP272" s="18"/>
      <c r="KBQ272" s="18"/>
      <c r="KBR272" s="18"/>
      <c r="KBS272" s="18"/>
      <c r="KBT272" s="18"/>
      <c r="KBU272" s="18"/>
      <c r="KBV272" s="18"/>
      <c r="KBW272" s="18"/>
      <c r="KBX272" s="18"/>
      <c r="KBY272" s="18"/>
      <c r="KBZ272" s="18"/>
      <c r="KCA272" s="18"/>
      <c r="KCB272" s="18"/>
      <c r="KCC272" s="18"/>
      <c r="KCD272" s="18"/>
      <c r="KCE272" s="18"/>
      <c r="KCF272" s="18"/>
      <c r="KCG272" s="18"/>
      <c r="KCH272" s="18"/>
      <c r="KCI272" s="18"/>
      <c r="KCJ272" s="18"/>
      <c r="KCK272" s="18"/>
      <c r="KCL272" s="18"/>
      <c r="KCM272" s="18"/>
      <c r="KCN272" s="18"/>
      <c r="KCO272" s="18"/>
      <c r="KCP272" s="18"/>
      <c r="KCQ272" s="18"/>
      <c r="KCR272" s="18"/>
      <c r="KCS272" s="18"/>
      <c r="KCT272" s="18"/>
      <c r="KCU272" s="18"/>
      <c r="KCV272" s="18"/>
      <c r="KCW272" s="18"/>
      <c r="KCX272" s="18"/>
      <c r="KCY272" s="18"/>
      <c r="KCZ272" s="18"/>
      <c r="KDA272" s="18"/>
      <c r="KDB272" s="18"/>
      <c r="KDC272" s="18"/>
      <c r="KDD272" s="18"/>
      <c r="KDE272" s="18"/>
      <c r="KDF272" s="18"/>
      <c r="KDG272" s="18"/>
      <c r="KDH272" s="18"/>
      <c r="KDI272" s="18"/>
      <c r="KDJ272" s="18"/>
      <c r="KDK272" s="18"/>
      <c r="KDL272" s="18"/>
      <c r="KDM272" s="18"/>
      <c r="KDN272" s="18"/>
      <c r="KDO272" s="18"/>
      <c r="KDP272" s="18"/>
      <c r="KDQ272" s="18"/>
      <c r="KDR272" s="18"/>
      <c r="KDS272" s="18"/>
      <c r="KDT272" s="18"/>
      <c r="KDU272" s="18"/>
      <c r="KDV272" s="18"/>
      <c r="KDW272" s="18"/>
      <c r="KDX272" s="18"/>
      <c r="KDY272" s="18"/>
      <c r="KDZ272" s="18"/>
      <c r="KEA272" s="18"/>
      <c r="KEB272" s="18"/>
      <c r="KEC272" s="18"/>
      <c r="KED272" s="18"/>
      <c r="KEE272" s="18"/>
      <c r="KEF272" s="18"/>
      <c r="KEG272" s="18"/>
      <c r="KEH272" s="18"/>
      <c r="KEI272" s="18"/>
      <c r="KEJ272" s="18"/>
      <c r="KEK272" s="18"/>
      <c r="KEL272" s="18"/>
      <c r="KEM272" s="18"/>
      <c r="KEN272" s="18"/>
      <c r="KEO272" s="18"/>
      <c r="KEP272" s="18"/>
      <c r="KEQ272" s="18"/>
      <c r="KER272" s="18"/>
      <c r="KES272" s="18"/>
      <c r="KET272" s="18"/>
      <c r="KEU272" s="18"/>
      <c r="KEV272" s="18"/>
      <c r="KEW272" s="18"/>
      <c r="KEX272" s="18"/>
      <c r="KEY272" s="18"/>
      <c r="KEZ272" s="18"/>
      <c r="KFA272" s="18"/>
      <c r="KFB272" s="18"/>
      <c r="KFC272" s="18"/>
      <c r="KFD272" s="18"/>
      <c r="KFE272" s="18"/>
      <c r="KFF272" s="18"/>
      <c r="KFG272" s="18"/>
      <c r="KFH272" s="18"/>
      <c r="KFI272" s="18"/>
      <c r="KFJ272" s="18"/>
      <c r="KFK272" s="18"/>
      <c r="KFL272" s="18"/>
      <c r="KFM272" s="18"/>
      <c r="KFN272" s="18"/>
      <c r="KFO272" s="18"/>
      <c r="KFP272" s="18"/>
      <c r="KFQ272" s="18"/>
      <c r="KFR272" s="18"/>
      <c r="KFS272" s="18"/>
      <c r="KFT272" s="18"/>
      <c r="KFU272" s="18"/>
      <c r="KFV272" s="18"/>
      <c r="KFW272" s="18"/>
      <c r="KFX272" s="18"/>
      <c r="KFY272" s="18"/>
      <c r="KFZ272" s="18"/>
      <c r="KGA272" s="18"/>
      <c r="KGB272" s="18"/>
      <c r="KGC272" s="18"/>
      <c r="KGD272" s="18"/>
      <c r="KGE272" s="18"/>
      <c r="KGF272" s="18"/>
      <c r="KGG272" s="18"/>
      <c r="KGH272" s="18"/>
      <c r="KGI272" s="18"/>
      <c r="KGJ272" s="18"/>
      <c r="KGK272" s="18"/>
      <c r="KGL272" s="18"/>
      <c r="KGM272" s="18"/>
      <c r="KGN272" s="18"/>
      <c r="KGO272" s="18"/>
      <c r="KGP272" s="18"/>
      <c r="KGQ272" s="18"/>
      <c r="KGR272" s="18"/>
      <c r="KGS272" s="18"/>
      <c r="KGT272" s="18"/>
      <c r="KGU272" s="18"/>
      <c r="KGV272" s="18"/>
      <c r="KGW272" s="18"/>
      <c r="KGX272" s="18"/>
      <c r="KGY272" s="18"/>
      <c r="KGZ272" s="18"/>
      <c r="KHA272" s="18"/>
      <c r="KHB272" s="18"/>
      <c r="KHC272" s="18"/>
      <c r="KHD272" s="18"/>
      <c r="KHE272" s="18"/>
      <c r="KHF272" s="18"/>
      <c r="KHG272" s="18"/>
      <c r="KHH272" s="18"/>
      <c r="KHI272" s="18"/>
      <c r="KHJ272" s="18"/>
      <c r="KHK272" s="18"/>
      <c r="KHL272" s="18"/>
      <c r="KHM272" s="18"/>
      <c r="KHN272" s="18"/>
      <c r="KHO272" s="18"/>
      <c r="KHP272" s="18"/>
      <c r="KHQ272" s="18"/>
      <c r="KHR272" s="18"/>
      <c r="KHS272" s="18"/>
      <c r="KHT272" s="18"/>
      <c r="KHU272" s="18"/>
      <c r="KHV272" s="18"/>
      <c r="KHW272" s="18"/>
      <c r="KHX272" s="18"/>
      <c r="KHY272" s="18"/>
      <c r="KHZ272" s="18"/>
      <c r="KIA272" s="18"/>
      <c r="KIB272" s="18"/>
      <c r="KIC272" s="18"/>
      <c r="KID272" s="18"/>
      <c r="KIE272" s="18"/>
      <c r="KIF272" s="18"/>
      <c r="KIG272" s="18"/>
      <c r="KIH272" s="18"/>
      <c r="KII272" s="18"/>
      <c r="KIJ272" s="18"/>
      <c r="KIK272" s="18"/>
      <c r="KIL272" s="18"/>
      <c r="KIM272" s="18"/>
      <c r="KIN272" s="18"/>
      <c r="KIO272" s="18"/>
      <c r="KIP272" s="18"/>
      <c r="KIQ272" s="18"/>
      <c r="KIR272" s="18"/>
      <c r="KIS272" s="18"/>
      <c r="KIT272" s="18"/>
      <c r="KIU272" s="18"/>
      <c r="KIV272" s="18"/>
      <c r="KIW272" s="18"/>
      <c r="KIX272" s="18"/>
      <c r="KIY272" s="18"/>
      <c r="KIZ272" s="18"/>
      <c r="KJA272" s="18"/>
      <c r="KJB272" s="18"/>
      <c r="KJC272" s="18"/>
      <c r="KJD272" s="18"/>
      <c r="KJE272" s="18"/>
      <c r="KJF272" s="18"/>
      <c r="KJG272" s="18"/>
      <c r="KJH272" s="18"/>
      <c r="KJI272" s="18"/>
      <c r="KJJ272" s="18"/>
      <c r="KJK272" s="18"/>
      <c r="KJL272" s="18"/>
      <c r="KJM272" s="18"/>
      <c r="KJN272" s="18"/>
      <c r="KJO272" s="18"/>
      <c r="KJP272" s="18"/>
      <c r="KJQ272" s="18"/>
      <c r="KJR272" s="18"/>
      <c r="KJS272" s="18"/>
      <c r="KJT272" s="18"/>
      <c r="KJU272" s="18"/>
      <c r="KJV272" s="18"/>
      <c r="KJW272" s="18"/>
      <c r="KJX272" s="18"/>
      <c r="KJY272" s="18"/>
      <c r="KJZ272" s="18"/>
      <c r="KKA272" s="18"/>
      <c r="KKB272" s="18"/>
      <c r="KKC272" s="18"/>
      <c r="KKD272" s="18"/>
      <c r="KKE272" s="18"/>
      <c r="KKF272" s="18"/>
      <c r="KKG272" s="18"/>
      <c r="KKH272" s="18"/>
      <c r="KKI272" s="18"/>
      <c r="KKJ272" s="18"/>
      <c r="KKK272" s="18"/>
      <c r="KKL272" s="18"/>
      <c r="KKM272" s="18"/>
      <c r="KKN272" s="18"/>
      <c r="KKO272" s="18"/>
      <c r="KKP272" s="18"/>
      <c r="KKQ272" s="18"/>
      <c r="KKR272" s="18"/>
      <c r="KKS272" s="18"/>
      <c r="KKT272" s="18"/>
      <c r="KKU272" s="18"/>
      <c r="KKV272" s="18"/>
      <c r="KKW272" s="18"/>
      <c r="KKX272" s="18"/>
      <c r="KKY272" s="18"/>
      <c r="KKZ272" s="18"/>
      <c r="KLA272" s="18"/>
      <c r="KLB272" s="18"/>
      <c r="KLC272" s="18"/>
      <c r="KLD272" s="18"/>
      <c r="KLE272" s="18"/>
      <c r="KLF272" s="18"/>
      <c r="KLG272" s="18"/>
      <c r="KLH272" s="18"/>
      <c r="KLI272" s="18"/>
      <c r="KLJ272" s="18"/>
      <c r="KLK272" s="18"/>
      <c r="KLL272" s="18"/>
      <c r="KLM272" s="18"/>
      <c r="KLN272" s="18"/>
      <c r="KLO272" s="18"/>
      <c r="KLP272" s="18"/>
      <c r="KLQ272" s="18"/>
      <c r="KLR272" s="18"/>
      <c r="KLS272" s="18"/>
      <c r="KLT272" s="18"/>
      <c r="KLU272" s="18"/>
      <c r="KLV272" s="18"/>
      <c r="KLW272" s="18"/>
      <c r="KLX272" s="18"/>
      <c r="KLY272" s="18"/>
      <c r="KLZ272" s="18"/>
      <c r="KMA272" s="18"/>
      <c r="KMB272" s="18"/>
      <c r="KMC272" s="18"/>
      <c r="KMD272" s="18"/>
      <c r="KME272" s="18"/>
      <c r="KMF272" s="18"/>
      <c r="KMG272" s="18"/>
      <c r="KMH272" s="18"/>
      <c r="KMI272" s="18"/>
      <c r="KMJ272" s="18"/>
      <c r="KMK272" s="18"/>
      <c r="KML272" s="18"/>
      <c r="KMM272" s="18"/>
      <c r="KMN272" s="18"/>
      <c r="KMO272" s="18"/>
      <c r="KMP272" s="18"/>
      <c r="KMQ272" s="18"/>
      <c r="KMR272" s="18"/>
      <c r="KMS272" s="18"/>
      <c r="KMT272" s="18"/>
      <c r="KMU272" s="18"/>
      <c r="KMV272" s="18"/>
      <c r="KMW272" s="18"/>
      <c r="KMX272" s="18"/>
      <c r="KMY272" s="18"/>
      <c r="KMZ272" s="18"/>
      <c r="KNA272" s="18"/>
      <c r="KNB272" s="18"/>
      <c r="KNC272" s="18"/>
      <c r="KND272" s="18"/>
      <c r="KNE272" s="18"/>
      <c r="KNF272" s="18"/>
      <c r="KNG272" s="18"/>
      <c r="KNH272" s="18"/>
      <c r="KNI272" s="18"/>
      <c r="KNJ272" s="18"/>
      <c r="KNK272" s="18"/>
      <c r="KNL272" s="18"/>
      <c r="KNM272" s="18"/>
      <c r="KNN272" s="18"/>
      <c r="KNO272" s="18"/>
      <c r="KNP272" s="18"/>
      <c r="KNQ272" s="18"/>
      <c r="KNR272" s="18"/>
      <c r="KNS272" s="18"/>
      <c r="KNT272" s="18"/>
      <c r="KNU272" s="18"/>
      <c r="KNV272" s="18"/>
      <c r="KNW272" s="18"/>
      <c r="KNX272" s="18"/>
      <c r="KNY272" s="18"/>
      <c r="KNZ272" s="18"/>
      <c r="KOA272" s="18"/>
      <c r="KOB272" s="18"/>
      <c r="KOC272" s="18"/>
      <c r="KOD272" s="18"/>
      <c r="KOE272" s="18"/>
      <c r="KOF272" s="18"/>
      <c r="KOG272" s="18"/>
      <c r="KOH272" s="18"/>
      <c r="KOI272" s="18"/>
      <c r="KOJ272" s="18"/>
      <c r="KOK272" s="18"/>
      <c r="KOL272" s="18"/>
      <c r="KOM272" s="18"/>
      <c r="KON272" s="18"/>
      <c r="KOO272" s="18"/>
      <c r="KOP272" s="18"/>
      <c r="KOQ272" s="18"/>
      <c r="KOR272" s="18"/>
      <c r="KOS272" s="18"/>
      <c r="KOT272" s="18"/>
      <c r="KOU272" s="18"/>
      <c r="KOV272" s="18"/>
      <c r="KOW272" s="18"/>
      <c r="KOX272" s="18"/>
      <c r="KOY272" s="18"/>
      <c r="KOZ272" s="18"/>
      <c r="KPA272" s="18"/>
      <c r="KPB272" s="18"/>
      <c r="KPC272" s="18"/>
      <c r="KPD272" s="18"/>
      <c r="KPE272" s="18"/>
      <c r="KPF272" s="18"/>
      <c r="KPG272" s="18"/>
      <c r="KPH272" s="18"/>
      <c r="KPI272" s="18"/>
      <c r="KPJ272" s="18"/>
      <c r="KPK272" s="18"/>
      <c r="KPL272" s="18"/>
      <c r="KPM272" s="18"/>
      <c r="KPN272" s="18"/>
      <c r="KPO272" s="18"/>
      <c r="KPP272" s="18"/>
      <c r="KPQ272" s="18"/>
      <c r="KPR272" s="18"/>
      <c r="KPS272" s="18"/>
      <c r="KPT272" s="18"/>
      <c r="KPU272" s="18"/>
      <c r="KPV272" s="18"/>
      <c r="KPW272" s="18"/>
      <c r="KPX272" s="18"/>
      <c r="KPY272" s="18"/>
      <c r="KPZ272" s="18"/>
      <c r="KQA272" s="18"/>
      <c r="KQB272" s="18"/>
      <c r="KQC272" s="18"/>
      <c r="KQD272" s="18"/>
      <c r="KQE272" s="18"/>
      <c r="KQF272" s="18"/>
      <c r="KQG272" s="18"/>
      <c r="KQH272" s="18"/>
      <c r="KQI272" s="18"/>
      <c r="KQJ272" s="18"/>
      <c r="KQK272" s="18"/>
      <c r="KQL272" s="18"/>
      <c r="KQM272" s="18"/>
      <c r="KQN272" s="18"/>
      <c r="KQO272" s="18"/>
      <c r="KQP272" s="18"/>
      <c r="KQQ272" s="18"/>
      <c r="KQR272" s="18"/>
      <c r="KQS272" s="18"/>
      <c r="KQT272" s="18"/>
      <c r="KQU272" s="18"/>
      <c r="KQV272" s="18"/>
      <c r="KQW272" s="18"/>
      <c r="KQX272" s="18"/>
      <c r="KQY272" s="18"/>
      <c r="KQZ272" s="18"/>
      <c r="KRA272" s="18"/>
      <c r="KRB272" s="18"/>
      <c r="KRC272" s="18"/>
      <c r="KRD272" s="18"/>
      <c r="KRE272" s="18"/>
      <c r="KRF272" s="18"/>
      <c r="KRG272" s="18"/>
      <c r="KRH272" s="18"/>
      <c r="KRI272" s="18"/>
      <c r="KRJ272" s="18"/>
      <c r="KRK272" s="18"/>
      <c r="KRL272" s="18"/>
      <c r="KRM272" s="18"/>
      <c r="KRN272" s="18"/>
      <c r="KRO272" s="18"/>
      <c r="KRP272" s="18"/>
      <c r="KRQ272" s="18"/>
      <c r="KRR272" s="18"/>
      <c r="KRS272" s="18"/>
      <c r="KRT272" s="18"/>
      <c r="KRU272" s="18"/>
      <c r="KRV272" s="18"/>
      <c r="KRW272" s="18"/>
      <c r="KRX272" s="18"/>
      <c r="KRY272" s="18"/>
      <c r="KRZ272" s="18"/>
      <c r="KSA272" s="18"/>
      <c r="KSB272" s="18"/>
      <c r="KSC272" s="18"/>
      <c r="KSD272" s="18"/>
      <c r="KSE272" s="18"/>
      <c r="KSF272" s="18"/>
      <c r="KSG272" s="18"/>
      <c r="KSH272" s="18"/>
      <c r="KSI272" s="18"/>
      <c r="KSJ272" s="18"/>
      <c r="KSK272" s="18"/>
      <c r="KSL272" s="18"/>
      <c r="KSM272" s="18"/>
      <c r="KSN272" s="18"/>
      <c r="KSO272" s="18"/>
      <c r="KSP272" s="18"/>
      <c r="KSQ272" s="18"/>
      <c r="KSR272" s="18"/>
      <c r="KSS272" s="18"/>
      <c r="KST272" s="18"/>
      <c r="KSU272" s="18"/>
      <c r="KSV272" s="18"/>
      <c r="KSW272" s="18"/>
      <c r="KSX272" s="18"/>
      <c r="KSY272" s="18"/>
      <c r="KSZ272" s="18"/>
      <c r="KTA272" s="18"/>
      <c r="KTB272" s="18"/>
      <c r="KTC272" s="18"/>
      <c r="KTD272" s="18"/>
      <c r="KTE272" s="18"/>
      <c r="KTF272" s="18"/>
      <c r="KTG272" s="18"/>
      <c r="KTH272" s="18"/>
      <c r="KTI272" s="18"/>
      <c r="KTJ272" s="18"/>
      <c r="KTK272" s="18"/>
      <c r="KTL272" s="18"/>
      <c r="KTM272" s="18"/>
      <c r="KTN272" s="18"/>
      <c r="KTO272" s="18"/>
      <c r="KTP272" s="18"/>
      <c r="KTQ272" s="18"/>
      <c r="KTR272" s="18"/>
      <c r="KTS272" s="18"/>
      <c r="KTT272" s="18"/>
      <c r="KTU272" s="18"/>
      <c r="KTV272" s="18"/>
      <c r="KTW272" s="18"/>
      <c r="KTX272" s="18"/>
      <c r="KTY272" s="18"/>
      <c r="KTZ272" s="18"/>
      <c r="KUA272" s="18"/>
      <c r="KUB272" s="18"/>
      <c r="KUC272" s="18"/>
      <c r="KUD272" s="18"/>
      <c r="KUE272" s="18"/>
      <c r="KUF272" s="18"/>
      <c r="KUG272" s="18"/>
      <c r="KUH272" s="18"/>
      <c r="KUI272" s="18"/>
      <c r="KUJ272" s="18"/>
      <c r="KUK272" s="18"/>
      <c r="KUL272" s="18"/>
      <c r="KUM272" s="18"/>
      <c r="KUN272" s="18"/>
      <c r="KUO272" s="18"/>
      <c r="KUP272" s="18"/>
      <c r="KUQ272" s="18"/>
      <c r="KUR272" s="18"/>
      <c r="KUS272" s="18"/>
      <c r="KUT272" s="18"/>
      <c r="KUU272" s="18"/>
      <c r="KUV272" s="18"/>
      <c r="KUW272" s="18"/>
      <c r="KUX272" s="18"/>
      <c r="KUY272" s="18"/>
      <c r="KUZ272" s="18"/>
      <c r="KVA272" s="18"/>
      <c r="KVB272" s="18"/>
      <c r="KVC272" s="18"/>
      <c r="KVD272" s="18"/>
      <c r="KVE272" s="18"/>
      <c r="KVF272" s="18"/>
      <c r="KVG272" s="18"/>
      <c r="KVH272" s="18"/>
      <c r="KVI272" s="18"/>
      <c r="KVJ272" s="18"/>
      <c r="KVK272" s="18"/>
      <c r="KVL272" s="18"/>
      <c r="KVM272" s="18"/>
      <c r="KVN272" s="18"/>
      <c r="KVO272" s="18"/>
      <c r="KVP272" s="18"/>
      <c r="KVQ272" s="18"/>
      <c r="KVR272" s="18"/>
      <c r="KVS272" s="18"/>
      <c r="KVT272" s="18"/>
      <c r="KVU272" s="18"/>
      <c r="KVV272" s="18"/>
      <c r="KVW272" s="18"/>
      <c r="KVX272" s="18"/>
      <c r="KVY272" s="18"/>
      <c r="KVZ272" s="18"/>
      <c r="KWA272" s="18"/>
      <c r="KWB272" s="18"/>
      <c r="KWC272" s="18"/>
      <c r="KWD272" s="18"/>
      <c r="KWE272" s="18"/>
      <c r="KWF272" s="18"/>
      <c r="KWG272" s="18"/>
      <c r="KWH272" s="18"/>
      <c r="KWI272" s="18"/>
      <c r="KWJ272" s="18"/>
      <c r="KWK272" s="18"/>
      <c r="KWL272" s="18"/>
      <c r="KWM272" s="18"/>
      <c r="KWN272" s="18"/>
      <c r="KWO272" s="18"/>
      <c r="KWP272" s="18"/>
      <c r="KWQ272" s="18"/>
      <c r="KWR272" s="18"/>
      <c r="KWS272" s="18"/>
      <c r="KWT272" s="18"/>
      <c r="KWU272" s="18"/>
      <c r="KWV272" s="18"/>
      <c r="KWW272" s="18"/>
      <c r="KWX272" s="18"/>
      <c r="KWY272" s="18"/>
      <c r="KWZ272" s="18"/>
      <c r="KXA272" s="18"/>
      <c r="KXB272" s="18"/>
      <c r="KXC272" s="18"/>
      <c r="KXD272" s="18"/>
      <c r="KXE272" s="18"/>
      <c r="KXF272" s="18"/>
      <c r="KXG272" s="18"/>
      <c r="KXH272" s="18"/>
      <c r="KXI272" s="18"/>
      <c r="KXJ272" s="18"/>
      <c r="KXK272" s="18"/>
      <c r="KXL272" s="18"/>
      <c r="KXM272" s="18"/>
      <c r="KXN272" s="18"/>
      <c r="KXO272" s="18"/>
      <c r="KXP272" s="18"/>
      <c r="KXQ272" s="18"/>
      <c r="KXR272" s="18"/>
      <c r="KXS272" s="18"/>
      <c r="KXT272" s="18"/>
      <c r="KXU272" s="18"/>
      <c r="KXV272" s="18"/>
      <c r="KXW272" s="18"/>
      <c r="KXX272" s="18"/>
      <c r="KXY272" s="18"/>
      <c r="KXZ272" s="18"/>
      <c r="KYA272" s="18"/>
      <c r="KYB272" s="18"/>
      <c r="KYC272" s="18"/>
      <c r="KYD272" s="18"/>
      <c r="KYE272" s="18"/>
      <c r="KYF272" s="18"/>
      <c r="KYG272" s="18"/>
      <c r="KYH272" s="18"/>
      <c r="KYI272" s="18"/>
      <c r="KYJ272" s="18"/>
      <c r="KYK272" s="18"/>
      <c r="KYL272" s="18"/>
      <c r="KYM272" s="18"/>
      <c r="KYN272" s="18"/>
      <c r="KYO272" s="18"/>
      <c r="KYP272" s="18"/>
      <c r="KYQ272" s="18"/>
      <c r="KYR272" s="18"/>
      <c r="KYS272" s="18"/>
      <c r="KYT272" s="18"/>
      <c r="KYU272" s="18"/>
      <c r="KYV272" s="18"/>
      <c r="KYW272" s="18"/>
      <c r="KYX272" s="18"/>
      <c r="KYY272" s="18"/>
      <c r="KYZ272" s="18"/>
      <c r="KZA272" s="18"/>
      <c r="KZB272" s="18"/>
      <c r="KZC272" s="18"/>
      <c r="KZD272" s="18"/>
      <c r="KZE272" s="18"/>
      <c r="KZF272" s="18"/>
      <c r="KZG272" s="18"/>
      <c r="KZH272" s="18"/>
      <c r="KZI272" s="18"/>
      <c r="KZJ272" s="18"/>
      <c r="KZK272" s="18"/>
      <c r="KZL272" s="18"/>
      <c r="KZM272" s="18"/>
      <c r="KZN272" s="18"/>
      <c r="KZO272" s="18"/>
      <c r="KZP272" s="18"/>
      <c r="KZQ272" s="18"/>
      <c r="KZR272" s="18"/>
      <c r="KZS272" s="18"/>
      <c r="KZT272" s="18"/>
      <c r="KZU272" s="18"/>
      <c r="KZV272" s="18"/>
      <c r="KZW272" s="18"/>
      <c r="KZX272" s="18"/>
      <c r="KZY272" s="18"/>
      <c r="KZZ272" s="18"/>
      <c r="LAA272" s="18"/>
      <c r="LAB272" s="18"/>
      <c r="LAC272" s="18"/>
      <c r="LAD272" s="18"/>
      <c r="LAE272" s="18"/>
      <c r="LAF272" s="18"/>
      <c r="LAG272" s="18"/>
      <c r="LAH272" s="18"/>
      <c r="LAI272" s="18"/>
      <c r="LAJ272" s="18"/>
      <c r="LAK272" s="18"/>
      <c r="LAL272" s="18"/>
      <c r="LAM272" s="18"/>
      <c r="LAN272" s="18"/>
      <c r="LAO272" s="18"/>
      <c r="LAP272" s="18"/>
      <c r="LAQ272" s="18"/>
      <c r="LAR272" s="18"/>
      <c r="LAS272" s="18"/>
      <c r="LAT272" s="18"/>
      <c r="LAU272" s="18"/>
      <c r="LAV272" s="18"/>
      <c r="LAW272" s="18"/>
      <c r="LAX272" s="18"/>
      <c r="LAY272" s="18"/>
      <c r="LAZ272" s="18"/>
      <c r="LBA272" s="18"/>
      <c r="LBB272" s="18"/>
      <c r="LBC272" s="18"/>
      <c r="LBD272" s="18"/>
      <c r="LBE272" s="18"/>
      <c r="LBF272" s="18"/>
      <c r="LBG272" s="18"/>
      <c r="LBH272" s="18"/>
      <c r="LBI272" s="18"/>
      <c r="LBJ272" s="18"/>
      <c r="LBK272" s="18"/>
      <c r="LBL272" s="18"/>
      <c r="LBM272" s="18"/>
      <c r="LBN272" s="18"/>
      <c r="LBO272" s="18"/>
      <c r="LBP272" s="18"/>
      <c r="LBQ272" s="18"/>
      <c r="LBR272" s="18"/>
      <c r="LBS272" s="18"/>
      <c r="LBT272" s="18"/>
      <c r="LBU272" s="18"/>
      <c r="LBV272" s="18"/>
      <c r="LBW272" s="18"/>
      <c r="LBX272" s="18"/>
      <c r="LBY272" s="18"/>
      <c r="LBZ272" s="18"/>
      <c r="LCA272" s="18"/>
      <c r="LCB272" s="18"/>
      <c r="LCC272" s="18"/>
      <c r="LCD272" s="18"/>
      <c r="LCE272" s="18"/>
      <c r="LCF272" s="18"/>
      <c r="LCG272" s="18"/>
      <c r="LCH272" s="18"/>
      <c r="LCI272" s="18"/>
      <c r="LCJ272" s="18"/>
      <c r="LCK272" s="18"/>
      <c r="LCL272" s="18"/>
      <c r="LCM272" s="18"/>
      <c r="LCN272" s="18"/>
      <c r="LCO272" s="18"/>
      <c r="LCP272" s="18"/>
      <c r="LCQ272" s="18"/>
      <c r="LCR272" s="18"/>
      <c r="LCS272" s="18"/>
      <c r="LCT272" s="18"/>
      <c r="LCU272" s="18"/>
      <c r="LCV272" s="18"/>
      <c r="LCW272" s="18"/>
      <c r="LCX272" s="18"/>
      <c r="LCY272" s="18"/>
      <c r="LCZ272" s="18"/>
      <c r="LDA272" s="18"/>
      <c r="LDB272" s="18"/>
      <c r="LDC272" s="18"/>
      <c r="LDD272" s="18"/>
      <c r="LDE272" s="18"/>
      <c r="LDF272" s="18"/>
      <c r="LDG272" s="18"/>
      <c r="LDH272" s="18"/>
      <c r="LDI272" s="18"/>
      <c r="LDJ272" s="18"/>
      <c r="LDK272" s="18"/>
      <c r="LDL272" s="18"/>
      <c r="LDM272" s="18"/>
      <c r="LDN272" s="18"/>
      <c r="LDO272" s="18"/>
      <c r="LDP272" s="18"/>
      <c r="LDQ272" s="18"/>
      <c r="LDR272" s="18"/>
      <c r="LDS272" s="18"/>
      <c r="LDT272" s="18"/>
      <c r="LDU272" s="18"/>
      <c r="LDV272" s="18"/>
      <c r="LDW272" s="18"/>
      <c r="LDX272" s="18"/>
      <c r="LDY272" s="18"/>
      <c r="LDZ272" s="18"/>
      <c r="LEA272" s="18"/>
      <c r="LEB272" s="18"/>
      <c r="LEC272" s="18"/>
      <c r="LED272" s="18"/>
      <c r="LEE272" s="18"/>
      <c r="LEF272" s="18"/>
      <c r="LEG272" s="18"/>
      <c r="LEH272" s="18"/>
      <c r="LEI272" s="18"/>
      <c r="LEJ272" s="18"/>
      <c r="LEK272" s="18"/>
      <c r="LEL272" s="18"/>
      <c r="LEM272" s="18"/>
      <c r="LEN272" s="18"/>
      <c r="LEO272" s="18"/>
      <c r="LEP272" s="18"/>
      <c r="LEQ272" s="18"/>
      <c r="LER272" s="18"/>
      <c r="LES272" s="18"/>
      <c r="LET272" s="18"/>
      <c r="LEU272" s="18"/>
      <c r="LEV272" s="18"/>
      <c r="LEW272" s="18"/>
      <c r="LEX272" s="18"/>
      <c r="LEY272" s="18"/>
      <c r="LEZ272" s="18"/>
      <c r="LFA272" s="18"/>
      <c r="LFB272" s="18"/>
      <c r="LFC272" s="18"/>
      <c r="LFD272" s="18"/>
      <c r="LFE272" s="18"/>
      <c r="LFF272" s="18"/>
      <c r="LFG272" s="18"/>
      <c r="LFH272" s="18"/>
      <c r="LFI272" s="18"/>
      <c r="LFJ272" s="18"/>
      <c r="LFK272" s="18"/>
      <c r="LFL272" s="18"/>
      <c r="LFM272" s="18"/>
      <c r="LFN272" s="18"/>
      <c r="LFO272" s="18"/>
      <c r="LFP272" s="18"/>
      <c r="LFQ272" s="18"/>
      <c r="LFR272" s="18"/>
      <c r="LFS272" s="18"/>
      <c r="LFT272" s="18"/>
      <c r="LFU272" s="18"/>
      <c r="LFV272" s="18"/>
      <c r="LFW272" s="18"/>
      <c r="LFX272" s="18"/>
      <c r="LFY272" s="18"/>
      <c r="LFZ272" s="18"/>
      <c r="LGA272" s="18"/>
      <c r="LGB272" s="18"/>
      <c r="LGC272" s="18"/>
      <c r="LGD272" s="18"/>
      <c r="LGE272" s="18"/>
      <c r="LGF272" s="18"/>
      <c r="LGG272" s="18"/>
      <c r="LGH272" s="18"/>
      <c r="LGI272" s="18"/>
      <c r="LGJ272" s="18"/>
      <c r="LGK272" s="18"/>
      <c r="LGL272" s="18"/>
      <c r="LGM272" s="18"/>
      <c r="LGN272" s="18"/>
      <c r="LGO272" s="18"/>
      <c r="LGP272" s="18"/>
      <c r="LGQ272" s="18"/>
      <c r="LGR272" s="18"/>
      <c r="LGS272" s="18"/>
      <c r="LGT272" s="18"/>
      <c r="LGU272" s="18"/>
      <c r="LGV272" s="18"/>
      <c r="LGW272" s="18"/>
      <c r="LGX272" s="18"/>
      <c r="LGY272" s="18"/>
      <c r="LGZ272" s="18"/>
      <c r="LHA272" s="18"/>
      <c r="LHB272" s="18"/>
      <c r="LHC272" s="18"/>
      <c r="LHD272" s="18"/>
      <c r="LHE272" s="18"/>
      <c r="LHF272" s="18"/>
      <c r="LHG272" s="18"/>
      <c r="LHH272" s="18"/>
      <c r="LHI272" s="18"/>
      <c r="LHJ272" s="18"/>
      <c r="LHK272" s="18"/>
      <c r="LHL272" s="18"/>
      <c r="LHM272" s="18"/>
      <c r="LHN272" s="18"/>
      <c r="LHO272" s="18"/>
      <c r="LHP272" s="18"/>
      <c r="LHQ272" s="18"/>
      <c r="LHR272" s="18"/>
      <c r="LHS272" s="18"/>
      <c r="LHT272" s="18"/>
      <c r="LHU272" s="18"/>
      <c r="LHV272" s="18"/>
      <c r="LHW272" s="18"/>
      <c r="LHX272" s="18"/>
      <c r="LHY272" s="18"/>
      <c r="LHZ272" s="18"/>
      <c r="LIA272" s="18"/>
      <c r="LIB272" s="18"/>
      <c r="LIC272" s="18"/>
      <c r="LID272" s="18"/>
      <c r="LIE272" s="18"/>
      <c r="LIF272" s="18"/>
      <c r="LIG272" s="18"/>
      <c r="LIH272" s="18"/>
      <c r="LII272" s="18"/>
      <c r="LIJ272" s="18"/>
      <c r="LIK272" s="18"/>
      <c r="LIL272" s="18"/>
      <c r="LIM272" s="18"/>
      <c r="LIN272" s="18"/>
      <c r="LIO272" s="18"/>
      <c r="LIP272" s="18"/>
      <c r="LIQ272" s="18"/>
      <c r="LIR272" s="18"/>
      <c r="LIS272" s="18"/>
      <c r="LIT272" s="18"/>
      <c r="LIU272" s="18"/>
      <c r="LIV272" s="18"/>
      <c r="LIW272" s="18"/>
      <c r="LIX272" s="18"/>
      <c r="LIY272" s="18"/>
      <c r="LIZ272" s="18"/>
      <c r="LJA272" s="18"/>
      <c r="LJB272" s="18"/>
      <c r="LJC272" s="18"/>
      <c r="LJD272" s="18"/>
      <c r="LJE272" s="18"/>
      <c r="LJF272" s="18"/>
      <c r="LJG272" s="18"/>
      <c r="LJH272" s="18"/>
      <c r="LJI272" s="18"/>
      <c r="LJJ272" s="18"/>
      <c r="LJK272" s="18"/>
      <c r="LJL272" s="18"/>
      <c r="LJM272" s="18"/>
      <c r="LJN272" s="18"/>
      <c r="LJO272" s="18"/>
      <c r="LJP272" s="18"/>
      <c r="LJQ272" s="18"/>
      <c r="LJR272" s="18"/>
      <c r="LJS272" s="18"/>
      <c r="LJT272" s="18"/>
      <c r="LJU272" s="18"/>
      <c r="LJV272" s="18"/>
      <c r="LJW272" s="18"/>
      <c r="LJX272" s="18"/>
      <c r="LJY272" s="18"/>
      <c r="LJZ272" s="18"/>
      <c r="LKA272" s="18"/>
      <c r="LKB272" s="18"/>
      <c r="LKC272" s="18"/>
      <c r="LKD272" s="18"/>
      <c r="LKE272" s="18"/>
      <c r="LKF272" s="18"/>
      <c r="LKG272" s="18"/>
      <c r="LKH272" s="18"/>
      <c r="LKI272" s="18"/>
      <c r="LKJ272" s="18"/>
      <c r="LKK272" s="18"/>
      <c r="LKL272" s="18"/>
      <c r="LKM272" s="18"/>
      <c r="LKN272" s="18"/>
      <c r="LKO272" s="18"/>
      <c r="LKP272" s="18"/>
      <c r="LKQ272" s="18"/>
      <c r="LKR272" s="18"/>
      <c r="LKS272" s="18"/>
      <c r="LKT272" s="18"/>
      <c r="LKU272" s="18"/>
      <c r="LKV272" s="18"/>
      <c r="LKW272" s="18"/>
      <c r="LKX272" s="18"/>
      <c r="LKY272" s="18"/>
      <c r="LKZ272" s="18"/>
      <c r="LLA272" s="18"/>
      <c r="LLB272" s="18"/>
      <c r="LLC272" s="18"/>
      <c r="LLD272" s="18"/>
      <c r="LLE272" s="18"/>
      <c r="LLF272" s="18"/>
      <c r="LLG272" s="18"/>
      <c r="LLH272" s="18"/>
      <c r="LLI272" s="18"/>
      <c r="LLJ272" s="18"/>
      <c r="LLK272" s="18"/>
      <c r="LLL272" s="18"/>
      <c r="LLM272" s="18"/>
      <c r="LLN272" s="18"/>
      <c r="LLO272" s="18"/>
      <c r="LLP272" s="18"/>
      <c r="LLQ272" s="18"/>
      <c r="LLR272" s="18"/>
      <c r="LLS272" s="18"/>
      <c r="LLT272" s="18"/>
      <c r="LLU272" s="18"/>
      <c r="LLV272" s="18"/>
      <c r="LLW272" s="18"/>
      <c r="LLX272" s="18"/>
      <c r="LLY272" s="18"/>
      <c r="LLZ272" s="18"/>
      <c r="LMA272" s="18"/>
      <c r="LMB272" s="18"/>
      <c r="LMC272" s="18"/>
      <c r="LMD272" s="18"/>
      <c r="LME272" s="18"/>
      <c r="LMF272" s="18"/>
      <c r="LMG272" s="18"/>
      <c r="LMH272" s="18"/>
      <c r="LMI272" s="18"/>
      <c r="LMJ272" s="18"/>
      <c r="LMK272" s="18"/>
      <c r="LML272" s="18"/>
      <c r="LMM272" s="18"/>
      <c r="LMN272" s="18"/>
      <c r="LMO272" s="18"/>
      <c r="LMP272" s="18"/>
      <c r="LMQ272" s="18"/>
      <c r="LMR272" s="18"/>
      <c r="LMS272" s="18"/>
      <c r="LMT272" s="18"/>
      <c r="LMU272" s="18"/>
      <c r="LMV272" s="18"/>
      <c r="LMW272" s="18"/>
      <c r="LMX272" s="18"/>
      <c r="LMY272" s="18"/>
      <c r="LMZ272" s="18"/>
      <c r="LNA272" s="18"/>
      <c r="LNB272" s="18"/>
      <c r="LNC272" s="18"/>
      <c r="LND272" s="18"/>
      <c r="LNE272" s="18"/>
      <c r="LNF272" s="18"/>
      <c r="LNG272" s="18"/>
      <c r="LNH272" s="18"/>
      <c r="LNI272" s="18"/>
      <c r="LNJ272" s="18"/>
      <c r="LNK272" s="18"/>
      <c r="LNL272" s="18"/>
      <c r="LNM272" s="18"/>
      <c r="LNN272" s="18"/>
      <c r="LNO272" s="18"/>
      <c r="LNP272" s="18"/>
      <c r="LNQ272" s="18"/>
      <c r="LNR272" s="18"/>
      <c r="LNS272" s="18"/>
      <c r="LNT272" s="18"/>
      <c r="LNU272" s="18"/>
      <c r="LNV272" s="18"/>
      <c r="LNW272" s="18"/>
      <c r="LNX272" s="18"/>
      <c r="LNY272" s="18"/>
      <c r="LNZ272" s="18"/>
      <c r="LOA272" s="18"/>
      <c r="LOB272" s="18"/>
      <c r="LOC272" s="18"/>
      <c r="LOD272" s="18"/>
      <c r="LOE272" s="18"/>
      <c r="LOF272" s="18"/>
      <c r="LOG272" s="18"/>
      <c r="LOH272" s="18"/>
      <c r="LOI272" s="18"/>
      <c r="LOJ272" s="18"/>
      <c r="LOK272" s="18"/>
      <c r="LOL272" s="18"/>
      <c r="LOM272" s="18"/>
      <c r="LON272" s="18"/>
      <c r="LOO272" s="18"/>
      <c r="LOP272" s="18"/>
      <c r="LOQ272" s="18"/>
      <c r="LOR272" s="18"/>
      <c r="LOS272" s="18"/>
      <c r="LOT272" s="18"/>
      <c r="LOU272" s="18"/>
      <c r="LOV272" s="18"/>
      <c r="LOW272" s="18"/>
      <c r="LOX272" s="18"/>
      <c r="LOY272" s="18"/>
      <c r="LOZ272" s="18"/>
      <c r="LPA272" s="18"/>
      <c r="LPB272" s="18"/>
      <c r="LPC272" s="18"/>
      <c r="LPD272" s="18"/>
      <c r="LPE272" s="18"/>
      <c r="LPF272" s="18"/>
      <c r="LPG272" s="18"/>
      <c r="LPH272" s="18"/>
      <c r="LPI272" s="18"/>
      <c r="LPJ272" s="18"/>
      <c r="LPK272" s="18"/>
      <c r="LPL272" s="18"/>
      <c r="LPM272" s="18"/>
      <c r="LPN272" s="18"/>
      <c r="LPO272" s="18"/>
      <c r="LPP272" s="18"/>
      <c r="LPQ272" s="18"/>
      <c r="LPR272" s="18"/>
      <c r="LPS272" s="18"/>
      <c r="LPT272" s="18"/>
      <c r="LPU272" s="18"/>
      <c r="LPV272" s="18"/>
      <c r="LPW272" s="18"/>
      <c r="LPX272" s="18"/>
      <c r="LPY272" s="18"/>
      <c r="LPZ272" s="18"/>
      <c r="LQA272" s="18"/>
      <c r="LQB272" s="18"/>
      <c r="LQC272" s="18"/>
      <c r="LQD272" s="18"/>
      <c r="LQE272" s="18"/>
      <c r="LQF272" s="18"/>
      <c r="LQG272" s="18"/>
      <c r="LQH272" s="18"/>
      <c r="LQI272" s="18"/>
      <c r="LQJ272" s="18"/>
      <c r="LQK272" s="18"/>
      <c r="LQL272" s="18"/>
      <c r="LQM272" s="18"/>
      <c r="LQN272" s="18"/>
      <c r="LQO272" s="18"/>
      <c r="LQP272" s="18"/>
      <c r="LQQ272" s="18"/>
      <c r="LQR272" s="18"/>
      <c r="LQS272" s="18"/>
      <c r="LQT272" s="18"/>
      <c r="LQU272" s="18"/>
      <c r="LQV272" s="18"/>
      <c r="LQW272" s="18"/>
      <c r="LQX272" s="18"/>
      <c r="LQY272" s="18"/>
      <c r="LQZ272" s="18"/>
      <c r="LRA272" s="18"/>
      <c r="LRB272" s="18"/>
      <c r="LRC272" s="18"/>
      <c r="LRD272" s="18"/>
      <c r="LRE272" s="18"/>
      <c r="LRF272" s="18"/>
      <c r="LRG272" s="18"/>
      <c r="LRH272" s="18"/>
      <c r="LRI272" s="18"/>
      <c r="LRJ272" s="18"/>
      <c r="LRK272" s="18"/>
      <c r="LRL272" s="18"/>
      <c r="LRM272" s="18"/>
      <c r="LRN272" s="18"/>
      <c r="LRO272" s="18"/>
      <c r="LRP272" s="18"/>
      <c r="LRQ272" s="18"/>
      <c r="LRR272" s="18"/>
      <c r="LRS272" s="18"/>
      <c r="LRT272" s="18"/>
      <c r="LRU272" s="18"/>
      <c r="LRV272" s="18"/>
      <c r="LRW272" s="18"/>
      <c r="LRX272" s="18"/>
      <c r="LRY272" s="18"/>
      <c r="LRZ272" s="18"/>
      <c r="LSA272" s="18"/>
      <c r="LSB272" s="18"/>
      <c r="LSC272" s="18"/>
      <c r="LSD272" s="18"/>
      <c r="LSE272" s="18"/>
      <c r="LSF272" s="18"/>
      <c r="LSG272" s="18"/>
      <c r="LSH272" s="18"/>
      <c r="LSI272" s="18"/>
      <c r="LSJ272" s="18"/>
      <c r="LSK272" s="18"/>
      <c r="LSL272" s="18"/>
      <c r="LSM272" s="18"/>
      <c r="LSN272" s="18"/>
      <c r="LSO272" s="18"/>
      <c r="LSP272" s="18"/>
      <c r="LSQ272" s="18"/>
      <c r="LSR272" s="18"/>
      <c r="LSS272" s="18"/>
      <c r="LST272" s="18"/>
      <c r="LSU272" s="18"/>
      <c r="LSV272" s="18"/>
      <c r="LSW272" s="18"/>
      <c r="LSX272" s="18"/>
      <c r="LSY272" s="18"/>
      <c r="LSZ272" s="18"/>
      <c r="LTA272" s="18"/>
      <c r="LTB272" s="18"/>
      <c r="LTC272" s="18"/>
      <c r="LTD272" s="18"/>
      <c r="LTE272" s="18"/>
      <c r="LTF272" s="18"/>
      <c r="LTG272" s="18"/>
      <c r="LTH272" s="18"/>
      <c r="LTI272" s="18"/>
      <c r="LTJ272" s="18"/>
      <c r="LTK272" s="18"/>
      <c r="LTL272" s="18"/>
      <c r="LTM272" s="18"/>
      <c r="LTN272" s="18"/>
      <c r="LTO272" s="18"/>
      <c r="LTP272" s="18"/>
      <c r="LTQ272" s="18"/>
      <c r="LTR272" s="18"/>
      <c r="LTS272" s="18"/>
      <c r="LTT272" s="18"/>
      <c r="LTU272" s="18"/>
      <c r="LTV272" s="18"/>
      <c r="LTW272" s="18"/>
      <c r="LTX272" s="18"/>
      <c r="LTY272" s="18"/>
      <c r="LTZ272" s="18"/>
      <c r="LUA272" s="18"/>
      <c r="LUB272" s="18"/>
      <c r="LUC272" s="18"/>
      <c r="LUD272" s="18"/>
      <c r="LUE272" s="18"/>
      <c r="LUF272" s="18"/>
      <c r="LUG272" s="18"/>
      <c r="LUH272" s="18"/>
      <c r="LUI272" s="18"/>
      <c r="LUJ272" s="18"/>
      <c r="LUK272" s="18"/>
      <c r="LUL272" s="18"/>
      <c r="LUM272" s="18"/>
      <c r="LUN272" s="18"/>
      <c r="LUO272" s="18"/>
      <c r="LUP272" s="18"/>
      <c r="LUQ272" s="18"/>
      <c r="LUR272" s="18"/>
      <c r="LUS272" s="18"/>
      <c r="LUT272" s="18"/>
      <c r="LUU272" s="18"/>
      <c r="LUV272" s="18"/>
      <c r="LUW272" s="18"/>
      <c r="LUX272" s="18"/>
      <c r="LUY272" s="18"/>
      <c r="LUZ272" s="18"/>
      <c r="LVA272" s="18"/>
      <c r="LVB272" s="18"/>
      <c r="LVC272" s="18"/>
      <c r="LVD272" s="18"/>
      <c r="LVE272" s="18"/>
      <c r="LVF272" s="18"/>
      <c r="LVG272" s="18"/>
      <c r="LVH272" s="18"/>
      <c r="LVI272" s="18"/>
      <c r="LVJ272" s="18"/>
      <c r="LVK272" s="18"/>
      <c r="LVL272" s="18"/>
      <c r="LVM272" s="18"/>
      <c r="LVN272" s="18"/>
      <c r="LVO272" s="18"/>
      <c r="LVP272" s="18"/>
      <c r="LVQ272" s="18"/>
      <c r="LVR272" s="18"/>
      <c r="LVS272" s="18"/>
      <c r="LVT272" s="18"/>
      <c r="LVU272" s="18"/>
      <c r="LVV272" s="18"/>
      <c r="LVW272" s="18"/>
      <c r="LVX272" s="18"/>
      <c r="LVY272" s="18"/>
      <c r="LVZ272" s="18"/>
      <c r="LWA272" s="18"/>
      <c r="LWB272" s="18"/>
      <c r="LWC272" s="18"/>
      <c r="LWD272" s="18"/>
      <c r="LWE272" s="18"/>
      <c r="LWF272" s="18"/>
      <c r="LWG272" s="18"/>
      <c r="LWH272" s="18"/>
      <c r="LWI272" s="18"/>
      <c r="LWJ272" s="18"/>
      <c r="LWK272" s="18"/>
      <c r="LWL272" s="18"/>
      <c r="LWM272" s="18"/>
      <c r="LWN272" s="18"/>
      <c r="LWO272" s="18"/>
      <c r="LWP272" s="18"/>
      <c r="LWQ272" s="18"/>
      <c r="LWR272" s="18"/>
      <c r="LWS272" s="18"/>
      <c r="LWT272" s="18"/>
      <c r="LWU272" s="18"/>
      <c r="LWV272" s="18"/>
      <c r="LWW272" s="18"/>
      <c r="LWX272" s="18"/>
      <c r="LWY272" s="18"/>
      <c r="LWZ272" s="18"/>
      <c r="LXA272" s="18"/>
      <c r="LXB272" s="18"/>
      <c r="LXC272" s="18"/>
      <c r="LXD272" s="18"/>
      <c r="LXE272" s="18"/>
      <c r="LXF272" s="18"/>
      <c r="LXG272" s="18"/>
      <c r="LXH272" s="18"/>
      <c r="LXI272" s="18"/>
      <c r="LXJ272" s="18"/>
      <c r="LXK272" s="18"/>
      <c r="LXL272" s="18"/>
      <c r="LXM272" s="18"/>
      <c r="LXN272" s="18"/>
      <c r="LXO272" s="18"/>
      <c r="LXP272" s="18"/>
      <c r="LXQ272" s="18"/>
      <c r="LXR272" s="18"/>
      <c r="LXS272" s="18"/>
      <c r="LXT272" s="18"/>
      <c r="LXU272" s="18"/>
      <c r="LXV272" s="18"/>
      <c r="LXW272" s="18"/>
      <c r="LXX272" s="18"/>
      <c r="LXY272" s="18"/>
      <c r="LXZ272" s="18"/>
      <c r="LYA272" s="18"/>
      <c r="LYB272" s="18"/>
      <c r="LYC272" s="18"/>
      <c r="LYD272" s="18"/>
      <c r="LYE272" s="18"/>
      <c r="LYF272" s="18"/>
      <c r="LYG272" s="18"/>
      <c r="LYH272" s="18"/>
      <c r="LYI272" s="18"/>
      <c r="LYJ272" s="18"/>
      <c r="LYK272" s="18"/>
      <c r="LYL272" s="18"/>
      <c r="LYM272" s="18"/>
      <c r="LYN272" s="18"/>
      <c r="LYO272" s="18"/>
      <c r="LYP272" s="18"/>
      <c r="LYQ272" s="18"/>
      <c r="LYR272" s="18"/>
      <c r="LYS272" s="18"/>
      <c r="LYT272" s="18"/>
      <c r="LYU272" s="18"/>
      <c r="LYV272" s="18"/>
      <c r="LYW272" s="18"/>
      <c r="LYX272" s="18"/>
      <c r="LYY272" s="18"/>
      <c r="LYZ272" s="18"/>
      <c r="LZA272" s="18"/>
      <c r="LZB272" s="18"/>
      <c r="LZC272" s="18"/>
      <c r="LZD272" s="18"/>
      <c r="LZE272" s="18"/>
      <c r="LZF272" s="18"/>
      <c r="LZG272" s="18"/>
      <c r="LZH272" s="18"/>
      <c r="LZI272" s="18"/>
      <c r="LZJ272" s="18"/>
      <c r="LZK272" s="18"/>
      <c r="LZL272" s="18"/>
      <c r="LZM272" s="18"/>
      <c r="LZN272" s="18"/>
      <c r="LZO272" s="18"/>
      <c r="LZP272" s="18"/>
      <c r="LZQ272" s="18"/>
      <c r="LZR272" s="18"/>
      <c r="LZS272" s="18"/>
      <c r="LZT272" s="18"/>
      <c r="LZU272" s="18"/>
      <c r="LZV272" s="18"/>
      <c r="LZW272" s="18"/>
      <c r="LZX272" s="18"/>
      <c r="LZY272" s="18"/>
      <c r="LZZ272" s="18"/>
      <c r="MAA272" s="18"/>
      <c r="MAB272" s="18"/>
      <c r="MAC272" s="18"/>
      <c r="MAD272" s="18"/>
      <c r="MAE272" s="18"/>
      <c r="MAF272" s="18"/>
      <c r="MAG272" s="18"/>
      <c r="MAH272" s="18"/>
      <c r="MAI272" s="18"/>
      <c r="MAJ272" s="18"/>
      <c r="MAK272" s="18"/>
      <c r="MAL272" s="18"/>
      <c r="MAM272" s="18"/>
      <c r="MAN272" s="18"/>
      <c r="MAO272" s="18"/>
      <c r="MAP272" s="18"/>
      <c r="MAQ272" s="18"/>
      <c r="MAR272" s="18"/>
      <c r="MAS272" s="18"/>
      <c r="MAT272" s="18"/>
      <c r="MAU272" s="18"/>
      <c r="MAV272" s="18"/>
      <c r="MAW272" s="18"/>
      <c r="MAX272" s="18"/>
      <c r="MAY272" s="18"/>
      <c r="MAZ272" s="18"/>
      <c r="MBA272" s="18"/>
      <c r="MBB272" s="18"/>
      <c r="MBC272" s="18"/>
      <c r="MBD272" s="18"/>
      <c r="MBE272" s="18"/>
      <c r="MBF272" s="18"/>
      <c r="MBG272" s="18"/>
      <c r="MBH272" s="18"/>
      <c r="MBI272" s="18"/>
      <c r="MBJ272" s="18"/>
      <c r="MBK272" s="18"/>
      <c r="MBL272" s="18"/>
      <c r="MBM272" s="18"/>
      <c r="MBN272" s="18"/>
      <c r="MBO272" s="18"/>
      <c r="MBP272" s="18"/>
      <c r="MBQ272" s="18"/>
      <c r="MBR272" s="18"/>
      <c r="MBS272" s="18"/>
      <c r="MBT272" s="18"/>
      <c r="MBU272" s="18"/>
      <c r="MBV272" s="18"/>
      <c r="MBW272" s="18"/>
      <c r="MBX272" s="18"/>
      <c r="MBY272" s="18"/>
      <c r="MBZ272" s="18"/>
      <c r="MCA272" s="18"/>
      <c r="MCB272" s="18"/>
      <c r="MCC272" s="18"/>
      <c r="MCD272" s="18"/>
      <c r="MCE272" s="18"/>
      <c r="MCF272" s="18"/>
      <c r="MCG272" s="18"/>
      <c r="MCH272" s="18"/>
      <c r="MCI272" s="18"/>
      <c r="MCJ272" s="18"/>
      <c r="MCK272" s="18"/>
      <c r="MCL272" s="18"/>
      <c r="MCM272" s="18"/>
      <c r="MCN272" s="18"/>
      <c r="MCO272" s="18"/>
      <c r="MCP272" s="18"/>
      <c r="MCQ272" s="18"/>
      <c r="MCR272" s="18"/>
      <c r="MCS272" s="18"/>
      <c r="MCT272" s="18"/>
      <c r="MCU272" s="18"/>
      <c r="MCV272" s="18"/>
      <c r="MCW272" s="18"/>
      <c r="MCX272" s="18"/>
      <c r="MCY272" s="18"/>
      <c r="MCZ272" s="18"/>
      <c r="MDA272" s="18"/>
      <c r="MDB272" s="18"/>
      <c r="MDC272" s="18"/>
      <c r="MDD272" s="18"/>
      <c r="MDE272" s="18"/>
      <c r="MDF272" s="18"/>
      <c r="MDG272" s="18"/>
      <c r="MDH272" s="18"/>
      <c r="MDI272" s="18"/>
      <c r="MDJ272" s="18"/>
      <c r="MDK272" s="18"/>
      <c r="MDL272" s="18"/>
      <c r="MDM272" s="18"/>
      <c r="MDN272" s="18"/>
      <c r="MDO272" s="18"/>
      <c r="MDP272" s="18"/>
      <c r="MDQ272" s="18"/>
      <c r="MDR272" s="18"/>
      <c r="MDS272" s="18"/>
      <c r="MDT272" s="18"/>
      <c r="MDU272" s="18"/>
      <c r="MDV272" s="18"/>
      <c r="MDW272" s="18"/>
      <c r="MDX272" s="18"/>
      <c r="MDY272" s="18"/>
      <c r="MDZ272" s="18"/>
      <c r="MEA272" s="18"/>
      <c r="MEB272" s="18"/>
      <c r="MEC272" s="18"/>
      <c r="MED272" s="18"/>
      <c r="MEE272" s="18"/>
      <c r="MEF272" s="18"/>
      <c r="MEG272" s="18"/>
      <c r="MEH272" s="18"/>
      <c r="MEI272" s="18"/>
      <c r="MEJ272" s="18"/>
      <c r="MEK272" s="18"/>
      <c r="MEL272" s="18"/>
      <c r="MEM272" s="18"/>
      <c r="MEN272" s="18"/>
      <c r="MEO272" s="18"/>
      <c r="MEP272" s="18"/>
      <c r="MEQ272" s="18"/>
      <c r="MER272" s="18"/>
      <c r="MES272" s="18"/>
      <c r="MET272" s="18"/>
      <c r="MEU272" s="18"/>
      <c r="MEV272" s="18"/>
      <c r="MEW272" s="18"/>
      <c r="MEX272" s="18"/>
      <c r="MEY272" s="18"/>
      <c r="MEZ272" s="18"/>
      <c r="MFA272" s="18"/>
      <c r="MFB272" s="18"/>
      <c r="MFC272" s="18"/>
      <c r="MFD272" s="18"/>
      <c r="MFE272" s="18"/>
      <c r="MFF272" s="18"/>
      <c r="MFG272" s="18"/>
      <c r="MFH272" s="18"/>
      <c r="MFI272" s="18"/>
      <c r="MFJ272" s="18"/>
      <c r="MFK272" s="18"/>
      <c r="MFL272" s="18"/>
      <c r="MFM272" s="18"/>
      <c r="MFN272" s="18"/>
      <c r="MFO272" s="18"/>
      <c r="MFP272" s="18"/>
      <c r="MFQ272" s="18"/>
      <c r="MFR272" s="18"/>
      <c r="MFS272" s="18"/>
      <c r="MFT272" s="18"/>
      <c r="MFU272" s="18"/>
      <c r="MFV272" s="18"/>
      <c r="MFW272" s="18"/>
      <c r="MFX272" s="18"/>
      <c r="MFY272" s="18"/>
      <c r="MFZ272" s="18"/>
      <c r="MGA272" s="18"/>
      <c r="MGB272" s="18"/>
      <c r="MGC272" s="18"/>
      <c r="MGD272" s="18"/>
      <c r="MGE272" s="18"/>
      <c r="MGF272" s="18"/>
      <c r="MGG272" s="18"/>
      <c r="MGH272" s="18"/>
      <c r="MGI272" s="18"/>
      <c r="MGJ272" s="18"/>
      <c r="MGK272" s="18"/>
      <c r="MGL272" s="18"/>
      <c r="MGM272" s="18"/>
      <c r="MGN272" s="18"/>
      <c r="MGO272" s="18"/>
      <c r="MGP272" s="18"/>
      <c r="MGQ272" s="18"/>
      <c r="MGR272" s="18"/>
      <c r="MGS272" s="18"/>
      <c r="MGT272" s="18"/>
      <c r="MGU272" s="18"/>
      <c r="MGV272" s="18"/>
      <c r="MGW272" s="18"/>
      <c r="MGX272" s="18"/>
      <c r="MGY272" s="18"/>
      <c r="MGZ272" s="18"/>
      <c r="MHA272" s="18"/>
      <c r="MHB272" s="18"/>
      <c r="MHC272" s="18"/>
      <c r="MHD272" s="18"/>
      <c r="MHE272" s="18"/>
      <c r="MHF272" s="18"/>
      <c r="MHG272" s="18"/>
      <c r="MHH272" s="18"/>
      <c r="MHI272" s="18"/>
      <c r="MHJ272" s="18"/>
      <c r="MHK272" s="18"/>
      <c r="MHL272" s="18"/>
      <c r="MHM272" s="18"/>
      <c r="MHN272" s="18"/>
      <c r="MHO272" s="18"/>
      <c r="MHP272" s="18"/>
      <c r="MHQ272" s="18"/>
      <c r="MHR272" s="18"/>
      <c r="MHS272" s="18"/>
      <c r="MHT272" s="18"/>
      <c r="MHU272" s="18"/>
      <c r="MHV272" s="18"/>
      <c r="MHW272" s="18"/>
      <c r="MHX272" s="18"/>
      <c r="MHY272" s="18"/>
      <c r="MHZ272" s="18"/>
      <c r="MIA272" s="18"/>
      <c r="MIB272" s="18"/>
      <c r="MIC272" s="18"/>
      <c r="MID272" s="18"/>
      <c r="MIE272" s="18"/>
      <c r="MIF272" s="18"/>
      <c r="MIG272" s="18"/>
      <c r="MIH272" s="18"/>
      <c r="MII272" s="18"/>
      <c r="MIJ272" s="18"/>
      <c r="MIK272" s="18"/>
      <c r="MIL272" s="18"/>
      <c r="MIM272" s="18"/>
      <c r="MIN272" s="18"/>
      <c r="MIO272" s="18"/>
      <c r="MIP272" s="18"/>
      <c r="MIQ272" s="18"/>
      <c r="MIR272" s="18"/>
      <c r="MIS272" s="18"/>
      <c r="MIT272" s="18"/>
      <c r="MIU272" s="18"/>
      <c r="MIV272" s="18"/>
      <c r="MIW272" s="18"/>
      <c r="MIX272" s="18"/>
      <c r="MIY272" s="18"/>
      <c r="MIZ272" s="18"/>
      <c r="MJA272" s="18"/>
      <c r="MJB272" s="18"/>
      <c r="MJC272" s="18"/>
      <c r="MJD272" s="18"/>
      <c r="MJE272" s="18"/>
      <c r="MJF272" s="18"/>
      <c r="MJG272" s="18"/>
      <c r="MJH272" s="18"/>
      <c r="MJI272" s="18"/>
      <c r="MJJ272" s="18"/>
      <c r="MJK272" s="18"/>
      <c r="MJL272" s="18"/>
      <c r="MJM272" s="18"/>
      <c r="MJN272" s="18"/>
      <c r="MJO272" s="18"/>
      <c r="MJP272" s="18"/>
      <c r="MJQ272" s="18"/>
      <c r="MJR272" s="18"/>
      <c r="MJS272" s="18"/>
      <c r="MJT272" s="18"/>
      <c r="MJU272" s="18"/>
      <c r="MJV272" s="18"/>
      <c r="MJW272" s="18"/>
      <c r="MJX272" s="18"/>
      <c r="MJY272" s="18"/>
      <c r="MJZ272" s="18"/>
      <c r="MKA272" s="18"/>
      <c r="MKB272" s="18"/>
      <c r="MKC272" s="18"/>
      <c r="MKD272" s="18"/>
      <c r="MKE272" s="18"/>
      <c r="MKF272" s="18"/>
      <c r="MKG272" s="18"/>
      <c r="MKH272" s="18"/>
      <c r="MKI272" s="18"/>
      <c r="MKJ272" s="18"/>
      <c r="MKK272" s="18"/>
      <c r="MKL272" s="18"/>
      <c r="MKM272" s="18"/>
      <c r="MKN272" s="18"/>
      <c r="MKO272" s="18"/>
      <c r="MKP272" s="18"/>
      <c r="MKQ272" s="18"/>
      <c r="MKR272" s="18"/>
      <c r="MKS272" s="18"/>
      <c r="MKT272" s="18"/>
      <c r="MKU272" s="18"/>
      <c r="MKV272" s="18"/>
      <c r="MKW272" s="18"/>
      <c r="MKX272" s="18"/>
      <c r="MKY272" s="18"/>
      <c r="MKZ272" s="18"/>
      <c r="MLA272" s="18"/>
      <c r="MLB272" s="18"/>
      <c r="MLC272" s="18"/>
      <c r="MLD272" s="18"/>
      <c r="MLE272" s="18"/>
      <c r="MLF272" s="18"/>
      <c r="MLG272" s="18"/>
      <c r="MLH272" s="18"/>
      <c r="MLI272" s="18"/>
      <c r="MLJ272" s="18"/>
      <c r="MLK272" s="18"/>
      <c r="MLL272" s="18"/>
      <c r="MLM272" s="18"/>
      <c r="MLN272" s="18"/>
      <c r="MLO272" s="18"/>
      <c r="MLP272" s="18"/>
      <c r="MLQ272" s="18"/>
      <c r="MLR272" s="18"/>
      <c r="MLS272" s="18"/>
      <c r="MLT272" s="18"/>
      <c r="MLU272" s="18"/>
      <c r="MLV272" s="18"/>
      <c r="MLW272" s="18"/>
      <c r="MLX272" s="18"/>
      <c r="MLY272" s="18"/>
      <c r="MLZ272" s="18"/>
      <c r="MMA272" s="18"/>
      <c r="MMB272" s="18"/>
      <c r="MMC272" s="18"/>
      <c r="MMD272" s="18"/>
      <c r="MME272" s="18"/>
      <c r="MMF272" s="18"/>
      <c r="MMG272" s="18"/>
      <c r="MMH272" s="18"/>
      <c r="MMI272" s="18"/>
      <c r="MMJ272" s="18"/>
      <c r="MMK272" s="18"/>
      <c r="MML272" s="18"/>
      <c r="MMM272" s="18"/>
      <c r="MMN272" s="18"/>
      <c r="MMO272" s="18"/>
      <c r="MMP272" s="18"/>
      <c r="MMQ272" s="18"/>
      <c r="MMR272" s="18"/>
      <c r="MMS272" s="18"/>
      <c r="MMT272" s="18"/>
      <c r="MMU272" s="18"/>
      <c r="MMV272" s="18"/>
      <c r="MMW272" s="18"/>
      <c r="MMX272" s="18"/>
      <c r="MMY272" s="18"/>
      <c r="MMZ272" s="18"/>
      <c r="MNA272" s="18"/>
      <c r="MNB272" s="18"/>
      <c r="MNC272" s="18"/>
      <c r="MND272" s="18"/>
      <c r="MNE272" s="18"/>
      <c r="MNF272" s="18"/>
      <c r="MNG272" s="18"/>
      <c r="MNH272" s="18"/>
      <c r="MNI272" s="18"/>
      <c r="MNJ272" s="18"/>
      <c r="MNK272" s="18"/>
      <c r="MNL272" s="18"/>
      <c r="MNM272" s="18"/>
      <c r="MNN272" s="18"/>
      <c r="MNO272" s="18"/>
      <c r="MNP272" s="18"/>
      <c r="MNQ272" s="18"/>
      <c r="MNR272" s="18"/>
      <c r="MNS272" s="18"/>
      <c r="MNT272" s="18"/>
      <c r="MNU272" s="18"/>
      <c r="MNV272" s="18"/>
      <c r="MNW272" s="18"/>
      <c r="MNX272" s="18"/>
      <c r="MNY272" s="18"/>
      <c r="MNZ272" s="18"/>
      <c r="MOA272" s="18"/>
      <c r="MOB272" s="18"/>
      <c r="MOC272" s="18"/>
      <c r="MOD272" s="18"/>
      <c r="MOE272" s="18"/>
      <c r="MOF272" s="18"/>
      <c r="MOG272" s="18"/>
      <c r="MOH272" s="18"/>
      <c r="MOI272" s="18"/>
      <c r="MOJ272" s="18"/>
      <c r="MOK272" s="18"/>
      <c r="MOL272" s="18"/>
      <c r="MOM272" s="18"/>
      <c r="MON272" s="18"/>
      <c r="MOO272" s="18"/>
      <c r="MOP272" s="18"/>
      <c r="MOQ272" s="18"/>
      <c r="MOR272" s="18"/>
      <c r="MOS272" s="18"/>
      <c r="MOT272" s="18"/>
      <c r="MOU272" s="18"/>
      <c r="MOV272" s="18"/>
      <c r="MOW272" s="18"/>
      <c r="MOX272" s="18"/>
      <c r="MOY272" s="18"/>
      <c r="MOZ272" s="18"/>
      <c r="MPA272" s="18"/>
      <c r="MPB272" s="18"/>
      <c r="MPC272" s="18"/>
      <c r="MPD272" s="18"/>
      <c r="MPE272" s="18"/>
      <c r="MPF272" s="18"/>
      <c r="MPG272" s="18"/>
      <c r="MPH272" s="18"/>
      <c r="MPI272" s="18"/>
      <c r="MPJ272" s="18"/>
      <c r="MPK272" s="18"/>
      <c r="MPL272" s="18"/>
      <c r="MPM272" s="18"/>
      <c r="MPN272" s="18"/>
      <c r="MPO272" s="18"/>
      <c r="MPP272" s="18"/>
      <c r="MPQ272" s="18"/>
      <c r="MPR272" s="18"/>
      <c r="MPS272" s="18"/>
      <c r="MPT272" s="18"/>
      <c r="MPU272" s="18"/>
      <c r="MPV272" s="18"/>
      <c r="MPW272" s="18"/>
      <c r="MPX272" s="18"/>
      <c r="MPY272" s="18"/>
      <c r="MPZ272" s="18"/>
      <c r="MQA272" s="18"/>
      <c r="MQB272" s="18"/>
      <c r="MQC272" s="18"/>
      <c r="MQD272" s="18"/>
      <c r="MQE272" s="18"/>
      <c r="MQF272" s="18"/>
      <c r="MQG272" s="18"/>
      <c r="MQH272" s="18"/>
      <c r="MQI272" s="18"/>
      <c r="MQJ272" s="18"/>
      <c r="MQK272" s="18"/>
      <c r="MQL272" s="18"/>
      <c r="MQM272" s="18"/>
      <c r="MQN272" s="18"/>
      <c r="MQO272" s="18"/>
      <c r="MQP272" s="18"/>
      <c r="MQQ272" s="18"/>
      <c r="MQR272" s="18"/>
      <c r="MQS272" s="18"/>
      <c r="MQT272" s="18"/>
      <c r="MQU272" s="18"/>
      <c r="MQV272" s="18"/>
      <c r="MQW272" s="18"/>
      <c r="MQX272" s="18"/>
      <c r="MQY272" s="18"/>
      <c r="MQZ272" s="18"/>
      <c r="MRA272" s="18"/>
      <c r="MRB272" s="18"/>
      <c r="MRC272" s="18"/>
      <c r="MRD272" s="18"/>
      <c r="MRE272" s="18"/>
      <c r="MRF272" s="18"/>
      <c r="MRG272" s="18"/>
      <c r="MRH272" s="18"/>
      <c r="MRI272" s="18"/>
      <c r="MRJ272" s="18"/>
      <c r="MRK272" s="18"/>
      <c r="MRL272" s="18"/>
      <c r="MRM272" s="18"/>
      <c r="MRN272" s="18"/>
      <c r="MRO272" s="18"/>
      <c r="MRP272" s="18"/>
      <c r="MRQ272" s="18"/>
      <c r="MRR272" s="18"/>
      <c r="MRS272" s="18"/>
      <c r="MRT272" s="18"/>
      <c r="MRU272" s="18"/>
      <c r="MRV272" s="18"/>
      <c r="MRW272" s="18"/>
      <c r="MRX272" s="18"/>
      <c r="MRY272" s="18"/>
      <c r="MRZ272" s="18"/>
      <c r="MSA272" s="18"/>
      <c r="MSB272" s="18"/>
      <c r="MSC272" s="18"/>
      <c r="MSD272" s="18"/>
      <c r="MSE272" s="18"/>
      <c r="MSF272" s="18"/>
      <c r="MSG272" s="18"/>
      <c r="MSH272" s="18"/>
      <c r="MSI272" s="18"/>
      <c r="MSJ272" s="18"/>
      <c r="MSK272" s="18"/>
      <c r="MSL272" s="18"/>
      <c r="MSM272" s="18"/>
      <c r="MSN272" s="18"/>
      <c r="MSO272" s="18"/>
      <c r="MSP272" s="18"/>
      <c r="MSQ272" s="18"/>
      <c r="MSR272" s="18"/>
      <c r="MSS272" s="18"/>
      <c r="MST272" s="18"/>
      <c r="MSU272" s="18"/>
      <c r="MSV272" s="18"/>
      <c r="MSW272" s="18"/>
      <c r="MSX272" s="18"/>
      <c r="MSY272" s="18"/>
      <c r="MSZ272" s="18"/>
      <c r="MTA272" s="18"/>
      <c r="MTB272" s="18"/>
      <c r="MTC272" s="18"/>
      <c r="MTD272" s="18"/>
      <c r="MTE272" s="18"/>
      <c r="MTF272" s="18"/>
      <c r="MTG272" s="18"/>
      <c r="MTH272" s="18"/>
      <c r="MTI272" s="18"/>
      <c r="MTJ272" s="18"/>
      <c r="MTK272" s="18"/>
      <c r="MTL272" s="18"/>
      <c r="MTM272" s="18"/>
      <c r="MTN272" s="18"/>
      <c r="MTO272" s="18"/>
      <c r="MTP272" s="18"/>
      <c r="MTQ272" s="18"/>
      <c r="MTR272" s="18"/>
      <c r="MTS272" s="18"/>
      <c r="MTT272" s="18"/>
      <c r="MTU272" s="18"/>
      <c r="MTV272" s="18"/>
      <c r="MTW272" s="18"/>
      <c r="MTX272" s="18"/>
      <c r="MTY272" s="18"/>
      <c r="MTZ272" s="18"/>
      <c r="MUA272" s="18"/>
      <c r="MUB272" s="18"/>
      <c r="MUC272" s="18"/>
      <c r="MUD272" s="18"/>
      <c r="MUE272" s="18"/>
      <c r="MUF272" s="18"/>
      <c r="MUG272" s="18"/>
      <c r="MUH272" s="18"/>
      <c r="MUI272" s="18"/>
      <c r="MUJ272" s="18"/>
      <c r="MUK272" s="18"/>
      <c r="MUL272" s="18"/>
      <c r="MUM272" s="18"/>
      <c r="MUN272" s="18"/>
      <c r="MUO272" s="18"/>
      <c r="MUP272" s="18"/>
      <c r="MUQ272" s="18"/>
      <c r="MUR272" s="18"/>
      <c r="MUS272" s="18"/>
      <c r="MUT272" s="18"/>
      <c r="MUU272" s="18"/>
      <c r="MUV272" s="18"/>
      <c r="MUW272" s="18"/>
      <c r="MUX272" s="18"/>
      <c r="MUY272" s="18"/>
      <c r="MUZ272" s="18"/>
      <c r="MVA272" s="18"/>
      <c r="MVB272" s="18"/>
      <c r="MVC272" s="18"/>
      <c r="MVD272" s="18"/>
      <c r="MVE272" s="18"/>
      <c r="MVF272" s="18"/>
      <c r="MVG272" s="18"/>
      <c r="MVH272" s="18"/>
      <c r="MVI272" s="18"/>
      <c r="MVJ272" s="18"/>
      <c r="MVK272" s="18"/>
      <c r="MVL272" s="18"/>
      <c r="MVM272" s="18"/>
      <c r="MVN272" s="18"/>
      <c r="MVO272" s="18"/>
      <c r="MVP272" s="18"/>
      <c r="MVQ272" s="18"/>
      <c r="MVR272" s="18"/>
      <c r="MVS272" s="18"/>
      <c r="MVT272" s="18"/>
      <c r="MVU272" s="18"/>
      <c r="MVV272" s="18"/>
      <c r="MVW272" s="18"/>
      <c r="MVX272" s="18"/>
      <c r="MVY272" s="18"/>
      <c r="MVZ272" s="18"/>
      <c r="MWA272" s="18"/>
      <c r="MWB272" s="18"/>
      <c r="MWC272" s="18"/>
      <c r="MWD272" s="18"/>
      <c r="MWE272" s="18"/>
      <c r="MWF272" s="18"/>
      <c r="MWG272" s="18"/>
      <c r="MWH272" s="18"/>
      <c r="MWI272" s="18"/>
      <c r="MWJ272" s="18"/>
      <c r="MWK272" s="18"/>
      <c r="MWL272" s="18"/>
      <c r="MWM272" s="18"/>
      <c r="MWN272" s="18"/>
      <c r="MWO272" s="18"/>
      <c r="MWP272" s="18"/>
      <c r="MWQ272" s="18"/>
      <c r="MWR272" s="18"/>
      <c r="MWS272" s="18"/>
      <c r="MWT272" s="18"/>
      <c r="MWU272" s="18"/>
      <c r="MWV272" s="18"/>
      <c r="MWW272" s="18"/>
      <c r="MWX272" s="18"/>
      <c r="MWY272" s="18"/>
      <c r="MWZ272" s="18"/>
      <c r="MXA272" s="18"/>
      <c r="MXB272" s="18"/>
      <c r="MXC272" s="18"/>
      <c r="MXD272" s="18"/>
      <c r="MXE272" s="18"/>
      <c r="MXF272" s="18"/>
      <c r="MXG272" s="18"/>
      <c r="MXH272" s="18"/>
      <c r="MXI272" s="18"/>
      <c r="MXJ272" s="18"/>
      <c r="MXK272" s="18"/>
      <c r="MXL272" s="18"/>
      <c r="MXM272" s="18"/>
      <c r="MXN272" s="18"/>
      <c r="MXO272" s="18"/>
      <c r="MXP272" s="18"/>
      <c r="MXQ272" s="18"/>
      <c r="MXR272" s="18"/>
      <c r="MXS272" s="18"/>
      <c r="MXT272" s="18"/>
      <c r="MXU272" s="18"/>
      <c r="MXV272" s="18"/>
      <c r="MXW272" s="18"/>
      <c r="MXX272" s="18"/>
      <c r="MXY272" s="18"/>
      <c r="MXZ272" s="18"/>
      <c r="MYA272" s="18"/>
      <c r="MYB272" s="18"/>
      <c r="MYC272" s="18"/>
      <c r="MYD272" s="18"/>
      <c r="MYE272" s="18"/>
      <c r="MYF272" s="18"/>
      <c r="MYG272" s="18"/>
      <c r="MYH272" s="18"/>
      <c r="MYI272" s="18"/>
      <c r="MYJ272" s="18"/>
      <c r="MYK272" s="18"/>
      <c r="MYL272" s="18"/>
      <c r="MYM272" s="18"/>
      <c r="MYN272" s="18"/>
      <c r="MYO272" s="18"/>
      <c r="MYP272" s="18"/>
      <c r="MYQ272" s="18"/>
      <c r="MYR272" s="18"/>
      <c r="MYS272" s="18"/>
      <c r="MYT272" s="18"/>
      <c r="MYU272" s="18"/>
      <c r="MYV272" s="18"/>
      <c r="MYW272" s="18"/>
      <c r="MYX272" s="18"/>
      <c r="MYY272" s="18"/>
      <c r="MYZ272" s="18"/>
      <c r="MZA272" s="18"/>
      <c r="MZB272" s="18"/>
      <c r="MZC272" s="18"/>
      <c r="MZD272" s="18"/>
      <c r="MZE272" s="18"/>
      <c r="MZF272" s="18"/>
      <c r="MZG272" s="18"/>
      <c r="MZH272" s="18"/>
      <c r="MZI272" s="18"/>
      <c r="MZJ272" s="18"/>
      <c r="MZK272" s="18"/>
      <c r="MZL272" s="18"/>
      <c r="MZM272" s="18"/>
      <c r="MZN272" s="18"/>
      <c r="MZO272" s="18"/>
      <c r="MZP272" s="18"/>
      <c r="MZQ272" s="18"/>
      <c r="MZR272" s="18"/>
      <c r="MZS272" s="18"/>
      <c r="MZT272" s="18"/>
      <c r="MZU272" s="18"/>
      <c r="MZV272" s="18"/>
      <c r="MZW272" s="18"/>
      <c r="MZX272" s="18"/>
      <c r="MZY272" s="18"/>
      <c r="MZZ272" s="18"/>
      <c r="NAA272" s="18"/>
      <c r="NAB272" s="18"/>
      <c r="NAC272" s="18"/>
      <c r="NAD272" s="18"/>
      <c r="NAE272" s="18"/>
      <c r="NAF272" s="18"/>
      <c r="NAG272" s="18"/>
      <c r="NAH272" s="18"/>
      <c r="NAI272" s="18"/>
      <c r="NAJ272" s="18"/>
      <c r="NAK272" s="18"/>
      <c r="NAL272" s="18"/>
      <c r="NAM272" s="18"/>
      <c r="NAN272" s="18"/>
      <c r="NAO272" s="18"/>
      <c r="NAP272" s="18"/>
      <c r="NAQ272" s="18"/>
      <c r="NAR272" s="18"/>
      <c r="NAS272" s="18"/>
      <c r="NAT272" s="18"/>
      <c r="NAU272" s="18"/>
      <c r="NAV272" s="18"/>
      <c r="NAW272" s="18"/>
      <c r="NAX272" s="18"/>
      <c r="NAY272" s="18"/>
      <c r="NAZ272" s="18"/>
      <c r="NBA272" s="18"/>
      <c r="NBB272" s="18"/>
      <c r="NBC272" s="18"/>
      <c r="NBD272" s="18"/>
      <c r="NBE272" s="18"/>
      <c r="NBF272" s="18"/>
      <c r="NBG272" s="18"/>
      <c r="NBH272" s="18"/>
      <c r="NBI272" s="18"/>
      <c r="NBJ272" s="18"/>
      <c r="NBK272" s="18"/>
      <c r="NBL272" s="18"/>
      <c r="NBM272" s="18"/>
      <c r="NBN272" s="18"/>
      <c r="NBO272" s="18"/>
      <c r="NBP272" s="18"/>
      <c r="NBQ272" s="18"/>
      <c r="NBR272" s="18"/>
      <c r="NBS272" s="18"/>
      <c r="NBT272" s="18"/>
      <c r="NBU272" s="18"/>
      <c r="NBV272" s="18"/>
      <c r="NBW272" s="18"/>
      <c r="NBX272" s="18"/>
      <c r="NBY272" s="18"/>
      <c r="NBZ272" s="18"/>
      <c r="NCA272" s="18"/>
      <c r="NCB272" s="18"/>
      <c r="NCC272" s="18"/>
      <c r="NCD272" s="18"/>
      <c r="NCE272" s="18"/>
      <c r="NCF272" s="18"/>
      <c r="NCG272" s="18"/>
      <c r="NCH272" s="18"/>
      <c r="NCI272" s="18"/>
      <c r="NCJ272" s="18"/>
      <c r="NCK272" s="18"/>
      <c r="NCL272" s="18"/>
      <c r="NCM272" s="18"/>
      <c r="NCN272" s="18"/>
      <c r="NCO272" s="18"/>
      <c r="NCP272" s="18"/>
      <c r="NCQ272" s="18"/>
      <c r="NCR272" s="18"/>
      <c r="NCS272" s="18"/>
      <c r="NCT272" s="18"/>
      <c r="NCU272" s="18"/>
      <c r="NCV272" s="18"/>
      <c r="NCW272" s="18"/>
      <c r="NCX272" s="18"/>
      <c r="NCY272" s="18"/>
      <c r="NCZ272" s="18"/>
      <c r="NDA272" s="18"/>
      <c r="NDB272" s="18"/>
      <c r="NDC272" s="18"/>
      <c r="NDD272" s="18"/>
      <c r="NDE272" s="18"/>
      <c r="NDF272" s="18"/>
      <c r="NDG272" s="18"/>
      <c r="NDH272" s="18"/>
      <c r="NDI272" s="18"/>
      <c r="NDJ272" s="18"/>
      <c r="NDK272" s="18"/>
      <c r="NDL272" s="18"/>
      <c r="NDM272" s="18"/>
      <c r="NDN272" s="18"/>
      <c r="NDO272" s="18"/>
      <c r="NDP272" s="18"/>
      <c r="NDQ272" s="18"/>
      <c r="NDR272" s="18"/>
      <c r="NDS272" s="18"/>
      <c r="NDT272" s="18"/>
      <c r="NDU272" s="18"/>
      <c r="NDV272" s="18"/>
      <c r="NDW272" s="18"/>
      <c r="NDX272" s="18"/>
      <c r="NDY272" s="18"/>
      <c r="NDZ272" s="18"/>
      <c r="NEA272" s="18"/>
      <c r="NEB272" s="18"/>
      <c r="NEC272" s="18"/>
      <c r="NED272" s="18"/>
      <c r="NEE272" s="18"/>
      <c r="NEF272" s="18"/>
      <c r="NEG272" s="18"/>
      <c r="NEH272" s="18"/>
      <c r="NEI272" s="18"/>
      <c r="NEJ272" s="18"/>
      <c r="NEK272" s="18"/>
      <c r="NEL272" s="18"/>
      <c r="NEM272" s="18"/>
      <c r="NEN272" s="18"/>
      <c r="NEO272" s="18"/>
      <c r="NEP272" s="18"/>
      <c r="NEQ272" s="18"/>
      <c r="NER272" s="18"/>
      <c r="NES272" s="18"/>
      <c r="NET272" s="18"/>
      <c r="NEU272" s="18"/>
      <c r="NEV272" s="18"/>
      <c r="NEW272" s="18"/>
      <c r="NEX272" s="18"/>
      <c r="NEY272" s="18"/>
      <c r="NEZ272" s="18"/>
      <c r="NFA272" s="18"/>
      <c r="NFB272" s="18"/>
      <c r="NFC272" s="18"/>
      <c r="NFD272" s="18"/>
      <c r="NFE272" s="18"/>
      <c r="NFF272" s="18"/>
      <c r="NFG272" s="18"/>
      <c r="NFH272" s="18"/>
      <c r="NFI272" s="18"/>
      <c r="NFJ272" s="18"/>
      <c r="NFK272" s="18"/>
      <c r="NFL272" s="18"/>
      <c r="NFM272" s="18"/>
      <c r="NFN272" s="18"/>
      <c r="NFO272" s="18"/>
      <c r="NFP272" s="18"/>
      <c r="NFQ272" s="18"/>
      <c r="NFR272" s="18"/>
      <c r="NFS272" s="18"/>
      <c r="NFT272" s="18"/>
      <c r="NFU272" s="18"/>
      <c r="NFV272" s="18"/>
      <c r="NFW272" s="18"/>
      <c r="NFX272" s="18"/>
      <c r="NFY272" s="18"/>
      <c r="NFZ272" s="18"/>
      <c r="NGA272" s="18"/>
      <c r="NGB272" s="18"/>
      <c r="NGC272" s="18"/>
      <c r="NGD272" s="18"/>
      <c r="NGE272" s="18"/>
      <c r="NGF272" s="18"/>
      <c r="NGG272" s="18"/>
      <c r="NGH272" s="18"/>
      <c r="NGI272" s="18"/>
      <c r="NGJ272" s="18"/>
      <c r="NGK272" s="18"/>
      <c r="NGL272" s="18"/>
      <c r="NGM272" s="18"/>
      <c r="NGN272" s="18"/>
      <c r="NGO272" s="18"/>
      <c r="NGP272" s="18"/>
      <c r="NGQ272" s="18"/>
      <c r="NGR272" s="18"/>
      <c r="NGS272" s="18"/>
      <c r="NGT272" s="18"/>
      <c r="NGU272" s="18"/>
      <c r="NGV272" s="18"/>
      <c r="NGW272" s="18"/>
      <c r="NGX272" s="18"/>
      <c r="NGY272" s="18"/>
      <c r="NGZ272" s="18"/>
      <c r="NHA272" s="18"/>
      <c r="NHB272" s="18"/>
      <c r="NHC272" s="18"/>
      <c r="NHD272" s="18"/>
      <c r="NHE272" s="18"/>
      <c r="NHF272" s="18"/>
      <c r="NHG272" s="18"/>
      <c r="NHH272" s="18"/>
      <c r="NHI272" s="18"/>
      <c r="NHJ272" s="18"/>
      <c r="NHK272" s="18"/>
      <c r="NHL272" s="18"/>
      <c r="NHM272" s="18"/>
      <c r="NHN272" s="18"/>
      <c r="NHO272" s="18"/>
      <c r="NHP272" s="18"/>
      <c r="NHQ272" s="18"/>
      <c r="NHR272" s="18"/>
      <c r="NHS272" s="18"/>
      <c r="NHT272" s="18"/>
      <c r="NHU272" s="18"/>
      <c r="NHV272" s="18"/>
      <c r="NHW272" s="18"/>
      <c r="NHX272" s="18"/>
      <c r="NHY272" s="18"/>
      <c r="NHZ272" s="18"/>
      <c r="NIA272" s="18"/>
      <c r="NIB272" s="18"/>
      <c r="NIC272" s="18"/>
      <c r="NID272" s="18"/>
      <c r="NIE272" s="18"/>
      <c r="NIF272" s="18"/>
      <c r="NIG272" s="18"/>
      <c r="NIH272" s="18"/>
      <c r="NII272" s="18"/>
      <c r="NIJ272" s="18"/>
      <c r="NIK272" s="18"/>
      <c r="NIL272" s="18"/>
      <c r="NIM272" s="18"/>
      <c r="NIN272" s="18"/>
      <c r="NIO272" s="18"/>
      <c r="NIP272" s="18"/>
      <c r="NIQ272" s="18"/>
      <c r="NIR272" s="18"/>
      <c r="NIS272" s="18"/>
      <c r="NIT272" s="18"/>
      <c r="NIU272" s="18"/>
      <c r="NIV272" s="18"/>
      <c r="NIW272" s="18"/>
      <c r="NIX272" s="18"/>
      <c r="NIY272" s="18"/>
      <c r="NIZ272" s="18"/>
      <c r="NJA272" s="18"/>
      <c r="NJB272" s="18"/>
      <c r="NJC272" s="18"/>
      <c r="NJD272" s="18"/>
      <c r="NJE272" s="18"/>
      <c r="NJF272" s="18"/>
      <c r="NJG272" s="18"/>
      <c r="NJH272" s="18"/>
      <c r="NJI272" s="18"/>
      <c r="NJJ272" s="18"/>
      <c r="NJK272" s="18"/>
      <c r="NJL272" s="18"/>
      <c r="NJM272" s="18"/>
      <c r="NJN272" s="18"/>
      <c r="NJO272" s="18"/>
      <c r="NJP272" s="18"/>
      <c r="NJQ272" s="18"/>
      <c r="NJR272" s="18"/>
      <c r="NJS272" s="18"/>
      <c r="NJT272" s="18"/>
      <c r="NJU272" s="18"/>
      <c r="NJV272" s="18"/>
      <c r="NJW272" s="18"/>
      <c r="NJX272" s="18"/>
      <c r="NJY272" s="18"/>
      <c r="NJZ272" s="18"/>
      <c r="NKA272" s="18"/>
      <c r="NKB272" s="18"/>
      <c r="NKC272" s="18"/>
      <c r="NKD272" s="18"/>
      <c r="NKE272" s="18"/>
      <c r="NKF272" s="18"/>
      <c r="NKG272" s="18"/>
      <c r="NKH272" s="18"/>
      <c r="NKI272" s="18"/>
      <c r="NKJ272" s="18"/>
      <c r="NKK272" s="18"/>
      <c r="NKL272" s="18"/>
      <c r="NKM272" s="18"/>
      <c r="NKN272" s="18"/>
      <c r="NKO272" s="18"/>
      <c r="NKP272" s="18"/>
      <c r="NKQ272" s="18"/>
      <c r="NKR272" s="18"/>
      <c r="NKS272" s="18"/>
      <c r="NKT272" s="18"/>
      <c r="NKU272" s="18"/>
      <c r="NKV272" s="18"/>
      <c r="NKW272" s="18"/>
      <c r="NKX272" s="18"/>
      <c r="NKY272" s="18"/>
      <c r="NKZ272" s="18"/>
      <c r="NLA272" s="18"/>
      <c r="NLB272" s="18"/>
      <c r="NLC272" s="18"/>
      <c r="NLD272" s="18"/>
      <c r="NLE272" s="18"/>
      <c r="NLF272" s="18"/>
      <c r="NLG272" s="18"/>
      <c r="NLH272" s="18"/>
      <c r="NLI272" s="18"/>
      <c r="NLJ272" s="18"/>
      <c r="NLK272" s="18"/>
      <c r="NLL272" s="18"/>
      <c r="NLM272" s="18"/>
      <c r="NLN272" s="18"/>
      <c r="NLO272" s="18"/>
      <c r="NLP272" s="18"/>
      <c r="NLQ272" s="18"/>
      <c r="NLR272" s="18"/>
      <c r="NLS272" s="18"/>
      <c r="NLT272" s="18"/>
      <c r="NLU272" s="18"/>
      <c r="NLV272" s="18"/>
      <c r="NLW272" s="18"/>
      <c r="NLX272" s="18"/>
      <c r="NLY272" s="18"/>
      <c r="NLZ272" s="18"/>
      <c r="NMA272" s="18"/>
      <c r="NMB272" s="18"/>
      <c r="NMC272" s="18"/>
      <c r="NMD272" s="18"/>
      <c r="NME272" s="18"/>
      <c r="NMF272" s="18"/>
      <c r="NMG272" s="18"/>
      <c r="NMH272" s="18"/>
      <c r="NMI272" s="18"/>
      <c r="NMJ272" s="18"/>
      <c r="NMK272" s="18"/>
      <c r="NML272" s="18"/>
      <c r="NMM272" s="18"/>
      <c r="NMN272" s="18"/>
      <c r="NMO272" s="18"/>
      <c r="NMP272" s="18"/>
      <c r="NMQ272" s="18"/>
      <c r="NMR272" s="18"/>
      <c r="NMS272" s="18"/>
      <c r="NMT272" s="18"/>
      <c r="NMU272" s="18"/>
      <c r="NMV272" s="18"/>
      <c r="NMW272" s="18"/>
      <c r="NMX272" s="18"/>
      <c r="NMY272" s="18"/>
      <c r="NMZ272" s="18"/>
      <c r="NNA272" s="18"/>
      <c r="NNB272" s="18"/>
      <c r="NNC272" s="18"/>
      <c r="NND272" s="18"/>
      <c r="NNE272" s="18"/>
      <c r="NNF272" s="18"/>
      <c r="NNG272" s="18"/>
      <c r="NNH272" s="18"/>
      <c r="NNI272" s="18"/>
      <c r="NNJ272" s="18"/>
      <c r="NNK272" s="18"/>
      <c r="NNL272" s="18"/>
      <c r="NNM272" s="18"/>
      <c r="NNN272" s="18"/>
      <c r="NNO272" s="18"/>
      <c r="NNP272" s="18"/>
      <c r="NNQ272" s="18"/>
      <c r="NNR272" s="18"/>
      <c r="NNS272" s="18"/>
      <c r="NNT272" s="18"/>
      <c r="NNU272" s="18"/>
      <c r="NNV272" s="18"/>
      <c r="NNW272" s="18"/>
      <c r="NNX272" s="18"/>
      <c r="NNY272" s="18"/>
      <c r="NNZ272" s="18"/>
      <c r="NOA272" s="18"/>
      <c r="NOB272" s="18"/>
      <c r="NOC272" s="18"/>
      <c r="NOD272" s="18"/>
      <c r="NOE272" s="18"/>
      <c r="NOF272" s="18"/>
      <c r="NOG272" s="18"/>
      <c r="NOH272" s="18"/>
      <c r="NOI272" s="18"/>
      <c r="NOJ272" s="18"/>
      <c r="NOK272" s="18"/>
      <c r="NOL272" s="18"/>
      <c r="NOM272" s="18"/>
      <c r="NON272" s="18"/>
      <c r="NOO272" s="18"/>
      <c r="NOP272" s="18"/>
      <c r="NOQ272" s="18"/>
      <c r="NOR272" s="18"/>
      <c r="NOS272" s="18"/>
      <c r="NOT272" s="18"/>
      <c r="NOU272" s="18"/>
      <c r="NOV272" s="18"/>
      <c r="NOW272" s="18"/>
      <c r="NOX272" s="18"/>
      <c r="NOY272" s="18"/>
      <c r="NOZ272" s="18"/>
      <c r="NPA272" s="18"/>
      <c r="NPB272" s="18"/>
      <c r="NPC272" s="18"/>
      <c r="NPD272" s="18"/>
      <c r="NPE272" s="18"/>
      <c r="NPF272" s="18"/>
      <c r="NPG272" s="18"/>
      <c r="NPH272" s="18"/>
      <c r="NPI272" s="18"/>
      <c r="NPJ272" s="18"/>
      <c r="NPK272" s="18"/>
      <c r="NPL272" s="18"/>
      <c r="NPM272" s="18"/>
      <c r="NPN272" s="18"/>
      <c r="NPO272" s="18"/>
      <c r="NPP272" s="18"/>
      <c r="NPQ272" s="18"/>
      <c r="NPR272" s="18"/>
      <c r="NPS272" s="18"/>
      <c r="NPT272" s="18"/>
      <c r="NPU272" s="18"/>
      <c r="NPV272" s="18"/>
      <c r="NPW272" s="18"/>
      <c r="NPX272" s="18"/>
      <c r="NPY272" s="18"/>
      <c r="NPZ272" s="18"/>
      <c r="NQA272" s="18"/>
      <c r="NQB272" s="18"/>
      <c r="NQC272" s="18"/>
      <c r="NQD272" s="18"/>
      <c r="NQE272" s="18"/>
      <c r="NQF272" s="18"/>
      <c r="NQG272" s="18"/>
      <c r="NQH272" s="18"/>
      <c r="NQI272" s="18"/>
      <c r="NQJ272" s="18"/>
      <c r="NQK272" s="18"/>
      <c r="NQL272" s="18"/>
      <c r="NQM272" s="18"/>
      <c r="NQN272" s="18"/>
      <c r="NQO272" s="18"/>
      <c r="NQP272" s="18"/>
      <c r="NQQ272" s="18"/>
      <c r="NQR272" s="18"/>
      <c r="NQS272" s="18"/>
      <c r="NQT272" s="18"/>
      <c r="NQU272" s="18"/>
      <c r="NQV272" s="18"/>
      <c r="NQW272" s="18"/>
      <c r="NQX272" s="18"/>
      <c r="NQY272" s="18"/>
      <c r="NQZ272" s="18"/>
      <c r="NRA272" s="18"/>
      <c r="NRB272" s="18"/>
      <c r="NRC272" s="18"/>
      <c r="NRD272" s="18"/>
      <c r="NRE272" s="18"/>
      <c r="NRF272" s="18"/>
      <c r="NRG272" s="18"/>
      <c r="NRH272" s="18"/>
      <c r="NRI272" s="18"/>
      <c r="NRJ272" s="18"/>
      <c r="NRK272" s="18"/>
      <c r="NRL272" s="18"/>
      <c r="NRM272" s="18"/>
      <c r="NRN272" s="18"/>
      <c r="NRO272" s="18"/>
      <c r="NRP272" s="18"/>
      <c r="NRQ272" s="18"/>
      <c r="NRR272" s="18"/>
      <c r="NRS272" s="18"/>
      <c r="NRT272" s="18"/>
      <c r="NRU272" s="18"/>
      <c r="NRV272" s="18"/>
      <c r="NRW272" s="18"/>
      <c r="NRX272" s="18"/>
      <c r="NRY272" s="18"/>
      <c r="NRZ272" s="18"/>
      <c r="NSA272" s="18"/>
      <c r="NSB272" s="18"/>
      <c r="NSC272" s="18"/>
      <c r="NSD272" s="18"/>
      <c r="NSE272" s="18"/>
      <c r="NSF272" s="18"/>
      <c r="NSG272" s="18"/>
      <c r="NSH272" s="18"/>
      <c r="NSI272" s="18"/>
      <c r="NSJ272" s="18"/>
      <c r="NSK272" s="18"/>
      <c r="NSL272" s="18"/>
      <c r="NSM272" s="18"/>
      <c r="NSN272" s="18"/>
      <c r="NSO272" s="18"/>
      <c r="NSP272" s="18"/>
      <c r="NSQ272" s="18"/>
      <c r="NSR272" s="18"/>
      <c r="NSS272" s="18"/>
      <c r="NST272" s="18"/>
      <c r="NSU272" s="18"/>
      <c r="NSV272" s="18"/>
      <c r="NSW272" s="18"/>
      <c r="NSX272" s="18"/>
      <c r="NSY272" s="18"/>
      <c r="NSZ272" s="18"/>
      <c r="NTA272" s="18"/>
      <c r="NTB272" s="18"/>
      <c r="NTC272" s="18"/>
      <c r="NTD272" s="18"/>
      <c r="NTE272" s="18"/>
      <c r="NTF272" s="18"/>
      <c r="NTG272" s="18"/>
      <c r="NTH272" s="18"/>
      <c r="NTI272" s="18"/>
      <c r="NTJ272" s="18"/>
      <c r="NTK272" s="18"/>
      <c r="NTL272" s="18"/>
      <c r="NTM272" s="18"/>
      <c r="NTN272" s="18"/>
      <c r="NTO272" s="18"/>
      <c r="NTP272" s="18"/>
      <c r="NTQ272" s="18"/>
      <c r="NTR272" s="18"/>
      <c r="NTS272" s="18"/>
      <c r="NTT272" s="18"/>
      <c r="NTU272" s="18"/>
      <c r="NTV272" s="18"/>
      <c r="NTW272" s="18"/>
      <c r="NTX272" s="18"/>
      <c r="NTY272" s="18"/>
      <c r="NTZ272" s="18"/>
      <c r="NUA272" s="18"/>
      <c r="NUB272" s="18"/>
      <c r="NUC272" s="18"/>
      <c r="NUD272" s="18"/>
      <c r="NUE272" s="18"/>
      <c r="NUF272" s="18"/>
      <c r="NUG272" s="18"/>
      <c r="NUH272" s="18"/>
      <c r="NUI272" s="18"/>
      <c r="NUJ272" s="18"/>
      <c r="NUK272" s="18"/>
      <c r="NUL272" s="18"/>
      <c r="NUM272" s="18"/>
      <c r="NUN272" s="18"/>
      <c r="NUO272" s="18"/>
      <c r="NUP272" s="18"/>
      <c r="NUQ272" s="18"/>
      <c r="NUR272" s="18"/>
      <c r="NUS272" s="18"/>
      <c r="NUT272" s="18"/>
      <c r="NUU272" s="18"/>
      <c r="NUV272" s="18"/>
      <c r="NUW272" s="18"/>
      <c r="NUX272" s="18"/>
      <c r="NUY272" s="18"/>
      <c r="NUZ272" s="18"/>
      <c r="NVA272" s="18"/>
      <c r="NVB272" s="18"/>
      <c r="NVC272" s="18"/>
      <c r="NVD272" s="18"/>
      <c r="NVE272" s="18"/>
      <c r="NVF272" s="18"/>
      <c r="NVG272" s="18"/>
      <c r="NVH272" s="18"/>
      <c r="NVI272" s="18"/>
      <c r="NVJ272" s="18"/>
      <c r="NVK272" s="18"/>
      <c r="NVL272" s="18"/>
      <c r="NVM272" s="18"/>
      <c r="NVN272" s="18"/>
      <c r="NVO272" s="18"/>
      <c r="NVP272" s="18"/>
      <c r="NVQ272" s="18"/>
      <c r="NVR272" s="18"/>
      <c r="NVS272" s="18"/>
      <c r="NVT272" s="18"/>
      <c r="NVU272" s="18"/>
      <c r="NVV272" s="18"/>
      <c r="NVW272" s="18"/>
      <c r="NVX272" s="18"/>
      <c r="NVY272" s="18"/>
      <c r="NVZ272" s="18"/>
      <c r="NWA272" s="18"/>
      <c r="NWB272" s="18"/>
      <c r="NWC272" s="18"/>
      <c r="NWD272" s="18"/>
      <c r="NWE272" s="18"/>
      <c r="NWF272" s="18"/>
      <c r="NWG272" s="18"/>
      <c r="NWH272" s="18"/>
      <c r="NWI272" s="18"/>
      <c r="NWJ272" s="18"/>
      <c r="NWK272" s="18"/>
      <c r="NWL272" s="18"/>
      <c r="NWM272" s="18"/>
      <c r="NWN272" s="18"/>
      <c r="NWO272" s="18"/>
      <c r="NWP272" s="18"/>
      <c r="NWQ272" s="18"/>
      <c r="NWR272" s="18"/>
      <c r="NWS272" s="18"/>
      <c r="NWT272" s="18"/>
      <c r="NWU272" s="18"/>
      <c r="NWV272" s="18"/>
      <c r="NWW272" s="18"/>
      <c r="NWX272" s="18"/>
      <c r="NWY272" s="18"/>
      <c r="NWZ272" s="18"/>
      <c r="NXA272" s="18"/>
      <c r="NXB272" s="18"/>
      <c r="NXC272" s="18"/>
      <c r="NXD272" s="18"/>
      <c r="NXE272" s="18"/>
      <c r="NXF272" s="18"/>
      <c r="NXG272" s="18"/>
      <c r="NXH272" s="18"/>
      <c r="NXI272" s="18"/>
      <c r="NXJ272" s="18"/>
      <c r="NXK272" s="18"/>
      <c r="NXL272" s="18"/>
      <c r="NXM272" s="18"/>
      <c r="NXN272" s="18"/>
      <c r="NXO272" s="18"/>
      <c r="NXP272" s="18"/>
      <c r="NXQ272" s="18"/>
      <c r="NXR272" s="18"/>
      <c r="NXS272" s="18"/>
      <c r="NXT272" s="18"/>
      <c r="NXU272" s="18"/>
      <c r="NXV272" s="18"/>
      <c r="NXW272" s="18"/>
      <c r="NXX272" s="18"/>
      <c r="NXY272" s="18"/>
      <c r="NXZ272" s="18"/>
      <c r="NYA272" s="18"/>
      <c r="NYB272" s="18"/>
      <c r="NYC272" s="18"/>
      <c r="NYD272" s="18"/>
      <c r="NYE272" s="18"/>
      <c r="NYF272" s="18"/>
      <c r="NYG272" s="18"/>
      <c r="NYH272" s="18"/>
      <c r="NYI272" s="18"/>
      <c r="NYJ272" s="18"/>
      <c r="NYK272" s="18"/>
      <c r="NYL272" s="18"/>
      <c r="NYM272" s="18"/>
      <c r="NYN272" s="18"/>
      <c r="NYO272" s="18"/>
      <c r="NYP272" s="18"/>
      <c r="NYQ272" s="18"/>
      <c r="NYR272" s="18"/>
      <c r="NYS272" s="18"/>
      <c r="NYT272" s="18"/>
      <c r="NYU272" s="18"/>
      <c r="NYV272" s="18"/>
      <c r="NYW272" s="18"/>
      <c r="NYX272" s="18"/>
      <c r="NYY272" s="18"/>
      <c r="NYZ272" s="18"/>
      <c r="NZA272" s="18"/>
      <c r="NZB272" s="18"/>
      <c r="NZC272" s="18"/>
      <c r="NZD272" s="18"/>
      <c r="NZE272" s="18"/>
      <c r="NZF272" s="18"/>
      <c r="NZG272" s="18"/>
      <c r="NZH272" s="18"/>
      <c r="NZI272" s="18"/>
      <c r="NZJ272" s="18"/>
      <c r="NZK272" s="18"/>
      <c r="NZL272" s="18"/>
      <c r="NZM272" s="18"/>
      <c r="NZN272" s="18"/>
      <c r="NZO272" s="18"/>
      <c r="NZP272" s="18"/>
      <c r="NZQ272" s="18"/>
      <c r="NZR272" s="18"/>
      <c r="NZS272" s="18"/>
      <c r="NZT272" s="18"/>
      <c r="NZU272" s="18"/>
      <c r="NZV272" s="18"/>
      <c r="NZW272" s="18"/>
      <c r="NZX272" s="18"/>
      <c r="NZY272" s="18"/>
      <c r="NZZ272" s="18"/>
      <c r="OAA272" s="18"/>
      <c r="OAB272" s="18"/>
      <c r="OAC272" s="18"/>
      <c r="OAD272" s="18"/>
      <c r="OAE272" s="18"/>
      <c r="OAF272" s="18"/>
      <c r="OAG272" s="18"/>
      <c r="OAH272" s="18"/>
      <c r="OAI272" s="18"/>
      <c r="OAJ272" s="18"/>
      <c r="OAK272" s="18"/>
      <c r="OAL272" s="18"/>
      <c r="OAM272" s="18"/>
      <c r="OAN272" s="18"/>
      <c r="OAO272" s="18"/>
      <c r="OAP272" s="18"/>
      <c r="OAQ272" s="18"/>
      <c r="OAR272" s="18"/>
      <c r="OAS272" s="18"/>
      <c r="OAT272" s="18"/>
      <c r="OAU272" s="18"/>
      <c r="OAV272" s="18"/>
      <c r="OAW272" s="18"/>
      <c r="OAX272" s="18"/>
      <c r="OAY272" s="18"/>
      <c r="OAZ272" s="18"/>
      <c r="OBA272" s="18"/>
      <c r="OBB272" s="18"/>
      <c r="OBC272" s="18"/>
      <c r="OBD272" s="18"/>
      <c r="OBE272" s="18"/>
      <c r="OBF272" s="18"/>
      <c r="OBG272" s="18"/>
      <c r="OBH272" s="18"/>
      <c r="OBI272" s="18"/>
      <c r="OBJ272" s="18"/>
      <c r="OBK272" s="18"/>
      <c r="OBL272" s="18"/>
      <c r="OBM272" s="18"/>
      <c r="OBN272" s="18"/>
      <c r="OBO272" s="18"/>
      <c r="OBP272" s="18"/>
      <c r="OBQ272" s="18"/>
      <c r="OBR272" s="18"/>
      <c r="OBS272" s="18"/>
      <c r="OBT272" s="18"/>
      <c r="OBU272" s="18"/>
      <c r="OBV272" s="18"/>
      <c r="OBW272" s="18"/>
      <c r="OBX272" s="18"/>
      <c r="OBY272" s="18"/>
      <c r="OBZ272" s="18"/>
      <c r="OCA272" s="18"/>
      <c r="OCB272" s="18"/>
      <c r="OCC272" s="18"/>
      <c r="OCD272" s="18"/>
      <c r="OCE272" s="18"/>
      <c r="OCF272" s="18"/>
      <c r="OCG272" s="18"/>
      <c r="OCH272" s="18"/>
      <c r="OCI272" s="18"/>
      <c r="OCJ272" s="18"/>
      <c r="OCK272" s="18"/>
      <c r="OCL272" s="18"/>
      <c r="OCM272" s="18"/>
      <c r="OCN272" s="18"/>
      <c r="OCO272" s="18"/>
      <c r="OCP272" s="18"/>
      <c r="OCQ272" s="18"/>
      <c r="OCR272" s="18"/>
      <c r="OCS272" s="18"/>
      <c r="OCT272" s="18"/>
      <c r="OCU272" s="18"/>
      <c r="OCV272" s="18"/>
      <c r="OCW272" s="18"/>
      <c r="OCX272" s="18"/>
      <c r="OCY272" s="18"/>
      <c r="OCZ272" s="18"/>
      <c r="ODA272" s="18"/>
      <c r="ODB272" s="18"/>
      <c r="ODC272" s="18"/>
      <c r="ODD272" s="18"/>
      <c r="ODE272" s="18"/>
      <c r="ODF272" s="18"/>
      <c r="ODG272" s="18"/>
      <c r="ODH272" s="18"/>
      <c r="ODI272" s="18"/>
      <c r="ODJ272" s="18"/>
      <c r="ODK272" s="18"/>
      <c r="ODL272" s="18"/>
      <c r="ODM272" s="18"/>
      <c r="ODN272" s="18"/>
      <c r="ODO272" s="18"/>
      <c r="ODP272" s="18"/>
      <c r="ODQ272" s="18"/>
      <c r="ODR272" s="18"/>
      <c r="ODS272" s="18"/>
      <c r="ODT272" s="18"/>
      <c r="ODU272" s="18"/>
      <c r="ODV272" s="18"/>
      <c r="ODW272" s="18"/>
      <c r="ODX272" s="18"/>
      <c r="ODY272" s="18"/>
      <c r="ODZ272" s="18"/>
      <c r="OEA272" s="18"/>
      <c r="OEB272" s="18"/>
      <c r="OEC272" s="18"/>
      <c r="OED272" s="18"/>
      <c r="OEE272" s="18"/>
      <c r="OEF272" s="18"/>
      <c r="OEG272" s="18"/>
      <c r="OEH272" s="18"/>
      <c r="OEI272" s="18"/>
      <c r="OEJ272" s="18"/>
      <c r="OEK272" s="18"/>
      <c r="OEL272" s="18"/>
      <c r="OEM272" s="18"/>
      <c r="OEN272" s="18"/>
      <c r="OEO272" s="18"/>
      <c r="OEP272" s="18"/>
      <c r="OEQ272" s="18"/>
      <c r="OER272" s="18"/>
      <c r="OES272" s="18"/>
      <c r="OET272" s="18"/>
      <c r="OEU272" s="18"/>
      <c r="OEV272" s="18"/>
      <c r="OEW272" s="18"/>
      <c r="OEX272" s="18"/>
      <c r="OEY272" s="18"/>
      <c r="OEZ272" s="18"/>
      <c r="OFA272" s="18"/>
      <c r="OFB272" s="18"/>
      <c r="OFC272" s="18"/>
      <c r="OFD272" s="18"/>
      <c r="OFE272" s="18"/>
      <c r="OFF272" s="18"/>
      <c r="OFG272" s="18"/>
      <c r="OFH272" s="18"/>
      <c r="OFI272" s="18"/>
      <c r="OFJ272" s="18"/>
      <c r="OFK272" s="18"/>
      <c r="OFL272" s="18"/>
      <c r="OFM272" s="18"/>
      <c r="OFN272" s="18"/>
      <c r="OFO272" s="18"/>
      <c r="OFP272" s="18"/>
      <c r="OFQ272" s="18"/>
      <c r="OFR272" s="18"/>
      <c r="OFS272" s="18"/>
      <c r="OFT272" s="18"/>
      <c r="OFU272" s="18"/>
      <c r="OFV272" s="18"/>
      <c r="OFW272" s="18"/>
      <c r="OFX272" s="18"/>
      <c r="OFY272" s="18"/>
      <c r="OFZ272" s="18"/>
      <c r="OGA272" s="18"/>
      <c r="OGB272" s="18"/>
      <c r="OGC272" s="18"/>
      <c r="OGD272" s="18"/>
      <c r="OGE272" s="18"/>
      <c r="OGF272" s="18"/>
      <c r="OGG272" s="18"/>
      <c r="OGH272" s="18"/>
      <c r="OGI272" s="18"/>
      <c r="OGJ272" s="18"/>
      <c r="OGK272" s="18"/>
      <c r="OGL272" s="18"/>
      <c r="OGM272" s="18"/>
      <c r="OGN272" s="18"/>
      <c r="OGO272" s="18"/>
      <c r="OGP272" s="18"/>
      <c r="OGQ272" s="18"/>
      <c r="OGR272" s="18"/>
      <c r="OGS272" s="18"/>
      <c r="OGT272" s="18"/>
      <c r="OGU272" s="18"/>
      <c r="OGV272" s="18"/>
      <c r="OGW272" s="18"/>
      <c r="OGX272" s="18"/>
      <c r="OGY272" s="18"/>
      <c r="OGZ272" s="18"/>
      <c r="OHA272" s="18"/>
      <c r="OHB272" s="18"/>
      <c r="OHC272" s="18"/>
      <c r="OHD272" s="18"/>
      <c r="OHE272" s="18"/>
      <c r="OHF272" s="18"/>
      <c r="OHG272" s="18"/>
      <c r="OHH272" s="18"/>
      <c r="OHI272" s="18"/>
      <c r="OHJ272" s="18"/>
      <c r="OHK272" s="18"/>
      <c r="OHL272" s="18"/>
      <c r="OHM272" s="18"/>
      <c r="OHN272" s="18"/>
      <c r="OHO272" s="18"/>
      <c r="OHP272" s="18"/>
      <c r="OHQ272" s="18"/>
      <c r="OHR272" s="18"/>
      <c r="OHS272" s="18"/>
      <c r="OHT272" s="18"/>
      <c r="OHU272" s="18"/>
      <c r="OHV272" s="18"/>
      <c r="OHW272" s="18"/>
      <c r="OHX272" s="18"/>
      <c r="OHY272" s="18"/>
      <c r="OHZ272" s="18"/>
      <c r="OIA272" s="18"/>
      <c r="OIB272" s="18"/>
      <c r="OIC272" s="18"/>
      <c r="OID272" s="18"/>
      <c r="OIE272" s="18"/>
      <c r="OIF272" s="18"/>
      <c r="OIG272" s="18"/>
      <c r="OIH272" s="18"/>
      <c r="OII272" s="18"/>
      <c r="OIJ272" s="18"/>
      <c r="OIK272" s="18"/>
      <c r="OIL272" s="18"/>
      <c r="OIM272" s="18"/>
      <c r="OIN272" s="18"/>
      <c r="OIO272" s="18"/>
      <c r="OIP272" s="18"/>
      <c r="OIQ272" s="18"/>
      <c r="OIR272" s="18"/>
      <c r="OIS272" s="18"/>
      <c r="OIT272" s="18"/>
      <c r="OIU272" s="18"/>
      <c r="OIV272" s="18"/>
      <c r="OIW272" s="18"/>
      <c r="OIX272" s="18"/>
      <c r="OIY272" s="18"/>
      <c r="OIZ272" s="18"/>
      <c r="OJA272" s="18"/>
      <c r="OJB272" s="18"/>
      <c r="OJC272" s="18"/>
      <c r="OJD272" s="18"/>
      <c r="OJE272" s="18"/>
      <c r="OJF272" s="18"/>
      <c r="OJG272" s="18"/>
      <c r="OJH272" s="18"/>
      <c r="OJI272" s="18"/>
      <c r="OJJ272" s="18"/>
      <c r="OJK272" s="18"/>
      <c r="OJL272" s="18"/>
      <c r="OJM272" s="18"/>
      <c r="OJN272" s="18"/>
      <c r="OJO272" s="18"/>
      <c r="OJP272" s="18"/>
      <c r="OJQ272" s="18"/>
      <c r="OJR272" s="18"/>
      <c r="OJS272" s="18"/>
      <c r="OJT272" s="18"/>
      <c r="OJU272" s="18"/>
      <c r="OJV272" s="18"/>
      <c r="OJW272" s="18"/>
      <c r="OJX272" s="18"/>
      <c r="OJY272" s="18"/>
      <c r="OJZ272" s="18"/>
      <c r="OKA272" s="18"/>
      <c r="OKB272" s="18"/>
      <c r="OKC272" s="18"/>
      <c r="OKD272" s="18"/>
      <c r="OKE272" s="18"/>
      <c r="OKF272" s="18"/>
      <c r="OKG272" s="18"/>
      <c r="OKH272" s="18"/>
      <c r="OKI272" s="18"/>
      <c r="OKJ272" s="18"/>
      <c r="OKK272" s="18"/>
      <c r="OKL272" s="18"/>
      <c r="OKM272" s="18"/>
      <c r="OKN272" s="18"/>
      <c r="OKO272" s="18"/>
      <c r="OKP272" s="18"/>
      <c r="OKQ272" s="18"/>
      <c r="OKR272" s="18"/>
      <c r="OKS272" s="18"/>
      <c r="OKT272" s="18"/>
      <c r="OKU272" s="18"/>
      <c r="OKV272" s="18"/>
      <c r="OKW272" s="18"/>
      <c r="OKX272" s="18"/>
      <c r="OKY272" s="18"/>
      <c r="OKZ272" s="18"/>
      <c r="OLA272" s="18"/>
      <c r="OLB272" s="18"/>
      <c r="OLC272" s="18"/>
      <c r="OLD272" s="18"/>
      <c r="OLE272" s="18"/>
      <c r="OLF272" s="18"/>
      <c r="OLG272" s="18"/>
      <c r="OLH272" s="18"/>
      <c r="OLI272" s="18"/>
      <c r="OLJ272" s="18"/>
      <c r="OLK272" s="18"/>
      <c r="OLL272" s="18"/>
      <c r="OLM272" s="18"/>
      <c r="OLN272" s="18"/>
      <c r="OLO272" s="18"/>
      <c r="OLP272" s="18"/>
      <c r="OLQ272" s="18"/>
      <c r="OLR272" s="18"/>
      <c r="OLS272" s="18"/>
      <c r="OLT272" s="18"/>
      <c r="OLU272" s="18"/>
      <c r="OLV272" s="18"/>
      <c r="OLW272" s="18"/>
      <c r="OLX272" s="18"/>
      <c r="OLY272" s="18"/>
      <c r="OLZ272" s="18"/>
      <c r="OMA272" s="18"/>
      <c r="OMB272" s="18"/>
      <c r="OMC272" s="18"/>
      <c r="OMD272" s="18"/>
      <c r="OME272" s="18"/>
      <c r="OMF272" s="18"/>
      <c r="OMG272" s="18"/>
      <c r="OMH272" s="18"/>
      <c r="OMI272" s="18"/>
      <c r="OMJ272" s="18"/>
      <c r="OMK272" s="18"/>
      <c r="OML272" s="18"/>
      <c r="OMM272" s="18"/>
      <c r="OMN272" s="18"/>
      <c r="OMO272" s="18"/>
      <c r="OMP272" s="18"/>
      <c r="OMQ272" s="18"/>
      <c r="OMR272" s="18"/>
      <c r="OMS272" s="18"/>
      <c r="OMT272" s="18"/>
      <c r="OMU272" s="18"/>
      <c r="OMV272" s="18"/>
      <c r="OMW272" s="18"/>
      <c r="OMX272" s="18"/>
      <c r="OMY272" s="18"/>
      <c r="OMZ272" s="18"/>
      <c r="ONA272" s="18"/>
      <c r="ONB272" s="18"/>
      <c r="ONC272" s="18"/>
      <c r="OND272" s="18"/>
      <c r="ONE272" s="18"/>
      <c r="ONF272" s="18"/>
      <c r="ONG272" s="18"/>
      <c r="ONH272" s="18"/>
      <c r="ONI272" s="18"/>
      <c r="ONJ272" s="18"/>
      <c r="ONK272" s="18"/>
      <c r="ONL272" s="18"/>
      <c r="ONM272" s="18"/>
      <c r="ONN272" s="18"/>
      <c r="ONO272" s="18"/>
      <c r="ONP272" s="18"/>
      <c r="ONQ272" s="18"/>
      <c r="ONR272" s="18"/>
      <c r="ONS272" s="18"/>
      <c r="ONT272" s="18"/>
      <c r="ONU272" s="18"/>
      <c r="ONV272" s="18"/>
      <c r="ONW272" s="18"/>
      <c r="ONX272" s="18"/>
      <c r="ONY272" s="18"/>
      <c r="ONZ272" s="18"/>
      <c r="OOA272" s="18"/>
      <c r="OOB272" s="18"/>
      <c r="OOC272" s="18"/>
      <c r="OOD272" s="18"/>
      <c r="OOE272" s="18"/>
      <c r="OOF272" s="18"/>
      <c r="OOG272" s="18"/>
      <c r="OOH272" s="18"/>
      <c r="OOI272" s="18"/>
      <c r="OOJ272" s="18"/>
      <c r="OOK272" s="18"/>
      <c r="OOL272" s="18"/>
      <c r="OOM272" s="18"/>
      <c r="OON272" s="18"/>
      <c r="OOO272" s="18"/>
      <c r="OOP272" s="18"/>
      <c r="OOQ272" s="18"/>
      <c r="OOR272" s="18"/>
      <c r="OOS272" s="18"/>
      <c r="OOT272" s="18"/>
      <c r="OOU272" s="18"/>
      <c r="OOV272" s="18"/>
      <c r="OOW272" s="18"/>
      <c r="OOX272" s="18"/>
      <c r="OOY272" s="18"/>
      <c r="OOZ272" s="18"/>
      <c r="OPA272" s="18"/>
      <c r="OPB272" s="18"/>
      <c r="OPC272" s="18"/>
      <c r="OPD272" s="18"/>
      <c r="OPE272" s="18"/>
      <c r="OPF272" s="18"/>
      <c r="OPG272" s="18"/>
      <c r="OPH272" s="18"/>
      <c r="OPI272" s="18"/>
      <c r="OPJ272" s="18"/>
      <c r="OPK272" s="18"/>
      <c r="OPL272" s="18"/>
      <c r="OPM272" s="18"/>
      <c r="OPN272" s="18"/>
      <c r="OPO272" s="18"/>
      <c r="OPP272" s="18"/>
      <c r="OPQ272" s="18"/>
      <c r="OPR272" s="18"/>
      <c r="OPS272" s="18"/>
      <c r="OPT272" s="18"/>
      <c r="OPU272" s="18"/>
      <c r="OPV272" s="18"/>
      <c r="OPW272" s="18"/>
      <c r="OPX272" s="18"/>
      <c r="OPY272" s="18"/>
      <c r="OPZ272" s="18"/>
      <c r="OQA272" s="18"/>
      <c r="OQB272" s="18"/>
      <c r="OQC272" s="18"/>
      <c r="OQD272" s="18"/>
      <c r="OQE272" s="18"/>
      <c r="OQF272" s="18"/>
      <c r="OQG272" s="18"/>
      <c r="OQH272" s="18"/>
      <c r="OQI272" s="18"/>
      <c r="OQJ272" s="18"/>
      <c r="OQK272" s="18"/>
      <c r="OQL272" s="18"/>
      <c r="OQM272" s="18"/>
      <c r="OQN272" s="18"/>
      <c r="OQO272" s="18"/>
      <c r="OQP272" s="18"/>
      <c r="OQQ272" s="18"/>
      <c r="OQR272" s="18"/>
      <c r="OQS272" s="18"/>
      <c r="OQT272" s="18"/>
      <c r="OQU272" s="18"/>
      <c r="OQV272" s="18"/>
      <c r="OQW272" s="18"/>
      <c r="OQX272" s="18"/>
      <c r="OQY272" s="18"/>
      <c r="OQZ272" s="18"/>
      <c r="ORA272" s="18"/>
      <c r="ORB272" s="18"/>
      <c r="ORC272" s="18"/>
      <c r="ORD272" s="18"/>
      <c r="ORE272" s="18"/>
      <c r="ORF272" s="18"/>
      <c r="ORG272" s="18"/>
      <c r="ORH272" s="18"/>
      <c r="ORI272" s="18"/>
      <c r="ORJ272" s="18"/>
      <c r="ORK272" s="18"/>
      <c r="ORL272" s="18"/>
      <c r="ORM272" s="18"/>
      <c r="ORN272" s="18"/>
      <c r="ORO272" s="18"/>
      <c r="ORP272" s="18"/>
      <c r="ORQ272" s="18"/>
      <c r="ORR272" s="18"/>
      <c r="ORS272" s="18"/>
      <c r="ORT272" s="18"/>
      <c r="ORU272" s="18"/>
      <c r="ORV272" s="18"/>
      <c r="ORW272" s="18"/>
      <c r="ORX272" s="18"/>
      <c r="ORY272" s="18"/>
      <c r="ORZ272" s="18"/>
      <c r="OSA272" s="18"/>
      <c r="OSB272" s="18"/>
      <c r="OSC272" s="18"/>
      <c r="OSD272" s="18"/>
      <c r="OSE272" s="18"/>
      <c r="OSF272" s="18"/>
      <c r="OSG272" s="18"/>
      <c r="OSH272" s="18"/>
      <c r="OSI272" s="18"/>
      <c r="OSJ272" s="18"/>
      <c r="OSK272" s="18"/>
      <c r="OSL272" s="18"/>
      <c r="OSM272" s="18"/>
      <c r="OSN272" s="18"/>
      <c r="OSO272" s="18"/>
      <c r="OSP272" s="18"/>
      <c r="OSQ272" s="18"/>
      <c r="OSR272" s="18"/>
      <c r="OSS272" s="18"/>
      <c r="OST272" s="18"/>
      <c r="OSU272" s="18"/>
      <c r="OSV272" s="18"/>
      <c r="OSW272" s="18"/>
      <c r="OSX272" s="18"/>
      <c r="OSY272" s="18"/>
      <c r="OSZ272" s="18"/>
      <c r="OTA272" s="18"/>
      <c r="OTB272" s="18"/>
      <c r="OTC272" s="18"/>
      <c r="OTD272" s="18"/>
      <c r="OTE272" s="18"/>
      <c r="OTF272" s="18"/>
      <c r="OTG272" s="18"/>
      <c r="OTH272" s="18"/>
      <c r="OTI272" s="18"/>
      <c r="OTJ272" s="18"/>
      <c r="OTK272" s="18"/>
      <c r="OTL272" s="18"/>
      <c r="OTM272" s="18"/>
      <c r="OTN272" s="18"/>
      <c r="OTO272" s="18"/>
      <c r="OTP272" s="18"/>
      <c r="OTQ272" s="18"/>
      <c r="OTR272" s="18"/>
      <c r="OTS272" s="18"/>
      <c r="OTT272" s="18"/>
      <c r="OTU272" s="18"/>
      <c r="OTV272" s="18"/>
      <c r="OTW272" s="18"/>
      <c r="OTX272" s="18"/>
      <c r="OTY272" s="18"/>
      <c r="OTZ272" s="18"/>
      <c r="OUA272" s="18"/>
      <c r="OUB272" s="18"/>
      <c r="OUC272" s="18"/>
      <c r="OUD272" s="18"/>
      <c r="OUE272" s="18"/>
      <c r="OUF272" s="18"/>
      <c r="OUG272" s="18"/>
      <c r="OUH272" s="18"/>
      <c r="OUI272" s="18"/>
      <c r="OUJ272" s="18"/>
      <c r="OUK272" s="18"/>
      <c r="OUL272" s="18"/>
      <c r="OUM272" s="18"/>
      <c r="OUN272" s="18"/>
      <c r="OUO272" s="18"/>
      <c r="OUP272" s="18"/>
      <c r="OUQ272" s="18"/>
      <c r="OUR272" s="18"/>
      <c r="OUS272" s="18"/>
      <c r="OUT272" s="18"/>
      <c r="OUU272" s="18"/>
      <c r="OUV272" s="18"/>
      <c r="OUW272" s="18"/>
      <c r="OUX272" s="18"/>
      <c r="OUY272" s="18"/>
      <c r="OUZ272" s="18"/>
      <c r="OVA272" s="18"/>
      <c r="OVB272" s="18"/>
      <c r="OVC272" s="18"/>
      <c r="OVD272" s="18"/>
      <c r="OVE272" s="18"/>
      <c r="OVF272" s="18"/>
      <c r="OVG272" s="18"/>
      <c r="OVH272" s="18"/>
      <c r="OVI272" s="18"/>
      <c r="OVJ272" s="18"/>
      <c r="OVK272" s="18"/>
      <c r="OVL272" s="18"/>
      <c r="OVM272" s="18"/>
      <c r="OVN272" s="18"/>
      <c r="OVO272" s="18"/>
      <c r="OVP272" s="18"/>
      <c r="OVQ272" s="18"/>
      <c r="OVR272" s="18"/>
      <c r="OVS272" s="18"/>
      <c r="OVT272" s="18"/>
      <c r="OVU272" s="18"/>
      <c r="OVV272" s="18"/>
      <c r="OVW272" s="18"/>
      <c r="OVX272" s="18"/>
      <c r="OVY272" s="18"/>
      <c r="OVZ272" s="18"/>
      <c r="OWA272" s="18"/>
      <c r="OWB272" s="18"/>
      <c r="OWC272" s="18"/>
      <c r="OWD272" s="18"/>
      <c r="OWE272" s="18"/>
      <c r="OWF272" s="18"/>
      <c r="OWG272" s="18"/>
      <c r="OWH272" s="18"/>
      <c r="OWI272" s="18"/>
      <c r="OWJ272" s="18"/>
      <c r="OWK272" s="18"/>
      <c r="OWL272" s="18"/>
      <c r="OWM272" s="18"/>
      <c r="OWN272" s="18"/>
      <c r="OWO272" s="18"/>
      <c r="OWP272" s="18"/>
      <c r="OWQ272" s="18"/>
      <c r="OWR272" s="18"/>
      <c r="OWS272" s="18"/>
      <c r="OWT272" s="18"/>
      <c r="OWU272" s="18"/>
      <c r="OWV272" s="18"/>
      <c r="OWW272" s="18"/>
      <c r="OWX272" s="18"/>
      <c r="OWY272" s="18"/>
      <c r="OWZ272" s="18"/>
      <c r="OXA272" s="18"/>
      <c r="OXB272" s="18"/>
      <c r="OXC272" s="18"/>
      <c r="OXD272" s="18"/>
      <c r="OXE272" s="18"/>
      <c r="OXF272" s="18"/>
      <c r="OXG272" s="18"/>
      <c r="OXH272" s="18"/>
      <c r="OXI272" s="18"/>
      <c r="OXJ272" s="18"/>
      <c r="OXK272" s="18"/>
      <c r="OXL272" s="18"/>
      <c r="OXM272" s="18"/>
      <c r="OXN272" s="18"/>
      <c r="OXO272" s="18"/>
      <c r="OXP272" s="18"/>
      <c r="OXQ272" s="18"/>
      <c r="OXR272" s="18"/>
      <c r="OXS272" s="18"/>
      <c r="OXT272" s="18"/>
      <c r="OXU272" s="18"/>
      <c r="OXV272" s="18"/>
      <c r="OXW272" s="18"/>
      <c r="OXX272" s="18"/>
      <c r="OXY272" s="18"/>
      <c r="OXZ272" s="18"/>
      <c r="OYA272" s="18"/>
      <c r="OYB272" s="18"/>
      <c r="OYC272" s="18"/>
      <c r="OYD272" s="18"/>
      <c r="OYE272" s="18"/>
      <c r="OYF272" s="18"/>
      <c r="OYG272" s="18"/>
      <c r="OYH272" s="18"/>
      <c r="OYI272" s="18"/>
      <c r="OYJ272" s="18"/>
      <c r="OYK272" s="18"/>
      <c r="OYL272" s="18"/>
      <c r="OYM272" s="18"/>
      <c r="OYN272" s="18"/>
      <c r="OYO272" s="18"/>
      <c r="OYP272" s="18"/>
      <c r="OYQ272" s="18"/>
      <c r="OYR272" s="18"/>
      <c r="OYS272" s="18"/>
      <c r="OYT272" s="18"/>
      <c r="OYU272" s="18"/>
      <c r="OYV272" s="18"/>
      <c r="OYW272" s="18"/>
      <c r="OYX272" s="18"/>
      <c r="OYY272" s="18"/>
      <c r="OYZ272" s="18"/>
      <c r="OZA272" s="18"/>
      <c r="OZB272" s="18"/>
      <c r="OZC272" s="18"/>
      <c r="OZD272" s="18"/>
      <c r="OZE272" s="18"/>
      <c r="OZF272" s="18"/>
      <c r="OZG272" s="18"/>
      <c r="OZH272" s="18"/>
      <c r="OZI272" s="18"/>
      <c r="OZJ272" s="18"/>
      <c r="OZK272" s="18"/>
      <c r="OZL272" s="18"/>
      <c r="OZM272" s="18"/>
      <c r="OZN272" s="18"/>
      <c r="OZO272" s="18"/>
      <c r="OZP272" s="18"/>
      <c r="OZQ272" s="18"/>
      <c r="OZR272" s="18"/>
      <c r="OZS272" s="18"/>
      <c r="OZT272" s="18"/>
      <c r="OZU272" s="18"/>
      <c r="OZV272" s="18"/>
      <c r="OZW272" s="18"/>
      <c r="OZX272" s="18"/>
      <c r="OZY272" s="18"/>
      <c r="OZZ272" s="18"/>
      <c r="PAA272" s="18"/>
      <c r="PAB272" s="18"/>
      <c r="PAC272" s="18"/>
      <c r="PAD272" s="18"/>
      <c r="PAE272" s="18"/>
      <c r="PAF272" s="18"/>
      <c r="PAG272" s="18"/>
      <c r="PAH272" s="18"/>
      <c r="PAI272" s="18"/>
      <c r="PAJ272" s="18"/>
      <c r="PAK272" s="18"/>
      <c r="PAL272" s="18"/>
      <c r="PAM272" s="18"/>
      <c r="PAN272" s="18"/>
      <c r="PAO272" s="18"/>
      <c r="PAP272" s="18"/>
      <c r="PAQ272" s="18"/>
      <c r="PAR272" s="18"/>
      <c r="PAS272" s="18"/>
      <c r="PAT272" s="18"/>
      <c r="PAU272" s="18"/>
      <c r="PAV272" s="18"/>
      <c r="PAW272" s="18"/>
      <c r="PAX272" s="18"/>
      <c r="PAY272" s="18"/>
      <c r="PAZ272" s="18"/>
      <c r="PBA272" s="18"/>
      <c r="PBB272" s="18"/>
      <c r="PBC272" s="18"/>
      <c r="PBD272" s="18"/>
      <c r="PBE272" s="18"/>
      <c r="PBF272" s="18"/>
      <c r="PBG272" s="18"/>
      <c r="PBH272" s="18"/>
      <c r="PBI272" s="18"/>
      <c r="PBJ272" s="18"/>
      <c r="PBK272" s="18"/>
      <c r="PBL272" s="18"/>
      <c r="PBM272" s="18"/>
      <c r="PBN272" s="18"/>
      <c r="PBO272" s="18"/>
      <c r="PBP272" s="18"/>
      <c r="PBQ272" s="18"/>
      <c r="PBR272" s="18"/>
      <c r="PBS272" s="18"/>
      <c r="PBT272" s="18"/>
      <c r="PBU272" s="18"/>
      <c r="PBV272" s="18"/>
      <c r="PBW272" s="18"/>
      <c r="PBX272" s="18"/>
      <c r="PBY272" s="18"/>
      <c r="PBZ272" s="18"/>
      <c r="PCA272" s="18"/>
      <c r="PCB272" s="18"/>
      <c r="PCC272" s="18"/>
      <c r="PCD272" s="18"/>
      <c r="PCE272" s="18"/>
      <c r="PCF272" s="18"/>
      <c r="PCG272" s="18"/>
      <c r="PCH272" s="18"/>
      <c r="PCI272" s="18"/>
      <c r="PCJ272" s="18"/>
      <c r="PCK272" s="18"/>
      <c r="PCL272" s="18"/>
      <c r="PCM272" s="18"/>
      <c r="PCN272" s="18"/>
      <c r="PCO272" s="18"/>
      <c r="PCP272" s="18"/>
      <c r="PCQ272" s="18"/>
      <c r="PCR272" s="18"/>
      <c r="PCS272" s="18"/>
      <c r="PCT272" s="18"/>
      <c r="PCU272" s="18"/>
      <c r="PCV272" s="18"/>
      <c r="PCW272" s="18"/>
      <c r="PCX272" s="18"/>
      <c r="PCY272" s="18"/>
      <c r="PCZ272" s="18"/>
      <c r="PDA272" s="18"/>
      <c r="PDB272" s="18"/>
      <c r="PDC272" s="18"/>
      <c r="PDD272" s="18"/>
      <c r="PDE272" s="18"/>
      <c r="PDF272" s="18"/>
      <c r="PDG272" s="18"/>
      <c r="PDH272" s="18"/>
      <c r="PDI272" s="18"/>
      <c r="PDJ272" s="18"/>
      <c r="PDK272" s="18"/>
      <c r="PDL272" s="18"/>
      <c r="PDM272" s="18"/>
      <c r="PDN272" s="18"/>
      <c r="PDO272" s="18"/>
      <c r="PDP272" s="18"/>
      <c r="PDQ272" s="18"/>
      <c r="PDR272" s="18"/>
      <c r="PDS272" s="18"/>
      <c r="PDT272" s="18"/>
      <c r="PDU272" s="18"/>
      <c r="PDV272" s="18"/>
      <c r="PDW272" s="18"/>
      <c r="PDX272" s="18"/>
      <c r="PDY272" s="18"/>
      <c r="PDZ272" s="18"/>
      <c r="PEA272" s="18"/>
      <c r="PEB272" s="18"/>
      <c r="PEC272" s="18"/>
      <c r="PED272" s="18"/>
      <c r="PEE272" s="18"/>
      <c r="PEF272" s="18"/>
      <c r="PEG272" s="18"/>
      <c r="PEH272" s="18"/>
      <c r="PEI272" s="18"/>
      <c r="PEJ272" s="18"/>
      <c r="PEK272" s="18"/>
      <c r="PEL272" s="18"/>
      <c r="PEM272" s="18"/>
      <c r="PEN272" s="18"/>
      <c r="PEO272" s="18"/>
      <c r="PEP272" s="18"/>
      <c r="PEQ272" s="18"/>
      <c r="PER272" s="18"/>
      <c r="PES272" s="18"/>
      <c r="PET272" s="18"/>
      <c r="PEU272" s="18"/>
      <c r="PEV272" s="18"/>
      <c r="PEW272" s="18"/>
      <c r="PEX272" s="18"/>
      <c r="PEY272" s="18"/>
      <c r="PEZ272" s="18"/>
      <c r="PFA272" s="18"/>
      <c r="PFB272" s="18"/>
      <c r="PFC272" s="18"/>
      <c r="PFD272" s="18"/>
      <c r="PFE272" s="18"/>
      <c r="PFF272" s="18"/>
      <c r="PFG272" s="18"/>
      <c r="PFH272" s="18"/>
      <c r="PFI272" s="18"/>
      <c r="PFJ272" s="18"/>
      <c r="PFK272" s="18"/>
      <c r="PFL272" s="18"/>
      <c r="PFM272" s="18"/>
      <c r="PFN272" s="18"/>
      <c r="PFO272" s="18"/>
      <c r="PFP272" s="18"/>
      <c r="PFQ272" s="18"/>
      <c r="PFR272" s="18"/>
      <c r="PFS272" s="18"/>
      <c r="PFT272" s="18"/>
      <c r="PFU272" s="18"/>
      <c r="PFV272" s="18"/>
      <c r="PFW272" s="18"/>
      <c r="PFX272" s="18"/>
      <c r="PFY272" s="18"/>
      <c r="PFZ272" s="18"/>
      <c r="PGA272" s="18"/>
      <c r="PGB272" s="18"/>
      <c r="PGC272" s="18"/>
      <c r="PGD272" s="18"/>
      <c r="PGE272" s="18"/>
      <c r="PGF272" s="18"/>
      <c r="PGG272" s="18"/>
      <c r="PGH272" s="18"/>
      <c r="PGI272" s="18"/>
      <c r="PGJ272" s="18"/>
      <c r="PGK272" s="18"/>
      <c r="PGL272" s="18"/>
      <c r="PGM272" s="18"/>
      <c r="PGN272" s="18"/>
      <c r="PGO272" s="18"/>
      <c r="PGP272" s="18"/>
      <c r="PGQ272" s="18"/>
      <c r="PGR272" s="18"/>
      <c r="PGS272" s="18"/>
      <c r="PGT272" s="18"/>
      <c r="PGU272" s="18"/>
      <c r="PGV272" s="18"/>
      <c r="PGW272" s="18"/>
      <c r="PGX272" s="18"/>
      <c r="PGY272" s="18"/>
      <c r="PGZ272" s="18"/>
      <c r="PHA272" s="18"/>
      <c r="PHB272" s="18"/>
      <c r="PHC272" s="18"/>
      <c r="PHD272" s="18"/>
      <c r="PHE272" s="18"/>
      <c r="PHF272" s="18"/>
      <c r="PHG272" s="18"/>
      <c r="PHH272" s="18"/>
      <c r="PHI272" s="18"/>
      <c r="PHJ272" s="18"/>
      <c r="PHK272" s="18"/>
      <c r="PHL272" s="18"/>
      <c r="PHM272" s="18"/>
      <c r="PHN272" s="18"/>
      <c r="PHO272" s="18"/>
      <c r="PHP272" s="18"/>
      <c r="PHQ272" s="18"/>
      <c r="PHR272" s="18"/>
      <c r="PHS272" s="18"/>
      <c r="PHT272" s="18"/>
      <c r="PHU272" s="18"/>
      <c r="PHV272" s="18"/>
      <c r="PHW272" s="18"/>
      <c r="PHX272" s="18"/>
      <c r="PHY272" s="18"/>
      <c r="PHZ272" s="18"/>
      <c r="PIA272" s="18"/>
      <c r="PIB272" s="18"/>
      <c r="PIC272" s="18"/>
      <c r="PID272" s="18"/>
      <c r="PIE272" s="18"/>
      <c r="PIF272" s="18"/>
      <c r="PIG272" s="18"/>
      <c r="PIH272" s="18"/>
      <c r="PII272" s="18"/>
      <c r="PIJ272" s="18"/>
      <c r="PIK272" s="18"/>
      <c r="PIL272" s="18"/>
      <c r="PIM272" s="18"/>
      <c r="PIN272" s="18"/>
      <c r="PIO272" s="18"/>
      <c r="PIP272" s="18"/>
      <c r="PIQ272" s="18"/>
      <c r="PIR272" s="18"/>
      <c r="PIS272" s="18"/>
      <c r="PIT272" s="18"/>
      <c r="PIU272" s="18"/>
      <c r="PIV272" s="18"/>
      <c r="PIW272" s="18"/>
      <c r="PIX272" s="18"/>
      <c r="PIY272" s="18"/>
      <c r="PIZ272" s="18"/>
      <c r="PJA272" s="18"/>
      <c r="PJB272" s="18"/>
      <c r="PJC272" s="18"/>
      <c r="PJD272" s="18"/>
      <c r="PJE272" s="18"/>
      <c r="PJF272" s="18"/>
      <c r="PJG272" s="18"/>
      <c r="PJH272" s="18"/>
      <c r="PJI272" s="18"/>
      <c r="PJJ272" s="18"/>
      <c r="PJK272" s="18"/>
      <c r="PJL272" s="18"/>
      <c r="PJM272" s="18"/>
      <c r="PJN272" s="18"/>
      <c r="PJO272" s="18"/>
      <c r="PJP272" s="18"/>
      <c r="PJQ272" s="18"/>
      <c r="PJR272" s="18"/>
      <c r="PJS272" s="18"/>
      <c r="PJT272" s="18"/>
      <c r="PJU272" s="18"/>
      <c r="PJV272" s="18"/>
      <c r="PJW272" s="18"/>
      <c r="PJX272" s="18"/>
      <c r="PJY272" s="18"/>
      <c r="PJZ272" s="18"/>
      <c r="PKA272" s="18"/>
      <c r="PKB272" s="18"/>
      <c r="PKC272" s="18"/>
      <c r="PKD272" s="18"/>
      <c r="PKE272" s="18"/>
      <c r="PKF272" s="18"/>
      <c r="PKG272" s="18"/>
      <c r="PKH272" s="18"/>
      <c r="PKI272" s="18"/>
      <c r="PKJ272" s="18"/>
      <c r="PKK272" s="18"/>
      <c r="PKL272" s="18"/>
      <c r="PKM272" s="18"/>
      <c r="PKN272" s="18"/>
      <c r="PKO272" s="18"/>
      <c r="PKP272" s="18"/>
      <c r="PKQ272" s="18"/>
      <c r="PKR272" s="18"/>
      <c r="PKS272" s="18"/>
      <c r="PKT272" s="18"/>
      <c r="PKU272" s="18"/>
      <c r="PKV272" s="18"/>
      <c r="PKW272" s="18"/>
      <c r="PKX272" s="18"/>
      <c r="PKY272" s="18"/>
      <c r="PKZ272" s="18"/>
      <c r="PLA272" s="18"/>
      <c r="PLB272" s="18"/>
      <c r="PLC272" s="18"/>
      <c r="PLD272" s="18"/>
      <c r="PLE272" s="18"/>
      <c r="PLF272" s="18"/>
      <c r="PLG272" s="18"/>
      <c r="PLH272" s="18"/>
      <c r="PLI272" s="18"/>
      <c r="PLJ272" s="18"/>
      <c r="PLK272" s="18"/>
      <c r="PLL272" s="18"/>
      <c r="PLM272" s="18"/>
      <c r="PLN272" s="18"/>
      <c r="PLO272" s="18"/>
      <c r="PLP272" s="18"/>
      <c r="PLQ272" s="18"/>
      <c r="PLR272" s="18"/>
      <c r="PLS272" s="18"/>
      <c r="PLT272" s="18"/>
      <c r="PLU272" s="18"/>
      <c r="PLV272" s="18"/>
      <c r="PLW272" s="18"/>
      <c r="PLX272" s="18"/>
      <c r="PLY272" s="18"/>
      <c r="PLZ272" s="18"/>
      <c r="PMA272" s="18"/>
      <c r="PMB272" s="18"/>
      <c r="PMC272" s="18"/>
      <c r="PMD272" s="18"/>
      <c r="PME272" s="18"/>
      <c r="PMF272" s="18"/>
      <c r="PMG272" s="18"/>
      <c r="PMH272" s="18"/>
      <c r="PMI272" s="18"/>
      <c r="PMJ272" s="18"/>
      <c r="PMK272" s="18"/>
      <c r="PML272" s="18"/>
      <c r="PMM272" s="18"/>
      <c r="PMN272" s="18"/>
      <c r="PMO272" s="18"/>
      <c r="PMP272" s="18"/>
      <c r="PMQ272" s="18"/>
      <c r="PMR272" s="18"/>
      <c r="PMS272" s="18"/>
      <c r="PMT272" s="18"/>
      <c r="PMU272" s="18"/>
      <c r="PMV272" s="18"/>
      <c r="PMW272" s="18"/>
      <c r="PMX272" s="18"/>
      <c r="PMY272" s="18"/>
      <c r="PMZ272" s="18"/>
      <c r="PNA272" s="18"/>
      <c r="PNB272" s="18"/>
      <c r="PNC272" s="18"/>
      <c r="PND272" s="18"/>
      <c r="PNE272" s="18"/>
      <c r="PNF272" s="18"/>
      <c r="PNG272" s="18"/>
      <c r="PNH272" s="18"/>
      <c r="PNI272" s="18"/>
      <c r="PNJ272" s="18"/>
      <c r="PNK272" s="18"/>
      <c r="PNL272" s="18"/>
      <c r="PNM272" s="18"/>
      <c r="PNN272" s="18"/>
      <c r="PNO272" s="18"/>
      <c r="PNP272" s="18"/>
      <c r="PNQ272" s="18"/>
      <c r="PNR272" s="18"/>
      <c r="PNS272" s="18"/>
      <c r="PNT272" s="18"/>
      <c r="PNU272" s="18"/>
      <c r="PNV272" s="18"/>
      <c r="PNW272" s="18"/>
      <c r="PNX272" s="18"/>
      <c r="PNY272" s="18"/>
      <c r="PNZ272" s="18"/>
      <c r="POA272" s="18"/>
      <c r="POB272" s="18"/>
      <c r="POC272" s="18"/>
      <c r="POD272" s="18"/>
      <c r="POE272" s="18"/>
      <c r="POF272" s="18"/>
      <c r="POG272" s="18"/>
      <c r="POH272" s="18"/>
      <c r="POI272" s="18"/>
      <c r="POJ272" s="18"/>
      <c r="POK272" s="18"/>
      <c r="POL272" s="18"/>
      <c r="POM272" s="18"/>
      <c r="PON272" s="18"/>
      <c r="POO272" s="18"/>
      <c r="POP272" s="18"/>
      <c r="POQ272" s="18"/>
      <c r="POR272" s="18"/>
      <c r="POS272" s="18"/>
      <c r="POT272" s="18"/>
      <c r="POU272" s="18"/>
      <c r="POV272" s="18"/>
      <c r="POW272" s="18"/>
      <c r="POX272" s="18"/>
      <c r="POY272" s="18"/>
      <c r="POZ272" s="18"/>
      <c r="PPA272" s="18"/>
      <c r="PPB272" s="18"/>
      <c r="PPC272" s="18"/>
      <c r="PPD272" s="18"/>
      <c r="PPE272" s="18"/>
      <c r="PPF272" s="18"/>
      <c r="PPG272" s="18"/>
      <c r="PPH272" s="18"/>
      <c r="PPI272" s="18"/>
      <c r="PPJ272" s="18"/>
      <c r="PPK272" s="18"/>
      <c r="PPL272" s="18"/>
      <c r="PPM272" s="18"/>
      <c r="PPN272" s="18"/>
      <c r="PPO272" s="18"/>
      <c r="PPP272" s="18"/>
      <c r="PPQ272" s="18"/>
      <c r="PPR272" s="18"/>
      <c r="PPS272" s="18"/>
      <c r="PPT272" s="18"/>
      <c r="PPU272" s="18"/>
      <c r="PPV272" s="18"/>
      <c r="PPW272" s="18"/>
      <c r="PPX272" s="18"/>
      <c r="PPY272" s="18"/>
      <c r="PPZ272" s="18"/>
      <c r="PQA272" s="18"/>
      <c r="PQB272" s="18"/>
      <c r="PQC272" s="18"/>
      <c r="PQD272" s="18"/>
      <c r="PQE272" s="18"/>
      <c r="PQF272" s="18"/>
      <c r="PQG272" s="18"/>
      <c r="PQH272" s="18"/>
      <c r="PQI272" s="18"/>
      <c r="PQJ272" s="18"/>
      <c r="PQK272" s="18"/>
      <c r="PQL272" s="18"/>
      <c r="PQM272" s="18"/>
      <c r="PQN272" s="18"/>
      <c r="PQO272" s="18"/>
      <c r="PQP272" s="18"/>
      <c r="PQQ272" s="18"/>
      <c r="PQR272" s="18"/>
      <c r="PQS272" s="18"/>
      <c r="PQT272" s="18"/>
      <c r="PQU272" s="18"/>
      <c r="PQV272" s="18"/>
      <c r="PQW272" s="18"/>
      <c r="PQX272" s="18"/>
      <c r="PQY272" s="18"/>
      <c r="PQZ272" s="18"/>
      <c r="PRA272" s="18"/>
      <c r="PRB272" s="18"/>
      <c r="PRC272" s="18"/>
      <c r="PRD272" s="18"/>
      <c r="PRE272" s="18"/>
      <c r="PRF272" s="18"/>
      <c r="PRG272" s="18"/>
      <c r="PRH272" s="18"/>
      <c r="PRI272" s="18"/>
      <c r="PRJ272" s="18"/>
      <c r="PRK272" s="18"/>
      <c r="PRL272" s="18"/>
      <c r="PRM272" s="18"/>
      <c r="PRN272" s="18"/>
      <c r="PRO272" s="18"/>
      <c r="PRP272" s="18"/>
      <c r="PRQ272" s="18"/>
      <c r="PRR272" s="18"/>
      <c r="PRS272" s="18"/>
      <c r="PRT272" s="18"/>
      <c r="PRU272" s="18"/>
      <c r="PRV272" s="18"/>
      <c r="PRW272" s="18"/>
      <c r="PRX272" s="18"/>
      <c r="PRY272" s="18"/>
      <c r="PRZ272" s="18"/>
      <c r="PSA272" s="18"/>
      <c r="PSB272" s="18"/>
      <c r="PSC272" s="18"/>
      <c r="PSD272" s="18"/>
      <c r="PSE272" s="18"/>
      <c r="PSF272" s="18"/>
      <c r="PSG272" s="18"/>
      <c r="PSH272" s="18"/>
      <c r="PSI272" s="18"/>
      <c r="PSJ272" s="18"/>
      <c r="PSK272" s="18"/>
      <c r="PSL272" s="18"/>
      <c r="PSM272" s="18"/>
      <c r="PSN272" s="18"/>
      <c r="PSO272" s="18"/>
      <c r="PSP272" s="18"/>
      <c r="PSQ272" s="18"/>
      <c r="PSR272" s="18"/>
      <c r="PSS272" s="18"/>
      <c r="PST272" s="18"/>
      <c r="PSU272" s="18"/>
      <c r="PSV272" s="18"/>
      <c r="PSW272" s="18"/>
      <c r="PSX272" s="18"/>
      <c r="PSY272" s="18"/>
      <c r="PSZ272" s="18"/>
      <c r="PTA272" s="18"/>
      <c r="PTB272" s="18"/>
      <c r="PTC272" s="18"/>
      <c r="PTD272" s="18"/>
      <c r="PTE272" s="18"/>
      <c r="PTF272" s="18"/>
      <c r="PTG272" s="18"/>
      <c r="PTH272" s="18"/>
      <c r="PTI272" s="18"/>
      <c r="PTJ272" s="18"/>
      <c r="PTK272" s="18"/>
      <c r="PTL272" s="18"/>
      <c r="PTM272" s="18"/>
      <c r="PTN272" s="18"/>
      <c r="PTO272" s="18"/>
      <c r="PTP272" s="18"/>
      <c r="PTQ272" s="18"/>
      <c r="PTR272" s="18"/>
      <c r="PTS272" s="18"/>
      <c r="PTT272" s="18"/>
      <c r="PTU272" s="18"/>
      <c r="PTV272" s="18"/>
      <c r="PTW272" s="18"/>
      <c r="PTX272" s="18"/>
      <c r="PTY272" s="18"/>
      <c r="PTZ272" s="18"/>
      <c r="PUA272" s="18"/>
      <c r="PUB272" s="18"/>
      <c r="PUC272" s="18"/>
      <c r="PUD272" s="18"/>
      <c r="PUE272" s="18"/>
      <c r="PUF272" s="18"/>
      <c r="PUG272" s="18"/>
      <c r="PUH272" s="18"/>
      <c r="PUI272" s="18"/>
      <c r="PUJ272" s="18"/>
      <c r="PUK272" s="18"/>
      <c r="PUL272" s="18"/>
      <c r="PUM272" s="18"/>
      <c r="PUN272" s="18"/>
      <c r="PUO272" s="18"/>
      <c r="PUP272" s="18"/>
      <c r="PUQ272" s="18"/>
      <c r="PUR272" s="18"/>
      <c r="PUS272" s="18"/>
      <c r="PUT272" s="18"/>
      <c r="PUU272" s="18"/>
      <c r="PUV272" s="18"/>
      <c r="PUW272" s="18"/>
      <c r="PUX272" s="18"/>
      <c r="PUY272" s="18"/>
      <c r="PUZ272" s="18"/>
      <c r="PVA272" s="18"/>
      <c r="PVB272" s="18"/>
      <c r="PVC272" s="18"/>
      <c r="PVD272" s="18"/>
      <c r="PVE272" s="18"/>
      <c r="PVF272" s="18"/>
      <c r="PVG272" s="18"/>
      <c r="PVH272" s="18"/>
      <c r="PVI272" s="18"/>
      <c r="PVJ272" s="18"/>
      <c r="PVK272" s="18"/>
      <c r="PVL272" s="18"/>
      <c r="PVM272" s="18"/>
      <c r="PVN272" s="18"/>
      <c r="PVO272" s="18"/>
      <c r="PVP272" s="18"/>
      <c r="PVQ272" s="18"/>
      <c r="PVR272" s="18"/>
      <c r="PVS272" s="18"/>
      <c r="PVT272" s="18"/>
      <c r="PVU272" s="18"/>
      <c r="PVV272" s="18"/>
      <c r="PVW272" s="18"/>
      <c r="PVX272" s="18"/>
      <c r="PVY272" s="18"/>
      <c r="PVZ272" s="18"/>
      <c r="PWA272" s="18"/>
      <c r="PWB272" s="18"/>
      <c r="PWC272" s="18"/>
      <c r="PWD272" s="18"/>
      <c r="PWE272" s="18"/>
      <c r="PWF272" s="18"/>
      <c r="PWG272" s="18"/>
      <c r="PWH272" s="18"/>
      <c r="PWI272" s="18"/>
      <c r="PWJ272" s="18"/>
      <c r="PWK272" s="18"/>
      <c r="PWL272" s="18"/>
      <c r="PWM272" s="18"/>
      <c r="PWN272" s="18"/>
      <c r="PWO272" s="18"/>
      <c r="PWP272" s="18"/>
      <c r="PWQ272" s="18"/>
      <c r="PWR272" s="18"/>
      <c r="PWS272" s="18"/>
      <c r="PWT272" s="18"/>
      <c r="PWU272" s="18"/>
      <c r="PWV272" s="18"/>
      <c r="PWW272" s="18"/>
      <c r="PWX272" s="18"/>
      <c r="PWY272" s="18"/>
      <c r="PWZ272" s="18"/>
      <c r="PXA272" s="18"/>
      <c r="PXB272" s="18"/>
      <c r="PXC272" s="18"/>
      <c r="PXD272" s="18"/>
      <c r="PXE272" s="18"/>
      <c r="PXF272" s="18"/>
      <c r="PXG272" s="18"/>
      <c r="PXH272" s="18"/>
      <c r="PXI272" s="18"/>
      <c r="PXJ272" s="18"/>
      <c r="PXK272" s="18"/>
      <c r="PXL272" s="18"/>
      <c r="PXM272" s="18"/>
      <c r="PXN272" s="18"/>
      <c r="PXO272" s="18"/>
      <c r="PXP272" s="18"/>
      <c r="PXQ272" s="18"/>
      <c r="PXR272" s="18"/>
      <c r="PXS272" s="18"/>
      <c r="PXT272" s="18"/>
      <c r="PXU272" s="18"/>
      <c r="PXV272" s="18"/>
      <c r="PXW272" s="18"/>
      <c r="PXX272" s="18"/>
      <c r="PXY272" s="18"/>
      <c r="PXZ272" s="18"/>
      <c r="PYA272" s="18"/>
      <c r="PYB272" s="18"/>
      <c r="PYC272" s="18"/>
      <c r="PYD272" s="18"/>
      <c r="PYE272" s="18"/>
      <c r="PYF272" s="18"/>
      <c r="PYG272" s="18"/>
      <c r="PYH272" s="18"/>
      <c r="PYI272" s="18"/>
      <c r="PYJ272" s="18"/>
      <c r="PYK272" s="18"/>
      <c r="PYL272" s="18"/>
      <c r="PYM272" s="18"/>
      <c r="PYN272" s="18"/>
      <c r="PYO272" s="18"/>
      <c r="PYP272" s="18"/>
      <c r="PYQ272" s="18"/>
      <c r="PYR272" s="18"/>
      <c r="PYS272" s="18"/>
      <c r="PYT272" s="18"/>
      <c r="PYU272" s="18"/>
      <c r="PYV272" s="18"/>
      <c r="PYW272" s="18"/>
      <c r="PYX272" s="18"/>
      <c r="PYY272" s="18"/>
      <c r="PYZ272" s="18"/>
      <c r="PZA272" s="18"/>
      <c r="PZB272" s="18"/>
      <c r="PZC272" s="18"/>
      <c r="PZD272" s="18"/>
      <c r="PZE272" s="18"/>
      <c r="PZF272" s="18"/>
      <c r="PZG272" s="18"/>
      <c r="PZH272" s="18"/>
      <c r="PZI272" s="18"/>
      <c r="PZJ272" s="18"/>
      <c r="PZK272" s="18"/>
      <c r="PZL272" s="18"/>
      <c r="PZM272" s="18"/>
      <c r="PZN272" s="18"/>
      <c r="PZO272" s="18"/>
      <c r="PZP272" s="18"/>
      <c r="PZQ272" s="18"/>
      <c r="PZR272" s="18"/>
      <c r="PZS272" s="18"/>
      <c r="PZT272" s="18"/>
      <c r="PZU272" s="18"/>
      <c r="PZV272" s="18"/>
      <c r="PZW272" s="18"/>
      <c r="PZX272" s="18"/>
      <c r="PZY272" s="18"/>
      <c r="PZZ272" s="18"/>
      <c r="QAA272" s="18"/>
      <c r="QAB272" s="18"/>
      <c r="QAC272" s="18"/>
      <c r="QAD272" s="18"/>
      <c r="QAE272" s="18"/>
      <c r="QAF272" s="18"/>
      <c r="QAG272" s="18"/>
      <c r="QAH272" s="18"/>
      <c r="QAI272" s="18"/>
      <c r="QAJ272" s="18"/>
      <c r="QAK272" s="18"/>
      <c r="QAL272" s="18"/>
      <c r="QAM272" s="18"/>
      <c r="QAN272" s="18"/>
      <c r="QAO272" s="18"/>
      <c r="QAP272" s="18"/>
      <c r="QAQ272" s="18"/>
      <c r="QAR272" s="18"/>
      <c r="QAS272" s="18"/>
      <c r="QAT272" s="18"/>
      <c r="QAU272" s="18"/>
      <c r="QAV272" s="18"/>
      <c r="QAW272" s="18"/>
      <c r="QAX272" s="18"/>
      <c r="QAY272" s="18"/>
      <c r="QAZ272" s="18"/>
      <c r="QBA272" s="18"/>
      <c r="QBB272" s="18"/>
      <c r="QBC272" s="18"/>
      <c r="QBD272" s="18"/>
      <c r="QBE272" s="18"/>
      <c r="QBF272" s="18"/>
      <c r="QBG272" s="18"/>
      <c r="QBH272" s="18"/>
      <c r="QBI272" s="18"/>
      <c r="QBJ272" s="18"/>
      <c r="QBK272" s="18"/>
      <c r="QBL272" s="18"/>
      <c r="QBM272" s="18"/>
      <c r="QBN272" s="18"/>
      <c r="QBO272" s="18"/>
      <c r="QBP272" s="18"/>
      <c r="QBQ272" s="18"/>
      <c r="QBR272" s="18"/>
      <c r="QBS272" s="18"/>
      <c r="QBT272" s="18"/>
      <c r="QBU272" s="18"/>
      <c r="QBV272" s="18"/>
      <c r="QBW272" s="18"/>
      <c r="QBX272" s="18"/>
      <c r="QBY272" s="18"/>
      <c r="QBZ272" s="18"/>
      <c r="QCA272" s="18"/>
      <c r="QCB272" s="18"/>
      <c r="QCC272" s="18"/>
      <c r="QCD272" s="18"/>
      <c r="QCE272" s="18"/>
      <c r="QCF272" s="18"/>
      <c r="QCG272" s="18"/>
      <c r="QCH272" s="18"/>
      <c r="QCI272" s="18"/>
      <c r="QCJ272" s="18"/>
      <c r="QCK272" s="18"/>
      <c r="QCL272" s="18"/>
      <c r="QCM272" s="18"/>
      <c r="QCN272" s="18"/>
      <c r="QCO272" s="18"/>
      <c r="QCP272" s="18"/>
      <c r="QCQ272" s="18"/>
      <c r="QCR272" s="18"/>
      <c r="QCS272" s="18"/>
      <c r="QCT272" s="18"/>
      <c r="QCU272" s="18"/>
      <c r="QCV272" s="18"/>
      <c r="QCW272" s="18"/>
      <c r="QCX272" s="18"/>
      <c r="QCY272" s="18"/>
      <c r="QCZ272" s="18"/>
      <c r="QDA272" s="18"/>
      <c r="QDB272" s="18"/>
      <c r="QDC272" s="18"/>
      <c r="QDD272" s="18"/>
      <c r="QDE272" s="18"/>
      <c r="QDF272" s="18"/>
      <c r="QDG272" s="18"/>
      <c r="QDH272" s="18"/>
      <c r="QDI272" s="18"/>
      <c r="QDJ272" s="18"/>
      <c r="QDK272" s="18"/>
      <c r="QDL272" s="18"/>
      <c r="QDM272" s="18"/>
      <c r="QDN272" s="18"/>
      <c r="QDO272" s="18"/>
      <c r="QDP272" s="18"/>
      <c r="QDQ272" s="18"/>
      <c r="QDR272" s="18"/>
      <c r="QDS272" s="18"/>
      <c r="QDT272" s="18"/>
      <c r="QDU272" s="18"/>
      <c r="QDV272" s="18"/>
      <c r="QDW272" s="18"/>
      <c r="QDX272" s="18"/>
      <c r="QDY272" s="18"/>
      <c r="QDZ272" s="18"/>
      <c r="QEA272" s="18"/>
      <c r="QEB272" s="18"/>
      <c r="QEC272" s="18"/>
      <c r="QED272" s="18"/>
      <c r="QEE272" s="18"/>
      <c r="QEF272" s="18"/>
      <c r="QEG272" s="18"/>
      <c r="QEH272" s="18"/>
      <c r="QEI272" s="18"/>
      <c r="QEJ272" s="18"/>
      <c r="QEK272" s="18"/>
      <c r="QEL272" s="18"/>
      <c r="QEM272" s="18"/>
      <c r="QEN272" s="18"/>
      <c r="QEO272" s="18"/>
      <c r="QEP272" s="18"/>
      <c r="QEQ272" s="18"/>
      <c r="QER272" s="18"/>
      <c r="QES272" s="18"/>
      <c r="QET272" s="18"/>
      <c r="QEU272" s="18"/>
      <c r="QEV272" s="18"/>
      <c r="QEW272" s="18"/>
      <c r="QEX272" s="18"/>
      <c r="QEY272" s="18"/>
      <c r="QEZ272" s="18"/>
      <c r="QFA272" s="18"/>
      <c r="QFB272" s="18"/>
      <c r="QFC272" s="18"/>
      <c r="QFD272" s="18"/>
      <c r="QFE272" s="18"/>
      <c r="QFF272" s="18"/>
      <c r="QFG272" s="18"/>
      <c r="QFH272" s="18"/>
      <c r="QFI272" s="18"/>
      <c r="QFJ272" s="18"/>
      <c r="QFK272" s="18"/>
      <c r="QFL272" s="18"/>
      <c r="QFM272" s="18"/>
      <c r="QFN272" s="18"/>
      <c r="QFO272" s="18"/>
      <c r="QFP272" s="18"/>
      <c r="QFQ272" s="18"/>
      <c r="QFR272" s="18"/>
      <c r="QFS272" s="18"/>
      <c r="QFT272" s="18"/>
      <c r="QFU272" s="18"/>
      <c r="QFV272" s="18"/>
      <c r="QFW272" s="18"/>
      <c r="QFX272" s="18"/>
      <c r="QFY272" s="18"/>
      <c r="QFZ272" s="18"/>
      <c r="QGA272" s="18"/>
      <c r="QGB272" s="18"/>
      <c r="QGC272" s="18"/>
      <c r="QGD272" s="18"/>
      <c r="QGE272" s="18"/>
      <c r="QGF272" s="18"/>
      <c r="QGG272" s="18"/>
      <c r="QGH272" s="18"/>
      <c r="QGI272" s="18"/>
      <c r="QGJ272" s="18"/>
      <c r="QGK272" s="18"/>
      <c r="QGL272" s="18"/>
      <c r="QGM272" s="18"/>
      <c r="QGN272" s="18"/>
      <c r="QGO272" s="18"/>
      <c r="QGP272" s="18"/>
      <c r="QGQ272" s="18"/>
      <c r="QGR272" s="18"/>
      <c r="QGS272" s="18"/>
      <c r="QGT272" s="18"/>
      <c r="QGU272" s="18"/>
      <c r="QGV272" s="18"/>
      <c r="QGW272" s="18"/>
      <c r="QGX272" s="18"/>
      <c r="QGY272" s="18"/>
      <c r="QGZ272" s="18"/>
      <c r="QHA272" s="18"/>
      <c r="QHB272" s="18"/>
      <c r="QHC272" s="18"/>
      <c r="QHD272" s="18"/>
      <c r="QHE272" s="18"/>
      <c r="QHF272" s="18"/>
      <c r="QHG272" s="18"/>
      <c r="QHH272" s="18"/>
      <c r="QHI272" s="18"/>
      <c r="QHJ272" s="18"/>
      <c r="QHK272" s="18"/>
      <c r="QHL272" s="18"/>
      <c r="QHM272" s="18"/>
      <c r="QHN272" s="18"/>
      <c r="QHO272" s="18"/>
      <c r="QHP272" s="18"/>
      <c r="QHQ272" s="18"/>
      <c r="QHR272" s="18"/>
      <c r="QHS272" s="18"/>
      <c r="QHT272" s="18"/>
      <c r="QHU272" s="18"/>
      <c r="QHV272" s="18"/>
      <c r="QHW272" s="18"/>
      <c r="QHX272" s="18"/>
      <c r="QHY272" s="18"/>
      <c r="QHZ272" s="18"/>
      <c r="QIA272" s="18"/>
      <c r="QIB272" s="18"/>
      <c r="QIC272" s="18"/>
      <c r="QID272" s="18"/>
      <c r="QIE272" s="18"/>
      <c r="QIF272" s="18"/>
      <c r="QIG272" s="18"/>
      <c r="QIH272" s="18"/>
      <c r="QII272" s="18"/>
      <c r="QIJ272" s="18"/>
      <c r="QIK272" s="18"/>
      <c r="QIL272" s="18"/>
      <c r="QIM272" s="18"/>
      <c r="QIN272" s="18"/>
      <c r="QIO272" s="18"/>
      <c r="QIP272" s="18"/>
      <c r="QIQ272" s="18"/>
      <c r="QIR272" s="18"/>
      <c r="QIS272" s="18"/>
      <c r="QIT272" s="18"/>
      <c r="QIU272" s="18"/>
      <c r="QIV272" s="18"/>
      <c r="QIW272" s="18"/>
      <c r="QIX272" s="18"/>
      <c r="QIY272" s="18"/>
      <c r="QIZ272" s="18"/>
      <c r="QJA272" s="18"/>
      <c r="QJB272" s="18"/>
      <c r="QJC272" s="18"/>
      <c r="QJD272" s="18"/>
      <c r="QJE272" s="18"/>
      <c r="QJF272" s="18"/>
      <c r="QJG272" s="18"/>
      <c r="QJH272" s="18"/>
      <c r="QJI272" s="18"/>
      <c r="QJJ272" s="18"/>
      <c r="QJK272" s="18"/>
      <c r="QJL272" s="18"/>
      <c r="QJM272" s="18"/>
      <c r="QJN272" s="18"/>
      <c r="QJO272" s="18"/>
      <c r="QJP272" s="18"/>
      <c r="QJQ272" s="18"/>
      <c r="QJR272" s="18"/>
      <c r="QJS272" s="18"/>
      <c r="QJT272" s="18"/>
      <c r="QJU272" s="18"/>
      <c r="QJV272" s="18"/>
      <c r="QJW272" s="18"/>
      <c r="QJX272" s="18"/>
      <c r="QJY272" s="18"/>
      <c r="QJZ272" s="18"/>
      <c r="QKA272" s="18"/>
      <c r="QKB272" s="18"/>
      <c r="QKC272" s="18"/>
      <c r="QKD272" s="18"/>
      <c r="QKE272" s="18"/>
      <c r="QKF272" s="18"/>
      <c r="QKG272" s="18"/>
      <c r="QKH272" s="18"/>
      <c r="QKI272" s="18"/>
      <c r="QKJ272" s="18"/>
      <c r="QKK272" s="18"/>
      <c r="QKL272" s="18"/>
      <c r="QKM272" s="18"/>
      <c r="QKN272" s="18"/>
      <c r="QKO272" s="18"/>
      <c r="QKP272" s="18"/>
      <c r="QKQ272" s="18"/>
      <c r="QKR272" s="18"/>
      <c r="QKS272" s="18"/>
      <c r="QKT272" s="18"/>
      <c r="QKU272" s="18"/>
      <c r="QKV272" s="18"/>
      <c r="QKW272" s="18"/>
      <c r="QKX272" s="18"/>
      <c r="QKY272" s="18"/>
      <c r="QKZ272" s="18"/>
      <c r="QLA272" s="18"/>
      <c r="QLB272" s="18"/>
      <c r="QLC272" s="18"/>
      <c r="QLD272" s="18"/>
      <c r="QLE272" s="18"/>
      <c r="QLF272" s="18"/>
      <c r="QLG272" s="18"/>
      <c r="QLH272" s="18"/>
      <c r="QLI272" s="18"/>
      <c r="QLJ272" s="18"/>
      <c r="QLK272" s="18"/>
      <c r="QLL272" s="18"/>
      <c r="QLM272" s="18"/>
      <c r="QLN272" s="18"/>
      <c r="QLO272" s="18"/>
      <c r="QLP272" s="18"/>
      <c r="QLQ272" s="18"/>
      <c r="QLR272" s="18"/>
      <c r="QLS272" s="18"/>
      <c r="QLT272" s="18"/>
      <c r="QLU272" s="18"/>
      <c r="QLV272" s="18"/>
      <c r="QLW272" s="18"/>
      <c r="QLX272" s="18"/>
      <c r="QLY272" s="18"/>
      <c r="QLZ272" s="18"/>
      <c r="QMA272" s="18"/>
      <c r="QMB272" s="18"/>
      <c r="QMC272" s="18"/>
      <c r="QMD272" s="18"/>
      <c r="QME272" s="18"/>
      <c r="QMF272" s="18"/>
      <c r="QMG272" s="18"/>
      <c r="QMH272" s="18"/>
      <c r="QMI272" s="18"/>
      <c r="QMJ272" s="18"/>
      <c r="QMK272" s="18"/>
      <c r="QML272" s="18"/>
      <c r="QMM272" s="18"/>
      <c r="QMN272" s="18"/>
      <c r="QMO272" s="18"/>
      <c r="QMP272" s="18"/>
      <c r="QMQ272" s="18"/>
      <c r="QMR272" s="18"/>
      <c r="QMS272" s="18"/>
      <c r="QMT272" s="18"/>
      <c r="QMU272" s="18"/>
      <c r="QMV272" s="18"/>
      <c r="QMW272" s="18"/>
      <c r="QMX272" s="18"/>
      <c r="QMY272" s="18"/>
      <c r="QMZ272" s="18"/>
      <c r="QNA272" s="18"/>
      <c r="QNB272" s="18"/>
      <c r="QNC272" s="18"/>
      <c r="QND272" s="18"/>
      <c r="QNE272" s="18"/>
      <c r="QNF272" s="18"/>
      <c r="QNG272" s="18"/>
      <c r="QNH272" s="18"/>
      <c r="QNI272" s="18"/>
      <c r="QNJ272" s="18"/>
      <c r="QNK272" s="18"/>
      <c r="QNL272" s="18"/>
      <c r="QNM272" s="18"/>
      <c r="QNN272" s="18"/>
      <c r="QNO272" s="18"/>
      <c r="QNP272" s="18"/>
      <c r="QNQ272" s="18"/>
      <c r="QNR272" s="18"/>
      <c r="QNS272" s="18"/>
      <c r="QNT272" s="18"/>
      <c r="QNU272" s="18"/>
      <c r="QNV272" s="18"/>
      <c r="QNW272" s="18"/>
      <c r="QNX272" s="18"/>
      <c r="QNY272" s="18"/>
      <c r="QNZ272" s="18"/>
      <c r="QOA272" s="18"/>
      <c r="QOB272" s="18"/>
      <c r="QOC272" s="18"/>
      <c r="QOD272" s="18"/>
      <c r="QOE272" s="18"/>
      <c r="QOF272" s="18"/>
      <c r="QOG272" s="18"/>
      <c r="QOH272" s="18"/>
      <c r="QOI272" s="18"/>
      <c r="QOJ272" s="18"/>
      <c r="QOK272" s="18"/>
      <c r="QOL272" s="18"/>
      <c r="QOM272" s="18"/>
      <c r="QON272" s="18"/>
      <c r="QOO272" s="18"/>
      <c r="QOP272" s="18"/>
      <c r="QOQ272" s="18"/>
      <c r="QOR272" s="18"/>
      <c r="QOS272" s="18"/>
      <c r="QOT272" s="18"/>
      <c r="QOU272" s="18"/>
      <c r="QOV272" s="18"/>
      <c r="QOW272" s="18"/>
      <c r="QOX272" s="18"/>
      <c r="QOY272" s="18"/>
      <c r="QOZ272" s="18"/>
      <c r="QPA272" s="18"/>
      <c r="QPB272" s="18"/>
      <c r="QPC272" s="18"/>
      <c r="QPD272" s="18"/>
      <c r="QPE272" s="18"/>
      <c r="QPF272" s="18"/>
      <c r="QPG272" s="18"/>
      <c r="QPH272" s="18"/>
      <c r="QPI272" s="18"/>
      <c r="QPJ272" s="18"/>
      <c r="QPK272" s="18"/>
      <c r="QPL272" s="18"/>
      <c r="QPM272" s="18"/>
      <c r="QPN272" s="18"/>
      <c r="QPO272" s="18"/>
      <c r="QPP272" s="18"/>
      <c r="QPQ272" s="18"/>
      <c r="QPR272" s="18"/>
      <c r="QPS272" s="18"/>
      <c r="QPT272" s="18"/>
      <c r="QPU272" s="18"/>
      <c r="QPV272" s="18"/>
      <c r="QPW272" s="18"/>
      <c r="QPX272" s="18"/>
      <c r="QPY272" s="18"/>
      <c r="QPZ272" s="18"/>
      <c r="QQA272" s="18"/>
      <c r="QQB272" s="18"/>
      <c r="QQC272" s="18"/>
      <c r="QQD272" s="18"/>
      <c r="QQE272" s="18"/>
      <c r="QQF272" s="18"/>
      <c r="QQG272" s="18"/>
      <c r="QQH272" s="18"/>
      <c r="QQI272" s="18"/>
      <c r="QQJ272" s="18"/>
      <c r="QQK272" s="18"/>
      <c r="QQL272" s="18"/>
      <c r="QQM272" s="18"/>
      <c r="QQN272" s="18"/>
      <c r="QQO272" s="18"/>
      <c r="QQP272" s="18"/>
      <c r="QQQ272" s="18"/>
      <c r="QQR272" s="18"/>
      <c r="QQS272" s="18"/>
      <c r="QQT272" s="18"/>
      <c r="QQU272" s="18"/>
      <c r="QQV272" s="18"/>
      <c r="QQW272" s="18"/>
      <c r="QQX272" s="18"/>
      <c r="QQY272" s="18"/>
      <c r="QQZ272" s="18"/>
      <c r="QRA272" s="18"/>
      <c r="QRB272" s="18"/>
      <c r="QRC272" s="18"/>
      <c r="QRD272" s="18"/>
      <c r="QRE272" s="18"/>
      <c r="QRF272" s="18"/>
      <c r="QRG272" s="18"/>
      <c r="QRH272" s="18"/>
      <c r="QRI272" s="18"/>
      <c r="QRJ272" s="18"/>
      <c r="QRK272" s="18"/>
      <c r="QRL272" s="18"/>
      <c r="QRM272" s="18"/>
      <c r="QRN272" s="18"/>
      <c r="QRO272" s="18"/>
      <c r="QRP272" s="18"/>
      <c r="QRQ272" s="18"/>
      <c r="QRR272" s="18"/>
      <c r="QRS272" s="18"/>
      <c r="QRT272" s="18"/>
      <c r="QRU272" s="18"/>
      <c r="QRV272" s="18"/>
      <c r="QRW272" s="18"/>
      <c r="QRX272" s="18"/>
      <c r="QRY272" s="18"/>
      <c r="QRZ272" s="18"/>
      <c r="QSA272" s="18"/>
      <c r="QSB272" s="18"/>
      <c r="QSC272" s="18"/>
      <c r="QSD272" s="18"/>
      <c r="QSE272" s="18"/>
      <c r="QSF272" s="18"/>
      <c r="QSG272" s="18"/>
      <c r="QSH272" s="18"/>
      <c r="QSI272" s="18"/>
      <c r="QSJ272" s="18"/>
      <c r="QSK272" s="18"/>
      <c r="QSL272" s="18"/>
      <c r="QSM272" s="18"/>
      <c r="QSN272" s="18"/>
      <c r="QSO272" s="18"/>
      <c r="QSP272" s="18"/>
      <c r="QSQ272" s="18"/>
      <c r="QSR272" s="18"/>
      <c r="QSS272" s="18"/>
      <c r="QST272" s="18"/>
      <c r="QSU272" s="18"/>
      <c r="QSV272" s="18"/>
      <c r="QSW272" s="18"/>
      <c r="QSX272" s="18"/>
      <c r="QSY272" s="18"/>
      <c r="QSZ272" s="18"/>
      <c r="QTA272" s="18"/>
      <c r="QTB272" s="18"/>
      <c r="QTC272" s="18"/>
      <c r="QTD272" s="18"/>
      <c r="QTE272" s="18"/>
      <c r="QTF272" s="18"/>
      <c r="QTG272" s="18"/>
      <c r="QTH272" s="18"/>
      <c r="QTI272" s="18"/>
      <c r="QTJ272" s="18"/>
      <c r="QTK272" s="18"/>
      <c r="QTL272" s="18"/>
      <c r="QTM272" s="18"/>
      <c r="QTN272" s="18"/>
      <c r="QTO272" s="18"/>
      <c r="QTP272" s="18"/>
      <c r="QTQ272" s="18"/>
      <c r="QTR272" s="18"/>
      <c r="QTS272" s="18"/>
      <c r="QTT272" s="18"/>
      <c r="QTU272" s="18"/>
      <c r="QTV272" s="18"/>
      <c r="QTW272" s="18"/>
      <c r="QTX272" s="18"/>
      <c r="QTY272" s="18"/>
      <c r="QTZ272" s="18"/>
      <c r="QUA272" s="18"/>
      <c r="QUB272" s="18"/>
      <c r="QUC272" s="18"/>
      <c r="QUD272" s="18"/>
      <c r="QUE272" s="18"/>
      <c r="QUF272" s="18"/>
      <c r="QUG272" s="18"/>
      <c r="QUH272" s="18"/>
      <c r="QUI272" s="18"/>
      <c r="QUJ272" s="18"/>
      <c r="QUK272" s="18"/>
      <c r="QUL272" s="18"/>
      <c r="QUM272" s="18"/>
      <c r="QUN272" s="18"/>
      <c r="QUO272" s="18"/>
      <c r="QUP272" s="18"/>
      <c r="QUQ272" s="18"/>
      <c r="QUR272" s="18"/>
      <c r="QUS272" s="18"/>
      <c r="QUT272" s="18"/>
      <c r="QUU272" s="18"/>
      <c r="QUV272" s="18"/>
      <c r="QUW272" s="18"/>
      <c r="QUX272" s="18"/>
      <c r="QUY272" s="18"/>
      <c r="QUZ272" s="18"/>
      <c r="QVA272" s="18"/>
      <c r="QVB272" s="18"/>
      <c r="QVC272" s="18"/>
      <c r="QVD272" s="18"/>
      <c r="QVE272" s="18"/>
      <c r="QVF272" s="18"/>
      <c r="QVG272" s="18"/>
      <c r="QVH272" s="18"/>
      <c r="QVI272" s="18"/>
      <c r="QVJ272" s="18"/>
      <c r="QVK272" s="18"/>
      <c r="QVL272" s="18"/>
      <c r="QVM272" s="18"/>
      <c r="QVN272" s="18"/>
      <c r="QVO272" s="18"/>
      <c r="QVP272" s="18"/>
      <c r="QVQ272" s="18"/>
      <c r="QVR272" s="18"/>
      <c r="QVS272" s="18"/>
      <c r="QVT272" s="18"/>
      <c r="QVU272" s="18"/>
      <c r="QVV272" s="18"/>
      <c r="QVW272" s="18"/>
      <c r="QVX272" s="18"/>
      <c r="QVY272" s="18"/>
      <c r="QVZ272" s="18"/>
      <c r="QWA272" s="18"/>
      <c r="QWB272" s="18"/>
      <c r="QWC272" s="18"/>
      <c r="QWD272" s="18"/>
      <c r="QWE272" s="18"/>
      <c r="QWF272" s="18"/>
      <c r="QWG272" s="18"/>
      <c r="QWH272" s="18"/>
      <c r="QWI272" s="18"/>
      <c r="QWJ272" s="18"/>
      <c r="QWK272" s="18"/>
      <c r="QWL272" s="18"/>
      <c r="QWM272" s="18"/>
      <c r="QWN272" s="18"/>
      <c r="QWO272" s="18"/>
      <c r="QWP272" s="18"/>
      <c r="QWQ272" s="18"/>
      <c r="QWR272" s="18"/>
      <c r="QWS272" s="18"/>
      <c r="QWT272" s="18"/>
      <c r="QWU272" s="18"/>
      <c r="QWV272" s="18"/>
      <c r="QWW272" s="18"/>
      <c r="QWX272" s="18"/>
      <c r="QWY272" s="18"/>
      <c r="QWZ272" s="18"/>
      <c r="QXA272" s="18"/>
      <c r="QXB272" s="18"/>
      <c r="QXC272" s="18"/>
      <c r="QXD272" s="18"/>
      <c r="QXE272" s="18"/>
      <c r="QXF272" s="18"/>
      <c r="QXG272" s="18"/>
      <c r="QXH272" s="18"/>
      <c r="QXI272" s="18"/>
      <c r="QXJ272" s="18"/>
      <c r="QXK272" s="18"/>
      <c r="QXL272" s="18"/>
      <c r="QXM272" s="18"/>
      <c r="QXN272" s="18"/>
      <c r="QXO272" s="18"/>
      <c r="QXP272" s="18"/>
      <c r="QXQ272" s="18"/>
      <c r="QXR272" s="18"/>
      <c r="QXS272" s="18"/>
      <c r="QXT272" s="18"/>
      <c r="QXU272" s="18"/>
      <c r="QXV272" s="18"/>
      <c r="QXW272" s="18"/>
      <c r="QXX272" s="18"/>
      <c r="QXY272" s="18"/>
      <c r="QXZ272" s="18"/>
      <c r="QYA272" s="18"/>
      <c r="QYB272" s="18"/>
      <c r="QYC272" s="18"/>
      <c r="QYD272" s="18"/>
      <c r="QYE272" s="18"/>
      <c r="QYF272" s="18"/>
      <c r="QYG272" s="18"/>
      <c r="QYH272" s="18"/>
      <c r="QYI272" s="18"/>
      <c r="QYJ272" s="18"/>
      <c r="QYK272" s="18"/>
      <c r="QYL272" s="18"/>
      <c r="QYM272" s="18"/>
      <c r="QYN272" s="18"/>
      <c r="QYO272" s="18"/>
      <c r="QYP272" s="18"/>
      <c r="QYQ272" s="18"/>
      <c r="QYR272" s="18"/>
      <c r="QYS272" s="18"/>
      <c r="QYT272" s="18"/>
      <c r="QYU272" s="18"/>
      <c r="QYV272" s="18"/>
      <c r="QYW272" s="18"/>
      <c r="QYX272" s="18"/>
      <c r="QYY272" s="18"/>
      <c r="QYZ272" s="18"/>
      <c r="QZA272" s="18"/>
      <c r="QZB272" s="18"/>
      <c r="QZC272" s="18"/>
      <c r="QZD272" s="18"/>
      <c r="QZE272" s="18"/>
      <c r="QZF272" s="18"/>
      <c r="QZG272" s="18"/>
      <c r="QZH272" s="18"/>
      <c r="QZI272" s="18"/>
      <c r="QZJ272" s="18"/>
      <c r="QZK272" s="18"/>
      <c r="QZL272" s="18"/>
      <c r="QZM272" s="18"/>
      <c r="QZN272" s="18"/>
      <c r="QZO272" s="18"/>
      <c r="QZP272" s="18"/>
      <c r="QZQ272" s="18"/>
      <c r="QZR272" s="18"/>
      <c r="QZS272" s="18"/>
      <c r="QZT272" s="18"/>
      <c r="QZU272" s="18"/>
      <c r="QZV272" s="18"/>
      <c r="QZW272" s="18"/>
      <c r="QZX272" s="18"/>
      <c r="QZY272" s="18"/>
      <c r="QZZ272" s="18"/>
      <c r="RAA272" s="18"/>
      <c r="RAB272" s="18"/>
      <c r="RAC272" s="18"/>
      <c r="RAD272" s="18"/>
      <c r="RAE272" s="18"/>
      <c r="RAF272" s="18"/>
      <c r="RAG272" s="18"/>
      <c r="RAH272" s="18"/>
      <c r="RAI272" s="18"/>
      <c r="RAJ272" s="18"/>
      <c r="RAK272" s="18"/>
      <c r="RAL272" s="18"/>
      <c r="RAM272" s="18"/>
      <c r="RAN272" s="18"/>
      <c r="RAO272" s="18"/>
      <c r="RAP272" s="18"/>
      <c r="RAQ272" s="18"/>
      <c r="RAR272" s="18"/>
      <c r="RAS272" s="18"/>
      <c r="RAT272" s="18"/>
      <c r="RAU272" s="18"/>
      <c r="RAV272" s="18"/>
      <c r="RAW272" s="18"/>
      <c r="RAX272" s="18"/>
      <c r="RAY272" s="18"/>
      <c r="RAZ272" s="18"/>
      <c r="RBA272" s="18"/>
      <c r="RBB272" s="18"/>
      <c r="RBC272" s="18"/>
      <c r="RBD272" s="18"/>
      <c r="RBE272" s="18"/>
      <c r="RBF272" s="18"/>
      <c r="RBG272" s="18"/>
      <c r="RBH272" s="18"/>
      <c r="RBI272" s="18"/>
      <c r="RBJ272" s="18"/>
      <c r="RBK272" s="18"/>
      <c r="RBL272" s="18"/>
      <c r="RBM272" s="18"/>
      <c r="RBN272" s="18"/>
      <c r="RBO272" s="18"/>
      <c r="RBP272" s="18"/>
      <c r="RBQ272" s="18"/>
      <c r="RBR272" s="18"/>
      <c r="RBS272" s="18"/>
      <c r="RBT272" s="18"/>
      <c r="RBU272" s="18"/>
      <c r="RBV272" s="18"/>
      <c r="RBW272" s="18"/>
      <c r="RBX272" s="18"/>
      <c r="RBY272" s="18"/>
      <c r="RBZ272" s="18"/>
      <c r="RCA272" s="18"/>
      <c r="RCB272" s="18"/>
      <c r="RCC272" s="18"/>
      <c r="RCD272" s="18"/>
      <c r="RCE272" s="18"/>
      <c r="RCF272" s="18"/>
      <c r="RCG272" s="18"/>
      <c r="RCH272" s="18"/>
      <c r="RCI272" s="18"/>
      <c r="RCJ272" s="18"/>
      <c r="RCK272" s="18"/>
      <c r="RCL272" s="18"/>
      <c r="RCM272" s="18"/>
      <c r="RCN272" s="18"/>
      <c r="RCO272" s="18"/>
      <c r="RCP272" s="18"/>
      <c r="RCQ272" s="18"/>
      <c r="RCR272" s="18"/>
      <c r="RCS272" s="18"/>
      <c r="RCT272" s="18"/>
      <c r="RCU272" s="18"/>
      <c r="RCV272" s="18"/>
      <c r="RCW272" s="18"/>
      <c r="RCX272" s="18"/>
      <c r="RCY272" s="18"/>
      <c r="RCZ272" s="18"/>
      <c r="RDA272" s="18"/>
      <c r="RDB272" s="18"/>
      <c r="RDC272" s="18"/>
      <c r="RDD272" s="18"/>
      <c r="RDE272" s="18"/>
      <c r="RDF272" s="18"/>
      <c r="RDG272" s="18"/>
      <c r="RDH272" s="18"/>
      <c r="RDI272" s="18"/>
      <c r="RDJ272" s="18"/>
      <c r="RDK272" s="18"/>
      <c r="RDL272" s="18"/>
      <c r="RDM272" s="18"/>
      <c r="RDN272" s="18"/>
      <c r="RDO272" s="18"/>
      <c r="RDP272" s="18"/>
      <c r="RDQ272" s="18"/>
      <c r="RDR272" s="18"/>
      <c r="RDS272" s="18"/>
      <c r="RDT272" s="18"/>
      <c r="RDU272" s="18"/>
      <c r="RDV272" s="18"/>
      <c r="RDW272" s="18"/>
      <c r="RDX272" s="18"/>
      <c r="RDY272" s="18"/>
      <c r="RDZ272" s="18"/>
      <c r="REA272" s="18"/>
      <c r="REB272" s="18"/>
      <c r="REC272" s="18"/>
      <c r="RED272" s="18"/>
      <c r="REE272" s="18"/>
      <c r="REF272" s="18"/>
      <c r="REG272" s="18"/>
      <c r="REH272" s="18"/>
      <c r="REI272" s="18"/>
      <c r="REJ272" s="18"/>
      <c r="REK272" s="18"/>
      <c r="REL272" s="18"/>
      <c r="REM272" s="18"/>
      <c r="REN272" s="18"/>
      <c r="REO272" s="18"/>
      <c r="REP272" s="18"/>
      <c r="REQ272" s="18"/>
      <c r="RER272" s="18"/>
      <c r="RES272" s="18"/>
      <c r="RET272" s="18"/>
      <c r="REU272" s="18"/>
      <c r="REV272" s="18"/>
      <c r="REW272" s="18"/>
      <c r="REX272" s="18"/>
      <c r="REY272" s="18"/>
      <c r="REZ272" s="18"/>
      <c r="RFA272" s="18"/>
      <c r="RFB272" s="18"/>
      <c r="RFC272" s="18"/>
      <c r="RFD272" s="18"/>
      <c r="RFE272" s="18"/>
      <c r="RFF272" s="18"/>
      <c r="RFG272" s="18"/>
      <c r="RFH272" s="18"/>
      <c r="RFI272" s="18"/>
      <c r="RFJ272" s="18"/>
      <c r="RFK272" s="18"/>
      <c r="RFL272" s="18"/>
      <c r="RFM272" s="18"/>
      <c r="RFN272" s="18"/>
      <c r="RFO272" s="18"/>
      <c r="RFP272" s="18"/>
      <c r="RFQ272" s="18"/>
      <c r="RFR272" s="18"/>
      <c r="RFS272" s="18"/>
      <c r="RFT272" s="18"/>
      <c r="RFU272" s="18"/>
      <c r="RFV272" s="18"/>
      <c r="RFW272" s="18"/>
      <c r="RFX272" s="18"/>
      <c r="RFY272" s="18"/>
      <c r="RFZ272" s="18"/>
      <c r="RGA272" s="18"/>
      <c r="RGB272" s="18"/>
      <c r="RGC272" s="18"/>
      <c r="RGD272" s="18"/>
      <c r="RGE272" s="18"/>
      <c r="RGF272" s="18"/>
      <c r="RGG272" s="18"/>
      <c r="RGH272" s="18"/>
      <c r="RGI272" s="18"/>
      <c r="RGJ272" s="18"/>
      <c r="RGK272" s="18"/>
      <c r="RGL272" s="18"/>
      <c r="RGM272" s="18"/>
      <c r="RGN272" s="18"/>
      <c r="RGO272" s="18"/>
      <c r="RGP272" s="18"/>
      <c r="RGQ272" s="18"/>
      <c r="RGR272" s="18"/>
      <c r="RGS272" s="18"/>
      <c r="RGT272" s="18"/>
      <c r="RGU272" s="18"/>
      <c r="RGV272" s="18"/>
      <c r="RGW272" s="18"/>
      <c r="RGX272" s="18"/>
      <c r="RGY272" s="18"/>
      <c r="RGZ272" s="18"/>
      <c r="RHA272" s="18"/>
      <c r="RHB272" s="18"/>
      <c r="RHC272" s="18"/>
      <c r="RHD272" s="18"/>
      <c r="RHE272" s="18"/>
      <c r="RHF272" s="18"/>
      <c r="RHG272" s="18"/>
      <c r="RHH272" s="18"/>
      <c r="RHI272" s="18"/>
      <c r="RHJ272" s="18"/>
      <c r="RHK272" s="18"/>
      <c r="RHL272" s="18"/>
      <c r="RHM272" s="18"/>
      <c r="RHN272" s="18"/>
      <c r="RHO272" s="18"/>
      <c r="RHP272" s="18"/>
      <c r="RHQ272" s="18"/>
      <c r="RHR272" s="18"/>
      <c r="RHS272" s="18"/>
      <c r="RHT272" s="18"/>
      <c r="RHU272" s="18"/>
      <c r="RHV272" s="18"/>
      <c r="RHW272" s="18"/>
      <c r="RHX272" s="18"/>
      <c r="RHY272" s="18"/>
      <c r="RHZ272" s="18"/>
      <c r="RIA272" s="18"/>
      <c r="RIB272" s="18"/>
      <c r="RIC272" s="18"/>
      <c r="RID272" s="18"/>
      <c r="RIE272" s="18"/>
      <c r="RIF272" s="18"/>
      <c r="RIG272" s="18"/>
      <c r="RIH272" s="18"/>
      <c r="RII272" s="18"/>
      <c r="RIJ272" s="18"/>
      <c r="RIK272" s="18"/>
      <c r="RIL272" s="18"/>
      <c r="RIM272" s="18"/>
      <c r="RIN272" s="18"/>
      <c r="RIO272" s="18"/>
      <c r="RIP272" s="18"/>
      <c r="RIQ272" s="18"/>
      <c r="RIR272" s="18"/>
      <c r="RIS272" s="18"/>
      <c r="RIT272" s="18"/>
      <c r="RIU272" s="18"/>
      <c r="RIV272" s="18"/>
      <c r="RIW272" s="18"/>
      <c r="RIX272" s="18"/>
      <c r="RIY272" s="18"/>
      <c r="RIZ272" s="18"/>
      <c r="RJA272" s="18"/>
      <c r="RJB272" s="18"/>
      <c r="RJC272" s="18"/>
      <c r="RJD272" s="18"/>
      <c r="RJE272" s="18"/>
      <c r="RJF272" s="18"/>
      <c r="RJG272" s="18"/>
      <c r="RJH272" s="18"/>
      <c r="RJI272" s="18"/>
      <c r="RJJ272" s="18"/>
      <c r="RJK272" s="18"/>
      <c r="RJL272" s="18"/>
      <c r="RJM272" s="18"/>
      <c r="RJN272" s="18"/>
      <c r="RJO272" s="18"/>
      <c r="RJP272" s="18"/>
      <c r="RJQ272" s="18"/>
      <c r="RJR272" s="18"/>
      <c r="RJS272" s="18"/>
      <c r="RJT272" s="18"/>
      <c r="RJU272" s="18"/>
      <c r="RJV272" s="18"/>
      <c r="RJW272" s="18"/>
      <c r="RJX272" s="18"/>
      <c r="RJY272" s="18"/>
      <c r="RJZ272" s="18"/>
      <c r="RKA272" s="18"/>
      <c r="RKB272" s="18"/>
      <c r="RKC272" s="18"/>
      <c r="RKD272" s="18"/>
      <c r="RKE272" s="18"/>
      <c r="RKF272" s="18"/>
      <c r="RKG272" s="18"/>
      <c r="RKH272" s="18"/>
      <c r="RKI272" s="18"/>
      <c r="RKJ272" s="18"/>
      <c r="RKK272" s="18"/>
      <c r="RKL272" s="18"/>
      <c r="RKM272" s="18"/>
      <c r="RKN272" s="18"/>
      <c r="RKO272" s="18"/>
      <c r="RKP272" s="18"/>
      <c r="RKQ272" s="18"/>
      <c r="RKR272" s="18"/>
      <c r="RKS272" s="18"/>
      <c r="RKT272" s="18"/>
      <c r="RKU272" s="18"/>
      <c r="RKV272" s="18"/>
      <c r="RKW272" s="18"/>
      <c r="RKX272" s="18"/>
      <c r="RKY272" s="18"/>
      <c r="RKZ272" s="18"/>
      <c r="RLA272" s="18"/>
      <c r="RLB272" s="18"/>
      <c r="RLC272" s="18"/>
      <c r="RLD272" s="18"/>
      <c r="RLE272" s="18"/>
      <c r="RLF272" s="18"/>
      <c r="RLG272" s="18"/>
      <c r="RLH272" s="18"/>
      <c r="RLI272" s="18"/>
      <c r="RLJ272" s="18"/>
      <c r="RLK272" s="18"/>
      <c r="RLL272" s="18"/>
      <c r="RLM272" s="18"/>
      <c r="RLN272" s="18"/>
      <c r="RLO272" s="18"/>
      <c r="RLP272" s="18"/>
      <c r="RLQ272" s="18"/>
      <c r="RLR272" s="18"/>
      <c r="RLS272" s="18"/>
      <c r="RLT272" s="18"/>
      <c r="RLU272" s="18"/>
      <c r="RLV272" s="18"/>
      <c r="RLW272" s="18"/>
      <c r="RLX272" s="18"/>
      <c r="RLY272" s="18"/>
      <c r="RLZ272" s="18"/>
      <c r="RMA272" s="18"/>
      <c r="RMB272" s="18"/>
      <c r="RMC272" s="18"/>
      <c r="RMD272" s="18"/>
      <c r="RME272" s="18"/>
      <c r="RMF272" s="18"/>
      <c r="RMG272" s="18"/>
      <c r="RMH272" s="18"/>
      <c r="RMI272" s="18"/>
      <c r="RMJ272" s="18"/>
      <c r="RMK272" s="18"/>
      <c r="RML272" s="18"/>
      <c r="RMM272" s="18"/>
      <c r="RMN272" s="18"/>
      <c r="RMO272" s="18"/>
      <c r="RMP272" s="18"/>
      <c r="RMQ272" s="18"/>
      <c r="RMR272" s="18"/>
      <c r="RMS272" s="18"/>
      <c r="RMT272" s="18"/>
      <c r="RMU272" s="18"/>
      <c r="RMV272" s="18"/>
      <c r="RMW272" s="18"/>
      <c r="RMX272" s="18"/>
      <c r="RMY272" s="18"/>
      <c r="RMZ272" s="18"/>
      <c r="RNA272" s="18"/>
      <c r="RNB272" s="18"/>
      <c r="RNC272" s="18"/>
      <c r="RND272" s="18"/>
      <c r="RNE272" s="18"/>
      <c r="RNF272" s="18"/>
      <c r="RNG272" s="18"/>
      <c r="RNH272" s="18"/>
      <c r="RNI272" s="18"/>
      <c r="RNJ272" s="18"/>
      <c r="RNK272" s="18"/>
      <c r="RNL272" s="18"/>
      <c r="RNM272" s="18"/>
      <c r="RNN272" s="18"/>
      <c r="RNO272" s="18"/>
      <c r="RNP272" s="18"/>
      <c r="RNQ272" s="18"/>
      <c r="RNR272" s="18"/>
      <c r="RNS272" s="18"/>
      <c r="RNT272" s="18"/>
      <c r="RNU272" s="18"/>
      <c r="RNV272" s="18"/>
      <c r="RNW272" s="18"/>
      <c r="RNX272" s="18"/>
      <c r="RNY272" s="18"/>
      <c r="RNZ272" s="18"/>
      <c r="ROA272" s="18"/>
      <c r="ROB272" s="18"/>
      <c r="ROC272" s="18"/>
      <c r="ROD272" s="18"/>
      <c r="ROE272" s="18"/>
      <c r="ROF272" s="18"/>
      <c r="ROG272" s="18"/>
      <c r="ROH272" s="18"/>
      <c r="ROI272" s="18"/>
      <c r="ROJ272" s="18"/>
      <c r="ROK272" s="18"/>
      <c r="ROL272" s="18"/>
      <c r="ROM272" s="18"/>
      <c r="RON272" s="18"/>
      <c r="ROO272" s="18"/>
      <c r="ROP272" s="18"/>
      <c r="ROQ272" s="18"/>
      <c r="ROR272" s="18"/>
      <c r="ROS272" s="18"/>
      <c r="ROT272" s="18"/>
      <c r="ROU272" s="18"/>
      <c r="ROV272" s="18"/>
      <c r="ROW272" s="18"/>
      <c r="ROX272" s="18"/>
      <c r="ROY272" s="18"/>
      <c r="ROZ272" s="18"/>
      <c r="RPA272" s="18"/>
      <c r="RPB272" s="18"/>
      <c r="RPC272" s="18"/>
      <c r="RPD272" s="18"/>
      <c r="RPE272" s="18"/>
      <c r="RPF272" s="18"/>
      <c r="RPG272" s="18"/>
      <c r="RPH272" s="18"/>
      <c r="RPI272" s="18"/>
      <c r="RPJ272" s="18"/>
      <c r="RPK272" s="18"/>
      <c r="RPL272" s="18"/>
      <c r="RPM272" s="18"/>
      <c r="RPN272" s="18"/>
      <c r="RPO272" s="18"/>
      <c r="RPP272" s="18"/>
      <c r="RPQ272" s="18"/>
      <c r="RPR272" s="18"/>
      <c r="RPS272" s="18"/>
      <c r="RPT272" s="18"/>
      <c r="RPU272" s="18"/>
      <c r="RPV272" s="18"/>
      <c r="RPW272" s="18"/>
      <c r="RPX272" s="18"/>
      <c r="RPY272" s="18"/>
      <c r="RPZ272" s="18"/>
      <c r="RQA272" s="18"/>
      <c r="RQB272" s="18"/>
      <c r="RQC272" s="18"/>
      <c r="RQD272" s="18"/>
      <c r="RQE272" s="18"/>
      <c r="RQF272" s="18"/>
      <c r="RQG272" s="18"/>
      <c r="RQH272" s="18"/>
      <c r="RQI272" s="18"/>
      <c r="RQJ272" s="18"/>
      <c r="RQK272" s="18"/>
      <c r="RQL272" s="18"/>
      <c r="RQM272" s="18"/>
      <c r="RQN272" s="18"/>
      <c r="RQO272" s="18"/>
      <c r="RQP272" s="18"/>
      <c r="RQQ272" s="18"/>
      <c r="RQR272" s="18"/>
      <c r="RQS272" s="18"/>
      <c r="RQT272" s="18"/>
      <c r="RQU272" s="18"/>
      <c r="RQV272" s="18"/>
      <c r="RQW272" s="18"/>
      <c r="RQX272" s="18"/>
      <c r="RQY272" s="18"/>
      <c r="RQZ272" s="18"/>
      <c r="RRA272" s="18"/>
      <c r="RRB272" s="18"/>
      <c r="RRC272" s="18"/>
      <c r="RRD272" s="18"/>
      <c r="RRE272" s="18"/>
      <c r="RRF272" s="18"/>
      <c r="RRG272" s="18"/>
      <c r="RRH272" s="18"/>
      <c r="RRI272" s="18"/>
      <c r="RRJ272" s="18"/>
      <c r="RRK272" s="18"/>
      <c r="RRL272" s="18"/>
      <c r="RRM272" s="18"/>
      <c r="RRN272" s="18"/>
      <c r="RRO272" s="18"/>
      <c r="RRP272" s="18"/>
      <c r="RRQ272" s="18"/>
      <c r="RRR272" s="18"/>
      <c r="RRS272" s="18"/>
      <c r="RRT272" s="18"/>
      <c r="RRU272" s="18"/>
      <c r="RRV272" s="18"/>
      <c r="RRW272" s="18"/>
      <c r="RRX272" s="18"/>
      <c r="RRY272" s="18"/>
      <c r="RRZ272" s="18"/>
      <c r="RSA272" s="18"/>
      <c r="RSB272" s="18"/>
      <c r="RSC272" s="18"/>
      <c r="RSD272" s="18"/>
      <c r="RSE272" s="18"/>
      <c r="RSF272" s="18"/>
      <c r="RSG272" s="18"/>
      <c r="RSH272" s="18"/>
      <c r="RSI272" s="18"/>
      <c r="RSJ272" s="18"/>
      <c r="RSK272" s="18"/>
      <c r="RSL272" s="18"/>
      <c r="RSM272" s="18"/>
      <c r="RSN272" s="18"/>
      <c r="RSO272" s="18"/>
      <c r="RSP272" s="18"/>
      <c r="RSQ272" s="18"/>
      <c r="RSR272" s="18"/>
      <c r="RSS272" s="18"/>
      <c r="RST272" s="18"/>
      <c r="RSU272" s="18"/>
      <c r="RSV272" s="18"/>
      <c r="RSW272" s="18"/>
      <c r="RSX272" s="18"/>
      <c r="RSY272" s="18"/>
      <c r="RSZ272" s="18"/>
      <c r="RTA272" s="18"/>
      <c r="RTB272" s="18"/>
      <c r="RTC272" s="18"/>
      <c r="RTD272" s="18"/>
      <c r="RTE272" s="18"/>
      <c r="RTF272" s="18"/>
      <c r="RTG272" s="18"/>
      <c r="RTH272" s="18"/>
      <c r="RTI272" s="18"/>
      <c r="RTJ272" s="18"/>
      <c r="RTK272" s="18"/>
      <c r="RTL272" s="18"/>
      <c r="RTM272" s="18"/>
      <c r="RTN272" s="18"/>
      <c r="RTO272" s="18"/>
      <c r="RTP272" s="18"/>
      <c r="RTQ272" s="18"/>
      <c r="RTR272" s="18"/>
      <c r="RTS272" s="18"/>
      <c r="RTT272" s="18"/>
      <c r="RTU272" s="18"/>
      <c r="RTV272" s="18"/>
      <c r="RTW272" s="18"/>
      <c r="RTX272" s="18"/>
      <c r="RTY272" s="18"/>
      <c r="RTZ272" s="18"/>
      <c r="RUA272" s="18"/>
      <c r="RUB272" s="18"/>
      <c r="RUC272" s="18"/>
      <c r="RUD272" s="18"/>
      <c r="RUE272" s="18"/>
      <c r="RUF272" s="18"/>
      <c r="RUG272" s="18"/>
      <c r="RUH272" s="18"/>
      <c r="RUI272" s="18"/>
      <c r="RUJ272" s="18"/>
      <c r="RUK272" s="18"/>
      <c r="RUL272" s="18"/>
      <c r="RUM272" s="18"/>
      <c r="RUN272" s="18"/>
      <c r="RUO272" s="18"/>
      <c r="RUP272" s="18"/>
      <c r="RUQ272" s="18"/>
      <c r="RUR272" s="18"/>
      <c r="RUS272" s="18"/>
      <c r="RUT272" s="18"/>
      <c r="RUU272" s="18"/>
      <c r="RUV272" s="18"/>
      <c r="RUW272" s="18"/>
      <c r="RUX272" s="18"/>
      <c r="RUY272" s="18"/>
      <c r="RUZ272" s="18"/>
      <c r="RVA272" s="18"/>
      <c r="RVB272" s="18"/>
      <c r="RVC272" s="18"/>
      <c r="RVD272" s="18"/>
      <c r="RVE272" s="18"/>
      <c r="RVF272" s="18"/>
      <c r="RVG272" s="18"/>
      <c r="RVH272" s="18"/>
      <c r="RVI272" s="18"/>
      <c r="RVJ272" s="18"/>
      <c r="RVK272" s="18"/>
      <c r="RVL272" s="18"/>
      <c r="RVM272" s="18"/>
      <c r="RVN272" s="18"/>
      <c r="RVO272" s="18"/>
      <c r="RVP272" s="18"/>
      <c r="RVQ272" s="18"/>
      <c r="RVR272" s="18"/>
      <c r="RVS272" s="18"/>
      <c r="RVT272" s="18"/>
      <c r="RVU272" s="18"/>
      <c r="RVV272" s="18"/>
      <c r="RVW272" s="18"/>
      <c r="RVX272" s="18"/>
      <c r="RVY272" s="18"/>
      <c r="RVZ272" s="18"/>
      <c r="RWA272" s="18"/>
      <c r="RWB272" s="18"/>
      <c r="RWC272" s="18"/>
      <c r="RWD272" s="18"/>
      <c r="RWE272" s="18"/>
      <c r="RWF272" s="18"/>
      <c r="RWG272" s="18"/>
      <c r="RWH272" s="18"/>
      <c r="RWI272" s="18"/>
      <c r="RWJ272" s="18"/>
      <c r="RWK272" s="18"/>
      <c r="RWL272" s="18"/>
      <c r="RWM272" s="18"/>
      <c r="RWN272" s="18"/>
      <c r="RWO272" s="18"/>
      <c r="RWP272" s="18"/>
      <c r="RWQ272" s="18"/>
      <c r="RWR272" s="18"/>
      <c r="RWS272" s="18"/>
      <c r="RWT272" s="18"/>
      <c r="RWU272" s="18"/>
      <c r="RWV272" s="18"/>
      <c r="RWW272" s="18"/>
      <c r="RWX272" s="18"/>
      <c r="RWY272" s="18"/>
      <c r="RWZ272" s="18"/>
      <c r="RXA272" s="18"/>
      <c r="RXB272" s="18"/>
      <c r="RXC272" s="18"/>
      <c r="RXD272" s="18"/>
      <c r="RXE272" s="18"/>
      <c r="RXF272" s="18"/>
      <c r="RXG272" s="18"/>
      <c r="RXH272" s="18"/>
      <c r="RXI272" s="18"/>
      <c r="RXJ272" s="18"/>
      <c r="RXK272" s="18"/>
      <c r="RXL272" s="18"/>
      <c r="RXM272" s="18"/>
      <c r="RXN272" s="18"/>
      <c r="RXO272" s="18"/>
      <c r="RXP272" s="18"/>
      <c r="RXQ272" s="18"/>
      <c r="RXR272" s="18"/>
      <c r="RXS272" s="18"/>
      <c r="RXT272" s="18"/>
      <c r="RXU272" s="18"/>
      <c r="RXV272" s="18"/>
      <c r="RXW272" s="18"/>
      <c r="RXX272" s="18"/>
      <c r="RXY272" s="18"/>
      <c r="RXZ272" s="18"/>
      <c r="RYA272" s="18"/>
      <c r="RYB272" s="18"/>
      <c r="RYC272" s="18"/>
      <c r="RYD272" s="18"/>
      <c r="RYE272" s="18"/>
      <c r="RYF272" s="18"/>
      <c r="RYG272" s="18"/>
      <c r="RYH272" s="18"/>
      <c r="RYI272" s="18"/>
      <c r="RYJ272" s="18"/>
      <c r="RYK272" s="18"/>
      <c r="RYL272" s="18"/>
      <c r="RYM272" s="18"/>
      <c r="RYN272" s="18"/>
      <c r="RYO272" s="18"/>
      <c r="RYP272" s="18"/>
      <c r="RYQ272" s="18"/>
      <c r="RYR272" s="18"/>
      <c r="RYS272" s="18"/>
      <c r="RYT272" s="18"/>
      <c r="RYU272" s="18"/>
      <c r="RYV272" s="18"/>
      <c r="RYW272" s="18"/>
      <c r="RYX272" s="18"/>
      <c r="RYY272" s="18"/>
      <c r="RYZ272" s="18"/>
      <c r="RZA272" s="18"/>
      <c r="RZB272" s="18"/>
      <c r="RZC272" s="18"/>
      <c r="RZD272" s="18"/>
      <c r="RZE272" s="18"/>
      <c r="RZF272" s="18"/>
      <c r="RZG272" s="18"/>
      <c r="RZH272" s="18"/>
      <c r="RZI272" s="18"/>
      <c r="RZJ272" s="18"/>
      <c r="RZK272" s="18"/>
      <c r="RZL272" s="18"/>
      <c r="RZM272" s="18"/>
      <c r="RZN272" s="18"/>
      <c r="RZO272" s="18"/>
      <c r="RZP272" s="18"/>
      <c r="RZQ272" s="18"/>
      <c r="RZR272" s="18"/>
      <c r="RZS272" s="18"/>
      <c r="RZT272" s="18"/>
      <c r="RZU272" s="18"/>
      <c r="RZV272" s="18"/>
      <c r="RZW272" s="18"/>
      <c r="RZX272" s="18"/>
      <c r="RZY272" s="18"/>
      <c r="RZZ272" s="18"/>
      <c r="SAA272" s="18"/>
      <c r="SAB272" s="18"/>
      <c r="SAC272" s="18"/>
      <c r="SAD272" s="18"/>
      <c r="SAE272" s="18"/>
      <c r="SAF272" s="18"/>
      <c r="SAG272" s="18"/>
      <c r="SAH272" s="18"/>
      <c r="SAI272" s="18"/>
      <c r="SAJ272" s="18"/>
      <c r="SAK272" s="18"/>
      <c r="SAL272" s="18"/>
      <c r="SAM272" s="18"/>
      <c r="SAN272" s="18"/>
      <c r="SAO272" s="18"/>
      <c r="SAP272" s="18"/>
      <c r="SAQ272" s="18"/>
      <c r="SAR272" s="18"/>
      <c r="SAS272" s="18"/>
      <c r="SAT272" s="18"/>
      <c r="SAU272" s="18"/>
      <c r="SAV272" s="18"/>
      <c r="SAW272" s="18"/>
      <c r="SAX272" s="18"/>
      <c r="SAY272" s="18"/>
      <c r="SAZ272" s="18"/>
      <c r="SBA272" s="18"/>
      <c r="SBB272" s="18"/>
      <c r="SBC272" s="18"/>
      <c r="SBD272" s="18"/>
      <c r="SBE272" s="18"/>
      <c r="SBF272" s="18"/>
      <c r="SBG272" s="18"/>
      <c r="SBH272" s="18"/>
      <c r="SBI272" s="18"/>
      <c r="SBJ272" s="18"/>
      <c r="SBK272" s="18"/>
      <c r="SBL272" s="18"/>
      <c r="SBM272" s="18"/>
      <c r="SBN272" s="18"/>
      <c r="SBO272" s="18"/>
      <c r="SBP272" s="18"/>
      <c r="SBQ272" s="18"/>
      <c r="SBR272" s="18"/>
      <c r="SBS272" s="18"/>
      <c r="SBT272" s="18"/>
      <c r="SBU272" s="18"/>
      <c r="SBV272" s="18"/>
      <c r="SBW272" s="18"/>
      <c r="SBX272" s="18"/>
      <c r="SBY272" s="18"/>
      <c r="SBZ272" s="18"/>
      <c r="SCA272" s="18"/>
      <c r="SCB272" s="18"/>
      <c r="SCC272" s="18"/>
      <c r="SCD272" s="18"/>
      <c r="SCE272" s="18"/>
      <c r="SCF272" s="18"/>
      <c r="SCG272" s="18"/>
      <c r="SCH272" s="18"/>
      <c r="SCI272" s="18"/>
      <c r="SCJ272" s="18"/>
      <c r="SCK272" s="18"/>
      <c r="SCL272" s="18"/>
      <c r="SCM272" s="18"/>
      <c r="SCN272" s="18"/>
      <c r="SCO272" s="18"/>
      <c r="SCP272" s="18"/>
      <c r="SCQ272" s="18"/>
      <c r="SCR272" s="18"/>
      <c r="SCS272" s="18"/>
      <c r="SCT272" s="18"/>
      <c r="SCU272" s="18"/>
      <c r="SCV272" s="18"/>
      <c r="SCW272" s="18"/>
      <c r="SCX272" s="18"/>
      <c r="SCY272" s="18"/>
      <c r="SCZ272" s="18"/>
      <c r="SDA272" s="18"/>
      <c r="SDB272" s="18"/>
      <c r="SDC272" s="18"/>
      <c r="SDD272" s="18"/>
      <c r="SDE272" s="18"/>
      <c r="SDF272" s="18"/>
      <c r="SDG272" s="18"/>
      <c r="SDH272" s="18"/>
      <c r="SDI272" s="18"/>
      <c r="SDJ272" s="18"/>
      <c r="SDK272" s="18"/>
      <c r="SDL272" s="18"/>
      <c r="SDM272" s="18"/>
      <c r="SDN272" s="18"/>
      <c r="SDO272" s="18"/>
      <c r="SDP272" s="18"/>
      <c r="SDQ272" s="18"/>
      <c r="SDR272" s="18"/>
      <c r="SDS272" s="18"/>
      <c r="SDT272" s="18"/>
      <c r="SDU272" s="18"/>
      <c r="SDV272" s="18"/>
      <c r="SDW272" s="18"/>
      <c r="SDX272" s="18"/>
      <c r="SDY272" s="18"/>
      <c r="SDZ272" s="18"/>
      <c r="SEA272" s="18"/>
      <c r="SEB272" s="18"/>
      <c r="SEC272" s="18"/>
      <c r="SED272" s="18"/>
      <c r="SEE272" s="18"/>
      <c r="SEF272" s="18"/>
      <c r="SEG272" s="18"/>
      <c r="SEH272" s="18"/>
      <c r="SEI272" s="18"/>
      <c r="SEJ272" s="18"/>
      <c r="SEK272" s="18"/>
      <c r="SEL272" s="18"/>
      <c r="SEM272" s="18"/>
      <c r="SEN272" s="18"/>
      <c r="SEO272" s="18"/>
      <c r="SEP272" s="18"/>
      <c r="SEQ272" s="18"/>
      <c r="SER272" s="18"/>
      <c r="SES272" s="18"/>
      <c r="SET272" s="18"/>
      <c r="SEU272" s="18"/>
      <c r="SEV272" s="18"/>
      <c r="SEW272" s="18"/>
      <c r="SEX272" s="18"/>
      <c r="SEY272" s="18"/>
      <c r="SEZ272" s="18"/>
      <c r="SFA272" s="18"/>
      <c r="SFB272" s="18"/>
      <c r="SFC272" s="18"/>
      <c r="SFD272" s="18"/>
      <c r="SFE272" s="18"/>
      <c r="SFF272" s="18"/>
      <c r="SFG272" s="18"/>
      <c r="SFH272" s="18"/>
      <c r="SFI272" s="18"/>
      <c r="SFJ272" s="18"/>
      <c r="SFK272" s="18"/>
      <c r="SFL272" s="18"/>
      <c r="SFM272" s="18"/>
      <c r="SFN272" s="18"/>
      <c r="SFO272" s="18"/>
      <c r="SFP272" s="18"/>
      <c r="SFQ272" s="18"/>
      <c r="SFR272" s="18"/>
      <c r="SFS272" s="18"/>
      <c r="SFT272" s="18"/>
      <c r="SFU272" s="18"/>
      <c r="SFV272" s="18"/>
      <c r="SFW272" s="18"/>
      <c r="SFX272" s="18"/>
      <c r="SFY272" s="18"/>
      <c r="SFZ272" s="18"/>
      <c r="SGA272" s="18"/>
      <c r="SGB272" s="18"/>
      <c r="SGC272" s="18"/>
      <c r="SGD272" s="18"/>
      <c r="SGE272" s="18"/>
      <c r="SGF272" s="18"/>
      <c r="SGG272" s="18"/>
      <c r="SGH272" s="18"/>
      <c r="SGI272" s="18"/>
      <c r="SGJ272" s="18"/>
      <c r="SGK272" s="18"/>
      <c r="SGL272" s="18"/>
      <c r="SGM272" s="18"/>
      <c r="SGN272" s="18"/>
      <c r="SGO272" s="18"/>
      <c r="SGP272" s="18"/>
      <c r="SGQ272" s="18"/>
      <c r="SGR272" s="18"/>
      <c r="SGS272" s="18"/>
      <c r="SGT272" s="18"/>
      <c r="SGU272" s="18"/>
      <c r="SGV272" s="18"/>
      <c r="SGW272" s="18"/>
      <c r="SGX272" s="18"/>
      <c r="SGY272" s="18"/>
      <c r="SGZ272" s="18"/>
      <c r="SHA272" s="18"/>
      <c r="SHB272" s="18"/>
      <c r="SHC272" s="18"/>
      <c r="SHD272" s="18"/>
      <c r="SHE272" s="18"/>
      <c r="SHF272" s="18"/>
      <c r="SHG272" s="18"/>
      <c r="SHH272" s="18"/>
      <c r="SHI272" s="18"/>
      <c r="SHJ272" s="18"/>
      <c r="SHK272" s="18"/>
      <c r="SHL272" s="18"/>
      <c r="SHM272" s="18"/>
      <c r="SHN272" s="18"/>
      <c r="SHO272" s="18"/>
      <c r="SHP272" s="18"/>
      <c r="SHQ272" s="18"/>
      <c r="SHR272" s="18"/>
      <c r="SHS272" s="18"/>
      <c r="SHT272" s="18"/>
      <c r="SHU272" s="18"/>
      <c r="SHV272" s="18"/>
      <c r="SHW272" s="18"/>
      <c r="SHX272" s="18"/>
      <c r="SHY272" s="18"/>
      <c r="SHZ272" s="18"/>
      <c r="SIA272" s="18"/>
      <c r="SIB272" s="18"/>
      <c r="SIC272" s="18"/>
      <c r="SID272" s="18"/>
      <c r="SIE272" s="18"/>
      <c r="SIF272" s="18"/>
      <c r="SIG272" s="18"/>
      <c r="SIH272" s="18"/>
      <c r="SII272" s="18"/>
      <c r="SIJ272" s="18"/>
      <c r="SIK272" s="18"/>
      <c r="SIL272" s="18"/>
      <c r="SIM272" s="18"/>
      <c r="SIN272" s="18"/>
      <c r="SIO272" s="18"/>
      <c r="SIP272" s="18"/>
      <c r="SIQ272" s="18"/>
      <c r="SIR272" s="18"/>
      <c r="SIS272" s="18"/>
      <c r="SIT272" s="18"/>
      <c r="SIU272" s="18"/>
      <c r="SIV272" s="18"/>
      <c r="SIW272" s="18"/>
      <c r="SIX272" s="18"/>
      <c r="SIY272" s="18"/>
      <c r="SIZ272" s="18"/>
      <c r="SJA272" s="18"/>
      <c r="SJB272" s="18"/>
      <c r="SJC272" s="18"/>
      <c r="SJD272" s="18"/>
      <c r="SJE272" s="18"/>
      <c r="SJF272" s="18"/>
      <c r="SJG272" s="18"/>
      <c r="SJH272" s="18"/>
      <c r="SJI272" s="18"/>
      <c r="SJJ272" s="18"/>
      <c r="SJK272" s="18"/>
      <c r="SJL272" s="18"/>
      <c r="SJM272" s="18"/>
      <c r="SJN272" s="18"/>
      <c r="SJO272" s="18"/>
      <c r="SJP272" s="18"/>
      <c r="SJQ272" s="18"/>
      <c r="SJR272" s="18"/>
      <c r="SJS272" s="18"/>
      <c r="SJT272" s="18"/>
      <c r="SJU272" s="18"/>
      <c r="SJV272" s="18"/>
      <c r="SJW272" s="18"/>
      <c r="SJX272" s="18"/>
      <c r="SJY272" s="18"/>
      <c r="SJZ272" s="18"/>
      <c r="SKA272" s="18"/>
      <c r="SKB272" s="18"/>
      <c r="SKC272" s="18"/>
      <c r="SKD272" s="18"/>
      <c r="SKE272" s="18"/>
      <c r="SKF272" s="18"/>
      <c r="SKG272" s="18"/>
      <c r="SKH272" s="18"/>
      <c r="SKI272" s="18"/>
      <c r="SKJ272" s="18"/>
      <c r="SKK272" s="18"/>
      <c r="SKL272" s="18"/>
      <c r="SKM272" s="18"/>
      <c r="SKN272" s="18"/>
      <c r="SKO272" s="18"/>
      <c r="SKP272" s="18"/>
      <c r="SKQ272" s="18"/>
      <c r="SKR272" s="18"/>
      <c r="SKS272" s="18"/>
      <c r="SKT272" s="18"/>
      <c r="SKU272" s="18"/>
      <c r="SKV272" s="18"/>
      <c r="SKW272" s="18"/>
      <c r="SKX272" s="18"/>
      <c r="SKY272" s="18"/>
      <c r="SKZ272" s="18"/>
      <c r="SLA272" s="18"/>
      <c r="SLB272" s="18"/>
      <c r="SLC272" s="18"/>
      <c r="SLD272" s="18"/>
      <c r="SLE272" s="18"/>
      <c r="SLF272" s="18"/>
      <c r="SLG272" s="18"/>
      <c r="SLH272" s="18"/>
      <c r="SLI272" s="18"/>
      <c r="SLJ272" s="18"/>
      <c r="SLK272" s="18"/>
      <c r="SLL272" s="18"/>
      <c r="SLM272" s="18"/>
      <c r="SLN272" s="18"/>
      <c r="SLO272" s="18"/>
      <c r="SLP272" s="18"/>
      <c r="SLQ272" s="18"/>
      <c r="SLR272" s="18"/>
      <c r="SLS272" s="18"/>
      <c r="SLT272" s="18"/>
      <c r="SLU272" s="18"/>
      <c r="SLV272" s="18"/>
      <c r="SLW272" s="18"/>
      <c r="SLX272" s="18"/>
      <c r="SLY272" s="18"/>
      <c r="SLZ272" s="18"/>
      <c r="SMA272" s="18"/>
      <c r="SMB272" s="18"/>
      <c r="SMC272" s="18"/>
      <c r="SMD272" s="18"/>
      <c r="SME272" s="18"/>
      <c r="SMF272" s="18"/>
      <c r="SMG272" s="18"/>
      <c r="SMH272" s="18"/>
      <c r="SMI272" s="18"/>
      <c r="SMJ272" s="18"/>
      <c r="SMK272" s="18"/>
      <c r="SML272" s="18"/>
      <c r="SMM272" s="18"/>
      <c r="SMN272" s="18"/>
      <c r="SMO272" s="18"/>
      <c r="SMP272" s="18"/>
      <c r="SMQ272" s="18"/>
      <c r="SMR272" s="18"/>
      <c r="SMS272" s="18"/>
      <c r="SMT272" s="18"/>
      <c r="SMU272" s="18"/>
      <c r="SMV272" s="18"/>
      <c r="SMW272" s="18"/>
      <c r="SMX272" s="18"/>
      <c r="SMY272" s="18"/>
      <c r="SMZ272" s="18"/>
      <c r="SNA272" s="18"/>
      <c r="SNB272" s="18"/>
      <c r="SNC272" s="18"/>
      <c r="SND272" s="18"/>
      <c r="SNE272" s="18"/>
      <c r="SNF272" s="18"/>
      <c r="SNG272" s="18"/>
      <c r="SNH272" s="18"/>
      <c r="SNI272" s="18"/>
      <c r="SNJ272" s="18"/>
      <c r="SNK272" s="18"/>
      <c r="SNL272" s="18"/>
      <c r="SNM272" s="18"/>
      <c r="SNN272" s="18"/>
      <c r="SNO272" s="18"/>
      <c r="SNP272" s="18"/>
      <c r="SNQ272" s="18"/>
      <c r="SNR272" s="18"/>
      <c r="SNS272" s="18"/>
      <c r="SNT272" s="18"/>
      <c r="SNU272" s="18"/>
      <c r="SNV272" s="18"/>
      <c r="SNW272" s="18"/>
      <c r="SNX272" s="18"/>
      <c r="SNY272" s="18"/>
      <c r="SNZ272" s="18"/>
      <c r="SOA272" s="18"/>
      <c r="SOB272" s="18"/>
      <c r="SOC272" s="18"/>
      <c r="SOD272" s="18"/>
      <c r="SOE272" s="18"/>
      <c r="SOF272" s="18"/>
      <c r="SOG272" s="18"/>
      <c r="SOH272" s="18"/>
      <c r="SOI272" s="18"/>
      <c r="SOJ272" s="18"/>
      <c r="SOK272" s="18"/>
      <c r="SOL272" s="18"/>
      <c r="SOM272" s="18"/>
      <c r="SON272" s="18"/>
      <c r="SOO272" s="18"/>
      <c r="SOP272" s="18"/>
      <c r="SOQ272" s="18"/>
      <c r="SOR272" s="18"/>
      <c r="SOS272" s="18"/>
      <c r="SOT272" s="18"/>
      <c r="SOU272" s="18"/>
      <c r="SOV272" s="18"/>
      <c r="SOW272" s="18"/>
      <c r="SOX272" s="18"/>
      <c r="SOY272" s="18"/>
      <c r="SOZ272" s="18"/>
      <c r="SPA272" s="18"/>
      <c r="SPB272" s="18"/>
      <c r="SPC272" s="18"/>
      <c r="SPD272" s="18"/>
      <c r="SPE272" s="18"/>
      <c r="SPF272" s="18"/>
      <c r="SPG272" s="18"/>
      <c r="SPH272" s="18"/>
      <c r="SPI272" s="18"/>
      <c r="SPJ272" s="18"/>
      <c r="SPK272" s="18"/>
      <c r="SPL272" s="18"/>
      <c r="SPM272" s="18"/>
      <c r="SPN272" s="18"/>
      <c r="SPO272" s="18"/>
      <c r="SPP272" s="18"/>
      <c r="SPQ272" s="18"/>
      <c r="SPR272" s="18"/>
      <c r="SPS272" s="18"/>
      <c r="SPT272" s="18"/>
      <c r="SPU272" s="18"/>
      <c r="SPV272" s="18"/>
      <c r="SPW272" s="18"/>
      <c r="SPX272" s="18"/>
      <c r="SPY272" s="18"/>
      <c r="SPZ272" s="18"/>
      <c r="SQA272" s="18"/>
      <c r="SQB272" s="18"/>
      <c r="SQC272" s="18"/>
      <c r="SQD272" s="18"/>
      <c r="SQE272" s="18"/>
      <c r="SQF272" s="18"/>
      <c r="SQG272" s="18"/>
      <c r="SQH272" s="18"/>
      <c r="SQI272" s="18"/>
      <c r="SQJ272" s="18"/>
      <c r="SQK272" s="18"/>
      <c r="SQL272" s="18"/>
      <c r="SQM272" s="18"/>
      <c r="SQN272" s="18"/>
      <c r="SQO272" s="18"/>
      <c r="SQP272" s="18"/>
      <c r="SQQ272" s="18"/>
      <c r="SQR272" s="18"/>
      <c r="SQS272" s="18"/>
      <c r="SQT272" s="18"/>
      <c r="SQU272" s="18"/>
      <c r="SQV272" s="18"/>
      <c r="SQW272" s="18"/>
      <c r="SQX272" s="18"/>
      <c r="SQY272" s="18"/>
      <c r="SQZ272" s="18"/>
      <c r="SRA272" s="18"/>
      <c r="SRB272" s="18"/>
      <c r="SRC272" s="18"/>
      <c r="SRD272" s="18"/>
      <c r="SRE272" s="18"/>
      <c r="SRF272" s="18"/>
      <c r="SRG272" s="18"/>
      <c r="SRH272" s="18"/>
      <c r="SRI272" s="18"/>
      <c r="SRJ272" s="18"/>
      <c r="SRK272" s="18"/>
      <c r="SRL272" s="18"/>
      <c r="SRM272" s="18"/>
      <c r="SRN272" s="18"/>
      <c r="SRO272" s="18"/>
      <c r="SRP272" s="18"/>
      <c r="SRQ272" s="18"/>
      <c r="SRR272" s="18"/>
      <c r="SRS272" s="18"/>
      <c r="SRT272" s="18"/>
      <c r="SRU272" s="18"/>
      <c r="SRV272" s="18"/>
      <c r="SRW272" s="18"/>
      <c r="SRX272" s="18"/>
      <c r="SRY272" s="18"/>
      <c r="SRZ272" s="18"/>
      <c r="SSA272" s="18"/>
      <c r="SSB272" s="18"/>
      <c r="SSC272" s="18"/>
      <c r="SSD272" s="18"/>
      <c r="SSE272" s="18"/>
      <c r="SSF272" s="18"/>
      <c r="SSG272" s="18"/>
      <c r="SSH272" s="18"/>
      <c r="SSI272" s="18"/>
      <c r="SSJ272" s="18"/>
      <c r="SSK272" s="18"/>
      <c r="SSL272" s="18"/>
      <c r="SSM272" s="18"/>
      <c r="SSN272" s="18"/>
      <c r="SSO272" s="18"/>
      <c r="SSP272" s="18"/>
      <c r="SSQ272" s="18"/>
      <c r="SSR272" s="18"/>
      <c r="SSS272" s="18"/>
      <c r="SST272" s="18"/>
      <c r="SSU272" s="18"/>
      <c r="SSV272" s="18"/>
      <c r="SSW272" s="18"/>
      <c r="SSX272" s="18"/>
      <c r="SSY272" s="18"/>
      <c r="SSZ272" s="18"/>
      <c r="STA272" s="18"/>
      <c r="STB272" s="18"/>
      <c r="STC272" s="18"/>
      <c r="STD272" s="18"/>
      <c r="STE272" s="18"/>
      <c r="STF272" s="18"/>
      <c r="STG272" s="18"/>
      <c r="STH272" s="18"/>
      <c r="STI272" s="18"/>
      <c r="STJ272" s="18"/>
      <c r="STK272" s="18"/>
      <c r="STL272" s="18"/>
      <c r="STM272" s="18"/>
      <c r="STN272" s="18"/>
      <c r="STO272" s="18"/>
      <c r="STP272" s="18"/>
      <c r="STQ272" s="18"/>
      <c r="STR272" s="18"/>
      <c r="STS272" s="18"/>
      <c r="STT272" s="18"/>
      <c r="STU272" s="18"/>
      <c r="STV272" s="18"/>
      <c r="STW272" s="18"/>
      <c r="STX272" s="18"/>
      <c r="STY272" s="18"/>
      <c r="STZ272" s="18"/>
      <c r="SUA272" s="18"/>
      <c r="SUB272" s="18"/>
      <c r="SUC272" s="18"/>
      <c r="SUD272" s="18"/>
      <c r="SUE272" s="18"/>
      <c r="SUF272" s="18"/>
      <c r="SUG272" s="18"/>
      <c r="SUH272" s="18"/>
      <c r="SUI272" s="18"/>
      <c r="SUJ272" s="18"/>
      <c r="SUK272" s="18"/>
      <c r="SUL272" s="18"/>
      <c r="SUM272" s="18"/>
      <c r="SUN272" s="18"/>
      <c r="SUO272" s="18"/>
      <c r="SUP272" s="18"/>
      <c r="SUQ272" s="18"/>
      <c r="SUR272" s="18"/>
      <c r="SUS272" s="18"/>
      <c r="SUT272" s="18"/>
      <c r="SUU272" s="18"/>
      <c r="SUV272" s="18"/>
      <c r="SUW272" s="18"/>
      <c r="SUX272" s="18"/>
      <c r="SUY272" s="18"/>
      <c r="SUZ272" s="18"/>
      <c r="SVA272" s="18"/>
      <c r="SVB272" s="18"/>
      <c r="SVC272" s="18"/>
      <c r="SVD272" s="18"/>
      <c r="SVE272" s="18"/>
      <c r="SVF272" s="18"/>
      <c r="SVG272" s="18"/>
      <c r="SVH272" s="18"/>
      <c r="SVI272" s="18"/>
      <c r="SVJ272" s="18"/>
      <c r="SVK272" s="18"/>
      <c r="SVL272" s="18"/>
      <c r="SVM272" s="18"/>
      <c r="SVN272" s="18"/>
      <c r="SVO272" s="18"/>
      <c r="SVP272" s="18"/>
      <c r="SVQ272" s="18"/>
      <c r="SVR272" s="18"/>
      <c r="SVS272" s="18"/>
      <c r="SVT272" s="18"/>
      <c r="SVU272" s="18"/>
      <c r="SVV272" s="18"/>
      <c r="SVW272" s="18"/>
      <c r="SVX272" s="18"/>
      <c r="SVY272" s="18"/>
      <c r="SVZ272" s="18"/>
      <c r="SWA272" s="18"/>
      <c r="SWB272" s="18"/>
      <c r="SWC272" s="18"/>
      <c r="SWD272" s="18"/>
      <c r="SWE272" s="18"/>
      <c r="SWF272" s="18"/>
      <c r="SWG272" s="18"/>
      <c r="SWH272" s="18"/>
      <c r="SWI272" s="18"/>
      <c r="SWJ272" s="18"/>
      <c r="SWK272" s="18"/>
      <c r="SWL272" s="18"/>
      <c r="SWM272" s="18"/>
      <c r="SWN272" s="18"/>
      <c r="SWO272" s="18"/>
      <c r="SWP272" s="18"/>
      <c r="SWQ272" s="18"/>
      <c r="SWR272" s="18"/>
      <c r="SWS272" s="18"/>
      <c r="SWT272" s="18"/>
      <c r="SWU272" s="18"/>
      <c r="SWV272" s="18"/>
      <c r="SWW272" s="18"/>
      <c r="SWX272" s="18"/>
      <c r="SWY272" s="18"/>
      <c r="SWZ272" s="18"/>
      <c r="SXA272" s="18"/>
      <c r="SXB272" s="18"/>
      <c r="SXC272" s="18"/>
      <c r="SXD272" s="18"/>
      <c r="SXE272" s="18"/>
      <c r="SXF272" s="18"/>
      <c r="SXG272" s="18"/>
      <c r="SXH272" s="18"/>
      <c r="SXI272" s="18"/>
      <c r="SXJ272" s="18"/>
      <c r="SXK272" s="18"/>
      <c r="SXL272" s="18"/>
      <c r="SXM272" s="18"/>
      <c r="SXN272" s="18"/>
      <c r="SXO272" s="18"/>
      <c r="SXP272" s="18"/>
      <c r="SXQ272" s="18"/>
      <c r="SXR272" s="18"/>
      <c r="SXS272" s="18"/>
      <c r="SXT272" s="18"/>
      <c r="SXU272" s="18"/>
      <c r="SXV272" s="18"/>
      <c r="SXW272" s="18"/>
      <c r="SXX272" s="18"/>
      <c r="SXY272" s="18"/>
      <c r="SXZ272" s="18"/>
      <c r="SYA272" s="18"/>
      <c r="SYB272" s="18"/>
      <c r="SYC272" s="18"/>
      <c r="SYD272" s="18"/>
      <c r="SYE272" s="18"/>
      <c r="SYF272" s="18"/>
      <c r="SYG272" s="18"/>
      <c r="SYH272" s="18"/>
      <c r="SYI272" s="18"/>
      <c r="SYJ272" s="18"/>
      <c r="SYK272" s="18"/>
      <c r="SYL272" s="18"/>
      <c r="SYM272" s="18"/>
      <c r="SYN272" s="18"/>
      <c r="SYO272" s="18"/>
      <c r="SYP272" s="18"/>
      <c r="SYQ272" s="18"/>
      <c r="SYR272" s="18"/>
      <c r="SYS272" s="18"/>
      <c r="SYT272" s="18"/>
      <c r="SYU272" s="18"/>
      <c r="SYV272" s="18"/>
      <c r="SYW272" s="18"/>
      <c r="SYX272" s="18"/>
      <c r="SYY272" s="18"/>
      <c r="SYZ272" s="18"/>
      <c r="SZA272" s="18"/>
      <c r="SZB272" s="18"/>
      <c r="SZC272" s="18"/>
      <c r="SZD272" s="18"/>
      <c r="SZE272" s="18"/>
      <c r="SZF272" s="18"/>
      <c r="SZG272" s="18"/>
      <c r="SZH272" s="18"/>
      <c r="SZI272" s="18"/>
      <c r="SZJ272" s="18"/>
      <c r="SZK272" s="18"/>
      <c r="SZL272" s="18"/>
      <c r="SZM272" s="18"/>
      <c r="SZN272" s="18"/>
      <c r="SZO272" s="18"/>
      <c r="SZP272" s="18"/>
      <c r="SZQ272" s="18"/>
      <c r="SZR272" s="18"/>
      <c r="SZS272" s="18"/>
      <c r="SZT272" s="18"/>
      <c r="SZU272" s="18"/>
      <c r="SZV272" s="18"/>
      <c r="SZW272" s="18"/>
      <c r="SZX272" s="18"/>
      <c r="SZY272" s="18"/>
      <c r="SZZ272" s="18"/>
      <c r="TAA272" s="18"/>
      <c r="TAB272" s="18"/>
      <c r="TAC272" s="18"/>
      <c r="TAD272" s="18"/>
      <c r="TAE272" s="18"/>
      <c r="TAF272" s="18"/>
      <c r="TAG272" s="18"/>
      <c r="TAH272" s="18"/>
      <c r="TAI272" s="18"/>
      <c r="TAJ272" s="18"/>
      <c r="TAK272" s="18"/>
      <c r="TAL272" s="18"/>
      <c r="TAM272" s="18"/>
      <c r="TAN272" s="18"/>
      <c r="TAO272" s="18"/>
      <c r="TAP272" s="18"/>
      <c r="TAQ272" s="18"/>
      <c r="TAR272" s="18"/>
      <c r="TAS272" s="18"/>
      <c r="TAT272" s="18"/>
      <c r="TAU272" s="18"/>
      <c r="TAV272" s="18"/>
      <c r="TAW272" s="18"/>
      <c r="TAX272" s="18"/>
      <c r="TAY272" s="18"/>
      <c r="TAZ272" s="18"/>
      <c r="TBA272" s="18"/>
      <c r="TBB272" s="18"/>
      <c r="TBC272" s="18"/>
      <c r="TBD272" s="18"/>
      <c r="TBE272" s="18"/>
      <c r="TBF272" s="18"/>
      <c r="TBG272" s="18"/>
      <c r="TBH272" s="18"/>
      <c r="TBI272" s="18"/>
      <c r="TBJ272" s="18"/>
      <c r="TBK272" s="18"/>
      <c r="TBL272" s="18"/>
      <c r="TBM272" s="18"/>
      <c r="TBN272" s="18"/>
      <c r="TBO272" s="18"/>
      <c r="TBP272" s="18"/>
      <c r="TBQ272" s="18"/>
      <c r="TBR272" s="18"/>
      <c r="TBS272" s="18"/>
      <c r="TBT272" s="18"/>
      <c r="TBU272" s="18"/>
      <c r="TBV272" s="18"/>
      <c r="TBW272" s="18"/>
      <c r="TBX272" s="18"/>
      <c r="TBY272" s="18"/>
      <c r="TBZ272" s="18"/>
      <c r="TCA272" s="18"/>
      <c r="TCB272" s="18"/>
      <c r="TCC272" s="18"/>
      <c r="TCD272" s="18"/>
      <c r="TCE272" s="18"/>
      <c r="TCF272" s="18"/>
      <c r="TCG272" s="18"/>
      <c r="TCH272" s="18"/>
      <c r="TCI272" s="18"/>
      <c r="TCJ272" s="18"/>
      <c r="TCK272" s="18"/>
      <c r="TCL272" s="18"/>
      <c r="TCM272" s="18"/>
      <c r="TCN272" s="18"/>
      <c r="TCO272" s="18"/>
      <c r="TCP272" s="18"/>
      <c r="TCQ272" s="18"/>
      <c r="TCR272" s="18"/>
      <c r="TCS272" s="18"/>
      <c r="TCT272" s="18"/>
      <c r="TCU272" s="18"/>
      <c r="TCV272" s="18"/>
      <c r="TCW272" s="18"/>
      <c r="TCX272" s="18"/>
      <c r="TCY272" s="18"/>
      <c r="TCZ272" s="18"/>
      <c r="TDA272" s="18"/>
      <c r="TDB272" s="18"/>
      <c r="TDC272" s="18"/>
      <c r="TDD272" s="18"/>
      <c r="TDE272" s="18"/>
      <c r="TDF272" s="18"/>
      <c r="TDG272" s="18"/>
      <c r="TDH272" s="18"/>
      <c r="TDI272" s="18"/>
      <c r="TDJ272" s="18"/>
      <c r="TDK272" s="18"/>
      <c r="TDL272" s="18"/>
      <c r="TDM272" s="18"/>
      <c r="TDN272" s="18"/>
      <c r="TDO272" s="18"/>
      <c r="TDP272" s="18"/>
      <c r="TDQ272" s="18"/>
      <c r="TDR272" s="18"/>
      <c r="TDS272" s="18"/>
      <c r="TDT272" s="18"/>
      <c r="TDU272" s="18"/>
      <c r="TDV272" s="18"/>
      <c r="TDW272" s="18"/>
      <c r="TDX272" s="18"/>
      <c r="TDY272" s="18"/>
      <c r="TDZ272" s="18"/>
      <c r="TEA272" s="18"/>
      <c r="TEB272" s="18"/>
      <c r="TEC272" s="18"/>
      <c r="TED272" s="18"/>
      <c r="TEE272" s="18"/>
      <c r="TEF272" s="18"/>
      <c r="TEG272" s="18"/>
      <c r="TEH272" s="18"/>
      <c r="TEI272" s="18"/>
      <c r="TEJ272" s="18"/>
      <c r="TEK272" s="18"/>
      <c r="TEL272" s="18"/>
      <c r="TEM272" s="18"/>
      <c r="TEN272" s="18"/>
      <c r="TEO272" s="18"/>
      <c r="TEP272" s="18"/>
      <c r="TEQ272" s="18"/>
      <c r="TER272" s="18"/>
      <c r="TES272" s="18"/>
      <c r="TET272" s="18"/>
      <c r="TEU272" s="18"/>
      <c r="TEV272" s="18"/>
      <c r="TEW272" s="18"/>
      <c r="TEX272" s="18"/>
      <c r="TEY272" s="18"/>
      <c r="TEZ272" s="18"/>
      <c r="TFA272" s="18"/>
      <c r="TFB272" s="18"/>
      <c r="TFC272" s="18"/>
      <c r="TFD272" s="18"/>
      <c r="TFE272" s="18"/>
      <c r="TFF272" s="18"/>
      <c r="TFG272" s="18"/>
      <c r="TFH272" s="18"/>
      <c r="TFI272" s="18"/>
      <c r="TFJ272" s="18"/>
      <c r="TFK272" s="18"/>
      <c r="TFL272" s="18"/>
      <c r="TFM272" s="18"/>
      <c r="TFN272" s="18"/>
      <c r="TFO272" s="18"/>
      <c r="TFP272" s="18"/>
      <c r="TFQ272" s="18"/>
      <c r="TFR272" s="18"/>
      <c r="TFS272" s="18"/>
      <c r="TFT272" s="18"/>
      <c r="TFU272" s="18"/>
      <c r="TFV272" s="18"/>
      <c r="TFW272" s="18"/>
      <c r="TFX272" s="18"/>
      <c r="TFY272" s="18"/>
      <c r="TFZ272" s="18"/>
      <c r="TGA272" s="18"/>
      <c r="TGB272" s="18"/>
      <c r="TGC272" s="18"/>
      <c r="TGD272" s="18"/>
      <c r="TGE272" s="18"/>
      <c r="TGF272" s="18"/>
      <c r="TGG272" s="18"/>
      <c r="TGH272" s="18"/>
      <c r="TGI272" s="18"/>
      <c r="TGJ272" s="18"/>
      <c r="TGK272" s="18"/>
      <c r="TGL272" s="18"/>
      <c r="TGM272" s="18"/>
      <c r="TGN272" s="18"/>
      <c r="TGO272" s="18"/>
      <c r="TGP272" s="18"/>
      <c r="TGQ272" s="18"/>
      <c r="TGR272" s="18"/>
      <c r="TGS272" s="18"/>
      <c r="TGT272" s="18"/>
      <c r="TGU272" s="18"/>
      <c r="TGV272" s="18"/>
      <c r="TGW272" s="18"/>
      <c r="TGX272" s="18"/>
      <c r="TGY272" s="18"/>
      <c r="TGZ272" s="18"/>
      <c r="THA272" s="18"/>
      <c r="THB272" s="18"/>
      <c r="THC272" s="18"/>
      <c r="THD272" s="18"/>
      <c r="THE272" s="18"/>
      <c r="THF272" s="18"/>
      <c r="THG272" s="18"/>
      <c r="THH272" s="18"/>
      <c r="THI272" s="18"/>
      <c r="THJ272" s="18"/>
      <c r="THK272" s="18"/>
      <c r="THL272" s="18"/>
      <c r="THM272" s="18"/>
      <c r="THN272" s="18"/>
      <c r="THO272" s="18"/>
      <c r="THP272" s="18"/>
      <c r="THQ272" s="18"/>
      <c r="THR272" s="18"/>
      <c r="THS272" s="18"/>
      <c r="THT272" s="18"/>
      <c r="THU272" s="18"/>
      <c r="THV272" s="18"/>
      <c r="THW272" s="18"/>
      <c r="THX272" s="18"/>
      <c r="THY272" s="18"/>
      <c r="THZ272" s="18"/>
      <c r="TIA272" s="18"/>
      <c r="TIB272" s="18"/>
      <c r="TIC272" s="18"/>
      <c r="TID272" s="18"/>
      <c r="TIE272" s="18"/>
      <c r="TIF272" s="18"/>
      <c r="TIG272" s="18"/>
      <c r="TIH272" s="18"/>
      <c r="TII272" s="18"/>
      <c r="TIJ272" s="18"/>
      <c r="TIK272" s="18"/>
      <c r="TIL272" s="18"/>
      <c r="TIM272" s="18"/>
      <c r="TIN272" s="18"/>
      <c r="TIO272" s="18"/>
      <c r="TIP272" s="18"/>
      <c r="TIQ272" s="18"/>
      <c r="TIR272" s="18"/>
      <c r="TIS272" s="18"/>
      <c r="TIT272" s="18"/>
      <c r="TIU272" s="18"/>
      <c r="TIV272" s="18"/>
      <c r="TIW272" s="18"/>
      <c r="TIX272" s="18"/>
      <c r="TIY272" s="18"/>
      <c r="TIZ272" s="18"/>
      <c r="TJA272" s="18"/>
      <c r="TJB272" s="18"/>
      <c r="TJC272" s="18"/>
      <c r="TJD272" s="18"/>
      <c r="TJE272" s="18"/>
      <c r="TJF272" s="18"/>
      <c r="TJG272" s="18"/>
      <c r="TJH272" s="18"/>
      <c r="TJI272" s="18"/>
      <c r="TJJ272" s="18"/>
      <c r="TJK272" s="18"/>
      <c r="TJL272" s="18"/>
      <c r="TJM272" s="18"/>
      <c r="TJN272" s="18"/>
      <c r="TJO272" s="18"/>
      <c r="TJP272" s="18"/>
      <c r="TJQ272" s="18"/>
      <c r="TJR272" s="18"/>
      <c r="TJS272" s="18"/>
      <c r="TJT272" s="18"/>
      <c r="TJU272" s="18"/>
      <c r="TJV272" s="18"/>
      <c r="TJW272" s="18"/>
      <c r="TJX272" s="18"/>
      <c r="TJY272" s="18"/>
      <c r="TJZ272" s="18"/>
      <c r="TKA272" s="18"/>
      <c r="TKB272" s="18"/>
      <c r="TKC272" s="18"/>
      <c r="TKD272" s="18"/>
      <c r="TKE272" s="18"/>
      <c r="TKF272" s="18"/>
      <c r="TKG272" s="18"/>
      <c r="TKH272" s="18"/>
      <c r="TKI272" s="18"/>
      <c r="TKJ272" s="18"/>
      <c r="TKK272" s="18"/>
      <c r="TKL272" s="18"/>
      <c r="TKM272" s="18"/>
      <c r="TKN272" s="18"/>
      <c r="TKO272" s="18"/>
      <c r="TKP272" s="18"/>
      <c r="TKQ272" s="18"/>
      <c r="TKR272" s="18"/>
      <c r="TKS272" s="18"/>
      <c r="TKT272" s="18"/>
      <c r="TKU272" s="18"/>
      <c r="TKV272" s="18"/>
      <c r="TKW272" s="18"/>
      <c r="TKX272" s="18"/>
      <c r="TKY272" s="18"/>
      <c r="TKZ272" s="18"/>
      <c r="TLA272" s="18"/>
      <c r="TLB272" s="18"/>
      <c r="TLC272" s="18"/>
      <c r="TLD272" s="18"/>
      <c r="TLE272" s="18"/>
      <c r="TLF272" s="18"/>
      <c r="TLG272" s="18"/>
      <c r="TLH272" s="18"/>
      <c r="TLI272" s="18"/>
      <c r="TLJ272" s="18"/>
      <c r="TLK272" s="18"/>
      <c r="TLL272" s="18"/>
      <c r="TLM272" s="18"/>
      <c r="TLN272" s="18"/>
      <c r="TLO272" s="18"/>
      <c r="TLP272" s="18"/>
      <c r="TLQ272" s="18"/>
      <c r="TLR272" s="18"/>
      <c r="TLS272" s="18"/>
      <c r="TLT272" s="18"/>
      <c r="TLU272" s="18"/>
      <c r="TLV272" s="18"/>
      <c r="TLW272" s="18"/>
      <c r="TLX272" s="18"/>
      <c r="TLY272" s="18"/>
      <c r="TLZ272" s="18"/>
      <c r="TMA272" s="18"/>
      <c r="TMB272" s="18"/>
      <c r="TMC272" s="18"/>
      <c r="TMD272" s="18"/>
      <c r="TME272" s="18"/>
      <c r="TMF272" s="18"/>
      <c r="TMG272" s="18"/>
      <c r="TMH272" s="18"/>
      <c r="TMI272" s="18"/>
      <c r="TMJ272" s="18"/>
      <c r="TMK272" s="18"/>
      <c r="TML272" s="18"/>
      <c r="TMM272" s="18"/>
      <c r="TMN272" s="18"/>
      <c r="TMO272" s="18"/>
      <c r="TMP272" s="18"/>
      <c r="TMQ272" s="18"/>
      <c r="TMR272" s="18"/>
      <c r="TMS272" s="18"/>
      <c r="TMT272" s="18"/>
      <c r="TMU272" s="18"/>
      <c r="TMV272" s="18"/>
      <c r="TMW272" s="18"/>
      <c r="TMX272" s="18"/>
      <c r="TMY272" s="18"/>
      <c r="TMZ272" s="18"/>
      <c r="TNA272" s="18"/>
      <c r="TNB272" s="18"/>
      <c r="TNC272" s="18"/>
      <c r="TND272" s="18"/>
      <c r="TNE272" s="18"/>
      <c r="TNF272" s="18"/>
      <c r="TNG272" s="18"/>
      <c r="TNH272" s="18"/>
      <c r="TNI272" s="18"/>
      <c r="TNJ272" s="18"/>
      <c r="TNK272" s="18"/>
      <c r="TNL272" s="18"/>
      <c r="TNM272" s="18"/>
      <c r="TNN272" s="18"/>
      <c r="TNO272" s="18"/>
      <c r="TNP272" s="18"/>
      <c r="TNQ272" s="18"/>
      <c r="TNR272" s="18"/>
      <c r="TNS272" s="18"/>
      <c r="TNT272" s="18"/>
      <c r="TNU272" s="18"/>
      <c r="TNV272" s="18"/>
      <c r="TNW272" s="18"/>
      <c r="TNX272" s="18"/>
      <c r="TNY272" s="18"/>
      <c r="TNZ272" s="18"/>
      <c r="TOA272" s="18"/>
      <c r="TOB272" s="18"/>
      <c r="TOC272" s="18"/>
      <c r="TOD272" s="18"/>
      <c r="TOE272" s="18"/>
      <c r="TOF272" s="18"/>
      <c r="TOG272" s="18"/>
      <c r="TOH272" s="18"/>
      <c r="TOI272" s="18"/>
      <c r="TOJ272" s="18"/>
      <c r="TOK272" s="18"/>
      <c r="TOL272" s="18"/>
      <c r="TOM272" s="18"/>
      <c r="TON272" s="18"/>
      <c r="TOO272" s="18"/>
      <c r="TOP272" s="18"/>
      <c r="TOQ272" s="18"/>
      <c r="TOR272" s="18"/>
      <c r="TOS272" s="18"/>
      <c r="TOT272" s="18"/>
      <c r="TOU272" s="18"/>
      <c r="TOV272" s="18"/>
      <c r="TOW272" s="18"/>
      <c r="TOX272" s="18"/>
      <c r="TOY272" s="18"/>
      <c r="TOZ272" s="18"/>
      <c r="TPA272" s="18"/>
      <c r="TPB272" s="18"/>
      <c r="TPC272" s="18"/>
      <c r="TPD272" s="18"/>
      <c r="TPE272" s="18"/>
      <c r="TPF272" s="18"/>
      <c r="TPG272" s="18"/>
      <c r="TPH272" s="18"/>
      <c r="TPI272" s="18"/>
      <c r="TPJ272" s="18"/>
      <c r="TPK272" s="18"/>
      <c r="TPL272" s="18"/>
      <c r="TPM272" s="18"/>
      <c r="TPN272" s="18"/>
      <c r="TPO272" s="18"/>
      <c r="TPP272" s="18"/>
      <c r="TPQ272" s="18"/>
      <c r="TPR272" s="18"/>
      <c r="TPS272" s="18"/>
      <c r="TPT272" s="18"/>
      <c r="TPU272" s="18"/>
      <c r="TPV272" s="18"/>
      <c r="TPW272" s="18"/>
      <c r="TPX272" s="18"/>
      <c r="TPY272" s="18"/>
      <c r="TPZ272" s="18"/>
      <c r="TQA272" s="18"/>
      <c r="TQB272" s="18"/>
      <c r="TQC272" s="18"/>
      <c r="TQD272" s="18"/>
      <c r="TQE272" s="18"/>
      <c r="TQF272" s="18"/>
      <c r="TQG272" s="18"/>
      <c r="TQH272" s="18"/>
      <c r="TQI272" s="18"/>
      <c r="TQJ272" s="18"/>
      <c r="TQK272" s="18"/>
      <c r="TQL272" s="18"/>
      <c r="TQM272" s="18"/>
      <c r="TQN272" s="18"/>
      <c r="TQO272" s="18"/>
      <c r="TQP272" s="18"/>
      <c r="TQQ272" s="18"/>
      <c r="TQR272" s="18"/>
      <c r="TQS272" s="18"/>
      <c r="TQT272" s="18"/>
      <c r="TQU272" s="18"/>
      <c r="TQV272" s="18"/>
      <c r="TQW272" s="18"/>
      <c r="TQX272" s="18"/>
      <c r="TQY272" s="18"/>
      <c r="TQZ272" s="18"/>
      <c r="TRA272" s="18"/>
      <c r="TRB272" s="18"/>
      <c r="TRC272" s="18"/>
      <c r="TRD272" s="18"/>
      <c r="TRE272" s="18"/>
      <c r="TRF272" s="18"/>
      <c r="TRG272" s="18"/>
      <c r="TRH272" s="18"/>
      <c r="TRI272" s="18"/>
      <c r="TRJ272" s="18"/>
      <c r="TRK272" s="18"/>
      <c r="TRL272" s="18"/>
      <c r="TRM272" s="18"/>
      <c r="TRN272" s="18"/>
      <c r="TRO272" s="18"/>
      <c r="TRP272" s="18"/>
      <c r="TRQ272" s="18"/>
      <c r="TRR272" s="18"/>
      <c r="TRS272" s="18"/>
      <c r="TRT272" s="18"/>
      <c r="TRU272" s="18"/>
      <c r="TRV272" s="18"/>
      <c r="TRW272" s="18"/>
      <c r="TRX272" s="18"/>
      <c r="TRY272" s="18"/>
      <c r="TRZ272" s="18"/>
      <c r="TSA272" s="18"/>
      <c r="TSB272" s="18"/>
      <c r="TSC272" s="18"/>
      <c r="TSD272" s="18"/>
      <c r="TSE272" s="18"/>
      <c r="TSF272" s="18"/>
      <c r="TSG272" s="18"/>
      <c r="TSH272" s="18"/>
      <c r="TSI272" s="18"/>
      <c r="TSJ272" s="18"/>
      <c r="TSK272" s="18"/>
      <c r="TSL272" s="18"/>
      <c r="TSM272" s="18"/>
      <c r="TSN272" s="18"/>
      <c r="TSO272" s="18"/>
      <c r="TSP272" s="18"/>
      <c r="TSQ272" s="18"/>
      <c r="TSR272" s="18"/>
      <c r="TSS272" s="18"/>
      <c r="TST272" s="18"/>
      <c r="TSU272" s="18"/>
      <c r="TSV272" s="18"/>
      <c r="TSW272" s="18"/>
      <c r="TSX272" s="18"/>
      <c r="TSY272" s="18"/>
      <c r="TSZ272" s="18"/>
      <c r="TTA272" s="18"/>
      <c r="TTB272" s="18"/>
      <c r="TTC272" s="18"/>
      <c r="TTD272" s="18"/>
      <c r="TTE272" s="18"/>
      <c r="TTF272" s="18"/>
      <c r="TTG272" s="18"/>
      <c r="TTH272" s="18"/>
      <c r="TTI272" s="18"/>
      <c r="TTJ272" s="18"/>
      <c r="TTK272" s="18"/>
      <c r="TTL272" s="18"/>
      <c r="TTM272" s="18"/>
      <c r="TTN272" s="18"/>
      <c r="TTO272" s="18"/>
      <c r="TTP272" s="18"/>
      <c r="TTQ272" s="18"/>
      <c r="TTR272" s="18"/>
      <c r="TTS272" s="18"/>
      <c r="TTT272" s="18"/>
      <c r="TTU272" s="18"/>
      <c r="TTV272" s="18"/>
      <c r="TTW272" s="18"/>
      <c r="TTX272" s="18"/>
      <c r="TTY272" s="18"/>
      <c r="TTZ272" s="18"/>
      <c r="TUA272" s="18"/>
      <c r="TUB272" s="18"/>
      <c r="TUC272" s="18"/>
      <c r="TUD272" s="18"/>
      <c r="TUE272" s="18"/>
      <c r="TUF272" s="18"/>
      <c r="TUG272" s="18"/>
      <c r="TUH272" s="18"/>
      <c r="TUI272" s="18"/>
      <c r="TUJ272" s="18"/>
      <c r="TUK272" s="18"/>
      <c r="TUL272" s="18"/>
      <c r="TUM272" s="18"/>
      <c r="TUN272" s="18"/>
      <c r="TUO272" s="18"/>
      <c r="TUP272" s="18"/>
      <c r="TUQ272" s="18"/>
      <c r="TUR272" s="18"/>
      <c r="TUS272" s="18"/>
      <c r="TUT272" s="18"/>
      <c r="TUU272" s="18"/>
      <c r="TUV272" s="18"/>
      <c r="TUW272" s="18"/>
      <c r="TUX272" s="18"/>
      <c r="TUY272" s="18"/>
      <c r="TUZ272" s="18"/>
      <c r="TVA272" s="18"/>
      <c r="TVB272" s="18"/>
      <c r="TVC272" s="18"/>
      <c r="TVD272" s="18"/>
      <c r="TVE272" s="18"/>
      <c r="TVF272" s="18"/>
      <c r="TVG272" s="18"/>
      <c r="TVH272" s="18"/>
      <c r="TVI272" s="18"/>
      <c r="TVJ272" s="18"/>
      <c r="TVK272" s="18"/>
      <c r="TVL272" s="18"/>
      <c r="TVM272" s="18"/>
      <c r="TVN272" s="18"/>
      <c r="TVO272" s="18"/>
      <c r="TVP272" s="18"/>
      <c r="TVQ272" s="18"/>
      <c r="TVR272" s="18"/>
      <c r="TVS272" s="18"/>
      <c r="TVT272" s="18"/>
      <c r="TVU272" s="18"/>
      <c r="TVV272" s="18"/>
      <c r="TVW272" s="18"/>
      <c r="TVX272" s="18"/>
      <c r="TVY272" s="18"/>
      <c r="TVZ272" s="18"/>
      <c r="TWA272" s="18"/>
      <c r="TWB272" s="18"/>
      <c r="TWC272" s="18"/>
      <c r="TWD272" s="18"/>
      <c r="TWE272" s="18"/>
      <c r="TWF272" s="18"/>
      <c r="TWG272" s="18"/>
      <c r="TWH272" s="18"/>
      <c r="TWI272" s="18"/>
      <c r="TWJ272" s="18"/>
      <c r="TWK272" s="18"/>
      <c r="TWL272" s="18"/>
      <c r="TWM272" s="18"/>
      <c r="TWN272" s="18"/>
      <c r="TWO272" s="18"/>
      <c r="TWP272" s="18"/>
      <c r="TWQ272" s="18"/>
      <c r="TWR272" s="18"/>
      <c r="TWS272" s="18"/>
      <c r="TWT272" s="18"/>
      <c r="TWU272" s="18"/>
      <c r="TWV272" s="18"/>
      <c r="TWW272" s="18"/>
      <c r="TWX272" s="18"/>
      <c r="TWY272" s="18"/>
      <c r="TWZ272" s="18"/>
      <c r="TXA272" s="18"/>
      <c r="TXB272" s="18"/>
      <c r="TXC272" s="18"/>
      <c r="TXD272" s="18"/>
      <c r="TXE272" s="18"/>
      <c r="TXF272" s="18"/>
      <c r="TXG272" s="18"/>
      <c r="TXH272" s="18"/>
      <c r="TXI272" s="18"/>
      <c r="TXJ272" s="18"/>
      <c r="TXK272" s="18"/>
      <c r="TXL272" s="18"/>
      <c r="TXM272" s="18"/>
      <c r="TXN272" s="18"/>
      <c r="TXO272" s="18"/>
      <c r="TXP272" s="18"/>
      <c r="TXQ272" s="18"/>
      <c r="TXR272" s="18"/>
      <c r="TXS272" s="18"/>
      <c r="TXT272" s="18"/>
      <c r="TXU272" s="18"/>
      <c r="TXV272" s="18"/>
      <c r="TXW272" s="18"/>
      <c r="TXX272" s="18"/>
      <c r="TXY272" s="18"/>
      <c r="TXZ272" s="18"/>
      <c r="TYA272" s="18"/>
      <c r="TYB272" s="18"/>
      <c r="TYC272" s="18"/>
      <c r="TYD272" s="18"/>
      <c r="TYE272" s="18"/>
      <c r="TYF272" s="18"/>
      <c r="TYG272" s="18"/>
      <c r="TYH272" s="18"/>
      <c r="TYI272" s="18"/>
      <c r="TYJ272" s="18"/>
      <c r="TYK272" s="18"/>
      <c r="TYL272" s="18"/>
      <c r="TYM272" s="18"/>
      <c r="TYN272" s="18"/>
      <c r="TYO272" s="18"/>
      <c r="TYP272" s="18"/>
      <c r="TYQ272" s="18"/>
      <c r="TYR272" s="18"/>
      <c r="TYS272" s="18"/>
      <c r="TYT272" s="18"/>
      <c r="TYU272" s="18"/>
      <c r="TYV272" s="18"/>
      <c r="TYW272" s="18"/>
      <c r="TYX272" s="18"/>
      <c r="TYY272" s="18"/>
      <c r="TYZ272" s="18"/>
      <c r="TZA272" s="18"/>
      <c r="TZB272" s="18"/>
      <c r="TZC272" s="18"/>
      <c r="TZD272" s="18"/>
      <c r="TZE272" s="18"/>
      <c r="TZF272" s="18"/>
      <c r="TZG272" s="18"/>
      <c r="TZH272" s="18"/>
      <c r="TZI272" s="18"/>
      <c r="TZJ272" s="18"/>
      <c r="TZK272" s="18"/>
      <c r="TZL272" s="18"/>
      <c r="TZM272" s="18"/>
      <c r="TZN272" s="18"/>
      <c r="TZO272" s="18"/>
      <c r="TZP272" s="18"/>
      <c r="TZQ272" s="18"/>
      <c r="TZR272" s="18"/>
      <c r="TZS272" s="18"/>
      <c r="TZT272" s="18"/>
      <c r="TZU272" s="18"/>
      <c r="TZV272" s="18"/>
      <c r="TZW272" s="18"/>
      <c r="TZX272" s="18"/>
      <c r="TZY272" s="18"/>
      <c r="TZZ272" s="18"/>
      <c r="UAA272" s="18"/>
      <c r="UAB272" s="18"/>
      <c r="UAC272" s="18"/>
      <c r="UAD272" s="18"/>
      <c r="UAE272" s="18"/>
      <c r="UAF272" s="18"/>
      <c r="UAG272" s="18"/>
      <c r="UAH272" s="18"/>
      <c r="UAI272" s="18"/>
      <c r="UAJ272" s="18"/>
      <c r="UAK272" s="18"/>
      <c r="UAL272" s="18"/>
      <c r="UAM272" s="18"/>
      <c r="UAN272" s="18"/>
      <c r="UAO272" s="18"/>
      <c r="UAP272" s="18"/>
      <c r="UAQ272" s="18"/>
      <c r="UAR272" s="18"/>
      <c r="UAS272" s="18"/>
      <c r="UAT272" s="18"/>
      <c r="UAU272" s="18"/>
      <c r="UAV272" s="18"/>
      <c r="UAW272" s="18"/>
      <c r="UAX272" s="18"/>
      <c r="UAY272" s="18"/>
      <c r="UAZ272" s="18"/>
      <c r="UBA272" s="18"/>
      <c r="UBB272" s="18"/>
      <c r="UBC272" s="18"/>
      <c r="UBD272" s="18"/>
      <c r="UBE272" s="18"/>
      <c r="UBF272" s="18"/>
      <c r="UBG272" s="18"/>
      <c r="UBH272" s="18"/>
      <c r="UBI272" s="18"/>
      <c r="UBJ272" s="18"/>
      <c r="UBK272" s="18"/>
      <c r="UBL272" s="18"/>
      <c r="UBM272" s="18"/>
      <c r="UBN272" s="18"/>
      <c r="UBO272" s="18"/>
      <c r="UBP272" s="18"/>
      <c r="UBQ272" s="18"/>
      <c r="UBR272" s="18"/>
      <c r="UBS272" s="18"/>
      <c r="UBT272" s="18"/>
      <c r="UBU272" s="18"/>
      <c r="UBV272" s="18"/>
      <c r="UBW272" s="18"/>
      <c r="UBX272" s="18"/>
      <c r="UBY272" s="18"/>
      <c r="UBZ272" s="18"/>
      <c r="UCA272" s="18"/>
      <c r="UCB272" s="18"/>
      <c r="UCC272" s="18"/>
      <c r="UCD272" s="18"/>
      <c r="UCE272" s="18"/>
      <c r="UCF272" s="18"/>
      <c r="UCG272" s="18"/>
      <c r="UCH272" s="18"/>
      <c r="UCI272" s="18"/>
      <c r="UCJ272" s="18"/>
      <c r="UCK272" s="18"/>
      <c r="UCL272" s="18"/>
      <c r="UCM272" s="18"/>
      <c r="UCN272" s="18"/>
      <c r="UCO272" s="18"/>
      <c r="UCP272" s="18"/>
      <c r="UCQ272" s="18"/>
      <c r="UCR272" s="18"/>
      <c r="UCS272" s="18"/>
      <c r="UCT272" s="18"/>
      <c r="UCU272" s="18"/>
      <c r="UCV272" s="18"/>
      <c r="UCW272" s="18"/>
      <c r="UCX272" s="18"/>
      <c r="UCY272" s="18"/>
      <c r="UCZ272" s="18"/>
      <c r="UDA272" s="18"/>
      <c r="UDB272" s="18"/>
      <c r="UDC272" s="18"/>
      <c r="UDD272" s="18"/>
      <c r="UDE272" s="18"/>
      <c r="UDF272" s="18"/>
      <c r="UDG272" s="18"/>
      <c r="UDH272" s="18"/>
      <c r="UDI272" s="18"/>
      <c r="UDJ272" s="18"/>
      <c r="UDK272" s="18"/>
      <c r="UDL272" s="18"/>
      <c r="UDM272" s="18"/>
      <c r="UDN272" s="18"/>
      <c r="UDO272" s="18"/>
      <c r="UDP272" s="18"/>
      <c r="UDQ272" s="18"/>
      <c r="UDR272" s="18"/>
      <c r="UDS272" s="18"/>
      <c r="UDT272" s="18"/>
      <c r="UDU272" s="18"/>
      <c r="UDV272" s="18"/>
      <c r="UDW272" s="18"/>
      <c r="UDX272" s="18"/>
      <c r="UDY272" s="18"/>
      <c r="UDZ272" s="18"/>
      <c r="UEA272" s="18"/>
      <c r="UEB272" s="18"/>
      <c r="UEC272" s="18"/>
      <c r="UED272" s="18"/>
      <c r="UEE272" s="18"/>
      <c r="UEF272" s="18"/>
      <c r="UEG272" s="18"/>
      <c r="UEH272" s="18"/>
      <c r="UEI272" s="18"/>
      <c r="UEJ272" s="18"/>
      <c r="UEK272" s="18"/>
      <c r="UEL272" s="18"/>
      <c r="UEM272" s="18"/>
      <c r="UEN272" s="18"/>
      <c r="UEO272" s="18"/>
      <c r="UEP272" s="18"/>
      <c r="UEQ272" s="18"/>
      <c r="UER272" s="18"/>
      <c r="UES272" s="18"/>
      <c r="UET272" s="18"/>
      <c r="UEU272" s="18"/>
      <c r="UEV272" s="18"/>
      <c r="UEW272" s="18"/>
      <c r="UEX272" s="18"/>
      <c r="UEY272" s="18"/>
      <c r="UEZ272" s="18"/>
      <c r="UFA272" s="18"/>
      <c r="UFB272" s="18"/>
      <c r="UFC272" s="18"/>
      <c r="UFD272" s="18"/>
      <c r="UFE272" s="18"/>
      <c r="UFF272" s="18"/>
      <c r="UFG272" s="18"/>
      <c r="UFH272" s="18"/>
      <c r="UFI272" s="18"/>
      <c r="UFJ272" s="18"/>
      <c r="UFK272" s="18"/>
      <c r="UFL272" s="18"/>
      <c r="UFM272" s="18"/>
      <c r="UFN272" s="18"/>
      <c r="UFO272" s="18"/>
      <c r="UFP272" s="18"/>
      <c r="UFQ272" s="18"/>
      <c r="UFR272" s="18"/>
      <c r="UFS272" s="18"/>
      <c r="UFT272" s="18"/>
      <c r="UFU272" s="18"/>
      <c r="UFV272" s="18"/>
      <c r="UFW272" s="18"/>
      <c r="UFX272" s="18"/>
      <c r="UFY272" s="18"/>
      <c r="UFZ272" s="18"/>
      <c r="UGA272" s="18"/>
      <c r="UGB272" s="18"/>
      <c r="UGC272" s="18"/>
      <c r="UGD272" s="18"/>
      <c r="UGE272" s="18"/>
      <c r="UGF272" s="18"/>
      <c r="UGG272" s="18"/>
      <c r="UGH272" s="18"/>
      <c r="UGI272" s="18"/>
      <c r="UGJ272" s="18"/>
      <c r="UGK272" s="18"/>
      <c r="UGL272" s="18"/>
      <c r="UGM272" s="18"/>
      <c r="UGN272" s="18"/>
      <c r="UGO272" s="18"/>
      <c r="UGP272" s="18"/>
      <c r="UGQ272" s="18"/>
      <c r="UGR272" s="18"/>
      <c r="UGS272" s="18"/>
      <c r="UGT272" s="18"/>
      <c r="UGU272" s="18"/>
      <c r="UGV272" s="18"/>
      <c r="UGW272" s="18"/>
      <c r="UGX272" s="18"/>
      <c r="UGY272" s="18"/>
      <c r="UGZ272" s="18"/>
      <c r="UHA272" s="18"/>
      <c r="UHB272" s="18"/>
      <c r="UHC272" s="18"/>
      <c r="UHD272" s="18"/>
      <c r="UHE272" s="18"/>
      <c r="UHF272" s="18"/>
      <c r="UHG272" s="18"/>
      <c r="UHH272" s="18"/>
      <c r="UHI272" s="18"/>
      <c r="UHJ272" s="18"/>
      <c r="UHK272" s="18"/>
      <c r="UHL272" s="18"/>
      <c r="UHM272" s="18"/>
      <c r="UHN272" s="18"/>
      <c r="UHO272" s="18"/>
      <c r="UHP272" s="18"/>
      <c r="UHQ272" s="18"/>
      <c r="UHR272" s="18"/>
      <c r="UHS272" s="18"/>
      <c r="UHT272" s="18"/>
      <c r="UHU272" s="18"/>
      <c r="UHV272" s="18"/>
      <c r="UHW272" s="18"/>
      <c r="UHX272" s="18"/>
      <c r="UHY272" s="18"/>
      <c r="UHZ272" s="18"/>
      <c r="UIA272" s="18"/>
      <c r="UIB272" s="18"/>
      <c r="UIC272" s="18"/>
      <c r="UID272" s="18"/>
      <c r="UIE272" s="18"/>
      <c r="UIF272" s="18"/>
      <c r="UIG272" s="18"/>
      <c r="UIH272" s="18"/>
      <c r="UII272" s="18"/>
      <c r="UIJ272" s="18"/>
      <c r="UIK272" s="18"/>
      <c r="UIL272" s="18"/>
      <c r="UIM272" s="18"/>
      <c r="UIN272" s="18"/>
      <c r="UIO272" s="18"/>
      <c r="UIP272" s="18"/>
      <c r="UIQ272" s="18"/>
      <c r="UIR272" s="18"/>
      <c r="UIS272" s="18"/>
      <c r="UIT272" s="18"/>
      <c r="UIU272" s="18"/>
      <c r="UIV272" s="18"/>
      <c r="UIW272" s="18"/>
      <c r="UIX272" s="18"/>
      <c r="UIY272" s="18"/>
      <c r="UIZ272" s="18"/>
      <c r="UJA272" s="18"/>
      <c r="UJB272" s="18"/>
      <c r="UJC272" s="18"/>
      <c r="UJD272" s="18"/>
      <c r="UJE272" s="18"/>
      <c r="UJF272" s="18"/>
      <c r="UJG272" s="18"/>
      <c r="UJH272" s="18"/>
      <c r="UJI272" s="18"/>
      <c r="UJJ272" s="18"/>
      <c r="UJK272" s="18"/>
      <c r="UJL272" s="18"/>
      <c r="UJM272" s="18"/>
      <c r="UJN272" s="18"/>
      <c r="UJO272" s="18"/>
      <c r="UJP272" s="18"/>
      <c r="UJQ272" s="18"/>
      <c r="UJR272" s="18"/>
      <c r="UJS272" s="18"/>
      <c r="UJT272" s="18"/>
      <c r="UJU272" s="18"/>
      <c r="UJV272" s="18"/>
      <c r="UJW272" s="18"/>
      <c r="UJX272" s="18"/>
      <c r="UJY272" s="18"/>
      <c r="UJZ272" s="18"/>
      <c r="UKA272" s="18"/>
      <c r="UKB272" s="18"/>
      <c r="UKC272" s="18"/>
      <c r="UKD272" s="18"/>
      <c r="UKE272" s="18"/>
      <c r="UKF272" s="18"/>
      <c r="UKG272" s="18"/>
      <c r="UKH272" s="18"/>
      <c r="UKI272" s="18"/>
      <c r="UKJ272" s="18"/>
      <c r="UKK272" s="18"/>
      <c r="UKL272" s="18"/>
      <c r="UKM272" s="18"/>
      <c r="UKN272" s="18"/>
      <c r="UKO272" s="18"/>
      <c r="UKP272" s="18"/>
      <c r="UKQ272" s="18"/>
      <c r="UKR272" s="18"/>
      <c r="UKS272" s="18"/>
      <c r="UKT272" s="18"/>
      <c r="UKU272" s="18"/>
      <c r="UKV272" s="18"/>
      <c r="UKW272" s="18"/>
      <c r="UKX272" s="18"/>
      <c r="UKY272" s="18"/>
      <c r="UKZ272" s="18"/>
      <c r="ULA272" s="18"/>
      <c r="ULB272" s="18"/>
      <c r="ULC272" s="18"/>
      <c r="ULD272" s="18"/>
      <c r="ULE272" s="18"/>
      <c r="ULF272" s="18"/>
      <c r="ULG272" s="18"/>
      <c r="ULH272" s="18"/>
      <c r="ULI272" s="18"/>
      <c r="ULJ272" s="18"/>
      <c r="ULK272" s="18"/>
      <c r="ULL272" s="18"/>
      <c r="ULM272" s="18"/>
      <c r="ULN272" s="18"/>
      <c r="ULO272" s="18"/>
      <c r="ULP272" s="18"/>
      <c r="ULQ272" s="18"/>
      <c r="ULR272" s="18"/>
      <c r="ULS272" s="18"/>
      <c r="ULT272" s="18"/>
      <c r="ULU272" s="18"/>
      <c r="ULV272" s="18"/>
      <c r="ULW272" s="18"/>
      <c r="ULX272" s="18"/>
      <c r="ULY272" s="18"/>
      <c r="ULZ272" s="18"/>
      <c r="UMA272" s="18"/>
      <c r="UMB272" s="18"/>
      <c r="UMC272" s="18"/>
      <c r="UMD272" s="18"/>
      <c r="UME272" s="18"/>
      <c r="UMF272" s="18"/>
      <c r="UMG272" s="18"/>
      <c r="UMH272" s="18"/>
      <c r="UMI272" s="18"/>
      <c r="UMJ272" s="18"/>
      <c r="UMK272" s="18"/>
      <c r="UML272" s="18"/>
      <c r="UMM272" s="18"/>
      <c r="UMN272" s="18"/>
      <c r="UMO272" s="18"/>
      <c r="UMP272" s="18"/>
      <c r="UMQ272" s="18"/>
      <c r="UMR272" s="18"/>
      <c r="UMS272" s="18"/>
      <c r="UMT272" s="18"/>
      <c r="UMU272" s="18"/>
      <c r="UMV272" s="18"/>
      <c r="UMW272" s="18"/>
      <c r="UMX272" s="18"/>
      <c r="UMY272" s="18"/>
      <c r="UMZ272" s="18"/>
      <c r="UNA272" s="18"/>
      <c r="UNB272" s="18"/>
      <c r="UNC272" s="18"/>
      <c r="UND272" s="18"/>
      <c r="UNE272" s="18"/>
      <c r="UNF272" s="18"/>
      <c r="UNG272" s="18"/>
      <c r="UNH272" s="18"/>
      <c r="UNI272" s="18"/>
      <c r="UNJ272" s="18"/>
      <c r="UNK272" s="18"/>
      <c r="UNL272" s="18"/>
      <c r="UNM272" s="18"/>
      <c r="UNN272" s="18"/>
      <c r="UNO272" s="18"/>
      <c r="UNP272" s="18"/>
      <c r="UNQ272" s="18"/>
      <c r="UNR272" s="18"/>
      <c r="UNS272" s="18"/>
      <c r="UNT272" s="18"/>
      <c r="UNU272" s="18"/>
      <c r="UNV272" s="18"/>
      <c r="UNW272" s="18"/>
      <c r="UNX272" s="18"/>
      <c r="UNY272" s="18"/>
      <c r="UNZ272" s="18"/>
      <c r="UOA272" s="18"/>
      <c r="UOB272" s="18"/>
      <c r="UOC272" s="18"/>
      <c r="UOD272" s="18"/>
      <c r="UOE272" s="18"/>
      <c r="UOF272" s="18"/>
      <c r="UOG272" s="18"/>
      <c r="UOH272" s="18"/>
      <c r="UOI272" s="18"/>
      <c r="UOJ272" s="18"/>
      <c r="UOK272" s="18"/>
      <c r="UOL272" s="18"/>
      <c r="UOM272" s="18"/>
      <c r="UON272" s="18"/>
      <c r="UOO272" s="18"/>
      <c r="UOP272" s="18"/>
      <c r="UOQ272" s="18"/>
      <c r="UOR272" s="18"/>
      <c r="UOS272" s="18"/>
      <c r="UOT272" s="18"/>
      <c r="UOU272" s="18"/>
      <c r="UOV272" s="18"/>
      <c r="UOW272" s="18"/>
      <c r="UOX272" s="18"/>
      <c r="UOY272" s="18"/>
      <c r="UOZ272" s="18"/>
      <c r="UPA272" s="18"/>
      <c r="UPB272" s="18"/>
      <c r="UPC272" s="18"/>
      <c r="UPD272" s="18"/>
      <c r="UPE272" s="18"/>
      <c r="UPF272" s="18"/>
      <c r="UPG272" s="18"/>
      <c r="UPH272" s="18"/>
      <c r="UPI272" s="18"/>
      <c r="UPJ272" s="18"/>
      <c r="UPK272" s="18"/>
      <c r="UPL272" s="18"/>
      <c r="UPM272" s="18"/>
      <c r="UPN272" s="18"/>
      <c r="UPO272" s="18"/>
      <c r="UPP272" s="18"/>
      <c r="UPQ272" s="18"/>
      <c r="UPR272" s="18"/>
      <c r="UPS272" s="18"/>
      <c r="UPT272" s="18"/>
      <c r="UPU272" s="18"/>
      <c r="UPV272" s="18"/>
      <c r="UPW272" s="18"/>
      <c r="UPX272" s="18"/>
      <c r="UPY272" s="18"/>
      <c r="UPZ272" s="18"/>
      <c r="UQA272" s="18"/>
      <c r="UQB272" s="18"/>
      <c r="UQC272" s="18"/>
      <c r="UQD272" s="18"/>
      <c r="UQE272" s="18"/>
      <c r="UQF272" s="18"/>
      <c r="UQG272" s="18"/>
      <c r="UQH272" s="18"/>
      <c r="UQI272" s="18"/>
      <c r="UQJ272" s="18"/>
      <c r="UQK272" s="18"/>
      <c r="UQL272" s="18"/>
      <c r="UQM272" s="18"/>
      <c r="UQN272" s="18"/>
      <c r="UQO272" s="18"/>
      <c r="UQP272" s="18"/>
      <c r="UQQ272" s="18"/>
      <c r="UQR272" s="18"/>
      <c r="UQS272" s="18"/>
      <c r="UQT272" s="18"/>
      <c r="UQU272" s="18"/>
      <c r="UQV272" s="18"/>
      <c r="UQW272" s="18"/>
      <c r="UQX272" s="18"/>
      <c r="UQY272" s="18"/>
      <c r="UQZ272" s="18"/>
      <c r="URA272" s="18"/>
      <c r="URB272" s="18"/>
      <c r="URC272" s="18"/>
      <c r="URD272" s="18"/>
      <c r="URE272" s="18"/>
      <c r="URF272" s="18"/>
      <c r="URG272" s="18"/>
      <c r="URH272" s="18"/>
      <c r="URI272" s="18"/>
      <c r="URJ272" s="18"/>
      <c r="URK272" s="18"/>
      <c r="URL272" s="18"/>
      <c r="URM272" s="18"/>
      <c r="URN272" s="18"/>
      <c r="URO272" s="18"/>
      <c r="URP272" s="18"/>
      <c r="URQ272" s="18"/>
      <c r="URR272" s="18"/>
      <c r="URS272" s="18"/>
      <c r="URT272" s="18"/>
      <c r="URU272" s="18"/>
      <c r="URV272" s="18"/>
      <c r="URW272" s="18"/>
      <c r="URX272" s="18"/>
      <c r="URY272" s="18"/>
      <c r="URZ272" s="18"/>
      <c r="USA272" s="18"/>
      <c r="USB272" s="18"/>
      <c r="USC272" s="18"/>
      <c r="USD272" s="18"/>
      <c r="USE272" s="18"/>
      <c r="USF272" s="18"/>
      <c r="USG272" s="18"/>
      <c r="USH272" s="18"/>
      <c r="USI272" s="18"/>
      <c r="USJ272" s="18"/>
      <c r="USK272" s="18"/>
      <c r="USL272" s="18"/>
      <c r="USM272" s="18"/>
      <c r="USN272" s="18"/>
      <c r="USO272" s="18"/>
      <c r="USP272" s="18"/>
      <c r="USQ272" s="18"/>
      <c r="USR272" s="18"/>
      <c r="USS272" s="18"/>
      <c r="UST272" s="18"/>
      <c r="USU272" s="18"/>
      <c r="USV272" s="18"/>
      <c r="USW272" s="18"/>
      <c r="USX272" s="18"/>
      <c r="USY272" s="18"/>
      <c r="USZ272" s="18"/>
      <c r="UTA272" s="18"/>
      <c r="UTB272" s="18"/>
      <c r="UTC272" s="18"/>
      <c r="UTD272" s="18"/>
      <c r="UTE272" s="18"/>
      <c r="UTF272" s="18"/>
      <c r="UTG272" s="18"/>
      <c r="UTH272" s="18"/>
      <c r="UTI272" s="18"/>
      <c r="UTJ272" s="18"/>
      <c r="UTK272" s="18"/>
      <c r="UTL272" s="18"/>
      <c r="UTM272" s="18"/>
      <c r="UTN272" s="18"/>
      <c r="UTO272" s="18"/>
      <c r="UTP272" s="18"/>
      <c r="UTQ272" s="18"/>
      <c r="UTR272" s="18"/>
      <c r="UTS272" s="18"/>
      <c r="UTT272" s="18"/>
      <c r="UTU272" s="18"/>
      <c r="UTV272" s="18"/>
      <c r="UTW272" s="18"/>
      <c r="UTX272" s="18"/>
      <c r="UTY272" s="18"/>
      <c r="UTZ272" s="18"/>
      <c r="UUA272" s="18"/>
      <c r="UUB272" s="18"/>
      <c r="UUC272" s="18"/>
      <c r="UUD272" s="18"/>
      <c r="UUE272" s="18"/>
      <c r="UUF272" s="18"/>
      <c r="UUG272" s="18"/>
      <c r="UUH272" s="18"/>
      <c r="UUI272" s="18"/>
      <c r="UUJ272" s="18"/>
      <c r="UUK272" s="18"/>
      <c r="UUL272" s="18"/>
      <c r="UUM272" s="18"/>
      <c r="UUN272" s="18"/>
      <c r="UUO272" s="18"/>
      <c r="UUP272" s="18"/>
      <c r="UUQ272" s="18"/>
      <c r="UUR272" s="18"/>
      <c r="UUS272" s="18"/>
      <c r="UUT272" s="18"/>
      <c r="UUU272" s="18"/>
      <c r="UUV272" s="18"/>
      <c r="UUW272" s="18"/>
      <c r="UUX272" s="18"/>
      <c r="UUY272" s="18"/>
      <c r="UUZ272" s="18"/>
      <c r="UVA272" s="18"/>
      <c r="UVB272" s="18"/>
      <c r="UVC272" s="18"/>
      <c r="UVD272" s="18"/>
      <c r="UVE272" s="18"/>
      <c r="UVF272" s="18"/>
      <c r="UVG272" s="18"/>
      <c r="UVH272" s="18"/>
      <c r="UVI272" s="18"/>
      <c r="UVJ272" s="18"/>
      <c r="UVK272" s="18"/>
      <c r="UVL272" s="18"/>
      <c r="UVM272" s="18"/>
      <c r="UVN272" s="18"/>
      <c r="UVO272" s="18"/>
      <c r="UVP272" s="18"/>
      <c r="UVQ272" s="18"/>
      <c r="UVR272" s="18"/>
      <c r="UVS272" s="18"/>
      <c r="UVT272" s="18"/>
      <c r="UVU272" s="18"/>
      <c r="UVV272" s="18"/>
      <c r="UVW272" s="18"/>
      <c r="UVX272" s="18"/>
      <c r="UVY272" s="18"/>
      <c r="UVZ272" s="18"/>
      <c r="UWA272" s="18"/>
      <c r="UWB272" s="18"/>
      <c r="UWC272" s="18"/>
      <c r="UWD272" s="18"/>
      <c r="UWE272" s="18"/>
      <c r="UWF272" s="18"/>
      <c r="UWG272" s="18"/>
      <c r="UWH272" s="18"/>
      <c r="UWI272" s="18"/>
      <c r="UWJ272" s="18"/>
      <c r="UWK272" s="18"/>
      <c r="UWL272" s="18"/>
      <c r="UWM272" s="18"/>
      <c r="UWN272" s="18"/>
      <c r="UWO272" s="18"/>
      <c r="UWP272" s="18"/>
      <c r="UWQ272" s="18"/>
      <c r="UWR272" s="18"/>
      <c r="UWS272" s="18"/>
      <c r="UWT272" s="18"/>
      <c r="UWU272" s="18"/>
      <c r="UWV272" s="18"/>
      <c r="UWW272" s="18"/>
      <c r="UWX272" s="18"/>
      <c r="UWY272" s="18"/>
      <c r="UWZ272" s="18"/>
      <c r="UXA272" s="18"/>
      <c r="UXB272" s="18"/>
      <c r="UXC272" s="18"/>
      <c r="UXD272" s="18"/>
      <c r="UXE272" s="18"/>
      <c r="UXF272" s="18"/>
      <c r="UXG272" s="18"/>
      <c r="UXH272" s="18"/>
      <c r="UXI272" s="18"/>
      <c r="UXJ272" s="18"/>
      <c r="UXK272" s="18"/>
      <c r="UXL272" s="18"/>
      <c r="UXM272" s="18"/>
      <c r="UXN272" s="18"/>
      <c r="UXO272" s="18"/>
      <c r="UXP272" s="18"/>
      <c r="UXQ272" s="18"/>
      <c r="UXR272" s="18"/>
      <c r="UXS272" s="18"/>
      <c r="UXT272" s="18"/>
      <c r="UXU272" s="18"/>
      <c r="UXV272" s="18"/>
      <c r="UXW272" s="18"/>
      <c r="UXX272" s="18"/>
      <c r="UXY272" s="18"/>
      <c r="UXZ272" s="18"/>
      <c r="UYA272" s="18"/>
      <c r="UYB272" s="18"/>
      <c r="UYC272" s="18"/>
      <c r="UYD272" s="18"/>
      <c r="UYE272" s="18"/>
      <c r="UYF272" s="18"/>
      <c r="UYG272" s="18"/>
      <c r="UYH272" s="18"/>
      <c r="UYI272" s="18"/>
      <c r="UYJ272" s="18"/>
      <c r="UYK272" s="18"/>
      <c r="UYL272" s="18"/>
      <c r="UYM272" s="18"/>
      <c r="UYN272" s="18"/>
      <c r="UYO272" s="18"/>
      <c r="UYP272" s="18"/>
      <c r="UYQ272" s="18"/>
      <c r="UYR272" s="18"/>
      <c r="UYS272" s="18"/>
      <c r="UYT272" s="18"/>
      <c r="UYU272" s="18"/>
      <c r="UYV272" s="18"/>
      <c r="UYW272" s="18"/>
      <c r="UYX272" s="18"/>
      <c r="UYY272" s="18"/>
      <c r="UYZ272" s="18"/>
      <c r="UZA272" s="18"/>
      <c r="UZB272" s="18"/>
      <c r="UZC272" s="18"/>
      <c r="UZD272" s="18"/>
      <c r="UZE272" s="18"/>
      <c r="UZF272" s="18"/>
      <c r="UZG272" s="18"/>
      <c r="UZH272" s="18"/>
      <c r="UZI272" s="18"/>
      <c r="UZJ272" s="18"/>
      <c r="UZK272" s="18"/>
      <c r="UZL272" s="18"/>
      <c r="UZM272" s="18"/>
      <c r="UZN272" s="18"/>
      <c r="UZO272" s="18"/>
      <c r="UZP272" s="18"/>
      <c r="UZQ272" s="18"/>
      <c r="UZR272" s="18"/>
      <c r="UZS272" s="18"/>
      <c r="UZT272" s="18"/>
      <c r="UZU272" s="18"/>
      <c r="UZV272" s="18"/>
      <c r="UZW272" s="18"/>
      <c r="UZX272" s="18"/>
      <c r="UZY272" s="18"/>
      <c r="UZZ272" s="18"/>
      <c r="VAA272" s="18"/>
      <c r="VAB272" s="18"/>
      <c r="VAC272" s="18"/>
      <c r="VAD272" s="18"/>
      <c r="VAE272" s="18"/>
      <c r="VAF272" s="18"/>
      <c r="VAG272" s="18"/>
      <c r="VAH272" s="18"/>
      <c r="VAI272" s="18"/>
      <c r="VAJ272" s="18"/>
      <c r="VAK272" s="18"/>
      <c r="VAL272" s="18"/>
      <c r="VAM272" s="18"/>
      <c r="VAN272" s="18"/>
      <c r="VAO272" s="18"/>
      <c r="VAP272" s="18"/>
      <c r="VAQ272" s="18"/>
      <c r="VAR272" s="18"/>
      <c r="VAS272" s="18"/>
      <c r="VAT272" s="18"/>
      <c r="VAU272" s="18"/>
      <c r="VAV272" s="18"/>
      <c r="VAW272" s="18"/>
      <c r="VAX272" s="18"/>
      <c r="VAY272" s="18"/>
      <c r="VAZ272" s="18"/>
      <c r="VBA272" s="18"/>
      <c r="VBB272" s="18"/>
      <c r="VBC272" s="18"/>
      <c r="VBD272" s="18"/>
      <c r="VBE272" s="18"/>
      <c r="VBF272" s="18"/>
      <c r="VBG272" s="18"/>
      <c r="VBH272" s="18"/>
      <c r="VBI272" s="18"/>
      <c r="VBJ272" s="18"/>
      <c r="VBK272" s="18"/>
      <c r="VBL272" s="18"/>
      <c r="VBM272" s="18"/>
      <c r="VBN272" s="18"/>
      <c r="VBO272" s="18"/>
      <c r="VBP272" s="18"/>
      <c r="VBQ272" s="18"/>
      <c r="VBR272" s="18"/>
      <c r="VBS272" s="18"/>
      <c r="VBT272" s="18"/>
      <c r="VBU272" s="18"/>
      <c r="VBV272" s="18"/>
      <c r="VBW272" s="18"/>
      <c r="VBX272" s="18"/>
      <c r="VBY272" s="18"/>
      <c r="VBZ272" s="18"/>
      <c r="VCA272" s="18"/>
      <c r="VCB272" s="18"/>
      <c r="VCC272" s="18"/>
      <c r="VCD272" s="18"/>
      <c r="VCE272" s="18"/>
      <c r="VCF272" s="18"/>
      <c r="VCG272" s="18"/>
      <c r="VCH272" s="18"/>
      <c r="VCI272" s="18"/>
      <c r="VCJ272" s="18"/>
      <c r="VCK272" s="18"/>
      <c r="VCL272" s="18"/>
      <c r="VCM272" s="18"/>
      <c r="VCN272" s="18"/>
      <c r="VCO272" s="18"/>
      <c r="VCP272" s="18"/>
      <c r="VCQ272" s="18"/>
      <c r="VCR272" s="18"/>
      <c r="VCS272" s="18"/>
      <c r="VCT272" s="18"/>
      <c r="VCU272" s="18"/>
      <c r="VCV272" s="18"/>
      <c r="VCW272" s="18"/>
      <c r="VCX272" s="18"/>
      <c r="VCY272" s="18"/>
      <c r="VCZ272" s="18"/>
      <c r="VDA272" s="18"/>
      <c r="VDB272" s="18"/>
      <c r="VDC272" s="18"/>
      <c r="VDD272" s="18"/>
      <c r="VDE272" s="18"/>
      <c r="VDF272" s="18"/>
      <c r="VDG272" s="18"/>
      <c r="VDH272" s="18"/>
      <c r="VDI272" s="18"/>
      <c r="VDJ272" s="18"/>
      <c r="VDK272" s="18"/>
      <c r="VDL272" s="18"/>
      <c r="VDM272" s="18"/>
      <c r="VDN272" s="18"/>
      <c r="VDO272" s="18"/>
      <c r="VDP272" s="18"/>
      <c r="VDQ272" s="18"/>
      <c r="VDR272" s="18"/>
      <c r="VDS272" s="18"/>
      <c r="VDT272" s="18"/>
      <c r="VDU272" s="18"/>
      <c r="VDV272" s="18"/>
      <c r="VDW272" s="18"/>
      <c r="VDX272" s="18"/>
      <c r="VDY272" s="18"/>
      <c r="VDZ272" s="18"/>
      <c r="VEA272" s="18"/>
      <c r="VEB272" s="18"/>
      <c r="VEC272" s="18"/>
      <c r="VED272" s="18"/>
      <c r="VEE272" s="18"/>
      <c r="VEF272" s="18"/>
      <c r="VEG272" s="18"/>
      <c r="VEH272" s="18"/>
      <c r="VEI272" s="18"/>
      <c r="VEJ272" s="18"/>
      <c r="VEK272" s="18"/>
      <c r="VEL272" s="18"/>
      <c r="VEM272" s="18"/>
      <c r="VEN272" s="18"/>
      <c r="VEO272" s="18"/>
      <c r="VEP272" s="18"/>
      <c r="VEQ272" s="18"/>
      <c r="VER272" s="18"/>
      <c r="VES272" s="18"/>
      <c r="VET272" s="18"/>
      <c r="VEU272" s="18"/>
      <c r="VEV272" s="18"/>
      <c r="VEW272" s="18"/>
      <c r="VEX272" s="18"/>
      <c r="VEY272" s="18"/>
      <c r="VEZ272" s="18"/>
      <c r="VFA272" s="18"/>
      <c r="VFB272" s="18"/>
      <c r="VFC272" s="18"/>
      <c r="VFD272" s="18"/>
      <c r="VFE272" s="18"/>
      <c r="VFF272" s="18"/>
      <c r="VFG272" s="18"/>
      <c r="VFH272" s="18"/>
      <c r="VFI272" s="18"/>
      <c r="VFJ272" s="18"/>
      <c r="VFK272" s="18"/>
      <c r="VFL272" s="18"/>
      <c r="VFM272" s="18"/>
      <c r="VFN272" s="18"/>
      <c r="VFO272" s="18"/>
      <c r="VFP272" s="18"/>
      <c r="VFQ272" s="18"/>
      <c r="VFR272" s="18"/>
      <c r="VFS272" s="18"/>
      <c r="VFT272" s="18"/>
      <c r="VFU272" s="18"/>
      <c r="VFV272" s="18"/>
      <c r="VFW272" s="18"/>
      <c r="VFX272" s="18"/>
      <c r="VFY272" s="18"/>
      <c r="VFZ272" s="18"/>
      <c r="VGA272" s="18"/>
      <c r="VGB272" s="18"/>
      <c r="VGC272" s="18"/>
      <c r="VGD272" s="18"/>
      <c r="VGE272" s="18"/>
      <c r="VGF272" s="18"/>
      <c r="VGG272" s="18"/>
      <c r="VGH272" s="18"/>
      <c r="VGI272" s="18"/>
      <c r="VGJ272" s="18"/>
      <c r="VGK272" s="18"/>
      <c r="VGL272" s="18"/>
      <c r="VGM272" s="18"/>
      <c r="VGN272" s="18"/>
      <c r="VGO272" s="18"/>
      <c r="VGP272" s="18"/>
      <c r="VGQ272" s="18"/>
      <c r="VGR272" s="18"/>
      <c r="VGS272" s="18"/>
      <c r="VGT272" s="18"/>
      <c r="VGU272" s="18"/>
      <c r="VGV272" s="18"/>
      <c r="VGW272" s="18"/>
      <c r="VGX272" s="18"/>
      <c r="VGY272" s="18"/>
      <c r="VGZ272" s="18"/>
      <c r="VHA272" s="18"/>
      <c r="VHB272" s="18"/>
      <c r="VHC272" s="18"/>
      <c r="VHD272" s="18"/>
      <c r="VHE272" s="18"/>
      <c r="VHF272" s="18"/>
      <c r="VHG272" s="18"/>
      <c r="VHH272" s="18"/>
      <c r="VHI272" s="18"/>
      <c r="VHJ272" s="18"/>
      <c r="VHK272" s="18"/>
      <c r="VHL272" s="18"/>
      <c r="VHM272" s="18"/>
      <c r="VHN272" s="18"/>
      <c r="VHO272" s="18"/>
      <c r="VHP272" s="18"/>
      <c r="VHQ272" s="18"/>
      <c r="VHR272" s="18"/>
      <c r="VHS272" s="18"/>
      <c r="VHT272" s="18"/>
      <c r="VHU272" s="18"/>
      <c r="VHV272" s="18"/>
      <c r="VHW272" s="18"/>
      <c r="VHX272" s="18"/>
      <c r="VHY272" s="18"/>
      <c r="VHZ272" s="18"/>
      <c r="VIA272" s="18"/>
      <c r="VIB272" s="18"/>
      <c r="VIC272" s="18"/>
      <c r="VID272" s="18"/>
      <c r="VIE272" s="18"/>
      <c r="VIF272" s="18"/>
      <c r="VIG272" s="18"/>
      <c r="VIH272" s="18"/>
      <c r="VII272" s="18"/>
      <c r="VIJ272" s="18"/>
      <c r="VIK272" s="18"/>
      <c r="VIL272" s="18"/>
      <c r="VIM272" s="18"/>
      <c r="VIN272" s="18"/>
      <c r="VIO272" s="18"/>
      <c r="VIP272" s="18"/>
      <c r="VIQ272" s="18"/>
      <c r="VIR272" s="18"/>
      <c r="VIS272" s="18"/>
      <c r="VIT272" s="18"/>
      <c r="VIU272" s="18"/>
      <c r="VIV272" s="18"/>
      <c r="VIW272" s="18"/>
      <c r="VIX272" s="18"/>
      <c r="VIY272" s="18"/>
      <c r="VIZ272" s="18"/>
      <c r="VJA272" s="18"/>
      <c r="VJB272" s="18"/>
      <c r="VJC272" s="18"/>
      <c r="VJD272" s="18"/>
      <c r="VJE272" s="18"/>
      <c r="VJF272" s="18"/>
      <c r="VJG272" s="18"/>
      <c r="VJH272" s="18"/>
      <c r="VJI272" s="18"/>
      <c r="VJJ272" s="18"/>
      <c r="VJK272" s="18"/>
      <c r="VJL272" s="18"/>
      <c r="VJM272" s="18"/>
      <c r="VJN272" s="18"/>
      <c r="VJO272" s="18"/>
      <c r="VJP272" s="18"/>
      <c r="VJQ272" s="18"/>
      <c r="VJR272" s="18"/>
      <c r="VJS272" s="18"/>
      <c r="VJT272" s="18"/>
      <c r="VJU272" s="18"/>
      <c r="VJV272" s="18"/>
      <c r="VJW272" s="18"/>
      <c r="VJX272" s="18"/>
      <c r="VJY272" s="18"/>
      <c r="VJZ272" s="18"/>
      <c r="VKA272" s="18"/>
      <c r="VKB272" s="18"/>
      <c r="VKC272" s="18"/>
      <c r="VKD272" s="18"/>
      <c r="VKE272" s="18"/>
      <c r="VKF272" s="18"/>
      <c r="VKG272" s="18"/>
      <c r="VKH272" s="18"/>
      <c r="VKI272" s="18"/>
      <c r="VKJ272" s="18"/>
      <c r="VKK272" s="18"/>
      <c r="VKL272" s="18"/>
      <c r="VKM272" s="18"/>
      <c r="VKN272" s="18"/>
      <c r="VKO272" s="18"/>
      <c r="VKP272" s="18"/>
      <c r="VKQ272" s="18"/>
      <c r="VKR272" s="18"/>
      <c r="VKS272" s="18"/>
      <c r="VKT272" s="18"/>
      <c r="VKU272" s="18"/>
      <c r="VKV272" s="18"/>
      <c r="VKW272" s="18"/>
      <c r="VKX272" s="18"/>
      <c r="VKY272" s="18"/>
      <c r="VKZ272" s="18"/>
      <c r="VLA272" s="18"/>
      <c r="VLB272" s="18"/>
      <c r="VLC272" s="18"/>
      <c r="VLD272" s="18"/>
      <c r="VLE272" s="18"/>
      <c r="VLF272" s="18"/>
      <c r="VLG272" s="18"/>
      <c r="VLH272" s="18"/>
      <c r="VLI272" s="18"/>
      <c r="VLJ272" s="18"/>
      <c r="VLK272" s="18"/>
      <c r="VLL272" s="18"/>
      <c r="VLM272" s="18"/>
      <c r="VLN272" s="18"/>
      <c r="VLO272" s="18"/>
      <c r="VLP272" s="18"/>
      <c r="VLQ272" s="18"/>
      <c r="VLR272" s="18"/>
      <c r="VLS272" s="18"/>
      <c r="VLT272" s="18"/>
      <c r="VLU272" s="18"/>
      <c r="VLV272" s="18"/>
      <c r="VLW272" s="18"/>
      <c r="VLX272" s="18"/>
      <c r="VLY272" s="18"/>
      <c r="VLZ272" s="18"/>
      <c r="VMA272" s="18"/>
      <c r="VMB272" s="18"/>
      <c r="VMC272" s="18"/>
      <c r="VMD272" s="18"/>
      <c r="VME272" s="18"/>
      <c r="VMF272" s="18"/>
      <c r="VMG272" s="18"/>
      <c r="VMH272" s="18"/>
      <c r="VMI272" s="18"/>
      <c r="VMJ272" s="18"/>
      <c r="VMK272" s="18"/>
      <c r="VML272" s="18"/>
      <c r="VMM272" s="18"/>
      <c r="VMN272" s="18"/>
      <c r="VMO272" s="18"/>
      <c r="VMP272" s="18"/>
      <c r="VMQ272" s="18"/>
      <c r="VMR272" s="18"/>
      <c r="VMS272" s="18"/>
      <c r="VMT272" s="18"/>
      <c r="VMU272" s="18"/>
      <c r="VMV272" s="18"/>
      <c r="VMW272" s="18"/>
      <c r="VMX272" s="18"/>
      <c r="VMY272" s="18"/>
      <c r="VMZ272" s="18"/>
      <c r="VNA272" s="18"/>
      <c r="VNB272" s="18"/>
      <c r="VNC272" s="18"/>
      <c r="VND272" s="18"/>
      <c r="VNE272" s="18"/>
      <c r="VNF272" s="18"/>
      <c r="VNG272" s="18"/>
      <c r="VNH272" s="18"/>
      <c r="VNI272" s="18"/>
      <c r="VNJ272" s="18"/>
      <c r="VNK272" s="18"/>
      <c r="VNL272" s="18"/>
      <c r="VNM272" s="18"/>
      <c r="VNN272" s="18"/>
      <c r="VNO272" s="18"/>
      <c r="VNP272" s="18"/>
      <c r="VNQ272" s="18"/>
      <c r="VNR272" s="18"/>
      <c r="VNS272" s="18"/>
      <c r="VNT272" s="18"/>
      <c r="VNU272" s="18"/>
      <c r="VNV272" s="18"/>
      <c r="VNW272" s="18"/>
      <c r="VNX272" s="18"/>
      <c r="VNY272" s="18"/>
      <c r="VNZ272" s="18"/>
      <c r="VOA272" s="18"/>
      <c r="VOB272" s="18"/>
      <c r="VOC272" s="18"/>
      <c r="VOD272" s="18"/>
      <c r="VOE272" s="18"/>
      <c r="VOF272" s="18"/>
      <c r="VOG272" s="18"/>
      <c r="VOH272" s="18"/>
      <c r="VOI272" s="18"/>
      <c r="VOJ272" s="18"/>
      <c r="VOK272" s="18"/>
      <c r="VOL272" s="18"/>
      <c r="VOM272" s="18"/>
      <c r="VON272" s="18"/>
      <c r="VOO272" s="18"/>
      <c r="VOP272" s="18"/>
      <c r="VOQ272" s="18"/>
      <c r="VOR272" s="18"/>
      <c r="VOS272" s="18"/>
      <c r="VOT272" s="18"/>
      <c r="VOU272" s="18"/>
      <c r="VOV272" s="18"/>
      <c r="VOW272" s="18"/>
      <c r="VOX272" s="18"/>
      <c r="VOY272" s="18"/>
      <c r="VOZ272" s="18"/>
      <c r="VPA272" s="18"/>
      <c r="VPB272" s="18"/>
      <c r="VPC272" s="18"/>
      <c r="VPD272" s="18"/>
      <c r="VPE272" s="18"/>
      <c r="VPF272" s="18"/>
      <c r="VPG272" s="18"/>
      <c r="VPH272" s="18"/>
      <c r="VPI272" s="18"/>
      <c r="VPJ272" s="18"/>
      <c r="VPK272" s="18"/>
      <c r="VPL272" s="18"/>
      <c r="VPM272" s="18"/>
      <c r="VPN272" s="18"/>
      <c r="VPO272" s="18"/>
      <c r="VPP272" s="18"/>
      <c r="VPQ272" s="18"/>
      <c r="VPR272" s="18"/>
      <c r="VPS272" s="18"/>
      <c r="VPT272" s="18"/>
      <c r="VPU272" s="18"/>
      <c r="VPV272" s="18"/>
      <c r="VPW272" s="18"/>
      <c r="VPX272" s="18"/>
      <c r="VPY272" s="18"/>
      <c r="VPZ272" s="18"/>
      <c r="VQA272" s="18"/>
      <c r="VQB272" s="18"/>
      <c r="VQC272" s="18"/>
      <c r="VQD272" s="18"/>
      <c r="VQE272" s="18"/>
      <c r="VQF272" s="18"/>
      <c r="VQG272" s="18"/>
      <c r="VQH272" s="18"/>
      <c r="VQI272" s="18"/>
      <c r="VQJ272" s="18"/>
      <c r="VQK272" s="18"/>
      <c r="VQL272" s="18"/>
      <c r="VQM272" s="18"/>
      <c r="VQN272" s="18"/>
      <c r="VQO272" s="18"/>
      <c r="VQP272" s="18"/>
      <c r="VQQ272" s="18"/>
      <c r="VQR272" s="18"/>
      <c r="VQS272" s="18"/>
      <c r="VQT272" s="18"/>
      <c r="VQU272" s="18"/>
      <c r="VQV272" s="18"/>
      <c r="VQW272" s="18"/>
      <c r="VQX272" s="18"/>
      <c r="VQY272" s="18"/>
      <c r="VQZ272" s="18"/>
      <c r="VRA272" s="18"/>
      <c r="VRB272" s="18"/>
      <c r="VRC272" s="18"/>
      <c r="VRD272" s="18"/>
      <c r="VRE272" s="18"/>
      <c r="VRF272" s="18"/>
      <c r="VRG272" s="18"/>
      <c r="VRH272" s="18"/>
      <c r="VRI272" s="18"/>
      <c r="VRJ272" s="18"/>
      <c r="VRK272" s="18"/>
      <c r="VRL272" s="18"/>
      <c r="VRM272" s="18"/>
      <c r="VRN272" s="18"/>
      <c r="VRO272" s="18"/>
      <c r="VRP272" s="18"/>
      <c r="VRQ272" s="18"/>
      <c r="VRR272" s="18"/>
      <c r="VRS272" s="18"/>
      <c r="VRT272" s="18"/>
      <c r="VRU272" s="18"/>
      <c r="VRV272" s="18"/>
      <c r="VRW272" s="18"/>
      <c r="VRX272" s="18"/>
      <c r="VRY272" s="18"/>
      <c r="VRZ272" s="18"/>
      <c r="VSA272" s="18"/>
      <c r="VSB272" s="18"/>
      <c r="VSC272" s="18"/>
      <c r="VSD272" s="18"/>
      <c r="VSE272" s="18"/>
      <c r="VSF272" s="18"/>
      <c r="VSG272" s="18"/>
      <c r="VSH272" s="18"/>
      <c r="VSI272" s="18"/>
      <c r="VSJ272" s="18"/>
      <c r="VSK272" s="18"/>
      <c r="VSL272" s="18"/>
      <c r="VSM272" s="18"/>
      <c r="VSN272" s="18"/>
      <c r="VSO272" s="18"/>
      <c r="VSP272" s="18"/>
      <c r="VSQ272" s="18"/>
      <c r="VSR272" s="18"/>
      <c r="VSS272" s="18"/>
      <c r="VST272" s="18"/>
      <c r="VSU272" s="18"/>
      <c r="VSV272" s="18"/>
      <c r="VSW272" s="18"/>
      <c r="VSX272" s="18"/>
      <c r="VSY272" s="18"/>
      <c r="VSZ272" s="18"/>
      <c r="VTA272" s="18"/>
      <c r="VTB272" s="18"/>
      <c r="VTC272" s="18"/>
      <c r="VTD272" s="18"/>
      <c r="VTE272" s="18"/>
      <c r="VTF272" s="18"/>
      <c r="VTG272" s="18"/>
      <c r="VTH272" s="18"/>
      <c r="VTI272" s="18"/>
      <c r="VTJ272" s="18"/>
      <c r="VTK272" s="18"/>
      <c r="VTL272" s="18"/>
      <c r="VTM272" s="18"/>
      <c r="VTN272" s="18"/>
      <c r="VTO272" s="18"/>
      <c r="VTP272" s="18"/>
      <c r="VTQ272" s="18"/>
      <c r="VTR272" s="18"/>
      <c r="VTS272" s="18"/>
      <c r="VTT272" s="18"/>
      <c r="VTU272" s="18"/>
      <c r="VTV272" s="18"/>
      <c r="VTW272" s="18"/>
      <c r="VTX272" s="18"/>
      <c r="VTY272" s="18"/>
      <c r="VTZ272" s="18"/>
      <c r="VUA272" s="18"/>
      <c r="VUB272" s="18"/>
      <c r="VUC272" s="18"/>
      <c r="VUD272" s="18"/>
      <c r="VUE272" s="18"/>
      <c r="VUF272" s="18"/>
      <c r="VUG272" s="18"/>
      <c r="VUH272" s="18"/>
      <c r="VUI272" s="18"/>
      <c r="VUJ272" s="18"/>
      <c r="VUK272" s="18"/>
      <c r="VUL272" s="18"/>
      <c r="VUM272" s="18"/>
      <c r="VUN272" s="18"/>
      <c r="VUO272" s="18"/>
      <c r="VUP272" s="18"/>
      <c r="VUQ272" s="18"/>
      <c r="VUR272" s="18"/>
      <c r="VUS272" s="18"/>
      <c r="VUT272" s="18"/>
      <c r="VUU272" s="18"/>
      <c r="VUV272" s="18"/>
      <c r="VUW272" s="18"/>
      <c r="VUX272" s="18"/>
      <c r="VUY272" s="18"/>
      <c r="VUZ272" s="18"/>
      <c r="VVA272" s="18"/>
      <c r="VVB272" s="18"/>
      <c r="VVC272" s="18"/>
      <c r="VVD272" s="18"/>
      <c r="VVE272" s="18"/>
      <c r="VVF272" s="18"/>
      <c r="VVG272" s="18"/>
      <c r="VVH272" s="18"/>
      <c r="VVI272" s="18"/>
      <c r="VVJ272" s="18"/>
      <c r="VVK272" s="18"/>
      <c r="VVL272" s="18"/>
      <c r="VVM272" s="18"/>
      <c r="VVN272" s="18"/>
      <c r="VVO272" s="18"/>
      <c r="VVP272" s="18"/>
      <c r="VVQ272" s="18"/>
      <c r="VVR272" s="18"/>
      <c r="VVS272" s="18"/>
      <c r="VVT272" s="18"/>
      <c r="VVU272" s="18"/>
      <c r="VVV272" s="18"/>
      <c r="VVW272" s="18"/>
      <c r="VVX272" s="18"/>
      <c r="VVY272" s="18"/>
      <c r="VVZ272" s="18"/>
      <c r="VWA272" s="18"/>
      <c r="VWB272" s="18"/>
      <c r="VWC272" s="18"/>
      <c r="VWD272" s="18"/>
      <c r="VWE272" s="18"/>
      <c r="VWF272" s="18"/>
      <c r="VWG272" s="18"/>
      <c r="VWH272" s="18"/>
      <c r="VWI272" s="18"/>
      <c r="VWJ272" s="18"/>
      <c r="VWK272" s="18"/>
      <c r="VWL272" s="18"/>
      <c r="VWM272" s="18"/>
      <c r="VWN272" s="18"/>
      <c r="VWO272" s="18"/>
      <c r="VWP272" s="18"/>
      <c r="VWQ272" s="18"/>
      <c r="VWR272" s="18"/>
      <c r="VWS272" s="18"/>
      <c r="VWT272" s="18"/>
      <c r="VWU272" s="18"/>
      <c r="VWV272" s="18"/>
      <c r="VWW272" s="18"/>
      <c r="VWX272" s="18"/>
      <c r="VWY272" s="18"/>
      <c r="VWZ272" s="18"/>
      <c r="VXA272" s="18"/>
      <c r="VXB272" s="18"/>
      <c r="VXC272" s="18"/>
      <c r="VXD272" s="18"/>
      <c r="VXE272" s="18"/>
      <c r="VXF272" s="18"/>
      <c r="VXG272" s="18"/>
      <c r="VXH272" s="18"/>
      <c r="VXI272" s="18"/>
      <c r="VXJ272" s="18"/>
      <c r="VXK272" s="18"/>
      <c r="VXL272" s="18"/>
      <c r="VXM272" s="18"/>
      <c r="VXN272" s="18"/>
      <c r="VXO272" s="18"/>
      <c r="VXP272" s="18"/>
      <c r="VXQ272" s="18"/>
      <c r="VXR272" s="18"/>
      <c r="VXS272" s="18"/>
      <c r="VXT272" s="18"/>
      <c r="VXU272" s="18"/>
      <c r="VXV272" s="18"/>
      <c r="VXW272" s="18"/>
      <c r="VXX272" s="18"/>
      <c r="VXY272" s="18"/>
      <c r="VXZ272" s="18"/>
      <c r="VYA272" s="18"/>
      <c r="VYB272" s="18"/>
      <c r="VYC272" s="18"/>
      <c r="VYD272" s="18"/>
      <c r="VYE272" s="18"/>
      <c r="VYF272" s="18"/>
      <c r="VYG272" s="18"/>
      <c r="VYH272" s="18"/>
      <c r="VYI272" s="18"/>
      <c r="VYJ272" s="18"/>
      <c r="VYK272" s="18"/>
      <c r="VYL272" s="18"/>
      <c r="VYM272" s="18"/>
      <c r="VYN272" s="18"/>
      <c r="VYO272" s="18"/>
      <c r="VYP272" s="18"/>
      <c r="VYQ272" s="18"/>
      <c r="VYR272" s="18"/>
      <c r="VYS272" s="18"/>
      <c r="VYT272" s="18"/>
      <c r="VYU272" s="18"/>
      <c r="VYV272" s="18"/>
      <c r="VYW272" s="18"/>
      <c r="VYX272" s="18"/>
      <c r="VYY272" s="18"/>
      <c r="VYZ272" s="18"/>
      <c r="VZA272" s="18"/>
      <c r="VZB272" s="18"/>
      <c r="VZC272" s="18"/>
      <c r="VZD272" s="18"/>
      <c r="VZE272" s="18"/>
      <c r="VZF272" s="18"/>
      <c r="VZG272" s="18"/>
      <c r="VZH272" s="18"/>
      <c r="VZI272" s="18"/>
      <c r="VZJ272" s="18"/>
      <c r="VZK272" s="18"/>
      <c r="VZL272" s="18"/>
      <c r="VZM272" s="18"/>
      <c r="VZN272" s="18"/>
      <c r="VZO272" s="18"/>
      <c r="VZP272" s="18"/>
      <c r="VZQ272" s="18"/>
      <c r="VZR272" s="18"/>
      <c r="VZS272" s="18"/>
      <c r="VZT272" s="18"/>
      <c r="VZU272" s="18"/>
      <c r="VZV272" s="18"/>
      <c r="VZW272" s="18"/>
      <c r="VZX272" s="18"/>
      <c r="VZY272" s="18"/>
      <c r="VZZ272" s="18"/>
      <c r="WAA272" s="18"/>
      <c r="WAB272" s="18"/>
      <c r="WAC272" s="18"/>
      <c r="WAD272" s="18"/>
      <c r="WAE272" s="18"/>
      <c r="WAF272" s="18"/>
      <c r="WAG272" s="18"/>
      <c r="WAH272" s="18"/>
      <c r="WAI272" s="18"/>
      <c r="WAJ272" s="18"/>
      <c r="WAK272" s="18"/>
      <c r="WAL272" s="18"/>
      <c r="WAM272" s="18"/>
      <c r="WAN272" s="18"/>
      <c r="WAO272" s="18"/>
      <c r="WAP272" s="18"/>
      <c r="WAQ272" s="18"/>
      <c r="WAR272" s="18"/>
      <c r="WAS272" s="18"/>
      <c r="WAT272" s="18"/>
      <c r="WAU272" s="18"/>
      <c r="WAV272" s="18"/>
      <c r="WAW272" s="18"/>
      <c r="WAX272" s="18"/>
      <c r="WAY272" s="18"/>
      <c r="WAZ272" s="18"/>
      <c r="WBA272" s="18"/>
      <c r="WBB272" s="18"/>
      <c r="WBC272" s="18"/>
      <c r="WBD272" s="18"/>
      <c r="WBE272" s="18"/>
      <c r="WBF272" s="18"/>
      <c r="WBG272" s="18"/>
      <c r="WBH272" s="18"/>
      <c r="WBI272" s="18"/>
      <c r="WBJ272" s="18"/>
      <c r="WBK272" s="18"/>
      <c r="WBL272" s="18"/>
      <c r="WBM272" s="18"/>
      <c r="WBN272" s="18"/>
      <c r="WBO272" s="18"/>
      <c r="WBP272" s="18"/>
      <c r="WBQ272" s="18"/>
      <c r="WBR272" s="18"/>
      <c r="WBS272" s="18"/>
      <c r="WBT272" s="18"/>
      <c r="WBU272" s="18"/>
      <c r="WBV272" s="18"/>
      <c r="WBW272" s="18"/>
      <c r="WBX272" s="18"/>
      <c r="WBY272" s="18"/>
      <c r="WBZ272" s="18"/>
      <c r="WCA272" s="18"/>
      <c r="WCB272" s="18"/>
      <c r="WCC272" s="18"/>
      <c r="WCD272" s="18"/>
      <c r="WCE272" s="18"/>
      <c r="WCF272" s="18"/>
      <c r="WCG272" s="18"/>
      <c r="WCH272" s="18"/>
      <c r="WCI272" s="18"/>
      <c r="WCJ272" s="18"/>
      <c r="WCK272" s="18"/>
      <c r="WCL272" s="18"/>
      <c r="WCM272" s="18"/>
      <c r="WCN272" s="18"/>
      <c r="WCO272" s="18"/>
      <c r="WCP272" s="18"/>
      <c r="WCQ272" s="18"/>
      <c r="WCR272" s="18"/>
      <c r="WCS272" s="18"/>
      <c r="WCT272" s="18"/>
      <c r="WCU272" s="18"/>
      <c r="WCV272" s="18"/>
      <c r="WCW272" s="18"/>
      <c r="WCX272" s="18"/>
      <c r="WCY272" s="18"/>
      <c r="WCZ272" s="18"/>
      <c r="WDA272" s="18"/>
      <c r="WDB272" s="18"/>
      <c r="WDC272" s="18"/>
      <c r="WDD272" s="18"/>
      <c r="WDE272" s="18"/>
      <c r="WDF272" s="18"/>
      <c r="WDG272" s="18"/>
      <c r="WDH272" s="18"/>
      <c r="WDI272" s="18"/>
      <c r="WDJ272" s="18"/>
      <c r="WDK272" s="18"/>
      <c r="WDL272" s="18"/>
      <c r="WDM272" s="18"/>
      <c r="WDN272" s="18"/>
      <c r="WDO272" s="18"/>
      <c r="WDP272" s="18"/>
      <c r="WDQ272" s="18"/>
      <c r="WDR272" s="18"/>
      <c r="WDS272" s="18"/>
      <c r="WDT272" s="18"/>
      <c r="WDU272" s="18"/>
      <c r="WDV272" s="18"/>
      <c r="WDW272" s="18"/>
      <c r="WDX272" s="18"/>
      <c r="WDY272" s="18"/>
      <c r="WDZ272" s="18"/>
      <c r="WEA272" s="18"/>
      <c r="WEB272" s="18"/>
      <c r="WEC272" s="18"/>
      <c r="WED272" s="18"/>
      <c r="WEE272" s="18"/>
      <c r="WEF272" s="18"/>
      <c r="WEG272" s="18"/>
      <c r="WEH272" s="18"/>
      <c r="WEI272" s="18"/>
      <c r="WEJ272" s="18"/>
      <c r="WEK272" s="18"/>
      <c r="WEL272" s="18"/>
      <c r="WEM272" s="18"/>
      <c r="WEN272" s="18"/>
      <c r="WEO272" s="18"/>
      <c r="WEP272" s="18"/>
      <c r="WEQ272" s="18"/>
      <c r="WER272" s="18"/>
      <c r="WES272" s="18"/>
      <c r="WET272" s="18"/>
      <c r="WEU272" s="18"/>
      <c r="WEV272" s="18"/>
      <c r="WEW272" s="18"/>
      <c r="WEX272" s="18"/>
      <c r="WEY272" s="18"/>
      <c r="WEZ272" s="18"/>
      <c r="WFA272" s="18"/>
      <c r="WFB272" s="18"/>
      <c r="WFC272" s="18"/>
      <c r="WFD272" s="18"/>
      <c r="WFE272" s="18"/>
      <c r="WFF272" s="18"/>
      <c r="WFG272" s="18"/>
      <c r="WFH272" s="18"/>
      <c r="WFI272" s="18"/>
      <c r="WFJ272" s="18"/>
      <c r="WFK272" s="18"/>
      <c r="WFL272" s="18"/>
      <c r="WFM272" s="18"/>
      <c r="WFN272" s="18"/>
      <c r="WFO272" s="18"/>
      <c r="WFP272" s="18"/>
      <c r="WFQ272" s="18"/>
      <c r="WFR272" s="18"/>
      <c r="WFS272" s="18"/>
      <c r="WFT272" s="18"/>
      <c r="WFU272" s="18"/>
      <c r="WFV272" s="18"/>
      <c r="WFW272" s="18"/>
      <c r="WFX272" s="18"/>
      <c r="WFY272" s="18"/>
      <c r="WFZ272" s="18"/>
      <c r="WGA272" s="18"/>
      <c r="WGB272" s="18"/>
      <c r="WGC272" s="18"/>
      <c r="WGD272" s="18"/>
      <c r="WGE272" s="18"/>
      <c r="WGF272" s="18"/>
      <c r="WGG272" s="18"/>
      <c r="WGH272" s="18"/>
      <c r="WGI272" s="18"/>
      <c r="WGJ272" s="18"/>
      <c r="WGK272" s="18"/>
      <c r="WGL272" s="18"/>
      <c r="WGM272" s="18"/>
      <c r="WGN272" s="18"/>
      <c r="WGO272" s="18"/>
      <c r="WGP272" s="18"/>
      <c r="WGQ272" s="18"/>
      <c r="WGR272" s="18"/>
      <c r="WGS272" s="18"/>
      <c r="WGT272" s="18"/>
      <c r="WGU272" s="18"/>
      <c r="WGV272" s="18"/>
      <c r="WGW272" s="18"/>
      <c r="WGX272" s="18"/>
      <c r="WGY272" s="18"/>
      <c r="WGZ272" s="18"/>
      <c r="WHA272" s="18"/>
      <c r="WHB272" s="18"/>
      <c r="WHC272" s="18"/>
      <c r="WHD272" s="18"/>
      <c r="WHE272" s="18"/>
      <c r="WHF272" s="18"/>
      <c r="WHG272" s="18"/>
      <c r="WHH272" s="18"/>
      <c r="WHI272" s="18"/>
      <c r="WHJ272" s="18"/>
      <c r="WHK272" s="18"/>
      <c r="WHL272" s="18"/>
      <c r="WHM272" s="18"/>
      <c r="WHN272" s="18"/>
      <c r="WHO272" s="18"/>
      <c r="WHP272" s="18"/>
      <c r="WHQ272" s="18"/>
      <c r="WHR272" s="18"/>
      <c r="WHS272" s="18"/>
      <c r="WHT272" s="18"/>
      <c r="WHU272" s="18"/>
      <c r="WHV272" s="18"/>
      <c r="WHW272" s="18"/>
      <c r="WHX272" s="18"/>
      <c r="WHY272" s="18"/>
      <c r="WHZ272" s="18"/>
      <c r="WIA272" s="18"/>
      <c r="WIB272" s="18"/>
      <c r="WIC272" s="18"/>
      <c r="WID272" s="18"/>
      <c r="WIE272" s="18"/>
      <c r="WIF272" s="18"/>
      <c r="WIG272" s="18"/>
      <c r="WIH272" s="18"/>
      <c r="WII272" s="18"/>
      <c r="WIJ272" s="18"/>
      <c r="WIK272" s="18"/>
      <c r="WIL272" s="18"/>
      <c r="WIM272" s="18"/>
      <c r="WIN272" s="18"/>
      <c r="WIO272" s="18"/>
      <c r="WIP272" s="18"/>
      <c r="WIQ272" s="18"/>
      <c r="WIR272" s="18"/>
      <c r="WIS272" s="18"/>
      <c r="WIT272" s="18"/>
      <c r="WIU272" s="18"/>
      <c r="WIV272" s="18"/>
      <c r="WIW272" s="18"/>
      <c r="WIX272" s="18"/>
      <c r="WIY272" s="18"/>
      <c r="WIZ272" s="18"/>
      <c r="WJA272" s="18"/>
      <c r="WJB272" s="18"/>
      <c r="WJC272" s="18"/>
      <c r="WJD272" s="18"/>
      <c r="WJE272" s="18"/>
      <c r="WJF272" s="18"/>
      <c r="WJG272" s="18"/>
      <c r="WJH272" s="18"/>
      <c r="WJI272" s="18"/>
      <c r="WJJ272" s="18"/>
      <c r="WJK272" s="18"/>
      <c r="WJL272" s="18"/>
      <c r="WJM272" s="18"/>
      <c r="WJN272" s="18"/>
      <c r="WJO272" s="18"/>
      <c r="WJP272" s="18"/>
      <c r="WJQ272" s="18"/>
      <c r="WJR272" s="18"/>
      <c r="WJS272" s="18"/>
      <c r="WJT272" s="18"/>
      <c r="WJU272" s="18"/>
      <c r="WJV272" s="18"/>
      <c r="WJW272" s="18"/>
      <c r="WJX272" s="18"/>
      <c r="WJY272" s="18"/>
      <c r="WJZ272" s="18"/>
      <c r="WKA272" s="18"/>
      <c r="WKB272" s="18"/>
      <c r="WKC272" s="18"/>
      <c r="WKD272" s="18"/>
      <c r="WKE272" s="18"/>
      <c r="WKF272" s="18"/>
      <c r="WKG272" s="18"/>
      <c r="WKH272" s="18"/>
      <c r="WKI272" s="18"/>
      <c r="WKJ272" s="18"/>
      <c r="WKK272" s="18"/>
      <c r="WKL272" s="18"/>
      <c r="WKM272" s="18"/>
      <c r="WKN272" s="18"/>
      <c r="WKO272" s="18"/>
      <c r="WKP272" s="18"/>
      <c r="WKQ272" s="18"/>
      <c r="WKR272" s="18"/>
      <c r="WKS272" s="18"/>
      <c r="WKT272" s="18"/>
      <c r="WKU272" s="18"/>
      <c r="WKV272" s="18"/>
      <c r="WKW272" s="18"/>
      <c r="WKX272" s="18"/>
      <c r="WKY272" s="18"/>
      <c r="WKZ272" s="18"/>
      <c r="WLA272" s="18"/>
      <c r="WLB272" s="18"/>
      <c r="WLC272" s="18"/>
      <c r="WLD272" s="18"/>
      <c r="WLE272" s="18"/>
      <c r="WLF272" s="18"/>
      <c r="WLG272" s="18"/>
      <c r="WLH272" s="18"/>
      <c r="WLI272" s="18"/>
      <c r="WLJ272" s="18"/>
      <c r="WLK272" s="18"/>
      <c r="WLL272" s="18"/>
      <c r="WLM272" s="18"/>
      <c r="WLN272" s="18"/>
      <c r="WLO272" s="18"/>
      <c r="WLP272" s="18"/>
      <c r="WLQ272" s="18"/>
      <c r="WLR272" s="18"/>
      <c r="WLS272" s="18"/>
      <c r="WLT272" s="18"/>
      <c r="WLU272" s="18"/>
      <c r="WLV272" s="18"/>
      <c r="WLW272" s="18"/>
      <c r="WLX272" s="18"/>
      <c r="WLY272" s="18"/>
      <c r="WLZ272" s="18"/>
      <c r="WMA272" s="18"/>
      <c r="WMB272" s="18"/>
      <c r="WMC272" s="18"/>
      <c r="WMD272" s="18"/>
      <c r="WME272" s="18"/>
      <c r="WMF272" s="18"/>
      <c r="WMG272" s="18"/>
      <c r="WMH272" s="18"/>
      <c r="WMI272" s="18"/>
      <c r="WMJ272" s="18"/>
      <c r="WMK272" s="18"/>
      <c r="WML272" s="18"/>
      <c r="WMM272" s="18"/>
      <c r="WMN272" s="18"/>
      <c r="WMO272" s="18"/>
      <c r="WMP272" s="18"/>
      <c r="WMQ272" s="18"/>
      <c r="WMR272" s="18"/>
      <c r="WMS272" s="18"/>
      <c r="WMT272" s="18"/>
      <c r="WMU272" s="18"/>
      <c r="WMV272" s="18"/>
      <c r="WMW272" s="18"/>
      <c r="WMX272" s="18"/>
      <c r="WMY272" s="18"/>
      <c r="WMZ272" s="18"/>
      <c r="WNA272" s="18"/>
      <c r="WNB272" s="18"/>
      <c r="WNC272" s="18"/>
      <c r="WND272" s="18"/>
      <c r="WNE272" s="18"/>
      <c r="WNF272" s="18"/>
      <c r="WNG272" s="18"/>
      <c r="WNH272" s="18"/>
      <c r="WNI272" s="18"/>
      <c r="WNJ272" s="18"/>
      <c r="WNK272" s="18"/>
      <c r="WNL272" s="18"/>
      <c r="WNM272" s="18"/>
      <c r="WNN272" s="18"/>
      <c r="WNO272" s="18"/>
      <c r="WNP272" s="18"/>
      <c r="WNQ272" s="18"/>
      <c r="WNR272" s="18"/>
      <c r="WNS272" s="18"/>
      <c r="WNT272" s="18"/>
      <c r="WNU272" s="18"/>
      <c r="WNV272" s="18"/>
      <c r="WNW272" s="18"/>
      <c r="WNX272" s="18"/>
      <c r="WNY272" s="18"/>
      <c r="WNZ272" s="18"/>
      <c r="WOA272" s="18"/>
      <c r="WOB272" s="18"/>
      <c r="WOC272" s="18"/>
      <c r="WOD272" s="18"/>
      <c r="WOE272" s="18"/>
      <c r="WOF272" s="18"/>
      <c r="WOG272" s="18"/>
      <c r="WOH272" s="18"/>
      <c r="WOI272" s="18"/>
      <c r="WOJ272" s="18"/>
      <c r="WOK272" s="18"/>
      <c r="WOL272" s="18"/>
      <c r="WOM272" s="18"/>
      <c r="WON272" s="18"/>
      <c r="WOO272" s="18"/>
      <c r="WOP272" s="18"/>
      <c r="WOQ272" s="18"/>
      <c r="WOR272" s="18"/>
      <c r="WOS272" s="18"/>
      <c r="WOT272" s="18"/>
      <c r="WOU272" s="18"/>
      <c r="WOV272" s="18"/>
      <c r="WOW272" s="18"/>
      <c r="WOX272" s="18"/>
      <c r="WOY272" s="18"/>
      <c r="WOZ272" s="18"/>
      <c r="WPA272" s="18"/>
      <c r="WPB272" s="18"/>
      <c r="WPC272" s="18"/>
      <c r="WPD272" s="18"/>
      <c r="WPE272" s="18"/>
      <c r="WPF272" s="18"/>
      <c r="WPG272" s="18"/>
      <c r="WPH272" s="18"/>
      <c r="WPI272" s="18"/>
      <c r="WPJ272" s="18"/>
      <c r="WPK272" s="18"/>
      <c r="WPL272" s="18"/>
      <c r="WPM272" s="18"/>
      <c r="WPN272" s="18"/>
      <c r="WPO272" s="18"/>
      <c r="WPP272" s="18"/>
      <c r="WPQ272" s="18"/>
      <c r="WPR272" s="18"/>
      <c r="WPS272" s="18"/>
      <c r="WPT272" s="18"/>
      <c r="WPU272" s="18"/>
      <c r="WPV272" s="18"/>
      <c r="WPW272" s="18"/>
      <c r="WPX272" s="18"/>
      <c r="WPY272" s="18"/>
      <c r="WPZ272" s="18"/>
      <c r="WQA272" s="18"/>
      <c r="WQB272" s="18"/>
      <c r="WQC272" s="18"/>
      <c r="WQD272" s="18"/>
      <c r="WQE272" s="18"/>
      <c r="WQF272" s="18"/>
      <c r="WQG272" s="18"/>
      <c r="WQH272" s="18"/>
      <c r="WQI272" s="18"/>
      <c r="WQJ272" s="18"/>
      <c r="WQK272" s="18"/>
      <c r="WQL272" s="18"/>
      <c r="WQM272" s="18"/>
      <c r="WQN272" s="18"/>
      <c r="WQO272" s="18"/>
      <c r="WQP272" s="18"/>
      <c r="WQQ272" s="18"/>
      <c r="WQR272" s="18"/>
      <c r="WQS272" s="18"/>
      <c r="WQT272" s="18"/>
      <c r="WQU272" s="18"/>
      <c r="WQV272" s="18"/>
      <c r="WQW272" s="18"/>
      <c r="WQX272" s="18"/>
      <c r="WQY272" s="18"/>
      <c r="WQZ272" s="18"/>
      <c r="WRA272" s="18"/>
      <c r="WRB272" s="18"/>
      <c r="WRC272" s="18"/>
      <c r="WRD272" s="18"/>
      <c r="WRE272" s="18"/>
      <c r="WRF272" s="18"/>
      <c r="WRG272" s="18"/>
      <c r="WRH272" s="18"/>
      <c r="WRI272" s="18"/>
      <c r="WRJ272" s="18"/>
      <c r="WRK272" s="18"/>
      <c r="WRL272" s="18"/>
      <c r="WRM272" s="18"/>
      <c r="WRN272" s="18"/>
      <c r="WRO272" s="18"/>
      <c r="WRP272" s="18"/>
      <c r="WRQ272" s="18"/>
      <c r="WRR272" s="18"/>
      <c r="WRS272" s="18"/>
      <c r="WRT272" s="18"/>
      <c r="WRU272" s="18"/>
      <c r="WRV272" s="18"/>
      <c r="WRW272" s="18"/>
      <c r="WRX272" s="18"/>
      <c r="WRY272" s="18"/>
      <c r="WRZ272" s="18"/>
      <c r="WSA272" s="18"/>
      <c r="WSB272" s="18"/>
      <c r="WSC272" s="18"/>
      <c r="WSD272" s="18"/>
      <c r="WSE272" s="18"/>
      <c r="WSF272" s="18"/>
      <c r="WSG272" s="18"/>
      <c r="WSH272" s="18"/>
      <c r="WSI272" s="18"/>
      <c r="WSJ272" s="18"/>
      <c r="WSK272" s="18"/>
      <c r="WSL272" s="18"/>
      <c r="WSM272" s="18"/>
      <c r="WSN272" s="18"/>
      <c r="WSO272" s="18"/>
      <c r="WSP272" s="18"/>
      <c r="WSQ272" s="18"/>
      <c r="WSR272" s="18"/>
      <c r="WSS272" s="18"/>
      <c r="WST272" s="18"/>
      <c r="WSU272" s="18"/>
      <c r="WSV272" s="18"/>
      <c r="WSW272" s="18"/>
      <c r="WSX272" s="18"/>
      <c r="WSY272" s="18"/>
      <c r="WSZ272" s="18"/>
      <c r="WTA272" s="18"/>
      <c r="WTB272" s="18"/>
      <c r="WTC272" s="18"/>
      <c r="WTD272" s="18"/>
      <c r="WTE272" s="18"/>
      <c r="WTF272" s="18"/>
      <c r="WTG272" s="18"/>
      <c r="WTH272" s="18"/>
      <c r="WTI272" s="18"/>
      <c r="WTJ272" s="18"/>
      <c r="WTK272" s="18"/>
      <c r="WTL272" s="18"/>
      <c r="WTM272" s="18"/>
      <c r="WTN272" s="18"/>
      <c r="WTO272" s="18"/>
      <c r="WTP272" s="18"/>
      <c r="WTQ272" s="18"/>
      <c r="WTR272" s="18"/>
      <c r="WTS272" s="18"/>
      <c r="WTT272" s="18"/>
      <c r="WTU272" s="18"/>
      <c r="WTV272" s="18"/>
      <c r="WTW272" s="18"/>
      <c r="WTX272" s="18"/>
      <c r="WTY272" s="18"/>
      <c r="WTZ272" s="18"/>
      <c r="WUA272" s="18"/>
      <c r="WUB272" s="18"/>
      <c r="WUC272" s="18"/>
      <c r="WUD272" s="18"/>
      <c r="WUE272" s="18"/>
      <c r="WUF272" s="18"/>
      <c r="WUG272" s="18"/>
      <c r="WUH272" s="18"/>
      <c r="WUI272" s="18"/>
      <c r="WUJ272" s="18"/>
      <c r="WUK272" s="18"/>
      <c r="WUL272" s="18"/>
      <c r="WUM272" s="18"/>
      <c r="WUN272" s="18"/>
      <c r="WUO272" s="18"/>
      <c r="WUP272" s="18"/>
      <c r="WUQ272" s="18"/>
      <c r="WUR272" s="18"/>
      <c r="WUS272" s="18"/>
      <c r="WUT272" s="18"/>
      <c r="WUU272" s="18"/>
      <c r="WUV272" s="18"/>
      <c r="WUW272" s="18"/>
      <c r="WUX272" s="18"/>
      <c r="WUY272" s="18"/>
      <c r="WUZ272" s="18"/>
      <c r="WVA272" s="18"/>
      <c r="WVB272" s="18"/>
      <c r="WVC272" s="18"/>
      <c r="WVD272" s="18"/>
      <c r="WVE272" s="18"/>
      <c r="WVF272" s="18"/>
      <c r="WVG272" s="18"/>
      <c r="WVH272" s="18"/>
      <c r="WVI272" s="18"/>
      <c r="WVJ272" s="18"/>
      <c r="WVK272" s="18"/>
      <c r="WVL272" s="18"/>
      <c r="WVM272" s="18"/>
      <c r="WVN272" s="18"/>
      <c r="WVO272" s="18"/>
      <c r="WVP272" s="18"/>
      <c r="WVQ272" s="18"/>
      <c r="WVR272" s="18"/>
      <c r="WVS272" s="18"/>
      <c r="WVT272" s="18"/>
      <c r="WVU272" s="18"/>
      <c r="WVV272" s="18"/>
      <c r="WVW272" s="18"/>
      <c r="WVX272" s="18"/>
      <c r="WVY272" s="18"/>
      <c r="WVZ272" s="18"/>
      <c r="WWA272" s="18"/>
      <c r="WWB272" s="18"/>
      <c r="WWC272" s="18"/>
      <c r="WWD272" s="18"/>
      <c r="WWE272" s="18"/>
      <c r="WWF272" s="18"/>
      <c r="WWG272" s="18"/>
      <c r="WWH272" s="18"/>
      <c r="WWI272" s="18"/>
      <c r="WWJ272" s="18"/>
      <c r="WWK272" s="18"/>
      <c r="WWL272" s="18"/>
      <c r="WWM272" s="18"/>
      <c r="WWN272" s="18"/>
      <c r="WWO272" s="18"/>
      <c r="WWP272" s="18"/>
      <c r="WWQ272" s="18"/>
      <c r="WWR272" s="18"/>
      <c r="WWS272" s="18"/>
      <c r="WWT272" s="18"/>
      <c r="WWU272" s="18"/>
      <c r="WWV272" s="18"/>
      <c r="WWW272" s="18"/>
      <c r="WWX272" s="18"/>
      <c r="WWY272" s="18"/>
      <c r="WWZ272" s="18"/>
      <c r="WXA272" s="18"/>
      <c r="WXB272" s="18"/>
      <c r="WXC272" s="18"/>
      <c r="WXD272" s="18"/>
      <c r="WXE272" s="18"/>
      <c r="WXF272" s="18"/>
      <c r="WXG272" s="18"/>
      <c r="WXH272" s="18"/>
      <c r="WXI272" s="18"/>
      <c r="WXJ272" s="18"/>
      <c r="WXK272" s="18"/>
      <c r="WXL272" s="18"/>
      <c r="WXM272" s="18"/>
      <c r="WXN272" s="18"/>
      <c r="WXO272" s="18"/>
      <c r="WXP272" s="18"/>
      <c r="WXQ272" s="18"/>
      <c r="WXR272" s="18"/>
      <c r="WXS272" s="18"/>
      <c r="WXT272" s="18"/>
      <c r="WXU272" s="18"/>
      <c r="WXV272" s="18"/>
      <c r="WXW272" s="18"/>
      <c r="WXX272" s="18"/>
      <c r="WXY272" s="18"/>
      <c r="WXZ272" s="18"/>
      <c r="WYA272" s="18"/>
      <c r="WYB272" s="18"/>
      <c r="WYC272" s="18"/>
      <c r="WYD272" s="18"/>
      <c r="WYE272" s="18"/>
      <c r="WYF272" s="18"/>
      <c r="WYG272" s="18"/>
      <c r="WYH272" s="18"/>
      <c r="WYI272" s="18"/>
      <c r="WYJ272" s="18"/>
      <c r="WYK272" s="18"/>
      <c r="WYL272" s="18"/>
      <c r="WYM272" s="18"/>
      <c r="WYN272" s="18"/>
      <c r="WYO272" s="18"/>
      <c r="WYP272" s="18"/>
      <c r="WYQ272" s="18"/>
      <c r="WYR272" s="18"/>
      <c r="WYS272" s="18"/>
      <c r="WYT272" s="18"/>
      <c r="WYU272" s="18"/>
      <c r="WYV272" s="18"/>
      <c r="WYW272" s="18"/>
      <c r="WYX272" s="18"/>
      <c r="WYY272" s="18"/>
      <c r="WYZ272" s="18"/>
      <c r="WZA272" s="18"/>
      <c r="WZB272" s="18"/>
      <c r="WZC272" s="18"/>
      <c r="WZD272" s="18"/>
      <c r="WZE272" s="18"/>
      <c r="WZF272" s="18"/>
      <c r="WZG272" s="18"/>
      <c r="WZH272" s="18"/>
      <c r="WZI272" s="18"/>
      <c r="WZJ272" s="18"/>
      <c r="WZK272" s="18"/>
      <c r="WZL272" s="18"/>
      <c r="WZM272" s="18"/>
      <c r="WZN272" s="18"/>
      <c r="WZO272" s="18"/>
      <c r="WZP272" s="18"/>
      <c r="WZQ272" s="18"/>
      <c r="WZR272" s="18"/>
      <c r="WZS272" s="18"/>
      <c r="WZT272" s="18"/>
      <c r="WZU272" s="18"/>
      <c r="WZV272" s="18"/>
      <c r="WZW272" s="18"/>
      <c r="WZX272" s="18"/>
      <c r="WZY272" s="18"/>
      <c r="WZZ272" s="18"/>
      <c r="XAA272" s="18"/>
      <c r="XAB272" s="18"/>
      <c r="XAC272" s="18"/>
      <c r="XAD272" s="18"/>
      <c r="XAE272" s="18"/>
      <c r="XAF272" s="18"/>
      <c r="XAG272" s="18"/>
      <c r="XAH272" s="18"/>
      <c r="XAI272" s="18"/>
      <c r="XAJ272" s="18"/>
      <c r="XAK272" s="18"/>
      <c r="XAL272" s="18"/>
      <c r="XAM272" s="18"/>
      <c r="XAN272" s="18"/>
      <c r="XAO272" s="18"/>
      <c r="XAP272" s="18"/>
      <c r="XAQ272" s="18"/>
      <c r="XAR272" s="18"/>
      <c r="XAS272" s="18"/>
      <c r="XAT272" s="18"/>
      <c r="XAU272" s="18"/>
      <c r="XAV272" s="18"/>
      <c r="XAW272" s="18"/>
      <c r="XAX272" s="18"/>
      <c r="XAY272" s="18"/>
      <c r="XAZ272" s="18"/>
      <c r="XBA272" s="18"/>
      <c r="XBB272" s="18"/>
      <c r="XBC272" s="18"/>
      <c r="XBD272" s="18"/>
      <c r="XBE272" s="18"/>
      <c r="XBF272" s="18"/>
      <c r="XBG272" s="18"/>
      <c r="XBH272" s="18"/>
      <c r="XBI272" s="18"/>
      <c r="XBJ272" s="18"/>
      <c r="XBK272" s="18"/>
      <c r="XBL272" s="18"/>
      <c r="XBM272" s="18"/>
      <c r="XBN272" s="18"/>
      <c r="XBO272" s="18"/>
      <c r="XBP272" s="18"/>
      <c r="XBQ272" s="18"/>
      <c r="XBR272" s="18"/>
      <c r="XBS272" s="18"/>
      <c r="XBT272" s="18"/>
      <c r="XBU272" s="18"/>
      <c r="XBV272" s="18"/>
      <c r="XBW272" s="18"/>
      <c r="XBX272" s="18"/>
      <c r="XBY272" s="18"/>
      <c r="XBZ272" s="18"/>
      <c r="XCA272" s="18"/>
      <c r="XCB272" s="18"/>
      <c r="XCC272" s="18"/>
      <c r="XCD272" s="18"/>
      <c r="XCE272" s="18"/>
      <c r="XCF272" s="18"/>
      <c r="XCG272" s="18"/>
      <c r="XCH272" s="18"/>
      <c r="XCI272" s="18"/>
      <c r="XCJ272" s="18"/>
      <c r="XCK272" s="18"/>
      <c r="XCL272" s="18"/>
      <c r="XCM272" s="18"/>
      <c r="XCN272" s="18"/>
      <c r="XCO272" s="18"/>
      <c r="XCP272" s="18"/>
      <c r="XCQ272" s="18"/>
      <c r="XCR272" s="18"/>
      <c r="XCS272" s="18"/>
      <c r="XCT272" s="18"/>
      <c r="XCU272" s="18"/>
      <c r="XCV272" s="18"/>
      <c r="XCW272" s="18"/>
      <c r="XCX272" s="18"/>
      <c r="XCY272" s="18"/>
      <c r="XCZ272" s="18"/>
      <c r="XDA272" s="18"/>
      <c r="XDB272" s="18"/>
      <c r="XDC272" s="18"/>
      <c r="XDD272" s="18"/>
      <c r="XDE272" s="18"/>
      <c r="XDF272" s="18"/>
      <c r="XDG272" s="18"/>
      <c r="XDH272" s="18"/>
      <c r="XDI272" s="18"/>
      <c r="XDJ272" s="18"/>
      <c r="XDK272" s="18"/>
      <c r="XDL272" s="18"/>
      <c r="XDM272" s="18"/>
      <c r="XDN272" s="18"/>
      <c r="XDO272" s="18"/>
      <c r="XDP272" s="18"/>
      <c r="XDQ272" s="18"/>
      <c r="XDR272" s="18"/>
      <c r="XDS272" s="18"/>
      <c r="XDT272" s="18"/>
      <c r="XDU272" s="18"/>
      <c r="XDV272" s="18"/>
      <c r="XDW272" s="18"/>
      <c r="XDX272" s="18"/>
      <c r="XDY272" s="18"/>
      <c r="XDZ272" s="18"/>
      <c r="XEA272" s="18"/>
      <c r="XEB272" s="18"/>
      <c r="XEC272" s="18"/>
      <c r="XED272" s="18"/>
      <c r="XEE272" s="18"/>
      <c r="XEF272" s="18"/>
      <c r="XEG272" s="18"/>
      <c r="XEH272" s="18"/>
      <c r="XEI272" s="18"/>
      <c r="XEJ272" s="18"/>
      <c r="XEK272" s="18"/>
      <c r="XEL272" s="18"/>
      <c r="XEM272" s="18"/>
      <c r="XEN272" s="18"/>
      <c r="XEO272" s="18"/>
      <c r="XEP272" s="18"/>
      <c r="XEQ272" s="18"/>
    </row>
    <row r="273" spans="1:16371" s="20" customFormat="1" x14ac:dyDescent="0.3">
      <c r="A273" s="21">
        <v>265</v>
      </c>
      <c r="B273" s="4" t="s">
        <v>485</v>
      </c>
      <c r="C273" s="4" t="s">
        <v>23</v>
      </c>
      <c r="D273" s="4">
        <v>3</v>
      </c>
      <c r="E273" s="4">
        <v>16</v>
      </c>
      <c r="F273" s="4" t="s">
        <v>485</v>
      </c>
      <c r="G273" s="4" t="s">
        <v>486</v>
      </c>
      <c r="H273" s="4">
        <v>1511</v>
      </c>
      <c r="I273" s="4">
        <v>0.18</v>
      </c>
      <c r="J273" s="4">
        <v>0.5</v>
      </c>
      <c r="K273" s="4">
        <v>1.5</v>
      </c>
      <c r="L273" s="4">
        <v>0.01</v>
      </c>
      <c r="M273" s="4">
        <v>3.0000000000000001E-3</v>
      </c>
      <c r="N273" s="4">
        <v>0.03</v>
      </c>
      <c r="O273" s="4" t="s">
        <v>631</v>
      </c>
      <c r="P273" s="4">
        <v>0.03</v>
      </c>
      <c r="Q273" s="4">
        <v>0.02</v>
      </c>
      <c r="R273" s="4" t="s">
        <v>631</v>
      </c>
      <c r="S273" s="4" t="s">
        <v>631</v>
      </c>
      <c r="T273" s="4">
        <v>0.55000000000000004</v>
      </c>
      <c r="U273" s="4">
        <v>0</v>
      </c>
      <c r="V273" s="4">
        <v>0</v>
      </c>
      <c r="W273" s="4" t="s">
        <v>631</v>
      </c>
      <c r="X273" s="4">
        <v>1.5E-3</v>
      </c>
      <c r="Y273" s="4"/>
      <c r="Z273" s="4" t="s">
        <v>631</v>
      </c>
      <c r="AA273" s="76"/>
      <c r="AB273" s="42">
        <f>IF(J273&lt;=0.04,0,IF((BA273-AL273*BF$4*炼钢参数表!$X$5/1000-AM273*BG$4*炼钢参数表!$X$5/1000)&lt;=0.03,0,IF((J273/100/0.1769/炼钢参数表!K273*1000)&gt;(K273-炼钢参数表!J273)/100/0.6566/炼钢参数表!L273*1000,IF(K273&lt;1.6,(K273-炼钢参数表!J273)/100/0.6566/炼钢参数表!L273*1000,(K273-0.08-炼钢参数表!J273)/100/0.6566/炼钢参数表!L273*1000),IF(K273&lt;1.6,J273/100/0.1769/炼钢参数表!K273*1000,(J273-0.08)/100/0.1769/炼钢参数表!K273*1000))))</f>
        <v>21.7415629060031</v>
      </c>
      <c r="AC273" s="8">
        <f>IF((BA273-AB273*$BB$4*0.9/1000-AL273*BF$4*炼钢参数表!$X$5/1000-AM273*BG$4*炼钢参数表!$X$5/1000)&lt;(K273-炼钢参数表!J273-AB273*0.6566*炼钢参数表!L273/10)*0.082,0,(K273-炼钢参数表!J273-AB273*0.6566*炼钢参数表!L273/10)/100/($AC$3/100)/炼钢参数表!L273*1000)</f>
        <v>0</v>
      </c>
      <c r="AD273" s="8">
        <f>IF((BA273-AB273*$BB$4*0.9/1000-AC273*$BC$4*0.9/1000-AL273*BF$4*炼钢参数表!$X$5/1000-AM273*BG$4*炼钢参数表!$X$5/1000)&lt;=(K273-炼钢参数表!J273-AB273*0.6566*炼钢参数表!L273/10-AC273*($AC$3/100)*炼钢参数表!L273/10)*0.02,0,((K273-炼钢参数表!J273-AB273*0.6566*炼钢参数表!L273/10-AC273*($AC$3/100)*炼钢参数表!L273/10)/100/($AD$3/100)/炼钢参数表!L273*1000))</f>
        <v>0</v>
      </c>
      <c r="AE273" s="8">
        <f>(K273-炼钢参数表!J273-AB273*0.6566*炼钢参数表!L273/10-AC273*($AC$3/100)*炼钢参数表!L273/10-AD273*($AD$3/100)*炼钢参数表!L273/10)/100/($AE$3/100)/炼钢参数表!L273*1000</f>
        <v>0</v>
      </c>
      <c r="AF273" s="8">
        <v>0</v>
      </c>
      <c r="AG273" s="8">
        <f>IF(J273&lt;=0.04,0,((J273-(AB273*0.1769*炼钢参数表!K273/1000*100))/100/炼钢参数表!K273/($AG$3/100)*1000))</f>
        <v>3.3281427688329699</v>
      </c>
      <c r="AH273" s="8">
        <v>1.7</v>
      </c>
      <c r="AI273" s="8">
        <f>IF(N273="",0,IF(N273&lt;=0.002,0,((N273)/100)/($AI$3/100)/炼钢参数表!M273*1000))</f>
        <v>0.59824594289543098</v>
      </c>
      <c r="AJ273" s="8">
        <f>IF(O273="",0,IF(O273&lt;=0.002,0,((O273)/100)/($AJ$3/100)/炼钢参数表!N273*1000))</f>
        <v>0</v>
      </c>
      <c r="AK273" s="8">
        <f>IF(P273="",0,IF(P273&lt;=0.002,0,((P273+0.005)/100)/($AK$3/100)/炼钢参数表!O273*1000))</f>
        <v>0.69851913942442001</v>
      </c>
      <c r="AL273" s="8">
        <f>IF((BA273-J273*0.00003-K273*0.00024)&lt;=0.05,0,IF(T273="",0,IF(T273&lt;=0.03,0,IF(((BA273-J273*0.00003-K273*0.00024)-0.05)/0.18/100/($AL$3/100)/炼钢参数表!P273*1000&lt;=T273/100/($AL$3/100)/炼钢参数表!P273*1000,((BA273-J273*0.00003-K273*0.00024)-0.05)/0.18/100/($AL$3/100)/炼钢参数表!P273*1000,T273/100/($AL$3/100)/炼钢参数表!P273*1000))))</f>
        <v>9.6960692663817696</v>
      </c>
      <c r="AM273" s="8">
        <f>IF(T273="",0,IF(T273&lt;=0.03,0,((T273-AL273*($AL$3/100)*炼钢参数表!P273/10)/100/($AM$3/100)/炼钢参数表!P273*1000)))</f>
        <v>1.15614173645382</v>
      </c>
      <c r="AN273" s="8">
        <f>IF(U273="",0,IF(U273&lt;=0.02,0,(U273/100)/($AN$3/100)/炼钢参数表!Q273*1000))</f>
        <v>0</v>
      </c>
      <c r="AO273" s="8">
        <f>IF(V273="",0,IF(V273&lt;=0.02,0,(V273/100)/($AO$3/100)/炼钢参数表!R273*1000))</f>
        <v>0</v>
      </c>
      <c r="AP273" s="8">
        <f>IF(W273="",0,IF(W273&lt;=0.02,0,(W273/100)/($AP$3/100)/炼钢参数表!S273*1000))</f>
        <v>0</v>
      </c>
      <c r="AQ273" s="8">
        <f>IF(X273="",0,IF(X273&lt;=0.0002,0,(X273/100)/($AQ$3/100)/炼钢参数表!T273*1000))</f>
        <v>0.119047619047619</v>
      </c>
      <c r="AR273" s="8">
        <f>IF(Y273="",0,IF(Y273&lt;=0.02,0,(Y273/100)/($AR$3/100)/炼钢参数表!U273*1000))</f>
        <v>0</v>
      </c>
      <c r="AS273" s="8">
        <f>IF(L273&lt;=0.04,0,((L273-0.04)/100)/($AS$3/100)/炼钢参数表!V273*1000)</f>
        <v>0</v>
      </c>
      <c r="AT273" s="8">
        <f>IF(M273&lt;=0.03,0,((M273-0.03)/100)/($AT$3/100)/炼钢参数表!W273*1000)</f>
        <v>0</v>
      </c>
      <c r="AU273" s="74"/>
      <c r="AV273" s="8">
        <f t="shared" si="52"/>
        <v>39.037729379039099</v>
      </c>
      <c r="AW273" s="8" cm="1">
        <f t="array" ref="AW273">SUMPRODUCT($AB$4:$AU$4,AB273:AU273)/1000</f>
        <v>336.024232637144</v>
      </c>
      <c r="AY273" s="71" t="str">
        <f t="shared" si="47"/>
        <v>HXN-4</v>
      </c>
      <c r="AZ273" s="77">
        <f>VLOOKUP(AY273,炼钢参数表!$F$5:$J$1027,4,0)</f>
        <v>4.2500000000000003E-2</v>
      </c>
      <c r="BA273" s="77">
        <f t="shared" si="48"/>
        <v>0.13750000000000001</v>
      </c>
      <c r="BB273" s="77">
        <f>AB273*$BB$4*炼钢参数表!$X$5/1000</f>
        <v>3.3655939378492802E-2</v>
      </c>
      <c r="BC273" s="77">
        <f>AC273*$BC$4*炼钢参数表!$X$5/1000</f>
        <v>0</v>
      </c>
      <c r="BD273" s="77">
        <f>AD273*$BD$4*炼钢参数表!$X$5/1000</f>
        <v>0</v>
      </c>
      <c r="BE273" s="77">
        <f>AE273*$BE$4*炼钢参数表!$X$5/1000</f>
        <v>0</v>
      </c>
      <c r="BF273" s="77">
        <f>AL273*$BF$4*炼钢参数表!$X$5/1000</f>
        <v>8.7264623397435903E-2</v>
      </c>
      <c r="BG273" s="77">
        <f>AM273*$BG$4*炼钢参数表!$X$5/1000</f>
        <v>1.2486330753701201E-4</v>
      </c>
      <c r="BH273" s="77">
        <f t="shared" si="49"/>
        <v>0.121045426083466</v>
      </c>
      <c r="BI273" s="77">
        <f t="shared" si="50"/>
        <v>0.16354542608346601</v>
      </c>
      <c r="BJ273" s="77">
        <f t="shared" si="51"/>
        <v>-1.64545739165343E-2</v>
      </c>
      <c r="BK273" s="78"/>
      <c r="BL273" s="76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8"/>
      <c r="DG273" s="18"/>
      <c r="DH273" s="18"/>
      <c r="DI273" s="18"/>
      <c r="DJ273" s="18"/>
      <c r="DK273" s="18"/>
      <c r="DL273" s="18"/>
      <c r="DM273" s="18"/>
      <c r="DN273" s="18"/>
      <c r="DO273" s="18"/>
      <c r="DP273" s="18"/>
      <c r="DQ273" s="18"/>
      <c r="DR273" s="18"/>
      <c r="DS273" s="18"/>
      <c r="DT273" s="18"/>
      <c r="DU273" s="18"/>
      <c r="DV273" s="18"/>
      <c r="DW273" s="18"/>
      <c r="DX273" s="18"/>
      <c r="DY273" s="18"/>
      <c r="DZ273" s="18"/>
      <c r="EA273" s="18"/>
      <c r="EB273" s="18"/>
      <c r="EC273" s="18"/>
      <c r="ED273" s="18"/>
      <c r="EE273" s="18"/>
      <c r="EF273" s="18"/>
      <c r="EG273" s="18"/>
      <c r="EH273" s="18"/>
      <c r="EI273" s="18"/>
      <c r="EJ273" s="18"/>
      <c r="EK273" s="18"/>
      <c r="EL273" s="18"/>
      <c r="EM273" s="18"/>
      <c r="EN273" s="18"/>
      <c r="EO273" s="18"/>
      <c r="EP273" s="18"/>
      <c r="EQ273" s="18"/>
      <c r="ER273" s="18"/>
      <c r="ES273" s="18"/>
      <c r="ET273" s="18"/>
      <c r="EU273" s="18"/>
      <c r="EV273" s="18"/>
      <c r="EW273" s="18"/>
      <c r="EX273" s="18"/>
      <c r="EY273" s="18"/>
      <c r="EZ273" s="18"/>
      <c r="FA273" s="18"/>
      <c r="FB273" s="18"/>
      <c r="FC273" s="18"/>
      <c r="FD273" s="18"/>
      <c r="FE273" s="18"/>
      <c r="FF273" s="18"/>
      <c r="FG273" s="18"/>
      <c r="FH273" s="18"/>
      <c r="FI273" s="18"/>
      <c r="FJ273" s="18"/>
      <c r="FK273" s="18"/>
      <c r="FL273" s="18"/>
      <c r="FM273" s="18"/>
      <c r="FN273" s="18"/>
      <c r="FO273" s="18"/>
      <c r="FP273" s="18"/>
      <c r="FQ273" s="18"/>
      <c r="FR273" s="18"/>
      <c r="FS273" s="18"/>
      <c r="FT273" s="18"/>
      <c r="FU273" s="18"/>
      <c r="FV273" s="18"/>
      <c r="FW273" s="18"/>
      <c r="FX273" s="18"/>
      <c r="FY273" s="18"/>
      <c r="FZ273" s="18"/>
      <c r="GA273" s="18"/>
      <c r="GB273" s="18"/>
      <c r="GC273" s="18"/>
      <c r="GD273" s="18"/>
      <c r="GE273" s="18"/>
      <c r="GF273" s="18"/>
      <c r="GG273" s="18"/>
      <c r="GH273" s="18"/>
      <c r="GI273" s="18"/>
      <c r="GJ273" s="18"/>
      <c r="GK273" s="18"/>
      <c r="GL273" s="18"/>
      <c r="GM273" s="18"/>
      <c r="GN273" s="18"/>
      <c r="GO273" s="18"/>
      <c r="GP273" s="18"/>
      <c r="GQ273" s="18"/>
      <c r="GR273" s="18"/>
      <c r="GS273" s="18"/>
      <c r="GT273" s="18"/>
      <c r="GU273" s="18"/>
      <c r="GV273" s="18"/>
      <c r="GW273" s="18"/>
      <c r="GX273" s="18"/>
      <c r="GY273" s="18"/>
      <c r="GZ273" s="18"/>
      <c r="HA273" s="18"/>
      <c r="HB273" s="18"/>
      <c r="HC273" s="18"/>
      <c r="HD273" s="18"/>
      <c r="HE273" s="18"/>
      <c r="HF273" s="18"/>
      <c r="HG273" s="18"/>
      <c r="HH273" s="18"/>
      <c r="HI273" s="18"/>
      <c r="HJ273" s="18"/>
      <c r="HK273" s="18"/>
      <c r="HL273" s="18"/>
      <c r="HM273" s="18"/>
      <c r="HN273" s="18"/>
      <c r="HO273" s="18"/>
      <c r="HP273" s="18"/>
      <c r="HQ273" s="18"/>
      <c r="HR273" s="18"/>
      <c r="HS273" s="18"/>
      <c r="HT273" s="18"/>
      <c r="HU273" s="18"/>
      <c r="HV273" s="18"/>
      <c r="HW273" s="18"/>
      <c r="HX273" s="18"/>
      <c r="HY273" s="18"/>
      <c r="HZ273" s="18"/>
      <c r="IA273" s="18"/>
      <c r="IB273" s="18"/>
      <c r="IC273" s="18"/>
      <c r="ID273" s="18"/>
      <c r="IE273" s="18"/>
      <c r="IF273" s="18"/>
      <c r="IG273" s="18"/>
      <c r="IH273" s="18"/>
      <c r="II273" s="18"/>
      <c r="IJ273" s="18"/>
      <c r="IK273" s="18"/>
      <c r="IL273" s="18"/>
      <c r="IM273" s="18"/>
      <c r="IN273" s="18"/>
      <c r="IO273" s="18"/>
      <c r="IP273" s="18"/>
      <c r="IQ273" s="18"/>
      <c r="IR273" s="18"/>
      <c r="IS273" s="18"/>
      <c r="IT273" s="18"/>
      <c r="IU273" s="18"/>
      <c r="IV273" s="18"/>
      <c r="IW273" s="18"/>
      <c r="IX273" s="18"/>
      <c r="IY273" s="18"/>
      <c r="IZ273" s="18"/>
      <c r="JA273" s="18"/>
      <c r="JB273" s="18"/>
      <c r="JC273" s="18"/>
      <c r="JD273" s="18"/>
      <c r="JE273" s="18"/>
      <c r="JF273" s="18"/>
      <c r="JG273" s="18"/>
      <c r="JH273" s="18"/>
      <c r="JI273" s="18"/>
      <c r="JJ273" s="18"/>
      <c r="JK273" s="18"/>
      <c r="JL273" s="18"/>
      <c r="JM273" s="18"/>
      <c r="JN273" s="18"/>
      <c r="JO273" s="18"/>
      <c r="JP273" s="18"/>
      <c r="JQ273" s="18"/>
      <c r="JR273" s="18"/>
      <c r="JS273" s="18"/>
      <c r="JT273" s="18"/>
      <c r="JU273" s="18"/>
      <c r="JV273" s="18"/>
      <c r="JW273" s="18"/>
      <c r="JX273" s="18"/>
      <c r="JY273" s="18"/>
      <c r="JZ273" s="18"/>
      <c r="KA273" s="18"/>
      <c r="KB273" s="18"/>
      <c r="KC273" s="18"/>
      <c r="KD273" s="18"/>
      <c r="KE273" s="18"/>
      <c r="KF273" s="18"/>
      <c r="KG273" s="18"/>
      <c r="KH273" s="18"/>
      <c r="KI273" s="18"/>
      <c r="KJ273" s="18"/>
      <c r="KK273" s="18"/>
      <c r="KL273" s="18"/>
      <c r="KM273" s="18"/>
      <c r="KN273" s="18"/>
      <c r="KO273" s="18"/>
      <c r="KP273" s="18"/>
      <c r="KQ273" s="18"/>
      <c r="KR273" s="18"/>
      <c r="KS273" s="18"/>
      <c r="KT273" s="18"/>
      <c r="KU273" s="18"/>
      <c r="KV273" s="18"/>
      <c r="KW273" s="18"/>
      <c r="KX273" s="18"/>
      <c r="KY273" s="18"/>
      <c r="KZ273" s="18"/>
      <c r="LA273" s="18"/>
      <c r="LB273" s="18"/>
      <c r="LC273" s="18"/>
      <c r="LD273" s="18"/>
      <c r="LE273" s="18"/>
      <c r="LF273" s="18"/>
      <c r="LG273" s="18"/>
      <c r="LH273" s="18"/>
      <c r="LI273" s="18"/>
      <c r="LJ273" s="18"/>
      <c r="LK273" s="18"/>
      <c r="LL273" s="18"/>
      <c r="LM273" s="18"/>
      <c r="LN273" s="18"/>
      <c r="LO273" s="18"/>
      <c r="LP273" s="18"/>
      <c r="LQ273" s="18"/>
      <c r="LR273" s="18"/>
      <c r="LS273" s="18"/>
      <c r="LT273" s="18"/>
      <c r="LU273" s="18"/>
      <c r="LV273" s="18"/>
      <c r="LW273" s="18"/>
      <c r="LX273" s="18"/>
      <c r="LY273" s="18"/>
      <c r="LZ273" s="18"/>
      <c r="MA273" s="18"/>
      <c r="MB273" s="18"/>
      <c r="MC273" s="18"/>
      <c r="MD273" s="18"/>
      <c r="ME273" s="18"/>
      <c r="MF273" s="18"/>
      <c r="MG273" s="18"/>
      <c r="MH273" s="18"/>
      <c r="MI273" s="18"/>
      <c r="MJ273" s="18"/>
      <c r="MK273" s="18"/>
      <c r="ML273" s="18"/>
      <c r="MM273" s="18"/>
      <c r="MN273" s="18"/>
      <c r="MO273" s="18"/>
      <c r="MP273" s="18"/>
      <c r="MQ273" s="18"/>
      <c r="MR273" s="18"/>
      <c r="MS273" s="18"/>
      <c r="MT273" s="18"/>
      <c r="MU273" s="18"/>
      <c r="MV273" s="18"/>
      <c r="MW273" s="18"/>
      <c r="MX273" s="18"/>
      <c r="MY273" s="18"/>
      <c r="MZ273" s="18"/>
      <c r="NA273" s="18"/>
      <c r="NB273" s="18"/>
      <c r="NC273" s="18"/>
      <c r="ND273" s="18"/>
      <c r="NE273" s="18"/>
      <c r="NF273" s="18"/>
      <c r="NG273" s="18"/>
      <c r="NH273" s="18"/>
      <c r="NI273" s="18"/>
      <c r="NJ273" s="18"/>
      <c r="NK273" s="18"/>
      <c r="NL273" s="18"/>
      <c r="NM273" s="18"/>
      <c r="NN273" s="18"/>
      <c r="NO273" s="18"/>
      <c r="NP273" s="18"/>
      <c r="NQ273" s="18"/>
      <c r="NR273" s="18"/>
      <c r="NS273" s="18"/>
      <c r="NT273" s="18"/>
      <c r="NU273" s="18"/>
      <c r="NV273" s="18"/>
      <c r="NW273" s="18"/>
      <c r="NX273" s="18"/>
      <c r="NY273" s="18"/>
      <c r="NZ273" s="18"/>
      <c r="OA273" s="18"/>
      <c r="OB273" s="18"/>
      <c r="OC273" s="18"/>
      <c r="OD273" s="18"/>
      <c r="OE273" s="18"/>
      <c r="OF273" s="18"/>
      <c r="OG273" s="18"/>
      <c r="OH273" s="18"/>
      <c r="OI273" s="18"/>
      <c r="OJ273" s="18"/>
      <c r="OK273" s="18"/>
      <c r="OL273" s="18"/>
      <c r="OM273" s="18"/>
      <c r="ON273" s="18"/>
      <c r="OO273" s="18"/>
      <c r="OP273" s="18"/>
      <c r="OQ273" s="18"/>
      <c r="OR273" s="18"/>
      <c r="OS273" s="18"/>
      <c r="OT273" s="18"/>
      <c r="OU273" s="18"/>
      <c r="OV273" s="18"/>
      <c r="OW273" s="18"/>
      <c r="OX273" s="18"/>
      <c r="OY273" s="18"/>
      <c r="OZ273" s="18"/>
      <c r="PA273" s="18"/>
      <c r="PB273" s="18"/>
      <c r="PC273" s="18"/>
      <c r="PD273" s="18"/>
      <c r="PE273" s="18"/>
      <c r="PF273" s="18"/>
      <c r="PG273" s="18"/>
      <c r="PH273" s="18"/>
      <c r="PI273" s="18"/>
      <c r="PJ273" s="18"/>
      <c r="PK273" s="18"/>
      <c r="PL273" s="18"/>
      <c r="PM273" s="18"/>
      <c r="PN273" s="18"/>
      <c r="PO273" s="18"/>
      <c r="PP273" s="18"/>
      <c r="PQ273" s="18"/>
      <c r="PR273" s="18"/>
      <c r="PS273" s="18"/>
      <c r="PT273" s="18"/>
      <c r="PU273" s="18"/>
      <c r="PV273" s="18"/>
      <c r="PW273" s="18"/>
      <c r="PX273" s="18"/>
      <c r="PY273" s="18"/>
      <c r="PZ273" s="18"/>
      <c r="QA273" s="18"/>
      <c r="QB273" s="18"/>
      <c r="QC273" s="18"/>
      <c r="QD273" s="18"/>
      <c r="QE273" s="18"/>
      <c r="QF273" s="18"/>
      <c r="QG273" s="18"/>
      <c r="QH273" s="18"/>
      <c r="QI273" s="18"/>
      <c r="QJ273" s="18"/>
      <c r="QK273" s="18"/>
      <c r="QL273" s="18"/>
      <c r="QM273" s="18"/>
      <c r="QN273" s="18"/>
      <c r="QO273" s="18"/>
      <c r="QP273" s="18"/>
      <c r="QQ273" s="18"/>
      <c r="QR273" s="18"/>
      <c r="QS273" s="18"/>
      <c r="QT273" s="18"/>
      <c r="QU273" s="18"/>
      <c r="QV273" s="18"/>
      <c r="QW273" s="18"/>
      <c r="QX273" s="18"/>
      <c r="QY273" s="18"/>
      <c r="QZ273" s="18"/>
      <c r="RA273" s="18"/>
      <c r="RB273" s="18"/>
      <c r="RC273" s="18"/>
      <c r="RD273" s="18"/>
      <c r="RE273" s="18"/>
      <c r="RF273" s="18"/>
      <c r="RG273" s="18"/>
      <c r="RH273" s="18"/>
      <c r="RI273" s="18"/>
      <c r="RJ273" s="18"/>
      <c r="RK273" s="18"/>
      <c r="RL273" s="18"/>
      <c r="RM273" s="18"/>
      <c r="RN273" s="18"/>
      <c r="RO273" s="18"/>
      <c r="RP273" s="18"/>
      <c r="RQ273" s="18"/>
      <c r="RR273" s="18"/>
      <c r="RS273" s="18"/>
      <c r="RT273" s="18"/>
      <c r="RU273" s="18"/>
      <c r="RV273" s="18"/>
      <c r="RW273" s="18"/>
      <c r="RX273" s="18"/>
      <c r="RY273" s="18"/>
      <c r="RZ273" s="18"/>
      <c r="SA273" s="18"/>
      <c r="SB273" s="18"/>
      <c r="SC273" s="18"/>
      <c r="SD273" s="18"/>
      <c r="SE273" s="18"/>
      <c r="SF273" s="18"/>
      <c r="SG273" s="18"/>
      <c r="SH273" s="18"/>
      <c r="SI273" s="18"/>
      <c r="SJ273" s="18"/>
      <c r="SK273" s="18"/>
      <c r="SL273" s="18"/>
      <c r="SM273" s="18"/>
      <c r="SN273" s="18"/>
      <c r="SO273" s="18"/>
      <c r="SP273" s="18"/>
      <c r="SQ273" s="18"/>
      <c r="SR273" s="18"/>
      <c r="SS273" s="18"/>
      <c r="ST273" s="18"/>
      <c r="SU273" s="18"/>
      <c r="SV273" s="18"/>
      <c r="SW273" s="18"/>
      <c r="SX273" s="18"/>
      <c r="SY273" s="18"/>
      <c r="SZ273" s="18"/>
      <c r="TA273" s="18"/>
      <c r="TB273" s="18"/>
      <c r="TC273" s="18"/>
      <c r="TD273" s="18"/>
      <c r="TE273" s="18"/>
      <c r="TF273" s="18"/>
      <c r="TG273" s="18"/>
      <c r="TH273" s="18"/>
      <c r="TI273" s="18"/>
      <c r="TJ273" s="18"/>
      <c r="TK273" s="18"/>
      <c r="TL273" s="18"/>
      <c r="TM273" s="18"/>
      <c r="TN273" s="18"/>
      <c r="TO273" s="18"/>
      <c r="TP273" s="18"/>
      <c r="TQ273" s="18"/>
      <c r="TR273" s="18"/>
      <c r="TS273" s="18"/>
      <c r="TT273" s="18"/>
      <c r="TU273" s="18"/>
      <c r="TV273" s="18"/>
      <c r="TW273" s="18"/>
      <c r="TX273" s="18"/>
      <c r="TY273" s="18"/>
      <c r="TZ273" s="18"/>
      <c r="UA273" s="18"/>
      <c r="UB273" s="18"/>
      <c r="UC273" s="18"/>
      <c r="UD273" s="18"/>
      <c r="UE273" s="18"/>
      <c r="UF273" s="18"/>
      <c r="UG273" s="18"/>
      <c r="UH273" s="18"/>
      <c r="UI273" s="18"/>
      <c r="UJ273" s="18"/>
      <c r="UK273" s="18"/>
      <c r="UL273" s="18"/>
      <c r="UM273" s="18"/>
      <c r="UN273" s="18"/>
      <c r="UO273" s="18"/>
      <c r="UP273" s="18"/>
      <c r="UQ273" s="18"/>
      <c r="UR273" s="18"/>
      <c r="US273" s="18"/>
      <c r="UT273" s="18"/>
      <c r="UU273" s="18"/>
      <c r="UV273" s="18"/>
      <c r="UW273" s="18"/>
      <c r="UX273" s="18"/>
      <c r="UY273" s="18"/>
      <c r="UZ273" s="18"/>
      <c r="VA273" s="18"/>
      <c r="VB273" s="18"/>
      <c r="VC273" s="18"/>
      <c r="VD273" s="18"/>
      <c r="VE273" s="18"/>
      <c r="VF273" s="18"/>
      <c r="VG273" s="18"/>
      <c r="VH273" s="18"/>
      <c r="VI273" s="18"/>
      <c r="VJ273" s="18"/>
      <c r="VK273" s="18"/>
      <c r="VL273" s="18"/>
      <c r="VM273" s="18"/>
      <c r="VN273" s="18"/>
      <c r="VO273" s="18"/>
      <c r="VP273" s="18"/>
      <c r="VQ273" s="18"/>
      <c r="VR273" s="18"/>
      <c r="VS273" s="18"/>
      <c r="VT273" s="18"/>
      <c r="VU273" s="18"/>
      <c r="VV273" s="18"/>
      <c r="VW273" s="18"/>
      <c r="VX273" s="18"/>
      <c r="VY273" s="18"/>
      <c r="VZ273" s="18"/>
      <c r="WA273" s="18"/>
      <c r="WB273" s="18"/>
      <c r="WC273" s="18"/>
      <c r="WD273" s="18"/>
      <c r="WE273" s="18"/>
      <c r="WF273" s="18"/>
      <c r="WG273" s="18"/>
      <c r="WH273" s="18"/>
      <c r="WI273" s="18"/>
      <c r="WJ273" s="18"/>
      <c r="WK273" s="18"/>
      <c r="WL273" s="18"/>
      <c r="WM273" s="18"/>
      <c r="WN273" s="18"/>
      <c r="WO273" s="18"/>
      <c r="WP273" s="18"/>
      <c r="WQ273" s="18"/>
      <c r="WR273" s="18"/>
      <c r="WS273" s="18"/>
      <c r="WT273" s="18"/>
      <c r="WU273" s="18"/>
      <c r="WV273" s="18"/>
      <c r="WW273" s="18"/>
      <c r="WX273" s="18"/>
      <c r="WY273" s="18"/>
      <c r="WZ273" s="18"/>
      <c r="XA273" s="18"/>
      <c r="XB273" s="18"/>
      <c r="XC273" s="18"/>
      <c r="XD273" s="18"/>
      <c r="XE273" s="18"/>
      <c r="XF273" s="18"/>
      <c r="XG273" s="18"/>
      <c r="XH273" s="18"/>
      <c r="XI273" s="18"/>
      <c r="XJ273" s="18"/>
      <c r="XK273" s="18"/>
      <c r="XL273" s="18"/>
      <c r="XM273" s="18"/>
      <c r="XN273" s="18"/>
      <c r="XO273" s="18"/>
      <c r="XP273" s="18"/>
      <c r="XQ273" s="18"/>
      <c r="XR273" s="18"/>
      <c r="XS273" s="18"/>
      <c r="XT273" s="18"/>
      <c r="XU273" s="18"/>
      <c r="XV273" s="18"/>
      <c r="XW273" s="18"/>
      <c r="XX273" s="18"/>
      <c r="XY273" s="18"/>
      <c r="XZ273" s="18"/>
      <c r="YA273" s="18"/>
      <c r="YB273" s="18"/>
      <c r="YC273" s="18"/>
      <c r="YD273" s="18"/>
      <c r="YE273" s="18"/>
      <c r="YF273" s="18"/>
      <c r="YG273" s="18"/>
      <c r="YH273" s="18"/>
      <c r="YI273" s="18"/>
      <c r="YJ273" s="18"/>
      <c r="YK273" s="18"/>
      <c r="YL273" s="18"/>
      <c r="YM273" s="18"/>
      <c r="YN273" s="18"/>
      <c r="YO273" s="18"/>
      <c r="YP273" s="18"/>
      <c r="YQ273" s="18"/>
      <c r="YR273" s="18"/>
      <c r="YS273" s="18"/>
      <c r="YT273" s="18"/>
      <c r="YU273" s="18"/>
      <c r="YV273" s="18"/>
      <c r="YW273" s="18"/>
      <c r="YX273" s="18"/>
      <c r="YY273" s="18"/>
      <c r="YZ273" s="18"/>
      <c r="ZA273" s="18"/>
      <c r="ZB273" s="18"/>
      <c r="ZC273" s="18"/>
      <c r="ZD273" s="18"/>
      <c r="ZE273" s="18"/>
      <c r="ZF273" s="18"/>
      <c r="ZG273" s="18"/>
      <c r="ZH273" s="18"/>
      <c r="ZI273" s="18"/>
      <c r="ZJ273" s="18"/>
      <c r="ZK273" s="18"/>
      <c r="ZL273" s="18"/>
      <c r="ZM273" s="18"/>
      <c r="ZN273" s="18"/>
      <c r="ZO273" s="18"/>
      <c r="ZP273" s="18"/>
      <c r="ZQ273" s="18"/>
      <c r="ZR273" s="18"/>
      <c r="ZS273" s="18"/>
      <c r="ZT273" s="18"/>
      <c r="ZU273" s="18"/>
      <c r="ZV273" s="18"/>
      <c r="ZW273" s="18"/>
      <c r="ZX273" s="18"/>
      <c r="ZY273" s="18"/>
      <c r="ZZ273" s="18"/>
      <c r="AAA273" s="18"/>
      <c r="AAB273" s="18"/>
      <c r="AAC273" s="18"/>
      <c r="AAD273" s="18"/>
      <c r="AAE273" s="18"/>
      <c r="AAF273" s="18"/>
      <c r="AAG273" s="18"/>
      <c r="AAH273" s="18"/>
      <c r="AAI273" s="18"/>
      <c r="AAJ273" s="18"/>
      <c r="AAK273" s="18"/>
      <c r="AAL273" s="18"/>
      <c r="AAM273" s="18"/>
      <c r="AAN273" s="18"/>
      <c r="AAO273" s="18"/>
      <c r="AAP273" s="18"/>
      <c r="AAQ273" s="18"/>
      <c r="AAR273" s="18"/>
      <c r="AAS273" s="18"/>
      <c r="AAT273" s="18"/>
      <c r="AAU273" s="18"/>
      <c r="AAV273" s="18"/>
      <c r="AAW273" s="18"/>
      <c r="AAX273" s="18"/>
      <c r="AAY273" s="18"/>
      <c r="AAZ273" s="18"/>
      <c r="ABA273" s="18"/>
      <c r="ABB273" s="18"/>
      <c r="ABC273" s="18"/>
      <c r="ABD273" s="18"/>
      <c r="ABE273" s="18"/>
      <c r="ABF273" s="18"/>
      <c r="ABG273" s="18"/>
      <c r="ABH273" s="18"/>
      <c r="ABI273" s="18"/>
      <c r="ABJ273" s="18"/>
      <c r="ABK273" s="18"/>
      <c r="ABL273" s="18"/>
      <c r="ABM273" s="18"/>
      <c r="ABN273" s="18"/>
      <c r="ABO273" s="18"/>
      <c r="ABP273" s="18"/>
      <c r="ABQ273" s="18"/>
      <c r="ABR273" s="18"/>
      <c r="ABS273" s="18"/>
      <c r="ABT273" s="18"/>
      <c r="ABU273" s="18"/>
      <c r="ABV273" s="18"/>
      <c r="ABW273" s="18"/>
      <c r="ABX273" s="18"/>
      <c r="ABY273" s="18"/>
      <c r="ABZ273" s="18"/>
      <c r="ACA273" s="18"/>
      <c r="ACB273" s="18"/>
      <c r="ACC273" s="18"/>
      <c r="ACD273" s="18"/>
      <c r="ACE273" s="18"/>
      <c r="ACF273" s="18"/>
      <c r="ACG273" s="18"/>
      <c r="ACH273" s="18"/>
      <c r="ACI273" s="18"/>
      <c r="ACJ273" s="18"/>
      <c r="ACK273" s="18"/>
      <c r="ACL273" s="18"/>
      <c r="ACM273" s="18"/>
      <c r="ACN273" s="18"/>
      <c r="ACO273" s="18"/>
      <c r="ACP273" s="18"/>
      <c r="ACQ273" s="18"/>
      <c r="ACR273" s="18"/>
      <c r="ACS273" s="18"/>
      <c r="ACT273" s="18"/>
      <c r="ACU273" s="18"/>
      <c r="ACV273" s="18"/>
      <c r="ACW273" s="18"/>
      <c r="ACX273" s="18"/>
      <c r="ACY273" s="18"/>
      <c r="ACZ273" s="18"/>
      <c r="ADA273" s="18"/>
      <c r="ADB273" s="18"/>
      <c r="ADC273" s="18"/>
      <c r="ADD273" s="18"/>
      <c r="ADE273" s="18"/>
      <c r="ADF273" s="18"/>
      <c r="ADG273" s="18"/>
      <c r="ADH273" s="18"/>
      <c r="ADI273" s="18"/>
      <c r="ADJ273" s="18"/>
      <c r="ADK273" s="18"/>
      <c r="ADL273" s="18"/>
      <c r="ADM273" s="18"/>
      <c r="ADN273" s="18"/>
      <c r="ADO273" s="18"/>
      <c r="ADP273" s="18"/>
      <c r="ADQ273" s="18"/>
      <c r="ADR273" s="18"/>
      <c r="ADS273" s="18"/>
      <c r="ADT273" s="18"/>
      <c r="ADU273" s="18"/>
      <c r="ADV273" s="18"/>
      <c r="ADW273" s="18"/>
      <c r="ADX273" s="18"/>
      <c r="ADY273" s="18"/>
      <c r="ADZ273" s="18"/>
      <c r="AEA273" s="18"/>
      <c r="AEB273" s="18"/>
      <c r="AEC273" s="18"/>
      <c r="AED273" s="18"/>
      <c r="AEE273" s="18"/>
      <c r="AEF273" s="18"/>
      <c r="AEG273" s="18"/>
      <c r="AEH273" s="18"/>
      <c r="AEI273" s="18"/>
      <c r="AEJ273" s="18"/>
      <c r="AEK273" s="18"/>
      <c r="AEL273" s="18"/>
      <c r="AEM273" s="18"/>
      <c r="AEN273" s="18"/>
      <c r="AEO273" s="18"/>
      <c r="AEP273" s="18"/>
      <c r="AEQ273" s="18"/>
      <c r="AER273" s="18"/>
      <c r="AES273" s="18"/>
      <c r="AET273" s="18"/>
      <c r="AEU273" s="18"/>
      <c r="AEV273" s="18"/>
      <c r="AEW273" s="18"/>
      <c r="AEX273" s="18"/>
      <c r="AEY273" s="18"/>
      <c r="AEZ273" s="18"/>
      <c r="AFA273" s="18"/>
      <c r="AFB273" s="18"/>
      <c r="AFC273" s="18"/>
      <c r="AFD273" s="18"/>
      <c r="AFE273" s="18"/>
      <c r="AFF273" s="18"/>
      <c r="AFG273" s="18"/>
      <c r="AFH273" s="18"/>
      <c r="AFI273" s="18"/>
      <c r="AFJ273" s="18"/>
      <c r="AFK273" s="18"/>
      <c r="AFL273" s="18"/>
      <c r="AFM273" s="18"/>
      <c r="AFN273" s="18"/>
      <c r="AFO273" s="18"/>
      <c r="AFP273" s="18"/>
      <c r="AFQ273" s="18"/>
      <c r="AFR273" s="18"/>
      <c r="AFS273" s="18"/>
      <c r="AFT273" s="18"/>
      <c r="AFU273" s="18"/>
      <c r="AFV273" s="18"/>
      <c r="AFW273" s="18"/>
      <c r="AFX273" s="18"/>
      <c r="AFY273" s="18"/>
      <c r="AFZ273" s="18"/>
      <c r="AGA273" s="18"/>
      <c r="AGB273" s="18"/>
      <c r="AGC273" s="18"/>
      <c r="AGD273" s="18"/>
      <c r="AGE273" s="18"/>
      <c r="AGF273" s="18"/>
      <c r="AGG273" s="18"/>
      <c r="AGH273" s="18"/>
      <c r="AGI273" s="18"/>
      <c r="AGJ273" s="18"/>
      <c r="AGK273" s="18"/>
      <c r="AGL273" s="18"/>
      <c r="AGM273" s="18"/>
      <c r="AGN273" s="18"/>
      <c r="AGO273" s="18"/>
      <c r="AGP273" s="18"/>
      <c r="AGQ273" s="18"/>
      <c r="AGR273" s="18"/>
      <c r="AGS273" s="18"/>
      <c r="AGT273" s="18"/>
      <c r="AGU273" s="18"/>
      <c r="AGV273" s="18"/>
      <c r="AGW273" s="18"/>
      <c r="AGX273" s="18"/>
      <c r="AGY273" s="18"/>
      <c r="AGZ273" s="18"/>
      <c r="AHA273" s="18"/>
      <c r="AHB273" s="18"/>
      <c r="AHC273" s="18"/>
      <c r="AHD273" s="18"/>
      <c r="AHE273" s="18"/>
      <c r="AHF273" s="18"/>
      <c r="AHG273" s="18"/>
      <c r="AHH273" s="18"/>
      <c r="AHI273" s="18"/>
      <c r="AHJ273" s="18"/>
      <c r="AHK273" s="18"/>
      <c r="AHL273" s="18"/>
      <c r="AHM273" s="18"/>
      <c r="AHN273" s="18"/>
      <c r="AHO273" s="18"/>
      <c r="AHP273" s="18"/>
      <c r="AHQ273" s="18"/>
      <c r="AHR273" s="18"/>
      <c r="AHS273" s="18"/>
      <c r="AHT273" s="18"/>
      <c r="AHU273" s="18"/>
      <c r="AHV273" s="18"/>
      <c r="AHW273" s="18"/>
      <c r="AHX273" s="18"/>
      <c r="AHY273" s="18"/>
      <c r="AHZ273" s="18"/>
      <c r="AIA273" s="18"/>
      <c r="AIB273" s="18"/>
      <c r="AIC273" s="18"/>
      <c r="AID273" s="18"/>
      <c r="AIE273" s="18"/>
      <c r="AIF273" s="18"/>
      <c r="AIG273" s="18"/>
      <c r="AIH273" s="18"/>
      <c r="AII273" s="18"/>
      <c r="AIJ273" s="18"/>
      <c r="AIK273" s="18"/>
      <c r="AIL273" s="18"/>
      <c r="AIM273" s="18"/>
      <c r="AIN273" s="18"/>
      <c r="AIO273" s="18"/>
      <c r="AIP273" s="18"/>
      <c r="AIQ273" s="18"/>
      <c r="AIR273" s="18"/>
      <c r="AIS273" s="18"/>
      <c r="AIT273" s="18"/>
      <c r="AIU273" s="18"/>
      <c r="AIV273" s="18"/>
      <c r="AIW273" s="18"/>
      <c r="AIX273" s="18"/>
      <c r="AIY273" s="18"/>
      <c r="AIZ273" s="18"/>
      <c r="AJA273" s="18"/>
      <c r="AJB273" s="18"/>
      <c r="AJC273" s="18"/>
      <c r="AJD273" s="18"/>
      <c r="AJE273" s="18"/>
      <c r="AJF273" s="18"/>
      <c r="AJG273" s="18"/>
      <c r="AJH273" s="18"/>
      <c r="AJI273" s="18"/>
      <c r="AJJ273" s="18"/>
      <c r="AJK273" s="18"/>
      <c r="AJL273" s="18"/>
      <c r="AJM273" s="18"/>
      <c r="AJN273" s="18"/>
      <c r="AJO273" s="18"/>
      <c r="AJP273" s="18"/>
      <c r="AJQ273" s="18"/>
      <c r="AJR273" s="18"/>
      <c r="AJS273" s="18"/>
      <c r="AJT273" s="18"/>
      <c r="AJU273" s="18"/>
      <c r="AJV273" s="18"/>
      <c r="AJW273" s="18"/>
      <c r="AJX273" s="18"/>
      <c r="AJY273" s="18"/>
      <c r="AJZ273" s="18"/>
      <c r="AKA273" s="18"/>
      <c r="AKB273" s="18"/>
      <c r="AKC273" s="18"/>
      <c r="AKD273" s="18"/>
      <c r="AKE273" s="18"/>
      <c r="AKF273" s="18"/>
      <c r="AKG273" s="18"/>
      <c r="AKH273" s="18"/>
      <c r="AKI273" s="18"/>
      <c r="AKJ273" s="18"/>
      <c r="AKK273" s="18"/>
      <c r="AKL273" s="18"/>
      <c r="AKM273" s="18"/>
      <c r="AKN273" s="18"/>
      <c r="AKO273" s="18"/>
      <c r="AKP273" s="18"/>
      <c r="AKQ273" s="18"/>
      <c r="AKR273" s="18"/>
      <c r="AKS273" s="18"/>
      <c r="AKT273" s="18"/>
      <c r="AKU273" s="18"/>
      <c r="AKV273" s="18"/>
      <c r="AKW273" s="18"/>
      <c r="AKX273" s="18"/>
      <c r="AKY273" s="18"/>
      <c r="AKZ273" s="18"/>
      <c r="ALA273" s="18"/>
      <c r="ALB273" s="18"/>
      <c r="ALC273" s="18"/>
      <c r="ALD273" s="18"/>
      <c r="ALE273" s="18"/>
      <c r="ALF273" s="18"/>
      <c r="ALG273" s="18"/>
      <c r="ALH273" s="18"/>
      <c r="ALI273" s="18"/>
      <c r="ALJ273" s="18"/>
      <c r="ALK273" s="18"/>
      <c r="ALL273" s="18"/>
      <c r="ALM273" s="18"/>
      <c r="ALN273" s="18"/>
      <c r="ALO273" s="18"/>
      <c r="ALP273" s="18"/>
      <c r="ALQ273" s="18"/>
      <c r="ALR273" s="18"/>
      <c r="ALS273" s="18"/>
      <c r="ALT273" s="18"/>
      <c r="ALU273" s="18"/>
      <c r="ALV273" s="18"/>
      <c r="ALW273" s="18"/>
      <c r="ALX273" s="18"/>
      <c r="ALY273" s="18"/>
      <c r="ALZ273" s="18"/>
      <c r="AMA273" s="18"/>
      <c r="AMB273" s="18"/>
      <c r="AMC273" s="18"/>
      <c r="AMD273" s="18"/>
      <c r="AME273" s="18"/>
      <c r="AMF273" s="18"/>
      <c r="AMG273" s="18"/>
      <c r="AMH273" s="18"/>
      <c r="AMI273" s="18"/>
      <c r="AMJ273" s="18"/>
      <c r="AMK273" s="18"/>
      <c r="AML273" s="18"/>
      <c r="AMM273" s="18"/>
      <c r="AMN273" s="18"/>
      <c r="AMO273" s="18"/>
      <c r="AMP273" s="18"/>
      <c r="AMQ273" s="18"/>
      <c r="AMR273" s="18"/>
      <c r="AMS273" s="18"/>
      <c r="AMT273" s="18"/>
      <c r="AMU273" s="18"/>
      <c r="AMV273" s="18"/>
      <c r="AMW273" s="18"/>
      <c r="AMX273" s="18"/>
      <c r="AMY273" s="18"/>
      <c r="AMZ273" s="18"/>
      <c r="ANA273" s="18"/>
      <c r="ANB273" s="18"/>
      <c r="ANC273" s="18"/>
      <c r="AND273" s="18"/>
      <c r="ANE273" s="18"/>
      <c r="ANF273" s="18"/>
      <c r="ANG273" s="18"/>
      <c r="ANH273" s="18"/>
      <c r="ANI273" s="18"/>
      <c r="ANJ273" s="18"/>
      <c r="ANK273" s="18"/>
      <c r="ANL273" s="18"/>
      <c r="ANM273" s="18"/>
      <c r="ANN273" s="18"/>
      <c r="ANO273" s="18"/>
      <c r="ANP273" s="18"/>
      <c r="ANQ273" s="18"/>
      <c r="ANR273" s="18"/>
      <c r="ANS273" s="18"/>
      <c r="ANT273" s="18"/>
      <c r="ANU273" s="18"/>
      <c r="ANV273" s="18"/>
      <c r="ANW273" s="18"/>
      <c r="ANX273" s="18"/>
      <c r="ANY273" s="18"/>
      <c r="ANZ273" s="18"/>
      <c r="AOA273" s="18"/>
      <c r="AOB273" s="18"/>
      <c r="AOC273" s="18"/>
      <c r="AOD273" s="18"/>
      <c r="AOE273" s="18"/>
      <c r="AOF273" s="18"/>
      <c r="AOG273" s="18"/>
      <c r="AOH273" s="18"/>
      <c r="AOI273" s="18"/>
      <c r="AOJ273" s="18"/>
      <c r="AOK273" s="18"/>
      <c r="AOL273" s="18"/>
      <c r="AOM273" s="18"/>
      <c r="AON273" s="18"/>
      <c r="AOO273" s="18"/>
      <c r="AOP273" s="18"/>
      <c r="AOQ273" s="18"/>
      <c r="AOR273" s="18"/>
      <c r="AOS273" s="18"/>
      <c r="AOT273" s="18"/>
      <c r="AOU273" s="18"/>
      <c r="AOV273" s="18"/>
      <c r="AOW273" s="18"/>
      <c r="AOX273" s="18"/>
      <c r="AOY273" s="18"/>
      <c r="AOZ273" s="18"/>
      <c r="APA273" s="18"/>
      <c r="APB273" s="18"/>
      <c r="APC273" s="18"/>
      <c r="APD273" s="18"/>
      <c r="APE273" s="18"/>
      <c r="APF273" s="18"/>
      <c r="APG273" s="18"/>
      <c r="APH273" s="18"/>
      <c r="API273" s="18"/>
      <c r="APJ273" s="18"/>
      <c r="APK273" s="18"/>
      <c r="APL273" s="18"/>
      <c r="APM273" s="18"/>
      <c r="APN273" s="18"/>
      <c r="APO273" s="18"/>
      <c r="APP273" s="18"/>
      <c r="APQ273" s="18"/>
      <c r="APR273" s="18"/>
      <c r="APS273" s="18"/>
      <c r="APT273" s="18"/>
      <c r="APU273" s="18"/>
      <c r="APV273" s="18"/>
      <c r="APW273" s="18"/>
      <c r="APX273" s="18"/>
      <c r="APY273" s="18"/>
      <c r="APZ273" s="18"/>
      <c r="AQA273" s="18"/>
      <c r="AQB273" s="18"/>
      <c r="AQC273" s="18"/>
      <c r="AQD273" s="18"/>
      <c r="AQE273" s="18"/>
      <c r="AQF273" s="18"/>
      <c r="AQG273" s="18"/>
      <c r="AQH273" s="18"/>
      <c r="AQI273" s="18"/>
      <c r="AQJ273" s="18"/>
      <c r="AQK273" s="18"/>
      <c r="AQL273" s="18"/>
      <c r="AQM273" s="18"/>
      <c r="AQN273" s="18"/>
      <c r="AQO273" s="18"/>
      <c r="AQP273" s="18"/>
      <c r="AQQ273" s="18"/>
      <c r="AQR273" s="18"/>
      <c r="AQS273" s="18"/>
      <c r="AQT273" s="18"/>
      <c r="AQU273" s="18"/>
      <c r="AQV273" s="18"/>
      <c r="AQW273" s="18"/>
      <c r="AQX273" s="18"/>
      <c r="AQY273" s="18"/>
      <c r="AQZ273" s="18"/>
      <c r="ARA273" s="18"/>
      <c r="ARB273" s="18"/>
      <c r="ARC273" s="18"/>
      <c r="ARD273" s="18"/>
      <c r="ARE273" s="18"/>
      <c r="ARF273" s="18"/>
      <c r="ARG273" s="18"/>
      <c r="ARH273" s="18"/>
      <c r="ARI273" s="18"/>
      <c r="ARJ273" s="18"/>
      <c r="ARK273" s="18"/>
      <c r="ARL273" s="18"/>
      <c r="ARM273" s="18"/>
      <c r="ARN273" s="18"/>
      <c r="ARO273" s="18"/>
      <c r="ARP273" s="18"/>
      <c r="ARQ273" s="18"/>
      <c r="ARR273" s="18"/>
      <c r="ARS273" s="18"/>
      <c r="ART273" s="18"/>
      <c r="ARU273" s="18"/>
      <c r="ARV273" s="18"/>
      <c r="ARW273" s="18"/>
      <c r="ARX273" s="18"/>
      <c r="ARY273" s="18"/>
      <c r="ARZ273" s="18"/>
      <c r="ASA273" s="18"/>
      <c r="ASB273" s="18"/>
      <c r="ASC273" s="18"/>
      <c r="ASD273" s="18"/>
      <c r="ASE273" s="18"/>
      <c r="ASF273" s="18"/>
      <c r="ASG273" s="18"/>
      <c r="ASH273" s="18"/>
      <c r="ASI273" s="18"/>
      <c r="ASJ273" s="18"/>
      <c r="ASK273" s="18"/>
      <c r="ASL273" s="18"/>
      <c r="ASM273" s="18"/>
      <c r="ASN273" s="18"/>
      <c r="ASO273" s="18"/>
      <c r="ASP273" s="18"/>
      <c r="ASQ273" s="18"/>
      <c r="ASR273" s="18"/>
      <c r="ASS273" s="18"/>
      <c r="AST273" s="18"/>
      <c r="ASU273" s="18"/>
      <c r="ASV273" s="18"/>
      <c r="ASW273" s="18"/>
      <c r="ASX273" s="18"/>
      <c r="ASY273" s="18"/>
      <c r="ASZ273" s="18"/>
      <c r="ATA273" s="18"/>
      <c r="ATB273" s="18"/>
      <c r="ATC273" s="18"/>
      <c r="ATD273" s="18"/>
      <c r="ATE273" s="18"/>
      <c r="ATF273" s="18"/>
      <c r="ATG273" s="18"/>
      <c r="ATH273" s="18"/>
      <c r="ATI273" s="18"/>
      <c r="ATJ273" s="18"/>
      <c r="ATK273" s="18"/>
      <c r="ATL273" s="18"/>
      <c r="ATM273" s="18"/>
      <c r="ATN273" s="18"/>
      <c r="ATO273" s="18"/>
      <c r="ATP273" s="18"/>
      <c r="ATQ273" s="18"/>
      <c r="ATR273" s="18"/>
      <c r="ATS273" s="18"/>
      <c r="ATT273" s="18"/>
      <c r="ATU273" s="18"/>
      <c r="ATV273" s="18"/>
      <c r="ATW273" s="18"/>
      <c r="ATX273" s="18"/>
      <c r="ATY273" s="18"/>
      <c r="ATZ273" s="18"/>
      <c r="AUA273" s="18"/>
      <c r="AUB273" s="18"/>
      <c r="AUC273" s="18"/>
      <c r="AUD273" s="18"/>
      <c r="AUE273" s="18"/>
      <c r="AUF273" s="18"/>
      <c r="AUG273" s="18"/>
      <c r="AUH273" s="18"/>
      <c r="AUI273" s="18"/>
      <c r="AUJ273" s="18"/>
      <c r="AUK273" s="18"/>
      <c r="AUL273" s="18"/>
      <c r="AUM273" s="18"/>
      <c r="AUN273" s="18"/>
      <c r="AUO273" s="18"/>
      <c r="AUP273" s="18"/>
      <c r="AUQ273" s="18"/>
      <c r="AUR273" s="18"/>
      <c r="AUS273" s="18"/>
      <c r="AUT273" s="18"/>
      <c r="AUU273" s="18"/>
      <c r="AUV273" s="18"/>
      <c r="AUW273" s="18"/>
      <c r="AUX273" s="18"/>
      <c r="AUY273" s="18"/>
      <c r="AUZ273" s="18"/>
      <c r="AVA273" s="18"/>
      <c r="AVB273" s="18"/>
      <c r="AVC273" s="18"/>
      <c r="AVD273" s="18"/>
      <c r="AVE273" s="18"/>
      <c r="AVF273" s="18"/>
      <c r="AVG273" s="18"/>
      <c r="AVH273" s="18"/>
      <c r="AVI273" s="18"/>
      <c r="AVJ273" s="18"/>
      <c r="AVK273" s="18"/>
      <c r="AVL273" s="18"/>
      <c r="AVM273" s="18"/>
      <c r="AVN273" s="18"/>
      <c r="AVO273" s="18"/>
      <c r="AVP273" s="18"/>
      <c r="AVQ273" s="18"/>
      <c r="AVR273" s="18"/>
      <c r="AVS273" s="18"/>
      <c r="AVT273" s="18"/>
      <c r="AVU273" s="18"/>
      <c r="AVV273" s="18"/>
      <c r="AVW273" s="18"/>
      <c r="AVX273" s="18"/>
      <c r="AVY273" s="18"/>
      <c r="AVZ273" s="18"/>
      <c r="AWA273" s="18"/>
      <c r="AWB273" s="18"/>
      <c r="AWC273" s="18"/>
      <c r="AWD273" s="18"/>
      <c r="AWE273" s="18"/>
      <c r="AWF273" s="18"/>
      <c r="AWG273" s="18"/>
      <c r="AWH273" s="18"/>
      <c r="AWI273" s="18"/>
      <c r="AWJ273" s="18"/>
      <c r="AWK273" s="18"/>
      <c r="AWL273" s="18"/>
      <c r="AWM273" s="18"/>
      <c r="AWN273" s="18"/>
      <c r="AWO273" s="18"/>
      <c r="AWP273" s="18"/>
      <c r="AWQ273" s="18"/>
      <c r="AWR273" s="18"/>
      <c r="AWS273" s="18"/>
      <c r="AWT273" s="18"/>
      <c r="AWU273" s="18"/>
      <c r="AWV273" s="18"/>
      <c r="AWW273" s="18"/>
      <c r="AWX273" s="18"/>
      <c r="AWY273" s="18"/>
      <c r="AWZ273" s="18"/>
      <c r="AXA273" s="18"/>
      <c r="AXB273" s="18"/>
      <c r="AXC273" s="18"/>
      <c r="AXD273" s="18"/>
      <c r="AXE273" s="18"/>
      <c r="AXF273" s="18"/>
      <c r="AXG273" s="18"/>
      <c r="AXH273" s="18"/>
      <c r="AXI273" s="18"/>
      <c r="AXJ273" s="18"/>
      <c r="AXK273" s="18"/>
      <c r="AXL273" s="18"/>
      <c r="AXM273" s="18"/>
      <c r="AXN273" s="18"/>
      <c r="AXO273" s="18"/>
      <c r="AXP273" s="18"/>
      <c r="AXQ273" s="18"/>
      <c r="AXR273" s="18"/>
      <c r="AXS273" s="18"/>
      <c r="AXT273" s="18"/>
      <c r="AXU273" s="18"/>
      <c r="AXV273" s="18"/>
      <c r="AXW273" s="18"/>
      <c r="AXX273" s="18"/>
      <c r="AXY273" s="18"/>
      <c r="AXZ273" s="18"/>
      <c r="AYA273" s="18"/>
      <c r="AYB273" s="18"/>
      <c r="AYC273" s="18"/>
      <c r="AYD273" s="18"/>
      <c r="AYE273" s="18"/>
      <c r="AYF273" s="18"/>
      <c r="AYG273" s="18"/>
      <c r="AYH273" s="18"/>
      <c r="AYI273" s="18"/>
      <c r="AYJ273" s="18"/>
      <c r="AYK273" s="18"/>
      <c r="AYL273" s="18"/>
      <c r="AYM273" s="18"/>
      <c r="AYN273" s="18"/>
      <c r="AYO273" s="18"/>
      <c r="AYP273" s="18"/>
      <c r="AYQ273" s="18"/>
      <c r="AYR273" s="18"/>
      <c r="AYS273" s="18"/>
      <c r="AYT273" s="18"/>
      <c r="AYU273" s="18"/>
      <c r="AYV273" s="18"/>
      <c r="AYW273" s="18"/>
      <c r="AYX273" s="18"/>
      <c r="AYY273" s="18"/>
      <c r="AYZ273" s="18"/>
      <c r="AZA273" s="18"/>
      <c r="AZB273" s="18"/>
      <c r="AZC273" s="18"/>
      <c r="AZD273" s="18"/>
      <c r="AZE273" s="18"/>
      <c r="AZF273" s="18"/>
      <c r="AZG273" s="18"/>
      <c r="AZH273" s="18"/>
      <c r="AZI273" s="18"/>
      <c r="AZJ273" s="18"/>
      <c r="AZK273" s="18"/>
      <c r="AZL273" s="18"/>
      <c r="AZM273" s="18"/>
      <c r="AZN273" s="18"/>
      <c r="AZO273" s="18"/>
      <c r="AZP273" s="18"/>
      <c r="AZQ273" s="18"/>
      <c r="AZR273" s="18"/>
      <c r="AZS273" s="18"/>
      <c r="AZT273" s="18"/>
      <c r="AZU273" s="18"/>
      <c r="AZV273" s="18"/>
      <c r="AZW273" s="18"/>
      <c r="AZX273" s="18"/>
      <c r="AZY273" s="18"/>
      <c r="AZZ273" s="18"/>
      <c r="BAA273" s="18"/>
      <c r="BAB273" s="18"/>
      <c r="BAC273" s="18"/>
      <c r="BAD273" s="18"/>
      <c r="BAE273" s="18"/>
      <c r="BAF273" s="18"/>
      <c r="BAG273" s="18"/>
      <c r="BAH273" s="18"/>
      <c r="BAI273" s="18"/>
      <c r="BAJ273" s="18"/>
      <c r="BAK273" s="18"/>
      <c r="BAL273" s="18"/>
      <c r="BAM273" s="18"/>
      <c r="BAN273" s="18"/>
      <c r="BAO273" s="18"/>
      <c r="BAP273" s="18"/>
      <c r="BAQ273" s="18"/>
      <c r="BAR273" s="18"/>
      <c r="BAS273" s="18"/>
      <c r="BAT273" s="18"/>
      <c r="BAU273" s="18"/>
      <c r="BAV273" s="18"/>
      <c r="BAW273" s="18"/>
      <c r="BAX273" s="18"/>
      <c r="BAY273" s="18"/>
      <c r="BAZ273" s="18"/>
      <c r="BBA273" s="18"/>
      <c r="BBB273" s="18"/>
      <c r="BBC273" s="18"/>
      <c r="BBD273" s="18"/>
      <c r="BBE273" s="18"/>
      <c r="BBF273" s="18"/>
      <c r="BBG273" s="18"/>
      <c r="BBH273" s="18"/>
      <c r="BBI273" s="18"/>
      <c r="BBJ273" s="18"/>
      <c r="BBK273" s="18"/>
      <c r="BBL273" s="18"/>
      <c r="BBM273" s="18"/>
      <c r="BBN273" s="18"/>
      <c r="BBO273" s="18"/>
      <c r="BBP273" s="18"/>
      <c r="BBQ273" s="18"/>
      <c r="BBR273" s="18"/>
      <c r="BBS273" s="18"/>
      <c r="BBT273" s="18"/>
      <c r="BBU273" s="18"/>
      <c r="BBV273" s="18"/>
      <c r="BBW273" s="18"/>
      <c r="BBX273" s="18"/>
      <c r="BBY273" s="18"/>
      <c r="BBZ273" s="18"/>
      <c r="BCA273" s="18"/>
      <c r="BCB273" s="18"/>
      <c r="BCC273" s="18"/>
      <c r="BCD273" s="18"/>
      <c r="BCE273" s="18"/>
      <c r="BCF273" s="18"/>
      <c r="BCG273" s="18"/>
      <c r="BCH273" s="18"/>
      <c r="BCI273" s="18"/>
      <c r="BCJ273" s="18"/>
      <c r="BCK273" s="18"/>
      <c r="BCL273" s="18"/>
      <c r="BCM273" s="18"/>
      <c r="BCN273" s="18"/>
      <c r="BCO273" s="18"/>
      <c r="BCP273" s="18"/>
      <c r="BCQ273" s="18"/>
      <c r="BCR273" s="18"/>
      <c r="BCS273" s="18"/>
      <c r="BCT273" s="18"/>
      <c r="BCU273" s="18"/>
      <c r="BCV273" s="18"/>
      <c r="BCW273" s="18"/>
      <c r="BCX273" s="18"/>
      <c r="BCY273" s="18"/>
      <c r="BCZ273" s="18"/>
      <c r="BDA273" s="18"/>
      <c r="BDB273" s="18"/>
      <c r="BDC273" s="18"/>
      <c r="BDD273" s="18"/>
      <c r="BDE273" s="18"/>
      <c r="BDF273" s="18"/>
      <c r="BDG273" s="18"/>
      <c r="BDH273" s="18"/>
      <c r="BDI273" s="18"/>
      <c r="BDJ273" s="18"/>
      <c r="BDK273" s="18"/>
      <c r="BDL273" s="18"/>
      <c r="BDM273" s="18"/>
      <c r="BDN273" s="18"/>
      <c r="BDO273" s="18"/>
      <c r="BDP273" s="18"/>
      <c r="BDQ273" s="18"/>
      <c r="BDR273" s="18"/>
      <c r="BDS273" s="18"/>
      <c r="BDT273" s="18"/>
      <c r="BDU273" s="18"/>
      <c r="BDV273" s="18"/>
      <c r="BDW273" s="18"/>
      <c r="BDX273" s="18"/>
      <c r="BDY273" s="18"/>
      <c r="BDZ273" s="18"/>
      <c r="BEA273" s="18"/>
      <c r="BEB273" s="18"/>
      <c r="BEC273" s="18"/>
      <c r="BED273" s="18"/>
      <c r="BEE273" s="18"/>
      <c r="BEF273" s="18"/>
      <c r="BEG273" s="18"/>
      <c r="BEH273" s="18"/>
      <c r="BEI273" s="18"/>
      <c r="BEJ273" s="18"/>
      <c r="BEK273" s="18"/>
      <c r="BEL273" s="18"/>
      <c r="BEM273" s="18"/>
      <c r="BEN273" s="18"/>
      <c r="BEO273" s="18"/>
      <c r="BEP273" s="18"/>
      <c r="BEQ273" s="18"/>
      <c r="BER273" s="18"/>
      <c r="BES273" s="18"/>
      <c r="BET273" s="18"/>
      <c r="BEU273" s="18"/>
      <c r="BEV273" s="18"/>
      <c r="BEW273" s="18"/>
      <c r="BEX273" s="18"/>
      <c r="BEY273" s="18"/>
      <c r="BEZ273" s="18"/>
      <c r="BFA273" s="18"/>
      <c r="BFB273" s="18"/>
      <c r="BFC273" s="18"/>
      <c r="BFD273" s="18"/>
      <c r="BFE273" s="18"/>
      <c r="BFF273" s="18"/>
      <c r="BFG273" s="18"/>
      <c r="BFH273" s="18"/>
      <c r="BFI273" s="18"/>
      <c r="BFJ273" s="18"/>
      <c r="BFK273" s="18"/>
      <c r="BFL273" s="18"/>
      <c r="BFM273" s="18"/>
      <c r="BFN273" s="18"/>
      <c r="BFO273" s="18"/>
      <c r="BFP273" s="18"/>
      <c r="BFQ273" s="18"/>
      <c r="BFR273" s="18"/>
      <c r="BFS273" s="18"/>
      <c r="BFT273" s="18"/>
      <c r="BFU273" s="18"/>
      <c r="BFV273" s="18"/>
      <c r="BFW273" s="18"/>
      <c r="BFX273" s="18"/>
      <c r="BFY273" s="18"/>
      <c r="BFZ273" s="18"/>
      <c r="BGA273" s="18"/>
      <c r="BGB273" s="18"/>
      <c r="BGC273" s="18"/>
      <c r="BGD273" s="18"/>
      <c r="BGE273" s="18"/>
      <c r="BGF273" s="18"/>
      <c r="BGG273" s="18"/>
      <c r="BGH273" s="18"/>
      <c r="BGI273" s="18"/>
      <c r="BGJ273" s="18"/>
      <c r="BGK273" s="18"/>
      <c r="BGL273" s="18"/>
      <c r="BGM273" s="18"/>
      <c r="BGN273" s="18"/>
      <c r="BGO273" s="18"/>
      <c r="BGP273" s="18"/>
      <c r="BGQ273" s="18"/>
      <c r="BGR273" s="18"/>
      <c r="BGS273" s="18"/>
      <c r="BGT273" s="18"/>
      <c r="BGU273" s="18"/>
      <c r="BGV273" s="18"/>
      <c r="BGW273" s="18"/>
      <c r="BGX273" s="18"/>
      <c r="BGY273" s="18"/>
      <c r="BGZ273" s="18"/>
      <c r="BHA273" s="18"/>
      <c r="BHB273" s="18"/>
      <c r="BHC273" s="18"/>
      <c r="BHD273" s="18"/>
      <c r="BHE273" s="18"/>
      <c r="BHF273" s="18"/>
      <c r="BHG273" s="18"/>
      <c r="BHH273" s="18"/>
      <c r="BHI273" s="18"/>
      <c r="BHJ273" s="18"/>
      <c r="BHK273" s="18"/>
      <c r="BHL273" s="18"/>
      <c r="BHM273" s="18"/>
      <c r="BHN273" s="18"/>
      <c r="BHO273" s="18"/>
      <c r="BHP273" s="18"/>
      <c r="BHQ273" s="18"/>
      <c r="BHR273" s="18"/>
      <c r="BHS273" s="18"/>
      <c r="BHT273" s="18"/>
      <c r="BHU273" s="18"/>
      <c r="BHV273" s="18"/>
      <c r="BHW273" s="18"/>
      <c r="BHX273" s="18"/>
      <c r="BHY273" s="18"/>
      <c r="BHZ273" s="18"/>
      <c r="BIA273" s="18"/>
      <c r="BIB273" s="18"/>
      <c r="BIC273" s="18"/>
      <c r="BID273" s="18"/>
      <c r="BIE273" s="18"/>
      <c r="BIF273" s="18"/>
      <c r="BIG273" s="18"/>
      <c r="BIH273" s="18"/>
      <c r="BII273" s="18"/>
      <c r="BIJ273" s="18"/>
      <c r="BIK273" s="18"/>
      <c r="BIL273" s="18"/>
      <c r="BIM273" s="18"/>
      <c r="BIN273" s="18"/>
      <c r="BIO273" s="18"/>
      <c r="BIP273" s="18"/>
      <c r="BIQ273" s="18"/>
      <c r="BIR273" s="18"/>
      <c r="BIS273" s="18"/>
      <c r="BIT273" s="18"/>
      <c r="BIU273" s="18"/>
      <c r="BIV273" s="18"/>
      <c r="BIW273" s="18"/>
      <c r="BIX273" s="18"/>
      <c r="BIY273" s="18"/>
      <c r="BIZ273" s="18"/>
      <c r="BJA273" s="18"/>
      <c r="BJB273" s="18"/>
      <c r="BJC273" s="18"/>
      <c r="BJD273" s="18"/>
      <c r="BJE273" s="18"/>
      <c r="BJF273" s="18"/>
      <c r="BJG273" s="18"/>
      <c r="BJH273" s="18"/>
      <c r="BJI273" s="18"/>
      <c r="BJJ273" s="18"/>
      <c r="BJK273" s="18"/>
      <c r="BJL273" s="18"/>
      <c r="BJM273" s="18"/>
      <c r="BJN273" s="18"/>
      <c r="BJO273" s="18"/>
      <c r="BJP273" s="18"/>
      <c r="BJQ273" s="18"/>
      <c r="BJR273" s="18"/>
      <c r="BJS273" s="18"/>
      <c r="BJT273" s="18"/>
      <c r="BJU273" s="18"/>
      <c r="BJV273" s="18"/>
      <c r="BJW273" s="18"/>
      <c r="BJX273" s="18"/>
      <c r="BJY273" s="18"/>
      <c r="BJZ273" s="18"/>
      <c r="BKA273" s="18"/>
      <c r="BKB273" s="18"/>
      <c r="BKC273" s="18"/>
      <c r="BKD273" s="18"/>
      <c r="BKE273" s="18"/>
      <c r="BKF273" s="18"/>
      <c r="BKG273" s="18"/>
      <c r="BKH273" s="18"/>
      <c r="BKI273" s="18"/>
      <c r="BKJ273" s="18"/>
      <c r="BKK273" s="18"/>
      <c r="BKL273" s="18"/>
      <c r="BKM273" s="18"/>
      <c r="BKN273" s="18"/>
      <c r="BKO273" s="18"/>
      <c r="BKP273" s="18"/>
      <c r="BKQ273" s="18"/>
      <c r="BKR273" s="18"/>
      <c r="BKS273" s="18"/>
      <c r="BKT273" s="18"/>
      <c r="BKU273" s="18"/>
      <c r="BKV273" s="18"/>
      <c r="BKW273" s="18"/>
      <c r="BKX273" s="18"/>
      <c r="BKY273" s="18"/>
      <c r="BKZ273" s="18"/>
      <c r="BLA273" s="18"/>
      <c r="BLB273" s="18"/>
      <c r="BLC273" s="18"/>
      <c r="BLD273" s="18"/>
      <c r="BLE273" s="18"/>
      <c r="BLF273" s="18"/>
      <c r="BLG273" s="18"/>
      <c r="BLH273" s="18"/>
      <c r="BLI273" s="18"/>
      <c r="BLJ273" s="18"/>
      <c r="BLK273" s="18"/>
      <c r="BLL273" s="18"/>
      <c r="BLM273" s="18"/>
      <c r="BLN273" s="18"/>
      <c r="BLO273" s="18"/>
      <c r="BLP273" s="18"/>
      <c r="BLQ273" s="18"/>
      <c r="BLR273" s="18"/>
      <c r="BLS273" s="18"/>
      <c r="BLT273" s="18"/>
      <c r="BLU273" s="18"/>
      <c r="BLV273" s="18"/>
      <c r="BLW273" s="18"/>
      <c r="BLX273" s="18"/>
      <c r="BLY273" s="18"/>
      <c r="BLZ273" s="18"/>
      <c r="BMA273" s="18"/>
      <c r="BMB273" s="18"/>
      <c r="BMC273" s="18"/>
      <c r="BMD273" s="18"/>
      <c r="BME273" s="18"/>
      <c r="BMF273" s="18"/>
      <c r="BMG273" s="18"/>
      <c r="BMH273" s="18"/>
      <c r="BMI273" s="18"/>
      <c r="BMJ273" s="18"/>
      <c r="BMK273" s="18"/>
      <c r="BML273" s="18"/>
      <c r="BMM273" s="18"/>
      <c r="BMN273" s="18"/>
      <c r="BMO273" s="18"/>
      <c r="BMP273" s="18"/>
      <c r="BMQ273" s="18"/>
      <c r="BMR273" s="18"/>
      <c r="BMS273" s="18"/>
      <c r="BMT273" s="18"/>
      <c r="BMU273" s="18"/>
      <c r="BMV273" s="18"/>
      <c r="BMW273" s="18"/>
      <c r="BMX273" s="18"/>
      <c r="BMY273" s="18"/>
      <c r="BMZ273" s="18"/>
      <c r="BNA273" s="18"/>
      <c r="BNB273" s="18"/>
      <c r="BNC273" s="18"/>
      <c r="BND273" s="18"/>
      <c r="BNE273" s="18"/>
      <c r="BNF273" s="18"/>
      <c r="BNG273" s="18"/>
      <c r="BNH273" s="18"/>
      <c r="BNI273" s="18"/>
      <c r="BNJ273" s="18"/>
      <c r="BNK273" s="18"/>
      <c r="BNL273" s="18"/>
      <c r="BNM273" s="18"/>
      <c r="BNN273" s="18"/>
      <c r="BNO273" s="18"/>
      <c r="BNP273" s="18"/>
      <c r="BNQ273" s="18"/>
      <c r="BNR273" s="18"/>
      <c r="BNS273" s="18"/>
      <c r="BNT273" s="18"/>
      <c r="BNU273" s="18"/>
      <c r="BNV273" s="18"/>
      <c r="BNW273" s="18"/>
      <c r="BNX273" s="18"/>
      <c r="BNY273" s="18"/>
      <c r="BNZ273" s="18"/>
      <c r="BOA273" s="18"/>
      <c r="BOB273" s="18"/>
      <c r="BOC273" s="18"/>
      <c r="BOD273" s="18"/>
      <c r="BOE273" s="18"/>
      <c r="BOF273" s="18"/>
      <c r="BOG273" s="18"/>
      <c r="BOH273" s="18"/>
      <c r="BOI273" s="18"/>
      <c r="BOJ273" s="18"/>
      <c r="BOK273" s="18"/>
      <c r="BOL273" s="18"/>
      <c r="BOM273" s="18"/>
      <c r="BON273" s="18"/>
      <c r="BOO273" s="18"/>
      <c r="BOP273" s="18"/>
      <c r="BOQ273" s="18"/>
      <c r="BOR273" s="18"/>
      <c r="BOS273" s="18"/>
      <c r="BOT273" s="18"/>
      <c r="BOU273" s="18"/>
      <c r="BOV273" s="18"/>
      <c r="BOW273" s="18"/>
      <c r="BOX273" s="18"/>
      <c r="BOY273" s="18"/>
      <c r="BOZ273" s="18"/>
      <c r="BPA273" s="18"/>
      <c r="BPB273" s="18"/>
      <c r="BPC273" s="18"/>
      <c r="BPD273" s="18"/>
      <c r="BPE273" s="18"/>
      <c r="BPF273" s="18"/>
      <c r="BPG273" s="18"/>
      <c r="BPH273" s="18"/>
      <c r="BPI273" s="18"/>
      <c r="BPJ273" s="18"/>
      <c r="BPK273" s="18"/>
      <c r="BPL273" s="18"/>
      <c r="BPM273" s="18"/>
      <c r="BPN273" s="18"/>
      <c r="BPO273" s="18"/>
      <c r="BPP273" s="18"/>
      <c r="BPQ273" s="18"/>
      <c r="BPR273" s="18"/>
      <c r="BPS273" s="18"/>
      <c r="BPT273" s="18"/>
      <c r="BPU273" s="18"/>
      <c r="BPV273" s="18"/>
      <c r="BPW273" s="18"/>
      <c r="BPX273" s="18"/>
      <c r="BPY273" s="18"/>
      <c r="BPZ273" s="18"/>
      <c r="BQA273" s="18"/>
      <c r="BQB273" s="18"/>
      <c r="BQC273" s="18"/>
      <c r="BQD273" s="18"/>
      <c r="BQE273" s="18"/>
      <c r="BQF273" s="18"/>
      <c r="BQG273" s="18"/>
      <c r="BQH273" s="18"/>
      <c r="BQI273" s="18"/>
      <c r="BQJ273" s="18"/>
      <c r="BQK273" s="18"/>
      <c r="BQL273" s="18"/>
      <c r="BQM273" s="18"/>
      <c r="BQN273" s="18"/>
      <c r="BQO273" s="18"/>
      <c r="BQP273" s="18"/>
      <c r="BQQ273" s="18"/>
      <c r="BQR273" s="18"/>
      <c r="BQS273" s="18"/>
      <c r="BQT273" s="18"/>
      <c r="BQU273" s="18"/>
      <c r="BQV273" s="18"/>
      <c r="BQW273" s="18"/>
      <c r="BQX273" s="18"/>
      <c r="BQY273" s="18"/>
      <c r="BQZ273" s="18"/>
      <c r="BRA273" s="18"/>
      <c r="BRB273" s="18"/>
      <c r="BRC273" s="18"/>
      <c r="BRD273" s="18"/>
      <c r="BRE273" s="18"/>
      <c r="BRF273" s="18"/>
      <c r="BRG273" s="18"/>
      <c r="BRH273" s="18"/>
      <c r="BRI273" s="18"/>
      <c r="BRJ273" s="18"/>
      <c r="BRK273" s="18"/>
      <c r="BRL273" s="18"/>
      <c r="BRM273" s="18"/>
      <c r="BRN273" s="18"/>
      <c r="BRO273" s="18"/>
      <c r="BRP273" s="18"/>
      <c r="BRQ273" s="18"/>
      <c r="BRR273" s="18"/>
      <c r="BRS273" s="18"/>
      <c r="BRT273" s="18"/>
      <c r="BRU273" s="18"/>
      <c r="BRV273" s="18"/>
      <c r="BRW273" s="18"/>
      <c r="BRX273" s="18"/>
      <c r="BRY273" s="18"/>
      <c r="BRZ273" s="18"/>
      <c r="BSA273" s="18"/>
      <c r="BSB273" s="18"/>
      <c r="BSC273" s="18"/>
      <c r="BSD273" s="18"/>
      <c r="BSE273" s="18"/>
      <c r="BSF273" s="18"/>
      <c r="BSG273" s="18"/>
      <c r="BSH273" s="18"/>
      <c r="BSI273" s="18"/>
      <c r="BSJ273" s="18"/>
      <c r="BSK273" s="18"/>
      <c r="BSL273" s="18"/>
      <c r="BSM273" s="18"/>
      <c r="BSN273" s="18"/>
      <c r="BSO273" s="18"/>
      <c r="BSP273" s="18"/>
      <c r="BSQ273" s="18"/>
      <c r="BSR273" s="18"/>
      <c r="BSS273" s="18"/>
      <c r="BST273" s="18"/>
      <c r="BSU273" s="18"/>
      <c r="BSV273" s="18"/>
      <c r="BSW273" s="18"/>
      <c r="BSX273" s="18"/>
      <c r="BSY273" s="18"/>
      <c r="BSZ273" s="18"/>
      <c r="BTA273" s="18"/>
      <c r="BTB273" s="18"/>
      <c r="BTC273" s="18"/>
      <c r="BTD273" s="18"/>
      <c r="BTE273" s="18"/>
      <c r="BTF273" s="18"/>
      <c r="BTG273" s="18"/>
      <c r="BTH273" s="18"/>
      <c r="BTI273" s="18"/>
      <c r="BTJ273" s="18"/>
      <c r="BTK273" s="18"/>
      <c r="BTL273" s="18"/>
      <c r="BTM273" s="18"/>
      <c r="BTN273" s="18"/>
      <c r="BTO273" s="18"/>
      <c r="BTP273" s="18"/>
      <c r="BTQ273" s="18"/>
      <c r="BTR273" s="18"/>
      <c r="BTS273" s="18"/>
      <c r="BTT273" s="18"/>
      <c r="BTU273" s="18"/>
      <c r="BTV273" s="18"/>
      <c r="BTW273" s="18"/>
      <c r="BTX273" s="18"/>
      <c r="BTY273" s="18"/>
      <c r="BTZ273" s="18"/>
      <c r="BUA273" s="18"/>
      <c r="BUB273" s="18"/>
      <c r="BUC273" s="18"/>
      <c r="BUD273" s="18"/>
      <c r="BUE273" s="18"/>
      <c r="BUF273" s="18"/>
      <c r="BUG273" s="18"/>
      <c r="BUH273" s="18"/>
      <c r="BUI273" s="18"/>
      <c r="BUJ273" s="18"/>
      <c r="BUK273" s="18"/>
      <c r="BUL273" s="18"/>
      <c r="BUM273" s="18"/>
      <c r="BUN273" s="18"/>
      <c r="BUO273" s="18"/>
      <c r="BUP273" s="18"/>
      <c r="BUQ273" s="18"/>
      <c r="BUR273" s="18"/>
      <c r="BUS273" s="18"/>
      <c r="BUT273" s="18"/>
      <c r="BUU273" s="18"/>
      <c r="BUV273" s="18"/>
      <c r="BUW273" s="18"/>
      <c r="BUX273" s="18"/>
      <c r="BUY273" s="18"/>
      <c r="BUZ273" s="18"/>
      <c r="BVA273" s="18"/>
      <c r="BVB273" s="18"/>
      <c r="BVC273" s="18"/>
      <c r="BVD273" s="18"/>
      <c r="BVE273" s="18"/>
      <c r="BVF273" s="18"/>
      <c r="BVG273" s="18"/>
      <c r="BVH273" s="18"/>
      <c r="BVI273" s="18"/>
      <c r="BVJ273" s="18"/>
      <c r="BVK273" s="18"/>
      <c r="BVL273" s="18"/>
      <c r="BVM273" s="18"/>
      <c r="BVN273" s="18"/>
      <c r="BVO273" s="18"/>
      <c r="BVP273" s="18"/>
      <c r="BVQ273" s="18"/>
      <c r="BVR273" s="18"/>
      <c r="BVS273" s="18"/>
      <c r="BVT273" s="18"/>
      <c r="BVU273" s="18"/>
      <c r="BVV273" s="18"/>
      <c r="BVW273" s="18"/>
      <c r="BVX273" s="18"/>
      <c r="BVY273" s="18"/>
      <c r="BVZ273" s="18"/>
      <c r="BWA273" s="18"/>
      <c r="BWB273" s="18"/>
      <c r="BWC273" s="18"/>
      <c r="BWD273" s="18"/>
      <c r="BWE273" s="18"/>
      <c r="BWF273" s="18"/>
      <c r="BWG273" s="18"/>
      <c r="BWH273" s="18"/>
      <c r="BWI273" s="18"/>
      <c r="BWJ273" s="18"/>
      <c r="BWK273" s="18"/>
      <c r="BWL273" s="18"/>
      <c r="BWM273" s="18"/>
      <c r="BWN273" s="18"/>
      <c r="BWO273" s="18"/>
      <c r="BWP273" s="18"/>
      <c r="BWQ273" s="18"/>
      <c r="BWR273" s="18"/>
      <c r="BWS273" s="18"/>
      <c r="BWT273" s="18"/>
      <c r="BWU273" s="18"/>
      <c r="BWV273" s="18"/>
      <c r="BWW273" s="18"/>
      <c r="BWX273" s="18"/>
      <c r="BWY273" s="18"/>
      <c r="BWZ273" s="18"/>
      <c r="BXA273" s="18"/>
      <c r="BXB273" s="18"/>
      <c r="BXC273" s="18"/>
      <c r="BXD273" s="18"/>
      <c r="BXE273" s="18"/>
      <c r="BXF273" s="18"/>
      <c r="BXG273" s="18"/>
      <c r="BXH273" s="18"/>
      <c r="BXI273" s="18"/>
      <c r="BXJ273" s="18"/>
      <c r="BXK273" s="18"/>
      <c r="BXL273" s="18"/>
      <c r="BXM273" s="18"/>
      <c r="BXN273" s="18"/>
      <c r="BXO273" s="18"/>
      <c r="BXP273" s="18"/>
      <c r="BXQ273" s="18"/>
      <c r="BXR273" s="18"/>
      <c r="BXS273" s="18"/>
      <c r="BXT273" s="18"/>
      <c r="BXU273" s="18"/>
      <c r="BXV273" s="18"/>
      <c r="BXW273" s="18"/>
      <c r="BXX273" s="18"/>
      <c r="BXY273" s="18"/>
      <c r="BXZ273" s="18"/>
      <c r="BYA273" s="18"/>
      <c r="BYB273" s="18"/>
      <c r="BYC273" s="18"/>
      <c r="BYD273" s="18"/>
      <c r="BYE273" s="18"/>
      <c r="BYF273" s="18"/>
      <c r="BYG273" s="18"/>
      <c r="BYH273" s="18"/>
      <c r="BYI273" s="18"/>
      <c r="BYJ273" s="18"/>
      <c r="BYK273" s="18"/>
      <c r="BYL273" s="18"/>
      <c r="BYM273" s="18"/>
      <c r="BYN273" s="18"/>
      <c r="BYO273" s="18"/>
      <c r="BYP273" s="18"/>
      <c r="BYQ273" s="18"/>
      <c r="BYR273" s="18"/>
      <c r="BYS273" s="18"/>
      <c r="BYT273" s="18"/>
      <c r="BYU273" s="18"/>
      <c r="BYV273" s="18"/>
      <c r="BYW273" s="18"/>
      <c r="BYX273" s="18"/>
      <c r="BYY273" s="18"/>
      <c r="BYZ273" s="18"/>
      <c r="BZA273" s="18"/>
      <c r="BZB273" s="18"/>
      <c r="BZC273" s="18"/>
      <c r="BZD273" s="18"/>
      <c r="BZE273" s="18"/>
      <c r="BZF273" s="18"/>
      <c r="BZG273" s="18"/>
      <c r="BZH273" s="18"/>
      <c r="BZI273" s="18"/>
      <c r="BZJ273" s="18"/>
      <c r="BZK273" s="18"/>
      <c r="BZL273" s="18"/>
      <c r="BZM273" s="18"/>
      <c r="BZN273" s="18"/>
      <c r="BZO273" s="18"/>
      <c r="BZP273" s="18"/>
      <c r="BZQ273" s="18"/>
      <c r="BZR273" s="18"/>
      <c r="BZS273" s="18"/>
      <c r="BZT273" s="18"/>
      <c r="BZU273" s="18"/>
      <c r="BZV273" s="18"/>
      <c r="BZW273" s="18"/>
      <c r="BZX273" s="18"/>
      <c r="BZY273" s="18"/>
      <c r="BZZ273" s="18"/>
      <c r="CAA273" s="18"/>
      <c r="CAB273" s="18"/>
      <c r="CAC273" s="18"/>
      <c r="CAD273" s="18"/>
      <c r="CAE273" s="18"/>
      <c r="CAF273" s="18"/>
      <c r="CAG273" s="18"/>
      <c r="CAH273" s="18"/>
      <c r="CAI273" s="18"/>
      <c r="CAJ273" s="18"/>
      <c r="CAK273" s="18"/>
      <c r="CAL273" s="18"/>
      <c r="CAM273" s="18"/>
      <c r="CAN273" s="18"/>
      <c r="CAO273" s="18"/>
      <c r="CAP273" s="18"/>
      <c r="CAQ273" s="18"/>
      <c r="CAR273" s="18"/>
      <c r="CAS273" s="18"/>
      <c r="CAT273" s="18"/>
      <c r="CAU273" s="18"/>
      <c r="CAV273" s="18"/>
      <c r="CAW273" s="18"/>
      <c r="CAX273" s="18"/>
      <c r="CAY273" s="18"/>
      <c r="CAZ273" s="18"/>
      <c r="CBA273" s="18"/>
      <c r="CBB273" s="18"/>
      <c r="CBC273" s="18"/>
      <c r="CBD273" s="18"/>
      <c r="CBE273" s="18"/>
      <c r="CBF273" s="18"/>
      <c r="CBG273" s="18"/>
      <c r="CBH273" s="18"/>
      <c r="CBI273" s="18"/>
      <c r="CBJ273" s="18"/>
      <c r="CBK273" s="18"/>
      <c r="CBL273" s="18"/>
      <c r="CBM273" s="18"/>
      <c r="CBN273" s="18"/>
      <c r="CBO273" s="18"/>
      <c r="CBP273" s="18"/>
      <c r="CBQ273" s="18"/>
      <c r="CBR273" s="18"/>
      <c r="CBS273" s="18"/>
      <c r="CBT273" s="18"/>
      <c r="CBU273" s="18"/>
      <c r="CBV273" s="18"/>
      <c r="CBW273" s="18"/>
      <c r="CBX273" s="18"/>
      <c r="CBY273" s="18"/>
      <c r="CBZ273" s="18"/>
      <c r="CCA273" s="18"/>
      <c r="CCB273" s="18"/>
      <c r="CCC273" s="18"/>
      <c r="CCD273" s="18"/>
      <c r="CCE273" s="18"/>
      <c r="CCF273" s="18"/>
      <c r="CCG273" s="18"/>
      <c r="CCH273" s="18"/>
      <c r="CCI273" s="18"/>
      <c r="CCJ273" s="18"/>
      <c r="CCK273" s="18"/>
      <c r="CCL273" s="18"/>
      <c r="CCM273" s="18"/>
      <c r="CCN273" s="18"/>
      <c r="CCO273" s="18"/>
      <c r="CCP273" s="18"/>
      <c r="CCQ273" s="18"/>
      <c r="CCR273" s="18"/>
      <c r="CCS273" s="18"/>
      <c r="CCT273" s="18"/>
      <c r="CCU273" s="18"/>
      <c r="CCV273" s="18"/>
      <c r="CCW273" s="18"/>
      <c r="CCX273" s="18"/>
      <c r="CCY273" s="18"/>
      <c r="CCZ273" s="18"/>
      <c r="CDA273" s="18"/>
      <c r="CDB273" s="18"/>
      <c r="CDC273" s="18"/>
      <c r="CDD273" s="18"/>
      <c r="CDE273" s="18"/>
      <c r="CDF273" s="18"/>
      <c r="CDG273" s="18"/>
      <c r="CDH273" s="18"/>
      <c r="CDI273" s="18"/>
      <c r="CDJ273" s="18"/>
      <c r="CDK273" s="18"/>
      <c r="CDL273" s="18"/>
      <c r="CDM273" s="18"/>
      <c r="CDN273" s="18"/>
      <c r="CDO273" s="18"/>
      <c r="CDP273" s="18"/>
      <c r="CDQ273" s="18"/>
      <c r="CDR273" s="18"/>
      <c r="CDS273" s="18"/>
      <c r="CDT273" s="18"/>
      <c r="CDU273" s="18"/>
      <c r="CDV273" s="18"/>
      <c r="CDW273" s="18"/>
      <c r="CDX273" s="18"/>
      <c r="CDY273" s="18"/>
      <c r="CDZ273" s="18"/>
      <c r="CEA273" s="18"/>
      <c r="CEB273" s="18"/>
      <c r="CEC273" s="18"/>
      <c r="CED273" s="18"/>
      <c r="CEE273" s="18"/>
      <c r="CEF273" s="18"/>
      <c r="CEG273" s="18"/>
      <c r="CEH273" s="18"/>
      <c r="CEI273" s="18"/>
      <c r="CEJ273" s="18"/>
      <c r="CEK273" s="18"/>
      <c r="CEL273" s="18"/>
      <c r="CEM273" s="18"/>
      <c r="CEN273" s="18"/>
      <c r="CEO273" s="18"/>
      <c r="CEP273" s="18"/>
      <c r="CEQ273" s="18"/>
      <c r="CER273" s="18"/>
      <c r="CES273" s="18"/>
      <c r="CET273" s="18"/>
      <c r="CEU273" s="18"/>
      <c r="CEV273" s="18"/>
      <c r="CEW273" s="18"/>
      <c r="CEX273" s="18"/>
      <c r="CEY273" s="18"/>
      <c r="CEZ273" s="18"/>
      <c r="CFA273" s="18"/>
      <c r="CFB273" s="18"/>
      <c r="CFC273" s="18"/>
      <c r="CFD273" s="18"/>
      <c r="CFE273" s="18"/>
      <c r="CFF273" s="18"/>
      <c r="CFG273" s="18"/>
      <c r="CFH273" s="18"/>
      <c r="CFI273" s="18"/>
      <c r="CFJ273" s="18"/>
      <c r="CFK273" s="18"/>
      <c r="CFL273" s="18"/>
      <c r="CFM273" s="18"/>
      <c r="CFN273" s="18"/>
      <c r="CFO273" s="18"/>
      <c r="CFP273" s="18"/>
      <c r="CFQ273" s="18"/>
      <c r="CFR273" s="18"/>
      <c r="CFS273" s="18"/>
      <c r="CFT273" s="18"/>
      <c r="CFU273" s="18"/>
      <c r="CFV273" s="18"/>
      <c r="CFW273" s="18"/>
      <c r="CFX273" s="18"/>
      <c r="CFY273" s="18"/>
      <c r="CFZ273" s="18"/>
      <c r="CGA273" s="18"/>
      <c r="CGB273" s="18"/>
      <c r="CGC273" s="18"/>
      <c r="CGD273" s="18"/>
      <c r="CGE273" s="18"/>
      <c r="CGF273" s="18"/>
      <c r="CGG273" s="18"/>
      <c r="CGH273" s="18"/>
      <c r="CGI273" s="18"/>
      <c r="CGJ273" s="18"/>
      <c r="CGK273" s="18"/>
      <c r="CGL273" s="18"/>
      <c r="CGM273" s="18"/>
      <c r="CGN273" s="18"/>
      <c r="CGO273" s="18"/>
      <c r="CGP273" s="18"/>
      <c r="CGQ273" s="18"/>
      <c r="CGR273" s="18"/>
      <c r="CGS273" s="18"/>
      <c r="CGT273" s="18"/>
      <c r="CGU273" s="18"/>
      <c r="CGV273" s="18"/>
      <c r="CGW273" s="18"/>
      <c r="CGX273" s="18"/>
      <c r="CGY273" s="18"/>
      <c r="CGZ273" s="18"/>
      <c r="CHA273" s="18"/>
      <c r="CHB273" s="18"/>
      <c r="CHC273" s="18"/>
      <c r="CHD273" s="18"/>
      <c r="CHE273" s="18"/>
      <c r="CHF273" s="18"/>
      <c r="CHG273" s="18"/>
      <c r="CHH273" s="18"/>
      <c r="CHI273" s="18"/>
      <c r="CHJ273" s="18"/>
      <c r="CHK273" s="18"/>
      <c r="CHL273" s="18"/>
      <c r="CHM273" s="18"/>
      <c r="CHN273" s="18"/>
      <c r="CHO273" s="18"/>
      <c r="CHP273" s="18"/>
      <c r="CHQ273" s="18"/>
      <c r="CHR273" s="18"/>
      <c r="CHS273" s="18"/>
      <c r="CHT273" s="18"/>
      <c r="CHU273" s="18"/>
      <c r="CHV273" s="18"/>
      <c r="CHW273" s="18"/>
      <c r="CHX273" s="18"/>
      <c r="CHY273" s="18"/>
      <c r="CHZ273" s="18"/>
      <c r="CIA273" s="18"/>
      <c r="CIB273" s="18"/>
      <c r="CIC273" s="18"/>
      <c r="CID273" s="18"/>
      <c r="CIE273" s="18"/>
      <c r="CIF273" s="18"/>
      <c r="CIG273" s="18"/>
      <c r="CIH273" s="18"/>
      <c r="CII273" s="18"/>
      <c r="CIJ273" s="18"/>
      <c r="CIK273" s="18"/>
      <c r="CIL273" s="18"/>
      <c r="CIM273" s="18"/>
      <c r="CIN273" s="18"/>
      <c r="CIO273" s="18"/>
      <c r="CIP273" s="18"/>
      <c r="CIQ273" s="18"/>
      <c r="CIR273" s="18"/>
      <c r="CIS273" s="18"/>
      <c r="CIT273" s="18"/>
      <c r="CIU273" s="18"/>
      <c r="CIV273" s="18"/>
      <c r="CIW273" s="18"/>
      <c r="CIX273" s="18"/>
      <c r="CIY273" s="18"/>
      <c r="CIZ273" s="18"/>
      <c r="CJA273" s="18"/>
      <c r="CJB273" s="18"/>
      <c r="CJC273" s="18"/>
      <c r="CJD273" s="18"/>
      <c r="CJE273" s="18"/>
      <c r="CJF273" s="18"/>
      <c r="CJG273" s="18"/>
      <c r="CJH273" s="18"/>
      <c r="CJI273" s="18"/>
      <c r="CJJ273" s="18"/>
      <c r="CJK273" s="18"/>
      <c r="CJL273" s="18"/>
      <c r="CJM273" s="18"/>
      <c r="CJN273" s="18"/>
      <c r="CJO273" s="18"/>
      <c r="CJP273" s="18"/>
      <c r="CJQ273" s="18"/>
      <c r="CJR273" s="18"/>
      <c r="CJS273" s="18"/>
      <c r="CJT273" s="18"/>
      <c r="CJU273" s="18"/>
      <c r="CJV273" s="18"/>
      <c r="CJW273" s="18"/>
      <c r="CJX273" s="18"/>
      <c r="CJY273" s="18"/>
      <c r="CJZ273" s="18"/>
      <c r="CKA273" s="18"/>
      <c r="CKB273" s="18"/>
      <c r="CKC273" s="18"/>
      <c r="CKD273" s="18"/>
      <c r="CKE273" s="18"/>
      <c r="CKF273" s="18"/>
      <c r="CKG273" s="18"/>
      <c r="CKH273" s="18"/>
      <c r="CKI273" s="18"/>
      <c r="CKJ273" s="18"/>
      <c r="CKK273" s="18"/>
      <c r="CKL273" s="18"/>
      <c r="CKM273" s="18"/>
      <c r="CKN273" s="18"/>
      <c r="CKO273" s="18"/>
      <c r="CKP273" s="18"/>
      <c r="CKQ273" s="18"/>
      <c r="CKR273" s="18"/>
      <c r="CKS273" s="18"/>
      <c r="CKT273" s="18"/>
      <c r="CKU273" s="18"/>
      <c r="CKV273" s="18"/>
      <c r="CKW273" s="18"/>
      <c r="CKX273" s="18"/>
      <c r="CKY273" s="18"/>
      <c r="CKZ273" s="18"/>
      <c r="CLA273" s="18"/>
      <c r="CLB273" s="18"/>
      <c r="CLC273" s="18"/>
      <c r="CLD273" s="18"/>
      <c r="CLE273" s="18"/>
      <c r="CLF273" s="18"/>
      <c r="CLG273" s="18"/>
      <c r="CLH273" s="18"/>
      <c r="CLI273" s="18"/>
      <c r="CLJ273" s="18"/>
      <c r="CLK273" s="18"/>
      <c r="CLL273" s="18"/>
      <c r="CLM273" s="18"/>
      <c r="CLN273" s="18"/>
      <c r="CLO273" s="18"/>
      <c r="CLP273" s="18"/>
      <c r="CLQ273" s="18"/>
      <c r="CLR273" s="18"/>
      <c r="CLS273" s="18"/>
      <c r="CLT273" s="18"/>
      <c r="CLU273" s="18"/>
      <c r="CLV273" s="18"/>
      <c r="CLW273" s="18"/>
      <c r="CLX273" s="18"/>
      <c r="CLY273" s="18"/>
      <c r="CLZ273" s="18"/>
      <c r="CMA273" s="18"/>
      <c r="CMB273" s="18"/>
      <c r="CMC273" s="18"/>
      <c r="CMD273" s="18"/>
      <c r="CME273" s="18"/>
      <c r="CMF273" s="18"/>
      <c r="CMG273" s="18"/>
      <c r="CMH273" s="18"/>
      <c r="CMI273" s="18"/>
      <c r="CMJ273" s="18"/>
      <c r="CMK273" s="18"/>
      <c r="CML273" s="18"/>
      <c r="CMM273" s="18"/>
      <c r="CMN273" s="18"/>
      <c r="CMO273" s="18"/>
      <c r="CMP273" s="18"/>
      <c r="CMQ273" s="18"/>
      <c r="CMR273" s="18"/>
      <c r="CMS273" s="18"/>
      <c r="CMT273" s="18"/>
      <c r="CMU273" s="18"/>
      <c r="CMV273" s="18"/>
      <c r="CMW273" s="18"/>
      <c r="CMX273" s="18"/>
      <c r="CMY273" s="18"/>
      <c r="CMZ273" s="18"/>
      <c r="CNA273" s="18"/>
      <c r="CNB273" s="18"/>
      <c r="CNC273" s="18"/>
      <c r="CND273" s="18"/>
      <c r="CNE273" s="18"/>
      <c r="CNF273" s="18"/>
      <c r="CNG273" s="18"/>
      <c r="CNH273" s="18"/>
      <c r="CNI273" s="18"/>
      <c r="CNJ273" s="18"/>
      <c r="CNK273" s="18"/>
      <c r="CNL273" s="18"/>
      <c r="CNM273" s="18"/>
      <c r="CNN273" s="18"/>
      <c r="CNO273" s="18"/>
      <c r="CNP273" s="18"/>
      <c r="CNQ273" s="18"/>
      <c r="CNR273" s="18"/>
      <c r="CNS273" s="18"/>
      <c r="CNT273" s="18"/>
      <c r="CNU273" s="18"/>
      <c r="CNV273" s="18"/>
      <c r="CNW273" s="18"/>
      <c r="CNX273" s="18"/>
      <c r="CNY273" s="18"/>
      <c r="CNZ273" s="18"/>
      <c r="COA273" s="18"/>
      <c r="COB273" s="18"/>
      <c r="COC273" s="18"/>
      <c r="COD273" s="18"/>
      <c r="COE273" s="18"/>
      <c r="COF273" s="18"/>
      <c r="COG273" s="18"/>
      <c r="COH273" s="18"/>
      <c r="COI273" s="18"/>
      <c r="COJ273" s="18"/>
      <c r="COK273" s="18"/>
      <c r="COL273" s="18"/>
      <c r="COM273" s="18"/>
      <c r="CON273" s="18"/>
      <c r="COO273" s="18"/>
      <c r="COP273" s="18"/>
      <c r="COQ273" s="18"/>
      <c r="COR273" s="18"/>
      <c r="COS273" s="18"/>
      <c r="COT273" s="18"/>
      <c r="COU273" s="18"/>
      <c r="COV273" s="18"/>
      <c r="COW273" s="18"/>
      <c r="COX273" s="18"/>
      <c r="COY273" s="18"/>
      <c r="COZ273" s="18"/>
      <c r="CPA273" s="18"/>
      <c r="CPB273" s="18"/>
      <c r="CPC273" s="18"/>
      <c r="CPD273" s="18"/>
      <c r="CPE273" s="18"/>
      <c r="CPF273" s="18"/>
      <c r="CPG273" s="18"/>
      <c r="CPH273" s="18"/>
      <c r="CPI273" s="18"/>
      <c r="CPJ273" s="18"/>
      <c r="CPK273" s="18"/>
      <c r="CPL273" s="18"/>
      <c r="CPM273" s="18"/>
      <c r="CPN273" s="18"/>
      <c r="CPO273" s="18"/>
      <c r="CPP273" s="18"/>
      <c r="CPQ273" s="18"/>
      <c r="CPR273" s="18"/>
      <c r="CPS273" s="18"/>
      <c r="CPT273" s="18"/>
      <c r="CPU273" s="18"/>
      <c r="CPV273" s="18"/>
      <c r="CPW273" s="18"/>
      <c r="CPX273" s="18"/>
      <c r="CPY273" s="18"/>
      <c r="CPZ273" s="18"/>
      <c r="CQA273" s="18"/>
      <c r="CQB273" s="18"/>
      <c r="CQC273" s="18"/>
      <c r="CQD273" s="18"/>
      <c r="CQE273" s="18"/>
      <c r="CQF273" s="18"/>
      <c r="CQG273" s="18"/>
      <c r="CQH273" s="18"/>
      <c r="CQI273" s="18"/>
      <c r="CQJ273" s="18"/>
      <c r="CQK273" s="18"/>
      <c r="CQL273" s="18"/>
      <c r="CQM273" s="18"/>
      <c r="CQN273" s="18"/>
      <c r="CQO273" s="18"/>
      <c r="CQP273" s="18"/>
      <c r="CQQ273" s="18"/>
      <c r="CQR273" s="18"/>
      <c r="CQS273" s="18"/>
      <c r="CQT273" s="18"/>
      <c r="CQU273" s="18"/>
      <c r="CQV273" s="18"/>
      <c r="CQW273" s="18"/>
      <c r="CQX273" s="18"/>
      <c r="CQY273" s="18"/>
      <c r="CQZ273" s="18"/>
      <c r="CRA273" s="18"/>
      <c r="CRB273" s="18"/>
      <c r="CRC273" s="18"/>
      <c r="CRD273" s="18"/>
      <c r="CRE273" s="18"/>
      <c r="CRF273" s="18"/>
      <c r="CRG273" s="18"/>
      <c r="CRH273" s="18"/>
      <c r="CRI273" s="18"/>
      <c r="CRJ273" s="18"/>
      <c r="CRK273" s="18"/>
      <c r="CRL273" s="18"/>
      <c r="CRM273" s="18"/>
      <c r="CRN273" s="18"/>
      <c r="CRO273" s="18"/>
      <c r="CRP273" s="18"/>
      <c r="CRQ273" s="18"/>
      <c r="CRR273" s="18"/>
      <c r="CRS273" s="18"/>
      <c r="CRT273" s="18"/>
      <c r="CRU273" s="18"/>
      <c r="CRV273" s="18"/>
      <c r="CRW273" s="18"/>
      <c r="CRX273" s="18"/>
      <c r="CRY273" s="18"/>
      <c r="CRZ273" s="18"/>
      <c r="CSA273" s="18"/>
      <c r="CSB273" s="18"/>
      <c r="CSC273" s="18"/>
      <c r="CSD273" s="18"/>
      <c r="CSE273" s="18"/>
      <c r="CSF273" s="18"/>
      <c r="CSG273" s="18"/>
      <c r="CSH273" s="18"/>
      <c r="CSI273" s="18"/>
      <c r="CSJ273" s="18"/>
      <c r="CSK273" s="18"/>
      <c r="CSL273" s="18"/>
      <c r="CSM273" s="18"/>
      <c r="CSN273" s="18"/>
      <c r="CSO273" s="18"/>
      <c r="CSP273" s="18"/>
      <c r="CSQ273" s="18"/>
      <c r="CSR273" s="18"/>
      <c r="CSS273" s="18"/>
      <c r="CST273" s="18"/>
      <c r="CSU273" s="18"/>
      <c r="CSV273" s="18"/>
      <c r="CSW273" s="18"/>
      <c r="CSX273" s="18"/>
      <c r="CSY273" s="18"/>
      <c r="CSZ273" s="18"/>
      <c r="CTA273" s="18"/>
      <c r="CTB273" s="18"/>
      <c r="CTC273" s="18"/>
      <c r="CTD273" s="18"/>
      <c r="CTE273" s="18"/>
      <c r="CTF273" s="18"/>
      <c r="CTG273" s="18"/>
      <c r="CTH273" s="18"/>
      <c r="CTI273" s="18"/>
      <c r="CTJ273" s="18"/>
      <c r="CTK273" s="18"/>
      <c r="CTL273" s="18"/>
      <c r="CTM273" s="18"/>
      <c r="CTN273" s="18"/>
      <c r="CTO273" s="18"/>
      <c r="CTP273" s="18"/>
      <c r="CTQ273" s="18"/>
      <c r="CTR273" s="18"/>
      <c r="CTS273" s="18"/>
      <c r="CTT273" s="18"/>
      <c r="CTU273" s="18"/>
      <c r="CTV273" s="18"/>
      <c r="CTW273" s="18"/>
      <c r="CTX273" s="18"/>
      <c r="CTY273" s="18"/>
      <c r="CTZ273" s="18"/>
      <c r="CUA273" s="18"/>
      <c r="CUB273" s="18"/>
      <c r="CUC273" s="18"/>
      <c r="CUD273" s="18"/>
      <c r="CUE273" s="18"/>
      <c r="CUF273" s="18"/>
      <c r="CUG273" s="18"/>
      <c r="CUH273" s="18"/>
      <c r="CUI273" s="18"/>
      <c r="CUJ273" s="18"/>
      <c r="CUK273" s="18"/>
      <c r="CUL273" s="18"/>
      <c r="CUM273" s="18"/>
      <c r="CUN273" s="18"/>
      <c r="CUO273" s="18"/>
      <c r="CUP273" s="18"/>
      <c r="CUQ273" s="18"/>
      <c r="CUR273" s="18"/>
      <c r="CUS273" s="18"/>
      <c r="CUT273" s="18"/>
      <c r="CUU273" s="18"/>
      <c r="CUV273" s="18"/>
      <c r="CUW273" s="18"/>
      <c r="CUX273" s="18"/>
      <c r="CUY273" s="18"/>
      <c r="CUZ273" s="18"/>
      <c r="CVA273" s="18"/>
      <c r="CVB273" s="18"/>
      <c r="CVC273" s="18"/>
      <c r="CVD273" s="18"/>
      <c r="CVE273" s="18"/>
      <c r="CVF273" s="18"/>
      <c r="CVG273" s="18"/>
      <c r="CVH273" s="18"/>
      <c r="CVI273" s="18"/>
      <c r="CVJ273" s="18"/>
      <c r="CVK273" s="18"/>
      <c r="CVL273" s="18"/>
      <c r="CVM273" s="18"/>
      <c r="CVN273" s="18"/>
      <c r="CVO273" s="18"/>
      <c r="CVP273" s="18"/>
      <c r="CVQ273" s="18"/>
      <c r="CVR273" s="18"/>
      <c r="CVS273" s="18"/>
      <c r="CVT273" s="18"/>
      <c r="CVU273" s="18"/>
      <c r="CVV273" s="18"/>
      <c r="CVW273" s="18"/>
      <c r="CVX273" s="18"/>
      <c r="CVY273" s="18"/>
      <c r="CVZ273" s="18"/>
      <c r="CWA273" s="18"/>
      <c r="CWB273" s="18"/>
      <c r="CWC273" s="18"/>
      <c r="CWD273" s="18"/>
      <c r="CWE273" s="18"/>
      <c r="CWF273" s="18"/>
      <c r="CWG273" s="18"/>
      <c r="CWH273" s="18"/>
      <c r="CWI273" s="18"/>
      <c r="CWJ273" s="18"/>
      <c r="CWK273" s="18"/>
      <c r="CWL273" s="18"/>
      <c r="CWM273" s="18"/>
      <c r="CWN273" s="18"/>
      <c r="CWO273" s="18"/>
      <c r="CWP273" s="18"/>
      <c r="CWQ273" s="18"/>
      <c r="CWR273" s="18"/>
      <c r="CWS273" s="18"/>
      <c r="CWT273" s="18"/>
      <c r="CWU273" s="18"/>
      <c r="CWV273" s="18"/>
      <c r="CWW273" s="18"/>
      <c r="CWX273" s="18"/>
      <c r="CWY273" s="18"/>
      <c r="CWZ273" s="18"/>
      <c r="CXA273" s="18"/>
      <c r="CXB273" s="18"/>
      <c r="CXC273" s="18"/>
      <c r="CXD273" s="18"/>
      <c r="CXE273" s="18"/>
      <c r="CXF273" s="18"/>
      <c r="CXG273" s="18"/>
      <c r="CXH273" s="18"/>
      <c r="CXI273" s="18"/>
      <c r="CXJ273" s="18"/>
      <c r="CXK273" s="18"/>
      <c r="CXL273" s="18"/>
      <c r="CXM273" s="18"/>
      <c r="CXN273" s="18"/>
      <c r="CXO273" s="18"/>
      <c r="CXP273" s="18"/>
      <c r="CXQ273" s="18"/>
      <c r="CXR273" s="18"/>
      <c r="CXS273" s="18"/>
      <c r="CXT273" s="18"/>
      <c r="CXU273" s="18"/>
      <c r="CXV273" s="18"/>
      <c r="CXW273" s="18"/>
      <c r="CXX273" s="18"/>
      <c r="CXY273" s="18"/>
      <c r="CXZ273" s="18"/>
      <c r="CYA273" s="18"/>
      <c r="CYB273" s="18"/>
      <c r="CYC273" s="18"/>
      <c r="CYD273" s="18"/>
      <c r="CYE273" s="18"/>
      <c r="CYF273" s="18"/>
      <c r="CYG273" s="18"/>
      <c r="CYH273" s="18"/>
      <c r="CYI273" s="18"/>
      <c r="CYJ273" s="18"/>
      <c r="CYK273" s="18"/>
      <c r="CYL273" s="18"/>
      <c r="CYM273" s="18"/>
      <c r="CYN273" s="18"/>
      <c r="CYO273" s="18"/>
      <c r="CYP273" s="18"/>
      <c r="CYQ273" s="18"/>
      <c r="CYR273" s="18"/>
      <c r="CYS273" s="18"/>
      <c r="CYT273" s="18"/>
      <c r="CYU273" s="18"/>
      <c r="CYV273" s="18"/>
      <c r="CYW273" s="18"/>
      <c r="CYX273" s="18"/>
      <c r="CYY273" s="18"/>
      <c r="CYZ273" s="18"/>
      <c r="CZA273" s="18"/>
      <c r="CZB273" s="18"/>
      <c r="CZC273" s="18"/>
      <c r="CZD273" s="18"/>
      <c r="CZE273" s="18"/>
      <c r="CZF273" s="18"/>
      <c r="CZG273" s="18"/>
      <c r="CZH273" s="18"/>
      <c r="CZI273" s="18"/>
      <c r="CZJ273" s="18"/>
      <c r="CZK273" s="18"/>
      <c r="CZL273" s="18"/>
      <c r="CZM273" s="18"/>
      <c r="CZN273" s="18"/>
      <c r="CZO273" s="18"/>
      <c r="CZP273" s="18"/>
      <c r="CZQ273" s="18"/>
      <c r="CZR273" s="18"/>
      <c r="CZS273" s="18"/>
      <c r="CZT273" s="18"/>
      <c r="CZU273" s="18"/>
      <c r="CZV273" s="18"/>
      <c r="CZW273" s="18"/>
      <c r="CZX273" s="18"/>
      <c r="CZY273" s="18"/>
      <c r="CZZ273" s="18"/>
      <c r="DAA273" s="18"/>
      <c r="DAB273" s="18"/>
      <c r="DAC273" s="18"/>
      <c r="DAD273" s="18"/>
      <c r="DAE273" s="18"/>
      <c r="DAF273" s="18"/>
      <c r="DAG273" s="18"/>
      <c r="DAH273" s="18"/>
      <c r="DAI273" s="18"/>
      <c r="DAJ273" s="18"/>
      <c r="DAK273" s="18"/>
      <c r="DAL273" s="18"/>
      <c r="DAM273" s="18"/>
      <c r="DAN273" s="18"/>
      <c r="DAO273" s="18"/>
      <c r="DAP273" s="18"/>
      <c r="DAQ273" s="18"/>
      <c r="DAR273" s="18"/>
      <c r="DAS273" s="18"/>
      <c r="DAT273" s="18"/>
      <c r="DAU273" s="18"/>
      <c r="DAV273" s="18"/>
      <c r="DAW273" s="18"/>
      <c r="DAX273" s="18"/>
      <c r="DAY273" s="18"/>
      <c r="DAZ273" s="18"/>
      <c r="DBA273" s="18"/>
      <c r="DBB273" s="18"/>
      <c r="DBC273" s="18"/>
      <c r="DBD273" s="18"/>
      <c r="DBE273" s="18"/>
      <c r="DBF273" s="18"/>
      <c r="DBG273" s="18"/>
      <c r="DBH273" s="18"/>
      <c r="DBI273" s="18"/>
      <c r="DBJ273" s="18"/>
      <c r="DBK273" s="18"/>
      <c r="DBL273" s="18"/>
      <c r="DBM273" s="18"/>
      <c r="DBN273" s="18"/>
      <c r="DBO273" s="18"/>
      <c r="DBP273" s="18"/>
      <c r="DBQ273" s="18"/>
      <c r="DBR273" s="18"/>
      <c r="DBS273" s="18"/>
      <c r="DBT273" s="18"/>
      <c r="DBU273" s="18"/>
      <c r="DBV273" s="18"/>
      <c r="DBW273" s="18"/>
      <c r="DBX273" s="18"/>
      <c r="DBY273" s="18"/>
      <c r="DBZ273" s="18"/>
      <c r="DCA273" s="18"/>
      <c r="DCB273" s="18"/>
      <c r="DCC273" s="18"/>
      <c r="DCD273" s="18"/>
      <c r="DCE273" s="18"/>
      <c r="DCF273" s="18"/>
      <c r="DCG273" s="18"/>
      <c r="DCH273" s="18"/>
      <c r="DCI273" s="18"/>
      <c r="DCJ273" s="18"/>
      <c r="DCK273" s="18"/>
      <c r="DCL273" s="18"/>
      <c r="DCM273" s="18"/>
      <c r="DCN273" s="18"/>
      <c r="DCO273" s="18"/>
      <c r="DCP273" s="18"/>
      <c r="DCQ273" s="18"/>
      <c r="DCR273" s="18"/>
      <c r="DCS273" s="18"/>
      <c r="DCT273" s="18"/>
      <c r="DCU273" s="18"/>
      <c r="DCV273" s="18"/>
      <c r="DCW273" s="18"/>
      <c r="DCX273" s="18"/>
      <c r="DCY273" s="18"/>
      <c r="DCZ273" s="18"/>
      <c r="DDA273" s="18"/>
      <c r="DDB273" s="18"/>
      <c r="DDC273" s="18"/>
      <c r="DDD273" s="18"/>
      <c r="DDE273" s="18"/>
      <c r="DDF273" s="18"/>
      <c r="DDG273" s="18"/>
      <c r="DDH273" s="18"/>
      <c r="DDI273" s="18"/>
      <c r="DDJ273" s="18"/>
      <c r="DDK273" s="18"/>
      <c r="DDL273" s="18"/>
      <c r="DDM273" s="18"/>
      <c r="DDN273" s="18"/>
      <c r="DDO273" s="18"/>
      <c r="DDP273" s="18"/>
      <c r="DDQ273" s="18"/>
      <c r="DDR273" s="18"/>
      <c r="DDS273" s="18"/>
      <c r="DDT273" s="18"/>
      <c r="DDU273" s="18"/>
      <c r="DDV273" s="18"/>
      <c r="DDW273" s="18"/>
      <c r="DDX273" s="18"/>
      <c r="DDY273" s="18"/>
      <c r="DDZ273" s="18"/>
      <c r="DEA273" s="18"/>
      <c r="DEB273" s="18"/>
      <c r="DEC273" s="18"/>
      <c r="DED273" s="18"/>
      <c r="DEE273" s="18"/>
      <c r="DEF273" s="18"/>
      <c r="DEG273" s="18"/>
      <c r="DEH273" s="18"/>
      <c r="DEI273" s="18"/>
      <c r="DEJ273" s="18"/>
      <c r="DEK273" s="18"/>
      <c r="DEL273" s="18"/>
      <c r="DEM273" s="18"/>
      <c r="DEN273" s="18"/>
      <c r="DEO273" s="18"/>
      <c r="DEP273" s="18"/>
      <c r="DEQ273" s="18"/>
      <c r="DER273" s="18"/>
      <c r="DES273" s="18"/>
      <c r="DET273" s="18"/>
      <c r="DEU273" s="18"/>
      <c r="DEV273" s="18"/>
      <c r="DEW273" s="18"/>
      <c r="DEX273" s="18"/>
      <c r="DEY273" s="18"/>
      <c r="DEZ273" s="18"/>
      <c r="DFA273" s="18"/>
      <c r="DFB273" s="18"/>
      <c r="DFC273" s="18"/>
      <c r="DFD273" s="18"/>
      <c r="DFE273" s="18"/>
      <c r="DFF273" s="18"/>
      <c r="DFG273" s="18"/>
      <c r="DFH273" s="18"/>
      <c r="DFI273" s="18"/>
      <c r="DFJ273" s="18"/>
      <c r="DFK273" s="18"/>
      <c r="DFL273" s="18"/>
      <c r="DFM273" s="18"/>
      <c r="DFN273" s="18"/>
      <c r="DFO273" s="18"/>
      <c r="DFP273" s="18"/>
      <c r="DFQ273" s="18"/>
      <c r="DFR273" s="18"/>
      <c r="DFS273" s="18"/>
      <c r="DFT273" s="18"/>
      <c r="DFU273" s="18"/>
      <c r="DFV273" s="18"/>
      <c r="DFW273" s="18"/>
      <c r="DFX273" s="18"/>
      <c r="DFY273" s="18"/>
      <c r="DFZ273" s="18"/>
      <c r="DGA273" s="18"/>
      <c r="DGB273" s="18"/>
      <c r="DGC273" s="18"/>
      <c r="DGD273" s="18"/>
      <c r="DGE273" s="18"/>
      <c r="DGF273" s="18"/>
      <c r="DGG273" s="18"/>
      <c r="DGH273" s="18"/>
      <c r="DGI273" s="18"/>
      <c r="DGJ273" s="18"/>
      <c r="DGK273" s="18"/>
      <c r="DGL273" s="18"/>
      <c r="DGM273" s="18"/>
      <c r="DGN273" s="18"/>
      <c r="DGO273" s="18"/>
      <c r="DGP273" s="18"/>
      <c r="DGQ273" s="18"/>
      <c r="DGR273" s="18"/>
      <c r="DGS273" s="18"/>
      <c r="DGT273" s="18"/>
      <c r="DGU273" s="18"/>
      <c r="DGV273" s="18"/>
      <c r="DGW273" s="18"/>
      <c r="DGX273" s="18"/>
      <c r="DGY273" s="18"/>
      <c r="DGZ273" s="18"/>
      <c r="DHA273" s="18"/>
      <c r="DHB273" s="18"/>
      <c r="DHC273" s="18"/>
      <c r="DHD273" s="18"/>
      <c r="DHE273" s="18"/>
      <c r="DHF273" s="18"/>
      <c r="DHG273" s="18"/>
      <c r="DHH273" s="18"/>
      <c r="DHI273" s="18"/>
      <c r="DHJ273" s="18"/>
      <c r="DHK273" s="18"/>
      <c r="DHL273" s="18"/>
      <c r="DHM273" s="18"/>
      <c r="DHN273" s="18"/>
      <c r="DHO273" s="18"/>
      <c r="DHP273" s="18"/>
      <c r="DHQ273" s="18"/>
      <c r="DHR273" s="18"/>
      <c r="DHS273" s="18"/>
      <c r="DHT273" s="18"/>
      <c r="DHU273" s="18"/>
      <c r="DHV273" s="18"/>
      <c r="DHW273" s="18"/>
      <c r="DHX273" s="18"/>
      <c r="DHY273" s="18"/>
      <c r="DHZ273" s="18"/>
      <c r="DIA273" s="18"/>
      <c r="DIB273" s="18"/>
      <c r="DIC273" s="18"/>
      <c r="DID273" s="18"/>
      <c r="DIE273" s="18"/>
      <c r="DIF273" s="18"/>
      <c r="DIG273" s="18"/>
      <c r="DIH273" s="18"/>
      <c r="DII273" s="18"/>
      <c r="DIJ273" s="18"/>
      <c r="DIK273" s="18"/>
      <c r="DIL273" s="18"/>
      <c r="DIM273" s="18"/>
      <c r="DIN273" s="18"/>
      <c r="DIO273" s="18"/>
      <c r="DIP273" s="18"/>
      <c r="DIQ273" s="18"/>
      <c r="DIR273" s="18"/>
      <c r="DIS273" s="18"/>
      <c r="DIT273" s="18"/>
      <c r="DIU273" s="18"/>
      <c r="DIV273" s="18"/>
      <c r="DIW273" s="18"/>
      <c r="DIX273" s="18"/>
      <c r="DIY273" s="18"/>
      <c r="DIZ273" s="18"/>
      <c r="DJA273" s="18"/>
      <c r="DJB273" s="18"/>
      <c r="DJC273" s="18"/>
      <c r="DJD273" s="18"/>
      <c r="DJE273" s="18"/>
      <c r="DJF273" s="18"/>
      <c r="DJG273" s="18"/>
      <c r="DJH273" s="18"/>
      <c r="DJI273" s="18"/>
      <c r="DJJ273" s="18"/>
      <c r="DJK273" s="18"/>
      <c r="DJL273" s="18"/>
      <c r="DJM273" s="18"/>
      <c r="DJN273" s="18"/>
      <c r="DJO273" s="18"/>
      <c r="DJP273" s="18"/>
      <c r="DJQ273" s="18"/>
      <c r="DJR273" s="18"/>
      <c r="DJS273" s="18"/>
      <c r="DJT273" s="18"/>
      <c r="DJU273" s="18"/>
      <c r="DJV273" s="18"/>
      <c r="DJW273" s="18"/>
      <c r="DJX273" s="18"/>
      <c r="DJY273" s="18"/>
      <c r="DJZ273" s="18"/>
      <c r="DKA273" s="18"/>
      <c r="DKB273" s="18"/>
      <c r="DKC273" s="18"/>
      <c r="DKD273" s="18"/>
      <c r="DKE273" s="18"/>
      <c r="DKF273" s="18"/>
      <c r="DKG273" s="18"/>
      <c r="DKH273" s="18"/>
      <c r="DKI273" s="18"/>
      <c r="DKJ273" s="18"/>
      <c r="DKK273" s="18"/>
      <c r="DKL273" s="18"/>
      <c r="DKM273" s="18"/>
      <c r="DKN273" s="18"/>
      <c r="DKO273" s="18"/>
      <c r="DKP273" s="18"/>
      <c r="DKQ273" s="18"/>
      <c r="DKR273" s="18"/>
      <c r="DKS273" s="18"/>
      <c r="DKT273" s="18"/>
      <c r="DKU273" s="18"/>
      <c r="DKV273" s="18"/>
      <c r="DKW273" s="18"/>
      <c r="DKX273" s="18"/>
      <c r="DKY273" s="18"/>
      <c r="DKZ273" s="18"/>
      <c r="DLA273" s="18"/>
      <c r="DLB273" s="18"/>
      <c r="DLC273" s="18"/>
      <c r="DLD273" s="18"/>
      <c r="DLE273" s="18"/>
      <c r="DLF273" s="18"/>
      <c r="DLG273" s="18"/>
      <c r="DLH273" s="18"/>
      <c r="DLI273" s="18"/>
      <c r="DLJ273" s="18"/>
      <c r="DLK273" s="18"/>
      <c r="DLL273" s="18"/>
      <c r="DLM273" s="18"/>
      <c r="DLN273" s="18"/>
      <c r="DLO273" s="18"/>
      <c r="DLP273" s="18"/>
      <c r="DLQ273" s="18"/>
      <c r="DLR273" s="18"/>
      <c r="DLS273" s="18"/>
      <c r="DLT273" s="18"/>
      <c r="DLU273" s="18"/>
      <c r="DLV273" s="18"/>
      <c r="DLW273" s="18"/>
      <c r="DLX273" s="18"/>
      <c r="DLY273" s="18"/>
      <c r="DLZ273" s="18"/>
      <c r="DMA273" s="18"/>
      <c r="DMB273" s="18"/>
      <c r="DMC273" s="18"/>
      <c r="DMD273" s="18"/>
      <c r="DME273" s="18"/>
      <c r="DMF273" s="18"/>
      <c r="DMG273" s="18"/>
      <c r="DMH273" s="18"/>
      <c r="DMI273" s="18"/>
      <c r="DMJ273" s="18"/>
      <c r="DMK273" s="18"/>
      <c r="DML273" s="18"/>
      <c r="DMM273" s="18"/>
      <c r="DMN273" s="18"/>
      <c r="DMO273" s="18"/>
      <c r="DMP273" s="18"/>
      <c r="DMQ273" s="18"/>
      <c r="DMR273" s="18"/>
      <c r="DMS273" s="18"/>
      <c r="DMT273" s="18"/>
      <c r="DMU273" s="18"/>
      <c r="DMV273" s="18"/>
      <c r="DMW273" s="18"/>
      <c r="DMX273" s="18"/>
      <c r="DMY273" s="18"/>
      <c r="DMZ273" s="18"/>
      <c r="DNA273" s="18"/>
      <c r="DNB273" s="18"/>
      <c r="DNC273" s="18"/>
      <c r="DND273" s="18"/>
      <c r="DNE273" s="18"/>
      <c r="DNF273" s="18"/>
      <c r="DNG273" s="18"/>
      <c r="DNH273" s="18"/>
      <c r="DNI273" s="18"/>
      <c r="DNJ273" s="18"/>
      <c r="DNK273" s="18"/>
      <c r="DNL273" s="18"/>
      <c r="DNM273" s="18"/>
      <c r="DNN273" s="18"/>
      <c r="DNO273" s="18"/>
      <c r="DNP273" s="18"/>
      <c r="DNQ273" s="18"/>
      <c r="DNR273" s="18"/>
      <c r="DNS273" s="18"/>
      <c r="DNT273" s="18"/>
      <c r="DNU273" s="18"/>
      <c r="DNV273" s="18"/>
      <c r="DNW273" s="18"/>
      <c r="DNX273" s="18"/>
      <c r="DNY273" s="18"/>
      <c r="DNZ273" s="18"/>
      <c r="DOA273" s="18"/>
      <c r="DOB273" s="18"/>
      <c r="DOC273" s="18"/>
      <c r="DOD273" s="18"/>
      <c r="DOE273" s="18"/>
      <c r="DOF273" s="18"/>
      <c r="DOG273" s="18"/>
      <c r="DOH273" s="18"/>
      <c r="DOI273" s="18"/>
      <c r="DOJ273" s="18"/>
      <c r="DOK273" s="18"/>
      <c r="DOL273" s="18"/>
      <c r="DOM273" s="18"/>
      <c r="DON273" s="18"/>
      <c r="DOO273" s="18"/>
      <c r="DOP273" s="18"/>
      <c r="DOQ273" s="18"/>
      <c r="DOR273" s="18"/>
      <c r="DOS273" s="18"/>
      <c r="DOT273" s="18"/>
      <c r="DOU273" s="18"/>
      <c r="DOV273" s="18"/>
      <c r="DOW273" s="18"/>
      <c r="DOX273" s="18"/>
      <c r="DOY273" s="18"/>
      <c r="DOZ273" s="18"/>
      <c r="DPA273" s="18"/>
      <c r="DPB273" s="18"/>
      <c r="DPC273" s="18"/>
      <c r="DPD273" s="18"/>
      <c r="DPE273" s="18"/>
      <c r="DPF273" s="18"/>
      <c r="DPG273" s="18"/>
      <c r="DPH273" s="18"/>
      <c r="DPI273" s="18"/>
      <c r="DPJ273" s="18"/>
      <c r="DPK273" s="18"/>
      <c r="DPL273" s="18"/>
      <c r="DPM273" s="18"/>
      <c r="DPN273" s="18"/>
      <c r="DPO273" s="18"/>
      <c r="DPP273" s="18"/>
      <c r="DPQ273" s="18"/>
      <c r="DPR273" s="18"/>
      <c r="DPS273" s="18"/>
      <c r="DPT273" s="18"/>
      <c r="DPU273" s="18"/>
      <c r="DPV273" s="18"/>
      <c r="DPW273" s="18"/>
      <c r="DPX273" s="18"/>
      <c r="DPY273" s="18"/>
      <c r="DPZ273" s="18"/>
      <c r="DQA273" s="18"/>
      <c r="DQB273" s="18"/>
      <c r="DQC273" s="18"/>
      <c r="DQD273" s="18"/>
      <c r="DQE273" s="18"/>
      <c r="DQF273" s="18"/>
      <c r="DQG273" s="18"/>
      <c r="DQH273" s="18"/>
      <c r="DQI273" s="18"/>
      <c r="DQJ273" s="18"/>
      <c r="DQK273" s="18"/>
      <c r="DQL273" s="18"/>
      <c r="DQM273" s="18"/>
      <c r="DQN273" s="18"/>
      <c r="DQO273" s="18"/>
      <c r="DQP273" s="18"/>
      <c r="DQQ273" s="18"/>
      <c r="DQR273" s="18"/>
      <c r="DQS273" s="18"/>
      <c r="DQT273" s="18"/>
      <c r="DQU273" s="18"/>
      <c r="DQV273" s="18"/>
      <c r="DQW273" s="18"/>
      <c r="DQX273" s="18"/>
      <c r="DQY273" s="18"/>
      <c r="DQZ273" s="18"/>
      <c r="DRA273" s="18"/>
      <c r="DRB273" s="18"/>
      <c r="DRC273" s="18"/>
      <c r="DRD273" s="18"/>
      <c r="DRE273" s="18"/>
      <c r="DRF273" s="18"/>
      <c r="DRG273" s="18"/>
      <c r="DRH273" s="18"/>
      <c r="DRI273" s="18"/>
      <c r="DRJ273" s="18"/>
      <c r="DRK273" s="18"/>
      <c r="DRL273" s="18"/>
      <c r="DRM273" s="18"/>
      <c r="DRN273" s="18"/>
      <c r="DRO273" s="18"/>
      <c r="DRP273" s="18"/>
      <c r="DRQ273" s="18"/>
      <c r="DRR273" s="18"/>
      <c r="DRS273" s="18"/>
      <c r="DRT273" s="18"/>
      <c r="DRU273" s="18"/>
      <c r="DRV273" s="18"/>
      <c r="DRW273" s="18"/>
      <c r="DRX273" s="18"/>
      <c r="DRY273" s="18"/>
      <c r="DRZ273" s="18"/>
      <c r="DSA273" s="18"/>
      <c r="DSB273" s="18"/>
      <c r="DSC273" s="18"/>
      <c r="DSD273" s="18"/>
      <c r="DSE273" s="18"/>
      <c r="DSF273" s="18"/>
      <c r="DSG273" s="18"/>
      <c r="DSH273" s="18"/>
      <c r="DSI273" s="18"/>
      <c r="DSJ273" s="18"/>
      <c r="DSK273" s="18"/>
      <c r="DSL273" s="18"/>
      <c r="DSM273" s="18"/>
      <c r="DSN273" s="18"/>
      <c r="DSO273" s="18"/>
      <c r="DSP273" s="18"/>
      <c r="DSQ273" s="18"/>
      <c r="DSR273" s="18"/>
      <c r="DSS273" s="18"/>
      <c r="DST273" s="18"/>
      <c r="DSU273" s="18"/>
      <c r="DSV273" s="18"/>
      <c r="DSW273" s="18"/>
      <c r="DSX273" s="18"/>
      <c r="DSY273" s="18"/>
      <c r="DSZ273" s="18"/>
      <c r="DTA273" s="18"/>
      <c r="DTB273" s="18"/>
      <c r="DTC273" s="18"/>
      <c r="DTD273" s="18"/>
      <c r="DTE273" s="18"/>
      <c r="DTF273" s="18"/>
      <c r="DTG273" s="18"/>
      <c r="DTH273" s="18"/>
      <c r="DTI273" s="18"/>
      <c r="DTJ273" s="18"/>
      <c r="DTK273" s="18"/>
      <c r="DTL273" s="18"/>
      <c r="DTM273" s="18"/>
      <c r="DTN273" s="18"/>
      <c r="DTO273" s="18"/>
      <c r="DTP273" s="18"/>
      <c r="DTQ273" s="18"/>
      <c r="DTR273" s="18"/>
      <c r="DTS273" s="18"/>
      <c r="DTT273" s="18"/>
      <c r="DTU273" s="18"/>
      <c r="DTV273" s="18"/>
      <c r="DTW273" s="18"/>
      <c r="DTX273" s="18"/>
      <c r="DTY273" s="18"/>
      <c r="DTZ273" s="18"/>
      <c r="DUA273" s="18"/>
      <c r="DUB273" s="18"/>
      <c r="DUC273" s="18"/>
      <c r="DUD273" s="18"/>
      <c r="DUE273" s="18"/>
      <c r="DUF273" s="18"/>
      <c r="DUG273" s="18"/>
      <c r="DUH273" s="18"/>
      <c r="DUI273" s="18"/>
      <c r="DUJ273" s="18"/>
      <c r="DUK273" s="18"/>
      <c r="DUL273" s="18"/>
      <c r="DUM273" s="18"/>
      <c r="DUN273" s="18"/>
      <c r="DUO273" s="18"/>
      <c r="DUP273" s="18"/>
      <c r="DUQ273" s="18"/>
      <c r="DUR273" s="18"/>
      <c r="DUS273" s="18"/>
      <c r="DUT273" s="18"/>
      <c r="DUU273" s="18"/>
      <c r="DUV273" s="18"/>
      <c r="DUW273" s="18"/>
      <c r="DUX273" s="18"/>
      <c r="DUY273" s="18"/>
      <c r="DUZ273" s="18"/>
      <c r="DVA273" s="18"/>
      <c r="DVB273" s="18"/>
      <c r="DVC273" s="18"/>
      <c r="DVD273" s="18"/>
      <c r="DVE273" s="18"/>
      <c r="DVF273" s="18"/>
      <c r="DVG273" s="18"/>
      <c r="DVH273" s="18"/>
      <c r="DVI273" s="18"/>
      <c r="DVJ273" s="18"/>
      <c r="DVK273" s="18"/>
      <c r="DVL273" s="18"/>
      <c r="DVM273" s="18"/>
      <c r="DVN273" s="18"/>
      <c r="DVO273" s="18"/>
      <c r="DVP273" s="18"/>
      <c r="DVQ273" s="18"/>
      <c r="DVR273" s="18"/>
      <c r="DVS273" s="18"/>
      <c r="DVT273" s="18"/>
      <c r="DVU273" s="18"/>
      <c r="DVV273" s="18"/>
      <c r="DVW273" s="18"/>
      <c r="DVX273" s="18"/>
      <c r="DVY273" s="18"/>
      <c r="DVZ273" s="18"/>
      <c r="DWA273" s="18"/>
      <c r="DWB273" s="18"/>
      <c r="DWC273" s="18"/>
      <c r="DWD273" s="18"/>
      <c r="DWE273" s="18"/>
      <c r="DWF273" s="18"/>
      <c r="DWG273" s="18"/>
      <c r="DWH273" s="18"/>
      <c r="DWI273" s="18"/>
      <c r="DWJ273" s="18"/>
      <c r="DWK273" s="18"/>
      <c r="DWL273" s="18"/>
      <c r="DWM273" s="18"/>
      <c r="DWN273" s="18"/>
      <c r="DWO273" s="18"/>
      <c r="DWP273" s="18"/>
      <c r="DWQ273" s="18"/>
      <c r="DWR273" s="18"/>
      <c r="DWS273" s="18"/>
      <c r="DWT273" s="18"/>
      <c r="DWU273" s="18"/>
      <c r="DWV273" s="18"/>
      <c r="DWW273" s="18"/>
      <c r="DWX273" s="18"/>
      <c r="DWY273" s="18"/>
      <c r="DWZ273" s="18"/>
      <c r="DXA273" s="18"/>
      <c r="DXB273" s="18"/>
      <c r="DXC273" s="18"/>
      <c r="DXD273" s="18"/>
      <c r="DXE273" s="18"/>
      <c r="DXF273" s="18"/>
      <c r="DXG273" s="18"/>
      <c r="DXH273" s="18"/>
      <c r="DXI273" s="18"/>
      <c r="DXJ273" s="18"/>
      <c r="DXK273" s="18"/>
      <c r="DXL273" s="18"/>
      <c r="DXM273" s="18"/>
      <c r="DXN273" s="18"/>
      <c r="DXO273" s="18"/>
      <c r="DXP273" s="18"/>
      <c r="DXQ273" s="18"/>
      <c r="DXR273" s="18"/>
      <c r="DXS273" s="18"/>
      <c r="DXT273" s="18"/>
      <c r="DXU273" s="18"/>
      <c r="DXV273" s="18"/>
      <c r="DXW273" s="18"/>
      <c r="DXX273" s="18"/>
      <c r="DXY273" s="18"/>
      <c r="DXZ273" s="18"/>
      <c r="DYA273" s="18"/>
      <c r="DYB273" s="18"/>
      <c r="DYC273" s="18"/>
      <c r="DYD273" s="18"/>
      <c r="DYE273" s="18"/>
      <c r="DYF273" s="18"/>
      <c r="DYG273" s="18"/>
      <c r="DYH273" s="18"/>
      <c r="DYI273" s="18"/>
      <c r="DYJ273" s="18"/>
      <c r="DYK273" s="18"/>
      <c r="DYL273" s="18"/>
      <c r="DYM273" s="18"/>
      <c r="DYN273" s="18"/>
      <c r="DYO273" s="18"/>
      <c r="DYP273" s="18"/>
      <c r="DYQ273" s="18"/>
      <c r="DYR273" s="18"/>
      <c r="DYS273" s="18"/>
      <c r="DYT273" s="18"/>
      <c r="DYU273" s="18"/>
      <c r="DYV273" s="18"/>
      <c r="DYW273" s="18"/>
      <c r="DYX273" s="18"/>
      <c r="DYY273" s="18"/>
      <c r="DYZ273" s="18"/>
      <c r="DZA273" s="18"/>
      <c r="DZB273" s="18"/>
      <c r="DZC273" s="18"/>
      <c r="DZD273" s="18"/>
      <c r="DZE273" s="18"/>
      <c r="DZF273" s="18"/>
      <c r="DZG273" s="18"/>
      <c r="DZH273" s="18"/>
      <c r="DZI273" s="18"/>
      <c r="DZJ273" s="18"/>
      <c r="DZK273" s="18"/>
      <c r="DZL273" s="18"/>
      <c r="DZM273" s="18"/>
      <c r="DZN273" s="18"/>
      <c r="DZO273" s="18"/>
      <c r="DZP273" s="18"/>
      <c r="DZQ273" s="18"/>
      <c r="DZR273" s="18"/>
      <c r="DZS273" s="18"/>
      <c r="DZT273" s="18"/>
      <c r="DZU273" s="18"/>
      <c r="DZV273" s="18"/>
      <c r="DZW273" s="18"/>
      <c r="DZX273" s="18"/>
      <c r="DZY273" s="18"/>
      <c r="DZZ273" s="18"/>
      <c r="EAA273" s="18"/>
      <c r="EAB273" s="18"/>
      <c r="EAC273" s="18"/>
      <c r="EAD273" s="18"/>
      <c r="EAE273" s="18"/>
      <c r="EAF273" s="18"/>
      <c r="EAG273" s="18"/>
      <c r="EAH273" s="18"/>
      <c r="EAI273" s="18"/>
      <c r="EAJ273" s="18"/>
      <c r="EAK273" s="18"/>
      <c r="EAL273" s="18"/>
      <c r="EAM273" s="18"/>
      <c r="EAN273" s="18"/>
      <c r="EAO273" s="18"/>
      <c r="EAP273" s="18"/>
      <c r="EAQ273" s="18"/>
      <c r="EAR273" s="18"/>
      <c r="EAS273" s="18"/>
      <c r="EAT273" s="18"/>
      <c r="EAU273" s="18"/>
      <c r="EAV273" s="18"/>
      <c r="EAW273" s="18"/>
      <c r="EAX273" s="18"/>
      <c r="EAY273" s="18"/>
      <c r="EAZ273" s="18"/>
      <c r="EBA273" s="18"/>
      <c r="EBB273" s="18"/>
      <c r="EBC273" s="18"/>
      <c r="EBD273" s="18"/>
      <c r="EBE273" s="18"/>
      <c r="EBF273" s="18"/>
      <c r="EBG273" s="18"/>
      <c r="EBH273" s="18"/>
      <c r="EBI273" s="18"/>
      <c r="EBJ273" s="18"/>
      <c r="EBK273" s="18"/>
      <c r="EBL273" s="18"/>
      <c r="EBM273" s="18"/>
      <c r="EBN273" s="18"/>
      <c r="EBO273" s="18"/>
      <c r="EBP273" s="18"/>
      <c r="EBQ273" s="18"/>
      <c r="EBR273" s="18"/>
      <c r="EBS273" s="18"/>
      <c r="EBT273" s="18"/>
      <c r="EBU273" s="18"/>
      <c r="EBV273" s="18"/>
      <c r="EBW273" s="18"/>
      <c r="EBX273" s="18"/>
      <c r="EBY273" s="18"/>
      <c r="EBZ273" s="18"/>
      <c r="ECA273" s="18"/>
      <c r="ECB273" s="18"/>
      <c r="ECC273" s="18"/>
      <c r="ECD273" s="18"/>
      <c r="ECE273" s="18"/>
      <c r="ECF273" s="18"/>
      <c r="ECG273" s="18"/>
      <c r="ECH273" s="18"/>
      <c r="ECI273" s="18"/>
      <c r="ECJ273" s="18"/>
      <c r="ECK273" s="18"/>
      <c r="ECL273" s="18"/>
      <c r="ECM273" s="18"/>
      <c r="ECN273" s="18"/>
      <c r="ECO273" s="18"/>
      <c r="ECP273" s="18"/>
      <c r="ECQ273" s="18"/>
      <c r="ECR273" s="18"/>
      <c r="ECS273" s="18"/>
      <c r="ECT273" s="18"/>
      <c r="ECU273" s="18"/>
      <c r="ECV273" s="18"/>
      <c r="ECW273" s="18"/>
      <c r="ECX273" s="18"/>
      <c r="ECY273" s="18"/>
      <c r="ECZ273" s="18"/>
      <c r="EDA273" s="18"/>
      <c r="EDB273" s="18"/>
      <c r="EDC273" s="18"/>
      <c r="EDD273" s="18"/>
      <c r="EDE273" s="18"/>
      <c r="EDF273" s="18"/>
      <c r="EDG273" s="18"/>
      <c r="EDH273" s="18"/>
      <c r="EDI273" s="18"/>
      <c r="EDJ273" s="18"/>
      <c r="EDK273" s="18"/>
      <c r="EDL273" s="18"/>
      <c r="EDM273" s="18"/>
      <c r="EDN273" s="18"/>
      <c r="EDO273" s="18"/>
      <c r="EDP273" s="18"/>
      <c r="EDQ273" s="18"/>
      <c r="EDR273" s="18"/>
      <c r="EDS273" s="18"/>
      <c r="EDT273" s="18"/>
      <c r="EDU273" s="18"/>
      <c r="EDV273" s="18"/>
      <c r="EDW273" s="18"/>
      <c r="EDX273" s="18"/>
      <c r="EDY273" s="18"/>
      <c r="EDZ273" s="18"/>
      <c r="EEA273" s="18"/>
      <c r="EEB273" s="18"/>
      <c r="EEC273" s="18"/>
      <c r="EED273" s="18"/>
      <c r="EEE273" s="18"/>
      <c r="EEF273" s="18"/>
      <c r="EEG273" s="18"/>
      <c r="EEH273" s="18"/>
      <c r="EEI273" s="18"/>
      <c r="EEJ273" s="18"/>
      <c r="EEK273" s="18"/>
      <c r="EEL273" s="18"/>
      <c r="EEM273" s="18"/>
      <c r="EEN273" s="18"/>
      <c r="EEO273" s="18"/>
      <c r="EEP273" s="18"/>
      <c r="EEQ273" s="18"/>
      <c r="EER273" s="18"/>
      <c r="EES273" s="18"/>
      <c r="EET273" s="18"/>
      <c r="EEU273" s="18"/>
      <c r="EEV273" s="18"/>
      <c r="EEW273" s="18"/>
      <c r="EEX273" s="18"/>
      <c r="EEY273" s="18"/>
      <c r="EEZ273" s="18"/>
      <c r="EFA273" s="18"/>
      <c r="EFB273" s="18"/>
      <c r="EFC273" s="18"/>
      <c r="EFD273" s="18"/>
      <c r="EFE273" s="18"/>
      <c r="EFF273" s="18"/>
      <c r="EFG273" s="18"/>
      <c r="EFH273" s="18"/>
      <c r="EFI273" s="18"/>
      <c r="EFJ273" s="18"/>
      <c r="EFK273" s="18"/>
      <c r="EFL273" s="18"/>
      <c r="EFM273" s="18"/>
      <c r="EFN273" s="18"/>
      <c r="EFO273" s="18"/>
      <c r="EFP273" s="18"/>
      <c r="EFQ273" s="18"/>
      <c r="EFR273" s="18"/>
      <c r="EFS273" s="18"/>
      <c r="EFT273" s="18"/>
      <c r="EFU273" s="18"/>
      <c r="EFV273" s="18"/>
      <c r="EFW273" s="18"/>
      <c r="EFX273" s="18"/>
      <c r="EFY273" s="18"/>
      <c r="EFZ273" s="18"/>
      <c r="EGA273" s="18"/>
      <c r="EGB273" s="18"/>
      <c r="EGC273" s="18"/>
      <c r="EGD273" s="18"/>
      <c r="EGE273" s="18"/>
      <c r="EGF273" s="18"/>
      <c r="EGG273" s="18"/>
      <c r="EGH273" s="18"/>
      <c r="EGI273" s="18"/>
      <c r="EGJ273" s="18"/>
      <c r="EGK273" s="18"/>
      <c r="EGL273" s="18"/>
      <c r="EGM273" s="18"/>
      <c r="EGN273" s="18"/>
      <c r="EGO273" s="18"/>
      <c r="EGP273" s="18"/>
      <c r="EGQ273" s="18"/>
      <c r="EGR273" s="18"/>
      <c r="EGS273" s="18"/>
      <c r="EGT273" s="18"/>
      <c r="EGU273" s="18"/>
      <c r="EGV273" s="18"/>
      <c r="EGW273" s="18"/>
      <c r="EGX273" s="18"/>
      <c r="EGY273" s="18"/>
      <c r="EGZ273" s="18"/>
      <c r="EHA273" s="18"/>
      <c r="EHB273" s="18"/>
      <c r="EHC273" s="18"/>
      <c r="EHD273" s="18"/>
      <c r="EHE273" s="18"/>
      <c r="EHF273" s="18"/>
      <c r="EHG273" s="18"/>
      <c r="EHH273" s="18"/>
      <c r="EHI273" s="18"/>
      <c r="EHJ273" s="18"/>
      <c r="EHK273" s="18"/>
      <c r="EHL273" s="18"/>
      <c r="EHM273" s="18"/>
      <c r="EHN273" s="18"/>
      <c r="EHO273" s="18"/>
      <c r="EHP273" s="18"/>
      <c r="EHQ273" s="18"/>
      <c r="EHR273" s="18"/>
      <c r="EHS273" s="18"/>
      <c r="EHT273" s="18"/>
      <c r="EHU273" s="18"/>
      <c r="EHV273" s="18"/>
      <c r="EHW273" s="18"/>
      <c r="EHX273" s="18"/>
      <c r="EHY273" s="18"/>
      <c r="EHZ273" s="18"/>
      <c r="EIA273" s="18"/>
      <c r="EIB273" s="18"/>
      <c r="EIC273" s="18"/>
      <c r="EID273" s="18"/>
      <c r="EIE273" s="18"/>
      <c r="EIF273" s="18"/>
      <c r="EIG273" s="18"/>
      <c r="EIH273" s="18"/>
      <c r="EII273" s="18"/>
      <c r="EIJ273" s="18"/>
      <c r="EIK273" s="18"/>
      <c r="EIL273" s="18"/>
      <c r="EIM273" s="18"/>
      <c r="EIN273" s="18"/>
      <c r="EIO273" s="18"/>
      <c r="EIP273" s="18"/>
      <c r="EIQ273" s="18"/>
      <c r="EIR273" s="18"/>
      <c r="EIS273" s="18"/>
      <c r="EIT273" s="18"/>
      <c r="EIU273" s="18"/>
      <c r="EIV273" s="18"/>
      <c r="EIW273" s="18"/>
      <c r="EIX273" s="18"/>
      <c r="EIY273" s="18"/>
      <c r="EIZ273" s="18"/>
      <c r="EJA273" s="18"/>
      <c r="EJB273" s="18"/>
      <c r="EJC273" s="18"/>
      <c r="EJD273" s="18"/>
      <c r="EJE273" s="18"/>
      <c r="EJF273" s="18"/>
      <c r="EJG273" s="18"/>
      <c r="EJH273" s="18"/>
      <c r="EJI273" s="18"/>
      <c r="EJJ273" s="18"/>
      <c r="EJK273" s="18"/>
      <c r="EJL273" s="18"/>
      <c r="EJM273" s="18"/>
      <c r="EJN273" s="18"/>
      <c r="EJO273" s="18"/>
      <c r="EJP273" s="18"/>
      <c r="EJQ273" s="18"/>
      <c r="EJR273" s="18"/>
      <c r="EJS273" s="18"/>
      <c r="EJT273" s="18"/>
      <c r="EJU273" s="18"/>
      <c r="EJV273" s="18"/>
      <c r="EJW273" s="18"/>
      <c r="EJX273" s="18"/>
      <c r="EJY273" s="18"/>
      <c r="EJZ273" s="18"/>
      <c r="EKA273" s="18"/>
      <c r="EKB273" s="18"/>
      <c r="EKC273" s="18"/>
      <c r="EKD273" s="18"/>
      <c r="EKE273" s="18"/>
      <c r="EKF273" s="18"/>
      <c r="EKG273" s="18"/>
      <c r="EKH273" s="18"/>
      <c r="EKI273" s="18"/>
      <c r="EKJ273" s="18"/>
      <c r="EKK273" s="18"/>
      <c r="EKL273" s="18"/>
      <c r="EKM273" s="18"/>
      <c r="EKN273" s="18"/>
      <c r="EKO273" s="18"/>
      <c r="EKP273" s="18"/>
      <c r="EKQ273" s="18"/>
      <c r="EKR273" s="18"/>
      <c r="EKS273" s="18"/>
      <c r="EKT273" s="18"/>
      <c r="EKU273" s="18"/>
      <c r="EKV273" s="18"/>
      <c r="EKW273" s="18"/>
      <c r="EKX273" s="18"/>
      <c r="EKY273" s="18"/>
      <c r="EKZ273" s="18"/>
      <c r="ELA273" s="18"/>
      <c r="ELB273" s="18"/>
      <c r="ELC273" s="18"/>
      <c r="ELD273" s="18"/>
      <c r="ELE273" s="18"/>
      <c r="ELF273" s="18"/>
      <c r="ELG273" s="18"/>
      <c r="ELH273" s="18"/>
      <c r="ELI273" s="18"/>
      <c r="ELJ273" s="18"/>
      <c r="ELK273" s="18"/>
      <c r="ELL273" s="18"/>
      <c r="ELM273" s="18"/>
      <c r="ELN273" s="18"/>
      <c r="ELO273" s="18"/>
      <c r="ELP273" s="18"/>
      <c r="ELQ273" s="18"/>
      <c r="ELR273" s="18"/>
      <c r="ELS273" s="18"/>
      <c r="ELT273" s="18"/>
      <c r="ELU273" s="18"/>
      <c r="ELV273" s="18"/>
      <c r="ELW273" s="18"/>
      <c r="ELX273" s="18"/>
      <c r="ELY273" s="18"/>
      <c r="ELZ273" s="18"/>
      <c r="EMA273" s="18"/>
      <c r="EMB273" s="18"/>
      <c r="EMC273" s="18"/>
      <c r="EMD273" s="18"/>
      <c r="EME273" s="18"/>
      <c r="EMF273" s="18"/>
      <c r="EMG273" s="18"/>
      <c r="EMH273" s="18"/>
      <c r="EMI273" s="18"/>
      <c r="EMJ273" s="18"/>
      <c r="EMK273" s="18"/>
      <c r="EML273" s="18"/>
      <c r="EMM273" s="18"/>
      <c r="EMN273" s="18"/>
      <c r="EMO273" s="18"/>
      <c r="EMP273" s="18"/>
      <c r="EMQ273" s="18"/>
      <c r="EMR273" s="18"/>
      <c r="EMS273" s="18"/>
      <c r="EMT273" s="18"/>
      <c r="EMU273" s="18"/>
      <c r="EMV273" s="18"/>
      <c r="EMW273" s="18"/>
      <c r="EMX273" s="18"/>
      <c r="EMY273" s="18"/>
      <c r="EMZ273" s="18"/>
      <c r="ENA273" s="18"/>
      <c r="ENB273" s="18"/>
      <c r="ENC273" s="18"/>
      <c r="END273" s="18"/>
      <c r="ENE273" s="18"/>
      <c r="ENF273" s="18"/>
      <c r="ENG273" s="18"/>
      <c r="ENH273" s="18"/>
      <c r="ENI273" s="18"/>
      <c r="ENJ273" s="18"/>
      <c r="ENK273" s="18"/>
      <c r="ENL273" s="18"/>
      <c r="ENM273" s="18"/>
      <c r="ENN273" s="18"/>
      <c r="ENO273" s="18"/>
      <c r="ENP273" s="18"/>
      <c r="ENQ273" s="18"/>
      <c r="ENR273" s="18"/>
      <c r="ENS273" s="18"/>
      <c r="ENT273" s="18"/>
      <c r="ENU273" s="18"/>
      <c r="ENV273" s="18"/>
      <c r="ENW273" s="18"/>
      <c r="ENX273" s="18"/>
      <c r="ENY273" s="18"/>
      <c r="ENZ273" s="18"/>
      <c r="EOA273" s="18"/>
      <c r="EOB273" s="18"/>
      <c r="EOC273" s="18"/>
      <c r="EOD273" s="18"/>
      <c r="EOE273" s="18"/>
      <c r="EOF273" s="18"/>
      <c r="EOG273" s="18"/>
      <c r="EOH273" s="18"/>
      <c r="EOI273" s="18"/>
      <c r="EOJ273" s="18"/>
      <c r="EOK273" s="18"/>
      <c r="EOL273" s="18"/>
      <c r="EOM273" s="18"/>
      <c r="EON273" s="18"/>
      <c r="EOO273" s="18"/>
      <c r="EOP273" s="18"/>
      <c r="EOQ273" s="18"/>
      <c r="EOR273" s="18"/>
      <c r="EOS273" s="18"/>
      <c r="EOT273" s="18"/>
      <c r="EOU273" s="18"/>
      <c r="EOV273" s="18"/>
      <c r="EOW273" s="18"/>
      <c r="EOX273" s="18"/>
      <c r="EOY273" s="18"/>
      <c r="EOZ273" s="18"/>
      <c r="EPA273" s="18"/>
      <c r="EPB273" s="18"/>
      <c r="EPC273" s="18"/>
      <c r="EPD273" s="18"/>
      <c r="EPE273" s="18"/>
      <c r="EPF273" s="18"/>
      <c r="EPG273" s="18"/>
      <c r="EPH273" s="18"/>
      <c r="EPI273" s="18"/>
      <c r="EPJ273" s="18"/>
      <c r="EPK273" s="18"/>
      <c r="EPL273" s="18"/>
      <c r="EPM273" s="18"/>
      <c r="EPN273" s="18"/>
      <c r="EPO273" s="18"/>
      <c r="EPP273" s="18"/>
      <c r="EPQ273" s="18"/>
      <c r="EPR273" s="18"/>
      <c r="EPS273" s="18"/>
      <c r="EPT273" s="18"/>
      <c r="EPU273" s="18"/>
      <c r="EPV273" s="18"/>
      <c r="EPW273" s="18"/>
      <c r="EPX273" s="18"/>
      <c r="EPY273" s="18"/>
      <c r="EPZ273" s="18"/>
      <c r="EQA273" s="18"/>
      <c r="EQB273" s="18"/>
      <c r="EQC273" s="18"/>
      <c r="EQD273" s="18"/>
      <c r="EQE273" s="18"/>
      <c r="EQF273" s="18"/>
      <c r="EQG273" s="18"/>
      <c r="EQH273" s="18"/>
      <c r="EQI273" s="18"/>
      <c r="EQJ273" s="18"/>
      <c r="EQK273" s="18"/>
      <c r="EQL273" s="18"/>
      <c r="EQM273" s="18"/>
      <c r="EQN273" s="18"/>
      <c r="EQO273" s="18"/>
      <c r="EQP273" s="18"/>
      <c r="EQQ273" s="18"/>
      <c r="EQR273" s="18"/>
      <c r="EQS273" s="18"/>
      <c r="EQT273" s="18"/>
      <c r="EQU273" s="18"/>
      <c r="EQV273" s="18"/>
      <c r="EQW273" s="18"/>
      <c r="EQX273" s="18"/>
      <c r="EQY273" s="18"/>
      <c r="EQZ273" s="18"/>
      <c r="ERA273" s="18"/>
      <c r="ERB273" s="18"/>
      <c r="ERC273" s="18"/>
      <c r="ERD273" s="18"/>
      <c r="ERE273" s="18"/>
      <c r="ERF273" s="18"/>
      <c r="ERG273" s="18"/>
      <c r="ERH273" s="18"/>
      <c r="ERI273" s="18"/>
      <c r="ERJ273" s="18"/>
      <c r="ERK273" s="18"/>
      <c r="ERL273" s="18"/>
      <c r="ERM273" s="18"/>
      <c r="ERN273" s="18"/>
      <c r="ERO273" s="18"/>
      <c r="ERP273" s="18"/>
      <c r="ERQ273" s="18"/>
      <c r="ERR273" s="18"/>
      <c r="ERS273" s="18"/>
      <c r="ERT273" s="18"/>
      <c r="ERU273" s="18"/>
      <c r="ERV273" s="18"/>
      <c r="ERW273" s="18"/>
      <c r="ERX273" s="18"/>
      <c r="ERY273" s="18"/>
      <c r="ERZ273" s="18"/>
      <c r="ESA273" s="18"/>
      <c r="ESB273" s="18"/>
      <c r="ESC273" s="18"/>
      <c r="ESD273" s="18"/>
      <c r="ESE273" s="18"/>
      <c r="ESF273" s="18"/>
      <c r="ESG273" s="18"/>
      <c r="ESH273" s="18"/>
      <c r="ESI273" s="18"/>
      <c r="ESJ273" s="18"/>
      <c r="ESK273" s="18"/>
      <c r="ESL273" s="18"/>
      <c r="ESM273" s="18"/>
      <c r="ESN273" s="18"/>
      <c r="ESO273" s="18"/>
      <c r="ESP273" s="18"/>
      <c r="ESQ273" s="18"/>
      <c r="ESR273" s="18"/>
      <c r="ESS273" s="18"/>
      <c r="EST273" s="18"/>
      <c r="ESU273" s="18"/>
      <c r="ESV273" s="18"/>
      <c r="ESW273" s="18"/>
      <c r="ESX273" s="18"/>
      <c r="ESY273" s="18"/>
      <c r="ESZ273" s="18"/>
      <c r="ETA273" s="18"/>
      <c r="ETB273" s="18"/>
      <c r="ETC273" s="18"/>
      <c r="ETD273" s="18"/>
      <c r="ETE273" s="18"/>
      <c r="ETF273" s="18"/>
      <c r="ETG273" s="18"/>
      <c r="ETH273" s="18"/>
      <c r="ETI273" s="18"/>
      <c r="ETJ273" s="18"/>
      <c r="ETK273" s="18"/>
      <c r="ETL273" s="18"/>
      <c r="ETM273" s="18"/>
      <c r="ETN273" s="18"/>
      <c r="ETO273" s="18"/>
      <c r="ETP273" s="18"/>
      <c r="ETQ273" s="18"/>
      <c r="ETR273" s="18"/>
      <c r="ETS273" s="18"/>
      <c r="ETT273" s="18"/>
      <c r="ETU273" s="18"/>
      <c r="ETV273" s="18"/>
      <c r="ETW273" s="18"/>
      <c r="ETX273" s="18"/>
      <c r="ETY273" s="18"/>
      <c r="ETZ273" s="18"/>
      <c r="EUA273" s="18"/>
      <c r="EUB273" s="18"/>
      <c r="EUC273" s="18"/>
      <c r="EUD273" s="18"/>
      <c r="EUE273" s="18"/>
      <c r="EUF273" s="18"/>
      <c r="EUG273" s="18"/>
      <c r="EUH273" s="18"/>
      <c r="EUI273" s="18"/>
      <c r="EUJ273" s="18"/>
      <c r="EUK273" s="18"/>
      <c r="EUL273" s="18"/>
      <c r="EUM273" s="18"/>
      <c r="EUN273" s="18"/>
      <c r="EUO273" s="18"/>
      <c r="EUP273" s="18"/>
      <c r="EUQ273" s="18"/>
      <c r="EUR273" s="18"/>
      <c r="EUS273" s="18"/>
      <c r="EUT273" s="18"/>
      <c r="EUU273" s="18"/>
      <c r="EUV273" s="18"/>
      <c r="EUW273" s="18"/>
      <c r="EUX273" s="18"/>
      <c r="EUY273" s="18"/>
      <c r="EUZ273" s="18"/>
      <c r="EVA273" s="18"/>
      <c r="EVB273" s="18"/>
      <c r="EVC273" s="18"/>
      <c r="EVD273" s="18"/>
      <c r="EVE273" s="18"/>
      <c r="EVF273" s="18"/>
      <c r="EVG273" s="18"/>
      <c r="EVH273" s="18"/>
      <c r="EVI273" s="18"/>
      <c r="EVJ273" s="18"/>
      <c r="EVK273" s="18"/>
      <c r="EVL273" s="18"/>
      <c r="EVM273" s="18"/>
      <c r="EVN273" s="18"/>
      <c r="EVO273" s="18"/>
      <c r="EVP273" s="18"/>
      <c r="EVQ273" s="18"/>
      <c r="EVR273" s="18"/>
      <c r="EVS273" s="18"/>
      <c r="EVT273" s="18"/>
      <c r="EVU273" s="18"/>
      <c r="EVV273" s="18"/>
      <c r="EVW273" s="18"/>
      <c r="EVX273" s="18"/>
      <c r="EVY273" s="18"/>
      <c r="EVZ273" s="18"/>
      <c r="EWA273" s="18"/>
      <c r="EWB273" s="18"/>
      <c r="EWC273" s="18"/>
      <c r="EWD273" s="18"/>
      <c r="EWE273" s="18"/>
      <c r="EWF273" s="18"/>
      <c r="EWG273" s="18"/>
      <c r="EWH273" s="18"/>
      <c r="EWI273" s="18"/>
      <c r="EWJ273" s="18"/>
      <c r="EWK273" s="18"/>
      <c r="EWL273" s="18"/>
      <c r="EWM273" s="18"/>
      <c r="EWN273" s="18"/>
      <c r="EWO273" s="18"/>
      <c r="EWP273" s="18"/>
      <c r="EWQ273" s="18"/>
      <c r="EWR273" s="18"/>
      <c r="EWS273" s="18"/>
      <c r="EWT273" s="18"/>
      <c r="EWU273" s="18"/>
      <c r="EWV273" s="18"/>
      <c r="EWW273" s="18"/>
      <c r="EWX273" s="18"/>
      <c r="EWY273" s="18"/>
      <c r="EWZ273" s="18"/>
      <c r="EXA273" s="18"/>
      <c r="EXB273" s="18"/>
      <c r="EXC273" s="18"/>
      <c r="EXD273" s="18"/>
      <c r="EXE273" s="18"/>
      <c r="EXF273" s="18"/>
      <c r="EXG273" s="18"/>
      <c r="EXH273" s="18"/>
      <c r="EXI273" s="18"/>
      <c r="EXJ273" s="18"/>
      <c r="EXK273" s="18"/>
      <c r="EXL273" s="18"/>
      <c r="EXM273" s="18"/>
      <c r="EXN273" s="18"/>
      <c r="EXO273" s="18"/>
      <c r="EXP273" s="18"/>
      <c r="EXQ273" s="18"/>
      <c r="EXR273" s="18"/>
      <c r="EXS273" s="18"/>
      <c r="EXT273" s="18"/>
      <c r="EXU273" s="18"/>
      <c r="EXV273" s="18"/>
      <c r="EXW273" s="18"/>
      <c r="EXX273" s="18"/>
      <c r="EXY273" s="18"/>
      <c r="EXZ273" s="18"/>
      <c r="EYA273" s="18"/>
      <c r="EYB273" s="18"/>
      <c r="EYC273" s="18"/>
      <c r="EYD273" s="18"/>
      <c r="EYE273" s="18"/>
      <c r="EYF273" s="18"/>
      <c r="EYG273" s="18"/>
      <c r="EYH273" s="18"/>
      <c r="EYI273" s="18"/>
      <c r="EYJ273" s="18"/>
      <c r="EYK273" s="18"/>
      <c r="EYL273" s="18"/>
      <c r="EYM273" s="18"/>
      <c r="EYN273" s="18"/>
      <c r="EYO273" s="18"/>
      <c r="EYP273" s="18"/>
      <c r="EYQ273" s="18"/>
      <c r="EYR273" s="18"/>
      <c r="EYS273" s="18"/>
      <c r="EYT273" s="18"/>
      <c r="EYU273" s="18"/>
      <c r="EYV273" s="18"/>
      <c r="EYW273" s="18"/>
      <c r="EYX273" s="18"/>
      <c r="EYY273" s="18"/>
      <c r="EYZ273" s="18"/>
      <c r="EZA273" s="18"/>
      <c r="EZB273" s="18"/>
      <c r="EZC273" s="18"/>
      <c r="EZD273" s="18"/>
      <c r="EZE273" s="18"/>
      <c r="EZF273" s="18"/>
      <c r="EZG273" s="18"/>
      <c r="EZH273" s="18"/>
      <c r="EZI273" s="18"/>
      <c r="EZJ273" s="18"/>
      <c r="EZK273" s="18"/>
      <c r="EZL273" s="18"/>
      <c r="EZM273" s="18"/>
      <c r="EZN273" s="18"/>
      <c r="EZO273" s="18"/>
      <c r="EZP273" s="18"/>
      <c r="EZQ273" s="18"/>
      <c r="EZR273" s="18"/>
      <c r="EZS273" s="18"/>
      <c r="EZT273" s="18"/>
      <c r="EZU273" s="18"/>
      <c r="EZV273" s="18"/>
      <c r="EZW273" s="18"/>
      <c r="EZX273" s="18"/>
      <c r="EZY273" s="18"/>
      <c r="EZZ273" s="18"/>
      <c r="FAA273" s="18"/>
      <c r="FAB273" s="18"/>
      <c r="FAC273" s="18"/>
      <c r="FAD273" s="18"/>
      <c r="FAE273" s="18"/>
      <c r="FAF273" s="18"/>
      <c r="FAG273" s="18"/>
      <c r="FAH273" s="18"/>
      <c r="FAI273" s="18"/>
      <c r="FAJ273" s="18"/>
      <c r="FAK273" s="18"/>
      <c r="FAL273" s="18"/>
      <c r="FAM273" s="18"/>
      <c r="FAN273" s="18"/>
      <c r="FAO273" s="18"/>
      <c r="FAP273" s="18"/>
      <c r="FAQ273" s="18"/>
      <c r="FAR273" s="18"/>
      <c r="FAS273" s="18"/>
      <c r="FAT273" s="18"/>
      <c r="FAU273" s="18"/>
      <c r="FAV273" s="18"/>
      <c r="FAW273" s="18"/>
      <c r="FAX273" s="18"/>
      <c r="FAY273" s="18"/>
      <c r="FAZ273" s="18"/>
      <c r="FBA273" s="18"/>
      <c r="FBB273" s="18"/>
      <c r="FBC273" s="18"/>
      <c r="FBD273" s="18"/>
      <c r="FBE273" s="18"/>
      <c r="FBF273" s="18"/>
      <c r="FBG273" s="18"/>
      <c r="FBH273" s="18"/>
      <c r="FBI273" s="18"/>
      <c r="FBJ273" s="18"/>
      <c r="FBK273" s="18"/>
      <c r="FBL273" s="18"/>
      <c r="FBM273" s="18"/>
      <c r="FBN273" s="18"/>
      <c r="FBO273" s="18"/>
      <c r="FBP273" s="18"/>
      <c r="FBQ273" s="18"/>
      <c r="FBR273" s="18"/>
      <c r="FBS273" s="18"/>
      <c r="FBT273" s="18"/>
      <c r="FBU273" s="18"/>
      <c r="FBV273" s="18"/>
      <c r="FBW273" s="18"/>
      <c r="FBX273" s="18"/>
      <c r="FBY273" s="18"/>
      <c r="FBZ273" s="18"/>
      <c r="FCA273" s="18"/>
      <c r="FCB273" s="18"/>
      <c r="FCC273" s="18"/>
      <c r="FCD273" s="18"/>
      <c r="FCE273" s="18"/>
      <c r="FCF273" s="18"/>
      <c r="FCG273" s="18"/>
      <c r="FCH273" s="18"/>
      <c r="FCI273" s="18"/>
      <c r="FCJ273" s="18"/>
      <c r="FCK273" s="18"/>
      <c r="FCL273" s="18"/>
      <c r="FCM273" s="18"/>
      <c r="FCN273" s="18"/>
      <c r="FCO273" s="18"/>
      <c r="FCP273" s="18"/>
      <c r="FCQ273" s="18"/>
      <c r="FCR273" s="18"/>
      <c r="FCS273" s="18"/>
      <c r="FCT273" s="18"/>
      <c r="FCU273" s="18"/>
      <c r="FCV273" s="18"/>
      <c r="FCW273" s="18"/>
      <c r="FCX273" s="18"/>
      <c r="FCY273" s="18"/>
      <c r="FCZ273" s="18"/>
      <c r="FDA273" s="18"/>
      <c r="FDB273" s="18"/>
      <c r="FDC273" s="18"/>
      <c r="FDD273" s="18"/>
      <c r="FDE273" s="18"/>
      <c r="FDF273" s="18"/>
      <c r="FDG273" s="18"/>
      <c r="FDH273" s="18"/>
      <c r="FDI273" s="18"/>
      <c r="FDJ273" s="18"/>
      <c r="FDK273" s="18"/>
      <c r="FDL273" s="18"/>
      <c r="FDM273" s="18"/>
      <c r="FDN273" s="18"/>
      <c r="FDO273" s="18"/>
      <c r="FDP273" s="18"/>
      <c r="FDQ273" s="18"/>
      <c r="FDR273" s="18"/>
      <c r="FDS273" s="18"/>
      <c r="FDT273" s="18"/>
      <c r="FDU273" s="18"/>
      <c r="FDV273" s="18"/>
      <c r="FDW273" s="18"/>
      <c r="FDX273" s="18"/>
      <c r="FDY273" s="18"/>
      <c r="FDZ273" s="18"/>
      <c r="FEA273" s="18"/>
      <c r="FEB273" s="18"/>
      <c r="FEC273" s="18"/>
      <c r="FED273" s="18"/>
      <c r="FEE273" s="18"/>
      <c r="FEF273" s="18"/>
      <c r="FEG273" s="18"/>
      <c r="FEH273" s="18"/>
      <c r="FEI273" s="18"/>
      <c r="FEJ273" s="18"/>
      <c r="FEK273" s="18"/>
      <c r="FEL273" s="18"/>
      <c r="FEM273" s="18"/>
      <c r="FEN273" s="18"/>
      <c r="FEO273" s="18"/>
      <c r="FEP273" s="18"/>
      <c r="FEQ273" s="18"/>
      <c r="FER273" s="18"/>
      <c r="FES273" s="18"/>
      <c r="FET273" s="18"/>
      <c r="FEU273" s="18"/>
      <c r="FEV273" s="18"/>
      <c r="FEW273" s="18"/>
      <c r="FEX273" s="18"/>
      <c r="FEY273" s="18"/>
      <c r="FEZ273" s="18"/>
      <c r="FFA273" s="18"/>
      <c r="FFB273" s="18"/>
      <c r="FFC273" s="18"/>
      <c r="FFD273" s="18"/>
      <c r="FFE273" s="18"/>
      <c r="FFF273" s="18"/>
      <c r="FFG273" s="18"/>
      <c r="FFH273" s="18"/>
      <c r="FFI273" s="18"/>
      <c r="FFJ273" s="18"/>
      <c r="FFK273" s="18"/>
      <c r="FFL273" s="18"/>
      <c r="FFM273" s="18"/>
      <c r="FFN273" s="18"/>
      <c r="FFO273" s="18"/>
      <c r="FFP273" s="18"/>
      <c r="FFQ273" s="18"/>
      <c r="FFR273" s="18"/>
      <c r="FFS273" s="18"/>
      <c r="FFT273" s="18"/>
      <c r="FFU273" s="18"/>
      <c r="FFV273" s="18"/>
      <c r="FFW273" s="18"/>
      <c r="FFX273" s="18"/>
      <c r="FFY273" s="18"/>
      <c r="FFZ273" s="18"/>
      <c r="FGA273" s="18"/>
      <c r="FGB273" s="18"/>
      <c r="FGC273" s="18"/>
      <c r="FGD273" s="18"/>
      <c r="FGE273" s="18"/>
      <c r="FGF273" s="18"/>
      <c r="FGG273" s="18"/>
      <c r="FGH273" s="18"/>
      <c r="FGI273" s="18"/>
      <c r="FGJ273" s="18"/>
      <c r="FGK273" s="18"/>
      <c r="FGL273" s="18"/>
      <c r="FGM273" s="18"/>
      <c r="FGN273" s="18"/>
      <c r="FGO273" s="18"/>
      <c r="FGP273" s="18"/>
      <c r="FGQ273" s="18"/>
      <c r="FGR273" s="18"/>
      <c r="FGS273" s="18"/>
      <c r="FGT273" s="18"/>
      <c r="FGU273" s="18"/>
      <c r="FGV273" s="18"/>
      <c r="FGW273" s="18"/>
      <c r="FGX273" s="18"/>
      <c r="FGY273" s="18"/>
      <c r="FGZ273" s="18"/>
      <c r="FHA273" s="18"/>
      <c r="FHB273" s="18"/>
      <c r="FHC273" s="18"/>
      <c r="FHD273" s="18"/>
      <c r="FHE273" s="18"/>
      <c r="FHF273" s="18"/>
      <c r="FHG273" s="18"/>
      <c r="FHH273" s="18"/>
      <c r="FHI273" s="18"/>
      <c r="FHJ273" s="18"/>
      <c r="FHK273" s="18"/>
      <c r="FHL273" s="18"/>
      <c r="FHM273" s="18"/>
      <c r="FHN273" s="18"/>
      <c r="FHO273" s="18"/>
      <c r="FHP273" s="18"/>
      <c r="FHQ273" s="18"/>
      <c r="FHR273" s="18"/>
      <c r="FHS273" s="18"/>
      <c r="FHT273" s="18"/>
      <c r="FHU273" s="18"/>
      <c r="FHV273" s="18"/>
      <c r="FHW273" s="18"/>
      <c r="FHX273" s="18"/>
      <c r="FHY273" s="18"/>
      <c r="FHZ273" s="18"/>
      <c r="FIA273" s="18"/>
      <c r="FIB273" s="18"/>
      <c r="FIC273" s="18"/>
      <c r="FID273" s="18"/>
      <c r="FIE273" s="18"/>
      <c r="FIF273" s="18"/>
      <c r="FIG273" s="18"/>
      <c r="FIH273" s="18"/>
      <c r="FII273" s="18"/>
      <c r="FIJ273" s="18"/>
      <c r="FIK273" s="18"/>
      <c r="FIL273" s="18"/>
      <c r="FIM273" s="18"/>
      <c r="FIN273" s="18"/>
      <c r="FIO273" s="18"/>
      <c r="FIP273" s="18"/>
      <c r="FIQ273" s="18"/>
      <c r="FIR273" s="18"/>
      <c r="FIS273" s="18"/>
      <c r="FIT273" s="18"/>
      <c r="FIU273" s="18"/>
      <c r="FIV273" s="18"/>
      <c r="FIW273" s="18"/>
      <c r="FIX273" s="18"/>
      <c r="FIY273" s="18"/>
      <c r="FIZ273" s="18"/>
      <c r="FJA273" s="18"/>
      <c r="FJB273" s="18"/>
      <c r="FJC273" s="18"/>
      <c r="FJD273" s="18"/>
      <c r="FJE273" s="18"/>
      <c r="FJF273" s="18"/>
      <c r="FJG273" s="18"/>
      <c r="FJH273" s="18"/>
      <c r="FJI273" s="18"/>
      <c r="FJJ273" s="18"/>
      <c r="FJK273" s="18"/>
      <c r="FJL273" s="18"/>
      <c r="FJM273" s="18"/>
      <c r="FJN273" s="18"/>
      <c r="FJO273" s="18"/>
      <c r="FJP273" s="18"/>
      <c r="FJQ273" s="18"/>
      <c r="FJR273" s="18"/>
      <c r="FJS273" s="18"/>
      <c r="FJT273" s="18"/>
      <c r="FJU273" s="18"/>
      <c r="FJV273" s="18"/>
      <c r="FJW273" s="18"/>
      <c r="FJX273" s="18"/>
      <c r="FJY273" s="18"/>
      <c r="FJZ273" s="18"/>
      <c r="FKA273" s="18"/>
      <c r="FKB273" s="18"/>
      <c r="FKC273" s="18"/>
      <c r="FKD273" s="18"/>
      <c r="FKE273" s="18"/>
      <c r="FKF273" s="18"/>
      <c r="FKG273" s="18"/>
      <c r="FKH273" s="18"/>
      <c r="FKI273" s="18"/>
      <c r="FKJ273" s="18"/>
      <c r="FKK273" s="18"/>
      <c r="FKL273" s="18"/>
      <c r="FKM273" s="18"/>
      <c r="FKN273" s="18"/>
      <c r="FKO273" s="18"/>
      <c r="FKP273" s="18"/>
      <c r="FKQ273" s="18"/>
      <c r="FKR273" s="18"/>
      <c r="FKS273" s="18"/>
      <c r="FKT273" s="18"/>
      <c r="FKU273" s="18"/>
      <c r="FKV273" s="18"/>
      <c r="FKW273" s="18"/>
      <c r="FKX273" s="18"/>
      <c r="FKY273" s="18"/>
      <c r="FKZ273" s="18"/>
      <c r="FLA273" s="18"/>
      <c r="FLB273" s="18"/>
      <c r="FLC273" s="18"/>
      <c r="FLD273" s="18"/>
      <c r="FLE273" s="18"/>
      <c r="FLF273" s="18"/>
      <c r="FLG273" s="18"/>
      <c r="FLH273" s="18"/>
      <c r="FLI273" s="18"/>
      <c r="FLJ273" s="18"/>
      <c r="FLK273" s="18"/>
      <c r="FLL273" s="18"/>
      <c r="FLM273" s="18"/>
      <c r="FLN273" s="18"/>
      <c r="FLO273" s="18"/>
      <c r="FLP273" s="18"/>
      <c r="FLQ273" s="18"/>
      <c r="FLR273" s="18"/>
      <c r="FLS273" s="18"/>
      <c r="FLT273" s="18"/>
      <c r="FLU273" s="18"/>
      <c r="FLV273" s="18"/>
      <c r="FLW273" s="18"/>
      <c r="FLX273" s="18"/>
      <c r="FLY273" s="18"/>
      <c r="FLZ273" s="18"/>
      <c r="FMA273" s="18"/>
      <c r="FMB273" s="18"/>
      <c r="FMC273" s="18"/>
      <c r="FMD273" s="18"/>
      <c r="FME273" s="18"/>
      <c r="FMF273" s="18"/>
      <c r="FMG273" s="18"/>
      <c r="FMH273" s="18"/>
      <c r="FMI273" s="18"/>
      <c r="FMJ273" s="18"/>
      <c r="FMK273" s="18"/>
      <c r="FML273" s="18"/>
      <c r="FMM273" s="18"/>
      <c r="FMN273" s="18"/>
      <c r="FMO273" s="18"/>
      <c r="FMP273" s="18"/>
      <c r="FMQ273" s="18"/>
      <c r="FMR273" s="18"/>
      <c r="FMS273" s="18"/>
      <c r="FMT273" s="18"/>
      <c r="FMU273" s="18"/>
      <c r="FMV273" s="18"/>
      <c r="FMW273" s="18"/>
      <c r="FMX273" s="18"/>
      <c r="FMY273" s="18"/>
      <c r="FMZ273" s="18"/>
      <c r="FNA273" s="18"/>
      <c r="FNB273" s="18"/>
      <c r="FNC273" s="18"/>
      <c r="FND273" s="18"/>
      <c r="FNE273" s="18"/>
      <c r="FNF273" s="18"/>
      <c r="FNG273" s="18"/>
      <c r="FNH273" s="18"/>
      <c r="FNI273" s="18"/>
      <c r="FNJ273" s="18"/>
      <c r="FNK273" s="18"/>
      <c r="FNL273" s="18"/>
      <c r="FNM273" s="18"/>
      <c r="FNN273" s="18"/>
      <c r="FNO273" s="18"/>
      <c r="FNP273" s="18"/>
      <c r="FNQ273" s="18"/>
      <c r="FNR273" s="18"/>
      <c r="FNS273" s="18"/>
      <c r="FNT273" s="18"/>
      <c r="FNU273" s="18"/>
      <c r="FNV273" s="18"/>
      <c r="FNW273" s="18"/>
      <c r="FNX273" s="18"/>
      <c r="FNY273" s="18"/>
      <c r="FNZ273" s="18"/>
      <c r="FOA273" s="18"/>
      <c r="FOB273" s="18"/>
      <c r="FOC273" s="18"/>
      <c r="FOD273" s="18"/>
      <c r="FOE273" s="18"/>
      <c r="FOF273" s="18"/>
      <c r="FOG273" s="18"/>
      <c r="FOH273" s="18"/>
      <c r="FOI273" s="18"/>
      <c r="FOJ273" s="18"/>
      <c r="FOK273" s="18"/>
      <c r="FOL273" s="18"/>
      <c r="FOM273" s="18"/>
      <c r="FON273" s="18"/>
      <c r="FOO273" s="18"/>
      <c r="FOP273" s="18"/>
      <c r="FOQ273" s="18"/>
      <c r="FOR273" s="18"/>
      <c r="FOS273" s="18"/>
      <c r="FOT273" s="18"/>
      <c r="FOU273" s="18"/>
      <c r="FOV273" s="18"/>
      <c r="FOW273" s="18"/>
      <c r="FOX273" s="18"/>
      <c r="FOY273" s="18"/>
      <c r="FOZ273" s="18"/>
      <c r="FPA273" s="18"/>
      <c r="FPB273" s="18"/>
      <c r="FPC273" s="18"/>
      <c r="FPD273" s="18"/>
      <c r="FPE273" s="18"/>
      <c r="FPF273" s="18"/>
      <c r="FPG273" s="18"/>
      <c r="FPH273" s="18"/>
      <c r="FPI273" s="18"/>
      <c r="FPJ273" s="18"/>
      <c r="FPK273" s="18"/>
      <c r="FPL273" s="18"/>
      <c r="FPM273" s="18"/>
      <c r="FPN273" s="18"/>
      <c r="FPO273" s="18"/>
      <c r="FPP273" s="18"/>
      <c r="FPQ273" s="18"/>
      <c r="FPR273" s="18"/>
      <c r="FPS273" s="18"/>
      <c r="FPT273" s="18"/>
      <c r="FPU273" s="18"/>
      <c r="FPV273" s="18"/>
      <c r="FPW273" s="18"/>
      <c r="FPX273" s="18"/>
      <c r="FPY273" s="18"/>
      <c r="FPZ273" s="18"/>
      <c r="FQA273" s="18"/>
      <c r="FQB273" s="18"/>
      <c r="FQC273" s="18"/>
      <c r="FQD273" s="18"/>
      <c r="FQE273" s="18"/>
      <c r="FQF273" s="18"/>
      <c r="FQG273" s="18"/>
      <c r="FQH273" s="18"/>
      <c r="FQI273" s="18"/>
      <c r="FQJ273" s="18"/>
      <c r="FQK273" s="18"/>
      <c r="FQL273" s="18"/>
      <c r="FQM273" s="18"/>
      <c r="FQN273" s="18"/>
      <c r="FQO273" s="18"/>
      <c r="FQP273" s="18"/>
      <c r="FQQ273" s="18"/>
      <c r="FQR273" s="18"/>
      <c r="FQS273" s="18"/>
      <c r="FQT273" s="18"/>
      <c r="FQU273" s="18"/>
      <c r="FQV273" s="18"/>
      <c r="FQW273" s="18"/>
      <c r="FQX273" s="18"/>
      <c r="FQY273" s="18"/>
      <c r="FQZ273" s="18"/>
      <c r="FRA273" s="18"/>
      <c r="FRB273" s="18"/>
      <c r="FRC273" s="18"/>
      <c r="FRD273" s="18"/>
      <c r="FRE273" s="18"/>
      <c r="FRF273" s="18"/>
      <c r="FRG273" s="18"/>
      <c r="FRH273" s="18"/>
      <c r="FRI273" s="18"/>
      <c r="FRJ273" s="18"/>
      <c r="FRK273" s="18"/>
      <c r="FRL273" s="18"/>
      <c r="FRM273" s="18"/>
      <c r="FRN273" s="18"/>
      <c r="FRO273" s="18"/>
      <c r="FRP273" s="18"/>
      <c r="FRQ273" s="18"/>
      <c r="FRR273" s="18"/>
      <c r="FRS273" s="18"/>
      <c r="FRT273" s="18"/>
      <c r="FRU273" s="18"/>
      <c r="FRV273" s="18"/>
      <c r="FRW273" s="18"/>
      <c r="FRX273" s="18"/>
      <c r="FRY273" s="18"/>
      <c r="FRZ273" s="18"/>
      <c r="FSA273" s="18"/>
      <c r="FSB273" s="18"/>
      <c r="FSC273" s="18"/>
      <c r="FSD273" s="18"/>
      <c r="FSE273" s="18"/>
      <c r="FSF273" s="18"/>
      <c r="FSG273" s="18"/>
      <c r="FSH273" s="18"/>
      <c r="FSI273" s="18"/>
      <c r="FSJ273" s="18"/>
      <c r="FSK273" s="18"/>
      <c r="FSL273" s="18"/>
      <c r="FSM273" s="18"/>
      <c r="FSN273" s="18"/>
      <c r="FSO273" s="18"/>
      <c r="FSP273" s="18"/>
      <c r="FSQ273" s="18"/>
      <c r="FSR273" s="18"/>
      <c r="FSS273" s="18"/>
      <c r="FST273" s="18"/>
      <c r="FSU273" s="18"/>
      <c r="FSV273" s="18"/>
      <c r="FSW273" s="18"/>
      <c r="FSX273" s="18"/>
      <c r="FSY273" s="18"/>
      <c r="FSZ273" s="18"/>
      <c r="FTA273" s="18"/>
      <c r="FTB273" s="18"/>
      <c r="FTC273" s="18"/>
      <c r="FTD273" s="18"/>
      <c r="FTE273" s="18"/>
      <c r="FTF273" s="18"/>
      <c r="FTG273" s="18"/>
      <c r="FTH273" s="18"/>
      <c r="FTI273" s="18"/>
      <c r="FTJ273" s="18"/>
      <c r="FTK273" s="18"/>
      <c r="FTL273" s="18"/>
      <c r="FTM273" s="18"/>
      <c r="FTN273" s="18"/>
      <c r="FTO273" s="18"/>
      <c r="FTP273" s="18"/>
      <c r="FTQ273" s="18"/>
      <c r="FTR273" s="18"/>
      <c r="FTS273" s="18"/>
      <c r="FTT273" s="18"/>
      <c r="FTU273" s="18"/>
      <c r="FTV273" s="18"/>
      <c r="FTW273" s="18"/>
      <c r="FTX273" s="18"/>
      <c r="FTY273" s="18"/>
      <c r="FTZ273" s="18"/>
      <c r="FUA273" s="18"/>
      <c r="FUB273" s="18"/>
      <c r="FUC273" s="18"/>
      <c r="FUD273" s="18"/>
      <c r="FUE273" s="18"/>
      <c r="FUF273" s="18"/>
      <c r="FUG273" s="18"/>
      <c r="FUH273" s="18"/>
      <c r="FUI273" s="18"/>
      <c r="FUJ273" s="18"/>
      <c r="FUK273" s="18"/>
      <c r="FUL273" s="18"/>
      <c r="FUM273" s="18"/>
      <c r="FUN273" s="18"/>
      <c r="FUO273" s="18"/>
      <c r="FUP273" s="18"/>
      <c r="FUQ273" s="18"/>
      <c r="FUR273" s="18"/>
      <c r="FUS273" s="18"/>
      <c r="FUT273" s="18"/>
      <c r="FUU273" s="18"/>
      <c r="FUV273" s="18"/>
      <c r="FUW273" s="18"/>
      <c r="FUX273" s="18"/>
      <c r="FUY273" s="18"/>
      <c r="FUZ273" s="18"/>
      <c r="FVA273" s="18"/>
      <c r="FVB273" s="18"/>
      <c r="FVC273" s="18"/>
      <c r="FVD273" s="18"/>
      <c r="FVE273" s="18"/>
      <c r="FVF273" s="18"/>
      <c r="FVG273" s="18"/>
      <c r="FVH273" s="18"/>
      <c r="FVI273" s="18"/>
      <c r="FVJ273" s="18"/>
      <c r="FVK273" s="18"/>
      <c r="FVL273" s="18"/>
      <c r="FVM273" s="18"/>
      <c r="FVN273" s="18"/>
      <c r="FVO273" s="18"/>
      <c r="FVP273" s="18"/>
      <c r="FVQ273" s="18"/>
      <c r="FVR273" s="18"/>
      <c r="FVS273" s="18"/>
      <c r="FVT273" s="18"/>
      <c r="FVU273" s="18"/>
      <c r="FVV273" s="18"/>
      <c r="FVW273" s="18"/>
      <c r="FVX273" s="18"/>
      <c r="FVY273" s="18"/>
      <c r="FVZ273" s="18"/>
      <c r="FWA273" s="18"/>
      <c r="FWB273" s="18"/>
      <c r="FWC273" s="18"/>
      <c r="FWD273" s="18"/>
      <c r="FWE273" s="18"/>
      <c r="FWF273" s="18"/>
      <c r="FWG273" s="18"/>
      <c r="FWH273" s="18"/>
      <c r="FWI273" s="18"/>
      <c r="FWJ273" s="18"/>
      <c r="FWK273" s="18"/>
      <c r="FWL273" s="18"/>
      <c r="FWM273" s="18"/>
      <c r="FWN273" s="18"/>
      <c r="FWO273" s="18"/>
      <c r="FWP273" s="18"/>
      <c r="FWQ273" s="18"/>
      <c r="FWR273" s="18"/>
      <c r="FWS273" s="18"/>
      <c r="FWT273" s="18"/>
      <c r="FWU273" s="18"/>
      <c r="FWV273" s="18"/>
      <c r="FWW273" s="18"/>
      <c r="FWX273" s="18"/>
      <c r="FWY273" s="18"/>
      <c r="FWZ273" s="18"/>
      <c r="FXA273" s="18"/>
      <c r="FXB273" s="18"/>
      <c r="FXC273" s="18"/>
      <c r="FXD273" s="18"/>
      <c r="FXE273" s="18"/>
      <c r="FXF273" s="18"/>
      <c r="FXG273" s="18"/>
      <c r="FXH273" s="18"/>
      <c r="FXI273" s="18"/>
      <c r="FXJ273" s="18"/>
      <c r="FXK273" s="18"/>
      <c r="FXL273" s="18"/>
      <c r="FXM273" s="18"/>
      <c r="FXN273" s="18"/>
      <c r="FXO273" s="18"/>
      <c r="FXP273" s="18"/>
      <c r="FXQ273" s="18"/>
      <c r="FXR273" s="18"/>
      <c r="FXS273" s="18"/>
      <c r="FXT273" s="18"/>
      <c r="FXU273" s="18"/>
      <c r="FXV273" s="18"/>
      <c r="FXW273" s="18"/>
      <c r="FXX273" s="18"/>
      <c r="FXY273" s="18"/>
      <c r="FXZ273" s="18"/>
      <c r="FYA273" s="18"/>
      <c r="FYB273" s="18"/>
      <c r="FYC273" s="18"/>
      <c r="FYD273" s="18"/>
      <c r="FYE273" s="18"/>
      <c r="FYF273" s="18"/>
      <c r="FYG273" s="18"/>
      <c r="FYH273" s="18"/>
      <c r="FYI273" s="18"/>
      <c r="FYJ273" s="18"/>
      <c r="FYK273" s="18"/>
      <c r="FYL273" s="18"/>
      <c r="FYM273" s="18"/>
      <c r="FYN273" s="18"/>
      <c r="FYO273" s="18"/>
      <c r="FYP273" s="18"/>
      <c r="FYQ273" s="18"/>
      <c r="FYR273" s="18"/>
      <c r="FYS273" s="18"/>
      <c r="FYT273" s="18"/>
      <c r="FYU273" s="18"/>
      <c r="FYV273" s="18"/>
      <c r="FYW273" s="18"/>
      <c r="FYX273" s="18"/>
      <c r="FYY273" s="18"/>
      <c r="FYZ273" s="18"/>
      <c r="FZA273" s="18"/>
      <c r="FZB273" s="18"/>
      <c r="FZC273" s="18"/>
      <c r="FZD273" s="18"/>
      <c r="FZE273" s="18"/>
      <c r="FZF273" s="18"/>
      <c r="FZG273" s="18"/>
      <c r="FZH273" s="18"/>
      <c r="FZI273" s="18"/>
      <c r="FZJ273" s="18"/>
      <c r="FZK273" s="18"/>
      <c r="FZL273" s="18"/>
      <c r="FZM273" s="18"/>
      <c r="FZN273" s="18"/>
      <c r="FZO273" s="18"/>
      <c r="FZP273" s="18"/>
      <c r="FZQ273" s="18"/>
      <c r="FZR273" s="18"/>
      <c r="FZS273" s="18"/>
      <c r="FZT273" s="18"/>
      <c r="FZU273" s="18"/>
      <c r="FZV273" s="18"/>
      <c r="FZW273" s="18"/>
      <c r="FZX273" s="18"/>
      <c r="FZY273" s="18"/>
      <c r="FZZ273" s="18"/>
      <c r="GAA273" s="18"/>
      <c r="GAB273" s="18"/>
      <c r="GAC273" s="18"/>
      <c r="GAD273" s="18"/>
      <c r="GAE273" s="18"/>
      <c r="GAF273" s="18"/>
      <c r="GAG273" s="18"/>
      <c r="GAH273" s="18"/>
      <c r="GAI273" s="18"/>
      <c r="GAJ273" s="18"/>
      <c r="GAK273" s="18"/>
      <c r="GAL273" s="18"/>
      <c r="GAM273" s="18"/>
      <c r="GAN273" s="18"/>
      <c r="GAO273" s="18"/>
      <c r="GAP273" s="18"/>
      <c r="GAQ273" s="18"/>
      <c r="GAR273" s="18"/>
      <c r="GAS273" s="18"/>
      <c r="GAT273" s="18"/>
      <c r="GAU273" s="18"/>
      <c r="GAV273" s="18"/>
      <c r="GAW273" s="18"/>
      <c r="GAX273" s="18"/>
      <c r="GAY273" s="18"/>
      <c r="GAZ273" s="18"/>
      <c r="GBA273" s="18"/>
      <c r="GBB273" s="18"/>
      <c r="GBC273" s="18"/>
      <c r="GBD273" s="18"/>
      <c r="GBE273" s="18"/>
      <c r="GBF273" s="18"/>
      <c r="GBG273" s="18"/>
      <c r="GBH273" s="18"/>
      <c r="GBI273" s="18"/>
      <c r="GBJ273" s="18"/>
      <c r="GBK273" s="18"/>
      <c r="GBL273" s="18"/>
      <c r="GBM273" s="18"/>
      <c r="GBN273" s="18"/>
      <c r="GBO273" s="18"/>
      <c r="GBP273" s="18"/>
      <c r="GBQ273" s="18"/>
      <c r="GBR273" s="18"/>
      <c r="GBS273" s="18"/>
      <c r="GBT273" s="18"/>
      <c r="GBU273" s="18"/>
      <c r="GBV273" s="18"/>
      <c r="GBW273" s="18"/>
      <c r="GBX273" s="18"/>
      <c r="GBY273" s="18"/>
      <c r="GBZ273" s="18"/>
      <c r="GCA273" s="18"/>
      <c r="GCB273" s="18"/>
      <c r="GCC273" s="18"/>
      <c r="GCD273" s="18"/>
      <c r="GCE273" s="18"/>
      <c r="GCF273" s="18"/>
      <c r="GCG273" s="18"/>
      <c r="GCH273" s="18"/>
      <c r="GCI273" s="18"/>
      <c r="GCJ273" s="18"/>
      <c r="GCK273" s="18"/>
      <c r="GCL273" s="18"/>
      <c r="GCM273" s="18"/>
      <c r="GCN273" s="18"/>
      <c r="GCO273" s="18"/>
      <c r="GCP273" s="18"/>
      <c r="GCQ273" s="18"/>
      <c r="GCR273" s="18"/>
      <c r="GCS273" s="18"/>
      <c r="GCT273" s="18"/>
      <c r="GCU273" s="18"/>
      <c r="GCV273" s="18"/>
      <c r="GCW273" s="18"/>
      <c r="GCX273" s="18"/>
      <c r="GCY273" s="18"/>
      <c r="GCZ273" s="18"/>
      <c r="GDA273" s="18"/>
      <c r="GDB273" s="18"/>
      <c r="GDC273" s="18"/>
      <c r="GDD273" s="18"/>
      <c r="GDE273" s="18"/>
      <c r="GDF273" s="18"/>
      <c r="GDG273" s="18"/>
      <c r="GDH273" s="18"/>
      <c r="GDI273" s="18"/>
      <c r="GDJ273" s="18"/>
      <c r="GDK273" s="18"/>
      <c r="GDL273" s="18"/>
      <c r="GDM273" s="18"/>
      <c r="GDN273" s="18"/>
      <c r="GDO273" s="18"/>
      <c r="GDP273" s="18"/>
      <c r="GDQ273" s="18"/>
      <c r="GDR273" s="18"/>
      <c r="GDS273" s="18"/>
      <c r="GDT273" s="18"/>
      <c r="GDU273" s="18"/>
      <c r="GDV273" s="18"/>
      <c r="GDW273" s="18"/>
      <c r="GDX273" s="18"/>
      <c r="GDY273" s="18"/>
      <c r="GDZ273" s="18"/>
      <c r="GEA273" s="18"/>
      <c r="GEB273" s="18"/>
      <c r="GEC273" s="18"/>
      <c r="GED273" s="18"/>
      <c r="GEE273" s="18"/>
      <c r="GEF273" s="18"/>
      <c r="GEG273" s="18"/>
      <c r="GEH273" s="18"/>
      <c r="GEI273" s="18"/>
      <c r="GEJ273" s="18"/>
      <c r="GEK273" s="18"/>
      <c r="GEL273" s="18"/>
      <c r="GEM273" s="18"/>
      <c r="GEN273" s="18"/>
      <c r="GEO273" s="18"/>
      <c r="GEP273" s="18"/>
      <c r="GEQ273" s="18"/>
      <c r="GER273" s="18"/>
      <c r="GES273" s="18"/>
      <c r="GET273" s="18"/>
      <c r="GEU273" s="18"/>
      <c r="GEV273" s="18"/>
      <c r="GEW273" s="18"/>
      <c r="GEX273" s="18"/>
      <c r="GEY273" s="18"/>
      <c r="GEZ273" s="18"/>
      <c r="GFA273" s="18"/>
      <c r="GFB273" s="18"/>
      <c r="GFC273" s="18"/>
      <c r="GFD273" s="18"/>
      <c r="GFE273" s="18"/>
      <c r="GFF273" s="18"/>
      <c r="GFG273" s="18"/>
      <c r="GFH273" s="18"/>
      <c r="GFI273" s="18"/>
      <c r="GFJ273" s="18"/>
      <c r="GFK273" s="18"/>
      <c r="GFL273" s="18"/>
      <c r="GFM273" s="18"/>
      <c r="GFN273" s="18"/>
      <c r="GFO273" s="18"/>
      <c r="GFP273" s="18"/>
      <c r="GFQ273" s="18"/>
      <c r="GFR273" s="18"/>
      <c r="GFS273" s="18"/>
      <c r="GFT273" s="18"/>
      <c r="GFU273" s="18"/>
      <c r="GFV273" s="18"/>
      <c r="GFW273" s="18"/>
      <c r="GFX273" s="18"/>
      <c r="GFY273" s="18"/>
      <c r="GFZ273" s="18"/>
      <c r="GGA273" s="18"/>
      <c r="GGB273" s="18"/>
      <c r="GGC273" s="18"/>
      <c r="GGD273" s="18"/>
      <c r="GGE273" s="18"/>
      <c r="GGF273" s="18"/>
      <c r="GGG273" s="18"/>
      <c r="GGH273" s="18"/>
      <c r="GGI273" s="18"/>
      <c r="GGJ273" s="18"/>
      <c r="GGK273" s="18"/>
      <c r="GGL273" s="18"/>
      <c r="GGM273" s="18"/>
      <c r="GGN273" s="18"/>
      <c r="GGO273" s="18"/>
      <c r="GGP273" s="18"/>
      <c r="GGQ273" s="18"/>
      <c r="GGR273" s="18"/>
      <c r="GGS273" s="18"/>
      <c r="GGT273" s="18"/>
      <c r="GGU273" s="18"/>
      <c r="GGV273" s="18"/>
      <c r="GGW273" s="18"/>
      <c r="GGX273" s="18"/>
      <c r="GGY273" s="18"/>
      <c r="GGZ273" s="18"/>
      <c r="GHA273" s="18"/>
      <c r="GHB273" s="18"/>
      <c r="GHC273" s="18"/>
      <c r="GHD273" s="18"/>
      <c r="GHE273" s="18"/>
      <c r="GHF273" s="18"/>
      <c r="GHG273" s="18"/>
      <c r="GHH273" s="18"/>
      <c r="GHI273" s="18"/>
      <c r="GHJ273" s="18"/>
      <c r="GHK273" s="18"/>
      <c r="GHL273" s="18"/>
      <c r="GHM273" s="18"/>
      <c r="GHN273" s="18"/>
      <c r="GHO273" s="18"/>
      <c r="GHP273" s="18"/>
      <c r="GHQ273" s="18"/>
      <c r="GHR273" s="18"/>
      <c r="GHS273" s="18"/>
      <c r="GHT273" s="18"/>
      <c r="GHU273" s="18"/>
      <c r="GHV273" s="18"/>
      <c r="GHW273" s="18"/>
      <c r="GHX273" s="18"/>
      <c r="GHY273" s="18"/>
      <c r="GHZ273" s="18"/>
      <c r="GIA273" s="18"/>
      <c r="GIB273" s="18"/>
      <c r="GIC273" s="18"/>
      <c r="GID273" s="18"/>
      <c r="GIE273" s="18"/>
      <c r="GIF273" s="18"/>
      <c r="GIG273" s="18"/>
      <c r="GIH273" s="18"/>
      <c r="GII273" s="18"/>
      <c r="GIJ273" s="18"/>
      <c r="GIK273" s="18"/>
      <c r="GIL273" s="18"/>
      <c r="GIM273" s="18"/>
      <c r="GIN273" s="18"/>
      <c r="GIO273" s="18"/>
      <c r="GIP273" s="18"/>
      <c r="GIQ273" s="18"/>
      <c r="GIR273" s="18"/>
      <c r="GIS273" s="18"/>
      <c r="GIT273" s="18"/>
      <c r="GIU273" s="18"/>
      <c r="GIV273" s="18"/>
      <c r="GIW273" s="18"/>
      <c r="GIX273" s="18"/>
      <c r="GIY273" s="18"/>
      <c r="GIZ273" s="18"/>
      <c r="GJA273" s="18"/>
      <c r="GJB273" s="18"/>
      <c r="GJC273" s="18"/>
      <c r="GJD273" s="18"/>
      <c r="GJE273" s="18"/>
      <c r="GJF273" s="18"/>
      <c r="GJG273" s="18"/>
      <c r="GJH273" s="18"/>
      <c r="GJI273" s="18"/>
      <c r="GJJ273" s="18"/>
      <c r="GJK273" s="18"/>
      <c r="GJL273" s="18"/>
      <c r="GJM273" s="18"/>
      <c r="GJN273" s="18"/>
      <c r="GJO273" s="18"/>
      <c r="GJP273" s="18"/>
      <c r="GJQ273" s="18"/>
      <c r="GJR273" s="18"/>
      <c r="GJS273" s="18"/>
      <c r="GJT273" s="18"/>
      <c r="GJU273" s="18"/>
      <c r="GJV273" s="18"/>
      <c r="GJW273" s="18"/>
      <c r="GJX273" s="18"/>
      <c r="GJY273" s="18"/>
      <c r="GJZ273" s="18"/>
      <c r="GKA273" s="18"/>
      <c r="GKB273" s="18"/>
      <c r="GKC273" s="18"/>
      <c r="GKD273" s="18"/>
      <c r="GKE273" s="18"/>
      <c r="GKF273" s="18"/>
      <c r="GKG273" s="18"/>
      <c r="GKH273" s="18"/>
      <c r="GKI273" s="18"/>
      <c r="GKJ273" s="18"/>
      <c r="GKK273" s="18"/>
      <c r="GKL273" s="18"/>
      <c r="GKM273" s="18"/>
      <c r="GKN273" s="18"/>
      <c r="GKO273" s="18"/>
      <c r="GKP273" s="18"/>
      <c r="GKQ273" s="18"/>
      <c r="GKR273" s="18"/>
      <c r="GKS273" s="18"/>
      <c r="GKT273" s="18"/>
      <c r="GKU273" s="18"/>
      <c r="GKV273" s="18"/>
      <c r="GKW273" s="18"/>
      <c r="GKX273" s="18"/>
      <c r="GKY273" s="18"/>
      <c r="GKZ273" s="18"/>
      <c r="GLA273" s="18"/>
      <c r="GLB273" s="18"/>
      <c r="GLC273" s="18"/>
      <c r="GLD273" s="18"/>
      <c r="GLE273" s="18"/>
      <c r="GLF273" s="18"/>
      <c r="GLG273" s="18"/>
      <c r="GLH273" s="18"/>
      <c r="GLI273" s="18"/>
      <c r="GLJ273" s="18"/>
      <c r="GLK273" s="18"/>
      <c r="GLL273" s="18"/>
      <c r="GLM273" s="18"/>
      <c r="GLN273" s="18"/>
      <c r="GLO273" s="18"/>
      <c r="GLP273" s="18"/>
      <c r="GLQ273" s="18"/>
      <c r="GLR273" s="18"/>
      <c r="GLS273" s="18"/>
      <c r="GLT273" s="18"/>
      <c r="GLU273" s="18"/>
      <c r="GLV273" s="18"/>
      <c r="GLW273" s="18"/>
      <c r="GLX273" s="18"/>
      <c r="GLY273" s="18"/>
      <c r="GLZ273" s="18"/>
      <c r="GMA273" s="18"/>
      <c r="GMB273" s="18"/>
      <c r="GMC273" s="18"/>
      <c r="GMD273" s="18"/>
      <c r="GME273" s="18"/>
      <c r="GMF273" s="18"/>
      <c r="GMG273" s="18"/>
      <c r="GMH273" s="18"/>
      <c r="GMI273" s="18"/>
      <c r="GMJ273" s="18"/>
      <c r="GMK273" s="18"/>
      <c r="GML273" s="18"/>
      <c r="GMM273" s="18"/>
      <c r="GMN273" s="18"/>
      <c r="GMO273" s="18"/>
      <c r="GMP273" s="18"/>
      <c r="GMQ273" s="18"/>
      <c r="GMR273" s="18"/>
      <c r="GMS273" s="18"/>
      <c r="GMT273" s="18"/>
      <c r="GMU273" s="18"/>
      <c r="GMV273" s="18"/>
      <c r="GMW273" s="18"/>
      <c r="GMX273" s="18"/>
      <c r="GMY273" s="18"/>
      <c r="GMZ273" s="18"/>
      <c r="GNA273" s="18"/>
      <c r="GNB273" s="18"/>
      <c r="GNC273" s="18"/>
      <c r="GND273" s="18"/>
      <c r="GNE273" s="18"/>
      <c r="GNF273" s="18"/>
      <c r="GNG273" s="18"/>
      <c r="GNH273" s="18"/>
      <c r="GNI273" s="18"/>
      <c r="GNJ273" s="18"/>
      <c r="GNK273" s="18"/>
      <c r="GNL273" s="18"/>
      <c r="GNM273" s="18"/>
      <c r="GNN273" s="18"/>
      <c r="GNO273" s="18"/>
      <c r="GNP273" s="18"/>
      <c r="GNQ273" s="18"/>
      <c r="GNR273" s="18"/>
      <c r="GNS273" s="18"/>
      <c r="GNT273" s="18"/>
      <c r="GNU273" s="18"/>
      <c r="GNV273" s="18"/>
      <c r="GNW273" s="18"/>
      <c r="GNX273" s="18"/>
      <c r="GNY273" s="18"/>
      <c r="GNZ273" s="18"/>
      <c r="GOA273" s="18"/>
      <c r="GOB273" s="18"/>
      <c r="GOC273" s="18"/>
      <c r="GOD273" s="18"/>
      <c r="GOE273" s="18"/>
      <c r="GOF273" s="18"/>
      <c r="GOG273" s="18"/>
      <c r="GOH273" s="18"/>
      <c r="GOI273" s="18"/>
      <c r="GOJ273" s="18"/>
      <c r="GOK273" s="18"/>
      <c r="GOL273" s="18"/>
      <c r="GOM273" s="18"/>
      <c r="GON273" s="18"/>
      <c r="GOO273" s="18"/>
      <c r="GOP273" s="18"/>
      <c r="GOQ273" s="18"/>
      <c r="GOR273" s="18"/>
      <c r="GOS273" s="18"/>
      <c r="GOT273" s="18"/>
      <c r="GOU273" s="18"/>
      <c r="GOV273" s="18"/>
      <c r="GOW273" s="18"/>
      <c r="GOX273" s="18"/>
      <c r="GOY273" s="18"/>
      <c r="GOZ273" s="18"/>
      <c r="GPA273" s="18"/>
      <c r="GPB273" s="18"/>
      <c r="GPC273" s="18"/>
      <c r="GPD273" s="18"/>
      <c r="GPE273" s="18"/>
      <c r="GPF273" s="18"/>
      <c r="GPG273" s="18"/>
      <c r="GPH273" s="18"/>
      <c r="GPI273" s="18"/>
      <c r="GPJ273" s="18"/>
      <c r="GPK273" s="18"/>
      <c r="GPL273" s="18"/>
      <c r="GPM273" s="18"/>
      <c r="GPN273" s="18"/>
      <c r="GPO273" s="18"/>
      <c r="GPP273" s="18"/>
      <c r="GPQ273" s="18"/>
      <c r="GPR273" s="18"/>
      <c r="GPS273" s="18"/>
      <c r="GPT273" s="18"/>
      <c r="GPU273" s="18"/>
      <c r="GPV273" s="18"/>
      <c r="GPW273" s="18"/>
      <c r="GPX273" s="18"/>
      <c r="GPY273" s="18"/>
      <c r="GPZ273" s="18"/>
      <c r="GQA273" s="18"/>
      <c r="GQB273" s="18"/>
      <c r="GQC273" s="18"/>
      <c r="GQD273" s="18"/>
      <c r="GQE273" s="18"/>
      <c r="GQF273" s="18"/>
      <c r="GQG273" s="18"/>
      <c r="GQH273" s="18"/>
      <c r="GQI273" s="18"/>
      <c r="GQJ273" s="18"/>
      <c r="GQK273" s="18"/>
      <c r="GQL273" s="18"/>
      <c r="GQM273" s="18"/>
      <c r="GQN273" s="18"/>
      <c r="GQO273" s="18"/>
      <c r="GQP273" s="18"/>
      <c r="GQQ273" s="18"/>
      <c r="GQR273" s="18"/>
      <c r="GQS273" s="18"/>
      <c r="GQT273" s="18"/>
      <c r="GQU273" s="18"/>
      <c r="GQV273" s="18"/>
      <c r="GQW273" s="18"/>
      <c r="GQX273" s="18"/>
      <c r="GQY273" s="18"/>
      <c r="GQZ273" s="18"/>
      <c r="GRA273" s="18"/>
      <c r="GRB273" s="18"/>
      <c r="GRC273" s="18"/>
      <c r="GRD273" s="18"/>
      <c r="GRE273" s="18"/>
      <c r="GRF273" s="18"/>
      <c r="GRG273" s="18"/>
      <c r="GRH273" s="18"/>
      <c r="GRI273" s="18"/>
      <c r="GRJ273" s="18"/>
      <c r="GRK273" s="18"/>
      <c r="GRL273" s="18"/>
      <c r="GRM273" s="18"/>
      <c r="GRN273" s="18"/>
      <c r="GRO273" s="18"/>
      <c r="GRP273" s="18"/>
      <c r="GRQ273" s="18"/>
      <c r="GRR273" s="18"/>
      <c r="GRS273" s="18"/>
      <c r="GRT273" s="18"/>
      <c r="GRU273" s="18"/>
      <c r="GRV273" s="18"/>
      <c r="GRW273" s="18"/>
      <c r="GRX273" s="18"/>
      <c r="GRY273" s="18"/>
      <c r="GRZ273" s="18"/>
      <c r="GSA273" s="18"/>
      <c r="GSB273" s="18"/>
      <c r="GSC273" s="18"/>
      <c r="GSD273" s="18"/>
      <c r="GSE273" s="18"/>
      <c r="GSF273" s="18"/>
      <c r="GSG273" s="18"/>
      <c r="GSH273" s="18"/>
      <c r="GSI273" s="18"/>
      <c r="GSJ273" s="18"/>
      <c r="GSK273" s="18"/>
      <c r="GSL273" s="18"/>
      <c r="GSM273" s="18"/>
      <c r="GSN273" s="18"/>
      <c r="GSO273" s="18"/>
      <c r="GSP273" s="18"/>
      <c r="GSQ273" s="18"/>
      <c r="GSR273" s="18"/>
      <c r="GSS273" s="18"/>
      <c r="GST273" s="18"/>
      <c r="GSU273" s="18"/>
      <c r="GSV273" s="18"/>
      <c r="GSW273" s="18"/>
      <c r="GSX273" s="18"/>
      <c r="GSY273" s="18"/>
      <c r="GSZ273" s="18"/>
      <c r="GTA273" s="18"/>
      <c r="GTB273" s="18"/>
      <c r="GTC273" s="18"/>
      <c r="GTD273" s="18"/>
      <c r="GTE273" s="18"/>
      <c r="GTF273" s="18"/>
      <c r="GTG273" s="18"/>
      <c r="GTH273" s="18"/>
      <c r="GTI273" s="18"/>
      <c r="GTJ273" s="18"/>
      <c r="GTK273" s="18"/>
      <c r="GTL273" s="18"/>
      <c r="GTM273" s="18"/>
      <c r="GTN273" s="18"/>
      <c r="GTO273" s="18"/>
      <c r="GTP273" s="18"/>
      <c r="GTQ273" s="18"/>
      <c r="GTR273" s="18"/>
      <c r="GTS273" s="18"/>
      <c r="GTT273" s="18"/>
      <c r="GTU273" s="18"/>
      <c r="GTV273" s="18"/>
      <c r="GTW273" s="18"/>
      <c r="GTX273" s="18"/>
      <c r="GTY273" s="18"/>
      <c r="GTZ273" s="18"/>
      <c r="GUA273" s="18"/>
      <c r="GUB273" s="18"/>
      <c r="GUC273" s="18"/>
      <c r="GUD273" s="18"/>
      <c r="GUE273" s="18"/>
      <c r="GUF273" s="18"/>
      <c r="GUG273" s="18"/>
      <c r="GUH273" s="18"/>
      <c r="GUI273" s="18"/>
      <c r="GUJ273" s="18"/>
      <c r="GUK273" s="18"/>
      <c r="GUL273" s="18"/>
      <c r="GUM273" s="18"/>
      <c r="GUN273" s="18"/>
      <c r="GUO273" s="18"/>
      <c r="GUP273" s="18"/>
      <c r="GUQ273" s="18"/>
      <c r="GUR273" s="18"/>
      <c r="GUS273" s="18"/>
      <c r="GUT273" s="18"/>
      <c r="GUU273" s="18"/>
      <c r="GUV273" s="18"/>
      <c r="GUW273" s="18"/>
      <c r="GUX273" s="18"/>
      <c r="GUY273" s="18"/>
      <c r="GUZ273" s="18"/>
      <c r="GVA273" s="18"/>
      <c r="GVB273" s="18"/>
      <c r="GVC273" s="18"/>
      <c r="GVD273" s="18"/>
      <c r="GVE273" s="18"/>
      <c r="GVF273" s="18"/>
      <c r="GVG273" s="18"/>
      <c r="GVH273" s="18"/>
      <c r="GVI273" s="18"/>
      <c r="GVJ273" s="18"/>
      <c r="GVK273" s="18"/>
      <c r="GVL273" s="18"/>
      <c r="GVM273" s="18"/>
      <c r="GVN273" s="18"/>
      <c r="GVO273" s="18"/>
      <c r="GVP273" s="18"/>
      <c r="GVQ273" s="18"/>
      <c r="GVR273" s="18"/>
      <c r="GVS273" s="18"/>
      <c r="GVT273" s="18"/>
      <c r="GVU273" s="18"/>
      <c r="GVV273" s="18"/>
      <c r="GVW273" s="18"/>
      <c r="GVX273" s="18"/>
      <c r="GVY273" s="18"/>
      <c r="GVZ273" s="18"/>
      <c r="GWA273" s="18"/>
      <c r="GWB273" s="18"/>
      <c r="GWC273" s="18"/>
      <c r="GWD273" s="18"/>
      <c r="GWE273" s="18"/>
      <c r="GWF273" s="18"/>
      <c r="GWG273" s="18"/>
      <c r="GWH273" s="18"/>
      <c r="GWI273" s="18"/>
      <c r="GWJ273" s="18"/>
      <c r="GWK273" s="18"/>
      <c r="GWL273" s="18"/>
      <c r="GWM273" s="18"/>
      <c r="GWN273" s="18"/>
      <c r="GWO273" s="18"/>
      <c r="GWP273" s="18"/>
      <c r="GWQ273" s="18"/>
      <c r="GWR273" s="18"/>
      <c r="GWS273" s="18"/>
      <c r="GWT273" s="18"/>
      <c r="GWU273" s="18"/>
      <c r="GWV273" s="18"/>
      <c r="GWW273" s="18"/>
      <c r="GWX273" s="18"/>
      <c r="GWY273" s="18"/>
      <c r="GWZ273" s="18"/>
      <c r="GXA273" s="18"/>
      <c r="GXB273" s="18"/>
      <c r="GXC273" s="18"/>
      <c r="GXD273" s="18"/>
      <c r="GXE273" s="18"/>
      <c r="GXF273" s="18"/>
      <c r="GXG273" s="18"/>
      <c r="GXH273" s="18"/>
      <c r="GXI273" s="18"/>
      <c r="GXJ273" s="18"/>
      <c r="GXK273" s="18"/>
      <c r="GXL273" s="18"/>
      <c r="GXM273" s="18"/>
      <c r="GXN273" s="18"/>
      <c r="GXO273" s="18"/>
      <c r="GXP273" s="18"/>
      <c r="GXQ273" s="18"/>
      <c r="GXR273" s="18"/>
      <c r="GXS273" s="18"/>
      <c r="GXT273" s="18"/>
      <c r="GXU273" s="18"/>
      <c r="GXV273" s="18"/>
      <c r="GXW273" s="18"/>
      <c r="GXX273" s="18"/>
      <c r="GXY273" s="18"/>
      <c r="GXZ273" s="18"/>
      <c r="GYA273" s="18"/>
      <c r="GYB273" s="18"/>
      <c r="GYC273" s="18"/>
      <c r="GYD273" s="18"/>
      <c r="GYE273" s="18"/>
      <c r="GYF273" s="18"/>
      <c r="GYG273" s="18"/>
      <c r="GYH273" s="18"/>
      <c r="GYI273" s="18"/>
      <c r="GYJ273" s="18"/>
      <c r="GYK273" s="18"/>
      <c r="GYL273" s="18"/>
      <c r="GYM273" s="18"/>
      <c r="GYN273" s="18"/>
      <c r="GYO273" s="18"/>
      <c r="GYP273" s="18"/>
      <c r="GYQ273" s="18"/>
      <c r="GYR273" s="18"/>
      <c r="GYS273" s="18"/>
      <c r="GYT273" s="18"/>
      <c r="GYU273" s="18"/>
      <c r="GYV273" s="18"/>
      <c r="GYW273" s="18"/>
      <c r="GYX273" s="18"/>
      <c r="GYY273" s="18"/>
      <c r="GYZ273" s="18"/>
      <c r="GZA273" s="18"/>
      <c r="GZB273" s="18"/>
      <c r="GZC273" s="18"/>
      <c r="GZD273" s="18"/>
      <c r="GZE273" s="18"/>
      <c r="GZF273" s="18"/>
      <c r="GZG273" s="18"/>
      <c r="GZH273" s="18"/>
      <c r="GZI273" s="18"/>
      <c r="GZJ273" s="18"/>
      <c r="GZK273" s="18"/>
      <c r="GZL273" s="18"/>
      <c r="GZM273" s="18"/>
      <c r="GZN273" s="18"/>
      <c r="GZO273" s="18"/>
      <c r="GZP273" s="18"/>
      <c r="GZQ273" s="18"/>
      <c r="GZR273" s="18"/>
      <c r="GZS273" s="18"/>
      <c r="GZT273" s="18"/>
      <c r="GZU273" s="18"/>
      <c r="GZV273" s="18"/>
      <c r="GZW273" s="18"/>
      <c r="GZX273" s="18"/>
      <c r="GZY273" s="18"/>
      <c r="GZZ273" s="18"/>
      <c r="HAA273" s="18"/>
      <c r="HAB273" s="18"/>
      <c r="HAC273" s="18"/>
      <c r="HAD273" s="18"/>
      <c r="HAE273" s="18"/>
      <c r="HAF273" s="18"/>
      <c r="HAG273" s="18"/>
      <c r="HAH273" s="18"/>
      <c r="HAI273" s="18"/>
      <c r="HAJ273" s="18"/>
      <c r="HAK273" s="18"/>
      <c r="HAL273" s="18"/>
      <c r="HAM273" s="18"/>
      <c r="HAN273" s="18"/>
      <c r="HAO273" s="18"/>
      <c r="HAP273" s="18"/>
      <c r="HAQ273" s="18"/>
      <c r="HAR273" s="18"/>
      <c r="HAS273" s="18"/>
      <c r="HAT273" s="18"/>
      <c r="HAU273" s="18"/>
      <c r="HAV273" s="18"/>
      <c r="HAW273" s="18"/>
      <c r="HAX273" s="18"/>
      <c r="HAY273" s="18"/>
      <c r="HAZ273" s="18"/>
      <c r="HBA273" s="18"/>
      <c r="HBB273" s="18"/>
      <c r="HBC273" s="18"/>
      <c r="HBD273" s="18"/>
      <c r="HBE273" s="18"/>
      <c r="HBF273" s="18"/>
      <c r="HBG273" s="18"/>
      <c r="HBH273" s="18"/>
      <c r="HBI273" s="18"/>
      <c r="HBJ273" s="18"/>
      <c r="HBK273" s="18"/>
      <c r="HBL273" s="18"/>
      <c r="HBM273" s="18"/>
      <c r="HBN273" s="18"/>
      <c r="HBO273" s="18"/>
      <c r="HBP273" s="18"/>
      <c r="HBQ273" s="18"/>
      <c r="HBR273" s="18"/>
      <c r="HBS273" s="18"/>
      <c r="HBT273" s="18"/>
      <c r="HBU273" s="18"/>
      <c r="HBV273" s="18"/>
      <c r="HBW273" s="18"/>
      <c r="HBX273" s="18"/>
      <c r="HBY273" s="18"/>
      <c r="HBZ273" s="18"/>
      <c r="HCA273" s="18"/>
      <c r="HCB273" s="18"/>
      <c r="HCC273" s="18"/>
      <c r="HCD273" s="18"/>
      <c r="HCE273" s="18"/>
      <c r="HCF273" s="18"/>
      <c r="HCG273" s="18"/>
      <c r="HCH273" s="18"/>
      <c r="HCI273" s="18"/>
      <c r="HCJ273" s="18"/>
      <c r="HCK273" s="18"/>
      <c r="HCL273" s="18"/>
      <c r="HCM273" s="18"/>
      <c r="HCN273" s="18"/>
      <c r="HCO273" s="18"/>
      <c r="HCP273" s="18"/>
      <c r="HCQ273" s="18"/>
      <c r="HCR273" s="18"/>
      <c r="HCS273" s="18"/>
      <c r="HCT273" s="18"/>
      <c r="HCU273" s="18"/>
      <c r="HCV273" s="18"/>
      <c r="HCW273" s="18"/>
      <c r="HCX273" s="18"/>
      <c r="HCY273" s="18"/>
      <c r="HCZ273" s="18"/>
      <c r="HDA273" s="18"/>
      <c r="HDB273" s="18"/>
      <c r="HDC273" s="18"/>
      <c r="HDD273" s="18"/>
      <c r="HDE273" s="18"/>
      <c r="HDF273" s="18"/>
      <c r="HDG273" s="18"/>
      <c r="HDH273" s="18"/>
      <c r="HDI273" s="18"/>
      <c r="HDJ273" s="18"/>
      <c r="HDK273" s="18"/>
      <c r="HDL273" s="18"/>
      <c r="HDM273" s="18"/>
      <c r="HDN273" s="18"/>
      <c r="HDO273" s="18"/>
      <c r="HDP273" s="18"/>
      <c r="HDQ273" s="18"/>
      <c r="HDR273" s="18"/>
      <c r="HDS273" s="18"/>
      <c r="HDT273" s="18"/>
      <c r="HDU273" s="18"/>
      <c r="HDV273" s="18"/>
      <c r="HDW273" s="18"/>
      <c r="HDX273" s="18"/>
      <c r="HDY273" s="18"/>
      <c r="HDZ273" s="18"/>
      <c r="HEA273" s="18"/>
      <c r="HEB273" s="18"/>
      <c r="HEC273" s="18"/>
      <c r="HED273" s="18"/>
      <c r="HEE273" s="18"/>
      <c r="HEF273" s="18"/>
      <c r="HEG273" s="18"/>
      <c r="HEH273" s="18"/>
      <c r="HEI273" s="18"/>
      <c r="HEJ273" s="18"/>
      <c r="HEK273" s="18"/>
      <c r="HEL273" s="18"/>
      <c r="HEM273" s="18"/>
      <c r="HEN273" s="18"/>
      <c r="HEO273" s="18"/>
      <c r="HEP273" s="18"/>
      <c r="HEQ273" s="18"/>
      <c r="HER273" s="18"/>
      <c r="HES273" s="18"/>
      <c r="HET273" s="18"/>
      <c r="HEU273" s="18"/>
      <c r="HEV273" s="18"/>
      <c r="HEW273" s="18"/>
      <c r="HEX273" s="18"/>
      <c r="HEY273" s="18"/>
      <c r="HEZ273" s="18"/>
      <c r="HFA273" s="18"/>
      <c r="HFB273" s="18"/>
      <c r="HFC273" s="18"/>
      <c r="HFD273" s="18"/>
      <c r="HFE273" s="18"/>
      <c r="HFF273" s="18"/>
      <c r="HFG273" s="18"/>
      <c r="HFH273" s="18"/>
      <c r="HFI273" s="18"/>
      <c r="HFJ273" s="18"/>
      <c r="HFK273" s="18"/>
      <c r="HFL273" s="18"/>
      <c r="HFM273" s="18"/>
      <c r="HFN273" s="18"/>
      <c r="HFO273" s="18"/>
      <c r="HFP273" s="18"/>
      <c r="HFQ273" s="18"/>
      <c r="HFR273" s="18"/>
      <c r="HFS273" s="18"/>
      <c r="HFT273" s="18"/>
      <c r="HFU273" s="18"/>
      <c r="HFV273" s="18"/>
      <c r="HFW273" s="18"/>
      <c r="HFX273" s="18"/>
      <c r="HFY273" s="18"/>
      <c r="HFZ273" s="18"/>
      <c r="HGA273" s="18"/>
      <c r="HGB273" s="18"/>
      <c r="HGC273" s="18"/>
      <c r="HGD273" s="18"/>
      <c r="HGE273" s="18"/>
      <c r="HGF273" s="18"/>
      <c r="HGG273" s="18"/>
      <c r="HGH273" s="18"/>
      <c r="HGI273" s="18"/>
      <c r="HGJ273" s="18"/>
      <c r="HGK273" s="18"/>
      <c r="HGL273" s="18"/>
      <c r="HGM273" s="18"/>
      <c r="HGN273" s="18"/>
      <c r="HGO273" s="18"/>
      <c r="HGP273" s="18"/>
      <c r="HGQ273" s="18"/>
      <c r="HGR273" s="18"/>
      <c r="HGS273" s="18"/>
      <c r="HGT273" s="18"/>
      <c r="HGU273" s="18"/>
      <c r="HGV273" s="18"/>
      <c r="HGW273" s="18"/>
      <c r="HGX273" s="18"/>
      <c r="HGY273" s="18"/>
      <c r="HGZ273" s="18"/>
      <c r="HHA273" s="18"/>
      <c r="HHB273" s="18"/>
      <c r="HHC273" s="18"/>
      <c r="HHD273" s="18"/>
      <c r="HHE273" s="18"/>
      <c r="HHF273" s="18"/>
      <c r="HHG273" s="18"/>
      <c r="HHH273" s="18"/>
      <c r="HHI273" s="18"/>
      <c r="HHJ273" s="18"/>
      <c r="HHK273" s="18"/>
      <c r="HHL273" s="18"/>
      <c r="HHM273" s="18"/>
      <c r="HHN273" s="18"/>
      <c r="HHO273" s="18"/>
      <c r="HHP273" s="18"/>
      <c r="HHQ273" s="18"/>
      <c r="HHR273" s="18"/>
      <c r="HHS273" s="18"/>
      <c r="HHT273" s="18"/>
      <c r="HHU273" s="18"/>
      <c r="HHV273" s="18"/>
      <c r="HHW273" s="18"/>
      <c r="HHX273" s="18"/>
      <c r="HHY273" s="18"/>
      <c r="HHZ273" s="18"/>
      <c r="HIA273" s="18"/>
      <c r="HIB273" s="18"/>
      <c r="HIC273" s="18"/>
      <c r="HID273" s="18"/>
      <c r="HIE273" s="18"/>
      <c r="HIF273" s="18"/>
      <c r="HIG273" s="18"/>
      <c r="HIH273" s="18"/>
      <c r="HII273" s="18"/>
      <c r="HIJ273" s="18"/>
      <c r="HIK273" s="18"/>
      <c r="HIL273" s="18"/>
      <c r="HIM273" s="18"/>
      <c r="HIN273" s="18"/>
      <c r="HIO273" s="18"/>
      <c r="HIP273" s="18"/>
      <c r="HIQ273" s="18"/>
      <c r="HIR273" s="18"/>
      <c r="HIS273" s="18"/>
      <c r="HIT273" s="18"/>
      <c r="HIU273" s="18"/>
      <c r="HIV273" s="18"/>
      <c r="HIW273" s="18"/>
      <c r="HIX273" s="18"/>
      <c r="HIY273" s="18"/>
      <c r="HIZ273" s="18"/>
      <c r="HJA273" s="18"/>
      <c r="HJB273" s="18"/>
      <c r="HJC273" s="18"/>
      <c r="HJD273" s="18"/>
      <c r="HJE273" s="18"/>
      <c r="HJF273" s="18"/>
      <c r="HJG273" s="18"/>
      <c r="HJH273" s="18"/>
      <c r="HJI273" s="18"/>
      <c r="HJJ273" s="18"/>
      <c r="HJK273" s="18"/>
      <c r="HJL273" s="18"/>
      <c r="HJM273" s="18"/>
      <c r="HJN273" s="18"/>
      <c r="HJO273" s="18"/>
      <c r="HJP273" s="18"/>
      <c r="HJQ273" s="18"/>
      <c r="HJR273" s="18"/>
      <c r="HJS273" s="18"/>
      <c r="HJT273" s="18"/>
      <c r="HJU273" s="18"/>
      <c r="HJV273" s="18"/>
      <c r="HJW273" s="18"/>
      <c r="HJX273" s="18"/>
      <c r="HJY273" s="18"/>
      <c r="HJZ273" s="18"/>
      <c r="HKA273" s="18"/>
      <c r="HKB273" s="18"/>
      <c r="HKC273" s="18"/>
      <c r="HKD273" s="18"/>
      <c r="HKE273" s="18"/>
      <c r="HKF273" s="18"/>
      <c r="HKG273" s="18"/>
      <c r="HKH273" s="18"/>
      <c r="HKI273" s="18"/>
      <c r="HKJ273" s="18"/>
      <c r="HKK273" s="18"/>
      <c r="HKL273" s="18"/>
      <c r="HKM273" s="18"/>
      <c r="HKN273" s="18"/>
      <c r="HKO273" s="18"/>
      <c r="HKP273" s="18"/>
      <c r="HKQ273" s="18"/>
      <c r="HKR273" s="18"/>
      <c r="HKS273" s="18"/>
      <c r="HKT273" s="18"/>
      <c r="HKU273" s="18"/>
      <c r="HKV273" s="18"/>
      <c r="HKW273" s="18"/>
      <c r="HKX273" s="18"/>
      <c r="HKY273" s="18"/>
      <c r="HKZ273" s="18"/>
      <c r="HLA273" s="18"/>
      <c r="HLB273" s="18"/>
      <c r="HLC273" s="18"/>
      <c r="HLD273" s="18"/>
      <c r="HLE273" s="18"/>
      <c r="HLF273" s="18"/>
      <c r="HLG273" s="18"/>
      <c r="HLH273" s="18"/>
      <c r="HLI273" s="18"/>
      <c r="HLJ273" s="18"/>
      <c r="HLK273" s="18"/>
      <c r="HLL273" s="18"/>
      <c r="HLM273" s="18"/>
      <c r="HLN273" s="18"/>
      <c r="HLO273" s="18"/>
      <c r="HLP273" s="18"/>
      <c r="HLQ273" s="18"/>
      <c r="HLR273" s="18"/>
      <c r="HLS273" s="18"/>
      <c r="HLT273" s="18"/>
      <c r="HLU273" s="18"/>
      <c r="HLV273" s="18"/>
      <c r="HLW273" s="18"/>
      <c r="HLX273" s="18"/>
      <c r="HLY273" s="18"/>
      <c r="HLZ273" s="18"/>
      <c r="HMA273" s="18"/>
      <c r="HMB273" s="18"/>
      <c r="HMC273" s="18"/>
      <c r="HMD273" s="18"/>
      <c r="HME273" s="18"/>
      <c r="HMF273" s="18"/>
      <c r="HMG273" s="18"/>
      <c r="HMH273" s="18"/>
      <c r="HMI273" s="18"/>
      <c r="HMJ273" s="18"/>
      <c r="HMK273" s="18"/>
      <c r="HML273" s="18"/>
      <c r="HMM273" s="18"/>
      <c r="HMN273" s="18"/>
      <c r="HMO273" s="18"/>
      <c r="HMP273" s="18"/>
      <c r="HMQ273" s="18"/>
      <c r="HMR273" s="18"/>
      <c r="HMS273" s="18"/>
      <c r="HMT273" s="18"/>
      <c r="HMU273" s="18"/>
      <c r="HMV273" s="18"/>
      <c r="HMW273" s="18"/>
      <c r="HMX273" s="18"/>
      <c r="HMY273" s="18"/>
      <c r="HMZ273" s="18"/>
      <c r="HNA273" s="18"/>
      <c r="HNB273" s="18"/>
      <c r="HNC273" s="18"/>
      <c r="HND273" s="18"/>
      <c r="HNE273" s="18"/>
      <c r="HNF273" s="18"/>
      <c r="HNG273" s="18"/>
      <c r="HNH273" s="18"/>
      <c r="HNI273" s="18"/>
      <c r="HNJ273" s="18"/>
      <c r="HNK273" s="18"/>
      <c r="HNL273" s="18"/>
      <c r="HNM273" s="18"/>
      <c r="HNN273" s="18"/>
      <c r="HNO273" s="18"/>
      <c r="HNP273" s="18"/>
      <c r="HNQ273" s="18"/>
      <c r="HNR273" s="18"/>
      <c r="HNS273" s="18"/>
      <c r="HNT273" s="18"/>
      <c r="HNU273" s="18"/>
      <c r="HNV273" s="18"/>
      <c r="HNW273" s="18"/>
      <c r="HNX273" s="18"/>
      <c r="HNY273" s="18"/>
      <c r="HNZ273" s="18"/>
      <c r="HOA273" s="18"/>
      <c r="HOB273" s="18"/>
      <c r="HOC273" s="18"/>
      <c r="HOD273" s="18"/>
      <c r="HOE273" s="18"/>
      <c r="HOF273" s="18"/>
      <c r="HOG273" s="18"/>
      <c r="HOH273" s="18"/>
      <c r="HOI273" s="18"/>
      <c r="HOJ273" s="18"/>
      <c r="HOK273" s="18"/>
      <c r="HOL273" s="18"/>
      <c r="HOM273" s="18"/>
      <c r="HON273" s="18"/>
      <c r="HOO273" s="18"/>
      <c r="HOP273" s="18"/>
      <c r="HOQ273" s="18"/>
      <c r="HOR273" s="18"/>
      <c r="HOS273" s="18"/>
      <c r="HOT273" s="18"/>
      <c r="HOU273" s="18"/>
      <c r="HOV273" s="18"/>
      <c r="HOW273" s="18"/>
      <c r="HOX273" s="18"/>
      <c r="HOY273" s="18"/>
      <c r="HOZ273" s="18"/>
      <c r="HPA273" s="18"/>
      <c r="HPB273" s="18"/>
      <c r="HPC273" s="18"/>
      <c r="HPD273" s="18"/>
      <c r="HPE273" s="18"/>
      <c r="HPF273" s="18"/>
      <c r="HPG273" s="18"/>
      <c r="HPH273" s="18"/>
      <c r="HPI273" s="18"/>
      <c r="HPJ273" s="18"/>
      <c r="HPK273" s="18"/>
      <c r="HPL273" s="18"/>
      <c r="HPM273" s="18"/>
      <c r="HPN273" s="18"/>
      <c r="HPO273" s="18"/>
      <c r="HPP273" s="18"/>
      <c r="HPQ273" s="18"/>
      <c r="HPR273" s="18"/>
      <c r="HPS273" s="18"/>
      <c r="HPT273" s="18"/>
      <c r="HPU273" s="18"/>
      <c r="HPV273" s="18"/>
      <c r="HPW273" s="18"/>
      <c r="HPX273" s="18"/>
      <c r="HPY273" s="18"/>
      <c r="HPZ273" s="18"/>
      <c r="HQA273" s="18"/>
      <c r="HQB273" s="18"/>
      <c r="HQC273" s="18"/>
      <c r="HQD273" s="18"/>
      <c r="HQE273" s="18"/>
      <c r="HQF273" s="18"/>
      <c r="HQG273" s="18"/>
      <c r="HQH273" s="18"/>
      <c r="HQI273" s="18"/>
      <c r="HQJ273" s="18"/>
      <c r="HQK273" s="18"/>
      <c r="HQL273" s="18"/>
      <c r="HQM273" s="18"/>
      <c r="HQN273" s="18"/>
      <c r="HQO273" s="18"/>
      <c r="HQP273" s="18"/>
      <c r="HQQ273" s="18"/>
      <c r="HQR273" s="18"/>
      <c r="HQS273" s="18"/>
      <c r="HQT273" s="18"/>
      <c r="HQU273" s="18"/>
      <c r="HQV273" s="18"/>
      <c r="HQW273" s="18"/>
      <c r="HQX273" s="18"/>
      <c r="HQY273" s="18"/>
      <c r="HQZ273" s="18"/>
      <c r="HRA273" s="18"/>
      <c r="HRB273" s="18"/>
      <c r="HRC273" s="18"/>
      <c r="HRD273" s="18"/>
      <c r="HRE273" s="18"/>
      <c r="HRF273" s="18"/>
      <c r="HRG273" s="18"/>
      <c r="HRH273" s="18"/>
      <c r="HRI273" s="18"/>
      <c r="HRJ273" s="18"/>
      <c r="HRK273" s="18"/>
      <c r="HRL273" s="18"/>
      <c r="HRM273" s="18"/>
      <c r="HRN273" s="18"/>
      <c r="HRO273" s="18"/>
      <c r="HRP273" s="18"/>
      <c r="HRQ273" s="18"/>
      <c r="HRR273" s="18"/>
      <c r="HRS273" s="18"/>
      <c r="HRT273" s="18"/>
      <c r="HRU273" s="18"/>
      <c r="HRV273" s="18"/>
      <c r="HRW273" s="18"/>
      <c r="HRX273" s="18"/>
      <c r="HRY273" s="18"/>
      <c r="HRZ273" s="18"/>
      <c r="HSA273" s="18"/>
      <c r="HSB273" s="18"/>
      <c r="HSC273" s="18"/>
      <c r="HSD273" s="18"/>
      <c r="HSE273" s="18"/>
      <c r="HSF273" s="18"/>
      <c r="HSG273" s="18"/>
      <c r="HSH273" s="18"/>
      <c r="HSI273" s="18"/>
      <c r="HSJ273" s="18"/>
      <c r="HSK273" s="18"/>
      <c r="HSL273" s="18"/>
      <c r="HSM273" s="18"/>
      <c r="HSN273" s="18"/>
      <c r="HSO273" s="18"/>
      <c r="HSP273" s="18"/>
      <c r="HSQ273" s="18"/>
      <c r="HSR273" s="18"/>
      <c r="HSS273" s="18"/>
      <c r="HST273" s="18"/>
      <c r="HSU273" s="18"/>
      <c r="HSV273" s="18"/>
      <c r="HSW273" s="18"/>
      <c r="HSX273" s="18"/>
      <c r="HSY273" s="18"/>
      <c r="HSZ273" s="18"/>
      <c r="HTA273" s="18"/>
      <c r="HTB273" s="18"/>
      <c r="HTC273" s="18"/>
      <c r="HTD273" s="18"/>
      <c r="HTE273" s="18"/>
      <c r="HTF273" s="18"/>
      <c r="HTG273" s="18"/>
      <c r="HTH273" s="18"/>
      <c r="HTI273" s="18"/>
      <c r="HTJ273" s="18"/>
      <c r="HTK273" s="18"/>
      <c r="HTL273" s="18"/>
      <c r="HTM273" s="18"/>
      <c r="HTN273" s="18"/>
      <c r="HTO273" s="18"/>
      <c r="HTP273" s="18"/>
      <c r="HTQ273" s="18"/>
      <c r="HTR273" s="18"/>
      <c r="HTS273" s="18"/>
      <c r="HTT273" s="18"/>
      <c r="HTU273" s="18"/>
      <c r="HTV273" s="18"/>
      <c r="HTW273" s="18"/>
      <c r="HTX273" s="18"/>
      <c r="HTY273" s="18"/>
      <c r="HTZ273" s="18"/>
      <c r="HUA273" s="18"/>
      <c r="HUB273" s="18"/>
      <c r="HUC273" s="18"/>
      <c r="HUD273" s="18"/>
      <c r="HUE273" s="18"/>
      <c r="HUF273" s="18"/>
      <c r="HUG273" s="18"/>
      <c r="HUH273" s="18"/>
      <c r="HUI273" s="18"/>
      <c r="HUJ273" s="18"/>
      <c r="HUK273" s="18"/>
      <c r="HUL273" s="18"/>
      <c r="HUM273" s="18"/>
      <c r="HUN273" s="18"/>
      <c r="HUO273" s="18"/>
      <c r="HUP273" s="18"/>
      <c r="HUQ273" s="18"/>
      <c r="HUR273" s="18"/>
      <c r="HUS273" s="18"/>
      <c r="HUT273" s="18"/>
      <c r="HUU273" s="18"/>
      <c r="HUV273" s="18"/>
      <c r="HUW273" s="18"/>
      <c r="HUX273" s="18"/>
      <c r="HUY273" s="18"/>
      <c r="HUZ273" s="18"/>
      <c r="HVA273" s="18"/>
      <c r="HVB273" s="18"/>
      <c r="HVC273" s="18"/>
      <c r="HVD273" s="18"/>
      <c r="HVE273" s="18"/>
      <c r="HVF273" s="18"/>
      <c r="HVG273" s="18"/>
      <c r="HVH273" s="18"/>
      <c r="HVI273" s="18"/>
      <c r="HVJ273" s="18"/>
      <c r="HVK273" s="18"/>
      <c r="HVL273" s="18"/>
      <c r="HVM273" s="18"/>
      <c r="HVN273" s="18"/>
      <c r="HVO273" s="18"/>
      <c r="HVP273" s="18"/>
      <c r="HVQ273" s="18"/>
      <c r="HVR273" s="18"/>
      <c r="HVS273" s="18"/>
      <c r="HVT273" s="18"/>
      <c r="HVU273" s="18"/>
      <c r="HVV273" s="18"/>
      <c r="HVW273" s="18"/>
      <c r="HVX273" s="18"/>
      <c r="HVY273" s="18"/>
      <c r="HVZ273" s="18"/>
      <c r="HWA273" s="18"/>
      <c r="HWB273" s="18"/>
      <c r="HWC273" s="18"/>
      <c r="HWD273" s="18"/>
      <c r="HWE273" s="18"/>
      <c r="HWF273" s="18"/>
      <c r="HWG273" s="18"/>
      <c r="HWH273" s="18"/>
      <c r="HWI273" s="18"/>
      <c r="HWJ273" s="18"/>
      <c r="HWK273" s="18"/>
      <c r="HWL273" s="18"/>
      <c r="HWM273" s="18"/>
      <c r="HWN273" s="18"/>
      <c r="HWO273" s="18"/>
      <c r="HWP273" s="18"/>
      <c r="HWQ273" s="18"/>
      <c r="HWR273" s="18"/>
      <c r="HWS273" s="18"/>
      <c r="HWT273" s="18"/>
      <c r="HWU273" s="18"/>
      <c r="HWV273" s="18"/>
      <c r="HWW273" s="18"/>
      <c r="HWX273" s="18"/>
      <c r="HWY273" s="18"/>
      <c r="HWZ273" s="18"/>
      <c r="HXA273" s="18"/>
      <c r="HXB273" s="18"/>
      <c r="HXC273" s="18"/>
      <c r="HXD273" s="18"/>
      <c r="HXE273" s="18"/>
      <c r="HXF273" s="18"/>
      <c r="HXG273" s="18"/>
      <c r="HXH273" s="18"/>
      <c r="HXI273" s="18"/>
      <c r="HXJ273" s="18"/>
      <c r="HXK273" s="18"/>
      <c r="HXL273" s="18"/>
      <c r="HXM273" s="18"/>
      <c r="HXN273" s="18"/>
      <c r="HXO273" s="18"/>
      <c r="HXP273" s="18"/>
      <c r="HXQ273" s="18"/>
      <c r="HXR273" s="18"/>
      <c r="HXS273" s="18"/>
      <c r="HXT273" s="18"/>
      <c r="HXU273" s="18"/>
      <c r="HXV273" s="18"/>
      <c r="HXW273" s="18"/>
      <c r="HXX273" s="18"/>
      <c r="HXY273" s="18"/>
      <c r="HXZ273" s="18"/>
      <c r="HYA273" s="18"/>
      <c r="HYB273" s="18"/>
      <c r="HYC273" s="18"/>
      <c r="HYD273" s="18"/>
      <c r="HYE273" s="18"/>
      <c r="HYF273" s="18"/>
      <c r="HYG273" s="18"/>
      <c r="HYH273" s="18"/>
      <c r="HYI273" s="18"/>
      <c r="HYJ273" s="18"/>
      <c r="HYK273" s="18"/>
      <c r="HYL273" s="18"/>
      <c r="HYM273" s="18"/>
      <c r="HYN273" s="18"/>
      <c r="HYO273" s="18"/>
      <c r="HYP273" s="18"/>
      <c r="HYQ273" s="18"/>
      <c r="HYR273" s="18"/>
      <c r="HYS273" s="18"/>
      <c r="HYT273" s="18"/>
      <c r="HYU273" s="18"/>
      <c r="HYV273" s="18"/>
      <c r="HYW273" s="18"/>
      <c r="HYX273" s="18"/>
      <c r="HYY273" s="18"/>
      <c r="HYZ273" s="18"/>
      <c r="HZA273" s="18"/>
      <c r="HZB273" s="18"/>
      <c r="HZC273" s="18"/>
      <c r="HZD273" s="18"/>
      <c r="HZE273" s="18"/>
      <c r="HZF273" s="18"/>
      <c r="HZG273" s="18"/>
      <c r="HZH273" s="18"/>
      <c r="HZI273" s="18"/>
      <c r="HZJ273" s="18"/>
      <c r="HZK273" s="18"/>
      <c r="HZL273" s="18"/>
      <c r="HZM273" s="18"/>
      <c r="HZN273" s="18"/>
      <c r="HZO273" s="18"/>
      <c r="HZP273" s="18"/>
      <c r="HZQ273" s="18"/>
      <c r="HZR273" s="18"/>
      <c r="HZS273" s="18"/>
      <c r="HZT273" s="18"/>
      <c r="HZU273" s="18"/>
      <c r="HZV273" s="18"/>
      <c r="HZW273" s="18"/>
      <c r="HZX273" s="18"/>
      <c r="HZY273" s="18"/>
      <c r="HZZ273" s="18"/>
      <c r="IAA273" s="18"/>
      <c r="IAB273" s="18"/>
      <c r="IAC273" s="18"/>
      <c r="IAD273" s="18"/>
      <c r="IAE273" s="18"/>
      <c r="IAF273" s="18"/>
      <c r="IAG273" s="18"/>
      <c r="IAH273" s="18"/>
      <c r="IAI273" s="18"/>
      <c r="IAJ273" s="18"/>
      <c r="IAK273" s="18"/>
      <c r="IAL273" s="18"/>
      <c r="IAM273" s="18"/>
      <c r="IAN273" s="18"/>
      <c r="IAO273" s="18"/>
      <c r="IAP273" s="18"/>
      <c r="IAQ273" s="18"/>
      <c r="IAR273" s="18"/>
      <c r="IAS273" s="18"/>
      <c r="IAT273" s="18"/>
      <c r="IAU273" s="18"/>
      <c r="IAV273" s="18"/>
      <c r="IAW273" s="18"/>
      <c r="IAX273" s="18"/>
      <c r="IAY273" s="18"/>
      <c r="IAZ273" s="18"/>
      <c r="IBA273" s="18"/>
      <c r="IBB273" s="18"/>
      <c r="IBC273" s="18"/>
      <c r="IBD273" s="18"/>
      <c r="IBE273" s="18"/>
      <c r="IBF273" s="18"/>
      <c r="IBG273" s="18"/>
      <c r="IBH273" s="18"/>
      <c r="IBI273" s="18"/>
      <c r="IBJ273" s="18"/>
      <c r="IBK273" s="18"/>
      <c r="IBL273" s="18"/>
      <c r="IBM273" s="18"/>
      <c r="IBN273" s="18"/>
      <c r="IBO273" s="18"/>
      <c r="IBP273" s="18"/>
      <c r="IBQ273" s="18"/>
      <c r="IBR273" s="18"/>
      <c r="IBS273" s="18"/>
      <c r="IBT273" s="18"/>
      <c r="IBU273" s="18"/>
      <c r="IBV273" s="18"/>
      <c r="IBW273" s="18"/>
      <c r="IBX273" s="18"/>
      <c r="IBY273" s="18"/>
      <c r="IBZ273" s="18"/>
      <c r="ICA273" s="18"/>
      <c r="ICB273" s="18"/>
      <c r="ICC273" s="18"/>
      <c r="ICD273" s="18"/>
      <c r="ICE273" s="18"/>
      <c r="ICF273" s="18"/>
      <c r="ICG273" s="18"/>
      <c r="ICH273" s="18"/>
      <c r="ICI273" s="18"/>
      <c r="ICJ273" s="18"/>
      <c r="ICK273" s="18"/>
      <c r="ICL273" s="18"/>
      <c r="ICM273" s="18"/>
      <c r="ICN273" s="18"/>
      <c r="ICO273" s="18"/>
      <c r="ICP273" s="18"/>
      <c r="ICQ273" s="18"/>
      <c r="ICR273" s="18"/>
      <c r="ICS273" s="18"/>
      <c r="ICT273" s="18"/>
      <c r="ICU273" s="18"/>
      <c r="ICV273" s="18"/>
      <c r="ICW273" s="18"/>
      <c r="ICX273" s="18"/>
      <c r="ICY273" s="18"/>
      <c r="ICZ273" s="18"/>
      <c r="IDA273" s="18"/>
      <c r="IDB273" s="18"/>
      <c r="IDC273" s="18"/>
      <c r="IDD273" s="18"/>
      <c r="IDE273" s="18"/>
      <c r="IDF273" s="18"/>
      <c r="IDG273" s="18"/>
      <c r="IDH273" s="18"/>
      <c r="IDI273" s="18"/>
      <c r="IDJ273" s="18"/>
      <c r="IDK273" s="18"/>
      <c r="IDL273" s="18"/>
      <c r="IDM273" s="18"/>
      <c r="IDN273" s="18"/>
      <c r="IDO273" s="18"/>
      <c r="IDP273" s="18"/>
      <c r="IDQ273" s="18"/>
      <c r="IDR273" s="18"/>
      <c r="IDS273" s="18"/>
      <c r="IDT273" s="18"/>
      <c r="IDU273" s="18"/>
      <c r="IDV273" s="18"/>
      <c r="IDW273" s="18"/>
      <c r="IDX273" s="18"/>
      <c r="IDY273" s="18"/>
      <c r="IDZ273" s="18"/>
      <c r="IEA273" s="18"/>
      <c r="IEB273" s="18"/>
      <c r="IEC273" s="18"/>
      <c r="IED273" s="18"/>
      <c r="IEE273" s="18"/>
      <c r="IEF273" s="18"/>
      <c r="IEG273" s="18"/>
      <c r="IEH273" s="18"/>
      <c r="IEI273" s="18"/>
      <c r="IEJ273" s="18"/>
      <c r="IEK273" s="18"/>
      <c r="IEL273" s="18"/>
      <c r="IEM273" s="18"/>
      <c r="IEN273" s="18"/>
      <c r="IEO273" s="18"/>
      <c r="IEP273" s="18"/>
      <c r="IEQ273" s="18"/>
      <c r="IER273" s="18"/>
      <c r="IES273" s="18"/>
      <c r="IET273" s="18"/>
      <c r="IEU273" s="18"/>
      <c r="IEV273" s="18"/>
      <c r="IEW273" s="18"/>
      <c r="IEX273" s="18"/>
      <c r="IEY273" s="18"/>
      <c r="IEZ273" s="18"/>
      <c r="IFA273" s="18"/>
      <c r="IFB273" s="18"/>
      <c r="IFC273" s="18"/>
      <c r="IFD273" s="18"/>
      <c r="IFE273" s="18"/>
      <c r="IFF273" s="18"/>
      <c r="IFG273" s="18"/>
      <c r="IFH273" s="18"/>
      <c r="IFI273" s="18"/>
      <c r="IFJ273" s="18"/>
      <c r="IFK273" s="18"/>
      <c r="IFL273" s="18"/>
      <c r="IFM273" s="18"/>
      <c r="IFN273" s="18"/>
      <c r="IFO273" s="18"/>
      <c r="IFP273" s="18"/>
      <c r="IFQ273" s="18"/>
      <c r="IFR273" s="18"/>
      <c r="IFS273" s="18"/>
      <c r="IFT273" s="18"/>
      <c r="IFU273" s="18"/>
      <c r="IFV273" s="18"/>
      <c r="IFW273" s="18"/>
      <c r="IFX273" s="18"/>
      <c r="IFY273" s="18"/>
      <c r="IFZ273" s="18"/>
      <c r="IGA273" s="18"/>
      <c r="IGB273" s="18"/>
      <c r="IGC273" s="18"/>
      <c r="IGD273" s="18"/>
      <c r="IGE273" s="18"/>
      <c r="IGF273" s="18"/>
      <c r="IGG273" s="18"/>
      <c r="IGH273" s="18"/>
      <c r="IGI273" s="18"/>
      <c r="IGJ273" s="18"/>
      <c r="IGK273" s="18"/>
      <c r="IGL273" s="18"/>
      <c r="IGM273" s="18"/>
      <c r="IGN273" s="18"/>
      <c r="IGO273" s="18"/>
      <c r="IGP273" s="18"/>
      <c r="IGQ273" s="18"/>
      <c r="IGR273" s="18"/>
      <c r="IGS273" s="18"/>
      <c r="IGT273" s="18"/>
      <c r="IGU273" s="18"/>
      <c r="IGV273" s="18"/>
      <c r="IGW273" s="18"/>
      <c r="IGX273" s="18"/>
      <c r="IGY273" s="18"/>
      <c r="IGZ273" s="18"/>
      <c r="IHA273" s="18"/>
      <c r="IHB273" s="18"/>
      <c r="IHC273" s="18"/>
      <c r="IHD273" s="18"/>
      <c r="IHE273" s="18"/>
      <c r="IHF273" s="18"/>
      <c r="IHG273" s="18"/>
      <c r="IHH273" s="18"/>
      <c r="IHI273" s="18"/>
      <c r="IHJ273" s="18"/>
      <c r="IHK273" s="18"/>
      <c r="IHL273" s="18"/>
      <c r="IHM273" s="18"/>
      <c r="IHN273" s="18"/>
      <c r="IHO273" s="18"/>
      <c r="IHP273" s="18"/>
      <c r="IHQ273" s="18"/>
      <c r="IHR273" s="18"/>
      <c r="IHS273" s="18"/>
      <c r="IHT273" s="18"/>
      <c r="IHU273" s="18"/>
      <c r="IHV273" s="18"/>
      <c r="IHW273" s="18"/>
      <c r="IHX273" s="18"/>
      <c r="IHY273" s="18"/>
      <c r="IHZ273" s="18"/>
      <c r="IIA273" s="18"/>
      <c r="IIB273" s="18"/>
      <c r="IIC273" s="18"/>
      <c r="IID273" s="18"/>
      <c r="IIE273" s="18"/>
      <c r="IIF273" s="18"/>
      <c r="IIG273" s="18"/>
      <c r="IIH273" s="18"/>
      <c r="III273" s="18"/>
      <c r="IIJ273" s="18"/>
      <c r="IIK273" s="18"/>
      <c r="IIL273" s="18"/>
      <c r="IIM273" s="18"/>
      <c r="IIN273" s="18"/>
      <c r="IIO273" s="18"/>
      <c r="IIP273" s="18"/>
      <c r="IIQ273" s="18"/>
      <c r="IIR273" s="18"/>
      <c r="IIS273" s="18"/>
      <c r="IIT273" s="18"/>
      <c r="IIU273" s="18"/>
      <c r="IIV273" s="18"/>
      <c r="IIW273" s="18"/>
      <c r="IIX273" s="18"/>
      <c r="IIY273" s="18"/>
      <c r="IIZ273" s="18"/>
      <c r="IJA273" s="18"/>
      <c r="IJB273" s="18"/>
      <c r="IJC273" s="18"/>
      <c r="IJD273" s="18"/>
      <c r="IJE273" s="18"/>
      <c r="IJF273" s="18"/>
      <c r="IJG273" s="18"/>
      <c r="IJH273" s="18"/>
      <c r="IJI273" s="18"/>
      <c r="IJJ273" s="18"/>
      <c r="IJK273" s="18"/>
      <c r="IJL273" s="18"/>
      <c r="IJM273" s="18"/>
      <c r="IJN273" s="18"/>
      <c r="IJO273" s="18"/>
      <c r="IJP273" s="18"/>
      <c r="IJQ273" s="18"/>
      <c r="IJR273" s="18"/>
      <c r="IJS273" s="18"/>
      <c r="IJT273" s="18"/>
      <c r="IJU273" s="18"/>
      <c r="IJV273" s="18"/>
      <c r="IJW273" s="18"/>
      <c r="IJX273" s="18"/>
      <c r="IJY273" s="18"/>
      <c r="IJZ273" s="18"/>
      <c r="IKA273" s="18"/>
      <c r="IKB273" s="18"/>
      <c r="IKC273" s="18"/>
      <c r="IKD273" s="18"/>
      <c r="IKE273" s="18"/>
      <c r="IKF273" s="18"/>
      <c r="IKG273" s="18"/>
      <c r="IKH273" s="18"/>
      <c r="IKI273" s="18"/>
      <c r="IKJ273" s="18"/>
      <c r="IKK273" s="18"/>
      <c r="IKL273" s="18"/>
      <c r="IKM273" s="18"/>
      <c r="IKN273" s="18"/>
      <c r="IKO273" s="18"/>
      <c r="IKP273" s="18"/>
      <c r="IKQ273" s="18"/>
      <c r="IKR273" s="18"/>
      <c r="IKS273" s="18"/>
      <c r="IKT273" s="18"/>
      <c r="IKU273" s="18"/>
      <c r="IKV273" s="18"/>
      <c r="IKW273" s="18"/>
      <c r="IKX273" s="18"/>
      <c r="IKY273" s="18"/>
      <c r="IKZ273" s="18"/>
      <c r="ILA273" s="18"/>
      <c r="ILB273" s="18"/>
      <c r="ILC273" s="18"/>
      <c r="ILD273" s="18"/>
      <c r="ILE273" s="18"/>
      <c r="ILF273" s="18"/>
      <c r="ILG273" s="18"/>
      <c r="ILH273" s="18"/>
      <c r="ILI273" s="18"/>
      <c r="ILJ273" s="18"/>
      <c r="ILK273" s="18"/>
      <c r="ILL273" s="18"/>
      <c r="ILM273" s="18"/>
      <c r="ILN273" s="18"/>
      <c r="ILO273" s="18"/>
      <c r="ILP273" s="18"/>
      <c r="ILQ273" s="18"/>
      <c r="ILR273" s="18"/>
      <c r="ILS273" s="18"/>
      <c r="ILT273" s="18"/>
      <c r="ILU273" s="18"/>
      <c r="ILV273" s="18"/>
      <c r="ILW273" s="18"/>
      <c r="ILX273" s="18"/>
      <c r="ILY273" s="18"/>
      <c r="ILZ273" s="18"/>
      <c r="IMA273" s="18"/>
      <c r="IMB273" s="18"/>
      <c r="IMC273" s="18"/>
      <c r="IMD273" s="18"/>
      <c r="IME273" s="18"/>
      <c r="IMF273" s="18"/>
      <c r="IMG273" s="18"/>
      <c r="IMH273" s="18"/>
      <c r="IMI273" s="18"/>
      <c r="IMJ273" s="18"/>
      <c r="IMK273" s="18"/>
      <c r="IML273" s="18"/>
      <c r="IMM273" s="18"/>
      <c r="IMN273" s="18"/>
      <c r="IMO273" s="18"/>
      <c r="IMP273" s="18"/>
      <c r="IMQ273" s="18"/>
      <c r="IMR273" s="18"/>
      <c r="IMS273" s="18"/>
      <c r="IMT273" s="18"/>
      <c r="IMU273" s="18"/>
      <c r="IMV273" s="18"/>
      <c r="IMW273" s="18"/>
      <c r="IMX273" s="18"/>
      <c r="IMY273" s="18"/>
      <c r="IMZ273" s="18"/>
      <c r="INA273" s="18"/>
      <c r="INB273" s="18"/>
      <c r="INC273" s="18"/>
      <c r="IND273" s="18"/>
      <c r="INE273" s="18"/>
      <c r="INF273" s="18"/>
      <c r="ING273" s="18"/>
      <c r="INH273" s="18"/>
      <c r="INI273" s="18"/>
      <c r="INJ273" s="18"/>
      <c r="INK273" s="18"/>
      <c r="INL273" s="18"/>
      <c r="INM273" s="18"/>
      <c r="INN273" s="18"/>
      <c r="INO273" s="18"/>
      <c r="INP273" s="18"/>
      <c r="INQ273" s="18"/>
      <c r="INR273" s="18"/>
      <c r="INS273" s="18"/>
      <c r="INT273" s="18"/>
      <c r="INU273" s="18"/>
      <c r="INV273" s="18"/>
      <c r="INW273" s="18"/>
      <c r="INX273" s="18"/>
      <c r="INY273" s="18"/>
      <c r="INZ273" s="18"/>
      <c r="IOA273" s="18"/>
      <c r="IOB273" s="18"/>
      <c r="IOC273" s="18"/>
      <c r="IOD273" s="18"/>
      <c r="IOE273" s="18"/>
      <c r="IOF273" s="18"/>
      <c r="IOG273" s="18"/>
      <c r="IOH273" s="18"/>
      <c r="IOI273" s="18"/>
      <c r="IOJ273" s="18"/>
      <c r="IOK273" s="18"/>
      <c r="IOL273" s="18"/>
      <c r="IOM273" s="18"/>
      <c r="ION273" s="18"/>
      <c r="IOO273" s="18"/>
      <c r="IOP273" s="18"/>
      <c r="IOQ273" s="18"/>
      <c r="IOR273" s="18"/>
      <c r="IOS273" s="18"/>
      <c r="IOT273" s="18"/>
      <c r="IOU273" s="18"/>
      <c r="IOV273" s="18"/>
      <c r="IOW273" s="18"/>
      <c r="IOX273" s="18"/>
      <c r="IOY273" s="18"/>
      <c r="IOZ273" s="18"/>
      <c r="IPA273" s="18"/>
      <c r="IPB273" s="18"/>
      <c r="IPC273" s="18"/>
      <c r="IPD273" s="18"/>
      <c r="IPE273" s="18"/>
      <c r="IPF273" s="18"/>
      <c r="IPG273" s="18"/>
      <c r="IPH273" s="18"/>
      <c r="IPI273" s="18"/>
      <c r="IPJ273" s="18"/>
      <c r="IPK273" s="18"/>
      <c r="IPL273" s="18"/>
      <c r="IPM273" s="18"/>
      <c r="IPN273" s="18"/>
      <c r="IPO273" s="18"/>
      <c r="IPP273" s="18"/>
      <c r="IPQ273" s="18"/>
      <c r="IPR273" s="18"/>
      <c r="IPS273" s="18"/>
      <c r="IPT273" s="18"/>
      <c r="IPU273" s="18"/>
      <c r="IPV273" s="18"/>
      <c r="IPW273" s="18"/>
      <c r="IPX273" s="18"/>
      <c r="IPY273" s="18"/>
      <c r="IPZ273" s="18"/>
      <c r="IQA273" s="18"/>
      <c r="IQB273" s="18"/>
      <c r="IQC273" s="18"/>
      <c r="IQD273" s="18"/>
      <c r="IQE273" s="18"/>
      <c r="IQF273" s="18"/>
      <c r="IQG273" s="18"/>
      <c r="IQH273" s="18"/>
      <c r="IQI273" s="18"/>
      <c r="IQJ273" s="18"/>
      <c r="IQK273" s="18"/>
      <c r="IQL273" s="18"/>
      <c r="IQM273" s="18"/>
      <c r="IQN273" s="18"/>
      <c r="IQO273" s="18"/>
      <c r="IQP273" s="18"/>
      <c r="IQQ273" s="18"/>
      <c r="IQR273" s="18"/>
      <c r="IQS273" s="18"/>
      <c r="IQT273" s="18"/>
      <c r="IQU273" s="18"/>
      <c r="IQV273" s="18"/>
      <c r="IQW273" s="18"/>
      <c r="IQX273" s="18"/>
      <c r="IQY273" s="18"/>
      <c r="IQZ273" s="18"/>
      <c r="IRA273" s="18"/>
      <c r="IRB273" s="18"/>
      <c r="IRC273" s="18"/>
      <c r="IRD273" s="18"/>
      <c r="IRE273" s="18"/>
      <c r="IRF273" s="18"/>
      <c r="IRG273" s="18"/>
      <c r="IRH273" s="18"/>
      <c r="IRI273" s="18"/>
      <c r="IRJ273" s="18"/>
      <c r="IRK273" s="18"/>
      <c r="IRL273" s="18"/>
      <c r="IRM273" s="18"/>
      <c r="IRN273" s="18"/>
      <c r="IRO273" s="18"/>
      <c r="IRP273" s="18"/>
      <c r="IRQ273" s="18"/>
      <c r="IRR273" s="18"/>
      <c r="IRS273" s="18"/>
      <c r="IRT273" s="18"/>
      <c r="IRU273" s="18"/>
      <c r="IRV273" s="18"/>
      <c r="IRW273" s="18"/>
      <c r="IRX273" s="18"/>
      <c r="IRY273" s="18"/>
      <c r="IRZ273" s="18"/>
      <c r="ISA273" s="18"/>
      <c r="ISB273" s="18"/>
      <c r="ISC273" s="18"/>
      <c r="ISD273" s="18"/>
      <c r="ISE273" s="18"/>
      <c r="ISF273" s="18"/>
      <c r="ISG273" s="18"/>
      <c r="ISH273" s="18"/>
      <c r="ISI273" s="18"/>
      <c r="ISJ273" s="18"/>
      <c r="ISK273" s="18"/>
      <c r="ISL273" s="18"/>
      <c r="ISM273" s="18"/>
      <c r="ISN273" s="18"/>
      <c r="ISO273" s="18"/>
      <c r="ISP273" s="18"/>
      <c r="ISQ273" s="18"/>
      <c r="ISR273" s="18"/>
      <c r="ISS273" s="18"/>
      <c r="IST273" s="18"/>
      <c r="ISU273" s="18"/>
      <c r="ISV273" s="18"/>
      <c r="ISW273" s="18"/>
      <c r="ISX273" s="18"/>
      <c r="ISY273" s="18"/>
      <c r="ISZ273" s="18"/>
      <c r="ITA273" s="18"/>
      <c r="ITB273" s="18"/>
      <c r="ITC273" s="18"/>
      <c r="ITD273" s="18"/>
      <c r="ITE273" s="18"/>
      <c r="ITF273" s="18"/>
      <c r="ITG273" s="18"/>
      <c r="ITH273" s="18"/>
      <c r="ITI273" s="18"/>
      <c r="ITJ273" s="18"/>
      <c r="ITK273" s="18"/>
      <c r="ITL273" s="18"/>
      <c r="ITM273" s="18"/>
      <c r="ITN273" s="18"/>
      <c r="ITO273" s="18"/>
      <c r="ITP273" s="18"/>
      <c r="ITQ273" s="18"/>
      <c r="ITR273" s="18"/>
      <c r="ITS273" s="18"/>
      <c r="ITT273" s="18"/>
      <c r="ITU273" s="18"/>
      <c r="ITV273" s="18"/>
      <c r="ITW273" s="18"/>
      <c r="ITX273" s="18"/>
      <c r="ITY273" s="18"/>
      <c r="ITZ273" s="18"/>
      <c r="IUA273" s="18"/>
      <c r="IUB273" s="18"/>
      <c r="IUC273" s="18"/>
      <c r="IUD273" s="18"/>
      <c r="IUE273" s="18"/>
      <c r="IUF273" s="18"/>
      <c r="IUG273" s="18"/>
      <c r="IUH273" s="18"/>
      <c r="IUI273" s="18"/>
      <c r="IUJ273" s="18"/>
      <c r="IUK273" s="18"/>
      <c r="IUL273" s="18"/>
      <c r="IUM273" s="18"/>
      <c r="IUN273" s="18"/>
      <c r="IUO273" s="18"/>
      <c r="IUP273" s="18"/>
      <c r="IUQ273" s="18"/>
      <c r="IUR273" s="18"/>
      <c r="IUS273" s="18"/>
      <c r="IUT273" s="18"/>
      <c r="IUU273" s="18"/>
      <c r="IUV273" s="18"/>
      <c r="IUW273" s="18"/>
      <c r="IUX273" s="18"/>
      <c r="IUY273" s="18"/>
      <c r="IUZ273" s="18"/>
      <c r="IVA273" s="18"/>
      <c r="IVB273" s="18"/>
      <c r="IVC273" s="18"/>
      <c r="IVD273" s="18"/>
      <c r="IVE273" s="18"/>
      <c r="IVF273" s="18"/>
      <c r="IVG273" s="18"/>
      <c r="IVH273" s="18"/>
      <c r="IVI273" s="18"/>
      <c r="IVJ273" s="18"/>
      <c r="IVK273" s="18"/>
      <c r="IVL273" s="18"/>
      <c r="IVM273" s="18"/>
      <c r="IVN273" s="18"/>
      <c r="IVO273" s="18"/>
      <c r="IVP273" s="18"/>
      <c r="IVQ273" s="18"/>
      <c r="IVR273" s="18"/>
      <c r="IVS273" s="18"/>
      <c r="IVT273" s="18"/>
      <c r="IVU273" s="18"/>
      <c r="IVV273" s="18"/>
      <c r="IVW273" s="18"/>
      <c r="IVX273" s="18"/>
      <c r="IVY273" s="18"/>
      <c r="IVZ273" s="18"/>
      <c r="IWA273" s="18"/>
      <c r="IWB273" s="18"/>
      <c r="IWC273" s="18"/>
      <c r="IWD273" s="18"/>
      <c r="IWE273" s="18"/>
      <c r="IWF273" s="18"/>
      <c r="IWG273" s="18"/>
      <c r="IWH273" s="18"/>
      <c r="IWI273" s="18"/>
      <c r="IWJ273" s="18"/>
      <c r="IWK273" s="18"/>
      <c r="IWL273" s="18"/>
      <c r="IWM273" s="18"/>
      <c r="IWN273" s="18"/>
      <c r="IWO273" s="18"/>
      <c r="IWP273" s="18"/>
      <c r="IWQ273" s="18"/>
      <c r="IWR273" s="18"/>
      <c r="IWS273" s="18"/>
      <c r="IWT273" s="18"/>
      <c r="IWU273" s="18"/>
      <c r="IWV273" s="18"/>
      <c r="IWW273" s="18"/>
      <c r="IWX273" s="18"/>
      <c r="IWY273" s="18"/>
      <c r="IWZ273" s="18"/>
      <c r="IXA273" s="18"/>
      <c r="IXB273" s="18"/>
      <c r="IXC273" s="18"/>
      <c r="IXD273" s="18"/>
      <c r="IXE273" s="18"/>
      <c r="IXF273" s="18"/>
      <c r="IXG273" s="18"/>
      <c r="IXH273" s="18"/>
      <c r="IXI273" s="18"/>
      <c r="IXJ273" s="18"/>
      <c r="IXK273" s="18"/>
      <c r="IXL273" s="18"/>
      <c r="IXM273" s="18"/>
      <c r="IXN273" s="18"/>
      <c r="IXO273" s="18"/>
      <c r="IXP273" s="18"/>
      <c r="IXQ273" s="18"/>
      <c r="IXR273" s="18"/>
      <c r="IXS273" s="18"/>
      <c r="IXT273" s="18"/>
      <c r="IXU273" s="18"/>
      <c r="IXV273" s="18"/>
      <c r="IXW273" s="18"/>
      <c r="IXX273" s="18"/>
      <c r="IXY273" s="18"/>
      <c r="IXZ273" s="18"/>
      <c r="IYA273" s="18"/>
      <c r="IYB273" s="18"/>
      <c r="IYC273" s="18"/>
      <c r="IYD273" s="18"/>
      <c r="IYE273" s="18"/>
      <c r="IYF273" s="18"/>
      <c r="IYG273" s="18"/>
      <c r="IYH273" s="18"/>
      <c r="IYI273" s="18"/>
      <c r="IYJ273" s="18"/>
      <c r="IYK273" s="18"/>
      <c r="IYL273" s="18"/>
      <c r="IYM273" s="18"/>
      <c r="IYN273" s="18"/>
      <c r="IYO273" s="18"/>
      <c r="IYP273" s="18"/>
      <c r="IYQ273" s="18"/>
      <c r="IYR273" s="18"/>
      <c r="IYS273" s="18"/>
      <c r="IYT273" s="18"/>
      <c r="IYU273" s="18"/>
      <c r="IYV273" s="18"/>
      <c r="IYW273" s="18"/>
      <c r="IYX273" s="18"/>
      <c r="IYY273" s="18"/>
      <c r="IYZ273" s="18"/>
      <c r="IZA273" s="18"/>
      <c r="IZB273" s="18"/>
      <c r="IZC273" s="18"/>
      <c r="IZD273" s="18"/>
      <c r="IZE273" s="18"/>
      <c r="IZF273" s="18"/>
      <c r="IZG273" s="18"/>
      <c r="IZH273" s="18"/>
      <c r="IZI273" s="18"/>
      <c r="IZJ273" s="18"/>
      <c r="IZK273" s="18"/>
      <c r="IZL273" s="18"/>
      <c r="IZM273" s="18"/>
      <c r="IZN273" s="18"/>
      <c r="IZO273" s="18"/>
      <c r="IZP273" s="18"/>
      <c r="IZQ273" s="18"/>
      <c r="IZR273" s="18"/>
      <c r="IZS273" s="18"/>
      <c r="IZT273" s="18"/>
      <c r="IZU273" s="18"/>
      <c r="IZV273" s="18"/>
      <c r="IZW273" s="18"/>
      <c r="IZX273" s="18"/>
      <c r="IZY273" s="18"/>
      <c r="IZZ273" s="18"/>
      <c r="JAA273" s="18"/>
      <c r="JAB273" s="18"/>
      <c r="JAC273" s="18"/>
      <c r="JAD273" s="18"/>
      <c r="JAE273" s="18"/>
      <c r="JAF273" s="18"/>
      <c r="JAG273" s="18"/>
      <c r="JAH273" s="18"/>
      <c r="JAI273" s="18"/>
      <c r="JAJ273" s="18"/>
      <c r="JAK273" s="18"/>
      <c r="JAL273" s="18"/>
      <c r="JAM273" s="18"/>
      <c r="JAN273" s="18"/>
      <c r="JAO273" s="18"/>
      <c r="JAP273" s="18"/>
      <c r="JAQ273" s="18"/>
      <c r="JAR273" s="18"/>
      <c r="JAS273" s="18"/>
      <c r="JAT273" s="18"/>
      <c r="JAU273" s="18"/>
      <c r="JAV273" s="18"/>
      <c r="JAW273" s="18"/>
      <c r="JAX273" s="18"/>
      <c r="JAY273" s="18"/>
      <c r="JAZ273" s="18"/>
      <c r="JBA273" s="18"/>
      <c r="JBB273" s="18"/>
      <c r="JBC273" s="18"/>
      <c r="JBD273" s="18"/>
      <c r="JBE273" s="18"/>
      <c r="JBF273" s="18"/>
      <c r="JBG273" s="18"/>
      <c r="JBH273" s="18"/>
      <c r="JBI273" s="18"/>
      <c r="JBJ273" s="18"/>
      <c r="JBK273" s="18"/>
      <c r="JBL273" s="18"/>
      <c r="JBM273" s="18"/>
      <c r="JBN273" s="18"/>
      <c r="JBO273" s="18"/>
      <c r="JBP273" s="18"/>
      <c r="JBQ273" s="18"/>
      <c r="JBR273" s="18"/>
      <c r="JBS273" s="18"/>
      <c r="JBT273" s="18"/>
      <c r="JBU273" s="18"/>
      <c r="JBV273" s="18"/>
      <c r="JBW273" s="18"/>
      <c r="JBX273" s="18"/>
      <c r="JBY273" s="18"/>
      <c r="JBZ273" s="18"/>
      <c r="JCA273" s="18"/>
      <c r="JCB273" s="18"/>
      <c r="JCC273" s="18"/>
      <c r="JCD273" s="18"/>
      <c r="JCE273" s="18"/>
      <c r="JCF273" s="18"/>
      <c r="JCG273" s="18"/>
      <c r="JCH273" s="18"/>
      <c r="JCI273" s="18"/>
      <c r="JCJ273" s="18"/>
      <c r="JCK273" s="18"/>
      <c r="JCL273" s="18"/>
      <c r="JCM273" s="18"/>
      <c r="JCN273" s="18"/>
      <c r="JCO273" s="18"/>
      <c r="JCP273" s="18"/>
      <c r="JCQ273" s="18"/>
      <c r="JCR273" s="18"/>
      <c r="JCS273" s="18"/>
      <c r="JCT273" s="18"/>
      <c r="JCU273" s="18"/>
      <c r="JCV273" s="18"/>
      <c r="JCW273" s="18"/>
      <c r="JCX273" s="18"/>
      <c r="JCY273" s="18"/>
      <c r="JCZ273" s="18"/>
      <c r="JDA273" s="18"/>
      <c r="JDB273" s="18"/>
      <c r="JDC273" s="18"/>
      <c r="JDD273" s="18"/>
      <c r="JDE273" s="18"/>
      <c r="JDF273" s="18"/>
      <c r="JDG273" s="18"/>
      <c r="JDH273" s="18"/>
      <c r="JDI273" s="18"/>
      <c r="JDJ273" s="18"/>
      <c r="JDK273" s="18"/>
      <c r="JDL273" s="18"/>
      <c r="JDM273" s="18"/>
      <c r="JDN273" s="18"/>
      <c r="JDO273" s="18"/>
      <c r="JDP273" s="18"/>
      <c r="JDQ273" s="18"/>
      <c r="JDR273" s="18"/>
      <c r="JDS273" s="18"/>
      <c r="JDT273" s="18"/>
      <c r="JDU273" s="18"/>
      <c r="JDV273" s="18"/>
      <c r="JDW273" s="18"/>
      <c r="JDX273" s="18"/>
      <c r="JDY273" s="18"/>
      <c r="JDZ273" s="18"/>
      <c r="JEA273" s="18"/>
      <c r="JEB273" s="18"/>
      <c r="JEC273" s="18"/>
      <c r="JED273" s="18"/>
      <c r="JEE273" s="18"/>
      <c r="JEF273" s="18"/>
      <c r="JEG273" s="18"/>
      <c r="JEH273" s="18"/>
      <c r="JEI273" s="18"/>
      <c r="JEJ273" s="18"/>
      <c r="JEK273" s="18"/>
      <c r="JEL273" s="18"/>
      <c r="JEM273" s="18"/>
      <c r="JEN273" s="18"/>
      <c r="JEO273" s="18"/>
      <c r="JEP273" s="18"/>
      <c r="JEQ273" s="18"/>
      <c r="JER273" s="18"/>
      <c r="JES273" s="18"/>
      <c r="JET273" s="18"/>
      <c r="JEU273" s="18"/>
      <c r="JEV273" s="18"/>
      <c r="JEW273" s="18"/>
      <c r="JEX273" s="18"/>
      <c r="JEY273" s="18"/>
      <c r="JEZ273" s="18"/>
      <c r="JFA273" s="18"/>
      <c r="JFB273" s="18"/>
      <c r="JFC273" s="18"/>
      <c r="JFD273" s="18"/>
      <c r="JFE273" s="18"/>
      <c r="JFF273" s="18"/>
      <c r="JFG273" s="18"/>
      <c r="JFH273" s="18"/>
      <c r="JFI273" s="18"/>
      <c r="JFJ273" s="18"/>
      <c r="JFK273" s="18"/>
      <c r="JFL273" s="18"/>
      <c r="JFM273" s="18"/>
      <c r="JFN273" s="18"/>
      <c r="JFO273" s="18"/>
      <c r="JFP273" s="18"/>
      <c r="JFQ273" s="18"/>
      <c r="JFR273" s="18"/>
      <c r="JFS273" s="18"/>
      <c r="JFT273" s="18"/>
      <c r="JFU273" s="18"/>
      <c r="JFV273" s="18"/>
      <c r="JFW273" s="18"/>
      <c r="JFX273" s="18"/>
      <c r="JFY273" s="18"/>
      <c r="JFZ273" s="18"/>
      <c r="JGA273" s="18"/>
      <c r="JGB273" s="18"/>
      <c r="JGC273" s="18"/>
      <c r="JGD273" s="18"/>
      <c r="JGE273" s="18"/>
      <c r="JGF273" s="18"/>
      <c r="JGG273" s="18"/>
      <c r="JGH273" s="18"/>
      <c r="JGI273" s="18"/>
      <c r="JGJ273" s="18"/>
      <c r="JGK273" s="18"/>
      <c r="JGL273" s="18"/>
      <c r="JGM273" s="18"/>
      <c r="JGN273" s="18"/>
      <c r="JGO273" s="18"/>
      <c r="JGP273" s="18"/>
      <c r="JGQ273" s="18"/>
      <c r="JGR273" s="18"/>
      <c r="JGS273" s="18"/>
      <c r="JGT273" s="18"/>
      <c r="JGU273" s="18"/>
      <c r="JGV273" s="18"/>
      <c r="JGW273" s="18"/>
      <c r="JGX273" s="18"/>
      <c r="JGY273" s="18"/>
      <c r="JGZ273" s="18"/>
      <c r="JHA273" s="18"/>
      <c r="JHB273" s="18"/>
      <c r="JHC273" s="18"/>
      <c r="JHD273" s="18"/>
      <c r="JHE273" s="18"/>
      <c r="JHF273" s="18"/>
      <c r="JHG273" s="18"/>
      <c r="JHH273" s="18"/>
      <c r="JHI273" s="18"/>
      <c r="JHJ273" s="18"/>
      <c r="JHK273" s="18"/>
      <c r="JHL273" s="18"/>
      <c r="JHM273" s="18"/>
      <c r="JHN273" s="18"/>
      <c r="JHO273" s="18"/>
      <c r="JHP273" s="18"/>
      <c r="JHQ273" s="18"/>
      <c r="JHR273" s="18"/>
      <c r="JHS273" s="18"/>
      <c r="JHT273" s="18"/>
      <c r="JHU273" s="18"/>
      <c r="JHV273" s="18"/>
      <c r="JHW273" s="18"/>
      <c r="JHX273" s="18"/>
      <c r="JHY273" s="18"/>
      <c r="JHZ273" s="18"/>
      <c r="JIA273" s="18"/>
      <c r="JIB273" s="18"/>
      <c r="JIC273" s="18"/>
      <c r="JID273" s="18"/>
      <c r="JIE273" s="18"/>
      <c r="JIF273" s="18"/>
      <c r="JIG273" s="18"/>
      <c r="JIH273" s="18"/>
      <c r="JII273" s="18"/>
      <c r="JIJ273" s="18"/>
      <c r="JIK273" s="18"/>
      <c r="JIL273" s="18"/>
      <c r="JIM273" s="18"/>
      <c r="JIN273" s="18"/>
      <c r="JIO273" s="18"/>
      <c r="JIP273" s="18"/>
      <c r="JIQ273" s="18"/>
      <c r="JIR273" s="18"/>
      <c r="JIS273" s="18"/>
      <c r="JIT273" s="18"/>
      <c r="JIU273" s="18"/>
      <c r="JIV273" s="18"/>
      <c r="JIW273" s="18"/>
      <c r="JIX273" s="18"/>
      <c r="JIY273" s="18"/>
      <c r="JIZ273" s="18"/>
      <c r="JJA273" s="18"/>
      <c r="JJB273" s="18"/>
      <c r="JJC273" s="18"/>
      <c r="JJD273" s="18"/>
      <c r="JJE273" s="18"/>
      <c r="JJF273" s="18"/>
      <c r="JJG273" s="18"/>
      <c r="JJH273" s="18"/>
      <c r="JJI273" s="18"/>
      <c r="JJJ273" s="18"/>
      <c r="JJK273" s="18"/>
      <c r="JJL273" s="18"/>
      <c r="JJM273" s="18"/>
      <c r="JJN273" s="18"/>
      <c r="JJO273" s="18"/>
      <c r="JJP273" s="18"/>
      <c r="JJQ273" s="18"/>
      <c r="JJR273" s="18"/>
      <c r="JJS273" s="18"/>
      <c r="JJT273" s="18"/>
      <c r="JJU273" s="18"/>
      <c r="JJV273" s="18"/>
      <c r="JJW273" s="18"/>
      <c r="JJX273" s="18"/>
      <c r="JJY273" s="18"/>
      <c r="JJZ273" s="18"/>
      <c r="JKA273" s="18"/>
      <c r="JKB273" s="18"/>
      <c r="JKC273" s="18"/>
      <c r="JKD273" s="18"/>
      <c r="JKE273" s="18"/>
      <c r="JKF273" s="18"/>
      <c r="JKG273" s="18"/>
      <c r="JKH273" s="18"/>
      <c r="JKI273" s="18"/>
      <c r="JKJ273" s="18"/>
      <c r="JKK273" s="18"/>
      <c r="JKL273" s="18"/>
      <c r="JKM273" s="18"/>
      <c r="JKN273" s="18"/>
      <c r="JKO273" s="18"/>
      <c r="JKP273" s="18"/>
      <c r="JKQ273" s="18"/>
      <c r="JKR273" s="18"/>
      <c r="JKS273" s="18"/>
      <c r="JKT273" s="18"/>
      <c r="JKU273" s="18"/>
      <c r="JKV273" s="18"/>
      <c r="JKW273" s="18"/>
      <c r="JKX273" s="18"/>
      <c r="JKY273" s="18"/>
      <c r="JKZ273" s="18"/>
      <c r="JLA273" s="18"/>
      <c r="JLB273" s="18"/>
      <c r="JLC273" s="18"/>
      <c r="JLD273" s="18"/>
      <c r="JLE273" s="18"/>
      <c r="JLF273" s="18"/>
      <c r="JLG273" s="18"/>
      <c r="JLH273" s="18"/>
      <c r="JLI273" s="18"/>
      <c r="JLJ273" s="18"/>
      <c r="JLK273" s="18"/>
      <c r="JLL273" s="18"/>
      <c r="JLM273" s="18"/>
      <c r="JLN273" s="18"/>
      <c r="JLO273" s="18"/>
      <c r="JLP273" s="18"/>
      <c r="JLQ273" s="18"/>
      <c r="JLR273" s="18"/>
      <c r="JLS273" s="18"/>
      <c r="JLT273" s="18"/>
      <c r="JLU273" s="18"/>
      <c r="JLV273" s="18"/>
      <c r="JLW273" s="18"/>
      <c r="JLX273" s="18"/>
      <c r="JLY273" s="18"/>
      <c r="JLZ273" s="18"/>
      <c r="JMA273" s="18"/>
      <c r="JMB273" s="18"/>
      <c r="JMC273" s="18"/>
      <c r="JMD273" s="18"/>
      <c r="JME273" s="18"/>
      <c r="JMF273" s="18"/>
      <c r="JMG273" s="18"/>
      <c r="JMH273" s="18"/>
      <c r="JMI273" s="18"/>
      <c r="JMJ273" s="18"/>
      <c r="JMK273" s="18"/>
      <c r="JML273" s="18"/>
      <c r="JMM273" s="18"/>
      <c r="JMN273" s="18"/>
      <c r="JMO273" s="18"/>
      <c r="JMP273" s="18"/>
      <c r="JMQ273" s="18"/>
      <c r="JMR273" s="18"/>
      <c r="JMS273" s="18"/>
      <c r="JMT273" s="18"/>
      <c r="JMU273" s="18"/>
      <c r="JMV273" s="18"/>
      <c r="JMW273" s="18"/>
      <c r="JMX273" s="18"/>
      <c r="JMY273" s="18"/>
      <c r="JMZ273" s="18"/>
      <c r="JNA273" s="18"/>
      <c r="JNB273" s="18"/>
      <c r="JNC273" s="18"/>
      <c r="JND273" s="18"/>
      <c r="JNE273" s="18"/>
      <c r="JNF273" s="18"/>
      <c r="JNG273" s="18"/>
      <c r="JNH273" s="18"/>
      <c r="JNI273" s="18"/>
      <c r="JNJ273" s="18"/>
      <c r="JNK273" s="18"/>
      <c r="JNL273" s="18"/>
      <c r="JNM273" s="18"/>
      <c r="JNN273" s="18"/>
      <c r="JNO273" s="18"/>
      <c r="JNP273" s="18"/>
      <c r="JNQ273" s="18"/>
      <c r="JNR273" s="18"/>
      <c r="JNS273" s="18"/>
      <c r="JNT273" s="18"/>
      <c r="JNU273" s="18"/>
      <c r="JNV273" s="18"/>
      <c r="JNW273" s="18"/>
      <c r="JNX273" s="18"/>
      <c r="JNY273" s="18"/>
      <c r="JNZ273" s="18"/>
      <c r="JOA273" s="18"/>
      <c r="JOB273" s="18"/>
      <c r="JOC273" s="18"/>
      <c r="JOD273" s="18"/>
      <c r="JOE273" s="18"/>
      <c r="JOF273" s="18"/>
      <c r="JOG273" s="18"/>
      <c r="JOH273" s="18"/>
      <c r="JOI273" s="18"/>
      <c r="JOJ273" s="18"/>
      <c r="JOK273" s="18"/>
      <c r="JOL273" s="18"/>
      <c r="JOM273" s="18"/>
      <c r="JON273" s="18"/>
      <c r="JOO273" s="18"/>
      <c r="JOP273" s="18"/>
      <c r="JOQ273" s="18"/>
      <c r="JOR273" s="18"/>
      <c r="JOS273" s="18"/>
      <c r="JOT273" s="18"/>
      <c r="JOU273" s="18"/>
      <c r="JOV273" s="18"/>
      <c r="JOW273" s="18"/>
      <c r="JOX273" s="18"/>
      <c r="JOY273" s="18"/>
      <c r="JOZ273" s="18"/>
      <c r="JPA273" s="18"/>
      <c r="JPB273" s="18"/>
      <c r="JPC273" s="18"/>
      <c r="JPD273" s="18"/>
      <c r="JPE273" s="18"/>
      <c r="JPF273" s="18"/>
      <c r="JPG273" s="18"/>
      <c r="JPH273" s="18"/>
      <c r="JPI273" s="18"/>
      <c r="JPJ273" s="18"/>
      <c r="JPK273" s="18"/>
      <c r="JPL273" s="18"/>
      <c r="JPM273" s="18"/>
      <c r="JPN273" s="18"/>
      <c r="JPO273" s="18"/>
      <c r="JPP273" s="18"/>
      <c r="JPQ273" s="18"/>
      <c r="JPR273" s="18"/>
      <c r="JPS273" s="18"/>
      <c r="JPT273" s="18"/>
      <c r="JPU273" s="18"/>
      <c r="JPV273" s="18"/>
      <c r="JPW273" s="18"/>
      <c r="JPX273" s="18"/>
      <c r="JPY273" s="18"/>
      <c r="JPZ273" s="18"/>
      <c r="JQA273" s="18"/>
      <c r="JQB273" s="18"/>
      <c r="JQC273" s="18"/>
      <c r="JQD273" s="18"/>
      <c r="JQE273" s="18"/>
      <c r="JQF273" s="18"/>
      <c r="JQG273" s="18"/>
      <c r="JQH273" s="18"/>
      <c r="JQI273" s="18"/>
      <c r="JQJ273" s="18"/>
      <c r="JQK273" s="18"/>
      <c r="JQL273" s="18"/>
      <c r="JQM273" s="18"/>
      <c r="JQN273" s="18"/>
      <c r="JQO273" s="18"/>
      <c r="JQP273" s="18"/>
      <c r="JQQ273" s="18"/>
      <c r="JQR273" s="18"/>
      <c r="JQS273" s="18"/>
      <c r="JQT273" s="18"/>
      <c r="JQU273" s="18"/>
      <c r="JQV273" s="18"/>
      <c r="JQW273" s="18"/>
      <c r="JQX273" s="18"/>
      <c r="JQY273" s="18"/>
      <c r="JQZ273" s="18"/>
      <c r="JRA273" s="18"/>
      <c r="JRB273" s="18"/>
      <c r="JRC273" s="18"/>
      <c r="JRD273" s="18"/>
      <c r="JRE273" s="18"/>
      <c r="JRF273" s="18"/>
      <c r="JRG273" s="18"/>
      <c r="JRH273" s="18"/>
      <c r="JRI273" s="18"/>
      <c r="JRJ273" s="18"/>
      <c r="JRK273" s="18"/>
      <c r="JRL273" s="18"/>
      <c r="JRM273" s="18"/>
      <c r="JRN273" s="18"/>
      <c r="JRO273" s="18"/>
      <c r="JRP273" s="18"/>
      <c r="JRQ273" s="18"/>
      <c r="JRR273" s="18"/>
      <c r="JRS273" s="18"/>
      <c r="JRT273" s="18"/>
      <c r="JRU273" s="18"/>
      <c r="JRV273" s="18"/>
      <c r="JRW273" s="18"/>
      <c r="JRX273" s="18"/>
      <c r="JRY273" s="18"/>
      <c r="JRZ273" s="18"/>
      <c r="JSA273" s="18"/>
      <c r="JSB273" s="18"/>
      <c r="JSC273" s="18"/>
      <c r="JSD273" s="18"/>
      <c r="JSE273" s="18"/>
      <c r="JSF273" s="18"/>
      <c r="JSG273" s="18"/>
      <c r="JSH273" s="18"/>
      <c r="JSI273" s="18"/>
      <c r="JSJ273" s="18"/>
      <c r="JSK273" s="18"/>
      <c r="JSL273" s="18"/>
      <c r="JSM273" s="18"/>
      <c r="JSN273" s="18"/>
      <c r="JSO273" s="18"/>
      <c r="JSP273" s="18"/>
      <c r="JSQ273" s="18"/>
      <c r="JSR273" s="18"/>
      <c r="JSS273" s="18"/>
      <c r="JST273" s="18"/>
      <c r="JSU273" s="18"/>
      <c r="JSV273" s="18"/>
      <c r="JSW273" s="18"/>
      <c r="JSX273" s="18"/>
      <c r="JSY273" s="18"/>
      <c r="JSZ273" s="18"/>
      <c r="JTA273" s="18"/>
      <c r="JTB273" s="18"/>
      <c r="JTC273" s="18"/>
      <c r="JTD273" s="18"/>
      <c r="JTE273" s="18"/>
      <c r="JTF273" s="18"/>
      <c r="JTG273" s="18"/>
      <c r="JTH273" s="18"/>
      <c r="JTI273" s="18"/>
      <c r="JTJ273" s="18"/>
      <c r="JTK273" s="18"/>
      <c r="JTL273" s="18"/>
      <c r="JTM273" s="18"/>
      <c r="JTN273" s="18"/>
      <c r="JTO273" s="18"/>
      <c r="JTP273" s="18"/>
      <c r="JTQ273" s="18"/>
      <c r="JTR273" s="18"/>
      <c r="JTS273" s="18"/>
      <c r="JTT273" s="18"/>
      <c r="JTU273" s="18"/>
      <c r="JTV273" s="18"/>
      <c r="JTW273" s="18"/>
      <c r="JTX273" s="18"/>
      <c r="JTY273" s="18"/>
      <c r="JTZ273" s="18"/>
      <c r="JUA273" s="18"/>
      <c r="JUB273" s="18"/>
      <c r="JUC273" s="18"/>
      <c r="JUD273" s="18"/>
      <c r="JUE273" s="18"/>
      <c r="JUF273" s="18"/>
      <c r="JUG273" s="18"/>
      <c r="JUH273" s="18"/>
      <c r="JUI273" s="18"/>
      <c r="JUJ273" s="18"/>
      <c r="JUK273" s="18"/>
      <c r="JUL273" s="18"/>
      <c r="JUM273" s="18"/>
      <c r="JUN273" s="18"/>
      <c r="JUO273" s="18"/>
      <c r="JUP273" s="18"/>
      <c r="JUQ273" s="18"/>
      <c r="JUR273" s="18"/>
      <c r="JUS273" s="18"/>
      <c r="JUT273" s="18"/>
      <c r="JUU273" s="18"/>
      <c r="JUV273" s="18"/>
      <c r="JUW273" s="18"/>
      <c r="JUX273" s="18"/>
      <c r="JUY273" s="18"/>
      <c r="JUZ273" s="18"/>
      <c r="JVA273" s="18"/>
      <c r="JVB273" s="18"/>
      <c r="JVC273" s="18"/>
      <c r="JVD273" s="18"/>
      <c r="JVE273" s="18"/>
      <c r="JVF273" s="18"/>
      <c r="JVG273" s="18"/>
      <c r="JVH273" s="18"/>
      <c r="JVI273" s="18"/>
      <c r="JVJ273" s="18"/>
      <c r="JVK273" s="18"/>
      <c r="JVL273" s="18"/>
      <c r="JVM273" s="18"/>
      <c r="JVN273" s="18"/>
      <c r="JVO273" s="18"/>
      <c r="JVP273" s="18"/>
      <c r="JVQ273" s="18"/>
      <c r="JVR273" s="18"/>
      <c r="JVS273" s="18"/>
      <c r="JVT273" s="18"/>
      <c r="JVU273" s="18"/>
      <c r="JVV273" s="18"/>
      <c r="JVW273" s="18"/>
      <c r="JVX273" s="18"/>
      <c r="JVY273" s="18"/>
      <c r="JVZ273" s="18"/>
      <c r="JWA273" s="18"/>
      <c r="JWB273" s="18"/>
      <c r="JWC273" s="18"/>
      <c r="JWD273" s="18"/>
      <c r="JWE273" s="18"/>
      <c r="JWF273" s="18"/>
      <c r="JWG273" s="18"/>
      <c r="JWH273" s="18"/>
      <c r="JWI273" s="18"/>
      <c r="JWJ273" s="18"/>
      <c r="JWK273" s="18"/>
      <c r="JWL273" s="18"/>
      <c r="JWM273" s="18"/>
      <c r="JWN273" s="18"/>
      <c r="JWO273" s="18"/>
      <c r="JWP273" s="18"/>
      <c r="JWQ273" s="18"/>
      <c r="JWR273" s="18"/>
      <c r="JWS273" s="18"/>
      <c r="JWT273" s="18"/>
      <c r="JWU273" s="18"/>
      <c r="JWV273" s="18"/>
      <c r="JWW273" s="18"/>
      <c r="JWX273" s="18"/>
      <c r="JWY273" s="18"/>
      <c r="JWZ273" s="18"/>
      <c r="JXA273" s="18"/>
      <c r="JXB273" s="18"/>
      <c r="JXC273" s="18"/>
      <c r="JXD273" s="18"/>
      <c r="JXE273" s="18"/>
      <c r="JXF273" s="18"/>
      <c r="JXG273" s="18"/>
      <c r="JXH273" s="18"/>
      <c r="JXI273" s="18"/>
      <c r="JXJ273" s="18"/>
      <c r="JXK273" s="18"/>
      <c r="JXL273" s="18"/>
      <c r="JXM273" s="18"/>
      <c r="JXN273" s="18"/>
      <c r="JXO273" s="18"/>
      <c r="JXP273" s="18"/>
      <c r="JXQ273" s="18"/>
      <c r="JXR273" s="18"/>
      <c r="JXS273" s="18"/>
      <c r="JXT273" s="18"/>
      <c r="JXU273" s="18"/>
      <c r="JXV273" s="18"/>
      <c r="JXW273" s="18"/>
      <c r="JXX273" s="18"/>
      <c r="JXY273" s="18"/>
      <c r="JXZ273" s="18"/>
      <c r="JYA273" s="18"/>
      <c r="JYB273" s="18"/>
      <c r="JYC273" s="18"/>
      <c r="JYD273" s="18"/>
      <c r="JYE273" s="18"/>
      <c r="JYF273" s="18"/>
      <c r="JYG273" s="18"/>
      <c r="JYH273" s="18"/>
      <c r="JYI273" s="18"/>
      <c r="JYJ273" s="18"/>
      <c r="JYK273" s="18"/>
      <c r="JYL273" s="18"/>
      <c r="JYM273" s="18"/>
      <c r="JYN273" s="18"/>
      <c r="JYO273" s="18"/>
      <c r="JYP273" s="18"/>
      <c r="JYQ273" s="18"/>
      <c r="JYR273" s="18"/>
      <c r="JYS273" s="18"/>
      <c r="JYT273" s="18"/>
      <c r="JYU273" s="18"/>
      <c r="JYV273" s="18"/>
      <c r="JYW273" s="18"/>
      <c r="JYX273" s="18"/>
      <c r="JYY273" s="18"/>
      <c r="JYZ273" s="18"/>
      <c r="JZA273" s="18"/>
      <c r="JZB273" s="18"/>
      <c r="JZC273" s="18"/>
      <c r="JZD273" s="18"/>
      <c r="JZE273" s="18"/>
      <c r="JZF273" s="18"/>
      <c r="JZG273" s="18"/>
      <c r="JZH273" s="18"/>
      <c r="JZI273" s="18"/>
      <c r="JZJ273" s="18"/>
      <c r="JZK273" s="18"/>
      <c r="JZL273" s="18"/>
      <c r="JZM273" s="18"/>
      <c r="JZN273" s="18"/>
      <c r="JZO273" s="18"/>
      <c r="JZP273" s="18"/>
      <c r="JZQ273" s="18"/>
      <c r="JZR273" s="18"/>
      <c r="JZS273" s="18"/>
      <c r="JZT273" s="18"/>
      <c r="JZU273" s="18"/>
      <c r="JZV273" s="18"/>
      <c r="JZW273" s="18"/>
      <c r="JZX273" s="18"/>
      <c r="JZY273" s="18"/>
      <c r="JZZ273" s="18"/>
      <c r="KAA273" s="18"/>
      <c r="KAB273" s="18"/>
      <c r="KAC273" s="18"/>
      <c r="KAD273" s="18"/>
      <c r="KAE273" s="18"/>
      <c r="KAF273" s="18"/>
      <c r="KAG273" s="18"/>
      <c r="KAH273" s="18"/>
      <c r="KAI273" s="18"/>
      <c r="KAJ273" s="18"/>
      <c r="KAK273" s="18"/>
      <c r="KAL273" s="18"/>
      <c r="KAM273" s="18"/>
      <c r="KAN273" s="18"/>
      <c r="KAO273" s="18"/>
      <c r="KAP273" s="18"/>
      <c r="KAQ273" s="18"/>
      <c r="KAR273" s="18"/>
      <c r="KAS273" s="18"/>
      <c r="KAT273" s="18"/>
      <c r="KAU273" s="18"/>
      <c r="KAV273" s="18"/>
      <c r="KAW273" s="18"/>
      <c r="KAX273" s="18"/>
      <c r="KAY273" s="18"/>
      <c r="KAZ273" s="18"/>
      <c r="KBA273" s="18"/>
      <c r="KBB273" s="18"/>
      <c r="KBC273" s="18"/>
      <c r="KBD273" s="18"/>
      <c r="KBE273" s="18"/>
      <c r="KBF273" s="18"/>
      <c r="KBG273" s="18"/>
      <c r="KBH273" s="18"/>
      <c r="KBI273" s="18"/>
      <c r="KBJ273" s="18"/>
      <c r="KBK273" s="18"/>
      <c r="KBL273" s="18"/>
      <c r="KBM273" s="18"/>
      <c r="KBN273" s="18"/>
      <c r="KBO273" s="18"/>
      <c r="KBP273" s="18"/>
      <c r="KBQ273" s="18"/>
      <c r="KBR273" s="18"/>
      <c r="KBS273" s="18"/>
      <c r="KBT273" s="18"/>
      <c r="KBU273" s="18"/>
      <c r="KBV273" s="18"/>
      <c r="KBW273" s="18"/>
      <c r="KBX273" s="18"/>
      <c r="KBY273" s="18"/>
      <c r="KBZ273" s="18"/>
      <c r="KCA273" s="18"/>
      <c r="KCB273" s="18"/>
      <c r="KCC273" s="18"/>
      <c r="KCD273" s="18"/>
      <c r="KCE273" s="18"/>
      <c r="KCF273" s="18"/>
      <c r="KCG273" s="18"/>
      <c r="KCH273" s="18"/>
      <c r="KCI273" s="18"/>
      <c r="KCJ273" s="18"/>
      <c r="KCK273" s="18"/>
      <c r="KCL273" s="18"/>
      <c r="KCM273" s="18"/>
      <c r="KCN273" s="18"/>
      <c r="KCO273" s="18"/>
      <c r="KCP273" s="18"/>
      <c r="KCQ273" s="18"/>
      <c r="KCR273" s="18"/>
      <c r="KCS273" s="18"/>
      <c r="KCT273" s="18"/>
      <c r="KCU273" s="18"/>
      <c r="KCV273" s="18"/>
      <c r="KCW273" s="18"/>
      <c r="KCX273" s="18"/>
      <c r="KCY273" s="18"/>
      <c r="KCZ273" s="18"/>
      <c r="KDA273" s="18"/>
      <c r="KDB273" s="18"/>
      <c r="KDC273" s="18"/>
      <c r="KDD273" s="18"/>
      <c r="KDE273" s="18"/>
      <c r="KDF273" s="18"/>
      <c r="KDG273" s="18"/>
      <c r="KDH273" s="18"/>
      <c r="KDI273" s="18"/>
      <c r="KDJ273" s="18"/>
      <c r="KDK273" s="18"/>
      <c r="KDL273" s="18"/>
      <c r="KDM273" s="18"/>
      <c r="KDN273" s="18"/>
      <c r="KDO273" s="18"/>
      <c r="KDP273" s="18"/>
      <c r="KDQ273" s="18"/>
      <c r="KDR273" s="18"/>
      <c r="KDS273" s="18"/>
      <c r="KDT273" s="18"/>
      <c r="KDU273" s="18"/>
      <c r="KDV273" s="18"/>
      <c r="KDW273" s="18"/>
      <c r="KDX273" s="18"/>
      <c r="KDY273" s="18"/>
      <c r="KDZ273" s="18"/>
      <c r="KEA273" s="18"/>
      <c r="KEB273" s="18"/>
      <c r="KEC273" s="18"/>
      <c r="KED273" s="18"/>
      <c r="KEE273" s="18"/>
      <c r="KEF273" s="18"/>
      <c r="KEG273" s="18"/>
      <c r="KEH273" s="18"/>
      <c r="KEI273" s="18"/>
      <c r="KEJ273" s="18"/>
      <c r="KEK273" s="18"/>
      <c r="KEL273" s="18"/>
      <c r="KEM273" s="18"/>
      <c r="KEN273" s="18"/>
      <c r="KEO273" s="18"/>
      <c r="KEP273" s="18"/>
      <c r="KEQ273" s="18"/>
      <c r="KER273" s="18"/>
      <c r="KES273" s="18"/>
      <c r="KET273" s="18"/>
      <c r="KEU273" s="18"/>
      <c r="KEV273" s="18"/>
      <c r="KEW273" s="18"/>
      <c r="KEX273" s="18"/>
      <c r="KEY273" s="18"/>
      <c r="KEZ273" s="18"/>
      <c r="KFA273" s="18"/>
      <c r="KFB273" s="18"/>
      <c r="KFC273" s="18"/>
      <c r="KFD273" s="18"/>
      <c r="KFE273" s="18"/>
      <c r="KFF273" s="18"/>
      <c r="KFG273" s="18"/>
      <c r="KFH273" s="18"/>
      <c r="KFI273" s="18"/>
      <c r="KFJ273" s="18"/>
      <c r="KFK273" s="18"/>
      <c r="KFL273" s="18"/>
      <c r="KFM273" s="18"/>
      <c r="KFN273" s="18"/>
      <c r="KFO273" s="18"/>
      <c r="KFP273" s="18"/>
      <c r="KFQ273" s="18"/>
      <c r="KFR273" s="18"/>
      <c r="KFS273" s="18"/>
      <c r="KFT273" s="18"/>
      <c r="KFU273" s="18"/>
      <c r="KFV273" s="18"/>
      <c r="KFW273" s="18"/>
      <c r="KFX273" s="18"/>
      <c r="KFY273" s="18"/>
      <c r="KFZ273" s="18"/>
      <c r="KGA273" s="18"/>
      <c r="KGB273" s="18"/>
      <c r="KGC273" s="18"/>
      <c r="KGD273" s="18"/>
      <c r="KGE273" s="18"/>
      <c r="KGF273" s="18"/>
      <c r="KGG273" s="18"/>
      <c r="KGH273" s="18"/>
      <c r="KGI273" s="18"/>
      <c r="KGJ273" s="18"/>
      <c r="KGK273" s="18"/>
      <c r="KGL273" s="18"/>
      <c r="KGM273" s="18"/>
      <c r="KGN273" s="18"/>
      <c r="KGO273" s="18"/>
      <c r="KGP273" s="18"/>
      <c r="KGQ273" s="18"/>
      <c r="KGR273" s="18"/>
      <c r="KGS273" s="18"/>
      <c r="KGT273" s="18"/>
      <c r="KGU273" s="18"/>
      <c r="KGV273" s="18"/>
      <c r="KGW273" s="18"/>
      <c r="KGX273" s="18"/>
      <c r="KGY273" s="18"/>
      <c r="KGZ273" s="18"/>
      <c r="KHA273" s="18"/>
      <c r="KHB273" s="18"/>
      <c r="KHC273" s="18"/>
      <c r="KHD273" s="18"/>
      <c r="KHE273" s="18"/>
      <c r="KHF273" s="18"/>
      <c r="KHG273" s="18"/>
      <c r="KHH273" s="18"/>
      <c r="KHI273" s="18"/>
      <c r="KHJ273" s="18"/>
      <c r="KHK273" s="18"/>
      <c r="KHL273" s="18"/>
      <c r="KHM273" s="18"/>
      <c r="KHN273" s="18"/>
      <c r="KHO273" s="18"/>
      <c r="KHP273" s="18"/>
      <c r="KHQ273" s="18"/>
      <c r="KHR273" s="18"/>
      <c r="KHS273" s="18"/>
      <c r="KHT273" s="18"/>
      <c r="KHU273" s="18"/>
      <c r="KHV273" s="18"/>
      <c r="KHW273" s="18"/>
      <c r="KHX273" s="18"/>
      <c r="KHY273" s="18"/>
      <c r="KHZ273" s="18"/>
      <c r="KIA273" s="18"/>
      <c r="KIB273" s="18"/>
      <c r="KIC273" s="18"/>
      <c r="KID273" s="18"/>
      <c r="KIE273" s="18"/>
      <c r="KIF273" s="18"/>
      <c r="KIG273" s="18"/>
      <c r="KIH273" s="18"/>
      <c r="KII273" s="18"/>
      <c r="KIJ273" s="18"/>
      <c r="KIK273" s="18"/>
      <c r="KIL273" s="18"/>
      <c r="KIM273" s="18"/>
      <c r="KIN273" s="18"/>
      <c r="KIO273" s="18"/>
      <c r="KIP273" s="18"/>
      <c r="KIQ273" s="18"/>
      <c r="KIR273" s="18"/>
      <c r="KIS273" s="18"/>
      <c r="KIT273" s="18"/>
      <c r="KIU273" s="18"/>
      <c r="KIV273" s="18"/>
      <c r="KIW273" s="18"/>
      <c r="KIX273" s="18"/>
      <c r="KIY273" s="18"/>
      <c r="KIZ273" s="18"/>
      <c r="KJA273" s="18"/>
      <c r="KJB273" s="18"/>
      <c r="KJC273" s="18"/>
      <c r="KJD273" s="18"/>
      <c r="KJE273" s="18"/>
      <c r="KJF273" s="18"/>
      <c r="KJG273" s="18"/>
      <c r="KJH273" s="18"/>
      <c r="KJI273" s="18"/>
      <c r="KJJ273" s="18"/>
      <c r="KJK273" s="18"/>
      <c r="KJL273" s="18"/>
      <c r="KJM273" s="18"/>
      <c r="KJN273" s="18"/>
      <c r="KJO273" s="18"/>
      <c r="KJP273" s="18"/>
      <c r="KJQ273" s="18"/>
      <c r="KJR273" s="18"/>
      <c r="KJS273" s="18"/>
      <c r="KJT273" s="18"/>
      <c r="KJU273" s="18"/>
      <c r="KJV273" s="18"/>
      <c r="KJW273" s="18"/>
      <c r="KJX273" s="18"/>
      <c r="KJY273" s="18"/>
      <c r="KJZ273" s="18"/>
      <c r="KKA273" s="18"/>
      <c r="KKB273" s="18"/>
      <c r="KKC273" s="18"/>
      <c r="KKD273" s="18"/>
      <c r="KKE273" s="18"/>
      <c r="KKF273" s="18"/>
      <c r="KKG273" s="18"/>
      <c r="KKH273" s="18"/>
      <c r="KKI273" s="18"/>
      <c r="KKJ273" s="18"/>
      <c r="KKK273" s="18"/>
      <c r="KKL273" s="18"/>
      <c r="KKM273" s="18"/>
      <c r="KKN273" s="18"/>
      <c r="KKO273" s="18"/>
      <c r="KKP273" s="18"/>
      <c r="KKQ273" s="18"/>
      <c r="KKR273" s="18"/>
      <c r="KKS273" s="18"/>
      <c r="KKT273" s="18"/>
      <c r="KKU273" s="18"/>
      <c r="KKV273" s="18"/>
      <c r="KKW273" s="18"/>
      <c r="KKX273" s="18"/>
      <c r="KKY273" s="18"/>
      <c r="KKZ273" s="18"/>
      <c r="KLA273" s="18"/>
      <c r="KLB273" s="18"/>
      <c r="KLC273" s="18"/>
      <c r="KLD273" s="18"/>
      <c r="KLE273" s="18"/>
      <c r="KLF273" s="18"/>
      <c r="KLG273" s="18"/>
      <c r="KLH273" s="18"/>
      <c r="KLI273" s="18"/>
      <c r="KLJ273" s="18"/>
      <c r="KLK273" s="18"/>
      <c r="KLL273" s="18"/>
      <c r="KLM273" s="18"/>
      <c r="KLN273" s="18"/>
      <c r="KLO273" s="18"/>
      <c r="KLP273" s="18"/>
      <c r="KLQ273" s="18"/>
      <c r="KLR273" s="18"/>
      <c r="KLS273" s="18"/>
      <c r="KLT273" s="18"/>
      <c r="KLU273" s="18"/>
      <c r="KLV273" s="18"/>
      <c r="KLW273" s="18"/>
      <c r="KLX273" s="18"/>
      <c r="KLY273" s="18"/>
      <c r="KLZ273" s="18"/>
      <c r="KMA273" s="18"/>
      <c r="KMB273" s="18"/>
      <c r="KMC273" s="18"/>
      <c r="KMD273" s="18"/>
      <c r="KME273" s="18"/>
      <c r="KMF273" s="18"/>
      <c r="KMG273" s="18"/>
      <c r="KMH273" s="18"/>
      <c r="KMI273" s="18"/>
      <c r="KMJ273" s="18"/>
      <c r="KMK273" s="18"/>
      <c r="KML273" s="18"/>
      <c r="KMM273" s="18"/>
      <c r="KMN273" s="18"/>
      <c r="KMO273" s="18"/>
      <c r="KMP273" s="18"/>
      <c r="KMQ273" s="18"/>
      <c r="KMR273" s="18"/>
      <c r="KMS273" s="18"/>
      <c r="KMT273" s="18"/>
      <c r="KMU273" s="18"/>
      <c r="KMV273" s="18"/>
      <c r="KMW273" s="18"/>
      <c r="KMX273" s="18"/>
      <c r="KMY273" s="18"/>
      <c r="KMZ273" s="18"/>
      <c r="KNA273" s="18"/>
      <c r="KNB273" s="18"/>
      <c r="KNC273" s="18"/>
      <c r="KND273" s="18"/>
      <c r="KNE273" s="18"/>
      <c r="KNF273" s="18"/>
      <c r="KNG273" s="18"/>
      <c r="KNH273" s="18"/>
      <c r="KNI273" s="18"/>
      <c r="KNJ273" s="18"/>
      <c r="KNK273" s="18"/>
      <c r="KNL273" s="18"/>
      <c r="KNM273" s="18"/>
      <c r="KNN273" s="18"/>
      <c r="KNO273" s="18"/>
      <c r="KNP273" s="18"/>
      <c r="KNQ273" s="18"/>
      <c r="KNR273" s="18"/>
      <c r="KNS273" s="18"/>
      <c r="KNT273" s="18"/>
      <c r="KNU273" s="18"/>
      <c r="KNV273" s="18"/>
      <c r="KNW273" s="18"/>
      <c r="KNX273" s="18"/>
      <c r="KNY273" s="18"/>
      <c r="KNZ273" s="18"/>
      <c r="KOA273" s="18"/>
      <c r="KOB273" s="18"/>
      <c r="KOC273" s="18"/>
      <c r="KOD273" s="18"/>
      <c r="KOE273" s="18"/>
      <c r="KOF273" s="18"/>
      <c r="KOG273" s="18"/>
      <c r="KOH273" s="18"/>
      <c r="KOI273" s="18"/>
      <c r="KOJ273" s="18"/>
      <c r="KOK273" s="18"/>
      <c r="KOL273" s="18"/>
      <c r="KOM273" s="18"/>
      <c r="KON273" s="18"/>
      <c r="KOO273" s="18"/>
      <c r="KOP273" s="18"/>
      <c r="KOQ273" s="18"/>
      <c r="KOR273" s="18"/>
      <c r="KOS273" s="18"/>
      <c r="KOT273" s="18"/>
      <c r="KOU273" s="18"/>
      <c r="KOV273" s="18"/>
      <c r="KOW273" s="18"/>
      <c r="KOX273" s="18"/>
      <c r="KOY273" s="18"/>
      <c r="KOZ273" s="18"/>
      <c r="KPA273" s="18"/>
      <c r="KPB273" s="18"/>
      <c r="KPC273" s="18"/>
      <c r="KPD273" s="18"/>
      <c r="KPE273" s="18"/>
      <c r="KPF273" s="18"/>
      <c r="KPG273" s="18"/>
      <c r="KPH273" s="18"/>
      <c r="KPI273" s="18"/>
      <c r="KPJ273" s="18"/>
      <c r="KPK273" s="18"/>
      <c r="KPL273" s="18"/>
      <c r="KPM273" s="18"/>
      <c r="KPN273" s="18"/>
      <c r="KPO273" s="18"/>
      <c r="KPP273" s="18"/>
      <c r="KPQ273" s="18"/>
      <c r="KPR273" s="18"/>
      <c r="KPS273" s="18"/>
      <c r="KPT273" s="18"/>
      <c r="KPU273" s="18"/>
      <c r="KPV273" s="18"/>
      <c r="KPW273" s="18"/>
      <c r="KPX273" s="18"/>
      <c r="KPY273" s="18"/>
      <c r="KPZ273" s="18"/>
      <c r="KQA273" s="18"/>
      <c r="KQB273" s="18"/>
      <c r="KQC273" s="18"/>
      <c r="KQD273" s="18"/>
      <c r="KQE273" s="18"/>
      <c r="KQF273" s="18"/>
      <c r="KQG273" s="18"/>
      <c r="KQH273" s="18"/>
      <c r="KQI273" s="18"/>
      <c r="KQJ273" s="18"/>
      <c r="KQK273" s="18"/>
      <c r="KQL273" s="18"/>
      <c r="KQM273" s="18"/>
      <c r="KQN273" s="18"/>
      <c r="KQO273" s="18"/>
      <c r="KQP273" s="18"/>
      <c r="KQQ273" s="18"/>
      <c r="KQR273" s="18"/>
      <c r="KQS273" s="18"/>
      <c r="KQT273" s="18"/>
      <c r="KQU273" s="18"/>
      <c r="KQV273" s="18"/>
      <c r="KQW273" s="18"/>
      <c r="KQX273" s="18"/>
      <c r="KQY273" s="18"/>
      <c r="KQZ273" s="18"/>
      <c r="KRA273" s="18"/>
      <c r="KRB273" s="18"/>
      <c r="KRC273" s="18"/>
      <c r="KRD273" s="18"/>
      <c r="KRE273" s="18"/>
      <c r="KRF273" s="18"/>
      <c r="KRG273" s="18"/>
      <c r="KRH273" s="18"/>
      <c r="KRI273" s="18"/>
      <c r="KRJ273" s="18"/>
      <c r="KRK273" s="18"/>
      <c r="KRL273" s="18"/>
      <c r="KRM273" s="18"/>
      <c r="KRN273" s="18"/>
      <c r="KRO273" s="18"/>
      <c r="KRP273" s="18"/>
      <c r="KRQ273" s="18"/>
      <c r="KRR273" s="18"/>
      <c r="KRS273" s="18"/>
      <c r="KRT273" s="18"/>
      <c r="KRU273" s="18"/>
      <c r="KRV273" s="18"/>
      <c r="KRW273" s="18"/>
      <c r="KRX273" s="18"/>
      <c r="KRY273" s="18"/>
      <c r="KRZ273" s="18"/>
      <c r="KSA273" s="18"/>
      <c r="KSB273" s="18"/>
      <c r="KSC273" s="18"/>
      <c r="KSD273" s="18"/>
      <c r="KSE273" s="18"/>
      <c r="KSF273" s="18"/>
      <c r="KSG273" s="18"/>
      <c r="KSH273" s="18"/>
      <c r="KSI273" s="18"/>
      <c r="KSJ273" s="18"/>
      <c r="KSK273" s="18"/>
      <c r="KSL273" s="18"/>
      <c r="KSM273" s="18"/>
      <c r="KSN273" s="18"/>
      <c r="KSO273" s="18"/>
      <c r="KSP273" s="18"/>
      <c r="KSQ273" s="18"/>
      <c r="KSR273" s="18"/>
      <c r="KSS273" s="18"/>
      <c r="KST273" s="18"/>
      <c r="KSU273" s="18"/>
      <c r="KSV273" s="18"/>
      <c r="KSW273" s="18"/>
      <c r="KSX273" s="18"/>
      <c r="KSY273" s="18"/>
      <c r="KSZ273" s="18"/>
      <c r="KTA273" s="18"/>
      <c r="KTB273" s="18"/>
      <c r="KTC273" s="18"/>
      <c r="KTD273" s="18"/>
      <c r="KTE273" s="18"/>
      <c r="KTF273" s="18"/>
      <c r="KTG273" s="18"/>
      <c r="KTH273" s="18"/>
      <c r="KTI273" s="18"/>
      <c r="KTJ273" s="18"/>
      <c r="KTK273" s="18"/>
      <c r="KTL273" s="18"/>
      <c r="KTM273" s="18"/>
      <c r="KTN273" s="18"/>
      <c r="KTO273" s="18"/>
      <c r="KTP273" s="18"/>
      <c r="KTQ273" s="18"/>
      <c r="KTR273" s="18"/>
      <c r="KTS273" s="18"/>
      <c r="KTT273" s="18"/>
      <c r="KTU273" s="18"/>
      <c r="KTV273" s="18"/>
      <c r="KTW273" s="18"/>
      <c r="KTX273" s="18"/>
      <c r="KTY273" s="18"/>
      <c r="KTZ273" s="18"/>
      <c r="KUA273" s="18"/>
      <c r="KUB273" s="18"/>
      <c r="KUC273" s="18"/>
      <c r="KUD273" s="18"/>
      <c r="KUE273" s="18"/>
      <c r="KUF273" s="18"/>
      <c r="KUG273" s="18"/>
      <c r="KUH273" s="18"/>
      <c r="KUI273" s="18"/>
      <c r="KUJ273" s="18"/>
      <c r="KUK273" s="18"/>
      <c r="KUL273" s="18"/>
      <c r="KUM273" s="18"/>
      <c r="KUN273" s="18"/>
      <c r="KUO273" s="18"/>
      <c r="KUP273" s="18"/>
      <c r="KUQ273" s="18"/>
      <c r="KUR273" s="18"/>
      <c r="KUS273" s="18"/>
      <c r="KUT273" s="18"/>
      <c r="KUU273" s="18"/>
      <c r="KUV273" s="18"/>
      <c r="KUW273" s="18"/>
      <c r="KUX273" s="18"/>
      <c r="KUY273" s="18"/>
      <c r="KUZ273" s="18"/>
      <c r="KVA273" s="18"/>
      <c r="KVB273" s="18"/>
      <c r="KVC273" s="18"/>
      <c r="KVD273" s="18"/>
      <c r="KVE273" s="18"/>
      <c r="KVF273" s="18"/>
      <c r="KVG273" s="18"/>
      <c r="KVH273" s="18"/>
      <c r="KVI273" s="18"/>
      <c r="KVJ273" s="18"/>
      <c r="KVK273" s="18"/>
      <c r="KVL273" s="18"/>
      <c r="KVM273" s="18"/>
      <c r="KVN273" s="18"/>
      <c r="KVO273" s="18"/>
      <c r="KVP273" s="18"/>
      <c r="KVQ273" s="18"/>
      <c r="KVR273" s="18"/>
      <c r="KVS273" s="18"/>
      <c r="KVT273" s="18"/>
      <c r="KVU273" s="18"/>
      <c r="KVV273" s="18"/>
      <c r="KVW273" s="18"/>
      <c r="KVX273" s="18"/>
      <c r="KVY273" s="18"/>
      <c r="KVZ273" s="18"/>
      <c r="KWA273" s="18"/>
      <c r="KWB273" s="18"/>
      <c r="KWC273" s="18"/>
      <c r="KWD273" s="18"/>
      <c r="KWE273" s="18"/>
      <c r="KWF273" s="18"/>
      <c r="KWG273" s="18"/>
      <c r="KWH273" s="18"/>
      <c r="KWI273" s="18"/>
      <c r="KWJ273" s="18"/>
      <c r="KWK273" s="18"/>
      <c r="KWL273" s="18"/>
      <c r="KWM273" s="18"/>
      <c r="KWN273" s="18"/>
      <c r="KWO273" s="18"/>
      <c r="KWP273" s="18"/>
      <c r="KWQ273" s="18"/>
      <c r="KWR273" s="18"/>
      <c r="KWS273" s="18"/>
      <c r="KWT273" s="18"/>
      <c r="KWU273" s="18"/>
      <c r="KWV273" s="18"/>
      <c r="KWW273" s="18"/>
      <c r="KWX273" s="18"/>
      <c r="KWY273" s="18"/>
      <c r="KWZ273" s="18"/>
      <c r="KXA273" s="18"/>
      <c r="KXB273" s="18"/>
      <c r="KXC273" s="18"/>
      <c r="KXD273" s="18"/>
      <c r="KXE273" s="18"/>
      <c r="KXF273" s="18"/>
      <c r="KXG273" s="18"/>
      <c r="KXH273" s="18"/>
      <c r="KXI273" s="18"/>
      <c r="KXJ273" s="18"/>
      <c r="KXK273" s="18"/>
      <c r="KXL273" s="18"/>
      <c r="KXM273" s="18"/>
      <c r="KXN273" s="18"/>
      <c r="KXO273" s="18"/>
      <c r="KXP273" s="18"/>
      <c r="KXQ273" s="18"/>
      <c r="KXR273" s="18"/>
      <c r="KXS273" s="18"/>
      <c r="KXT273" s="18"/>
      <c r="KXU273" s="18"/>
      <c r="KXV273" s="18"/>
      <c r="KXW273" s="18"/>
      <c r="KXX273" s="18"/>
      <c r="KXY273" s="18"/>
      <c r="KXZ273" s="18"/>
      <c r="KYA273" s="18"/>
      <c r="KYB273" s="18"/>
      <c r="KYC273" s="18"/>
      <c r="KYD273" s="18"/>
      <c r="KYE273" s="18"/>
      <c r="KYF273" s="18"/>
      <c r="KYG273" s="18"/>
      <c r="KYH273" s="18"/>
      <c r="KYI273" s="18"/>
      <c r="KYJ273" s="18"/>
      <c r="KYK273" s="18"/>
      <c r="KYL273" s="18"/>
      <c r="KYM273" s="18"/>
      <c r="KYN273" s="18"/>
      <c r="KYO273" s="18"/>
      <c r="KYP273" s="18"/>
      <c r="KYQ273" s="18"/>
      <c r="KYR273" s="18"/>
      <c r="KYS273" s="18"/>
      <c r="KYT273" s="18"/>
      <c r="KYU273" s="18"/>
      <c r="KYV273" s="18"/>
      <c r="KYW273" s="18"/>
      <c r="KYX273" s="18"/>
      <c r="KYY273" s="18"/>
      <c r="KYZ273" s="18"/>
      <c r="KZA273" s="18"/>
      <c r="KZB273" s="18"/>
      <c r="KZC273" s="18"/>
      <c r="KZD273" s="18"/>
      <c r="KZE273" s="18"/>
      <c r="KZF273" s="18"/>
      <c r="KZG273" s="18"/>
      <c r="KZH273" s="18"/>
      <c r="KZI273" s="18"/>
      <c r="KZJ273" s="18"/>
      <c r="KZK273" s="18"/>
      <c r="KZL273" s="18"/>
      <c r="KZM273" s="18"/>
      <c r="KZN273" s="18"/>
      <c r="KZO273" s="18"/>
      <c r="KZP273" s="18"/>
      <c r="KZQ273" s="18"/>
      <c r="KZR273" s="18"/>
      <c r="KZS273" s="18"/>
      <c r="KZT273" s="18"/>
      <c r="KZU273" s="18"/>
      <c r="KZV273" s="18"/>
      <c r="KZW273" s="18"/>
      <c r="KZX273" s="18"/>
      <c r="KZY273" s="18"/>
      <c r="KZZ273" s="18"/>
      <c r="LAA273" s="18"/>
      <c r="LAB273" s="18"/>
      <c r="LAC273" s="18"/>
      <c r="LAD273" s="18"/>
      <c r="LAE273" s="18"/>
      <c r="LAF273" s="18"/>
      <c r="LAG273" s="18"/>
      <c r="LAH273" s="18"/>
      <c r="LAI273" s="18"/>
      <c r="LAJ273" s="18"/>
      <c r="LAK273" s="18"/>
      <c r="LAL273" s="18"/>
      <c r="LAM273" s="18"/>
      <c r="LAN273" s="18"/>
      <c r="LAO273" s="18"/>
      <c r="LAP273" s="18"/>
      <c r="LAQ273" s="18"/>
      <c r="LAR273" s="18"/>
      <c r="LAS273" s="18"/>
      <c r="LAT273" s="18"/>
      <c r="LAU273" s="18"/>
      <c r="LAV273" s="18"/>
      <c r="LAW273" s="18"/>
      <c r="LAX273" s="18"/>
      <c r="LAY273" s="18"/>
      <c r="LAZ273" s="18"/>
      <c r="LBA273" s="18"/>
      <c r="LBB273" s="18"/>
      <c r="LBC273" s="18"/>
      <c r="LBD273" s="18"/>
      <c r="LBE273" s="18"/>
      <c r="LBF273" s="18"/>
      <c r="LBG273" s="18"/>
      <c r="LBH273" s="18"/>
      <c r="LBI273" s="18"/>
      <c r="LBJ273" s="18"/>
      <c r="LBK273" s="18"/>
      <c r="LBL273" s="18"/>
      <c r="LBM273" s="18"/>
      <c r="LBN273" s="18"/>
      <c r="LBO273" s="18"/>
      <c r="LBP273" s="18"/>
      <c r="LBQ273" s="18"/>
      <c r="LBR273" s="18"/>
      <c r="LBS273" s="18"/>
      <c r="LBT273" s="18"/>
      <c r="LBU273" s="18"/>
      <c r="LBV273" s="18"/>
      <c r="LBW273" s="18"/>
      <c r="LBX273" s="18"/>
      <c r="LBY273" s="18"/>
      <c r="LBZ273" s="18"/>
      <c r="LCA273" s="18"/>
      <c r="LCB273" s="18"/>
      <c r="LCC273" s="18"/>
      <c r="LCD273" s="18"/>
      <c r="LCE273" s="18"/>
      <c r="LCF273" s="18"/>
      <c r="LCG273" s="18"/>
      <c r="LCH273" s="18"/>
      <c r="LCI273" s="18"/>
      <c r="LCJ273" s="18"/>
      <c r="LCK273" s="18"/>
      <c r="LCL273" s="18"/>
      <c r="LCM273" s="18"/>
      <c r="LCN273" s="18"/>
      <c r="LCO273" s="18"/>
      <c r="LCP273" s="18"/>
      <c r="LCQ273" s="18"/>
      <c r="LCR273" s="18"/>
      <c r="LCS273" s="18"/>
      <c r="LCT273" s="18"/>
      <c r="LCU273" s="18"/>
      <c r="LCV273" s="18"/>
      <c r="LCW273" s="18"/>
      <c r="LCX273" s="18"/>
      <c r="LCY273" s="18"/>
      <c r="LCZ273" s="18"/>
      <c r="LDA273" s="18"/>
      <c r="LDB273" s="18"/>
      <c r="LDC273" s="18"/>
      <c r="LDD273" s="18"/>
      <c r="LDE273" s="18"/>
      <c r="LDF273" s="18"/>
      <c r="LDG273" s="18"/>
      <c r="LDH273" s="18"/>
      <c r="LDI273" s="18"/>
      <c r="LDJ273" s="18"/>
      <c r="LDK273" s="18"/>
      <c r="LDL273" s="18"/>
      <c r="LDM273" s="18"/>
      <c r="LDN273" s="18"/>
      <c r="LDO273" s="18"/>
      <c r="LDP273" s="18"/>
      <c r="LDQ273" s="18"/>
      <c r="LDR273" s="18"/>
      <c r="LDS273" s="18"/>
      <c r="LDT273" s="18"/>
      <c r="LDU273" s="18"/>
      <c r="LDV273" s="18"/>
      <c r="LDW273" s="18"/>
      <c r="LDX273" s="18"/>
      <c r="LDY273" s="18"/>
      <c r="LDZ273" s="18"/>
      <c r="LEA273" s="18"/>
      <c r="LEB273" s="18"/>
      <c r="LEC273" s="18"/>
      <c r="LED273" s="18"/>
      <c r="LEE273" s="18"/>
      <c r="LEF273" s="18"/>
      <c r="LEG273" s="18"/>
      <c r="LEH273" s="18"/>
      <c r="LEI273" s="18"/>
      <c r="LEJ273" s="18"/>
      <c r="LEK273" s="18"/>
      <c r="LEL273" s="18"/>
      <c r="LEM273" s="18"/>
      <c r="LEN273" s="18"/>
      <c r="LEO273" s="18"/>
      <c r="LEP273" s="18"/>
      <c r="LEQ273" s="18"/>
      <c r="LER273" s="18"/>
      <c r="LES273" s="18"/>
      <c r="LET273" s="18"/>
      <c r="LEU273" s="18"/>
      <c r="LEV273" s="18"/>
      <c r="LEW273" s="18"/>
      <c r="LEX273" s="18"/>
      <c r="LEY273" s="18"/>
      <c r="LEZ273" s="18"/>
      <c r="LFA273" s="18"/>
      <c r="LFB273" s="18"/>
      <c r="LFC273" s="18"/>
      <c r="LFD273" s="18"/>
      <c r="LFE273" s="18"/>
      <c r="LFF273" s="18"/>
      <c r="LFG273" s="18"/>
      <c r="LFH273" s="18"/>
      <c r="LFI273" s="18"/>
      <c r="LFJ273" s="18"/>
      <c r="LFK273" s="18"/>
      <c r="LFL273" s="18"/>
      <c r="LFM273" s="18"/>
      <c r="LFN273" s="18"/>
      <c r="LFO273" s="18"/>
      <c r="LFP273" s="18"/>
      <c r="LFQ273" s="18"/>
      <c r="LFR273" s="18"/>
      <c r="LFS273" s="18"/>
      <c r="LFT273" s="18"/>
      <c r="LFU273" s="18"/>
      <c r="LFV273" s="18"/>
      <c r="LFW273" s="18"/>
      <c r="LFX273" s="18"/>
      <c r="LFY273" s="18"/>
      <c r="LFZ273" s="18"/>
      <c r="LGA273" s="18"/>
      <c r="LGB273" s="18"/>
      <c r="LGC273" s="18"/>
      <c r="LGD273" s="18"/>
      <c r="LGE273" s="18"/>
      <c r="LGF273" s="18"/>
      <c r="LGG273" s="18"/>
      <c r="LGH273" s="18"/>
      <c r="LGI273" s="18"/>
      <c r="LGJ273" s="18"/>
      <c r="LGK273" s="18"/>
      <c r="LGL273" s="18"/>
      <c r="LGM273" s="18"/>
      <c r="LGN273" s="18"/>
      <c r="LGO273" s="18"/>
      <c r="LGP273" s="18"/>
      <c r="LGQ273" s="18"/>
      <c r="LGR273" s="18"/>
      <c r="LGS273" s="18"/>
      <c r="LGT273" s="18"/>
      <c r="LGU273" s="18"/>
      <c r="LGV273" s="18"/>
      <c r="LGW273" s="18"/>
      <c r="LGX273" s="18"/>
      <c r="LGY273" s="18"/>
      <c r="LGZ273" s="18"/>
      <c r="LHA273" s="18"/>
      <c r="LHB273" s="18"/>
      <c r="LHC273" s="18"/>
      <c r="LHD273" s="18"/>
      <c r="LHE273" s="18"/>
      <c r="LHF273" s="18"/>
      <c r="LHG273" s="18"/>
      <c r="LHH273" s="18"/>
      <c r="LHI273" s="18"/>
      <c r="LHJ273" s="18"/>
      <c r="LHK273" s="18"/>
      <c r="LHL273" s="18"/>
      <c r="LHM273" s="18"/>
      <c r="LHN273" s="18"/>
      <c r="LHO273" s="18"/>
      <c r="LHP273" s="18"/>
      <c r="LHQ273" s="18"/>
      <c r="LHR273" s="18"/>
      <c r="LHS273" s="18"/>
      <c r="LHT273" s="18"/>
      <c r="LHU273" s="18"/>
      <c r="LHV273" s="18"/>
      <c r="LHW273" s="18"/>
      <c r="LHX273" s="18"/>
      <c r="LHY273" s="18"/>
      <c r="LHZ273" s="18"/>
      <c r="LIA273" s="18"/>
      <c r="LIB273" s="18"/>
      <c r="LIC273" s="18"/>
      <c r="LID273" s="18"/>
      <c r="LIE273" s="18"/>
      <c r="LIF273" s="18"/>
      <c r="LIG273" s="18"/>
      <c r="LIH273" s="18"/>
      <c r="LII273" s="18"/>
      <c r="LIJ273" s="18"/>
      <c r="LIK273" s="18"/>
      <c r="LIL273" s="18"/>
      <c r="LIM273" s="18"/>
      <c r="LIN273" s="18"/>
      <c r="LIO273" s="18"/>
      <c r="LIP273" s="18"/>
      <c r="LIQ273" s="18"/>
      <c r="LIR273" s="18"/>
      <c r="LIS273" s="18"/>
      <c r="LIT273" s="18"/>
      <c r="LIU273" s="18"/>
      <c r="LIV273" s="18"/>
      <c r="LIW273" s="18"/>
      <c r="LIX273" s="18"/>
      <c r="LIY273" s="18"/>
      <c r="LIZ273" s="18"/>
      <c r="LJA273" s="18"/>
      <c r="LJB273" s="18"/>
      <c r="LJC273" s="18"/>
      <c r="LJD273" s="18"/>
      <c r="LJE273" s="18"/>
      <c r="LJF273" s="18"/>
      <c r="LJG273" s="18"/>
      <c r="LJH273" s="18"/>
      <c r="LJI273" s="18"/>
      <c r="LJJ273" s="18"/>
      <c r="LJK273" s="18"/>
      <c r="LJL273" s="18"/>
      <c r="LJM273" s="18"/>
      <c r="LJN273" s="18"/>
      <c r="LJO273" s="18"/>
      <c r="LJP273" s="18"/>
      <c r="LJQ273" s="18"/>
      <c r="LJR273" s="18"/>
      <c r="LJS273" s="18"/>
      <c r="LJT273" s="18"/>
      <c r="LJU273" s="18"/>
      <c r="LJV273" s="18"/>
      <c r="LJW273" s="18"/>
      <c r="LJX273" s="18"/>
      <c r="LJY273" s="18"/>
      <c r="LJZ273" s="18"/>
      <c r="LKA273" s="18"/>
      <c r="LKB273" s="18"/>
      <c r="LKC273" s="18"/>
      <c r="LKD273" s="18"/>
      <c r="LKE273" s="18"/>
      <c r="LKF273" s="18"/>
      <c r="LKG273" s="18"/>
      <c r="LKH273" s="18"/>
      <c r="LKI273" s="18"/>
      <c r="LKJ273" s="18"/>
      <c r="LKK273" s="18"/>
      <c r="LKL273" s="18"/>
      <c r="LKM273" s="18"/>
      <c r="LKN273" s="18"/>
      <c r="LKO273" s="18"/>
      <c r="LKP273" s="18"/>
      <c r="LKQ273" s="18"/>
      <c r="LKR273" s="18"/>
      <c r="LKS273" s="18"/>
      <c r="LKT273" s="18"/>
      <c r="LKU273" s="18"/>
      <c r="LKV273" s="18"/>
      <c r="LKW273" s="18"/>
      <c r="LKX273" s="18"/>
      <c r="LKY273" s="18"/>
      <c r="LKZ273" s="18"/>
      <c r="LLA273" s="18"/>
      <c r="LLB273" s="18"/>
      <c r="LLC273" s="18"/>
      <c r="LLD273" s="18"/>
      <c r="LLE273" s="18"/>
      <c r="LLF273" s="18"/>
      <c r="LLG273" s="18"/>
      <c r="LLH273" s="18"/>
      <c r="LLI273" s="18"/>
      <c r="LLJ273" s="18"/>
      <c r="LLK273" s="18"/>
      <c r="LLL273" s="18"/>
      <c r="LLM273" s="18"/>
      <c r="LLN273" s="18"/>
      <c r="LLO273" s="18"/>
      <c r="LLP273" s="18"/>
      <c r="LLQ273" s="18"/>
      <c r="LLR273" s="18"/>
      <c r="LLS273" s="18"/>
      <c r="LLT273" s="18"/>
      <c r="LLU273" s="18"/>
      <c r="LLV273" s="18"/>
      <c r="LLW273" s="18"/>
      <c r="LLX273" s="18"/>
      <c r="LLY273" s="18"/>
      <c r="LLZ273" s="18"/>
      <c r="LMA273" s="18"/>
      <c r="LMB273" s="18"/>
      <c r="LMC273" s="18"/>
      <c r="LMD273" s="18"/>
      <c r="LME273" s="18"/>
      <c r="LMF273" s="18"/>
      <c r="LMG273" s="18"/>
      <c r="LMH273" s="18"/>
      <c r="LMI273" s="18"/>
      <c r="LMJ273" s="18"/>
      <c r="LMK273" s="18"/>
      <c r="LML273" s="18"/>
      <c r="LMM273" s="18"/>
      <c r="LMN273" s="18"/>
      <c r="LMO273" s="18"/>
      <c r="LMP273" s="18"/>
      <c r="LMQ273" s="18"/>
      <c r="LMR273" s="18"/>
      <c r="LMS273" s="18"/>
      <c r="LMT273" s="18"/>
      <c r="LMU273" s="18"/>
      <c r="LMV273" s="18"/>
      <c r="LMW273" s="18"/>
      <c r="LMX273" s="18"/>
      <c r="LMY273" s="18"/>
      <c r="LMZ273" s="18"/>
      <c r="LNA273" s="18"/>
      <c r="LNB273" s="18"/>
      <c r="LNC273" s="18"/>
      <c r="LND273" s="18"/>
      <c r="LNE273" s="18"/>
      <c r="LNF273" s="18"/>
      <c r="LNG273" s="18"/>
      <c r="LNH273" s="18"/>
      <c r="LNI273" s="18"/>
      <c r="LNJ273" s="18"/>
      <c r="LNK273" s="18"/>
      <c r="LNL273" s="18"/>
      <c r="LNM273" s="18"/>
      <c r="LNN273" s="18"/>
      <c r="LNO273" s="18"/>
      <c r="LNP273" s="18"/>
      <c r="LNQ273" s="18"/>
      <c r="LNR273" s="18"/>
      <c r="LNS273" s="18"/>
      <c r="LNT273" s="18"/>
      <c r="LNU273" s="18"/>
      <c r="LNV273" s="18"/>
      <c r="LNW273" s="18"/>
      <c r="LNX273" s="18"/>
      <c r="LNY273" s="18"/>
      <c r="LNZ273" s="18"/>
      <c r="LOA273" s="18"/>
      <c r="LOB273" s="18"/>
      <c r="LOC273" s="18"/>
      <c r="LOD273" s="18"/>
      <c r="LOE273" s="18"/>
      <c r="LOF273" s="18"/>
      <c r="LOG273" s="18"/>
      <c r="LOH273" s="18"/>
      <c r="LOI273" s="18"/>
      <c r="LOJ273" s="18"/>
      <c r="LOK273" s="18"/>
      <c r="LOL273" s="18"/>
      <c r="LOM273" s="18"/>
      <c r="LON273" s="18"/>
      <c r="LOO273" s="18"/>
      <c r="LOP273" s="18"/>
      <c r="LOQ273" s="18"/>
      <c r="LOR273" s="18"/>
      <c r="LOS273" s="18"/>
      <c r="LOT273" s="18"/>
      <c r="LOU273" s="18"/>
      <c r="LOV273" s="18"/>
      <c r="LOW273" s="18"/>
      <c r="LOX273" s="18"/>
      <c r="LOY273" s="18"/>
      <c r="LOZ273" s="18"/>
      <c r="LPA273" s="18"/>
      <c r="LPB273" s="18"/>
      <c r="LPC273" s="18"/>
      <c r="LPD273" s="18"/>
      <c r="LPE273" s="18"/>
      <c r="LPF273" s="18"/>
      <c r="LPG273" s="18"/>
      <c r="LPH273" s="18"/>
      <c r="LPI273" s="18"/>
      <c r="LPJ273" s="18"/>
      <c r="LPK273" s="18"/>
      <c r="LPL273" s="18"/>
      <c r="LPM273" s="18"/>
      <c r="LPN273" s="18"/>
      <c r="LPO273" s="18"/>
      <c r="LPP273" s="18"/>
      <c r="LPQ273" s="18"/>
      <c r="LPR273" s="18"/>
      <c r="LPS273" s="18"/>
      <c r="LPT273" s="18"/>
      <c r="LPU273" s="18"/>
      <c r="LPV273" s="18"/>
      <c r="LPW273" s="18"/>
      <c r="LPX273" s="18"/>
      <c r="LPY273" s="18"/>
      <c r="LPZ273" s="18"/>
      <c r="LQA273" s="18"/>
      <c r="LQB273" s="18"/>
      <c r="LQC273" s="18"/>
      <c r="LQD273" s="18"/>
      <c r="LQE273" s="18"/>
      <c r="LQF273" s="18"/>
      <c r="LQG273" s="18"/>
      <c r="LQH273" s="18"/>
      <c r="LQI273" s="18"/>
      <c r="LQJ273" s="18"/>
      <c r="LQK273" s="18"/>
      <c r="LQL273" s="18"/>
      <c r="LQM273" s="18"/>
      <c r="LQN273" s="18"/>
      <c r="LQO273" s="18"/>
      <c r="LQP273" s="18"/>
      <c r="LQQ273" s="18"/>
      <c r="LQR273" s="18"/>
      <c r="LQS273" s="18"/>
      <c r="LQT273" s="18"/>
      <c r="LQU273" s="18"/>
      <c r="LQV273" s="18"/>
      <c r="LQW273" s="18"/>
      <c r="LQX273" s="18"/>
      <c r="LQY273" s="18"/>
      <c r="LQZ273" s="18"/>
      <c r="LRA273" s="18"/>
      <c r="LRB273" s="18"/>
      <c r="LRC273" s="18"/>
      <c r="LRD273" s="18"/>
      <c r="LRE273" s="18"/>
      <c r="LRF273" s="18"/>
      <c r="LRG273" s="18"/>
      <c r="LRH273" s="18"/>
      <c r="LRI273" s="18"/>
      <c r="LRJ273" s="18"/>
      <c r="LRK273" s="18"/>
      <c r="LRL273" s="18"/>
      <c r="LRM273" s="18"/>
      <c r="LRN273" s="18"/>
      <c r="LRO273" s="18"/>
      <c r="LRP273" s="18"/>
      <c r="LRQ273" s="18"/>
      <c r="LRR273" s="18"/>
      <c r="LRS273" s="18"/>
      <c r="LRT273" s="18"/>
      <c r="LRU273" s="18"/>
      <c r="LRV273" s="18"/>
      <c r="LRW273" s="18"/>
      <c r="LRX273" s="18"/>
      <c r="LRY273" s="18"/>
      <c r="LRZ273" s="18"/>
      <c r="LSA273" s="18"/>
      <c r="LSB273" s="18"/>
      <c r="LSC273" s="18"/>
      <c r="LSD273" s="18"/>
      <c r="LSE273" s="18"/>
      <c r="LSF273" s="18"/>
      <c r="LSG273" s="18"/>
      <c r="LSH273" s="18"/>
      <c r="LSI273" s="18"/>
      <c r="LSJ273" s="18"/>
      <c r="LSK273" s="18"/>
      <c r="LSL273" s="18"/>
      <c r="LSM273" s="18"/>
      <c r="LSN273" s="18"/>
      <c r="LSO273" s="18"/>
      <c r="LSP273" s="18"/>
      <c r="LSQ273" s="18"/>
      <c r="LSR273" s="18"/>
      <c r="LSS273" s="18"/>
      <c r="LST273" s="18"/>
      <c r="LSU273" s="18"/>
      <c r="LSV273" s="18"/>
      <c r="LSW273" s="18"/>
      <c r="LSX273" s="18"/>
      <c r="LSY273" s="18"/>
      <c r="LSZ273" s="18"/>
      <c r="LTA273" s="18"/>
      <c r="LTB273" s="18"/>
      <c r="LTC273" s="18"/>
      <c r="LTD273" s="18"/>
      <c r="LTE273" s="18"/>
      <c r="LTF273" s="18"/>
      <c r="LTG273" s="18"/>
      <c r="LTH273" s="18"/>
      <c r="LTI273" s="18"/>
      <c r="LTJ273" s="18"/>
      <c r="LTK273" s="18"/>
      <c r="LTL273" s="18"/>
      <c r="LTM273" s="18"/>
      <c r="LTN273" s="18"/>
      <c r="LTO273" s="18"/>
      <c r="LTP273" s="18"/>
      <c r="LTQ273" s="18"/>
      <c r="LTR273" s="18"/>
      <c r="LTS273" s="18"/>
      <c r="LTT273" s="18"/>
      <c r="LTU273" s="18"/>
      <c r="LTV273" s="18"/>
      <c r="LTW273" s="18"/>
      <c r="LTX273" s="18"/>
      <c r="LTY273" s="18"/>
      <c r="LTZ273" s="18"/>
      <c r="LUA273" s="18"/>
      <c r="LUB273" s="18"/>
      <c r="LUC273" s="18"/>
      <c r="LUD273" s="18"/>
      <c r="LUE273" s="18"/>
      <c r="LUF273" s="18"/>
      <c r="LUG273" s="18"/>
      <c r="LUH273" s="18"/>
      <c r="LUI273" s="18"/>
      <c r="LUJ273" s="18"/>
      <c r="LUK273" s="18"/>
      <c r="LUL273" s="18"/>
      <c r="LUM273" s="18"/>
      <c r="LUN273" s="18"/>
      <c r="LUO273" s="18"/>
      <c r="LUP273" s="18"/>
      <c r="LUQ273" s="18"/>
      <c r="LUR273" s="18"/>
      <c r="LUS273" s="18"/>
      <c r="LUT273" s="18"/>
      <c r="LUU273" s="18"/>
      <c r="LUV273" s="18"/>
      <c r="LUW273" s="18"/>
      <c r="LUX273" s="18"/>
      <c r="LUY273" s="18"/>
      <c r="LUZ273" s="18"/>
      <c r="LVA273" s="18"/>
      <c r="LVB273" s="18"/>
      <c r="LVC273" s="18"/>
      <c r="LVD273" s="18"/>
      <c r="LVE273" s="18"/>
      <c r="LVF273" s="18"/>
      <c r="LVG273" s="18"/>
      <c r="LVH273" s="18"/>
      <c r="LVI273" s="18"/>
      <c r="LVJ273" s="18"/>
      <c r="LVK273" s="18"/>
      <c r="LVL273" s="18"/>
      <c r="LVM273" s="18"/>
      <c r="LVN273" s="18"/>
      <c r="LVO273" s="18"/>
      <c r="LVP273" s="18"/>
      <c r="LVQ273" s="18"/>
      <c r="LVR273" s="18"/>
      <c r="LVS273" s="18"/>
      <c r="LVT273" s="18"/>
      <c r="LVU273" s="18"/>
      <c r="LVV273" s="18"/>
      <c r="LVW273" s="18"/>
      <c r="LVX273" s="18"/>
      <c r="LVY273" s="18"/>
      <c r="LVZ273" s="18"/>
      <c r="LWA273" s="18"/>
      <c r="LWB273" s="18"/>
      <c r="LWC273" s="18"/>
      <c r="LWD273" s="18"/>
      <c r="LWE273" s="18"/>
      <c r="LWF273" s="18"/>
      <c r="LWG273" s="18"/>
      <c r="LWH273" s="18"/>
      <c r="LWI273" s="18"/>
      <c r="LWJ273" s="18"/>
      <c r="LWK273" s="18"/>
      <c r="LWL273" s="18"/>
      <c r="LWM273" s="18"/>
      <c r="LWN273" s="18"/>
      <c r="LWO273" s="18"/>
      <c r="LWP273" s="18"/>
      <c r="LWQ273" s="18"/>
      <c r="LWR273" s="18"/>
      <c r="LWS273" s="18"/>
      <c r="LWT273" s="18"/>
      <c r="LWU273" s="18"/>
      <c r="LWV273" s="18"/>
      <c r="LWW273" s="18"/>
      <c r="LWX273" s="18"/>
      <c r="LWY273" s="18"/>
      <c r="LWZ273" s="18"/>
      <c r="LXA273" s="18"/>
      <c r="LXB273" s="18"/>
      <c r="LXC273" s="18"/>
      <c r="LXD273" s="18"/>
      <c r="LXE273" s="18"/>
      <c r="LXF273" s="18"/>
      <c r="LXG273" s="18"/>
      <c r="LXH273" s="18"/>
      <c r="LXI273" s="18"/>
      <c r="LXJ273" s="18"/>
      <c r="LXK273" s="18"/>
      <c r="LXL273" s="18"/>
      <c r="LXM273" s="18"/>
      <c r="LXN273" s="18"/>
      <c r="LXO273" s="18"/>
      <c r="LXP273" s="18"/>
      <c r="LXQ273" s="18"/>
      <c r="LXR273" s="18"/>
      <c r="LXS273" s="18"/>
      <c r="LXT273" s="18"/>
      <c r="LXU273" s="18"/>
      <c r="LXV273" s="18"/>
      <c r="LXW273" s="18"/>
      <c r="LXX273" s="18"/>
      <c r="LXY273" s="18"/>
      <c r="LXZ273" s="18"/>
      <c r="LYA273" s="18"/>
      <c r="LYB273" s="18"/>
      <c r="LYC273" s="18"/>
      <c r="LYD273" s="18"/>
      <c r="LYE273" s="18"/>
      <c r="LYF273" s="18"/>
      <c r="LYG273" s="18"/>
      <c r="LYH273" s="18"/>
      <c r="LYI273" s="18"/>
      <c r="LYJ273" s="18"/>
      <c r="LYK273" s="18"/>
      <c r="LYL273" s="18"/>
      <c r="LYM273" s="18"/>
      <c r="LYN273" s="18"/>
      <c r="LYO273" s="18"/>
      <c r="LYP273" s="18"/>
      <c r="LYQ273" s="18"/>
      <c r="LYR273" s="18"/>
      <c r="LYS273" s="18"/>
      <c r="LYT273" s="18"/>
      <c r="LYU273" s="18"/>
      <c r="LYV273" s="18"/>
      <c r="LYW273" s="18"/>
      <c r="LYX273" s="18"/>
      <c r="LYY273" s="18"/>
      <c r="LYZ273" s="18"/>
      <c r="LZA273" s="18"/>
      <c r="LZB273" s="18"/>
      <c r="LZC273" s="18"/>
      <c r="LZD273" s="18"/>
      <c r="LZE273" s="18"/>
      <c r="LZF273" s="18"/>
      <c r="LZG273" s="18"/>
      <c r="LZH273" s="18"/>
      <c r="LZI273" s="18"/>
      <c r="LZJ273" s="18"/>
      <c r="LZK273" s="18"/>
      <c r="LZL273" s="18"/>
      <c r="LZM273" s="18"/>
      <c r="LZN273" s="18"/>
      <c r="LZO273" s="18"/>
      <c r="LZP273" s="18"/>
      <c r="LZQ273" s="18"/>
      <c r="LZR273" s="18"/>
      <c r="LZS273" s="18"/>
      <c r="LZT273" s="18"/>
      <c r="LZU273" s="18"/>
      <c r="LZV273" s="18"/>
      <c r="LZW273" s="18"/>
      <c r="LZX273" s="18"/>
      <c r="LZY273" s="18"/>
      <c r="LZZ273" s="18"/>
      <c r="MAA273" s="18"/>
      <c r="MAB273" s="18"/>
      <c r="MAC273" s="18"/>
      <c r="MAD273" s="18"/>
      <c r="MAE273" s="18"/>
      <c r="MAF273" s="18"/>
      <c r="MAG273" s="18"/>
      <c r="MAH273" s="18"/>
      <c r="MAI273" s="18"/>
      <c r="MAJ273" s="18"/>
      <c r="MAK273" s="18"/>
      <c r="MAL273" s="18"/>
      <c r="MAM273" s="18"/>
      <c r="MAN273" s="18"/>
      <c r="MAO273" s="18"/>
      <c r="MAP273" s="18"/>
      <c r="MAQ273" s="18"/>
      <c r="MAR273" s="18"/>
      <c r="MAS273" s="18"/>
      <c r="MAT273" s="18"/>
      <c r="MAU273" s="18"/>
      <c r="MAV273" s="18"/>
      <c r="MAW273" s="18"/>
      <c r="MAX273" s="18"/>
      <c r="MAY273" s="18"/>
      <c r="MAZ273" s="18"/>
      <c r="MBA273" s="18"/>
      <c r="MBB273" s="18"/>
      <c r="MBC273" s="18"/>
      <c r="MBD273" s="18"/>
      <c r="MBE273" s="18"/>
      <c r="MBF273" s="18"/>
      <c r="MBG273" s="18"/>
      <c r="MBH273" s="18"/>
      <c r="MBI273" s="18"/>
      <c r="MBJ273" s="18"/>
      <c r="MBK273" s="18"/>
      <c r="MBL273" s="18"/>
      <c r="MBM273" s="18"/>
      <c r="MBN273" s="18"/>
      <c r="MBO273" s="18"/>
      <c r="MBP273" s="18"/>
      <c r="MBQ273" s="18"/>
      <c r="MBR273" s="18"/>
      <c r="MBS273" s="18"/>
      <c r="MBT273" s="18"/>
      <c r="MBU273" s="18"/>
      <c r="MBV273" s="18"/>
      <c r="MBW273" s="18"/>
      <c r="MBX273" s="18"/>
      <c r="MBY273" s="18"/>
      <c r="MBZ273" s="18"/>
      <c r="MCA273" s="18"/>
      <c r="MCB273" s="18"/>
      <c r="MCC273" s="18"/>
      <c r="MCD273" s="18"/>
      <c r="MCE273" s="18"/>
      <c r="MCF273" s="18"/>
      <c r="MCG273" s="18"/>
      <c r="MCH273" s="18"/>
      <c r="MCI273" s="18"/>
      <c r="MCJ273" s="18"/>
      <c r="MCK273" s="18"/>
      <c r="MCL273" s="18"/>
      <c r="MCM273" s="18"/>
      <c r="MCN273" s="18"/>
      <c r="MCO273" s="18"/>
      <c r="MCP273" s="18"/>
      <c r="MCQ273" s="18"/>
      <c r="MCR273" s="18"/>
      <c r="MCS273" s="18"/>
      <c r="MCT273" s="18"/>
      <c r="MCU273" s="18"/>
      <c r="MCV273" s="18"/>
      <c r="MCW273" s="18"/>
      <c r="MCX273" s="18"/>
      <c r="MCY273" s="18"/>
      <c r="MCZ273" s="18"/>
      <c r="MDA273" s="18"/>
      <c r="MDB273" s="18"/>
      <c r="MDC273" s="18"/>
      <c r="MDD273" s="18"/>
      <c r="MDE273" s="18"/>
      <c r="MDF273" s="18"/>
      <c r="MDG273" s="18"/>
      <c r="MDH273" s="18"/>
      <c r="MDI273" s="18"/>
      <c r="MDJ273" s="18"/>
      <c r="MDK273" s="18"/>
      <c r="MDL273" s="18"/>
      <c r="MDM273" s="18"/>
      <c r="MDN273" s="18"/>
      <c r="MDO273" s="18"/>
      <c r="MDP273" s="18"/>
      <c r="MDQ273" s="18"/>
      <c r="MDR273" s="18"/>
      <c r="MDS273" s="18"/>
      <c r="MDT273" s="18"/>
      <c r="MDU273" s="18"/>
      <c r="MDV273" s="18"/>
      <c r="MDW273" s="18"/>
      <c r="MDX273" s="18"/>
      <c r="MDY273" s="18"/>
      <c r="MDZ273" s="18"/>
      <c r="MEA273" s="18"/>
      <c r="MEB273" s="18"/>
      <c r="MEC273" s="18"/>
      <c r="MED273" s="18"/>
      <c r="MEE273" s="18"/>
      <c r="MEF273" s="18"/>
      <c r="MEG273" s="18"/>
      <c r="MEH273" s="18"/>
      <c r="MEI273" s="18"/>
      <c r="MEJ273" s="18"/>
      <c r="MEK273" s="18"/>
      <c r="MEL273" s="18"/>
      <c r="MEM273" s="18"/>
      <c r="MEN273" s="18"/>
      <c r="MEO273" s="18"/>
      <c r="MEP273" s="18"/>
      <c r="MEQ273" s="18"/>
      <c r="MER273" s="18"/>
      <c r="MES273" s="18"/>
      <c r="MET273" s="18"/>
      <c r="MEU273" s="18"/>
      <c r="MEV273" s="18"/>
      <c r="MEW273" s="18"/>
      <c r="MEX273" s="18"/>
      <c r="MEY273" s="18"/>
      <c r="MEZ273" s="18"/>
      <c r="MFA273" s="18"/>
      <c r="MFB273" s="18"/>
      <c r="MFC273" s="18"/>
      <c r="MFD273" s="18"/>
      <c r="MFE273" s="18"/>
      <c r="MFF273" s="18"/>
      <c r="MFG273" s="18"/>
      <c r="MFH273" s="18"/>
      <c r="MFI273" s="18"/>
      <c r="MFJ273" s="18"/>
      <c r="MFK273" s="18"/>
      <c r="MFL273" s="18"/>
      <c r="MFM273" s="18"/>
      <c r="MFN273" s="18"/>
      <c r="MFO273" s="18"/>
      <c r="MFP273" s="18"/>
      <c r="MFQ273" s="18"/>
      <c r="MFR273" s="18"/>
      <c r="MFS273" s="18"/>
      <c r="MFT273" s="18"/>
      <c r="MFU273" s="18"/>
      <c r="MFV273" s="18"/>
      <c r="MFW273" s="18"/>
      <c r="MFX273" s="18"/>
      <c r="MFY273" s="18"/>
      <c r="MFZ273" s="18"/>
      <c r="MGA273" s="18"/>
      <c r="MGB273" s="18"/>
      <c r="MGC273" s="18"/>
      <c r="MGD273" s="18"/>
      <c r="MGE273" s="18"/>
      <c r="MGF273" s="18"/>
      <c r="MGG273" s="18"/>
      <c r="MGH273" s="18"/>
      <c r="MGI273" s="18"/>
      <c r="MGJ273" s="18"/>
      <c r="MGK273" s="18"/>
      <c r="MGL273" s="18"/>
      <c r="MGM273" s="18"/>
      <c r="MGN273" s="18"/>
      <c r="MGO273" s="18"/>
      <c r="MGP273" s="18"/>
      <c r="MGQ273" s="18"/>
      <c r="MGR273" s="18"/>
      <c r="MGS273" s="18"/>
      <c r="MGT273" s="18"/>
      <c r="MGU273" s="18"/>
      <c r="MGV273" s="18"/>
      <c r="MGW273" s="18"/>
      <c r="MGX273" s="18"/>
      <c r="MGY273" s="18"/>
      <c r="MGZ273" s="18"/>
      <c r="MHA273" s="18"/>
      <c r="MHB273" s="18"/>
      <c r="MHC273" s="18"/>
      <c r="MHD273" s="18"/>
      <c r="MHE273" s="18"/>
      <c r="MHF273" s="18"/>
      <c r="MHG273" s="18"/>
      <c r="MHH273" s="18"/>
      <c r="MHI273" s="18"/>
      <c r="MHJ273" s="18"/>
      <c r="MHK273" s="18"/>
      <c r="MHL273" s="18"/>
      <c r="MHM273" s="18"/>
      <c r="MHN273" s="18"/>
      <c r="MHO273" s="18"/>
      <c r="MHP273" s="18"/>
      <c r="MHQ273" s="18"/>
      <c r="MHR273" s="18"/>
      <c r="MHS273" s="18"/>
      <c r="MHT273" s="18"/>
      <c r="MHU273" s="18"/>
      <c r="MHV273" s="18"/>
      <c r="MHW273" s="18"/>
      <c r="MHX273" s="18"/>
      <c r="MHY273" s="18"/>
      <c r="MHZ273" s="18"/>
      <c r="MIA273" s="18"/>
      <c r="MIB273" s="18"/>
      <c r="MIC273" s="18"/>
      <c r="MID273" s="18"/>
      <c r="MIE273" s="18"/>
      <c r="MIF273" s="18"/>
      <c r="MIG273" s="18"/>
      <c r="MIH273" s="18"/>
      <c r="MII273" s="18"/>
      <c r="MIJ273" s="18"/>
      <c r="MIK273" s="18"/>
      <c r="MIL273" s="18"/>
      <c r="MIM273" s="18"/>
      <c r="MIN273" s="18"/>
      <c r="MIO273" s="18"/>
      <c r="MIP273" s="18"/>
      <c r="MIQ273" s="18"/>
      <c r="MIR273" s="18"/>
      <c r="MIS273" s="18"/>
      <c r="MIT273" s="18"/>
      <c r="MIU273" s="18"/>
      <c r="MIV273" s="18"/>
      <c r="MIW273" s="18"/>
      <c r="MIX273" s="18"/>
      <c r="MIY273" s="18"/>
      <c r="MIZ273" s="18"/>
      <c r="MJA273" s="18"/>
      <c r="MJB273" s="18"/>
      <c r="MJC273" s="18"/>
      <c r="MJD273" s="18"/>
      <c r="MJE273" s="18"/>
      <c r="MJF273" s="18"/>
      <c r="MJG273" s="18"/>
      <c r="MJH273" s="18"/>
      <c r="MJI273" s="18"/>
      <c r="MJJ273" s="18"/>
      <c r="MJK273" s="18"/>
      <c r="MJL273" s="18"/>
      <c r="MJM273" s="18"/>
      <c r="MJN273" s="18"/>
      <c r="MJO273" s="18"/>
      <c r="MJP273" s="18"/>
      <c r="MJQ273" s="18"/>
      <c r="MJR273" s="18"/>
      <c r="MJS273" s="18"/>
      <c r="MJT273" s="18"/>
      <c r="MJU273" s="18"/>
      <c r="MJV273" s="18"/>
      <c r="MJW273" s="18"/>
      <c r="MJX273" s="18"/>
      <c r="MJY273" s="18"/>
      <c r="MJZ273" s="18"/>
      <c r="MKA273" s="18"/>
      <c r="MKB273" s="18"/>
      <c r="MKC273" s="18"/>
      <c r="MKD273" s="18"/>
      <c r="MKE273" s="18"/>
      <c r="MKF273" s="18"/>
      <c r="MKG273" s="18"/>
      <c r="MKH273" s="18"/>
      <c r="MKI273" s="18"/>
      <c r="MKJ273" s="18"/>
      <c r="MKK273" s="18"/>
      <c r="MKL273" s="18"/>
      <c r="MKM273" s="18"/>
      <c r="MKN273" s="18"/>
      <c r="MKO273" s="18"/>
      <c r="MKP273" s="18"/>
      <c r="MKQ273" s="18"/>
      <c r="MKR273" s="18"/>
      <c r="MKS273" s="18"/>
      <c r="MKT273" s="18"/>
      <c r="MKU273" s="18"/>
      <c r="MKV273" s="18"/>
      <c r="MKW273" s="18"/>
      <c r="MKX273" s="18"/>
      <c r="MKY273" s="18"/>
      <c r="MKZ273" s="18"/>
      <c r="MLA273" s="18"/>
      <c r="MLB273" s="18"/>
      <c r="MLC273" s="18"/>
      <c r="MLD273" s="18"/>
      <c r="MLE273" s="18"/>
      <c r="MLF273" s="18"/>
      <c r="MLG273" s="18"/>
      <c r="MLH273" s="18"/>
      <c r="MLI273" s="18"/>
      <c r="MLJ273" s="18"/>
      <c r="MLK273" s="18"/>
      <c r="MLL273" s="18"/>
      <c r="MLM273" s="18"/>
      <c r="MLN273" s="18"/>
      <c r="MLO273" s="18"/>
      <c r="MLP273" s="18"/>
      <c r="MLQ273" s="18"/>
      <c r="MLR273" s="18"/>
      <c r="MLS273" s="18"/>
      <c r="MLT273" s="18"/>
      <c r="MLU273" s="18"/>
      <c r="MLV273" s="18"/>
      <c r="MLW273" s="18"/>
      <c r="MLX273" s="18"/>
      <c r="MLY273" s="18"/>
      <c r="MLZ273" s="18"/>
      <c r="MMA273" s="18"/>
      <c r="MMB273" s="18"/>
      <c r="MMC273" s="18"/>
      <c r="MMD273" s="18"/>
      <c r="MME273" s="18"/>
      <c r="MMF273" s="18"/>
      <c r="MMG273" s="18"/>
      <c r="MMH273" s="18"/>
      <c r="MMI273" s="18"/>
      <c r="MMJ273" s="18"/>
      <c r="MMK273" s="18"/>
      <c r="MML273" s="18"/>
      <c r="MMM273" s="18"/>
      <c r="MMN273" s="18"/>
      <c r="MMO273" s="18"/>
      <c r="MMP273" s="18"/>
      <c r="MMQ273" s="18"/>
      <c r="MMR273" s="18"/>
      <c r="MMS273" s="18"/>
      <c r="MMT273" s="18"/>
      <c r="MMU273" s="18"/>
      <c r="MMV273" s="18"/>
      <c r="MMW273" s="18"/>
      <c r="MMX273" s="18"/>
      <c r="MMY273" s="18"/>
      <c r="MMZ273" s="18"/>
      <c r="MNA273" s="18"/>
      <c r="MNB273" s="18"/>
      <c r="MNC273" s="18"/>
      <c r="MND273" s="18"/>
      <c r="MNE273" s="18"/>
      <c r="MNF273" s="18"/>
      <c r="MNG273" s="18"/>
      <c r="MNH273" s="18"/>
      <c r="MNI273" s="18"/>
      <c r="MNJ273" s="18"/>
      <c r="MNK273" s="18"/>
      <c r="MNL273" s="18"/>
      <c r="MNM273" s="18"/>
      <c r="MNN273" s="18"/>
      <c r="MNO273" s="18"/>
      <c r="MNP273" s="18"/>
      <c r="MNQ273" s="18"/>
      <c r="MNR273" s="18"/>
      <c r="MNS273" s="18"/>
      <c r="MNT273" s="18"/>
      <c r="MNU273" s="18"/>
      <c r="MNV273" s="18"/>
      <c r="MNW273" s="18"/>
      <c r="MNX273" s="18"/>
      <c r="MNY273" s="18"/>
      <c r="MNZ273" s="18"/>
      <c r="MOA273" s="18"/>
      <c r="MOB273" s="18"/>
      <c r="MOC273" s="18"/>
      <c r="MOD273" s="18"/>
      <c r="MOE273" s="18"/>
      <c r="MOF273" s="18"/>
      <c r="MOG273" s="18"/>
      <c r="MOH273" s="18"/>
      <c r="MOI273" s="18"/>
      <c r="MOJ273" s="18"/>
      <c r="MOK273" s="18"/>
      <c r="MOL273" s="18"/>
      <c r="MOM273" s="18"/>
      <c r="MON273" s="18"/>
      <c r="MOO273" s="18"/>
      <c r="MOP273" s="18"/>
      <c r="MOQ273" s="18"/>
      <c r="MOR273" s="18"/>
      <c r="MOS273" s="18"/>
      <c r="MOT273" s="18"/>
      <c r="MOU273" s="18"/>
      <c r="MOV273" s="18"/>
      <c r="MOW273" s="18"/>
      <c r="MOX273" s="18"/>
      <c r="MOY273" s="18"/>
      <c r="MOZ273" s="18"/>
      <c r="MPA273" s="18"/>
      <c r="MPB273" s="18"/>
      <c r="MPC273" s="18"/>
      <c r="MPD273" s="18"/>
      <c r="MPE273" s="18"/>
      <c r="MPF273" s="18"/>
      <c r="MPG273" s="18"/>
      <c r="MPH273" s="18"/>
      <c r="MPI273" s="18"/>
      <c r="MPJ273" s="18"/>
      <c r="MPK273" s="18"/>
      <c r="MPL273" s="18"/>
      <c r="MPM273" s="18"/>
      <c r="MPN273" s="18"/>
      <c r="MPO273" s="18"/>
      <c r="MPP273" s="18"/>
      <c r="MPQ273" s="18"/>
      <c r="MPR273" s="18"/>
      <c r="MPS273" s="18"/>
      <c r="MPT273" s="18"/>
      <c r="MPU273" s="18"/>
      <c r="MPV273" s="18"/>
      <c r="MPW273" s="18"/>
      <c r="MPX273" s="18"/>
      <c r="MPY273" s="18"/>
      <c r="MPZ273" s="18"/>
      <c r="MQA273" s="18"/>
      <c r="MQB273" s="18"/>
      <c r="MQC273" s="18"/>
      <c r="MQD273" s="18"/>
      <c r="MQE273" s="18"/>
      <c r="MQF273" s="18"/>
      <c r="MQG273" s="18"/>
      <c r="MQH273" s="18"/>
      <c r="MQI273" s="18"/>
      <c r="MQJ273" s="18"/>
      <c r="MQK273" s="18"/>
      <c r="MQL273" s="18"/>
      <c r="MQM273" s="18"/>
      <c r="MQN273" s="18"/>
      <c r="MQO273" s="18"/>
      <c r="MQP273" s="18"/>
      <c r="MQQ273" s="18"/>
      <c r="MQR273" s="18"/>
      <c r="MQS273" s="18"/>
      <c r="MQT273" s="18"/>
      <c r="MQU273" s="18"/>
      <c r="MQV273" s="18"/>
      <c r="MQW273" s="18"/>
      <c r="MQX273" s="18"/>
      <c r="MQY273" s="18"/>
      <c r="MQZ273" s="18"/>
      <c r="MRA273" s="18"/>
      <c r="MRB273" s="18"/>
      <c r="MRC273" s="18"/>
      <c r="MRD273" s="18"/>
      <c r="MRE273" s="18"/>
      <c r="MRF273" s="18"/>
      <c r="MRG273" s="18"/>
      <c r="MRH273" s="18"/>
      <c r="MRI273" s="18"/>
      <c r="MRJ273" s="18"/>
      <c r="MRK273" s="18"/>
      <c r="MRL273" s="18"/>
      <c r="MRM273" s="18"/>
      <c r="MRN273" s="18"/>
      <c r="MRO273" s="18"/>
      <c r="MRP273" s="18"/>
      <c r="MRQ273" s="18"/>
      <c r="MRR273" s="18"/>
      <c r="MRS273" s="18"/>
      <c r="MRT273" s="18"/>
      <c r="MRU273" s="18"/>
      <c r="MRV273" s="18"/>
      <c r="MRW273" s="18"/>
      <c r="MRX273" s="18"/>
      <c r="MRY273" s="18"/>
      <c r="MRZ273" s="18"/>
      <c r="MSA273" s="18"/>
      <c r="MSB273" s="18"/>
      <c r="MSC273" s="18"/>
      <c r="MSD273" s="18"/>
      <c r="MSE273" s="18"/>
      <c r="MSF273" s="18"/>
      <c r="MSG273" s="18"/>
      <c r="MSH273" s="18"/>
      <c r="MSI273" s="18"/>
      <c r="MSJ273" s="18"/>
      <c r="MSK273" s="18"/>
      <c r="MSL273" s="18"/>
      <c r="MSM273" s="18"/>
      <c r="MSN273" s="18"/>
      <c r="MSO273" s="18"/>
      <c r="MSP273" s="18"/>
      <c r="MSQ273" s="18"/>
      <c r="MSR273" s="18"/>
      <c r="MSS273" s="18"/>
      <c r="MST273" s="18"/>
      <c r="MSU273" s="18"/>
      <c r="MSV273" s="18"/>
      <c r="MSW273" s="18"/>
      <c r="MSX273" s="18"/>
      <c r="MSY273" s="18"/>
      <c r="MSZ273" s="18"/>
      <c r="MTA273" s="18"/>
      <c r="MTB273" s="18"/>
      <c r="MTC273" s="18"/>
      <c r="MTD273" s="18"/>
      <c r="MTE273" s="18"/>
      <c r="MTF273" s="18"/>
      <c r="MTG273" s="18"/>
      <c r="MTH273" s="18"/>
      <c r="MTI273" s="18"/>
      <c r="MTJ273" s="18"/>
      <c r="MTK273" s="18"/>
      <c r="MTL273" s="18"/>
      <c r="MTM273" s="18"/>
      <c r="MTN273" s="18"/>
      <c r="MTO273" s="18"/>
      <c r="MTP273" s="18"/>
      <c r="MTQ273" s="18"/>
      <c r="MTR273" s="18"/>
      <c r="MTS273" s="18"/>
      <c r="MTT273" s="18"/>
      <c r="MTU273" s="18"/>
      <c r="MTV273" s="18"/>
      <c r="MTW273" s="18"/>
      <c r="MTX273" s="18"/>
      <c r="MTY273" s="18"/>
      <c r="MTZ273" s="18"/>
      <c r="MUA273" s="18"/>
      <c r="MUB273" s="18"/>
      <c r="MUC273" s="18"/>
      <c r="MUD273" s="18"/>
      <c r="MUE273" s="18"/>
      <c r="MUF273" s="18"/>
      <c r="MUG273" s="18"/>
      <c r="MUH273" s="18"/>
      <c r="MUI273" s="18"/>
      <c r="MUJ273" s="18"/>
      <c r="MUK273" s="18"/>
      <c r="MUL273" s="18"/>
      <c r="MUM273" s="18"/>
      <c r="MUN273" s="18"/>
      <c r="MUO273" s="18"/>
      <c r="MUP273" s="18"/>
      <c r="MUQ273" s="18"/>
      <c r="MUR273" s="18"/>
      <c r="MUS273" s="18"/>
      <c r="MUT273" s="18"/>
      <c r="MUU273" s="18"/>
      <c r="MUV273" s="18"/>
      <c r="MUW273" s="18"/>
      <c r="MUX273" s="18"/>
      <c r="MUY273" s="18"/>
      <c r="MUZ273" s="18"/>
      <c r="MVA273" s="18"/>
      <c r="MVB273" s="18"/>
      <c r="MVC273" s="18"/>
      <c r="MVD273" s="18"/>
      <c r="MVE273" s="18"/>
      <c r="MVF273" s="18"/>
      <c r="MVG273" s="18"/>
      <c r="MVH273" s="18"/>
      <c r="MVI273" s="18"/>
      <c r="MVJ273" s="18"/>
      <c r="MVK273" s="18"/>
      <c r="MVL273" s="18"/>
      <c r="MVM273" s="18"/>
      <c r="MVN273" s="18"/>
      <c r="MVO273" s="18"/>
      <c r="MVP273" s="18"/>
      <c r="MVQ273" s="18"/>
      <c r="MVR273" s="18"/>
      <c r="MVS273" s="18"/>
      <c r="MVT273" s="18"/>
      <c r="MVU273" s="18"/>
      <c r="MVV273" s="18"/>
      <c r="MVW273" s="18"/>
      <c r="MVX273" s="18"/>
      <c r="MVY273" s="18"/>
      <c r="MVZ273" s="18"/>
      <c r="MWA273" s="18"/>
      <c r="MWB273" s="18"/>
      <c r="MWC273" s="18"/>
      <c r="MWD273" s="18"/>
      <c r="MWE273" s="18"/>
      <c r="MWF273" s="18"/>
      <c r="MWG273" s="18"/>
      <c r="MWH273" s="18"/>
      <c r="MWI273" s="18"/>
      <c r="MWJ273" s="18"/>
      <c r="MWK273" s="18"/>
      <c r="MWL273" s="18"/>
      <c r="MWM273" s="18"/>
      <c r="MWN273" s="18"/>
      <c r="MWO273" s="18"/>
      <c r="MWP273" s="18"/>
      <c r="MWQ273" s="18"/>
      <c r="MWR273" s="18"/>
      <c r="MWS273" s="18"/>
      <c r="MWT273" s="18"/>
      <c r="MWU273" s="18"/>
      <c r="MWV273" s="18"/>
      <c r="MWW273" s="18"/>
      <c r="MWX273" s="18"/>
      <c r="MWY273" s="18"/>
      <c r="MWZ273" s="18"/>
      <c r="MXA273" s="18"/>
      <c r="MXB273" s="18"/>
      <c r="MXC273" s="18"/>
      <c r="MXD273" s="18"/>
      <c r="MXE273" s="18"/>
      <c r="MXF273" s="18"/>
      <c r="MXG273" s="18"/>
      <c r="MXH273" s="18"/>
      <c r="MXI273" s="18"/>
      <c r="MXJ273" s="18"/>
      <c r="MXK273" s="18"/>
      <c r="MXL273" s="18"/>
      <c r="MXM273" s="18"/>
      <c r="MXN273" s="18"/>
      <c r="MXO273" s="18"/>
      <c r="MXP273" s="18"/>
      <c r="MXQ273" s="18"/>
      <c r="MXR273" s="18"/>
      <c r="MXS273" s="18"/>
      <c r="MXT273" s="18"/>
      <c r="MXU273" s="18"/>
      <c r="MXV273" s="18"/>
      <c r="MXW273" s="18"/>
      <c r="MXX273" s="18"/>
      <c r="MXY273" s="18"/>
      <c r="MXZ273" s="18"/>
      <c r="MYA273" s="18"/>
      <c r="MYB273" s="18"/>
      <c r="MYC273" s="18"/>
      <c r="MYD273" s="18"/>
      <c r="MYE273" s="18"/>
      <c r="MYF273" s="18"/>
      <c r="MYG273" s="18"/>
      <c r="MYH273" s="18"/>
      <c r="MYI273" s="18"/>
      <c r="MYJ273" s="18"/>
      <c r="MYK273" s="18"/>
      <c r="MYL273" s="18"/>
      <c r="MYM273" s="18"/>
      <c r="MYN273" s="18"/>
      <c r="MYO273" s="18"/>
      <c r="MYP273" s="18"/>
      <c r="MYQ273" s="18"/>
      <c r="MYR273" s="18"/>
      <c r="MYS273" s="18"/>
      <c r="MYT273" s="18"/>
      <c r="MYU273" s="18"/>
      <c r="MYV273" s="18"/>
      <c r="MYW273" s="18"/>
      <c r="MYX273" s="18"/>
      <c r="MYY273" s="18"/>
      <c r="MYZ273" s="18"/>
      <c r="MZA273" s="18"/>
      <c r="MZB273" s="18"/>
      <c r="MZC273" s="18"/>
      <c r="MZD273" s="18"/>
      <c r="MZE273" s="18"/>
      <c r="MZF273" s="18"/>
      <c r="MZG273" s="18"/>
      <c r="MZH273" s="18"/>
      <c r="MZI273" s="18"/>
      <c r="MZJ273" s="18"/>
      <c r="MZK273" s="18"/>
      <c r="MZL273" s="18"/>
      <c r="MZM273" s="18"/>
      <c r="MZN273" s="18"/>
      <c r="MZO273" s="18"/>
      <c r="MZP273" s="18"/>
      <c r="MZQ273" s="18"/>
      <c r="MZR273" s="18"/>
      <c r="MZS273" s="18"/>
      <c r="MZT273" s="18"/>
      <c r="MZU273" s="18"/>
      <c r="MZV273" s="18"/>
      <c r="MZW273" s="18"/>
      <c r="MZX273" s="18"/>
      <c r="MZY273" s="18"/>
      <c r="MZZ273" s="18"/>
      <c r="NAA273" s="18"/>
      <c r="NAB273" s="18"/>
      <c r="NAC273" s="18"/>
      <c r="NAD273" s="18"/>
      <c r="NAE273" s="18"/>
      <c r="NAF273" s="18"/>
      <c r="NAG273" s="18"/>
      <c r="NAH273" s="18"/>
      <c r="NAI273" s="18"/>
      <c r="NAJ273" s="18"/>
      <c r="NAK273" s="18"/>
      <c r="NAL273" s="18"/>
      <c r="NAM273" s="18"/>
      <c r="NAN273" s="18"/>
      <c r="NAO273" s="18"/>
      <c r="NAP273" s="18"/>
      <c r="NAQ273" s="18"/>
      <c r="NAR273" s="18"/>
      <c r="NAS273" s="18"/>
      <c r="NAT273" s="18"/>
      <c r="NAU273" s="18"/>
      <c r="NAV273" s="18"/>
      <c r="NAW273" s="18"/>
      <c r="NAX273" s="18"/>
      <c r="NAY273" s="18"/>
      <c r="NAZ273" s="18"/>
      <c r="NBA273" s="18"/>
      <c r="NBB273" s="18"/>
      <c r="NBC273" s="18"/>
      <c r="NBD273" s="18"/>
      <c r="NBE273" s="18"/>
      <c r="NBF273" s="18"/>
      <c r="NBG273" s="18"/>
      <c r="NBH273" s="18"/>
      <c r="NBI273" s="18"/>
      <c r="NBJ273" s="18"/>
      <c r="NBK273" s="18"/>
      <c r="NBL273" s="18"/>
      <c r="NBM273" s="18"/>
      <c r="NBN273" s="18"/>
      <c r="NBO273" s="18"/>
      <c r="NBP273" s="18"/>
      <c r="NBQ273" s="18"/>
      <c r="NBR273" s="18"/>
      <c r="NBS273" s="18"/>
      <c r="NBT273" s="18"/>
      <c r="NBU273" s="18"/>
      <c r="NBV273" s="18"/>
      <c r="NBW273" s="18"/>
      <c r="NBX273" s="18"/>
      <c r="NBY273" s="18"/>
      <c r="NBZ273" s="18"/>
      <c r="NCA273" s="18"/>
      <c r="NCB273" s="18"/>
      <c r="NCC273" s="18"/>
      <c r="NCD273" s="18"/>
      <c r="NCE273" s="18"/>
      <c r="NCF273" s="18"/>
      <c r="NCG273" s="18"/>
      <c r="NCH273" s="18"/>
      <c r="NCI273" s="18"/>
      <c r="NCJ273" s="18"/>
      <c r="NCK273" s="18"/>
      <c r="NCL273" s="18"/>
      <c r="NCM273" s="18"/>
      <c r="NCN273" s="18"/>
      <c r="NCO273" s="18"/>
      <c r="NCP273" s="18"/>
      <c r="NCQ273" s="18"/>
      <c r="NCR273" s="18"/>
      <c r="NCS273" s="18"/>
      <c r="NCT273" s="18"/>
      <c r="NCU273" s="18"/>
      <c r="NCV273" s="18"/>
      <c r="NCW273" s="18"/>
      <c r="NCX273" s="18"/>
      <c r="NCY273" s="18"/>
      <c r="NCZ273" s="18"/>
      <c r="NDA273" s="18"/>
      <c r="NDB273" s="18"/>
      <c r="NDC273" s="18"/>
      <c r="NDD273" s="18"/>
      <c r="NDE273" s="18"/>
      <c r="NDF273" s="18"/>
      <c r="NDG273" s="18"/>
      <c r="NDH273" s="18"/>
      <c r="NDI273" s="18"/>
      <c r="NDJ273" s="18"/>
      <c r="NDK273" s="18"/>
      <c r="NDL273" s="18"/>
      <c r="NDM273" s="18"/>
      <c r="NDN273" s="18"/>
      <c r="NDO273" s="18"/>
      <c r="NDP273" s="18"/>
      <c r="NDQ273" s="18"/>
      <c r="NDR273" s="18"/>
      <c r="NDS273" s="18"/>
      <c r="NDT273" s="18"/>
      <c r="NDU273" s="18"/>
      <c r="NDV273" s="18"/>
      <c r="NDW273" s="18"/>
      <c r="NDX273" s="18"/>
      <c r="NDY273" s="18"/>
      <c r="NDZ273" s="18"/>
      <c r="NEA273" s="18"/>
      <c r="NEB273" s="18"/>
      <c r="NEC273" s="18"/>
      <c r="NED273" s="18"/>
      <c r="NEE273" s="18"/>
      <c r="NEF273" s="18"/>
      <c r="NEG273" s="18"/>
      <c r="NEH273" s="18"/>
      <c r="NEI273" s="18"/>
      <c r="NEJ273" s="18"/>
      <c r="NEK273" s="18"/>
      <c r="NEL273" s="18"/>
      <c r="NEM273" s="18"/>
      <c r="NEN273" s="18"/>
      <c r="NEO273" s="18"/>
      <c r="NEP273" s="18"/>
      <c r="NEQ273" s="18"/>
      <c r="NER273" s="18"/>
      <c r="NES273" s="18"/>
      <c r="NET273" s="18"/>
      <c r="NEU273" s="18"/>
      <c r="NEV273" s="18"/>
      <c r="NEW273" s="18"/>
      <c r="NEX273" s="18"/>
      <c r="NEY273" s="18"/>
      <c r="NEZ273" s="18"/>
      <c r="NFA273" s="18"/>
      <c r="NFB273" s="18"/>
      <c r="NFC273" s="18"/>
      <c r="NFD273" s="18"/>
      <c r="NFE273" s="18"/>
      <c r="NFF273" s="18"/>
      <c r="NFG273" s="18"/>
      <c r="NFH273" s="18"/>
      <c r="NFI273" s="18"/>
      <c r="NFJ273" s="18"/>
      <c r="NFK273" s="18"/>
      <c r="NFL273" s="18"/>
      <c r="NFM273" s="18"/>
      <c r="NFN273" s="18"/>
      <c r="NFO273" s="18"/>
      <c r="NFP273" s="18"/>
      <c r="NFQ273" s="18"/>
      <c r="NFR273" s="18"/>
      <c r="NFS273" s="18"/>
      <c r="NFT273" s="18"/>
      <c r="NFU273" s="18"/>
      <c r="NFV273" s="18"/>
      <c r="NFW273" s="18"/>
      <c r="NFX273" s="18"/>
      <c r="NFY273" s="18"/>
      <c r="NFZ273" s="18"/>
      <c r="NGA273" s="18"/>
      <c r="NGB273" s="18"/>
      <c r="NGC273" s="18"/>
      <c r="NGD273" s="18"/>
      <c r="NGE273" s="18"/>
      <c r="NGF273" s="18"/>
      <c r="NGG273" s="18"/>
      <c r="NGH273" s="18"/>
      <c r="NGI273" s="18"/>
      <c r="NGJ273" s="18"/>
      <c r="NGK273" s="18"/>
      <c r="NGL273" s="18"/>
      <c r="NGM273" s="18"/>
      <c r="NGN273" s="18"/>
      <c r="NGO273" s="18"/>
      <c r="NGP273" s="18"/>
      <c r="NGQ273" s="18"/>
      <c r="NGR273" s="18"/>
      <c r="NGS273" s="18"/>
      <c r="NGT273" s="18"/>
      <c r="NGU273" s="18"/>
      <c r="NGV273" s="18"/>
      <c r="NGW273" s="18"/>
      <c r="NGX273" s="18"/>
      <c r="NGY273" s="18"/>
      <c r="NGZ273" s="18"/>
      <c r="NHA273" s="18"/>
      <c r="NHB273" s="18"/>
      <c r="NHC273" s="18"/>
      <c r="NHD273" s="18"/>
      <c r="NHE273" s="18"/>
      <c r="NHF273" s="18"/>
      <c r="NHG273" s="18"/>
      <c r="NHH273" s="18"/>
      <c r="NHI273" s="18"/>
      <c r="NHJ273" s="18"/>
      <c r="NHK273" s="18"/>
      <c r="NHL273" s="18"/>
      <c r="NHM273" s="18"/>
      <c r="NHN273" s="18"/>
      <c r="NHO273" s="18"/>
      <c r="NHP273" s="18"/>
      <c r="NHQ273" s="18"/>
      <c r="NHR273" s="18"/>
      <c r="NHS273" s="18"/>
      <c r="NHT273" s="18"/>
      <c r="NHU273" s="18"/>
      <c r="NHV273" s="18"/>
      <c r="NHW273" s="18"/>
      <c r="NHX273" s="18"/>
      <c r="NHY273" s="18"/>
      <c r="NHZ273" s="18"/>
      <c r="NIA273" s="18"/>
      <c r="NIB273" s="18"/>
      <c r="NIC273" s="18"/>
      <c r="NID273" s="18"/>
      <c r="NIE273" s="18"/>
      <c r="NIF273" s="18"/>
      <c r="NIG273" s="18"/>
      <c r="NIH273" s="18"/>
      <c r="NII273" s="18"/>
      <c r="NIJ273" s="18"/>
      <c r="NIK273" s="18"/>
      <c r="NIL273" s="18"/>
      <c r="NIM273" s="18"/>
      <c r="NIN273" s="18"/>
      <c r="NIO273" s="18"/>
      <c r="NIP273" s="18"/>
      <c r="NIQ273" s="18"/>
      <c r="NIR273" s="18"/>
      <c r="NIS273" s="18"/>
      <c r="NIT273" s="18"/>
      <c r="NIU273" s="18"/>
      <c r="NIV273" s="18"/>
      <c r="NIW273" s="18"/>
      <c r="NIX273" s="18"/>
      <c r="NIY273" s="18"/>
      <c r="NIZ273" s="18"/>
      <c r="NJA273" s="18"/>
      <c r="NJB273" s="18"/>
      <c r="NJC273" s="18"/>
      <c r="NJD273" s="18"/>
      <c r="NJE273" s="18"/>
      <c r="NJF273" s="18"/>
      <c r="NJG273" s="18"/>
      <c r="NJH273" s="18"/>
      <c r="NJI273" s="18"/>
      <c r="NJJ273" s="18"/>
      <c r="NJK273" s="18"/>
      <c r="NJL273" s="18"/>
      <c r="NJM273" s="18"/>
      <c r="NJN273" s="18"/>
      <c r="NJO273" s="18"/>
      <c r="NJP273" s="18"/>
      <c r="NJQ273" s="18"/>
      <c r="NJR273" s="18"/>
      <c r="NJS273" s="18"/>
      <c r="NJT273" s="18"/>
      <c r="NJU273" s="18"/>
      <c r="NJV273" s="18"/>
      <c r="NJW273" s="18"/>
      <c r="NJX273" s="18"/>
      <c r="NJY273" s="18"/>
      <c r="NJZ273" s="18"/>
      <c r="NKA273" s="18"/>
      <c r="NKB273" s="18"/>
      <c r="NKC273" s="18"/>
      <c r="NKD273" s="18"/>
      <c r="NKE273" s="18"/>
      <c r="NKF273" s="18"/>
      <c r="NKG273" s="18"/>
      <c r="NKH273" s="18"/>
      <c r="NKI273" s="18"/>
      <c r="NKJ273" s="18"/>
      <c r="NKK273" s="18"/>
      <c r="NKL273" s="18"/>
      <c r="NKM273" s="18"/>
      <c r="NKN273" s="18"/>
      <c r="NKO273" s="18"/>
      <c r="NKP273" s="18"/>
      <c r="NKQ273" s="18"/>
      <c r="NKR273" s="18"/>
      <c r="NKS273" s="18"/>
      <c r="NKT273" s="18"/>
      <c r="NKU273" s="18"/>
      <c r="NKV273" s="18"/>
      <c r="NKW273" s="18"/>
      <c r="NKX273" s="18"/>
      <c r="NKY273" s="18"/>
      <c r="NKZ273" s="18"/>
      <c r="NLA273" s="18"/>
      <c r="NLB273" s="18"/>
      <c r="NLC273" s="18"/>
      <c r="NLD273" s="18"/>
      <c r="NLE273" s="18"/>
      <c r="NLF273" s="18"/>
      <c r="NLG273" s="18"/>
      <c r="NLH273" s="18"/>
      <c r="NLI273" s="18"/>
      <c r="NLJ273" s="18"/>
      <c r="NLK273" s="18"/>
      <c r="NLL273" s="18"/>
      <c r="NLM273" s="18"/>
      <c r="NLN273" s="18"/>
      <c r="NLO273" s="18"/>
      <c r="NLP273" s="18"/>
      <c r="NLQ273" s="18"/>
      <c r="NLR273" s="18"/>
      <c r="NLS273" s="18"/>
      <c r="NLT273" s="18"/>
      <c r="NLU273" s="18"/>
      <c r="NLV273" s="18"/>
      <c r="NLW273" s="18"/>
      <c r="NLX273" s="18"/>
      <c r="NLY273" s="18"/>
      <c r="NLZ273" s="18"/>
      <c r="NMA273" s="18"/>
      <c r="NMB273" s="18"/>
      <c r="NMC273" s="18"/>
      <c r="NMD273" s="18"/>
      <c r="NME273" s="18"/>
      <c r="NMF273" s="18"/>
      <c r="NMG273" s="18"/>
      <c r="NMH273" s="18"/>
      <c r="NMI273" s="18"/>
      <c r="NMJ273" s="18"/>
      <c r="NMK273" s="18"/>
      <c r="NML273" s="18"/>
      <c r="NMM273" s="18"/>
      <c r="NMN273" s="18"/>
      <c r="NMO273" s="18"/>
      <c r="NMP273" s="18"/>
      <c r="NMQ273" s="18"/>
      <c r="NMR273" s="18"/>
      <c r="NMS273" s="18"/>
      <c r="NMT273" s="18"/>
      <c r="NMU273" s="18"/>
      <c r="NMV273" s="18"/>
      <c r="NMW273" s="18"/>
      <c r="NMX273" s="18"/>
      <c r="NMY273" s="18"/>
      <c r="NMZ273" s="18"/>
      <c r="NNA273" s="18"/>
      <c r="NNB273" s="18"/>
      <c r="NNC273" s="18"/>
      <c r="NND273" s="18"/>
      <c r="NNE273" s="18"/>
      <c r="NNF273" s="18"/>
      <c r="NNG273" s="18"/>
      <c r="NNH273" s="18"/>
      <c r="NNI273" s="18"/>
      <c r="NNJ273" s="18"/>
      <c r="NNK273" s="18"/>
      <c r="NNL273" s="18"/>
      <c r="NNM273" s="18"/>
      <c r="NNN273" s="18"/>
      <c r="NNO273" s="18"/>
      <c r="NNP273" s="18"/>
      <c r="NNQ273" s="18"/>
      <c r="NNR273" s="18"/>
      <c r="NNS273" s="18"/>
      <c r="NNT273" s="18"/>
      <c r="NNU273" s="18"/>
      <c r="NNV273" s="18"/>
      <c r="NNW273" s="18"/>
      <c r="NNX273" s="18"/>
      <c r="NNY273" s="18"/>
      <c r="NNZ273" s="18"/>
      <c r="NOA273" s="18"/>
      <c r="NOB273" s="18"/>
      <c r="NOC273" s="18"/>
      <c r="NOD273" s="18"/>
      <c r="NOE273" s="18"/>
      <c r="NOF273" s="18"/>
      <c r="NOG273" s="18"/>
      <c r="NOH273" s="18"/>
      <c r="NOI273" s="18"/>
      <c r="NOJ273" s="18"/>
      <c r="NOK273" s="18"/>
      <c r="NOL273" s="18"/>
      <c r="NOM273" s="18"/>
      <c r="NON273" s="18"/>
      <c r="NOO273" s="18"/>
      <c r="NOP273" s="18"/>
      <c r="NOQ273" s="18"/>
      <c r="NOR273" s="18"/>
      <c r="NOS273" s="18"/>
      <c r="NOT273" s="18"/>
      <c r="NOU273" s="18"/>
      <c r="NOV273" s="18"/>
      <c r="NOW273" s="18"/>
      <c r="NOX273" s="18"/>
      <c r="NOY273" s="18"/>
      <c r="NOZ273" s="18"/>
      <c r="NPA273" s="18"/>
      <c r="NPB273" s="18"/>
      <c r="NPC273" s="18"/>
      <c r="NPD273" s="18"/>
      <c r="NPE273" s="18"/>
      <c r="NPF273" s="18"/>
      <c r="NPG273" s="18"/>
      <c r="NPH273" s="18"/>
      <c r="NPI273" s="18"/>
      <c r="NPJ273" s="18"/>
      <c r="NPK273" s="18"/>
      <c r="NPL273" s="18"/>
      <c r="NPM273" s="18"/>
      <c r="NPN273" s="18"/>
      <c r="NPO273" s="18"/>
      <c r="NPP273" s="18"/>
      <c r="NPQ273" s="18"/>
      <c r="NPR273" s="18"/>
      <c r="NPS273" s="18"/>
      <c r="NPT273" s="18"/>
      <c r="NPU273" s="18"/>
      <c r="NPV273" s="18"/>
      <c r="NPW273" s="18"/>
      <c r="NPX273" s="18"/>
      <c r="NPY273" s="18"/>
      <c r="NPZ273" s="18"/>
      <c r="NQA273" s="18"/>
      <c r="NQB273" s="18"/>
      <c r="NQC273" s="18"/>
      <c r="NQD273" s="18"/>
      <c r="NQE273" s="18"/>
      <c r="NQF273" s="18"/>
      <c r="NQG273" s="18"/>
      <c r="NQH273" s="18"/>
      <c r="NQI273" s="18"/>
      <c r="NQJ273" s="18"/>
      <c r="NQK273" s="18"/>
      <c r="NQL273" s="18"/>
      <c r="NQM273" s="18"/>
      <c r="NQN273" s="18"/>
      <c r="NQO273" s="18"/>
      <c r="NQP273" s="18"/>
      <c r="NQQ273" s="18"/>
      <c r="NQR273" s="18"/>
      <c r="NQS273" s="18"/>
      <c r="NQT273" s="18"/>
      <c r="NQU273" s="18"/>
      <c r="NQV273" s="18"/>
      <c r="NQW273" s="18"/>
      <c r="NQX273" s="18"/>
      <c r="NQY273" s="18"/>
      <c r="NQZ273" s="18"/>
      <c r="NRA273" s="18"/>
      <c r="NRB273" s="18"/>
      <c r="NRC273" s="18"/>
      <c r="NRD273" s="18"/>
      <c r="NRE273" s="18"/>
      <c r="NRF273" s="18"/>
      <c r="NRG273" s="18"/>
      <c r="NRH273" s="18"/>
      <c r="NRI273" s="18"/>
      <c r="NRJ273" s="18"/>
      <c r="NRK273" s="18"/>
      <c r="NRL273" s="18"/>
      <c r="NRM273" s="18"/>
      <c r="NRN273" s="18"/>
      <c r="NRO273" s="18"/>
      <c r="NRP273" s="18"/>
      <c r="NRQ273" s="18"/>
      <c r="NRR273" s="18"/>
      <c r="NRS273" s="18"/>
      <c r="NRT273" s="18"/>
      <c r="NRU273" s="18"/>
      <c r="NRV273" s="18"/>
      <c r="NRW273" s="18"/>
      <c r="NRX273" s="18"/>
      <c r="NRY273" s="18"/>
      <c r="NRZ273" s="18"/>
      <c r="NSA273" s="18"/>
      <c r="NSB273" s="18"/>
      <c r="NSC273" s="18"/>
      <c r="NSD273" s="18"/>
      <c r="NSE273" s="18"/>
      <c r="NSF273" s="18"/>
      <c r="NSG273" s="18"/>
      <c r="NSH273" s="18"/>
      <c r="NSI273" s="18"/>
      <c r="NSJ273" s="18"/>
      <c r="NSK273" s="18"/>
      <c r="NSL273" s="18"/>
      <c r="NSM273" s="18"/>
      <c r="NSN273" s="18"/>
      <c r="NSO273" s="18"/>
      <c r="NSP273" s="18"/>
      <c r="NSQ273" s="18"/>
      <c r="NSR273" s="18"/>
      <c r="NSS273" s="18"/>
      <c r="NST273" s="18"/>
      <c r="NSU273" s="18"/>
      <c r="NSV273" s="18"/>
      <c r="NSW273" s="18"/>
      <c r="NSX273" s="18"/>
      <c r="NSY273" s="18"/>
      <c r="NSZ273" s="18"/>
      <c r="NTA273" s="18"/>
      <c r="NTB273" s="18"/>
      <c r="NTC273" s="18"/>
      <c r="NTD273" s="18"/>
      <c r="NTE273" s="18"/>
      <c r="NTF273" s="18"/>
      <c r="NTG273" s="18"/>
      <c r="NTH273" s="18"/>
      <c r="NTI273" s="18"/>
      <c r="NTJ273" s="18"/>
      <c r="NTK273" s="18"/>
      <c r="NTL273" s="18"/>
      <c r="NTM273" s="18"/>
      <c r="NTN273" s="18"/>
      <c r="NTO273" s="18"/>
      <c r="NTP273" s="18"/>
      <c r="NTQ273" s="18"/>
      <c r="NTR273" s="18"/>
      <c r="NTS273" s="18"/>
      <c r="NTT273" s="18"/>
      <c r="NTU273" s="18"/>
      <c r="NTV273" s="18"/>
      <c r="NTW273" s="18"/>
      <c r="NTX273" s="18"/>
      <c r="NTY273" s="18"/>
      <c r="NTZ273" s="18"/>
      <c r="NUA273" s="18"/>
      <c r="NUB273" s="18"/>
      <c r="NUC273" s="18"/>
      <c r="NUD273" s="18"/>
      <c r="NUE273" s="18"/>
      <c r="NUF273" s="18"/>
      <c r="NUG273" s="18"/>
      <c r="NUH273" s="18"/>
      <c r="NUI273" s="18"/>
      <c r="NUJ273" s="18"/>
      <c r="NUK273" s="18"/>
      <c r="NUL273" s="18"/>
      <c r="NUM273" s="18"/>
      <c r="NUN273" s="18"/>
      <c r="NUO273" s="18"/>
      <c r="NUP273" s="18"/>
      <c r="NUQ273" s="18"/>
      <c r="NUR273" s="18"/>
      <c r="NUS273" s="18"/>
      <c r="NUT273" s="18"/>
      <c r="NUU273" s="18"/>
      <c r="NUV273" s="18"/>
      <c r="NUW273" s="18"/>
      <c r="NUX273" s="18"/>
      <c r="NUY273" s="18"/>
      <c r="NUZ273" s="18"/>
      <c r="NVA273" s="18"/>
      <c r="NVB273" s="18"/>
      <c r="NVC273" s="18"/>
      <c r="NVD273" s="18"/>
      <c r="NVE273" s="18"/>
      <c r="NVF273" s="18"/>
      <c r="NVG273" s="18"/>
      <c r="NVH273" s="18"/>
      <c r="NVI273" s="18"/>
      <c r="NVJ273" s="18"/>
      <c r="NVK273" s="18"/>
      <c r="NVL273" s="18"/>
      <c r="NVM273" s="18"/>
      <c r="NVN273" s="18"/>
      <c r="NVO273" s="18"/>
      <c r="NVP273" s="18"/>
      <c r="NVQ273" s="18"/>
      <c r="NVR273" s="18"/>
      <c r="NVS273" s="18"/>
      <c r="NVT273" s="18"/>
      <c r="NVU273" s="18"/>
      <c r="NVV273" s="18"/>
      <c r="NVW273" s="18"/>
      <c r="NVX273" s="18"/>
      <c r="NVY273" s="18"/>
      <c r="NVZ273" s="18"/>
      <c r="NWA273" s="18"/>
      <c r="NWB273" s="18"/>
      <c r="NWC273" s="18"/>
      <c r="NWD273" s="18"/>
      <c r="NWE273" s="18"/>
      <c r="NWF273" s="18"/>
      <c r="NWG273" s="18"/>
      <c r="NWH273" s="18"/>
      <c r="NWI273" s="18"/>
      <c r="NWJ273" s="18"/>
      <c r="NWK273" s="18"/>
      <c r="NWL273" s="18"/>
      <c r="NWM273" s="18"/>
      <c r="NWN273" s="18"/>
      <c r="NWO273" s="18"/>
      <c r="NWP273" s="18"/>
      <c r="NWQ273" s="18"/>
      <c r="NWR273" s="18"/>
      <c r="NWS273" s="18"/>
      <c r="NWT273" s="18"/>
      <c r="NWU273" s="18"/>
      <c r="NWV273" s="18"/>
      <c r="NWW273" s="18"/>
      <c r="NWX273" s="18"/>
      <c r="NWY273" s="18"/>
      <c r="NWZ273" s="18"/>
      <c r="NXA273" s="18"/>
      <c r="NXB273" s="18"/>
      <c r="NXC273" s="18"/>
      <c r="NXD273" s="18"/>
      <c r="NXE273" s="18"/>
      <c r="NXF273" s="18"/>
      <c r="NXG273" s="18"/>
      <c r="NXH273" s="18"/>
      <c r="NXI273" s="18"/>
      <c r="NXJ273" s="18"/>
      <c r="NXK273" s="18"/>
      <c r="NXL273" s="18"/>
      <c r="NXM273" s="18"/>
      <c r="NXN273" s="18"/>
      <c r="NXO273" s="18"/>
      <c r="NXP273" s="18"/>
      <c r="NXQ273" s="18"/>
      <c r="NXR273" s="18"/>
      <c r="NXS273" s="18"/>
      <c r="NXT273" s="18"/>
      <c r="NXU273" s="18"/>
      <c r="NXV273" s="18"/>
      <c r="NXW273" s="18"/>
      <c r="NXX273" s="18"/>
      <c r="NXY273" s="18"/>
      <c r="NXZ273" s="18"/>
      <c r="NYA273" s="18"/>
      <c r="NYB273" s="18"/>
      <c r="NYC273" s="18"/>
      <c r="NYD273" s="18"/>
      <c r="NYE273" s="18"/>
      <c r="NYF273" s="18"/>
      <c r="NYG273" s="18"/>
      <c r="NYH273" s="18"/>
      <c r="NYI273" s="18"/>
      <c r="NYJ273" s="18"/>
      <c r="NYK273" s="18"/>
      <c r="NYL273" s="18"/>
      <c r="NYM273" s="18"/>
      <c r="NYN273" s="18"/>
      <c r="NYO273" s="18"/>
      <c r="NYP273" s="18"/>
      <c r="NYQ273" s="18"/>
      <c r="NYR273" s="18"/>
      <c r="NYS273" s="18"/>
      <c r="NYT273" s="18"/>
      <c r="NYU273" s="18"/>
      <c r="NYV273" s="18"/>
      <c r="NYW273" s="18"/>
      <c r="NYX273" s="18"/>
      <c r="NYY273" s="18"/>
      <c r="NYZ273" s="18"/>
      <c r="NZA273" s="18"/>
      <c r="NZB273" s="18"/>
      <c r="NZC273" s="18"/>
      <c r="NZD273" s="18"/>
      <c r="NZE273" s="18"/>
      <c r="NZF273" s="18"/>
      <c r="NZG273" s="18"/>
      <c r="NZH273" s="18"/>
      <c r="NZI273" s="18"/>
      <c r="NZJ273" s="18"/>
      <c r="NZK273" s="18"/>
      <c r="NZL273" s="18"/>
      <c r="NZM273" s="18"/>
      <c r="NZN273" s="18"/>
      <c r="NZO273" s="18"/>
      <c r="NZP273" s="18"/>
      <c r="NZQ273" s="18"/>
      <c r="NZR273" s="18"/>
      <c r="NZS273" s="18"/>
      <c r="NZT273" s="18"/>
      <c r="NZU273" s="18"/>
      <c r="NZV273" s="18"/>
      <c r="NZW273" s="18"/>
      <c r="NZX273" s="18"/>
      <c r="NZY273" s="18"/>
      <c r="NZZ273" s="18"/>
      <c r="OAA273" s="18"/>
      <c r="OAB273" s="18"/>
      <c r="OAC273" s="18"/>
      <c r="OAD273" s="18"/>
      <c r="OAE273" s="18"/>
      <c r="OAF273" s="18"/>
      <c r="OAG273" s="18"/>
      <c r="OAH273" s="18"/>
      <c r="OAI273" s="18"/>
      <c r="OAJ273" s="18"/>
      <c r="OAK273" s="18"/>
      <c r="OAL273" s="18"/>
      <c r="OAM273" s="18"/>
      <c r="OAN273" s="18"/>
      <c r="OAO273" s="18"/>
      <c r="OAP273" s="18"/>
      <c r="OAQ273" s="18"/>
      <c r="OAR273" s="18"/>
      <c r="OAS273" s="18"/>
      <c r="OAT273" s="18"/>
      <c r="OAU273" s="18"/>
      <c r="OAV273" s="18"/>
      <c r="OAW273" s="18"/>
      <c r="OAX273" s="18"/>
      <c r="OAY273" s="18"/>
      <c r="OAZ273" s="18"/>
      <c r="OBA273" s="18"/>
      <c r="OBB273" s="18"/>
      <c r="OBC273" s="18"/>
      <c r="OBD273" s="18"/>
      <c r="OBE273" s="18"/>
      <c r="OBF273" s="18"/>
      <c r="OBG273" s="18"/>
      <c r="OBH273" s="18"/>
      <c r="OBI273" s="18"/>
      <c r="OBJ273" s="18"/>
      <c r="OBK273" s="18"/>
      <c r="OBL273" s="18"/>
      <c r="OBM273" s="18"/>
      <c r="OBN273" s="18"/>
      <c r="OBO273" s="18"/>
      <c r="OBP273" s="18"/>
      <c r="OBQ273" s="18"/>
      <c r="OBR273" s="18"/>
      <c r="OBS273" s="18"/>
      <c r="OBT273" s="18"/>
      <c r="OBU273" s="18"/>
      <c r="OBV273" s="18"/>
      <c r="OBW273" s="18"/>
      <c r="OBX273" s="18"/>
      <c r="OBY273" s="18"/>
      <c r="OBZ273" s="18"/>
      <c r="OCA273" s="18"/>
      <c r="OCB273" s="18"/>
      <c r="OCC273" s="18"/>
      <c r="OCD273" s="18"/>
      <c r="OCE273" s="18"/>
      <c r="OCF273" s="18"/>
      <c r="OCG273" s="18"/>
      <c r="OCH273" s="18"/>
      <c r="OCI273" s="18"/>
      <c r="OCJ273" s="18"/>
      <c r="OCK273" s="18"/>
      <c r="OCL273" s="18"/>
      <c r="OCM273" s="18"/>
      <c r="OCN273" s="18"/>
      <c r="OCO273" s="18"/>
      <c r="OCP273" s="18"/>
      <c r="OCQ273" s="18"/>
      <c r="OCR273" s="18"/>
      <c r="OCS273" s="18"/>
      <c r="OCT273" s="18"/>
      <c r="OCU273" s="18"/>
      <c r="OCV273" s="18"/>
      <c r="OCW273" s="18"/>
      <c r="OCX273" s="18"/>
      <c r="OCY273" s="18"/>
      <c r="OCZ273" s="18"/>
      <c r="ODA273" s="18"/>
      <c r="ODB273" s="18"/>
      <c r="ODC273" s="18"/>
      <c r="ODD273" s="18"/>
      <c r="ODE273" s="18"/>
      <c r="ODF273" s="18"/>
      <c r="ODG273" s="18"/>
      <c r="ODH273" s="18"/>
      <c r="ODI273" s="18"/>
      <c r="ODJ273" s="18"/>
      <c r="ODK273" s="18"/>
      <c r="ODL273" s="18"/>
      <c r="ODM273" s="18"/>
      <c r="ODN273" s="18"/>
      <c r="ODO273" s="18"/>
      <c r="ODP273" s="18"/>
      <c r="ODQ273" s="18"/>
      <c r="ODR273" s="18"/>
      <c r="ODS273" s="18"/>
      <c r="ODT273" s="18"/>
      <c r="ODU273" s="18"/>
      <c r="ODV273" s="18"/>
      <c r="ODW273" s="18"/>
      <c r="ODX273" s="18"/>
      <c r="ODY273" s="18"/>
      <c r="ODZ273" s="18"/>
      <c r="OEA273" s="18"/>
      <c r="OEB273" s="18"/>
      <c r="OEC273" s="18"/>
      <c r="OED273" s="18"/>
      <c r="OEE273" s="18"/>
      <c r="OEF273" s="18"/>
      <c r="OEG273" s="18"/>
      <c r="OEH273" s="18"/>
      <c r="OEI273" s="18"/>
      <c r="OEJ273" s="18"/>
      <c r="OEK273" s="18"/>
      <c r="OEL273" s="18"/>
      <c r="OEM273" s="18"/>
      <c r="OEN273" s="18"/>
      <c r="OEO273" s="18"/>
      <c r="OEP273" s="18"/>
      <c r="OEQ273" s="18"/>
      <c r="OER273" s="18"/>
      <c r="OES273" s="18"/>
      <c r="OET273" s="18"/>
      <c r="OEU273" s="18"/>
      <c r="OEV273" s="18"/>
      <c r="OEW273" s="18"/>
      <c r="OEX273" s="18"/>
      <c r="OEY273" s="18"/>
      <c r="OEZ273" s="18"/>
      <c r="OFA273" s="18"/>
      <c r="OFB273" s="18"/>
      <c r="OFC273" s="18"/>
      <c r="OFD273" s="18"/>
      <c r="OFE273" s="18"/>
      <c r="OFF273" s="18"/>
      <c r="OFG273" s="18"/>
      <c r="OFH273" s="18"/>
      <c r="OFI273" s="18"/>
      <c r="OFJ273" s="18"/>
      <c r="OFK273" s="18"/>
      <c r="OFL273" s="18"/>
      <c r="OFM273" s="18"/>
      <c r="OFN273" s="18"/>
      <c r="OFO273" s="18"/>
      <c r="OFP273" s="18"/>
      <c r="OFQ273" s="18"/>
      <c r="OFR273" s="18"/>
      <c r="OFS273" s="18"/>
      <c r="OFT273" s="18"/>
      <c r="OFU273" s="18"/>
      <c r="OFV273" s="18"/>
      <c r="OFW273" s="18"/>
      <c r="OFX273" s="18"/>
      <c r="OFY273" s="18"/>
      <c r="OFZ273" s="18"/>
      <c r="OGA273" s="18"/>
      <c r="OGB273" s="18"/>
      <c r="OGC273" s="18"/>
      <c r="OGD273" s="18"/>
      <c r="OGE273" s="18"/>
      <c r="OGF273" s="18"/>
      <c r="OGG273" s="18"/>
      <c r="OGH273" s="18"/>
      <c r="OGI273" s="18"/>
      <c r="OGJ273" s="18"/>
      <c r="OGK273" s="18"/>
      <c r="OGL273" s="18"/>
      <c r="OGM273" s="18"/>
      <c r="OGN273" s="18"/>
      <c r="OGO273" s="18"/>
      <c r="OGP273" s="18"/>
      <c r="OGQ273" s="18"/>
      <c r="OGR273" s="18"/>
      <c r="OGS273" s="18"/>
      <c r="OGT273" s="18"/>
      <c r="OGU273" s="18"/>
      <c r="OGV273" s="18"/>
      <c r="OGW273" s="18"/>
      <c r="OGX273" s="18"/>
      <c r="OGY273" s="18"/>
      <c r="OGZ273" s="18"/>
      <c r="OHA273" s="18"/>
      <c r="OHB273" s="18"/>
      <c r="OHC273" s="18"/>
      <c r="OHD273" s="18"/>
      <c r="OHE273" s="18"/>
      <c r="OHF273" s="18"/>
      <c r="OHG273" s="18"/>
      <c r="OHH273" s="18"/>
      <c r="OHI273" s="18"/>
      <c r="OHJ273" s="18"/>
      <c r="OHK273" s="18"/>
      <c r="OHL273" s="18"/>
      <c r="OHM273" s="18"/>
      <c r="OHN273" s="18"/>
      <c r="OHO273" s="18"/>
      <c r="OHP273" s="18"/>
      <c r="OHQ273" s="18"/>
      <c r="OHR273" s="18"/>
      <c r="OHS273" s="18"/>
      <c r="OHT273" s="18"/>
      <c r="OHU273" s="18"/>
      <c r="OHV273" s="18"/>
      <c r="OHW273" s="18"/>
      <c r="OHX273" s="18"/>
      <c r="OHY273" s="18"/>
      <c r="OHZ273" s="18"/>
      <c r="OIA273" s="18"/>
      <c r="OIB273" s="18"/>
      <c r="OIC273" s="18"/>
      <c r="OID273" s="18"/>
      <c r="OIE273" s="18"/>
      <c r="OIF273" s="18"/>
      <c r="OIG273" s="18"/>
      <c r="OIH273" s="18"/>
      <c r="OII273" s="18"/>
      <c r="OIJ273" s="18"/>
      <c r="OIK273" s="18"/>
      <c r="OIL273" s="18"/>
      <c r="OIM273" s="18"/>
      <c r="OIN273" s="18"/>
      <c r="OIO273" s="18"/>
      <c r="OIP273" s="18"/>
      <c r="OIQ273" s="18"/>
      <c r="OIR273" s="18"/>
      <c r="OIS273" s="18"/>
      <c r="OIT273" s="18"/>
      <c r="OIU273" s="18"/>
      <c r="OIV273" s="18"/>
      <c r="OIW273" s="18"/>
      <c r="OIX273" s="18"/>
      <c r="OIY273" s="18"/>
      <c r="OIZ273" s="18"/>
      <c r="OJA273" s="18"/>
      <c r="OJB273" s="18"/>
      <c r="OJC273" s="18"/>
      <c r="OJD273" s="18"/>
      <c r="OJE273" s="18"/>
      <c r="OJF273" s="18"/>
      <c r="OJG273" s="18"/>
      <c r="OJH273" s="18"/>
      <c r="OJI273" s="18"/>
      <c r="OJJ273" s="18"/>
      <c r="OJK273" s="18"/>
      <c r="OJL273" s="18"/>
      <c r="OJM273" s="18"/>
      <c r="OJN273" s="18"/>
      <c r="OJO273" s="18"/>
      <c r="OJP273" s="18"/>
      <c r="OJQ273" s="18"/>
      <c r="OJR273" s="18"/>
      <c r="OJS273" s="18"/>
      <c r="OJT273" s="18"/>
      <c r="OJU273" s="18"/>
      <c r="OJV273" s="18"/>
      <c r="OJW273" s="18"/>
      <c r="OJX273" s="18"/>
      <c r="OJY273" s="18"/>
      <c r="OJZ273" s="18"/>
      <c r="OKA273" s="18"/>
      <c r="OKB273" s="18"/>
      <c r="OKC273" s="18"/>
      <c r="OKD273" s="18"/>
      <c r="OKE273" s="18"/>
      <c r="OKF273" s="18"/>
      <c r="OKG273" s="18"/>
      <c r="OKH273" s="18"/>
      <c r="OKI273" s="18"/>
      <c r="OKJ273" s="18"/>
      <c r="OKK273" s="18"/>
      <c r="OKL273" s="18"/>
      <c r="OKM273" s="18"/>
      <c r="OKN273" s="18"/>
      <c r="OKO273" s="18"/>
      <c r="OKP273" s="18"/>
      <c r="OKQ273" s="18"/>
      <c r="OKR273" s="18"/>
      <c r="OKS273" s="18"/>
      <c r="OKT273" s="18"/>
      <c r="OKU273" s="18"/>
      <c r="OKV273" s="18"/>
      <c r="OKW273" s="18"/>
      <c r="OKX273" s="18"/>
      <c r="OKY273" s="18"/>
      <c r="OKZ273" s="18"/>
      <c r="OLA273" s="18"/>
      <c r="OLB273" s="18"/>
      <c r="OLC273" s="18"/>
      <c r="OLD273" s="18"/>
      <c r="OLE273" s="18"/>
      <c r="OLF273" s="18"/>
      <c r="OLG273" s="18"/>
      <c r="OLH273" s="18"/>
      <c r="OLI273" s="18"/>
      <c r="OLJ273" s="18"/>
      <c r="OLK273" s="18"/>
      <c r="OLL273" s="18"/>
      <c r="OLM273" s="18"/>
      <c r="OLN273" s="18"/>
      <c r="OLO273" s="18"/>
      <c r="OLP273" s="18"/>
      <c r="OLQ273" s="18"/>
      <c r="OLR273" s="18"/>
      <c r="OLS273" s="18"/>
      <c r="OLT273" s="18"/>
      <c r="OLU273" s="18"/>
      <c r="OLV273" s="18"/>
      <c r="OLW273" s="18"/>
      <c r="OLX273" s="18"/>
      <c r="OLY273" s="18"/>
      <c r="OLZ273" s="18"/>
      <c r="OMA273" s="18"/>
      <c r="OMB273" s="18"/>
      <c r="OMC273" s="18"/>
      <c r="OMD273" s="18"/>
      <c r="OME273" s="18"/>
      <c r="OMF273" s="18"/>
      <c r="OMG273" s="18"/>
      <c r="OMH273" s="18"/>
      <c r="OMI273" s="18"/>
      <c r="OMJ273" s="18"/>
      <c r="OMK273" s="18"/>
      <c r="OML273" s="18"/>
      <c r="OMM273" s="18"/>
      <c r="OMN273" s="18"/>
      <c r="OMO273" s="18"/>
      <c r="OMP273" s="18"/>
      <c r="OMQ273" s="18"/>
      <c r="OMR273" s="18"/>
      <c r="OMS273" s="18"/>
      <c r="OMT273" s="18"/>
      <c r="OMU273" s="18"/>
      <c r="OMV273" s="18"/>
      <c r="OMW273" s="18"/>
      <c r="OMX273" s="18"/>
      <c r="OMY273" s="18"/>
      <c r="OMZ273" s="18"/>
      <c r="ONA273" s="18"/>
      <c r="ONB273" s="18"/>
      <c r="ONC273" s="18"/>
      <c r="OND273" s="18"/>
      <c r="ONE273" s="18"/>
      <c r="ONF273" s="18"/>
      <c r="ONG273" s="18"/>
      <c r="ONH273" s="18"/>
      <c r="ONI273" s="18"/>
      <c r="ONJ273" s="18"/>
      <c r="ONK273" s="18"/>
      <c r="ONL273" s="18"/>
      <c r="ONM273" s="18"/>
      <c r="ONN273" s="18"/>
      <c r="ONO273" s="18"/>
      <c r="ONP273" s="18"/>
      <c r="ONQ273" s="18"/>
      <c r="ONR273" s="18"/>
      <c r="ONS273" s="18"/>
      <c r="ONT273" s="18"/>
      <c r="ONU273" s="18"/>
      <c r="ONV273" s="18"/>
      <c r="ONW273" s="18"/>
      <c r="ONX273" s="18"/>
      <c r="ONY273" s="18"/>
      <c r="ONZ273" s="18"/>
      <c r="OOA273" s="18"/>
      <c r="OOB273" s="18"/>
      <c r="OOC273" s="18"/>
      <c r="OOD273" s="18"/>
      <c r="OOE273" s="18"/>
      <c r="OOF273" s="18"/>
      <c r="OOG273" s="18"/>
      <c r="OOH273" s="18"/>
      <c r="OOI273" s="18"/>
      <c r="OOJ273" s="18"/>
      <c r="OOK273" s="18"/>
      <c r="OOL273" s="18"/>
      <c r="OOM273" s="18"/>
      <c r="OON273" s="18"/>
      <c r="OOO273" s="18"/>
      <c r="OOP273" s="18"/>
      <c r="OOQ273" s="18"/>
      <c r="OOR273" s="18"/>
      <c r="OOS273" s="18"/>
      <c r="OOT273" s="18"/>
      <c r="OOU273" s="18"/>
      <c r="OOV273" s="18"/>
      <c r="OOW273" s="18"/>
      <c r="OOX273" s="18"/>
      <c r="OOY273" s="18"/>
      <c r="OOZ273" s="18"/>
      <c r="OPA273" s="18"/>
      <c r="OPB273" s="18"/>
      <c r="OPC273" s="18"/>
      <c r="OPD273" s="18"/>
      <c r="OPE273" s="18"/>
      <c r="OPF273" s="18"/>
      <c r="OPG273" s="18"/>
      <c r="OPH273" s="18"/>
      <c r="OPI273" s="18"/>
      <c r="OPJ273" s="18"/>
      <c r="OPK273" s="18"/>
      <c r="OPL273" s="18"/>
      <c r="OPM273" s="18"/>
      <c r="OPN273" s="18"/>
      <c r="OPO273" s="18"/>
      <c r="OPP273" s="18"/>
      <c r="OPQ273" s="18"/>
      <c r="OPR273" s="18"/>
      <c r="OPS273" s="18"/>
      <c r="OPT273" s="18"/>
      <c r="OPU273" s="18"/>
      <c r="OPV273" s="18"/>
      <c r="OPW273" s="18"/>
      <c r="OPX273" s="18"/>
      <c r="OPY273" s="18"/>
      <c r="OPZ273" s="18"/>
      <c r="OQA273" s="18"/>
      <c r="OQB273" s="18"/>
      <c r="OQC273" s="18"/>
      <c r="OQD273" s="18"/>
      <c r="OQE273" s="18"/>
      <c r="OQF273" s="18"/>
      <c r="OQG273" s="18"/>
      <c r="OQH273" s="18"/>
      <c r="OQI273" s="18"/>
      <c r="OQJ273" s="18"/>
      <c r="OQK273" s="18"/>
      <c r="OQL273" s="18"/>
      <c r="OQM273" s="18"/>
      <c r="OQN273" s="18"/>
      <c r="OQO273" s="18"/>
      <c r="OQP273" s="18"/>
      <c r="OQQ273" s="18"/>
      <c r="OQR273" s="18"/>
      <c r="OQS273" s="18"/>
      <c r="OQT273" s="18"/>
      <c r="OQU273" s="18"/>
      <c r="OQV273" s="18"/>
      <c r="OQW273" s="18"/>
      <c r="OQX273" s="18"/>
      <c r="OQY273" s="18"/>
      <c r="OQZ273" s="18"/>
      <c r="ORA273" s="18"/>
      <c r="ORB273" s="18"/>
      <c r="ORC273" s="18"/>
      <c r="ORD273" s="18"/>
      <c r="ORE273" s="18"/>
      <c r="ORF273" s="18"/>
      <c r="ORG273" s="18"/>
      <c r="ORH273" s="18"/>
      <c r="ORI273" s="18"/>
      <c r="ORJ273" s="18"/>
      <c r="ORK273" s="18"/>
      <c r="ORL273" s="18"/>
      <c r="ORM273" s="18"/>
      <c r="ORN273" s="18"/>
      <c r="ORO273" s="18"/>
      <c r="ORP273" s="18"/>
      <c r="ORQ273" s="18"/>
      <c r="ORR273" s="18"/>
      <c r="ORS273" s="18"/>
      <c r="ORT273" s="18"/>
      <c r="ORU273" s="18"/>
      <c r="ORV273" s="18"/>
      <c r="ORW273" s="18"/>
      <c r="ORX273" s="18"/>
      <c r="ORY273" s="18"/>
      <c r="ORZ273" s="18"/>
      <c r="OSA273" s="18"/>
      <c r="OSB273" s="18"/>
      <c r="OSC273" s="18"/>
      <c r="OSD273" s="18"/>
      <c r="OSE273" s="18"/>
      <c r="OSF273" s="18"/>
      <c r="OSG273" s="18"/>
      <c r="OSH273" s="18"/>
      <c r="OSI273" s="18"/>
      <c r="OSJ273" s="18"/>
      <c r="OSK273" s="18"/>
      <c r="OSL273" s="18"/>
      <c r="OSM273" s="18"/>
      <c r="OSN273" s="18"/>
      <c r="OSO273" s="18"/>
      <c r="OSP273" s="18"/>
      <c r="OSQ273" s="18"/>
      <c r="OSR273" s="18"/>
      <c r="OSS273" s="18"/>
      <c r="OST273" s="18"/>
      <c r="OSU273" s="18"/>
      <c r="OSV273" s="18"/>
      <c r="OSW273" s="18"/>
      <c r="OSX273" s="18"/>
      <c r="OSY273" s="18"/>
      <c r="OSZ273" s="18"/>
      <c r="OTA273" s="18"/>
      <c r="OTB273" s="18"/>
      <c r="OTC273" s="18"/>
      <c r="OTD273" s="18"/>
      <c r="OTE273" s="18"/>
      <c r="OTF273" s="18"/>
      <c r="OTG273" s="18"/>
      <c r="OTH273" s="18"/>
      <c r="OTI273" s="18"/>
      <c r="OTJ273" s="18"/>
      <c r="OTK273" s="18"/>
      <c r="OTL273" s="18"/>
      <c r="OTM273" s="18"/>
      <c r="OTN273" s="18"/>
      <c r="OTO273" s="18"/>
      <c r="OTP273" s="18"/>
      <c r="OTQ273" s="18"/>
      <c r="OTR273" s="18"/>
      <c r="OTS273" s="18"/>
      <c r="OTT273" s="18"/>
      <c r="OTU273" s="18"/>
      <c r="OTV273" s="18"/>
      <c r="OTW273" s="18"/>
      <c r="OTX273" s="18"/>
      <c r="OTY273" s="18"/>
      <c r="OTZ273" s="18"/>
      <c r="OUA273" s="18"/>
      <c r="OUB273" s="18"/>
      <c r="OUC273" s="18"/>
      <c r="OUD273" s="18"/>
      <c r="OUE273" s="18"/>
      <c r="OUF273" s="18"/>
      <c r="OUG273" s="18"/>
      <c r="OUH273" s="18"/>
      <c r="OUI273" s="18"/>
      <c r="OUJ273" s="18"/>
      <c r="OUK273" s="18"/>
      <c r="OUL273" s="18"/>
      <c r="OUM273" s="18"/>
      <c r="OUN273" s="18"/>
      <c r="OUO273" s="18"/>
      <c r="OUP273" s="18"/>
      <c r="OUQ273" s="18"/>
      <c r="OUR273" s="18"/>
      <c r="OUS273" s="18"/>
      <c r="OUT273" s="18"/>
      <c r="OUU273" s="18"/>
      <c r="OUV273" s="18"/>
      <c r="OUW273" s="18"/>
      <c r="OUX273" s="18"/>
      <c r="OUY273" s="18"/>
      <c r="OUZ273" s="18"/>
      <c r="OVA273" s="18"/>
      <c r="OVB273" s="18"/>
      <c r="OVC273" s="18"/>
      <c r="OVD273" s="18"/>
      <c r="OVE273" s="18"/>
      <c r="OVF273" s="18"/>
      <c r="OVG273" s="18"/>
      <c r="OVH273" s="18"/>
      <c r="OVI273" s="18"/>
      <c r="OVJ273" s="18"/>
      <c r="OVK273" s="18"/>
      <c r="OVL273" s="18"/>
      <c r="OVM273" s="18"/>
      <c r="OVN273" s="18"/>
      <c r="OVO273" s="18"/>
      <c r="OVP273" s="18"/>
      <c r="OVQ273" s="18"/>
      <c r="OVR273" s="18"/>
      <c r="OVS273" s="18"/>
      <c r="OVT273" s="18"/>
      <c r="OVU273" s="18"/>
      <c r="OVV273" s="18"/>
      <c r="OVW273" s="18"/>
      <c r="OVX273" s="18"/>
      <c r="OVY273" s="18"/>
      <c r="OVZ273" s="18"/>
      <c r="OWA273" s="18"/>
      <c r="OWB273" s="18"/>
      <c r="OWC273" s="18"/>
      <c r="OWD273" s="18"/>
      <c r="OWE273" s="18"/>
      <c r="OWF273" s="18"/>
      <c r="OWG273" s="18"/>
      <c r="OWH273" s="18"/>
      <c r="OWI273" s="18"/>
      <c r="OWJ273" s="18"/>
      <c r="OWK273" s="18"/>
      <c r="OWL273" s="18"/>
      <c r="OWM273" s="18"/>
      <c r="OWN273" s="18"/>
      <c r="OWO273" s="18"/>
      <c r="OWP273" s="18"/>
      <c r="OWQ273" s="18"/>
      <c r="OWR273" s="18"/>
      <c r="OWS273" s="18"/>
      <c r="OWT273" s="18"/>
      <c r="OWU273" s="18"/>
      <c r="OWV273" s="18"/>
      <c r="OWW273" s="18"/>
      <c r="OWX273" s="18"/>
      <c r="OWY273" s="18"/>
      <c r="OWZ273" s="18"/>
      <c r="OXA273" s="18"/>
      <c r="OXB273" s="18"/>
      <c r="OXC273" s="18"/>
      <c r="OXD273" s="18"/>
      <c r="OXE273" s="18"/>
      <c r="OXF273" s="18"/>
      <c r="OXG273" s="18"/>
      <c r="OXH273" s="18"/>
      <c r="OXI273" s="18"/>
      <c r="OXJ273" s="18"/>
      <c r="OXK273" s="18"/>
      <c r="OXL273" s="18"/>
      <c r="OXM273" s="18"/>
      <c r="OXN273" s="18"/>
      <c r="OXO273" s="18"/>
      <c r="OXP273" s="18"/>
      <c r="OXQ273" s="18"/>
      <c r="OXR273" s="18"/>
      <c r="OXS273" s="18"/>
      <c r="OXT273" s="18"/>
      <c r="OXU273" s="18"/>
      <c r="OXV273" s="18"/>
      <c r="OXW273" s="18"/>
      <c r="OXX273" s="18"/>
      <c r="OXY273" s="18"/>
      <c r="OXZ273" s="18"/>
      <c r="OYA273" s="18"/>
      <c r="OYB273" s="18"/>
      <c r="OYC273" s="18"/>
      <c r="OYD273" s="18"/>
      <c r="OYE273" s="18"/>
      <c r="OYF273" s="18"/>
      <c r="OYG273" s="18"/>
      <c r="OYH273" s="18"/>
      <c r="OYI273" s="18"/>
      <c r="OYJ273" s="18"/>
      <c r="OYK273" s="18"/>
      <c r="OYL273" s="18"/>
      <c r="OYM273" s="18"/>
      <c r="OYN273" s="18"/>
      <c r="OYO273" s="18"/>
      <c r="OYP273" s="18"/>
      <c r="OYQ273" s="18"/>
      <c r="OYR273" s="18"/>
      <c r="OYS273" s="18"/>
      <c r="OYT273" s="18"/>
      <c r="OYU273" s="18"/>
      <c r="OYV273" s="18"/>
      <c r="OYW273" s="18"/>
      <c r="OYX273" s="18"/>
      <c r="OYY273" s="18"/>
      <c r="OYZ273" s="18"/>
      <c r="OZA273" s="18"/>
      <c r="OZB273" s="18"/>
      <c r="OZC273" s="18"/>
      <c r="OZD273" s="18"/>
      <c r="OZE273" s="18"/>
      <c r="OZF273" s="18"/>
      <c r="OZG273" s="18"/>
      <c r="OZH273" s="18"/>
      <c r="OZI273" s="18"/>
      <c r="OZJ273" s="18"/>
      <c r="OZK273" s="18"/>
      <c r="OZL273" s="18"/>
      <c r="OZM273" s="18"/>
      <c r="OZN273" s="18"/>
      <c r="OZO273" s="18"/>
      <c r="OZP273" s="18"/>
      <c r="OZQ273" s="18"/>
      <c r="OZR273" s="18"/>
      <c r="OZS273" s="18"/>
      <c r="OZT273" s="18"/>
      <c r="OZU273" s="18"/>
      <c r="OZV273" s="18"/>
      <c r="OZW273" s="18"/>
      <c r="OZX273" s="18"/>
      <c r="OZY273" s="18"/>
      <c r="OZZ273" s="18"/>
      <c r="PAA273" s="18"/>
      <c r="PAB273" s="18"/>
      <c r="PAC273" s="18"/>
      <c r="PAD273" s="18"/>
      <c r="PAE273" s="18"/>
      <c r="PAF273" s="18"/>
      <c r="PAG273" s="18"/>
      <c r="PAH273" s="18"/>
      <c r="PAI273" s="18"/>
      <c r="PAJ273" s="18"/>
      <c r="PAK273" s="18"/>
      <c r="PAL273" s="18"/>
      <c r="PAM273" s="18"/>
      <c r="PAN273" s="18"/>
      <c r="PAO273" s="18"/>
      <c r="PAP273" s="18"/>
      <c r="PAQ273" s="18"/>
      <c r="PAR273" s="18"/>
      <c r="PAS273" s="18"/>
      <c r="PAT273" s="18"/>
      <c r="PAU273" s="18"/>
      <c r="PAV273" s="18"/>
      <c r="PAW273" s="18"/>
      <c r="PAX273" s="18"/>
      <c r="PAY273" s="18"/>
      <c r="PAZ273" s="18"/>
      <c r="PBA273" s="18"/>
      <c r="PBB273" s="18"/>
      <c r="PBC273" s="18"/>
      <c r="PBD273" s="18"/>
      <c r="PBE273" s="18"/>
      <c r="PBF273" s="18"/>
      <c r="PBG273" s="18"/>
      <c r="PBH273" s="18"/>
      <c r="PBI273" s="18"/>
      <c r="PBJ273" s="18"/>
      <c r="PBK273" s="18"/>
      <c r="PBL273" s="18"/>
      <c r="PBM273" s="18"/>
      <c r="PBN273" s="18"/>
      <c r="PBO273" s="18"/>
      <c r="PBP273" s="18"/>
      <c r="PBQ273" s="18"/>
      <c r="PBR273" s="18"/>
      <c r="PBS273" s="18"/>
      <c r="PBT273" s="18"/>
      <c r="PBU273" s="18"/>
      <c r="PBV273" s="18"/>
      <c r="PBW273" s="18"/>
      <c r="PBX273" s="18"/>
      <c r="PBY273" s="18"/>
      <c r="PBZ273" s="18"/>
      <c r="PCA273" s="18"/>
      <c r="PCB273" s="18"/>
      <c r="PCC273" s="18"/>
      <c r="PCD273" s="18"/>
      <c r="PCE273" s="18"/>
      <c r="PCF273" s="18"/>
      <c r="PCG273" s="18"/>
      <c r="PCH273" s="18"/>
      <c r="PCI273" s="18"/>
      <c r="PCJ273" s="18"/>
      <c r="PCK273" s="18"/>
      <c r="PCL273" s="18"/>
      <c r="PCM273" s="18"/>
      <c r="PCN273" s="18"/>
      <c r="PCO273" s="18"/>
      <c r="PCP273" s="18"/>
      <c r="PCQ273" s="18"/>
      <c r="PCR273" s="18"/>
      <c r="PCS273" s="18"/>
      <c r="PCT273" s="18"/>
      <c r="PCU273" s="18"/>
      <c r="PCV273" s="18"/>
      <c r="PCW273" s="18"/>
      <c r="PCX273" s="18"/>
      <c r="PCY273" s="18"/>
      <c r="PCZ273" s="18"/>
      <c r="PDA273" s="18"/>
      <c r="PDB273" s="18"/>
      <c r="PDC273" s="18"/>
      <c r="PDD273" s="18"/>
      <c r="PDE273" s="18"/>
      <c r="PDF273" s="18"/>
      <c r="PDG273" s="18"/>
      <c r="PDH273" s="18"/>
      <c r="PDI273" s="18"/>
      <c r="PDJ273" s="18"/>
      <c r="PDK273" s="18"/>
      <c r="PDL273" s="18"/>
      <c r="PDM273" s="18"/>
      <c r="PDN273" s="18"/>
      <c r="PDO273" s="18"/>
      <c r="PDP273" s="18"/>
      <c r="PDQ273" s="18"/>
      <c r="PDR273" s="18"/>
      <c r="PDS273" s="18"/>
      <c r="PDT273" s="18"/>
      <c r="PDU273" s="18"/>
      <c r="PDV273" s="18"/>
      <c r="PDW273" s="18"/>
      <c r="PDX273" s="18"/>
      <c r="PDY273" s="18"/>
      <c r="PDZ273" s="18"/>
      <c r="PEA273" s="18"/>
      <c r="PEB273" s="18"/>
      <c r="PEC273" s="18"/>
      <c r="PED273" s="18"/>
      <c r="PEE273" s="18"/>
      <c r="PEF273" s="18"/>
      <c r="PEG273" s="18"/>
      <c r="PEH273" s="18"/>
      <c r="PEI273" s="18"/>
      <c r="PEJ273" s="18"/>
      <c r="PEK273" s="18"/>
      <c r="PEL273" s="18"/>
      <c r="PEM273" s="18"/>
      <c r="PEN273" s="18"/>
      <c r="PEO273" s="18"/>
      <c r="PEP273" s="18"/>
      <c r="PEQ273" s="18"/>
      <c r="PER273" s="18"/>
      <c r="PES273" s="18"/>
      <c r="PET273" s="18"/>
      <c r="PEU273" s="18"/>
      <c r="PEV273" s="18"/>
      <c r="PEW273" s="18"/>
      <c r="PEX273" s="18"/>
      <c r="PEY273" s="18"/>
      <c r="PEZ273" s="18"/>
      <c r="PFA273" s="18"/>
      <c r="PFB273" s="18"/>
      <c r="PFC273" s="18"/>
      <c r="PFD273" s="18"/>
      <c r="PFE273" s="18"/>
      <c r="PFF273" s="18"/>
      <c r="PFG273" s="18"/>
      <c r="PFH273" s="18"/>
      <c r="PFI273" s="18"/>
      <c r="PFJ273" s="18"/>
      <c r="PFK273" s="18"/>
      <c r="PFL273" s="18"/>
      <c r="PFM273" s="18"/>
      <c r="PFN273" s="18"/>
      <c r="PFO273" s="18"/>
      <c r="PFP273" s="18"/>
      <c r="PFQ273" s="18"/>
      <c r="PFR273" s="18"/>
      <c r="PFS273" s="18"/>
      <c r="PFT273" s="18"/>
      <c r="PFU273" s="18"/>
      <c r="PFV273" s="18"/>
      <c r="PFW273" s="18"/>
      <c r="PFX273" s="18"/>
      <c r="PFY273" s="18"/>
      <c r="PFZ273" s="18"/>
      <c r="PGA273" s="18"/>
      <c r="PGB273" s="18"/>
      <c r="PGC273" s="18"/>
      <c r="PGD273" s="18"/>
      <c r="PGE273" s="18"/>
      <c r="PGF273" s="18"/>
      <c r="PGG273" s="18"/>
      <c r="PGH273" s="18"/>
      <c r="PGI273" s="18"/>
      <c r="PGJ273" s="18"/>
      <c r="PGK273" s="18"/>
      <c r="PGL273" s="18"/>
      <c r="PGM273" s="18"/>
      <c r="PGN273" s="18"/>
      <c r="PGO273" s="18"/>
      <c r="PGP273" s="18"/>
      <c r="PGQ273" s="18"/>
      <c r="PGR273" s="18"/>
      <c r="PGS273" s="18"/>
      <c r="PGT273" s="18"/>
      <c r="PGU273" s="18"/>
      <c r="PGV273" s="18"/>
      <c r="PGW273" s="18"/>
      <c r="PGX273" s="18"/>
      <c r="PGY273" s="18"/>
      <c r="PGZ273" s="18"/>
      <c r="PHA273" s="18"/>
      <c r="PHB273" s="18"/>
      <c r="PHC273" s="18"/>
      <c r="PHD273" s="18"/>
      <c r="PHE273" s="18"/>
      <c r="PHF273" s="18"/>
      <c r="PHG273" s="18"/>
      <c r="PHH273" s="18"/>
      <c r="PHI273" s="18"/>
      <c r="PHJ273" s="18"/>
      <c r="PHK273" s="18"/>
      <c r="PHL273" s="18"/>
      <c r="PHM273" s="18"/>
      <c r="PHN273" s="18"/>
      <c r="PHO273" s="18"/>
      <c r="PHP273" s="18"/>
      <c r="PHQ273" s="18"/>
      <c r="PHR273" s="18"/>
      <c r="PHS273" s="18"/>
      <c r="PHT273" s="18"/>
      <c r="PHU273" s="18"/>
      <c r="PHV273" s="18"/>
      <c r="PHW273" s="18"/>
      <c r="PHX273" s="18"/>
      <c r="PHY273" s="18"/>
      <c r="PHZ273" s="18"/>
      <c r="PIA273" s="18"/>
      <c r="PIB273" s="18"/>
      <c r="PIC273" s="18"/>
      <c r="PID273" s="18"/>
      <c r="PIE273" s="18"/>
      <c r="PIF273" s="18"/>
      <c r="PIG273" s="18"/>
      <c r="PIH273" s="18"/>
      <c r="PII273" s="18"/>
      <c r="PIJ273" s="18"/>
      <c r="PIK273" s="18"/>
      <c r="PIL273" s="18"/>
      <c r="PIM273" s="18"/>
      <c r="PIN273" s="18"/>
      <c r="PIO273" s="18"/>
      <c r="PIP273" s="18"/>
      <c r="PIQ273" s="18"/>
      <c r="PIR273" s="18"/>
      <c r="PIS273" s="18"/>
      <c r="PIT273" s="18"/>
      <c r="PIU273" s="18"/>
      <c r="PIV273" s="18"/>
      <c r="PIW273" s="18"/>
      <c r="PIX273" s="18"/>
      <c r="PIY273" s="18"/>
      <c r="PIZ273" s="18"/>
      <c r="PJA273" s="18"/>
      <c r="PJB273" s="18"/>
      <c r="PJC273" s="18"/>
      <c r="PJD273" s="18"/>
      <c r="PJE273" s="18"/>
      <c r="PJF273" s="18"/>
      <c r="PJG273" s="18"/>
      <c r="PJH273" s="18"/>
      <c r="PJI273" s="18"/>
      <c r="PJJ273" s="18"/>
      <c r="PJK273" s="18"/>
      <c r="PJL273" s="18"/>
      <c r="PJM273" s="18"/>
      <c r="PJN273" s="18"/>
      <c r="PJO273" s="18"/>
      <c r="PJP273" s="18"/>
      <c r="PJQ273" s="18"/>
      <c r="PJR273" s="18"/>
      <c r="PJS273" s="18"/>
      <c r="PJT273" s="18"/>
      <c r="PJU273" s="18"/>
      <c r="PJV273" s="18"/>
      <c r="PJW273" s="18"/>
      <c r="PJX273" s="18"/>
      <c r="PJY273" s="18"/>
      <c r="PJZ273" s="18"/>
      <c r="PKA273" s="18"/>
      <c r="PKB273" s="18"/>
      <c r="PKC273" s="18"/>
      <c r="PKD273" s="18"/>
      <c r="PKE273" s="18"/>
      <c r="PKF273" s="18"/>
      <c r="PKG273" s="18"/>
      <c r="PKH273" s="18"/>
      <c r="PKI273" s="18"/>
      <c r="PKJ273" s="18"/>
      <c r="PKK273" s="18"/>
      <c r="PKL273" s="18"/>
      <c r="PKM273" s="18"/>
      <c r="PKN273" s="18"/>
      <c r="PKO273" s="18"/>
      <c r="PKP273" s="18"/>
      <c r="PKQ273" s="18"/>
      <c r="PKR273" s="18"/>
      <c r="PKS273" s="18"/>
      <c r="PKT273" s="18"/>
      <c r="PKU273" s="18"/>
      <c r="PKV273" s="18"/>
      <c r="PKW273" s="18"/>
      <c r="PKX273" s="18"/>
      <c r="PKY273" s="18"/>
      <c r="PKZ273" s="18"/>
      <c r="PLA273" s="18"/>
      <c r="PLB273" s="18"/>
      <c r="PLC273" s="18"/>
      <c r="PLD273" s="18"/>
      <c r="PLE273" s="18"/>
      <c r="PLF273" s="18"/>
      <c r="PLG273" s="18"/>
      <c r="PLH273" s="18"/>
      <c r="PLI273" s="18"/>
      <c r="PLJ273" s="18"/>
      <c r="PLK273" s="18"/>
      <c r="PLL273" s="18"/>
      <c r="PLM273" s="18"/>
      <c r="PLN273" s="18"/>
      <c r="PLO273" s="18"/>
      <c r="PLP273" s="18"/>
      <c r="PLQ273" s="18"/>
      <c r="PLR273" s="18"/>
      <c r="PLS273" s="18"/>
      <c r="PLT273" s="18"/>
      <c r="PLU273" s="18"/>
      <c r="PLV273" s="18"/>
      <c r="PLW273" s="18"/>
      <c r="PLX273" s="18"/>
      <c r="PLY273" s="18"/>
      <c r="PLZ273" s="18"/>
      <c r="PMA273" s="18"/>
      <c r="PMB273" s="18"/>
      <c r="PMC273" s="18"/>
      <c r="PMD273" s="18"/>
      <c r="PME273" s="18"/>
      <c r="PMF273" s="18"/>
      <c r="PMG273" s="18"/>
      <c r="PMH273" s="18"/>
      <c r="PMI273" s="18"/>
      <c r="PMJ273" s="18"/>
      <c r="PMK273" s="18"/>
      <c r="PML273" s="18"/>
      <c r="PMM273" s="18"/>
      <c r="PMN273" s="18"/>
      <c r="PMO273" s="18"/>
      <c r="PMP273" s="18"/>
      <c r="PMQ273" s="18"/>
      <c r="PMR273" s="18"/>
      <c r="PMS273" s="18"/>
      <c r="PMT273" s="18"/>
      <c r="PMU273" s="18"/>
      <c r="PMV273" s="18"/>
      <c r="PMW273" s="18"/>
      <c r="PMX273" s="18"/>
      <c r="PMY273" s="18"/>
      <c r="PMZ273" s="18"/>
      <c r="PNA273" s="18"/>
      <c r="PNB273" s="18"/>
      <c r="PNC273" s="18"/>
      <c r="PND273" s="18"/>
      <c r="PNE273" s="18"/>
      <c r="PNF273" s="18"/>
      <c r="PNG273" s="18"/>
      <c r="PNH273" s="18"/>
      <c r="PNI273" s="18"/>
      <c r="PNJ273" s="18"/>
      <c r="PNK273" s="18"/>
      <c r="PNL273" s="18"/>
      <c r="PNM273" s="18"/>
      <c r="PNN273" s="18"/>
      <c r="PNO273" s="18"/>
      <c r="PNP273" s="18"/>
      <c r="PNQ273" s="18"/>
      <c r="PNR273" s="18"/>
      <c r="PNS273" s="18"/>
      <c r="PNT273" s="18"/>
      <c r="PNU273" s="18"/>
      <c r="PNV273" s="18"/>
      <c r="PNW273" s="18"/>
      <c r="PNX273" s="18"/>
      <c r="PNY273" s="18"/>
      <c r="PNZ273" s="18"/>
      <c r="POA273" s="18"/>
      <c r="POB273" s="18"/>
      <c r="POC273" s="18"/>
      <c r="POD273" s="18"/>
      <c r="POE273" s="18"/>
      <c r="POF273" s="18"/>
      <c r="POG273" s="18"/>
      <c r="POH273" s="18"/>
      <c r="POI273" s="18"/>
      <c r="POJ273" s="18"/>
      <c r="POK273" s="18"/>
      <c r="POL273" s="18"/>
      <c r="POM273" s="18"/>
      <c r="PON273" s="18"/>
      <c r="POO273" s="18"/>
      <c r="POP273" s="18"/>
      <c r="POQ273" s="18"/>
      <c r="POR273" s="18"/>
      <c r="POS273" s="18"/>
      <c r="POT273" s="18"/>
      <c r="POU273" s="18"/>
      <c r="POV273" s="18"/>
      <c r="POW273" s="18"/>
      <c r="POX273" s="18"/>
      <c r="POY273" s="18"/>
      <c r="POZ273" s="18"/>
      <c r="PPA273" s="18"/>
      <c r="PPB273" s="18"/>
      <c r="PPC273" s="18"/>
      <c r="PPD273" s="18"/>
      <c r="PPE273" s="18"/>
      <c r="PPF273" s="18"/>
      <c r="PPG273" s="18"/>
      <c r="PPH273" s="18"/>
      <c r="PPI273" s="18"/>
      <c r="PPJ273" s="18"/>
      <c r="PPK273" s="18"/>
      <c r="PPL273" s="18"/>
      <c r="PPM273" s="18"/>
      <c r="PPN273" s="18"/>
      <c r="PPO273" s="18"/>
      <c r="PPP273" s="18"/>
      <c r="PPQ273" s="18"/>
      <c r="PPR273" s="18"/>
      <c r="PPS273" s="18"/>
      <c r="PPT273" s="18"/>
      <c r="PPU273" s="18"/>
      <c r="PPV273" s="18"/>
      <c r="PPW273" s="18"/>
      <c r="PPX273" s="18"/>
      <c r="PPY273" s="18"/>
      <c r="PPZ273" s="18"/>
      <c r="PQA273" s="18"/>
      <c r="PQB273" s="18"/>
      <c r="PQC273" s="18"/>
      <c r="PQD273" s="18"/>
      <c r="PQE273" s="18"/>
      <c r="PQF273" s="18"/>
      <c r="PQG273" s="18"/>
      <c r="PQH273" s="18"/>
      <c r="PQI273" s="18"/>
      <c r="PQJ273" s="18"/>
      <c r="PQK273" s="18"/>
      <c r="PQL273" s="18"/>
      <c r="PQM273" s="18"/>
      <c r="PQN273" s="18"/>
      <c r="PQO273" s="18"/>
      <c r="PQP273" s="18"/>
      <c r="PQQ273" s="18"/>
      <c r="PQR273" s="18"/>
      <c r="PQS273" s="18"/>
      <c r="PQT273" s="18"/>
      <c r="PQU273" s="18"/>
      <c r="PQV273" s="18"/>
      <c r="PQW273" s="18"/>
      <c r="PQX273" s="18"/>
      <c r="PQY273" s="18"/>
      <c r="PQZ273" s="18"/>
      <c r="PRA273" s="18"/>
      <c r="PRB273" s="18"/>
      <c r="PRC273" s="18"/>
      <c r="PRD273" s="18"/>
      <c r="PRE273" s="18"/>
      <c r="PRF273" s="18"/>
      <c r="PRG273" s="18"/>
      <c r="PRH273" s="18"/>
      <c r="PRI273" s="18"/>
      <c r="PRJ273" s="18"/>
      <c r="PRK273" s="18"/>
      <c r="PRL273" s="18"/>
      <c r="PRM273" s="18"/>
      <c r="PRN273" s="18"/>
      <c r="PRO273" s="18"/>
      <c r="PRP273" s="18"/>
      <c r="PRQ273" s="18"/>
      <c r="PRR273" s="18"/>
      <c r="PRS273" s="18"/>
      <c r="PRT273" s="18"/>
      <c r="PRU273" s="18"/>
      <c r="PRV273" s="18"/>
      <c r="PRW273" s="18"/>
      <c r="PRX273" s="18"/>
      <c r="PRY273" s="18"/>
      <c r="PRZ273" s="18"/>
      <c r="PSA273" s="18"/>
      <c r="PSB273" s="18"/>
      <c r="PSC273" s="18"/>
      <c r="PSD273" s="18"/>
      <c r="PSE273" s="18"/>
      <c r="PSF273" s="18"/>
      <c r="PSG273" s="18"/>
      <c r="PSH273" s="18"/>
      <c r="PSI273" s="18"/>
      <c r="PSJ273" s="18"/>
      <c r="PSK273" s="18"/>
      <c r="PSL273" s="18"/>
      <c r="PSM273" s="18"/>
      <c r="PSN273" s="18"/>
      <c r="PSO273" s="18"/>
      <c r="PSP273" s="18"/>
      <c r="PSQ273" s="18"/>
      <c r="PSR273" s="18"/>
      <c r="PSS273" s="18"/>
      <c r="PST273" s="18"/>
      <c r="PSU273" s="18"/>
      <c r="PSV273" s="18"/>
      <c r="PSW273" s="18"/>
      <c r="PSX273" s="18"/>
      <c r="PSY273" s="18"/>
      <c r="PSZ273" s="18"/>
      <c r="PTA273" s="18"/>
      <c r="PTB273" s="18"/>
      <c r="PTC273" s="18"/>
      <c r="PTD273" s="18"/>
      <c r="PTE273" s="18"/>
      <c r="PTF273" s="18"/>
      <c r="PTG273" s="18"/>
      <c r="PTH273" s="18"/>
      <c r="PTI273" s="18"/>
      <c r="PTJ273" s="18"/>
      <c r="PTK273" s="18"/>
      <c r="PTL273" s="18"/>
      <c r="PTM273" s="18"/>
      <c r="PTN273" s="18"/>
      <c r="PTO273" s="18"/>
      <c r="PTP273" s="18"/>
      <c r="PTQ273" s="18"/>
      <c r="PTR273" s="18"/>
      <c r="PTS273" s="18"/>
      <c r="PTT273" s="18"/>
      <c r="PTU273" s="18"/>
      <c r="PTV273" s="18"/>
      <c r="PTW273" s="18"/>
      <c r="PTX273" s="18"/>
      <c r="PTY273" s="18"/>
      <c r="PTZ273" s="18"/>
      <c r="PUA273" s="18"/>
      <c r="PUB273" s="18"/>
      <c r="PUC273" s="18"/>
      <c r="PUD273" s="18"/>
      <c r="PUE273" s="18"/>
      <c r="PUF273" s="18"/>
      <c r="PUG273" s="18"/>
      <c r="PUH273" s="18"/>
      <c r="PUI273" s="18"/>
      <c r="PUJ273" s="18"/>
      <c r="PUK273" s="18"/>
      <c r="PUL273" s="18"/>
      <c r="PUM273" s="18"/>
      <c r="PUN273" s="18"/>
      <c r="PUO273" s="18"/>
      <c r="PUP273" s="18"/>
      <c r="PUQ273" s="18"/>
      <c r="PUR273" s="18"/>
      <c r="PUS273" s="18"/>
      <c r="PUT273" s="18"/>
      <c r="PUU273" s="18"/>
      <c r="PUV273" s="18"/>
      <c r="PUW273" s="18"/>
      <c r="PUX273" s="18"/>
      <c r="PUY273" s="18"/>
      <c r="PUZ273" s="18"/>
      <c r="PVA273" s="18"/>
      <c r="PVB273" s="18"/>
      <c r="PVC273" s="18"/>
      <c r="PVD273" s="18"/>
      <c r="PVE273" s="18"/>
      <c r="PVF273" s="18"/>
      <c r="PVG273" s="18"/>
      <c r="PVH273" s="18"/>
      <c r="PVI273" s="18"/>
      <c r="PVJ273" s="18"/>
      <c r="PVK273" s="18"/>
      <c r="PVL273" s="18"/>
      <c r="PVM273" s="18"/>
      <c r="PVN273" s="18"/>
      <c r="PVO273" s="18"/>
      <c r="PVP273" s="18"/>
      <c r="PVQ273" s="18"/>
      <c r="PVR273" s="18"/>
      <c r="PVS273" s="18"/>
      <c r="PVT273" s="18"/>
      <c r="PVU273" s="18"/>
      <c r="PVV273" s="18"/>
      <c r="PVW273" s="18"/>
      <c r="PVX273" s="18"/>
      <c r="PVY273" s="18"/>
      <c r="PVZ273" s="18"/>
      <c r="PWA273" s="18"/>
      <c r="PWB273" s="18"/>
      <c r="PWC273" s="18"/>
      <c r="PWD273" s="18"/>
      <c r="PWE273" s="18"/>
      <c r="PWF273" s="18"/>
      <c r="PWG273" s="18"/>
      <c r="PWH273" s="18"/>
      <c r="PWI273" s="18"/>
      <c r="PWJ273" s="18"/>
      <c r="PWK273" s="18"/>
      <c r="PWL273" s="18"/>
      <c r="PWM273" s="18"/>
      <c r="PWN273" s="18"/>
      <c r="PWO273" s="18"/>
      <c r="PWP273" s="18"/>
      <c r="PWQ273" s="18"/>
      <c r="PWR273" s="18"/>
      <c r="PWS273" s="18"/>
      <c r="PWT273" s="18"/>
      <c r="PWU273" s="18"/>
      <c r="PWV273" s="18"/>
      <c r="PWW273" s="18"/>
      <c r="PWX273" s="18"/>
      <c r="PWY273" s="18"/>
      <c r="PWZ273" s="18"/>
      <c r="PXA273" s="18"/>
      <c r="PXB273" s="18"/>
      <c r="PXC273" s="18"/>
      <c r="PXD273" s="18"/>
      <c r="PXE273" s="18"/>
      <c r="PXF273" s="18"/>
      <c r="PXG273" s="18"/>
      <c r="PXH273" s="18"/>
      <c r="PXI273" s="18"/>
      <c r="PXJ273" s="18"/>
      <c r="PXK273" s="18"/>
      <c r="PXL273" s="18"/>
      <c r="PXM273" s="18"/>
      <c r="PXN273" s="18"/>
      <c r="PXO273" s="18"/>
      <c r="PXP273" s="18"/>
      <c r="PXQ273" s="18"/>
      <c r="PXR273" s="18"/>
      <c r="PXS273" s="18"/>
      <c r="PXT273" s="18"/>
      <c r="PXU273" s="18"/>
      <c r="PXV273" s="18"/>
      <c r="PXW273" s="18"/>
      <c r="PXX273" s="18"/>
      <c r="PXY273" s="18"/>
      <c r="PXZ273" s="18"/>
      <c r="PYA273" s="18"/>
      <c r="PYB273" s="18"/>
      <c r="PYC273" s="18"/>
      <c r="PYD273" s="18"/>
      <c r="PYE273" s="18"/>
      <c r="PYF273" s="18"/>
      <c r="PYG273" s="18"/>
      <c r="PYH273" s="18"/>
      <c r="PYI273" s="18"/>
      <c r="PYJ273" s="18"/>
      <c r="PYK273" s="18"/>
      <c r="PYL273" s="18"/>
      <c r="PYM273" s="18"/>
      <c r="PYN273" s="18"/>
      <c r="PYO273" s="18"/>
      <c r="PYP273" s="18"/>
      <c r="PYQ273" s="18"/>
      <c r="PYR273" s="18"/>
      <c r="PYS273" s="18"/>
      <c r="PYT273" s="18"/>
      <c r="PYU273" s="18"/>
      <c r="PYV273" s="18"/>
      <c r="PYW273" s="18"/>
      <c r="PYX273" s="18"/>
      <c r="PYY273" s="18"/>
      <c r="PYZ273" s="18"/>
      <c r="PZA273" s="18"/>
      <c r="PZB273" s="18"/>
      <c r="PZC273" s="18"/>
      <c r="PZD273" s="18"/>
      <c r="PZE273" s="18"/>
      <c r="PZF273" s="18"/>
      <c r="PZG273" s="18"/>
      <c r="PZH273" s="18"/>
      <c r="PZI273" s="18"/>
      <c r="PZJ273" s="18"/>
      <c r="PZK273" s="18"/>
      <c r="PZL273" s="18"/>
      <c r="PZM273" s="18"/>
      <c r="PZN273" s="18"/>
      <c r="PZO273" s="18"/>
      <c r="PZP273" s="18"/>
      <c r="PZQ273" s="18"/>
      <c r="PZR273" s="18"/>
      <c r="PZS273" s="18"/>
      <c r="PZT273" s="18"/>
      <c r="PZU273" s="18"/>
      <c r="PZV273" s="18"/>
      <c r="PZW273" s="18"/>
      <c r="PZX273" s="18"/>
      <c r="PZY273" s="18"/>
      <c r="PZZ273" s="18"/>
      <c r="QAA273" s="18"/>
      <c r="QAB273" s="18"/>
      <c r="QAC273" s="18"/>
      <c r="QAD273" s="18"/>
      <c r="QAE273" s="18"/>
      <c r="QAF273" s="18"/>
      <c r="QAG273" s="18"/>
      <c r="QAH273" s="18"/>
      <c r="QAI273" s="18"/>
      <c r="QAJ273" s="18"/>
      <c r="QAK273" s="18"/>
      <c r="QAL273" s="18"/>
      <c r="QAM273" s="18"/>
      <c r="QAN273" s="18"/>
      <c r="QAO273" s="18"/>
      <c r="QAP273" s="18"/>
      <c r="QAQ273" s="18"/>
      <c r="QAR273" s="18"/>
      <c r="QAS273" s="18"/>
      <c r="QAT273" s="18"/>
      <c r="QAU273" s="18"/>
      <c r="QAV273" s="18"/>
      <c r="QAW273" s="18"/>
      <c r="QAX273" s="18"/>
      <c r="QAY273" s="18"/>
      <c r="QAZ273" s="18"/>
      <c r="QBA273" s="18"/>
      <c r="QBB273" s="18"/>
      <c r="QBC273" s="18"/>
      <c r="QBD273" s="18"/>
      <c r="QBE273" s="18"/>
      <c r="QBF273" s="18"/>
      <c r="QBG273" s="18"/>
      <c r="QBH273" s="18"/>
      <c r="QBI273" s="18"/>
      <c r="QBJ273" s="18"/>
      <c r="QBK273" s="18"/>
      <c r="QBL273" s="18"/>
      <c r="QBM273" s="18"/>
      <c r="QBN273" s="18"/>
      <c r="QBO273" s="18"/>
      <c r="QBP273" s="18"/>
      <c r="QBQ273" s="18"/>
      <c r="QBR273" s="18"/>
      <c r="QBS273" s="18"/>
      <c r="QBT273" s="18"/>
      <c r="QBU273" s="18"/>
      <c r="QBV273" s="18"/>
      <c r="QBW273" s="18"/>
      <c r="QBX273" s="18"/>
      <c r="QBY273" s="18"/>
      <c r="QBZ273" s="18"/>
      <c r="QCA273" s="18"/>
      <c r="QCB273" s="18"/>
      <c r="QCC273" s="18"/>
      <c r="QCD273" s="18"/>
      <c r="QCE273" s="18"/>
      <c r="QCF273" s="18"/>
      <c r="QCG273" s="18"/>
      <c r="QCH273" s="18"/>
      <c r="QCI273" s="18"/>
      <c r="QCJ273" s="18"/>
      <c r="QCK273" s="18"/>
      <c r="QCL273" s="18"/>
      <c r="QCM273" s="18"/>
      <c r="QCN273" s="18"/>
      <c r="QCO273" s="18"/>
      <c r="QCP273" s="18"/>
      <c r="QCQ273" s="18"/>
      <c r="QCR273" s="18"/>
      <c r="QCS273" s="18"/>
      <c r="QCT273" s="18"/>
      <c r="QCU273" s="18"/>
      <c r="QCV273" s="18"/>
      <c r="QCW273" s="18"/>
      <c r="QCX273" s="18"/>
      <c r="QCY273" s="18"/>
      <c r="QCZ273" s="18"/>
      <c r="QDA273" s="18"/>
      <c r="QDB273" s="18"/>
      <c r="QDC273" s="18"/>
      <c r="QDD273" s="18"/>
      <c r="QDE273" s="18"/>
      <c r="QDF273" s="18"/>
      <c r="QDG273" s="18"/>
      <c r="QDH273" s="18"/>
      <c r="QDI273" s="18"/>
      <c r="QDJ273" s="18"/>
      <c r="QDK273" s="18"/>
      <c r="QDL273" s="18"/>
      <c r="QDM273" s="18"/>
      <c r="QDN273" s="18"/>
      <c r="QDO273" s="18"/>
      <c r="QDP273" s="18"/>
      <c r="QDQ273" s="18"/>
      <c r="QDR273" s="18"/>
      <c r="QDS273" s="18"/>
      <c r="QDT273" s="18"/>
      <c r="QDU273" s="18"/>
      <c r="QDV273" s="18"/>
      <c r="QDW273" s="18"/>
      <c r="QDX273" s="18"/>
      <c r="QDY273" s="18"/>
      <c r="QDZ273" s="18"/>
      <c r="QEA273" s="18"/>
      <c r="QEB273" s="18"/>
      <c r="QEC273" s="18"/>
      <c r="QED273" s="18"/>
      <c r="QEE273" s="18"/>
      <c r="QEF273" s="18"/>
      <c r="QEG273" s="18"/>
      <c r="QEH273" s="18"/>
      <c r="QEI273" s="18"/>
      <c r="QEJ273" s="18"/>
      <c r="QEK273" s="18"/>
      <c r="QEL273" s="18"/>
      <c r="QEM273" s="18"/>
      <c r="QEN273" s="18"/>
      <c r="QEO273" s="18"/>
      <c r="QEP273" s="18"/>
      <c r="QEQ273" s="18"/>
      <c r="QER273" s="18"/>
      <c r="QES273" s="18"/>
      <c r="QET273" s="18"/>
      <c r="QEU273" s="18"/>
      <c r="QEV273" s="18"/>
      <c r="QEW273" s="18"/>
      <c r="QEX273" s="18"/>
      <c r="QEY273" s="18"/>
      <c r="QEZ273" s="18"/>
      <c r="QFA273" s="18"/>
      <c r="QFB273" s="18"/>
      <c r="QFC273" s="18"/>
      <c r="QFD273" s="18"/>
      <c r="QFE273" s="18"/>
      <c r="QFF273" s="18"/>
      <c r="QFG273" s="18"/>
      <c r="QFH273" s="18"/>
      <c r="QFI273" s="18"/>
      <c r="QFJ273" s="18"/>
      <c r="QFK273" s="18"/>
      <c r="QFL273" s="18"/>
      <c r="QFM273" s="18"/>
      <c r="QFN273" s="18"/>
      <c r="QFO273" s="18"/>
      <c r="QFP273" s="18"/>
      <c r="QFQ273" s="18"/>
      <c r="QFR273" s="18"/>
      <c r="QFS273" s="18"/>
      <c r="QFT273" s="18"/>
      <c r="QFU273" s="18"/>
      <c r="QFV273" s="18"/>
      <c r="QFW273" s="18"/>
      <c r="QFX273" s="18"/>
      <c r="QFY273" s="18"/>
      <c r="QFZ273" s="18"/>
      <c r="QGA273" s="18"/>
      <c r="QGB273" s="18"/>
      <c r="QGC273" s="18"/>
      <c r="QGD273" s="18"/>
      <c r="QGE273" s="18"/>
      <c r="QGF273" s="18"/>
      <c r="QGG273" s="18"/>
      <c r="QGH273" s="18"/>
      <c r="QGI273" s="18"/>
      <c r="QGJ273" s="18"/>
      <c r="QGK273" s="18"/>
      <c r="QGL273" s="18"/>
      <c r="QGM273" s="18"/>
      <c r="QGN273" s="18"/>
      <c r="QGO273" s="18"/>
      <c r="QGP273" s="18"/>
      <c r="QGQ273" s="18"/>
      <c r="QGR273" s="18"/>
      <c r="QGS273" s="18"/>
      <c r="QGT273" s="18"/>
      <c r="QGU273" s="18"/>
      <c r="QGV273" s="18"/>
      <c r="QGW273" s="18"/>
      <c r="QGX273" s="18"/>
      <c r="QGY273" s="18"/>
      <c r="QGZ273" s="18"/>
      <c r="QHA273" s="18"/>
      <c r="QHB273" s="18"/>
      <c r="QHC273" s="18"/>
      <c r="QHD273" s="18"/>
      <c r="QHE273" s="18"/>
      <c r="QHF273" s="18"/>
      <c r="QHG273" s="18"/>
      <c r="QHH273" s="18"/>
      <c r="QHI273" s="18"/>
      <c r="QHJ273" s="18"/>
      <c r="QHK273" s="18"/>
      <c r="QHL273" s="18"/>
      <c r="QHM273" s="18"/>
      <c r="QHN273" s="18"/>
      <c r="QHO273" s="18"/>
      <c r="QHP273" s="18"/>
      <c r="QHQ273" s="18"/>
      <c r="QHR273" s="18"/>
      <c r="QHS273" s="18"/>
      <c r="QHT273" s="18"/>
      <c r="QHU273" s="18"/>
      <c r="QHV273" s="18"/>
      <c r="QHW273" s="18"/>
      <c r="QHX273" s="18"/>
      <c r="QHY273" s="18"/>
      <c r="QHZ273" s="18"/>
      <c r="QIA273" s="18"/>
      <c r="QIB273" s="18"/>
      <c r="QIC273" s="18"/>
      <c r="QID273" s="18"/>
      <c r="QIE273" s="18"/>
      <c r="QIF273" s="18"/>
      <c r="QIG273" s="18"/>
      <c r="QIH273" s="18"/>
      <c r="QII273" s="18"/>
      <c r="QIJ273" s="18"/>
      <c r="QIK273" s="18"/>
      <c r="QIL273" s="18"/>
      <c r="QIM273" s="18"/>
      <c r="QIN273" s="18"/>
      <c r="QIO273" s="18"/>
      <c r="QIP273" s="18"/>
      <c r="QIQ273" s="18"/>
      <c r="QIR273" s="18"/>
      <c r="QIS273" s="18"/>
      <c r="QIT273" s="18"/>
      <c r="QIU273" s="18"/>
      <c r="QIV273" s="18"/>
      <c r="QIW273" s="18"/>
      <c r="QIX273" s="18"/>
      <c r="QIY273" s="18"/>
      <c r="QIZ273" s="18"/>
      <c r="QJA273" s="18"/>
      <c r="QJB273" s="18"/>
      <c r="QJC273" s="18"/>
      <c r="QJD273" s="18"/>
      <c r="QJE273" s="18"/>
      <c r="QJF273" s="18"/>
      <c r="QJG273" s="18"/>
      <c r="QJH273" s="18"/>
      <c r="QJI273" s="18"/>
      <c r="QJJ273" s="18"/>
      <c r="QJK273" s="18"/>
      <c r="QJL273" s="18"/>
      <c r="QJM273" s="18"/>
      <c r="QJN273" s="18"/>
      <c r="QJO273" s="18"/>
      <c r="QJP273" s="18"/>
      <c r="QJQ273" s="18"/>
      <c r="QJR273" s="18"/>
      <c r="QJS273" s="18"/>
      <c r="QJT273" s="18"/>
      <c r="QJU273" s="18"/>
      <c r="QJV273" s="18"/>
      <c r="QJW273" s="18"/>
      <c r="QJX273" s="18"/>
      <c r="QJY273" s="18"/>
      <c r="QJZ273" s="18"/>
      <c r="QKA273" s="18"/>
      <c r="QKB273" s="18"/>
      <c r="QKC273" s="18"/>
      <c r="QKD273" s="18"/>
      <c r="QKE273" s="18"/>
      <c r="QKF273" s="18"/>
      <c r="QKG273" s="18"/>
      <c r="QKH273" s="18"/>
      <c r="QKI273" s="18"/>
      <c r="QKJ273" s="18"/>
      <c r="QKK273" s="18"/>
      <c r="QKL273" s="18"/>
      <c r="QKM273" s="18"/>
      <c r="QKN273" s="18"/>
      <c r="QKO273" s="18"/>
      <c r="QKP273" s="18"/>
      <c r="QKQ273" s="18"/>
      <c r="QKR273" s="18"/>
      <c r="QKS273" s="18"/>
      <c r="QKT273" s="18"/>
      <c r="QKU273" s="18"/>
      <c r="QKV273" s="18"/>
      <c r="QKW273" s="18"/>
      <c r="QKX273" s="18"/>
      <c r="QKY273" s="18"/>
      <c r="QKZ273" s="18"/>
      <c r="QLA273" s="18"/>
      <c r="QLB273" s="18"/>
      <c r="QLC273" s="18"/>
      <c r="QLD273" s="18"/>
      <c r="QLE273" s="18"/>
      <c r="QLF273" s="18"/>
      <c r="QLG273" s="18"/>
      <c r="QLH273" s="18"/>
      <c r="QLI273" s="18"/>
      <c r="QLJ273" s="18"/>
      <c r="QLK273" s="18"/>
      <c r="QLL273" s="18"/>
      <c r="QLM273" s="18"/>
      <c r="QLN273" s="18"/>
      <c r="QLO273" s="18"/>
      <c r="QLP273" s="18"/>
      <c r="QLQ273" s="18"/>
      <c r="QLR273" s="18"/>
      <c r="QLS273" s="18"/>
      <c r="QLT273" s="18"/>
      <c r="QLU273" s="18"/>
      <c r="QLV273" s="18"/>
      <c r="QLW273" s="18"/>
      <c r="QLX273" s="18"/>
      <c r="QLY273" s="18"/>
      <c r="QLZ273" s="18"/>
      <c r="QMA273" s="18"/>
      <c r="QMB273" s="18"/>
      <c r="QMC273" s="18"/>
      <c r="QMD273" s="18"/>
      <c r="QME273" s="18"/>
      <c r="QMF273" s="18"/>
      <c r="QMG273" s="18"/>
      <c r="QMH273" s="18"/>
      <c r="QMI273" s="18"/>
      <c r="QMJ273" s="18"/>
      <c r="QMK273" s="18"/>
      <c r="QML273" s="18"/>
      <c r="QMM273" s="18"/>
      <c r="QMN273" s="18"/>
      <c r="QMO273" s="18"/>
      <c r="QMP273" s="18"/>
      <c r="QMQ273" s="18"/>
      <c r="QMR273" s="18"/>
      <c r="QMS273" s="18"/>
      <c r="QMT273" s="18"/>
      <c r="QMU273" s="18"/>
      <c r="QMV273" s="18"/>
      <c r="QMW273" s="18"/>
      <c r="QMX273" s="18"/>
      <c r="QMY273" s="18"/>
      <c r="QMZ273" s="18"/>
      <c r="QNA273" s="18"/>
      <c r="QNB273" s="18"/>
      <c r="QNC273" s="18"/>
      <c r="QND273" s="18"/>
      <c r="QNE273" s="18"/>
      <c r="QNF273" s="18"/>
      <c r="QNG273" s="18"/>
      <c r="QNH273" s="18"/>
      <c r="QNI273" s="18"/>
      <c r="QNJ273" s="18"/>
      <c r="QNK273" s="18"/>
      <c r="QNL273" s="18"/>
      <c r="QNM273" s="18"/>
      <c r="QNN273" s="18"/>
      <c r="QNO273" s="18"/>
      <c r="QNP273" s="18"/>
      <c r="QNQ273" s="18"/>
      <c r="QNR273" s="18"/>
      <c r="QNS273" s="18"/>
      <c r="QNT273" s="18"/>
      <c r="QNU273" s="18"/>
      <c r="QNV273" s="18"/>
      <c r="QNW273" s="18"/>
      <c r="QNX273" s="18"/>
      <c r="QNY273" s="18"/>
      <c r="QNZ273" s="18"/>
      <c r="QOA273" s="18"/>
      <c r="QOB273" s="18"/>
      <c r="QOC273" s="18"/>
      <c r="QOD273" s="18"/>
      <c r="QOE273" s="18"/>
      <c r="QOF273" s="18"/>
      <c r="QOG273" s="18"/>
      <c r="QOH273" s="18"/>
      <c r="QOI273" s="18"/>
      <c r="QOJ273" s="18"/>
      <c r="QOK273" s="18"/>
      <c r="QOL273" s="18"/>
      <c r="QOM273" s="18"/>
      <c r="QON273" s="18"/>
      <c r="QOO273" s="18"/>
      <c r="QOP273" s="18"/>
      <c r="QOQ273" s="18"/>
      <c r="QOR273" s="18"/>
      <c r="QOS273" s="18"/>
      <c r="QOT273" s="18"/>
      <c r="QOU273" s="18"/>
      <c r="QOV273" s="18"/>
      <c r="QOW273" s="18"/>
      <c r="QOX273" s="18"/>
      <c r="QOY273" s="18"/>
      <c r="QOZ273" s="18"/>
      <c r="QPA273" s="18"/>
      <c r="QPB273" s="18"/>
      <c r="QPC273" s="18"/>
      <c r="QPD273" s="18"/>
      <c r="QPE273" s="18"/>
      <c r="QPF273" s="18"/>
      <c r="QPG273" s="18"/>
      <c r="QPH273" s="18"/>
      <c r="QPI273" s="18"/>
      <c r="QPJ273" s="18"/>
      <c r="QPK273" s="18"/>
      <c r="QPL273" s="18"/>
      <c r="QPM273" s="18"/>
      <c r="QPN273" s="18"/>
      <c r="QPO273" s="18"/>
      <c r="QPP273" s="18"/>
      <c r="QPQ273" s="18"/>
      <c r="QPR273" s="18"/>
      <c r="QPS273" s="18"/>
      <c r="QPT273" s="18"/>
      <c r="QPU273" s="18"/>
      <c r="QPV273" s="18"/>
      <c r="QPW273" s="18"/>
      <c r="QPX273" s="18"/>
      <c r="QPY273" s="18"/>
      <c r="QPZ273" s="18"/>
      <c r="QQA273" s="18"/>
      <c r="QQB273" s="18"/>
      <c r="QQC273" s="18"/>
      <c r="QQD273" s="18"/>
      <c r="QQE273" s="18"/>
      <c r="QQF273" s="18"/>
      <c r="QQG273" s="18"/>
      <c r="QQH273" s="18"/>
      <c r="QQI273" s="18"/>
      <c r="QQJ273" s="18"/>
      <c r="QQK273" s="18"/>
      <c r="QQL273" s="18"/>
      <c r="QQM273" s="18"/>
      <c r="QQN273" s="18"/>
      <c r="QQO273" s="18"/>
      <c r="QQP273" s="18"/>
      <c r="QQQ273" s="18"/>
      <c r="QQR273" s="18"/>
      <c r="QQS273" s="18"/>
      <c r="QQT273" s="18"/>
      <c r="QQU273" s="18"/>
      <c r="QQV273" s="18"/>
      <c r="QQW273" s="18"/>
      <c r="QQX273" s="18"/>
      <c r="QQY273" s="18"/>
      <c r="QQZ273" s="18"/>
      <c r="QRA273" s="18"/>
      <c r="QRB273" s="18"/>
      <c r="QRC273" s="18"/>
      <c r="QRD273" s="18"/>
      <c r="QRE273" s="18"/>
      <c r="QRF273" s="18"/>
      <c r="QRG273" s="18"/>
      <c r="QRH273" s="18"/>
      <c r="QRI273" s="18"/>
      <c r="QRJ273" s="18"/>
      <c r="QRK273" s="18"/>
      <c r="QRL273" s="18"/>
      <c r="QRM273" s="18"/>
      <c r="QRN273" s="18"/>
      <c r="QRO273" s="18"/>
      <c r="QRP273" s="18"/>
      <c r="QRQ273" s="18"/>
      <c r="QRR273" s="18"/>
      <c r="QRS273" s="18"/>
      <c r="QRT273" s="18"/>
      <c r="QRU273" s="18"/>
      <c r="QRV273" s="18"/>
      <c r="QRW273" s="18"/>
      <c r="QRX273" s="18"/>
      <c r="QRY273" s="18"/>
      <c r="QRZ273" s="18"/>
      <c r="QSA273" s="18"/>
      <c r="QSB273" s="18"/>
      <c r="QSC273" s="18"/>
      <c r="QSD273" s="18"/>
      <c r="QSE273" s="18"/>
      <c r="QSF273" s="18"/>
      <c r="QSG273" s="18"/>
      <c r="QSH273" s="18"/>
      <c r="QSI273" s="18"/>
      <c r="QSJ273" s="18"/>
      <c r="QSK273" s="18"/>
      <c r="QSL273" s="18"/>
      <c r="QSM273" s="18"/>
      <c r="QSN273" s="18"/>
      <c r="QSO273" s="18"/>
      <c r="QSP273" s="18"/>
      <c r="QSQ273" s="18"/>
      <c r="QSR273" s="18"/>
      <c r="QSS273" s="18"/>
      <c r="QST273" s="18"/>
      <c r="QSU273" s="18"/>
      <c r="QSV273" s="18"/>
      <c r="QSW273" s="18"/>
      <c r="QSX273" s="18"/>
      <c r="QSY273" s="18"/>
      <c r="QSZ273" s="18"/>
      <c r="QTA273" s="18"/>
      <c r="QTB273" s="18"/>
      <c r="QTC273" s="18"/>
      <c r="QTD273" s="18"/>
      <c r="QTE273" s="18"/>
      <c r="QTF273" s="18"/>
      <c r="QTG273" s="18"/>
      <c r="QTH273" s="18"/>
      <c r="QTI273" s="18"/>
      <c r="QTJ273" s="18"/>
      <c r="QTK273" s="18"/>
      <c r="QTL273" s="18"/>
      <c r="QTM273" s="18"/>
      <c r="QTN273" s="18"/>
      <c r="QTO273" s="18"/>
      <c r="QTP273" s="18"/>
      <c r="QTQ273" s="18"/>
      <c r="QTR273" s="18"/>
      <c r="QTS273" s="18"/>
      <c r="QTT273" s="18"/>
      <c r="QTU273" s="18"/>
      <c r="QTV273" s="18"/>
      <c r="QTW273" s="18"/>
      <c r="QTX273" s="18"/>
      <c r="QTY273" s="18"/>
      <c r="QTZ273" s="18"/>
      <c r="QUA273" s="18"/>
      <c r="QUB273" s="18"/>
      <c r="QUC273" s="18"/>
      <c r="QUD273" s="18"/>
      <c r="QUE273" s="18"/>
      <c r="QUF273" s="18"/>
      <c r="QUG273" s="18"/>
      <c r="QUH273" s="18"/>
      <c r="QUI273" s="18"/>
      <c r="QUJ273" s="18"/>
      <c r="QUK273" s="18"/>
      <c r="QUL273" s="18"/>
      <c r="QUM273" s="18"/>
      <c r="QUN273" s="18"/>
      <c r="QUO273" s="18"/>
      <c r="QUP273" s="18"/>
      <c r="QUQ273" s="18"/>
      <c r="QUR273" s="18"/>
      <c r="QUS273" s="18"/>
      <c r="QUT273" s="18"/>
      <c r="QUU273" s="18"/>
      <c r="QUV273" s="18"/>
      <c r="QUW273" s="18"/>
      <c r="QUX273" s="18"/>
      <c r="QUY273" s="18"/>
      <c r="QUZ273" s="18"/>
      <c r="QVA273" s="18"/>
      <c r="QVB273" s="18"/>
      <c r="QVC273" s="18"/>
      <c r="QVD273" s="18"/>
      <c r="QVE273" s="18"/>
      <c r="QVF273" s="18"/>
      <c r="QVG273" s="18"/>
      <c r="QVH273" s="18"/>
      <c r="QVI273" s="18"/>
      <c r="QVJ273" s="18"/>
      <c r="QVK273" s="18"/>
      <c r="QVL273" s="18"/>
      <c r="QVM273" s="18"/>
      <c r="QVN273" s="18"/>
      <c r="QVO273" s="18"/>
      <c r="QVP273" s="18"/>
      <c r="QVQ273" s="18"/>
      <c r="QVR273" s="18"/>
      <c r="QVS273" s="18"/>
      <c r="QVT273" s="18"/>
      <c r="QVU273" s="18"/>
      <c r="QVV273" s="18"/>
      <c r="QVW273" s="18"/>
      <c r="QVX273" s="18"/>
      <c r="QVY273" s="18"/>
      <c r="QVZ273" s="18"/>
      <c r="QWA273" s="18"/>
      <c r="QWB273" s="18"/>
      <c r="QWC273" s="18"/>
      <c r="QWD273" s="18"/>
      <c r="QWE273" s="18"/>
      <c r="QWF273" s="18"/>
      <c r="QWG273" s="18"/>
      <c r="QWH273" s="18"/>
      <c r="QWI273" s="18"/>
      <c r="QWJ273" s="18"/>
      <c r="QWK273" s="18"/>
      <c r="QWL273" s="18"/>
      <c r="QWM273" s="18"/>
      <c r="QWN273" s="18"/>
      <c r="QWO273" s="18"/>
      <c r="QWP273" s="18"/>
      <c r="QWQ273" s="18"/>
      <c r="QWR273" s="18"/>
      <c r="QWS273" s="18"/>
      <c r="QWT273" s="18"/>
      <c r="QWU273" s="18"/>
      <c r="QWV273" s="18"/>
      <c r="QWW273" s="18"/>
      <c r="QWX273" s="18"/>
      <c r="QWY273" s="18"/>
      <c r="QWZ273" s="18"/>
      <c r="QXA273" s="18"/>
      <c r="QXB273" s="18"/>
      <c r="QXC273" s="18"/>
      <c r="QXD273" s="18"/>
      <c r="QXE273" s="18"/>
      <c r="QXF273" s="18"/>
      <c r="QXG273" s="18"/>
      <c r="QXH273" s="18"/>
      <c r="QXI273" s="18"/>
      <c r="QXJ273" s="18"/>
      <c r="QXK273" s="18"/>
      <c r="QXL273" s="18"/>
      <c r="QXM273" s="18"/>
      <c r="QXN273" s="18"/>
      <c r="QXO273" s="18"/>
      <c r="QXP273" s="18"/>
      <c r="QXQ273" s="18"/>
      <c r="QXR273" s="18"/>
      <c r="QXS273" s="18"/>
      <c r="QXT273" s="18"/>
      <c r="QXU273" s="18"/>
      <c r="QXV273" s="18"/>
      <c r="QXW273" s="18"/>
      <c r="QXX273" s="18"/>
      <c r="QXY273" s="18"/>
      <c r="QXZ273" s="18"/>
      <c r="QYA273" s="18"/>
      <c r="QYB273" s="18"/>
      <c r="QYC273" s="18"/>
      <c r="QYD273" s="18"/>
      <c r="QYE273" s="18"/>
      <c r="QYF273" s="18"/>
      <c r="QYG273" s="18"/>
      <c r="QYH273" s="18"/>
      <c r="QYI273" s="18"/>
      <c r="QYJ273" s="18"/>
      <c r="QYK273" s="18"/>
      <c r="QYL273" s="18"/>
      <c r="QYM273" s="18"/>
      <c r="QYN273" s="18"/>
      <c r="QYO273" s="18"/>
      <c r="QYP273" s="18"/>
      <c r="QYQ273" s="18"/>
      <c r="QYR273" s="18"/>
      <c r="QYS273" s="18"/>
      <c r="QYT273" s="18"/>
      <c r="QYU273" s="18"/>
      <c r="QYV273" s="18"/>
      <c r="QYW273" s="18"/>
      <c r="QYX273" s="18"/>
      <c r="QYY273" s="18"/>
      <c r="QYZ273" s="18"/>
      <c r="QZA273" s="18"/>
      <c r="QZB273" s="18"/>
      <c r="QZC273" s="18"/>
      <c r="QZD273" s="18"/>
      <c r="QZE273" s="18"/>
      <c r="QZF273" s="18"/>
      <c r="QZG273" s="18"/>
      <c r="QZH273" s="18"/>
      <c r="QZI273" s="18"/>
      <c r="QZJ273" s="18"/>
      <c r="QZK273" s="18"/>
      <c r="QZL273" s="18"/>
      <c r="QZM273" s="18"/>
      <c r="QZN273" s="18"/>
      <c r="QZO273" s="18"/>
      <c r="QZP273" s="18"/>
      <c r="QZQ273" s="18"/>
      <c r="QZR273" s="18"/>
      <c r="QZS273" s="18"/>
      <c r="QZT273" s="18"/>
      <c r="QZU273" s="18"/>
      <c r="QZV273" s="18"/>
      <c r="QZW273" s="18"/>
      <c r="QZX273" s="18"/>
      <c r="QZY273" s="18"/>
      <c r="QZZ273" s="18"/>
      <c r="RAA273" s="18"/>
      <c r="RAB273" s="18"/>
      <c r="RAC273" s="18"/>
      <c r="RAD273" s="18"/>
      <c r="RAE273" s="18"/>
      <c r="RAF273" s="18"/>
      <c r="RAG273" s="18"/>
      <c r="RAH273" s="18"/>
      <c r="RAI273" s="18"/>
      <c r="RAJ273" s="18"/>
      <c r="RAK273" s="18"/>
      <c r="RAL273" s="18"/>
      <c r="RAM273" s="18"/>
      <c r="RAN273" s="18"/>
      <c r="RAO273" s="18"/>
      <c r="RAP273" s="18"/>
      <c r="RAQ273" s="18"/>
      <c r="RAR273" s="18"/>
      <c r="RAS273" s="18"/>
      <c r="RAT273" s="18"/>
      <c r="RAU273" s="18"/>
      <c r="RAV273" s="18"/>
      <c r="RAW273" s="18"/>
      <c r="RAX273" s="18"/>
      <c r="RAY273" s="18"/>
      <c r="RAZ273" s="18"/>
      <c r="RBA273" s="18"/>
      <c r="RBB273" s="18"/>
      <c r="RBC273" s="18"/>
      <c r="RBD273" s="18"/>
      <c r="RBE273" s="18"/>
      <c r="RBF273" s="18"/>
      <c r="RBG273" s="18"/>
      <c r="RBH273" s="18"/>
      <c r="RBI273" s="18"/>
      <c r="RBJ273" s="18"/>
      <c r="RBK273" s="18"/>
      <c r="RBL273" s="18"/>
      <c r="RBM273" s="18"/>
      <c r="RBN273" s="18"/>
      <c r="RBO273" s="18"/>
      <c r="RBP273" s="18"/>
      <c r="RBQ273" s="18"/>
      <c r="RBR273" s="18"/>
      <c r="RBS273" s="18"/>
      <c r="RBT273" s="18"/>
      <c r="RBU273" s="18"/>
      <c r="RBV273" s="18"/>
      <c r="RBW273" s="18"/>
      <c r="RBX273" s="18"/>
      <c r="RBY273" s="18"/>
      <c r="RBZ273" s="18"/>
      <c r="RCA273" s="18"/>
      <c r="RCB273" s="18"/>
      <c r="RCC273" s="18"/>
      <c r="RCD273" s="18"/>
      <c r="RCE273" s="18"/>
      <c r="RCF273" s="18"/>
      <c r="RCG273" s="18"/>
      <c r="RCH273" s="18"/>
      <c r="RCI273" s="18"/>
      <c r="RCJ273" s="18"/>
      <c r="RCK273" s="18"/>
      <c r="RCL273" s="18"/>
      <c r="RCM273" s="18"/>
      <c r="RCN273" s="18"/>
      <c r="RCO273" s="18"/>
      <c r="RCP273" s="18"/>
      <c r="RCQ273" s="18"/>
      <c r="RCR273" s="18"/>
      <c r="RCS273" s="18"/>
      <c r="RCT273" s="18"/>
      <c r="RCU273" s="18"/>
      <c r="RCV273" s="18"/>
      <c r="RCW273" s="18"/>
      <c r="RCX273" s="18"/>
      <c r="RCY273" s="18"/>
      <c r="RCZ273" s="18"/>
      <c r="RDA273" s="18"/>
      <c r="RDB273" s="18"/>
      <c r="RDC273" s="18"/>
      <c r="RDD273" s="18"/>
      <c r="RDE273" s="18"/>
      <c r="RDF273" s="18"/>
      <c r="RDG273" s="18"/>
      <c r="RDH273" s="18"/>
      <c r="RDI273" s="18"/>
      <c r="RDJ273" s="18"/>
      <c r="RDK273" s="18"/>
      <c r="RDL273" s="18"/>
      <c r="RDM273" s="18"/>
      <c r="RDN273" s="18"/>
      <c r="RDO273" s="18"/>
      <c r="RDP273" s="18"/>
      <c r="RDQ273" s="18"/>
      <c r="RDR273" s="18"/>
      <c r="RDS273" s="18"/>
      <c r="RDT273" s="18"/>
      <c r="RDU273" s="18"/>
      <c r="RDV273" s="18"/>
      <c r="RDW273" s="18"/>
      <c r="RDX273" s="18"/>
      <c r="RDY273" s="18"/>
      <c r="RDZ273" s="18"/>
      <c r="REA273" s="18"/>
      <c r="REB273" s="18"/>
      <c r="REC273" s="18"/>
      <c r="RED273" s="18"/>
      <c r="REE273" s="18"/>
      <c r="REF273" s="18"/>
      <c r="REG273" s="18"/>
      <c r="REH273" s="18"/>
      <c r="REI273" s="18"/>
      <c r="REJ273" s="18"/>
      <c r="REK273" s="18"/>
      <c r="REL273" s="18"/>
      <c r="REM273" s="18"/>
      <c r="REN273" s="18"/>
      <c r="REO273" s="18"/>
      <c r="REP273" s="18"/>
      <c r="REQ273" s="18"/>
      <c r="RER273" s="18"/>
      <c r="RES273" s="18"/>
      <c r="RET273" s="18"/>
      <c r="REU273" s="18"/>
      <c r="REV273" s="18"/>
      <c r="REW273" s="18"/>
      <c r="REX273" s="18"/>
      <c r="REY273" s="18"/>
      <c r="REZ273" s="18"/>
      <c r="RFA273" s="18"/>
      <c r="RFB273" s="18"/>
      <c r="RFC273" s="18"/>
      <c r="RFD273" s="18"/>
      <c r="RFE273" s="18"/>
      <c r="RFF273" s="18"/>
      <c r="RFG273" s="18"/>
      <c r="RFH273" s="18"/>
      <c r="RFI273" s="18"/>
      <c r="RFJ273" s="18"/>
      <c r="RFK273" s="18"/>
      <c r="RFL273" s="18"/>
      <c r="RFM273" s="18"/>
      <c r="RFN273" s="18"/>
      <c r="RFO273" s="18"/>
      <c r="RFP273" s="18"/>
      <c r="RFQ273" s="18"/>
      <c r="RFR273" s="18"/>
      <c r="RFS273" s="18"/>
      <c r="RFT273" s="18"/>
      <c r="RFU273" s="18"/>
      <c r="RFV273" s="18"/>
      <c r="RFW273" s="18"/>
      <c r="RFX273" s="18"/>
      <c r="RFY273" s="18"/>
      <c r="RFZ273" s="18"/>
      <c r="RGA273" s="18"/>
      <c r="RGB273" s="18"/>
      <c r="RGC273" s="18"/>
      <c r="RGD273" s="18"/>
      <c r="RGE273" s="18"/>
      <c r="RGF273" s="18"/>
      <c r="RGG273" s="18"/>
      <c r="RGH273" s="18"/>
      <c r="RGI273" s="18"/>
      <c r="RGJ273" s="18"/>
      <c r="RGK273" s="18"/>
      <c r="RGL273" s="18"/>
      <c r="RGM273" s="18"/>
      <c r="RGN273" s="18"/>
      <c r="RGO273" s="18"/>
      <c r="RGP273" s="18"/>
      <c r="RGQ273" s="18"/>
      <c r="RGR273" s="18"/>
      <c r="RGS273" s="18"/>
      <c r="RGT273" s="18"/>
      <c r="RGU273" s="18"/>
      <c r="RGV273" s="18"/>
      <c r="RGW273" s="18"/>
      <c r="RGX273" s="18"/>
      <c r="RGY273" s="18"/>
      <c r="RGZ273" s="18"/>
      <c r="RHA273" s="18"/>
      <c r="RHB273" s="18"/>
      <c r="RHC273" s="18"/>
      <c r="RHD273" s="18"/>
      <c r="RHE273" s="18"/>
      <c r="RHF273" s="18"/>
      <c r="RHG273" s="18"/>
      <c r="RHH273" s="18"/>
      <c r="RHI273" s="18"/>
      <c r="RHJ273" s="18"/>
      <c r="RHK273" s="18"/>
      <c r="RHL273" s="18"/>
      <c r="RHM273" s="18"/>
      <c r="RHN273" s="18"/>
      <c r="RHO273" s="18"/>
      <c r="RHP273" s="18"/>
      <c r="RHQ273" s="18"/>
      <c r="RHR273" s="18"/>
      <c r="RHS273" s="18"/>
      <c r="RHT273" s="18"/>
      <c r="RHU273" s="18"/>
      <c r="RHV273" s="18"/>
      <c r="RHW273" s="18"/>
      <c r="RHX273" s="18"/>
      <c r="RHY273" s="18"/>
      <c r="RHZ273" s="18"/>
      <c r="RIA273" s="18"/>
      <c r="RIB273" s="18"/>
      <c r="RIC273" s="18"/>
      <c r="RID273" s="18"/>
      <c r="RIE273" s="18"/>
      <c r="RIF273" s="18"/>
      <c r="RIG273" s="18"/>
      <c r="RIH273" s="18"/>
      <c r="RII273" s="18"/>
      <c r="RIJ273" s="18"/>
      <c r="RIK273" s="18"/>
      <c r="RIL273" s="18"/>
      <c r="RIM273" s="18"/>
      <c r="RIN273" s="18"/>
      <c r="RIO273" s="18"/>
      <c r="RIP273" s="18"/>
      <c r="RIQ273" s="18"/>
      <c r="RIR273" s="18"/>
      <c r="RIS273" s="18"/>
      <c r="RIT273" s="18"/>
      <c r="RIU273" s="18"/>
      <c r="RIV273" s="18"/>
      <c r="RIW273" s="18"/>
      <c r="RIX273" s="18"/>
      <c r="RIY273" s="18"/>
      <c r="RIZ273" s="18"/>
      <c r="RJA273" s="18"/>
      <c r="RJB273" s="18"/>
      <c r="RJC273" s="18"/>
      <c r="RJD273" s="18"/>
      <c r="RJE273" s="18"/>
      <c r="RJF273" s="18"/>
      <c r="RJG273" s="18"/>
      <c r="RJH273" s="18"/>
      <c r="RJI273" s="18"/>
      <c r="RJJ273" s="18"/>
      <c r="RJK273" s="18"/>
      <c r="RJL273" s="18"/>
      <c r="RJM273" s="18"/>
      <c r="RJN273" s="18"/>
      <c r="RJO273" s="18"/>
      <c r="RJP273" s="18"/>
      <c r="RJQ273" s="18"/>
      <c r="RJR273" s="18"/>
      <c r="RJS273" s="18"/>
      <c r="RJT273" s="18"/>
      <c r="RJU273" s="18"/>
      <c r="RJV273" s="18"/>
      <c r="RJW273" s="18"/>
      <c r="RJX273" s="18"/>
      <c r="RJY273" s="18"/>
      <c r="RJZ273" s="18"/>
      <c r="RKA273" s="18"/>
      <c r="RKB273" s="18"/>
      <c r="RKC273" s="18"/>
      <c r="RKD273" s="18"/>
      <c r="RKE273" s="18"/>
      <c r="RKF273" s="18"/>
      <c r="RKG273" s="18"/>
      <c r="RKH273" s="18"/>
      <c r="RKI273" s="18"/>
      <c r="RKJ273" s="18"/>
      <c r="RKK273" s="18"/>
      <c r="RKL273" s="18"/>
      <c r="RKM273" s="18"/>
      <c r="RKN273" s="18"/>
      <c r="RKO273" s="18"/>
      <c r="RKP273" s="18"/>
      <c r="RKQ273" s="18"/>
      <c r="RKR273" s="18"/>
      <c r="RKS273" s="18"/>
      <c r="RKT273" s="18"/>
      <c r="RKU273" s="18"/>
      <c r="RKV273" s="18"/>
      <c r="RKW273" s="18"/>
      <c r="RKX273" s="18"/>
      <c r="RKY273" s="18"/>
      <c r="RKZ273" s="18"/>
      <c r="RLA273" s="18"/>
      <c r="RLB273" s="18"/>
      <c r="RLC273" s="18"/>
      <c r="RLD273" s="18"/>
      <c r="RLE273" s="18"/>
      <c r="RLF273" s="18"/>
      <c r="RLG273" s="18"/>
      <c r="RLH273" s="18"/>
      <c r="RLI273" s="18"/>
      <c r="RLJ273" s="18"/>
      <c r="RLK273" s="18"/>
      <c r="RLL273" s="18"/>
      <c r="RLM273" s="18"/>
      <c r="RLN273" s="18"/>
      <c r="RLO273" s="18"/>
      <c r="RLP273" s="18"/>
      <c r="RLQ273" s="18"/>
      <c r="RLR273" s="18"/>
      <c r="RLS273" s="18"/>
      <c r="RLT273" s="18"/>
      <c r="RLU273" s="18"/>
      <c r="RLV273" s="18"/>
      <c r="RLW273" s="18"/>
      <c r="RLX273" s="18"/>
      <c r="RLY273" s="18"/>
      <c r="RLZ273" s="18"/>
      <c r="RMA273" s="18"/>
      <c r="RMB273" s="18"/>
      <c r="RMC273" s="18"/>
      <c r="RMD273" s="18"/>
      <c r="RME273" s="18"/>
      <c r="RMF273" s="18"/>
      <c r="RMG273" s="18"/>
      <c r="RMH273" s="18"/>
      <c r="RMI273" s="18"/>
      <c r="RMJ273" s="18"/>
      <c r="RMK273" s="18"/>
      <c r="RML273" s="18"/>
      <c r="RMM273" s="18"/>
      <c r="RMN273" s="18"/>
      <c r="RMO273" s="18"/>
      <c r="RMP273" s="18"/>
      <c r="RMQ273" s="18"/>
      <c r="RMR273" s="18"/>
      <c r="RMS273" s="18"/>
      <c r="RMT273" s="18"/>
      <c r="RMU273" s="18"/>
      <c r="RMV273" s="18"/>
      <c r="RMW273" s="18"/>
      <c r="RMX273" s="18"/>
      <c r="RMY273" s="18"/>
      <c r="RMZ273" s="18"/>
      <c r="RNA273" s="18"/>
      <c r="RNB273" s="18"/>
      <c r="RNC273" s="18"/>
      <c r="RND273" s="18"/>
      <c r="RNE273" s="18"/>
      <c r="RNF273" s="18"/>
      <c r="RNG273" s="18"/>
      <c r="RNH273" s="18"/>
      <c r="RNI273" s="18"/>
      <c r="RNJ273" s="18"/>
      <c r="RNK273" s="18"/>
      <c r="RNL273" s="18"/>
      <c r="RNM273" s="18"/>
      <c r="RNN273" s="18"/>
      <c r="RNO273" s="18"/>
      <c r="RNP273" s="18"/>
      <c r="RNQ273" s="18"/>
      <c r="RNR273" s="18"/>
      <c r="RNS273" s="18"/>
      <c r="RNT273" s="18"/>
      <c r="RNU273" s="18"/>
      <c r="RNV273" s="18"/>
      <c r="RNW273" s="18"/>
      <c r="RNX273" s="18"/>
      <c r="RNY273" s="18"/>
      <c r="RNZ273" s="18"/>
      <c r="ROA273" s="18"/>
      <c r="ROB273" s="18"/>
      <c r="ROC273" s="18"/>
      <c r="ROD273" s="18"/>
      <c r="ROE273" s="18"/>
      <c r="ROF273" s="18"/>
      <c r="ROG273" s="18"/>
      <c r="ROH273" s="18"/>
      <c r="ROI273" s="18"/>
      <c r="ROJ273" s="18"/>
      <c r="ROK273" s="18"/>
      <c r="ROL273" s="18"/>
      <c r="ROM273" s="18"/>
      <c r="RON273" s="18"/>
      <c r="ROO273" s="18"/>
      <c r="ROP273" s="18"/>
      <c r="ROQ273" s="18"/>
      <c r="ROR273" s="18"/>
      <c r="ROS273" s="18"/>
      <c r="ROT273" s="18"/>
      <c r="ROU273" s="18"/>
      <c r="ROV273" s="18"/>
      <c r="ROW273" s="18"/>
      <c r="ROX273" s="18"/>
      <c r="ROY273" s="18"/>
      <c r="ROZ273" s="18"/>
      <c r="RPA273" s="18"/>
      <c r="RPB273" s="18"/>
      <c r="RPC273" s="18"/>
      <c r="RPD273" s="18"/>
      <c r="RPE273" s="18"/>
      <c r="RPF273" s="18"/>
      <c r="RPG273" s="18"/>
      <c r="RPH273" s="18"/>
      <c r="RPI273" s="18"/>
      <c r="RPJ273" s="18"/>
      <c r="RPK273" s="18"/>
      <c r="RPL273" s="18"/>
      <c r="RPM273" s="18"/>
      <c r="RPN273" s="18"/>
      <c r="RPO273" s="18"/>
      <c r="RPP273" s="18"/>
      <c r="RPQ273" s="18"/>
      <c r="RPR273" s="18"/>
      <c r="RPS273" s="18"/>
      <c r="RPT273" s="18"/>
      <c r="RPU273" s="18"/>
      <c r="RPV273" s="18"/>
      <c r="RPW273" s="18"/>
      <c r="RPX273" s="18"/>
      <c r="RPY273" s="18"/>
      <c r="RPZ273" s="18"/>
      <c r="RQA273" s="18"/>
      <c r="RQB273" s="18"/>
      <c r="RQC273" s="18"/>
      <c r="RQD273" s="18"/>
      <c r="RQE273" s="18"/>
      <c r="RQF273" s="18"/>
      <c r="RQG273" s="18"/>
      <c r="RQH273" s="18"/>
      <c r="RQI273" s="18"/>
      <c r="RQJ273" s="18"/>
      <c r="RQK273" s="18"/>
      <c r="RQL273" s="18"/>
      <c r="RQM273" s="18"/>
      <c r="RQN273" s="18"/>
      <c r="RQO273" s="18"/>
      <c r="RQP273" s="18"/>
      <c r="RQQ273" s="18"/>
      <c r="RQR273" s="18"/>
      <c r="RQS273" s="18"/>
      <c r="RQT273" s="18"/>
      <c r="RQU273" s="18"/>
      <c r="RQV273" s="18"/>
      <c r="RQW273" s="18"/>
      <c r="RQX273" s="18"/>
      <c r="RQY273" s="18"/>
      <c r="RQZ273" s="18"/>
      <c r="RRA273" s="18"/>
      <c r="RRB273" s="18"/>
      <c r="RRC273" s="18"/>
      <c r="RRD273" s="18"/>
      <c r="RRE273" s="18"/>
      <c r="RRF273" s="18"/>
      <c r="RRG273" s="18"/>
      <c r="RRH273" s="18"/>
      <c r="RRI273" s="18"/>
      <c r="RRJ273" s="18"/>
      <c r="RRK273" s="18"/>
      <c r="RRL273" s="18"/>
      <c r="RRM273" s="18"/>
      <c r="RRN273" s="18"/>
      <c r="RRO273" s="18"/>
      <c r="RRP273" s="18"/>
      <c r="RRQ273" s="18"/>
      <c r="RRR273" s="18"/>
      <c r="RRS273" s="18"/>
      <c r="RRT273" s="18"/>
      <c r="RRU273" s="18"/>
      <c r="RRV273" s="18"/>
      <c r="RRW273" s="18"/>
      <c r="RRX273" s="18"/>
      <c r="RRY273" s="18"/>
      <c r="RRZ273" s="18"/>
      <c r="RSA273" s="18"/>
      <c r="RSB273" s="18"/>
      <c r="RSC273" s="18"/>
      <c r="RSD273" s="18"/>
      <c r="RSE273" s="18"/>
      <c r="RSF273" s="18"/>
      <c r="RSG273" s="18"/>
      <c r="RSH273" s="18"/>
      <c r="RSI273" s="18"/>
      <c r="RSJ273" s="18"/>
      <c r="RSK273" s="18"/>
      <c r="RSL273" s="18"/>
      <c r="RSM273" s="18"/>
      <c r="RSN273" s="18"/>
      <c r="RSO273" s="18"/>
      <c r="RSP273" s="18"/>
      <c r="RSQ273" s="18"/>
      <c r="RSR273" s="18"/>
      <c r="RSS273" s="18"/>
      <c r="RST273" s="18"/>
      <c r="RSU273" s="18"/>
      <c r="RSV273" s="18"/>
      <c r="RSW273" s="18"/>
      <c r="RSX273" s="18"/>
      <c r="RSY273" s="18"/>
      <c r="RSZ273" s="18"/>
      <c r="RTA273" s="18"/>
      <c r="RTB273" s="18"/>
      <c r="RTC273" s="18"/>
      <c r="RTD273" s="18"/>
      <c r="RTE273" s="18"/>
      <c r="RTF273" s="18"/>
      <c r="RTG273" s="18"/>
      <c r="RTH273" s="18"/>
      <c r="RTI273" s="18"/>
      <c r="RTJ273" s="18"/>
      <c r="RTK273" s="18"/>
      <c r="RTL273" s="18"/>
      <c r="RTM273" s="18"/>
      <c r="RTN273" s="18"/>
      <c r="RTO273" s="18"/>
      <c r="RTP273" s="18"/>
      <c r="RTQ273" s="18"/>
      <c r="RTR273" s="18"/>
      <c r="RTS273" s="18"/>
      <c r="RTT273" s="18"/>
      <c r="RTU273" s="18"/>
      <c r="RTV273" s="18"/>
      <c r="RTW273" s="18"/>
      <c r="RTX273" s="18"/>
      <c r="RTY273" s="18"/>
      <c r="RTZ273" s="18"/>
      <c r="RUA273" s="18"/>
      <c r="RUB273" s="18"/>
      <c r="RUC273" s="18"/>
      <c r="RUD273" s="18"/>
      <c r="RUE273" s="18"/>
      <c r="RUF273" s="18"/>
      <c r="RUG273" s="18"/>
      <c r="RUH273" s="18"/>
      <c r="RUI273" s="18"/>
      <c r="RUJ273" s="18"/>
      <c r="RUK273" s="18"/>
      <c r="RUL273" s="18"/>
      <c r="RUM273" s="18"/>
      <c r="RUN273" s="18"/>
      <c r="RUO273" s="18"/>
      <c r="RUP273" s="18"/>
      <c r="RUQ273" s="18"/>
      <c r="RUR273" s="18"/>
      <c r="RUS273" s="18"/>
      <c r="RUT273" s="18"/>
      <c r="RUU273" s="18"/>
      <c r="RUV273" s="18"/>
      <c r="RUW273" s="18"/>
      <c r="RUX273" s="18"/>
      <c r="RUY273" s="18"/>
      <c r="RUZ273" s="18"/>
      <c r="RVA273" s="18"/>
      <c r="RVB273" s="18"/>
      <c r="RVC273" s="18"/>
      <c r="RVD273" s="18"/>
      <c r="RVE273" s="18"/>
      <c r="RVF273" s="18"/>
      <c r="RVG273" s="18"/>
      <c r="RVH273" s="18"/>
      <c r="RVI273" s="18"/>
      <c r="RVJ273" s="18"/>
      <c r="RVK273" s="18"/>
      <c r="RVL273" s="18"/>
      <c r="RVM273" s="18"/>
      <c r="RVN273" s="18"/>
      <c r="RVO273" s="18"/>
      <c r="RVP273" s="18"/>
      <c r="RVQ273" s="18"/>
      <c r="RVR273" s="18"/>
      <c r="RVS273" s="18"/>
      <c r="RVT273" s="18"/>
      <c r="RVU273" s="18"/>
      <c r="RVV273" s="18"/>
      <c r="RVW273" s="18"/>
      <c r="RVX273" s="18"/>
      <c r="RVY273" s="18"/>
      <c r="RVZ273" s="18"/>
      <c r="RWA273" s="18"/>
      <c r="RWB273" s="18"/>
      <c r="RWC273" s="18"/>
      <c r="RWD273" s="18"/>
      <c r="RWE273" s="18"/>
      <c r="RWF273" s="18"/>
      <c r="RWG273" s="18"/>
      <c r="RWH273" s="18"/>
      <c r="RWI273" s="18"/>
      <c r="RWJ273" s="18"/>
      <c r="RWK273" s="18"/>
      <c r="RWL273" s="18"/>
      <c r="RWM273" s="18"/>
      <c r="RWN273" s="18"/>
      <c r="RWO273" s="18"/>
      <c r="RWP273" s="18"/>
      <c r="RWQ273" s="18"/>
      <c r="RWR273" s="18"/>
      <c r="RWS273" s="18"/>
      <c r="RWT273" s="18"/>
      <c r="RWU273" s="18"/>
      <c r="RWV273" s="18"/>
      <c r="RWW273" s="18"/>
      <c r="RWX273" s="18"/>
      <c r="RWY273" s="18"/>
      <c r="RWZ273" s="18"/>
      <c r="RXA273" s="18"/>
      <c r="RXB273" s="18"/>
      <c r="RXC273" s="18"/>
      <c r="RXD273" s="18"/>
      <c r="RXE273" s="18"/>
      <c r="RXF273" s="18"/>
      <c r="RXG273" s="18"/>
      <c r="RXH273" s="18"/>
      <c r="RXI273" s="18"/>
      <c r="RXJ273" s="18"/>
      <c r="RXK273" s="18"/>
      <c r="RXL273" s="18"/>
      <c r="RXM273" s="18"/>
      <c r="RXN273" s="18"/>
      <c r="RXO273" s="18"/>
      <c r="RXP273" s="18"/>
      <c r="RXQ273" s="18"/>
      <c r="RXR273" s="18"/>
      <c r="RXS273" s="18"/>
      <c r="RXT273" s="18"/>
      <c r="RXU273" s="18"/>
      <c r="RXV273" s="18"/>
      <c r="RXW273" s="18"/>
      <c r="RXX273" s="18"/>
      <c r="RXY273" s="18"/>
      <c r="RXZ273" s="18"/>
      <c r="RYA273" s="18"/>
      <c r="RYB273" s="18"/>
      <c r="RYC273" s="18"/>
      <c r="RYD273" s="18"/>
      <c r="RYE273" s="18"/>
      <c r="RYF273" s="18"/>
      <c r="RYG273" s="18"/>
      <c r="RYH273" s="18"/>
      <c r="RYI273" s="18"/>
      <c r="RYJ273" s="18"/>
      <c r="RYK273" s="18"/>
      <c r="RYL273" s="18"/>
      <c r="RYM273" s="18"/>
      <c r="RYN273" s="18"/>
      <c r="RYO273" s="18"/>
      <c r="RYP273" s="18"/>
      <c r="RYQ273" s="18"/>
      <c r="RYR273" s="18"/>
      <c r="RYS273" s="18"/>
      <c r="RYT273" s="18"/>
      <c r="RYU273" s="18"/>
      <c r="RYV273" s="18"/>
      <c r="RYW273" s="18"/>
      <c r="RYX273" s="18"/>
      <c r="RYY273" s="18"/>
      <c r="RYZ273" s="18"/>
      <c r="RZA273" s="18"/>
      <c r="RZB273" s="18"/>
      <c r="RZC273" s="18"/>
      <c r="RZD273" s="18"/>
      <c r="RZE273" s="18"/>
      <c r="RZF273" s="18"/>
      <c r="RZG273" s="18"/>
      <c r="RZH273" s="18"/>
      <c r="RZI273" s="18"/>
      <c r="RZJ273" s="18"/>
      <c r="RZK273" s="18"/>
      <c r="RZL273" s="18"/>
      <c r="RZM273" s="18"/>
      <c r="RZN273" s="18"/>
      <c r="RZO273" s="18"/>
      <c r="RZP273" s="18"/>
      <c r="RZQ273" s="18"/>
      <c r="RZR273" s="18"/>
      <c r="RZS273" s="18"/>
      <c r="RZT273" s="18"/>
      <c r="RZU273" s="18"/>
      <c r="RZV273" s="18"/>
      <c r="RZW273" s="18"/>
      <c r="RZX273" s="18"/>
      <c r="RZY273" s="18"/>
      <c r="RZZ273" s="18"/>
      <c r="SAA273" s="18"/>
      <c r="SAB273" s="18"/>
      <c r="SAC273" s="18"/>
      <c r="SAD273" s="18"/>
      <c r="SAE273" s="18"/>
      <c r="SAF273" s="18"/>
      <c r="SAG273" s="18"/>
      <c r="SAH273" s="18"/>
      <c r="SAI273" s="18"/>
      <c r="SAJ273" s="18"/>
      <c r="SAK273" s="18"/>
      <c r="SAL273" s="18"/>
      <c r="SAM273" s="18"/>
      <c r="SAN273" s="18"/>
      <c r="SAO273" s="18"/>
      <c r="SAP273" s="18"/>
      <c r="SAQ273" s="18"/>
      <c r="SAR273" s="18"/>
      <c r="SAS273" s="18"/>
      <c r="SAT273" s="18"/>
      <c r="SAU273" s="18"/>
      <c r="SAV273" s="18"/>
      <c r="SAW273" s="18"/>
      <c r="SAX273" s="18"/>
      <c r="SAY273" s="18"/>
      <c r="SAZ273" s="18"/>
      <c r="SBA273" s="18"/>
      <c r="SBB273" s="18"/>
      <c r="SBC273" s="18"/>
      <c r="SBD273" s="18"/>
      <c r="SBE273" s="18"/>
      <c r="SBF273" s="18"/>
      <c r="SBG273" s="18"/>
      <c r="SBH273" s="18"/>
      <c r="SBI273" s="18"/>
      <c r="SBJ273" s="18"/>
      <c r="SBK273" s="18"/>
      <c r="SBL273" s="18"/>
      <c r="SBM273" s="18"/>
      <c r="SBN273" s="18"/>
      <c r="SBO273" s="18"/>
      <c r="SBP273" s="18"/>
      <c r="SBQ273" s="18"/>
      <c r="SBR273" s="18"/>
      <c r="SBS273" s="18"/>
      <c r="SBT273" s="18"/>
      <c r="SBU273" s="18"/>
      <c r="SBV273" s="18"/>
      <c r="SBW273" s="18"/>
      <c r="SBX273" s="18"/>
      <c r="SBY273" s="18"/>
      <c r="SBZ273" s="18"/>
      <c r="SCA273" s="18"/>
      <c r="SCB273" s="18"/>
      <c r="SCC273" s="18"/>
      <c r="SCD273" s="18"/>
      <c r="SCE273" s="18"/>
      <c r="SCF273" s="18"/>
      <c r="SCG273" s="18"/>
      <c r="SCH273" s="18"/>
      <c r="SCI273" s="18"/>
      <c r="SCJ273" s="18"/>
      <c r="SCK273" s="18"/>
      <c r="SCL273" s="18"/>
      <c r="SCM273" s="18"/>
      <c r="SCN273" s="18"/>
      <c r="SCO273" s="18"/>
      <c r="SCP273" s="18"/>
      <c r="SCQ273" s="18"/>
      <c r="SCR273" s="18"/>
      <c r="SCS273" s="18"/>
      <c r="SCT273" s="18"/>
      <c r="SCU273" s="18"/>
      <c r="SCV273" s="18"/>
      <c r="SCW273" s="18"/>
      <c r="SCX273" s="18"/>
      <c r="SCY273" s="18"/>
      <c r="SCZ273" s="18"/>
      <c r="SDA273" s="18"/>
      <c r="SDB273" s="18"/>
      <c r="SDC273" s="18"/>
      <c r="SDD273" s="18"/>
      <c r="SDE273" s="18"/>
      <c r="SDF273" s="18"/>
      <c r="SDG273" s="18"/>
      <c r="SDH273" s="18"/>
      <c r="SDI273" s="18"/>
      <c r="SDJ273" s="18"/>
      <c r="SDK273" s="18"/>
      <c r="SDL273" s="18"/>
      <c r="SDM273" s="18"/>
      <c r="SDN273" s="18"/>
      <c r="SDO273" s="18"/>
      <c r="SDP273" s="18"/>
      <c r="SDQ273" s="18"/>
      <c r="SDR273" s="18"/>
      <c r="SDS273" s="18"/>
      <c r="SDT273" s="18"/>
      <c r="SDU273" s="18"/>
      <c r="SDV273" s="18"/>
      <c r="SDW273" s="18"/>
      <c r="SDX273" s="18"/>
      <c r="SDY273" s="18"/>
      <c r="SDZ273" s="18"/>
      <c r="SEA273" s="18"/>
      <c r="SEB273" s="18"/>
      <c r="SEC273" s="18"/>
      <c r="SED273" s="18"/>
      <c r="SEE273" s="18"/>
      <c r="SEF273" s="18"/>
      <c r="SEG273" s="18"/>
      <c r="SEH273" s="18"/>
      <c r="SEI273" s="18"/>
      <c r="SEJ273" s="18"/>
      <c r="SEK273" s="18"/>
      <c r="SEL273" s="18"/>
      <c r="SEM273" s="18"/>
      <c r="SEN273" s="18"/>
      <c r="SEO273" s="18"/>
      <c r="SEP273" s="18"/>
      <c r="SEQ273" s="18"/>
      <c r="SER273" s="18"/>
      <c r="SES273" s="18"/>
      <c r="SET273" s="18"/>
      <c r="SEU273" s="18"/>
      <c r="SEV273" s="18"/>
      <c r="SEW273" s="18"/>
      <c r="SEX273" s="18"/>
      <c r="SEY273" s="18"/>
      <c r="SEZ273" s="18"/>
      <c r="SFA273" s="18"/>
      <c r="SFB273" s="18"/>
      <c r="SFC273" s="18"/>
      <c r="SFD273" s="18"/>
      <c r="SFE273" s="18"/>
      <c r="SFF273" s="18"/>
      <c r="SFG273" s="18"/>
      <c r="SFH273" s="18"/>
      <c r="SFI273" s="18"/>
      <c r="SFJ273" s="18"/>
      <c r="SFK273" s="18"/>
      <c r="SFL273" s="18"/>
      <c r="SFM273" s="18"/>
      <c r="SFN273" s="18"/>
      <c r="SFO273" s="18"/>
      <c r="SFP273" s="18"/>
      <c r="SFQ273" s="18"/>
      <c r="SFR273" s="18"/>
      <c r="SFS273" s="18"/>
      <c r="SFT273" s="18"/>
      <c r="SFU273" s="18"/>
      <c r="SFV273" s="18"/>
      <c r="SFW273" s="18"/>
      <c r="SFX273" s="18"/>
      <c r="SFY273" s="18"/>
      <c r="SFZ273" s="18"/>
      <c r="SGA273" s="18"/>
      <c r="SGB273" s="18"/>
      <c r="SGC273" s="18"/>
      <c r="SGD273" s="18"/>
      <c r="SGE273" s="18"/>
      <c r="SGF273" s="18"/>
      <c r="SGG273" s="18"/>
      <c r="SGH273" s="18"/>
      <c r="SGI273" s="18"/>
      <c r="SGJ273" s="18"/>
      <c r="SGK273" s="18"/>
      <c r="SGL273" s="18"/>
      <c r="SGM273" s="18"/>
      <c r="SGN273" s="18"/>
      <c r="SGO273" s="18"/>
      <c r="SGP273" s="18"/>
      <c r="SGQ273" s="18"/>
      <c r="SGR273" s="18"/>
      <c r="SGS273" s="18"/>
      <c r="SGT273" s="18"/>
      <c r="SGU273" s="18"/>
      <c r="SGV273" s="18"/>
      <c r="SGW273" s="18"/>
      <c r="SGX273" s="18"/>
      <c r="SGY273" s="18"/>
      <c r="SGZ273" s="18"/>
      <c r="SHA273" s="18"/>
      <c r="SHB273" s="18"/>
      <c r="SHC273" s="18"/>
      <c r="SHD273" s="18"/>
      <c r="SHE273" s="18"/>
      <c r="SHF273" s="18"/>
      <c r="SHG273" s="18"/>
      <c r="SHH273" s="18"/>
      <c r="SHI273" s="18"/>
      <c r="SHJ273" s="18"/>
      <c r="SHK273" s="18"/>
      <c r="SHL273" s="18"/>
      <c r="SHM273" s="18"/>
      <c r="SHN273" s="18"/>
      <c r="SHO273" s="18"/>
      <c r="SHP273" s="18"/>
      <c r="SHQ273" s="18"/>
      <c r="SHR273" s="18"/>
      <c r="SHS273" s="18"/>
      <c r="SHT273" s="18"/>
      <c r="SHU273" s="18"/>
      <c r="SHV273" s="18"/>
      <c r="SHW273" s="18"/>
      <c r="SHX273" s="18"/>
      <c r="SHY273" s="18"/>
      <c r="SHZ273" s="18"/>
      <c r="SIA273" s="18"/>
      <c r="SIB273" s="18"/>
      <c r="SIC273" s="18"/>
      <c r="SID273" s="18"/>
      <c r="SIE273" s="18"/>
      <c r="SIF273" s="18"/>
      <c r="SIG273" s="18"/>
      <c r="SIH273" s="18"/>
      <c r="SII273" s="18"/>
      <c r="SIJ273" s="18"/>
      <c r="SIK273" s="18"/>
      <c r="SIL273" s="18"/>
      <c r="SIM273" s="18"/>
      <c r="SIN273" s="18"/>
      <c r="SIO273" s="18"/>
      <c r="SIP273" s="18"/>
      <c r="SIQ273" s="18"/>
      <c r="SIR273" s="18"/>
      <c r="SIS273" s="18"/>
      <c r="SIT273" s="18"/>
      <c r="SIU273" s="18"/>
      <c r="SIV273" s="18"/>
      <c r="SIW273" s="18"/>
      <c r="SIX273" s="18"/>
      <c r="SIY273" s="18"/>
      <c r="SIZ273" s="18"/>
      <c r="SJA273" s="18"/>
      <c r="SJB273" s="18"/>
      <c r="SJC273" s="18"/>
      <c r="SJD273" s="18"/>
      <c r="SJE273" s="18"/>
      <c r="SJF273" s="18"/>
      <c r="SJG273" s="18"/>
      <c r="SJH273" s="18"/>
      <c r="SJI273" s="18"/>
      <c r="SJJ273" s="18"/>
      <c r="SJK273" s="18"/>
      <c r="SJL273" s="18"/>
      <c r="SJM273" s="18"/>
      <c r="SJN273" s="18"/>
      <c r="SJO273" s="18"/>
      <c r="SJP273" s="18"/>
      <c r="SJQ273" s="18"/>
      <c r="SJR273" s="18"/>
      <c r="SJS273" s="18"/>
      <c r="SJT273" s="18"/>
      <c r="SJU273" s="18"/>
      <c r="SJV273" s="18"/>
      <c r="SJW273" s="18"/>
      <c r="SJX273" s="18"/>
      <c r="SJY273" s="18"/>
      <c r="SJZ273" s="18"/>
      <c r="SKA273" s="18"/>
      <c r="SKB273" s="18"/>
      <c r="SKC273" s="18"/>
      <c r="SKD273" s="18"/>
      <c r="SKE273" s="18"/>
      <c r="SKF273" s="18"/>
      <c r="SKG273" s="18"/>
      <c r="SKH273" s="18"/>
      <c r="SKI273" s="18"/>
      <c r="SKJ273" s="18"/>
      <c r="SKK273" s="18"/>
      <c r="SKL273" s="18"/>
      <c r="SKM273" s="18"/>
      <c r="SKN273" s="18"/>
      <c r="SKO273" s="18"/>
      <c r="SKP273" s="18"/>
      <c r="SKQ273" s="18"/>
      <c r="SKR273" s="18"/>
      <c r="SKS273" s="18"/>
      <c r="SKT273" s="18"/>
      <c r="SKU273" s="18"/>
      <c r="SKV273" s="18"/>
      <c r="SKW273" s="18"/>
      <c r="SKX273" s="18"/>
      <c r="SKY273" s="18"/>
      <c r="SKZ273" s="18"/>
      <c r="SLA273" s="18"/>
      <c r="SLB273" s="18"/>
      <c r="SLC273" s="18"/>
      <c r="SLD273" s="18"/>
      <c r="SLE273" s="18"/>
      <c r="SLF273" s="18"/>
      <c r="SLG273" s="18"/>
      <c r="SLH273" s="18"/>
      <c r="SLI273" s="18"/>
      <c r="SLJ273" s="18"/>
      <c r="SLK273" s="18"/>
      <c r="SLL273" s="18"/>
      <c r="SLM273" s="18"/>
      <c r="SLN273" s="18"/>
      <c r="SLO273" s="18"/>
      <c r="SLP273" s="18"/>
      <c r="SLQ273" s="18"/>
      <c r="SLR273" s="18"/>
      <c r="SLS273" s="18"/>
      <c r="SLT273" s="18"/>
      <c r="SLU273" s="18"/>
      <c r="SLV273" s="18"/>
      <c r="SLW273" s="18"/>
      <c r="SLX273" s="18"/>
      <c r="SLY273" s="18"/>
      <c r="SLZ273" s="18"/>
      <c r="SMA273" s="18"/>
      <c r="SMB273" s="18"/>
      <c r="SMC273" s="18"/>
      <c r="SMD273" s="18"/>
      <c r="SME273" s="18"/>
      <c r="SMF273" s="18"/>
      <c r="SMG273" s="18"/>
      <c r="SMH273" s="18"/>
      <c r="SMI273" s="18"/>
      <c r="SMJ273" s="18"/>
      <c r="SMK273" s="18"/>
      <c r="SML273" s="18"/>
      <c r="SMM273" s="18"/>
      <c r="SMN273" s="18"/>
      <c r="SMO273" s="18"/>
      <c r="SMP273" s="18"/>
      <c r="SMQ273" s="18"/>
      <c r="SMR273" s="18"/>
      <c r="SMS273" s="18"/>
      <c r="SMT273" s="18"/>
      <c r="SMU273" s="18"/>
      <c r="SMV273" s="18"/>
      <c r="SMW273" s="18"/>
      <c r="SMX273" s="18"/>
      <c r="SMY273" s="18"/>
      <c r="SMZ273" s="18"/>
      <c r="SNA273" s="18"/>
      <c r="SNB273" s="18"/>
      <c r="SNC273" s="18"/>
      <c r="SND273" s="18"/>
      <c r="SNE273" s="18"/>
      <c r="SNF273" s="18"/>
      <c r="SNG273" s="18"/>
      <c r="SNH273" s="18"/>
      <c r="SNI273" s="18"/>
      <c r="SNJ273" s="18"/>
      <c r="SNK273" s="18"/>
      <c r="SNL273" s="18"/>
      <c r="SNM273" s="18"/>
      <c r="SNN273" s="18"/>
      <c r="SNO273" s="18"/>
      <c r="SNP273" s="18"/>
      <c r="SNQ273" s="18"/>
      <c r="SNR273" s="18"/>
      <c r="SNS273" s="18"/>
      <c r="SNT273" s="18"/>
      <c r="SNU273" s="18"/>
      <c r="SNV273" s="18"/>
      <c r="SNW273" s="18"/>
      <c r="SNX273" s="18"/>
      <c r="SNY273" s="18"/>
      <c r="SNZ273" s="18"/>
      <c r="SOA273" s="18"/>
      <c r="SOB273" s="18"/>
      <c r="SOC273" s="18"/>
      <c r="SOD273" s="18"/>
      <c r="SOE273" s="18"/>
      <c r="SOF273" s="18"/>
      <c r="SOG273" s="18"/>
      <c r="SOH273" s="18"/>
      <c r="SOI273" s="18"/>
      <c r="SOJ273" s="18"/>
      <c r="SOK273" s="18"/>
      <c r="SOL273" s="18"/>
      <c r="SOM273" s="18"/>
      <c r="SON273" s="18"/>
      <c r="SOO273" s="18"/>
      <c r="SOP273" s="18"/>
      <c r="SOQ273" s="18"/>
      <c r="SOR273" s="18"/>
      <c r="SOS273" s="18"/>
      <c r="SOT273" s="18"/>
      <c r="SOU273" s="18"/>
      <c r="SOV273" s="18"/>
      <c r="SOW273" s="18"/>
      <c r="SOX273" s="18"/>
      <c r="SOY273" s="18"/>
      <c r="SOZ273" s="18"/>
      <c r="SPA273" s="18"/>
      <c r="SPB273" s="18"/>
      <c r="SPC273" s="18"/>
      <c r="SPD273" s="18"/>
      <c r="SPE273" s="18"/>
      <c r="SPF273" s="18"/>
      <c r="SPG273" s="18"/>
      <c r="SPH273" s="18"/>
      <c r="SPI273" s="18"/>
      <c r="SPJ273" s="18"/>
      <c r="SPK273" s="18"/>
      <c r="SPL273" s="18"/>
      <c r="SPM273" s="18"/>
      <c r="SPN273" s="18"/>
      <c r="SPO273" s="18"/>
      <c r="SPP273" s="18"/>
      <c r="SPQ273" s="18"/>
      <c r="SPR273" s="18"/>
      <c r="SPS273" s="18"/>
      <c r="SPT273" s="18"/>
      <c r="SPU273" s="18"/>
      <c r="SPV273" s="18"/>
      <c r="SPW273" s="18"/>
      <c r="SPX273" s="18"/>
      <c r="SPY273" s="18"/>
      <c r="SPZ273" s="18"/>
      <c r="SQA273" s="18"/>
      <c r="SQB273" s="18"/>
      <c r="SQC273" s="18"/>
      <c r="SQD273" s="18"/>
      <c r="SQE273" s="18"/>
      <c r="SQF273" s="18"/>
      <c r="SQG273" s="18"/>
      <c r="SQH273" s="18"/>
      <c r="SQI273" s="18"/>
      <c r="SQJ273" s="18"/>
      <c r="SQK273" s="18"/>
      <c r="SQL273" s="18"/>
      <c r="SQM273" s="18"/>
      <c r="SQN273" s="18"/>
      <c r="SQO273" s="18"/>
      <c r="SQP273" s="18"/>
      <c r="SQQ273" s="18"/>
      <c r="SQR273" s="18"/>
      <c r="SQS273" s="18"/>
      <c r="SQT273" s="18"/>
      <c r="SQU273" s="18"/>
      <c r="SQV273" s="18"/>
      <c r="SQW273" s="18"/>
      <c r="SQX273" s="18"/>
      <c r="SQY273" s="18"/>
      <c r="SQZ273" s="18"/>
      <c r="SRA273" s="18"/>
      <c r="SRB273" s="18"/>
      <c r="SRC273" s="18"/>
      <c r="SRD273" s="18"/>
      <c r="SRE273" s="18"/>
      <c r="SRF273" s="18"/>
      <c r="SRG273" s="18"/>
      <c r="SRH273" s="18"/>
      <c r="SRI273" s="18"/>
      <c r="SRJ273" s="18"/>
      <c r="SRK273" s="18"/>
      <c r="SRL273" s="18"/>
      <c r="SRM273" s="18"/>
      <c r="SRN273" s="18"/>
      <c r="SRO273" s="18"/>
      <c r="SRP273" s="18"/>
      <c r="SRQ273" s="18"/>
      <c r="SRR273" s="18"/>
      <c r="SRS273" s="18"/>
      <c r="SRT273" s="18"/>
      <c r="SRU273" s="18"/>
      <c r="SRV273" s="18"/>
      <c r="SRW273" s="18"/>
      <c r="SRX273" s="18"/>
      <c r="SRY273" s="18"/>
      <c r="SRZ273" s="18"/>
      <c r="SSA273" s="18"/>
      <c r="SSB273" s="18"/>
      <c r="SSC273" s="18"/>
      <c r="SSD273" s="18"/>
      <c r="SSE273" s="18"/>
      <c r="SSF273" s="18"/>
      <c r="SSG273" s="18"/>
      <c r="SSH273" s="18"/>
      <c r="SSI273" s="18"/>
      <c r="SSJ273" s="18"/>
      <c r="SSK273" s="18"/>
      <c r="SSL273" s="18"/>
      <c r="SSM273" s="18"/>
      <c r="SSN273" s="18"/>
      <c r="SSO273" s="18"/>
      <c r="SSP273" s="18"/>
      <c r="SSQ273" s="18"/>
      <c r="SSR273" s="18"/>
      <c r="SSS273" s="18"/>
      <c r="SST273" s="18"/>
      <c r="SSU273" s="18"/>
      <c r="SSV273" s="18"/>
      <c r="SSW273" s="18"/>
      <c r="SSX273" s="18"/>
      <c r="SSY273" s="18"/>
      <c r="SSZ273" s="18"/>
      <c r="STA273" s="18"/>
      <c r="STB273" s="18"/>
      <c r="STC273" s="18"/>
      <c r="STD273" s="18"/>
      <c r="STE273" s="18"/>
      <c r="STF273" s="18"/>
      <c r="STG273" s="18"/>
      <c r="STH273" s="18"/>
      <c r="STI273" s="18"/>
      <c r="STJ273" s="18"/>
      <c r="STK273" s="18"/>
      <c r="STL273" s="18"/>
      <c r="STM273" s="18"/>
      <c r="STN273" s="18"/>
      <c r="STO273" s="18"/>
      <c r="STP273" s="18"/>
      <c r="STQ273" s="18"/>
      <c r="STR273" s="18"/>
      <c r="STS273" s="18"/>
      <c r="STT273" s="18"/>
      <c r="STU273" s="18"/>
      <c r="STV273" s="18"/>
      <c r="STW273" s="18"/>
      <c r="STX273" s="18"/>
      <c r="STY273" s="18"/>
      <c r="STZ273" s="18"/>
      <c r="SUA273" s="18"/>
      <c r="SUB273" s="18"/>
      <c r="SUC273" s="18"/>
      <c r="SUD273" s="18"/>
      <c r="SUE273" s="18"/>
      <c r="SUF273" s="18"/>
      <c r="SUG273" s="18"/>
      <c r="SUH273" s="18"/>
      <c r="SUI273" s="18"/>
      <c r="SUJ273" s="18"/>
      <c r="SUK273" s="18"/>
      <c r="SUL273" s="18"/>
      <c r="SUM273" s="18"/>
      <c r="SUN273" s="18"/>
      <c r="SUO273" s="18"/>
      <c r="SUP273" s="18"/>
      <c r="SUQ273" s="18"/>
      <c r="SUR273" s="18"/>
      <c r="SUS273" s="18"/>
      <c r="SUT273" s="18"/>
      <c r="SUU273" s="18"/>
      <c r="SUV273" s="18"/>
      <c r="SUW273" s="18"/>
      <c r="SUX273" s="18"/>
      <c r="SUY273" s="18"/>
      <c r="SUZ273" s="18"/>
      <c r="SVA273" s="18"/>
      <c r="SVB273" s="18"/>
      <c r="SVC273" s="18"/>
      <c r="SVD273" s="18"/>
      <c r="SVE273" s="18"/>
      <c r="SVF273" s="18"/>
      <c r="SVG273" s="18"/>
      <c r="SVH273" s="18"/>
      <c r="SVI273" s="18"/>
      <c r="SVJ273" s="18"/>
      <c r="SVK273" s="18"/>
      <c r="SVL273" s="18"/>
      <c r="SVM273" s="18"/>
      <c r="SVN273" s="18"/>
      <c r="SVO273" s="18"/>
      <c r="SVP273" s="18"/>
      <c r="SVQ273" s="18"/>
      <c r="SVR273" s="18"/>
      <c r="SVS273" s="18"/>
      <c r="SVT273" s="18"/>
      <c r="SVU273" s="18"/>
      <c r="SVV273" s="18"/>
      <c r="SVW273" s="18"/>
      <c r="SVX273" s="18"/>
      <c r="SVY273" s="18"/>
      <c r="SVZ273" s="18"/>
      <c r="SWA273" s="18"/>
      <c r="SWB273" s="18"/>
      <c r="SWC273" s="18"/>
      <c r="SWD273" s="18"/>
      <c r="SWE273" s="18"/>
      <c r="SWF273" s="18"/>
      <c r="SWG273" s="18"/>
      <c r="SWH273" s="18"/>
      <c r="SWI273" s="18"/>
      <c r="SWJ273" s="18"/>
      <c r="SWK273" s="18"/>
      <c r="SWL273" s="18"/>
      <c r="SWM273" s="18"/>
      <c r="SWN273" s="18"/>
      <c r="SWO273" s="18"/>
      <c r="SWP273" s="18"/>
      <c r="SWQ273" s="18"/>
      <c r="SWR273" s="18"/>
      <c r="SWS273" s="18"/>
      <c r="SWT273" s="18"/>
      <c r="SWU273" s="18"/>
      <c r="SWV273" s="18"/>
      <c r="SWW273" s="18"/>
      <c r="SWX273" s="18"/>
      <c r="SWY273" s="18"/>
      <c r="SWZ273" s="18"/>
      <c r="SXA273" s="18"/>
      <c r="SXB273" s="18"/>
      <c r="SXC273" s="18"/>
      <c r="SXD273" s="18"/>
      <c r="SXE273" s="18"/>
      <c r="SXF273" s="18"/>
      <c r="SXG273" s="18"/>
      <c r="SXH273" s="18"/>
      <c r="SXI273" s="18"/>
      <c r="SXJ273" s="18"/>
      <c r="SXK273" s="18"/>
      <c r="SXL273" s="18"/>
      <c r="SXM273" s="18"/>
      <c r="SXN273" s="18"/>
      <c r="SXO273" s="18"/>
      <c r="SXP273" s="18"/>
      <c r="SXQ273" s="18"/>
      <c r="SXR273" s="18"/>
      <c r="SXS273" s="18"/>
      <c r="SXT273" s="18"/>
      <c r="SXU273" s="18"/>
      <c r="SXV273" s="18"/>
      <c r="SXW273" s="18"/>
      <c r="SXX273" s="18"/>
      <c r="SXY273" s="18"/>
      <c r="SXZ273" s="18"/>
      <c r="SYA273" s="18"/>
      <c r="SYB273" s="18"/>
      <c r="SYC273" s="18"/>
      <c r="SYD273" s="18"/>
      <c r="SYE273" s="18"/>
      <c r="SYF273" s="18"/>
      <c r="SYG273" s="18"/>
      <c r="SYH273" s="18"/>
      <c r="SYI273" s="18"/>
      <c r="SYJ273" s="18"/>
      <c r="SYK273" s="18"/>
      <c r="SYL273" s="18"/>
      <c r="SYM273" s="18"/>
      <c r="SYN273" s="18"/>
      <c r="SYO273" s="18"/>
      <c r="SYP273" s="18"/>
      <c r="SYQ273" s="18"/>
      <c r="SYR273" s="18"/>
      <c r="SYS273" s="18"/>
      <c r="SYT273" s="18"/>
      <c r="SYU273" s="18"/>
      <c r="SYV273" s="18"/>
      <c r="SYW273" s="18"/>
      <c r="SYX273" s="18"/>
      <c r="SYY273" s="18"/>
      <c r="SYZ273" s="18"/>
      <c r="SZA273" s="18"/>
      <c r="SZB273" s="18"/>
      <c r="SZC273" s="18"/>
      <c r="SZD273" s="18"/>
      <c r="SZE273" s="18"/>
      <c r="SZF273" s="18"/>
      <c r="SZG273" s="18"/>
      <c r="SZH273" s="18"/>
      <c r="SZI273" s="18"/>
      <c r="SZJ273" s="18"/>
      <c r="SZK273" s="18"/>
      <c r="SZL273" s="18"/>
      <c r="SZM273" s="18"/>
      <c r="SZN273" s="18"/>
      <c r="SZO273" s="18"/>
      <c r="SZP273" s="18"/>
      <c r="SZQ273" s="18"/>
      <c r="SZR273" s="18"/>
      <c r="SZS273" s="18"/>
      <c r="SZT273" s="18"/>
      <c r="SZU273" s="18"/>
      <c r="SZV273" s="18"/>
      <c r="SZW273" s="18"/>
      <c r="SZX273" s="18"/>
      <c r="SZY273" s="18"/>
      <c r="SZZ273" s="18"/>
      <c r="TAA273" s="18"/>
      <c r="TAB273" s="18"/>
      <c r="TAC273" s="18"/>
      <c r="TAD273" s="18"/>
      <c r="TAE273" s="18"/>
      <c r="TAF273" s="18"/>
      <c r="TAG273" s="18"/>
      <c r="TAH273" s="18"/>
      <c r="TAI273" s="18"/>
      <c r="TAJ273" s="18"/>
      <c r="TAK273" s="18"/>
      <c r="TAL273" s="18"/>
      <c r="TAM273" s="18"/>
      <c r="TAN273" s="18"/>
      <c r="TAO273" s="18"/>
      <c r="TAP273" s="18"/>
      <c r="TAQ273" s="18"/>
      <c r="TAR273" s="18"/>
      <c r="TAS273" s="18"/>
      <c r="TAT273" s="18"/>
      <c r="TAU273" s="18"/>
      <c r="TAV273" s="18"/>
      <c r="TAW273" s="18"/>
      <c r="TAX273" s="18"/>
      <c r="TAY273" s="18"/>
      <c r="TAZ273" s="18"/>
      <c r="TBA273" s="18"/>
      <c r="TBB273" s="18"/>
      <c r="TBC273" s="18"/>
      <c r="TBD273" s="18"/>
      <c r="TBE273" s="18"/>
      <c r="TBF273" s="18"/>
      <c r="TBG273" s="18"/>
      <c r="TBH273" s="18"/>
      <c r="TBI273" s="18"/>
      <c r="TBJ273" s="18"/>
      <c r="TBK273" s="18"/>
      <c r="TBL273" s="18"/>
      <c r="TBM273" s="18"/>
      <c r="TBN273" s="18"/>
      <c r="TBO273" s="18"/>
      <c r="TBP273" s="18"/>
      <c r="TBQ273" s="18"/>
      <c r="TBR273" s="18"/>
      <c r="TBS273" s="18"/>
      <c r="TBT273" s="18"/>
      <c r="TBU273" s="18"/>
      <c r="TBV273" s="18"/>
      <c r="TBW273" s="18"/>
      <c r="TBX273" s="18"/>
      <c r="TBY273" s="18"/>
      <c r="TBZ273" s="18"/>
      <c r="TCA273" s="18"/>
      <c r="TCB273" s="18"/>
      <c r="TCC273" s="18"/>
      <c r="TCD273" s="18"/>
      <c r="TCE273" s="18"/>
      <c r="TCF273" s="18"/>
      <c r="TCG273" s="18"/>
      <c r="TCH273" s="18"/>
      <c r="TCI273" s="18"/>
      <c r="TCJ273" s="18"/>
      <c r="TCK273" s="18"/>
      <c r="TCL273" s="18"/>
      <c r="TCM273" s="18"/>
      <c r="TCN273" s="18"/>
      <c r="TCO273" s="18"/>
      <c r="TCP273" s="18"/>
      <c r="TCQ273" s="18"/>
      <c r="TCR273" s="18"/>
      <c r="TCS273" s="18"/>
      <c r="TCT273" s="18"/>
      <c r="TCU273" s="18"/>
      <c r="TCV273" s="18"/>
      <c r="TCW273" s="18"/>
      <c r="TCX273" s="18"/>
      <c r="TCY273" s="18"/>
      <c r="TCZ273" s="18"/>
      <c r="TDA273" s="18"/>
      <c r="TDB273" s="18"/>
      <c r="TDC273" s="18"/>
      <c r="TDD273" s="18"/>
      <c r="TDE273" s="18"/>
      <c r="TDF273" s="18"/>
      <c r="TDG273" s="18"/>
      <c r="TDH273" s="18"/>
      <c r="TDI273" s="18"/>
      <c r="TDJ273" s="18"/>
      <c r="TDK273" s="18"/>
      <c r="TDL273" s="18"/>
      <c r="TDM273" s="18"/>
      <c r="TDN273" s="18"/>
      <c r="TDO273" s="18"/>
      <c r="TDP273" s="18"/>
      <c r="TDQ273" s="18"/>
      <c r="TDR273" s="18"/>
      <c r="TDS273" s="18"/>
      <c r="TDT273" s="18"/>
      <c r="TDU273" s="18"/>
      <c r="TDV273" s="18"/>
      <c r="TDW273" s="18"/>
      <c r="TDX273" s="18"/>
      <c r="TDY273" s="18"/>
      <c r="TDZ273" s="18"/>
      <c r="TEA273" s="18"/>
      <c r="TEB273" s="18"/>
      <c r="TEC273" s="18"/>
      <c r="TED273" s="18"/>
      <c r="TEE273" s="18"/>
      <c r="TEF273" s="18"/>
      <c r="TEG273" s="18"/>
      <c r="TEH273" s="18"/>
      <c r="TEI273" s="18"/>
      <c r="TEJ273" s="18"/>
      <c r="TEK273" s="18"/>
      <c r="TEL273" s="18"/>
      <c r="TEM273" s="18"/>
      <c r="TEN273" s="18"/>
      <c r="TEO273" s="18"/>
      <c r="TEP273" s="18"/>
      <c r="TEQ273" s="18"/>
      <c r="TER273" s="18"/>
      <c r="TES273" s="18"/>
      <c r="TET273" s="18"/>
      <c r="TEU273" s="18"/>
      <c r="TEV273" s="18"/>
      <c r="TEW273" s="18"/>
      <c r="TEX273" s="18"/>
      <c r="TEY273" s="18"/>
      <c r="TEZ273" s="18"/>
      <c r="TFA273" s="18"/>
      <c r="TFB273" s="18"/>
      <c r="TFC273" s="18"/>
      <c r="TFD273" s="18"/>
      <c r="TFE273" s="18"/>
      <c r="TFF273" s="18"/>
      <c r="TFG273" s="18"/>
      <c r="TFH273" s="18"/>
      <c r="TFI273" s="18"/>
      <c r="TFJ273" s="18"/>
      <c r="TFK273" s="18"/>
      <c r="TFL273" s="18"/>
      <c r="TFM273" s="18"/>
      <c r="TFN273" s="18"/>
      <c r="TFO273" s="18"/>
      <c r="TFP273" s="18"/>
      <c r="TFQ273" s="18"/>
      <c r="TFR273" s="18"/>
      <c r="TFS273" s="18"/>
      <c r="TFT273" s="18"/>
      <c r="TFU273" s="18"/>
      <c r="TFV273" s="18"/>
      <c r="TFW273" s="18"/>
      <c r="TFX273" s="18"/>
      <c r="TFY273" s="18"/>
      <c r="TFZ273" s="18"/>
      <c r="TGA273" s="18"/>
      <c r="TGB273" s="18"/>
      <c r="TGC273" s="18"/>
      <c r="TGD273" s="18"/>
      <c r="TGE273" s="18"/>
      <c r="TGF273" s="18"/>
      <c r="TGG273" s="18"/>
      <c r="TGH273" s="18"/>
      <c r="TGI273" s="18"/>
      <c r="TGJ273" s="18"/>
      <c r="TGK273" s="18"/>
      <c r="TGL273" s="18"/>
      <c r="TGM273" s="18"/>
      <c r="TGN273" s="18"/>
      <c r="TGO273" s="18"/>
      <c r="TGP273" s="18"/>
      <c r="TGQ273" s="18"/>
      <c r="TGR273" s="18"/>
      <c r="TGS273" s="18"/>
      <c r="TGT273" s="18"/>
      <c r="TGU273" s="18"/>
      <c r="TGV273" s="18"/>
      <c r="TGW273" s="18"/>
      <c r="TGX273" s="18"/>
      <c r="TGY273" s="18"/>
      <c r="TGZ273" s="18"/>
      <c r="THA273" s="18"/>
      <c r="THB273" s="18"/>
      <c r="THC273" s="18"/>
      <c r="THD273" s="18"/>
      <c r="THE273" s="18"/>
      <c r="THF273" s="18"/>
      <c r="THG273" s="18"/>
      <c r="THH273" s="18"/>
      <c r="THI273" s="18"/>
      <c r="THJ273" s="18"/>
      <c r="THK273" s="18"/>
      <c r="THL273" s="18"/>
      <c r="THM273" s="18"/>
      <c r="THN273" s="18"/>
      <c r="THO273" s="18"/>
      <c r="THP273" s="18"/>
      <c r="THQ273" s="18"/>
      <c r="THR273" s="18"/>
      <c r="THS273" s="18"/>
      <c r="THT273" s="18"/>
      <c r="THU273" s="18"/>
      <c r="THV273" s="18"/>
      <c r="THW273" s="18"/>
      <c r="THX273" s="18"/>
      <c r="THY273" s="18"/>
      <c r="THZ273" s="18"/>
      <c r="TIA273" s="18"/>
      <c r="TIB273" s="18"/>
      <c r="TIC273" s="18"/>
      <c r="TID273" s="18"/>
      <c r="TIE273" s="18"/>
      <c r="TIF273" s="18"/>
      <c r="TIG273" s="18"/>
      <c r="TIH273" s="18"/>
      <c r="TII273" s="18"/>
      <c r="TIJ273" s="18"/>
      <c r="TIK273" s="18"/>
      <c r="TIL273" s="18"/>
      <c r="TIM273" s="18"/>
      <c r="TIN273" s="18"/>
      <c r="TIO273" s="18"/>
      <c r="TIP273" s="18"/>
      <c r="TIQ273" s="18"/>
      <c r="TIR273" s="18"/>
      <c r="TIS273" s="18"/>
      <c r="TIT273" s="18"/>
      <c r="TIU273" s="18"/>
      <c r="TIV273" s="18"/>
      <c r="TIW273" s="18"/>
      <c r="TIX273" s="18"/>
      <c r="TIY273" s="18"/>
      <c r="TIZ273" s="18"/>
      <c r="TJA273" s="18"/>
      <c r="TJB273" s="18"/>
      <c r="TJC273" s="18"/>
      <c r="TJD273" s="18"/>
      <c r="TJE273" s="18"/>
      <c r="TJF273" s="18"/>
      <c r="TJG273" s="18"/>
      <c r="TJH273" s="18"/>
      <c r="TJI273" s="18"/>
      <c r="TJJ273" s="18"/>
      <c r="TJK273" s="18"/>
      <c r="TJL273" s="18"/>
      <c r="TJM273" s="18"/>
      <c r="TJN273" s="18"/>
      <c r="TJO273" s="18"/>
      <c r="TJP273" s="18"/>
      <c r="TJQ273" s="18"/>
      <c r="TJR273" s="18"/>
      <c r="TJS273" s="18"/>
      <c r="TJT273" s="18"/>
      <c r="TJU273" s="18"/>
      <c r="TJV273" s="18"/>
      <c r="TJW273" s="18"/>
      <c r="TJX273" s="18"/>
      <c r="TJY273" s="18"/>
      <c r="TJZ273" s="18"/>
      <c r="TKA273" s="18"/>
      <c r="TKB273" s="18"/>
      <c r="TKC273" s="18"/>
      <c r="TKD273" s="18"/>
      <c r="TKE273" s="18"/>
      <c r="TKF273" s="18"/>
      <c r="TKG273" s="18"/>
      <c r="TKH273" s="18"/>
      <c r="TKI273" s="18"/>
      <c r="TKJ273" s="18"/>
      <c r="TKK273" s="18"/>
      <c r="TKL273" s="18"/>
      <c r="TKM273" s="18"/>
      <c r="TKN273" s="18"/>
      <c r="TKO273" s="18"/>
      <c r="TKP273" s="18"/>
      <c r="TKQ273" s="18"/>
      <c r="TKR273" s="18"/>
      <c r="TKS273" s="18"/>
      <c r="TKT273" s="18"/>
      <c r="TKU273" s="18"/>
      <c r="TKV273" s="18"/>
      <c r="TKW273" s="18"/>
      <c r="TKX273" s="18"/>
      <c r="TKY273" s="18"/>
      <c r="TKZ273" s="18"/>
      <c r="TLA273" s="18"/>
      <c r="TLB273" s="18"/>
      <c r="TLC273" s="18"/>
      <c r="TLD273" s="18"/>
      <c r="TLE273" s="18"/>
      <c r="TLF273" s="18"/>
      <c r="TLG273" s="18"/>
      <c r="TLH273" s="18"/>
      <c r="TLI273" s="18"/>
      <c r="TLJ273" s="18"/>
      <c r="TLK273" s="18"/>
      <c r="TLL273" s="18"/>
      <c r="TLM273" s="18"/>
      <c r="TLN273" s="18"/>
      <c r="TLO273" s="18"/>
      <c r="TLP273" s="18"/>
      <c r="TLQ273" s="18"/>
      <c r="TLR273" s="18"/>
      <c r="TLS273" s="18"/>
      <c r="TLT273" s="18"/>
      <c r="TLU273" s="18"/>
      <c r="TLV273" s="18"/>
      <c r="TLW273" s="18"/>
      <c r="TLX273" s="18"/>
      <c r="TLY273" s="18"/>
      <c r="TLZ273" s="18"/>
      <c r="TMA273" s="18"/>
      <c r="TMB273" s="18"/>
      <c r="TMC273" s="18"/>
      <c r="TMD273" s="18"/>
      <c r="TME273" s="18"/>
      <c r="TMF273" s="18"/>
      <c r="TMG273" s="18"/>
      <c r="TMH273" s="18"/>
      <c r="TMI273" s="18"/>
      <c r="TMJ273" s="18"/>
      <c r="TMK273" s="18"/>
      <c r="TML273" s="18"/>
      <c r="TMM273" s="18"/>
      <c r="TMN273" s="18"/>
      <c r="TMO273" s="18"/>
      <c r="TMP273" s="18"/>
      <c r="TMQ273" s="18"/>
      <c r="TMR273" s="18"/>
      <c r="TMS273" s="18"/>
      <c r="TMT273" s="18"/>
      <c r="TMU273" s="18"/>
      <c r="TMV273" s="18"/>
      <c r="TMW273" s="18"/>
      <c r="TMX273" s="18"/>
      <c r="TMY273" s="18"/>
      <c r="TMZ273" s="18"/>
      <c r="TNA273" s="18"/>
      <c r="TNB273" s="18"/>
      <c r="TNC273" s="18"/>
      <c r="TND273" s="18"/>
      <c r="TNE273" s="18"/>
      <c r="TNF273" s="18"/>
      <c r="TNG273" s="18"/>
      <c r="TNH273" s="18"/>
      <c r="TNI273" s="18"/>
      <c r="TNJ273" s="18"/>
      <c r="TNK273" s="18"/>
      <c r="TNL273" s="18"/>
      <c r="TNM273" s="18"/>
      <c r="TNN273" s="18"/>
      <c r="TNO273" s="18"/>
      <c r="TNP273" s="18"/>
      <c r="TNQ273" s="18"/>
      <c r="TNR273" s="18"/>
      <c r="TNS273" s="18"/>
      <c r="TNT273" s="18"/>
      <c r="TNU273" s="18"/>
      <c r="TNV273" s="18"/>
      <c r="TNW273" s="18"/>
      <c r="TNX273" s="18"/>
      <c r="TNY273" s="18"/>
      <c r="TNZ273" s="18"/>
      <c r="TOA273" s="18"/>
      <c r="TOB273" s="18"/>
      <c r="TOC273" s="18"/>
      <c r="TOD273" s="18"/>
      <c r="TOE273" s="18"/>
      <c r="TOF273" s="18"/>
      <c r="TOG273" s="18"/>
      <c r="TOH273" s="18"/>
      <c r="TOI273" s="18"/>
      <c r="TOJ273" s="18"/>
      <c r="TOK273" s="18"/>
      <c r="TOL273" s="18"/>
      <c r="TOM273" s="18"/>
      <c r="TON273" s="18"/>
      <c r="TOO273" s="18"/>
      <c r="TOP273" s="18"/>
      <c r="TOQ273" s="18"/>
      <c r="TOR273" s="18"/>
      <c r="TOS273" s="18"/>
      <c r="TOT273" s="18"/>
      <c r="TOU273" s="18"/>
      <c r="TOV273" s="18"/>
      <c r="TOW273" s="18"/>
      <c r="TOX273" s="18"/>
      <c r="TOY273" s="18"/>
      <c r="TOZ273" s="18"/>
      <c r="TPA273" s="18"/>
      <c r="TPB273" s="18"/>
      <c r="TPC273" s="18"/>
      <c r="TPD273" s="18"/>
      <c r="TPE273" s="18"/>
      <c r="TPF273" s="18"/>
      <c r="TPG273" s="18"/>
      <c r="TPH273" s="18"/>
      <c r="TPI273" s="18"/>
      <c r="TPJ273" s="18"/>
      <c r="TPK273" s="18"/>
      <c r="TPL273" s="18"/>
      <c r="TPM273" s="18"/>
      <c r="TPN273" s="18"/>
      <c r="TPO273" s="18"/>
      <c r="TPP273" s="18"/>
      <c r="TPQ273" s="18"/>
      <c r="TPR273" s="18"/>
      <c r="TPS273" s="18"/>
      <c r="TPT273" s="18"/>
      <c r="TPU273" s="18"/>
      <c r="TPV273" s="18"/>
      <c r="TPW273" s="18"/>
      <c r="TPX273" s="18"/>
      <c r="TPY273" s="18"/>
      <c r="TPZ273" s="18"/>
      <c r="TQA273" s="18"/>
      <c r="TQB273" s="18"/>
      <c r="TQC273" s="18"/>
      <c r="TQD273" s="18"/>
      <c r="TQE273" s="18"/>
      <c r="TQF273" s="18"/>
      <c r="TQG273" s="18"/>
      <c r="TQH273" s="18"/>
      <c r="TQI273" s="18"/>
      <c r="TQJ273" s="18"/>
      <c r="TQK273" s="18"/>
      <c r="TQL273" s="18"/>
      <c r="TQM273" s="18"/>
      <c r="TQN273" s="18"/>
      <c r="TQO273" s="18"/>
      <c r="TQP273" s="18"/>
      <c r="TQQ273" s="18"/>
      <c r="TQR273" s="18"/>
      <c r="TQS273" s="18"/>
      <c r="TQT273" s="18"/>
      <c r="TQU273" s="18"/>
      <c r="TQV273" s="18"/>
      <c r="TQW273" s="18"/>
      <c r="TQX273" s="18"/>
      <c r="TQY273" s="18"/>
      <c r="TQZ273" s="18"/>
      <c r="TRA273" s="18"/>
      <c r="TRB273" s="18"/>
      <c r="TRC273" s="18"/>
      <c r="TRD273" s="18"/>
      <c r="TRE273" s="18"/>
      <c r="TRF273" s="18"/>
      <c r="TRG273" s="18"/>
      <c r="TRH273" s="18"/>
      <c r="TRI273" s="18"/>
      <c r="TRJ273" s="18"/>
      <c r="TRK273" s="18"/>
      <c r="TRL273" s="18"/>
      <c r="TRM273" s="18"/>
      <c r="TRN273" s="18"/>
      <c r="TRO273" s="18"/>
      <c r="TRP273" s="18"/>
      <c r="TRQ273" s="18"/>
      <c r="TRR273" s="18"/>
      <c r="TRS273" s="18"/>
      <c r="TRT273" s="18"/>
      <c r="TRU273" s="18"/>
      <c r="TRV273" s="18"/>
      <c r="TRW273" s="18"/>
      <c r="TRX273" s="18"/>
      <c r="TRY273" s="18"/>
      <c r="TRZ273" s="18"/>
      <c r="TSA273" s="18"/>
      <c r="TSB273" s="18"/>
      <c r="TSC273" s="18"/>
      <c r="TSD273" s="18"/>
      <c r="TSE273" s="18"/>
      <c r="TSF273" s="18"/>
      <c r="TSG273" s="18"/>
      <c r="TSH273" s="18"/>
      <c r="TSI273" s="18"/>
      <c r="TSJ273" s="18"/>
      <c r="TSK273" s="18"/>
      <c r="TSL273" s="18"/>
      <c r="TSM273" s="18"/>
      <c r="TSN273" s="18"/>
      <c r="TSO273" s="18"/>
      <c r="TSP273" s="18"/>
      <c r="TSQ273" s="18"/>
      <c r="TSR273" s="18"/>
      <c r="TSS273" s="18"/>
      <c r="TST273" s="18"/>
      <c r="TSU273" s="18"/>
      <c r="TSV273" s="18"/>
      <c r="TSW273" s="18"/>
      <c r="TSX273" s="18"/>
      <c r="TSY273" s="18"/>
      <c r="TSZ273" s="18"/>
      <c r="TTA273" s="18"/>
      <c r="TTB273" s="18"/>
      <c r="TTC273" s="18"/>
      <c r="TTD273" s="18"/>
      <c r="TTE273" s="18"/>
      <c r="TTF273" s="18"/>
      <c r="TTG273" s="18"/>
      <c r="TTH273" s="18"/>
      <c r="TTI273" s="18"/>
      <c r="TTJ273" s="18"/>
      <c r="TTK273" s="18"/>
      <c r="TTL273" s="18"/>
      <c r="TTM273" s="18"/>
      <c r="TTN273" s="18"/>
      <c r="TTO273" s="18"/>
      <c r="TTP273" s="18"/>
      <c r="TTQ273" s="18"/>
      <c r="TTR273" s="18"/>
      <c r="TTS273" s="18"/>
      <c r="TTT273" s="18"/>
      <c r="TTU273" s="18"/>
      <c r="TTV273" s="18"/>
      <c r="TTW273" s="18"/>
      <c r="TTX273" s="18"/>
      <c r="TTY273" s="18"/>
      <c r="TTZ273" s="18"/>
      <c r="TUA273" s="18"/>
      <c r="TUB273" s="18"/>
      <c r="TUC273" s="18"/>
      <c r="TUD273" s="18"/>
      <c r="TUE273" s="18"/>
      <c r="TUF273" s="18"/>
      <c r="TUG273" s="18"/>
      <c r="TUH273" s="18"/>
      <c r="TUI273" s="18"/>
      <c r="TUJ273" s="18"/>
      <c r="TUK273" s="18"/>
      <c r="TUL273" s="18"/>
      <c r="TUM273" s="18"/>
      <c r="TUN273" s="18"/>
      <c r="TUO273" s="18"/>
      <c r="TUP273" s="18"/>
      <c r="TUQ273" s="18"/>
      <c r="TUR273" s="18"/>
      <c r="TUS273" s="18"/>
      <c r="TUT273" s="18"/>
      <c r="TUU273" s="18"/>
      <c r="TUV273" s="18"/>
      <c r="TUW273" s="18"/>
      <c r="TUX273" s="18"/>
      <c r="TUY273" s="18"/>
      <c r="TUZ273" s="18"/>
      <c r="TVA273" s="18"/>
      <c r="TVB273" s="18"/>
      <c r="TVC273" s="18"/>
      <c r="TVD273" s="18"/>
      <c r="TVE273" s="18"/>
      <c r="TVF273" s="18"/>
      <c r="TVG273" s="18"/>
      <c r="TVH273" s="18"/>
      <c r="TVI273" s="18"/>
      <c r="TVJ273" s="18"/>
      <c r="TVK273" s="18"/>
      <c r="TVL273" s="18"/>
      <c r="TVM273" s="18"/>
      <c r="TVN273" s="18"/>
      <c r="TVO273" s="18"/>
      <c r="TVP273" s="18"/>
      <c r="TVQ273" s="18"/>
      <c r="TVR273" s="18"/>
      <c r="TVS273" s="18"/>
      <c r="TVT273" s="18"/>
      <c r="TVU273" s="18"/>
      <c r="TVV273" s="18"/>
      <c r="TVW273" s="18"/>
      <c r="TVX273" s="18"/>
      <c r="TVY273" s="18"/>
      <c r="TVZ273" s="18"/>
      <c r="TWA273" s="18"/>
      <c r="TWB273" s="18"/>
      <c r="TWC273" s="18"/>
      <c r="TWD273" s="18"/>
      <c r="TWE273" s="18"/>
      <c r="TWF273" s="18"/>
      <c r="TWG273" s="18"/>
      <c r="TWH273" s="18"/>
      <c r="TWI273" s="18"/>
      <c r="TWJ273" s="18"/>
      <c r="TWK273" s="18"/>
      <c r="TWL273" s="18"/>
      <c r="TWM273" s="18"/>
      <c r="TWN273" s="18"/>
      <c r="TWO273" s="18"/>
      <c r="TWP273" s="18"/>
      <c r="TWQ273" s="18"/>
      <c r="TWR273" s="18"/>
      <c r="TWS273" s="18"/>
      <c r="TWT273" s="18"/>
      <c r="TWU273" s="18"/>
      <c r="TWV273" s="18"/>
      <c r="TWW273" s="18"/>
      <c r="TWX273" s="18"/>
      <c r="TWY273" s="18"/>
      <c r="TWZ273" s="18"/>
      <c r="TXA273" s="18"/>
      <c r="TXB273" s="18"/>
      <c r="TXC273" s="18"/>
      <c r="TXD273" s="18"/>
      <c r="TXE273" s="18"/>
      <c r="TXF273" s="18"/>
      <c r="TXG273" s="18"/>
      <c r="TXH273" s="18"/>
      <c r="TXI273" s="18"/>
      <c r="TXJ273" s="18"/>
      <c r="TXK273" s="18"/>
      <c r="TXL273" s="18"/>
      <c r="TXM273" s="18"/>
      <c r="TXN273" s="18"/>
      <c r="TXO273" s="18"/>
      <c r="TXP273" s="18"/>
      <c r="TXQ273" s="18"/>
      <c r="TXR273" s="18"/>
      <c r="TXS273" s="18"/>
      <c r="TXT273" s="18"/>
      <c r="TXU273" s="18"/>
      <c r="TXV273" s="18"/>
      <c r="TXW273" s="18"/>
      <c r="TXX273" s="18"/>
      <c r="TXY273" s="18"/>
      <c r="TXZ273" s="18"/>
      <c r="TYA273" s="18"/>
      <c r="TYB273" s="18"/>
      <c r="TYC273" s="18"/>
      <c r="TYD273" s="18"/>
      <c r="TYE273" s="18"/>
      <c r="TYF273" s="18"/>
      <c r="TYG273" s="18"/>
      <c r="TYH273" s="18"/>
      <c r="TYI273" s="18"/>
      <c r="TYJ273" s="18"/>
      <c r="TYK273" s="18"/>
      <c r="TYL273" s="18"/>
      <c r="TYM273" s="18"/>
      <c r="TYN273" s="18"/>
      <c r="TYO273" s="18"/>
      <c r="TYP273" s="18"/>
      <c r="TYQ273" s="18"/>
      <c r="TYR273" s="18"/>
      <c r="TYS273" s="18"/>
      <c r="TYT273" s="18"/>
      <c r="TYU273" s="18"/>
      <c r="TYV273" s="18"/>
      <c r="TYW273" s="18"/>
      <c r="TYX273" s="18"/>
      <c r="TYY273" s="18"/>
      <c r="TYZ273" s="18"/>
      <c r="TZA273" s="18"/>
      <c r="TZB273" s="18"/>
      <c r="TZC273" s="18"/>
      <c r="TZD273" s="18"/>
      <c r="TZE273" s="18"/>
      <c r="TZF273" s="18"/>
      <c r="TZG273" s="18"/>
      <c r="TZH273" s="18"/>
      <c r="TZI273" s="18"/>
      <c r="TZJ273" s="18"/>
      <c r="TZK273" s="18"/>
      <c r="TZL273" s="18"/>
      <c r="TZM273" s="18"/>
      <c r="TZN273" s="18"/>
      <c r="TZO273" s="18"/>
      <c r="TZP273" s="18"/>
      <c r="TZQ273" s="18"/>
      <c r="TZR273" s="18"/>
      <c r="TZS273" s="18"/>
      <c r="TZT273" s="18"/>
      <c r="TZU273" s="18"/>
      <c r="TZV273" s="18"/>
      <c r="TZW273" s="18"/>
      <c r="TZX273" s="18"/>
      <c r="TZY273" s="18"/>
      <c r="TZZ273" s="18"/>
      <c r="UAA273" s="18"/>
      <c r="UAB273" s="18"/>
      <c r="UAC273" s="18"/>
      <c r="UAD273" s="18"/>
      <c r="UAE273" s="18"/>
      <c r="UAF273" s="18"/>
      <c r="UAG273" s="18"/>
      <c r="UAH273" s="18"/>
      <c r="UAI273" s="18"/>
      <c r="UAJ273" s="18"/>
      <c r="UAK273" s="18"/>
      <c r="UAL273" s="18"/>
      <c r="UAM273" s="18"/>
      <c r="UAN273" s="18"/>
      <c r="UAO273" s="18"/>
      <c r="UAP273" s="18"/>
      <c r="UAQ273" s="18"/>
      <c r="UAR273" s="18"/>
      <c r="UAS273" s="18"/>
      <c r="UAT273" s="18"/>
      <c r="UAU273" s="18"/>
      <c r="UAV273" s="18"/>
      <c r="UAW273" s="18"/>
      <c r="UAX273" s="18"/>
      <c r="UAY273" s="18"/>
      <c r="UAZ273" s="18"/>
      <c r="UBA273" s="18"/>
      <c r="UBB273" s="18"/>
      <c r="UBC273" s="18"/>
      <c r="UBD273" s="18"/>
      <c r="UBE273" s="18"/>
      <c r="UBF273" s="18"/>
      <c r="UBG273" s="18"/>
      <c r="UBH273" s="18"/>
      <c r="UBI273" s="18"/>
      <c r="UBJ273" s="18"/>
      <c r="UBK273" s="18"/>
      <c r="UBL273" s="18"/>
      <c r="UBM273" s="18"/>
      <c r="UBN273" s="18"/>
      <c r="UBO273" s="18"/>
      <c r="UBP273" s="18"/>
      <c r="UBQ273" s="18"/>
      <c r="UBR273" s="18"/>
      <c r="UBS273" s="18"/>
      <c r="UBT273" s="18"/>
      <c r="UBU273" s="18"/>
      <c r="UBV273" s="18"/>
      <c r="UBW273" s="18"/>
      <c r="UBX273" s="18"/>
      <c r="UBY273" s="18"/>
      <c r="UBZ273" s="18"/>
      <c r="UCA273" s="18"/>
      <c r="UCB273" s="18"/>
      <c r="UCC273" s="18"/>
      <c r="UCD273" s="18"/>
      <c r="UCE273" s="18"/>
      <c r="UCF273" s="18"/>
      <c r="UCG273" s="18"/>
      <c r="UCH273" s="18"/>
      <c r="UCI273" s="18"/>
      <c r="UCJ273" s="18"/>
      <c r="UCK273" s="18"/>
      <c r="UCL273" s="18"/>
      <c r="UCM273" s="18"/>
      <c r="UCN273" s="18"/>
      <c r="UCO273" s="18"/>
      <c r="UCP273" s="18"/>
      <c r="UCQ273" s="18"/>
      <c r="UCR273" s="18"/>
      <c r="UCS273" s="18"/>
      <c r="UCT273" s="18"/>
      <c r="UCU273" s="18"/>
      <c r="UCV273" s="18"/>
      <c r="UCW273" s="18"/>
      <c r="UCX273" s="18"/>
      <c r="UCY273" s="18"/>
      <c r="UCZ273" s="18"/>
      <c r="UDA273" s="18"/>
      <c r="UDB273" s="18"/>
      <c r="UDC273" s="18"/>
      <c r="UDD273" s="18"/>
      <c r="UDE273" s="18"/>
      <c r="UDF273" s="18"/>
      <c r="UDG273" s="18"/>
      <c r="UDH273" s="18"/>
      <c r="UDI273" s="18"/>
      <c r="UDJ273" s="18"/>
      <c r="UDK273" s="18"/>
      <c r="UDL273" s="18"/>
      <c r="UDM273" s="18"/>
      <c r="UDN273" s="18"/>
      <c r="UDO273" s="18"/>
      <c r="UDP273" s="18"/>
      <c r="UDQ273" s="18"/>
      <c r="UDR273" s="18"/>
      <c r="UDS273" s="18"/>
      <c r="UDT273" s="18"/>
      <c r="UDU273" s="18"/>
      <c r="UDV273" s="18"/>
      <c r="UDW273" s="18"/>
      <c r="UDX273" s="18"/>
      <c r="UDY273" s="18"/>
      <c r="UDZ273" s="18"/>
      <c r="UEA273" s="18"/>
      <c r="UEB273" s="18"/>
      <c r="UEC273" s="18"/>
      <c r="UED273" s="18"/>
      <c r="UEE273" s="18"/>
      <c r="UEF273" s="18"/>
      <c r="UEG273" s="18"/>
      <c r="UEH273" s="18"/>
      <c r="UEI273" s="18"/>
      <c r="UEJ273" s="18"/>
      <c r="UEK273" s="18"/>
      <c r="UEL273" s="18"/>
      <c r="UEM273" s="18"/>
      <c r="UEN273" s="18"/>
      <c r="UEO273" s="18"/>
      <c r="UEP273" s="18"/>
      <c r="UEQ273" s="18"/>
      <c r="UER273" s="18"/>
      <c r="UES273" s="18"/>
      <c r="UET273" s="18"/>
      <c r="UEU273" s="18"/>
      <c r="UEV273" s="18"/>
      <c r="UEW273" s="18"/>
      <c r="UEX273" s="18"/>
      <c r="UEY273" s="18"/>
      <c r="UEZ273" s="18"/>
      <c r="UFA273" s="18"/>
      <c r="UFB273" s="18"/>
      <c r="UFC273" s="18"/>
      <c r="UFD273" s="18"/>
      <c r="UFE273" s="18"/>
      <c r="UFF273" s="18"/>
      <c r="UFG273" s="18"/>
      <c r="UFH273" s="18"/>
      <c r="UFI273" s="18"/>
      <c r="UFJ273" s="18"/>
      <c r="UFK273" s="18"/>
      <c r="UFL273" s="18"/>
      <c r="UFM273" s="18"/>
      <c r="UFN273" s="18"/>
      <c r="UFO273" s="18"/>
      <c r="UFP273" s="18"/>
      <c r="UFQ273" s="18"/>
      <c r="UFR273" s="18"/>
      <c r="UFS273" s="18"/>
      <c r="UFT273" s="18"/>
      <c r="UFU273" s="18"/>
      <c r="UFV273" s="18"/>
      <c r="UFW273" s="18"/>
      <c r="UFX273" s="18"/>
      <c r="UFY273" s="18"/>
      <c r="UFZ273" s="18"/>
      <c r="UGA273" s="18"/>
      <c r="UGB273" s="18"/>
      <c r="UGC273" s="18"/>
      <c r="UGD273" s="18"/>
      <c r="UGE273" s="18"/>
      <c r="UGF273" s="18"/>
      <c r="UGG273" s="18"/>
      <c r="UGH273" s="18"/>
      <c r="UGI273" s="18"/>
      <c r="UGJ273" s="18"/>
      <c r="UGK273" s="18"/>
      <c r="UGL273" s="18"/>
      <c r="UGM273" s="18"/>
      <c r="UGN273" s="18"/>
      <c r="UGO273" s="18"/>
      <c r="UGP273" s="18"/>
      <c r="UGQ273" s="18"/>
      <c r="UGR273" s="18"/>
      <c r="UGS273" s="18"/>
      <c r="UGT273" s="18"/>
      <c r="UGU273" s="18"/>
      <c r="UGV273" s="18"/>
      <c r="UGW273" s="18"/>
      <c r="UGX273" s="18"/>
      <c r="UGY273" s="18"/>
      <c r="UGZ273" s="18"/>
      <c r="UHA273" s="18"/>
      <c r="UHB273" s="18"/>
      <c r="UHC273" s="18"/>
      <c r="UHD273" s="18"/>
      <c r="UHE273" s="18"/>
      <c r="UHF273" s="18"/>
      <c r="UHG273" s="18"/>
      <c r="UHH273" s="18"/>
      <c r="UHI273" s="18"/>
      <c r="UHJ273" s="18"/>
      <c r="UHK273" s="18"/>
      <c r="UHL273" s="18"/>
      <c r="UHM273" s="18"/>
      <c r="UHN273" s="18"/>
      <c r="UHO273" s="18"/>
      <c r="UHP273" s="18"/>
      <c r="UHQ273" s="18"/>
      <c r="UHR273" s="18"/>
      <c r="UHS273" s="18"/>
      <c r="UHT273" s="18"/>
      <c r="UHU273" s="18"/>
      <c r="UHV273" s="18"/>
      <c r="UHW273" s="18"/>
      <c r="UHX273" s="18"/>
      <c r="UHY273" s="18"/>
      <c r="UHZ273" s="18"/>
      <c r="UIA273" s="18"/>
      <c r="UIB273" s="18"/>
      <c r="UIC273" s="18"/>
      <c r="UID273" s="18"/>
      <c r="UIE273" s="18"/>
      <c r="UIF273" s="18"/>
      <c r="UIG273" s="18"/>
      <c r="UIH273" s="18"/>
      <c r="UII273" s="18"/>
      <c r="UIJ273" s="18"/>
      <c r="UIK273" s="18"/>
      <c r="UIL273" s="18"/>
      <c r="UIM273" s="18"/>
      <c r="UIN273" s="18"/>
      <c r="UIO273" s="18"/>
      <c r="UIP273" s="18"/>
      <c r="UIQ273" s="18"/>
      <c r="UIR273" s="18"/>
      <c r="UIS273" s="18"/>
      <c r="UIT273" s="18"/>
      <c r="UIU273" s="18"/>
      <c r="UIV273" s="18"/>
      <c r="UIW273" s="18"/>
      <c r="UIX273" s="18"/>
      <c r="UIY273" s="18"/>
      <c r="UIZ273" s="18"/>
      <c r="UJA273" s="18"/>
      <c r="UJB273" s="18"/>
      <c r="UJC273" s="18"/>
      <c r="UJD273" s="18"/>
      <c r="UJE273" s="18"/>
      <c r="UJF273" s="18"/>
      <c r="UJG273" s="18"/>
      <c r="UJH273" s="18"/>
      <c r="UJI273" s="18"/>
      <c r="UJJ273" s="18"/>
      <c r="UJK273" s="18"/>
      <c r="UJL273" s="18"/>
      <c r="UJM273" s="18"/>
      <c r="UJN273" s="18"/>
      <c r="UJO273" s="18"/>
      <c r="UJP273" s="18"/>
      <c r="UJQ273" s="18"/>
      <c r="UJR273" s="18"/>
      <c r="UJS273" s="18"/>
      <c r="UJT273" s="18"/>
      <c r="UJU273" s="18"/>
      <c r="UJV273" s="18"/>
      <c r="UJW273" s="18"/>
      <c r="UJX273" s="18"/>
      <c r="UJY273" s="18"/>
      <c r="UJZ273" s="18"/>
      <c r="UKA273" s="18"/>
      <c r="UKB273" s="18"/>
      <c r="UKC273" s="18"/>
      <c r="UKD273" s="18"/>
      <c r="UKE273" s="18"/>
      <c r="UKF273" s="18"/>
      <c r="UKG273" s="18"/>
      <c r="UKH273" s="18"/>
      <c r="UKI273" s="18"/>
      <c r="UKJ273" s="18"/>
      <c r="UKK273" s="18"/>
      <c r="UKL273" s="18"/>
      <c r="UKM273" s="18"/>
      <c r="UKN273" s="18"/>
      <c r="UKO273" s="18"/>
      <c r="UKP273" s="18"/>
      <c r="UKQ273" s="18"/>
      <c r="UKR273" s="18"/>
      <c r="UKS273" s="18"/>
      <c r="UKT273" s="18"/>
      <c r="UKU273" s="18"/>
      <c r="UKV273" s="18"/>
      <c r="UKW273" s="18"/>
      <c r="UKX273" s="18"/>
      <c r="UKY273" s="18"/>
      <c r="UKZ273" s="18"/>
      <c r="ULA273" s="18"/>
      <c r="ULB273" s="18"/>
      <c r="ULC273" s="18"/>
      <c r="ULD273" s="18"/>
      <c r="ULE273" s="18"/>
      <c r="ULF273" s="18"/>
      <c r="ULG273" s="18"/>
      <c r="ULH273" s="18"/>
      <c r="ULI273" s="18"/>
      <c r="ULJ273" s="18"/>
      <c r="ULK273" s="18"/>
      <c r="ULL273" s="18"/>
      <c r="ULM273" s="18"/>
      <c r="ULN273" s="18"/>
      <c r="ULO273" s="18"/>
      <c r="ULP273" s="18"/>
      <c r="ULQ273" s="18"/>
      <c r="ULR273" s="18"/>
      <c r="ULS273" s="18"/>
      <c r="ULT273" s="18"/>
      <c r="ULU273" s="18"/>
      <c r="ULV273" s="18"/>
      <c r="ULW273" s="18"/>
      <c r="ULX273" s="18"/>
      <c r="ULY273" s="18"/>
      <c r="ULZ273" s="18"/>
      <c r="UMA273" s="18"/>
      <c r="UMB273" s="18"/>
      <c r="UMC273" s="18"/>
      <c r="UMD273" s="18"/>
      <c r="UME273" s="18"/>
      <c r="UMF273" s="18"/>
      <c r="UMG273" s="18"/>
      <c r="UMH273" s="18"/>
      <c r="UMI273" s="18"/>
      <c r="UMJ273" s="18"/>
      <c r="UMK273" s="18"/>
      <c r="UML273" s="18"/>
      <c r="UMM273" s="18"/>
      <c r="UMN273" s="18"/>
      <c r="UMO273" s="18"/>
      <c r="UMP273" s="18"/>
      <c r="UMQ273" s="18"/>
      <c r="UMR273" s="18"/>
      <c r="UMS273" s="18"/>
      <c r="UMT273" s="18"/>
      <c r="UMU273" s="18"/>
      <c r="UMV273" s="18"/>
      <c r="UMW273" s="18"/>
      <c r="UMX273" s="18"/>
      <c r="UMY273" s="18"/>
      <c r="UMZ273" s="18"/>
      <c r="UNA273" s="18"/>
      <c r="UNB273" s="18"/>
      <c r="UNC273" s="18"/>
      <c r="UND273" s="18"/>
      <c r="UNE273" s="18"/>
      <c r="UNF273" s="18"/>
      <c r="UNG273" s="18"/>
      <c r="UNH273" s="18"/>
      <c r="UNI273" s="18"/>
      <c r="UNJ273" s="18"/>
      <c r="UNK273" s="18"/>
      <c r="UNL273" s="18"/>
      <c r="UNM273" s="18"/>
      <c r="UNN273" s="18"/>
      <c r="UNO273" s="18"/>
      <c r="UNP273" s="18"/>
      <c r="UNQ273" s="18"/>
      <c r="UNR273" s="18"/>
      <c r="UNS273" s="18"/>
      <c r="UNT273" s="18"/>
      <c r="UNU273" s="18"/>
      <c r="UNV273" s="18"/>
      <c r="UNW273" s="18"/>
      <c r="UNX273" s="18"/>
      <c r="UNY273" s="18"/>
      <c r="UNZ273" s="18"/>
      <c r="UOA273" s="18"/>
      <c r="UOB273" s="18"/>
      <c r="UOC273" s="18"/>
      <c r="UOD273" s="18"/>
      <c r="UOE273" s="18"/>
      <c r="UOF273" s="18"/>
      <c r="UOG273" s="18"/>
      <c r="UOH273" s="18"/>
      <c r="UOI273" s="18"/>
      <c r="UOJ273" s="18"/>
      <c r="UOK273" s="18"/>
      <c r="UOL273" s="18"/>
      <c r="UOM273" s="18"/>
      <c r="UON273" s="18"/>
      <c r="UOO273" s="18"/>
      <c r="UOP273" s="18"/>
      <c r="UOQ273" s="18"/>
      <c r="UOR273" s="18"/>
      <c r="UOS273" s="18"/>
      <c r="UOT273" s="18"/>
      <c r="UOU273" s="18"/>
      <c r="UOV273" s="18"/>
      <c r="UOW273" s="18"/>
      <c r="UOX273" s="18"/>
      <c r="UOY273" s="18"/>
      <c r="UOZ273" s="18"/>
      <c r="UPA273" s="18"/>
      <c r="UPB273" s="18"/>
      <c r="UPC273" s="18"/>
      <c r="UPD273" s="18"/>
      <c r="UPE273" s="18"/>
      <c r="UPF273" s="18"/>
      <c r="UPG273" s="18"/>
      <c r="UPH273" s="18"/>
      <c r="UPI273" s="18"/>
      <c r="UPJ273" s="18"/>
      <c r="UPK273" s="18"/>
      <c r="UPL273" s="18"/>
      <c r="UPM273" s="18"/>
      <c r="UPN273" s="18"/>
      <c r="UPO273" s="18"/>
      <c r="UPP273" s="18"/>
      <c r="UPQ273" s="18"/>
      <c r="UPR273" s="18"/>
      <c r="UPS273" s="18"/>
      <c r="UPT273" s="18"/>
      <c r="UPU273" s="18"/>
      <c r="UPV273" s="18"/>
      <c r="UPW273" s="18"/>
      <c r="UPX273" s="18"/>
      <c r="UPY273" s="18"/>
      <c r="UPZ273" s="18"/>
      <c r="UQA273" s="18"/>
      <c r="UQB273" s="18"/>
      <c r="UQC273" s="18"/>
      <c r="UQD273" s="18"/>
      <c r="UQE273" s="18"/>
      <c r="UQF273" s="18"/>
      <c r="UQG273" s="18"/>
      <c r="UQH273" s="18"/>
      <c r="UQI273" s="18"/>
      <c r="UQJ273" s="18"/>
      <c r="UQK273" s="18"/>
      <c r="UQL273" s="18"/>
      <c r="UQM273" s="18"/>
      <c r="UQN273" s="18"/>
      <c r="UQO273" s="18"/>
      <c r="UQP273" s="18"/>
      <c r="UQQ273" s="18"/>
      <c r="UQR273" s="18"/>
      <c r="UQS273" s="18"/>
      <c r="UQT273" s="18"/>
      <c r="UQU273" s="18"/>
      <c r="UQV273" s="18"/>
      <c r="UQW273" s="18"/>
      <c r="UQX273" s="18"/>
      <c r="UQY273" s="18"/>
      <c r="UQZ273" s="18"/>
      <c r="URA273" s="18"/>
      <c r="URB273" s="18"/>
      <c r="URC273" s="18"/>
      <c r="URD273" s="18"/>
      <c r="URE273" s="18"/>
      <c r="URF273" s="18"/>
      <c r="URG273" s="18"/>
      <c r="URH273" s="18"/>
      <c r="URI273" s="18"/>
      <c r="URJ273" s="18"/>
      <c r="URK273" s="18"/>
      <c r="URL273" s="18"/>
      <c r="URM273" s="18"/>
      <c r="URN273" s="18"/>
      <c r="URO273" s="18"/>
      <c r="URP273" s="18"/>
      <c r="URQ273" s="18"/>
      <c r="URR273" s="18"/>
      <c r="URS273" s="18"/>
      <c r="URT273" s="18"/>
      <c r="URU273" s="18"/>
      <c r="URV273" s="18"/>
      <c r="URW273" s="18"/>
      <c r="URX273" s="18"/>
      <c r="URY273" s="18"/>
      <c r="URZ273" s="18"/>
      <c r="USA273" s="18"/>
      <c r="USB273" s="18"/>
      <c r="USC273" s="18"/>
      <c r="USD273" s="18"/>
      <c r="USE273" s="18"/>
      <c r="USF273" s="18"/>
      <c r="USG273" s="18"/>
      <c r="USH273" s="18"/>
      <c r="USI273" s="18"/>
      <c r="USJ273" s="18"/>
      <c r="USK273" s="18"/>
      <c r="USL273" s="18"/>
      <c r="USM273" s="18"/>
      <c r="USN273" s="18"/>
      <c r="USO273" s="18"/>
      <c r="USP273" s="18"/>
      <c r="USQ273" s="18"/>
      <c r="USR273" s="18"/>
      <c r="USS273" s="18"/>
      <c r="UST273" s="18"/>
      <c r="USU273" s="18"/>
      <c r="USV273" s="18"/>
      <c r="USW273" s="18"/>
      <c r="USX273" s="18"/>
      <c r="USY273" s="18"/>
      <c r="USZ273" s="18"/>
      <c r="UTA273" s="18"/>
      <c r="UTB273" s="18"/>
      <c r="UTC273" s="18"/>
      <c r="UTD273" s="18"/>
      <c r="UTE273" s="18"/>
      <c r="UTF273" s="18"/>
      <c r="UTG273" s="18"/>
      <c r="UTH273" s="18"/>
      <c r="UTI273" s="18"/>
      <c r="UTJ273" s="18"/>
      <c r="UTK273" s="18"/>
      <c r="UTL273" s="18"/>
      <c r="UTM273" s="18"/>
      <c r="UTN273" s="18"/>
      <c r="UTO273" s="18"/>
      <c r="UTP273" s="18"/>
      <c r="UTQ273" s="18"/>
      <c r="UTR273" s="18"/>
      <c r="UTS273" s="18"/>
      <c r="UTT273" s="18"/>
      <c r="UTU273" s="18"/>
      <c r="UTV273" s="18"/>
      <c r="UTW273" s="18"/>
      <c r="UTX273" s="18"/>
      <c r="UTY273" s="18"/>
      <c r="UTZ273" s="18"/>
      <c r="UUA273" s="18"/>
      <c r="UUB273" s="18"/>
      <c r="UUC273" s="18"/>
      <c r="UUD273" s="18"/>
      <c r="UUE273" s="18"/>
      <c r="UUF273" s="18"/>
      <c r="UUG273" s="18"/>
      <c r="UUH273" s="18"/>
      <c r="UUI273" s="18"/>
      <c r="UUJ273" s="18"/>
      <c r="UUK273" s="18"/>
      <c r="UUL273" s="18"/>
      <c r="UUM273" s="18"/>
      <c r="UUN273" s="18"/>
      <c r="UUO273" s="18"/>
      <c r="UUP273" s="18"/>
      <c r="UUQ273" s="18"/>
      <c r="UUR273" s="18"/>
      <c r="UUS273" s="18"/>
      <c r="UUT273" s="18"/>
      <c r="UUU273" s="18"/>
      <c r="UUV273" s="18"/>
      <c r="UUW273" s="18"/>
      <c r="UUX273" s="18"/>
      <c r="UUY273" s="18"/>
      <c r="UUZ273" s="18"/>
      <c r="UVA273" s="18"/>
      <c r="UVB273" s="18"/>
      <c r="UVC273" s="18"/>
      <c r="UVD273" s="18"/>
      <c r="UVE273" s="18"/>
      <c r="UVF273" s="18"/>
      <c r="UVG273" s="18"/>
      <c r="UVH273" s="18"/>
      <c r="UVI273" s="18"/>
      <c r="UVJ273" s="18"/>
      <c r="UVK273" s="18"/>
      <c r="UVL273" s="18"/>
      <c r="UVM273" s="18"/>
      <c r="UVN273" s="18"/>
      <c r="UVO273" s="18"/>
      <c r="UVP273" s="18"/>
      <c r="UVQ273" s="18"/>
      <c r="UVR273" s="18"/>
      <c r="UVS273" s="18"/>
      <c r="UVT273" s="18"/>
      <c r="UVU273" s="18"/>
      <c r="UVV273" s="18"/>
      <c r="UVW273" s="18"/>
      <c r="UVX273" s="18"/>
      <c r="UVY273" s="18"/>
      <c r="UVZ273" s="18"/>
      <c r="UWA273" s="18"/>
      <c r="UWB273" s="18"/>
      <c r="UWC273" s="18"/>
      <c r="UWD273" s="18"/>
      <c r="UWE273" s="18"/>
      <c r="UWF273" s="18"/>
      <c r="UWG273" s="18"/>
      <c r="UWH273" s="18"/>
      <c r="UWI273" s="18"/>
      <c r="UWJ273" s="18"/>
      <c r="UWK273" s="18"/>
      <c r="UWL273" s="18"/>
      <c r="UWM273" s="18"/>
      <c r="UWN273" s="18"/>
      <c r="UWO273" s="18"/>
      <c r="UWP273" s="18"/>
      <c r="UWQ273" s="18"/>
      <c r="UWR273" s="18"/>
      <c r="UWS273" s="18"/>
      <c r="UWT273" s="18"/>
      <c r="UWU273" s="18"/>
      <c r="UWV273" s="18"/>
      <c r="UWW273" s="18"/>
      <c r="UWX273" s="18"/>
      <c r="UWY273" s="18"/>
      <c r="UWZ273" s="18"/>
      <c r="UXA273" s="18"/>
      <c r="UXB273" s="18"/>
      <c r="UXC273" s="18"/>
      <c r="UXD273" s="18"/>
      <c r="UXE273" s="18"/>
      <c r="UXF273" s="18"/>
      <c r="UXG273" s="18"/>
      <c r="UXH273" s="18"/>
      <c r="UXI273" s="18"/>
      <c r="UXJ273" s="18"/>
      <c r="UXK273" s="18"/>
      <c r="UXL273" s="18"/>
      <c r="UXM273" s="18"/>
      <c r="UXN273" s="18"/>
      <c r="UXO273" s="18"/>
      <c r="UXP273" s="18"/>
      <c r="UXQ273" s="18"/>
      <c r="UXR273" s="18"/>
      <c r="UXS273" s="18"/>
      <c r="UXT273" s="18"/>
      <c r="UXU273" s="18"/>
      <c r="UXV273" s="18"/>
      <c r="UXW273" s="18"/>
      <c r="UXX273" s="18"/>
      <c r="UXY273" s="18"/>
      <c r="UXZ273" s="18"/>
      <c r="UYA273" s="18"/>
      <c r="UYB273" s="18"/>
      <c r="UYC273" s="18"/>
      <c r="UYD273" s="18"/>
      <c r="UYE273" s="18"/>
      <c r="UYF273" s="18"/>
      <c r="UYG273" s="18"/>
      <c r="UYH273" s="18"/>
      <c r="UYI273" s="18"/>
      <c r="UYJ273" s="18"/>
      <c r="UYK273" s="18"/>
      <c r="UYL273" s="18"/>
      <c r="UYM273" s="18"/>
      <c r="UYN273" s="18"/>
      <c r="UYO273" s="18"/>
      <c r="UYP273" s="18"/>
      <c r="UYQ273" s="18"/>
      <c r="UYR273" s="18"/>
      <c r="UYS273" s="18"/>
      <c r="UYT273" s="18"/>
      <c r="UYU273" s="18"/>
      <c r="UYV273" s="18"/>
      <c r="UYW273" s="18"/>
      <c r="UYX273" s="18"/>
      <c r="UYY273" s="18"/>
      <c r="UYZ273" s="18"/>
      <c r="UZA273" s="18"/>
      <c r="UZB273" s="18"/>
      <c r="UZC273" s="18"/>
      <c r="UZD273" s="18"/>
      <c r="UZE273" s="18"/>
      <c r="UZF273" s="18"/>
      <c r="UZG273" s="18"/>
      <c r="UZH273" s="18"/>
      <c r="UZI273" s="18"/>
      <c r="UZJ273" s="18"/>
      <c r="UZK273" s="18"/>
      <c r="UZL273" s="18"/>
      <c r="UZM273" s="18"/>
      <c r="UZN273" s="18"/>
      <c r="UZO273" s="18"/>
      <c r="UZP273" s="18"/>
      <c r="UZQ273" s="18"/>
      <c r="UZR273" s="18"/>
      <c r="UZS273" s="18"/>
      <c r="UZT273" s="18"/>
      <c r="UZU273" s="18"/>
      <c r="UZV273" s="18"/>
      <c r="UZW273" s="18"/>
      <c r="UZX273" s="18"/>
      <c r="UZY273" s="18"/>
      <c r="UZZ273" s="18"/>
      <c r="VAA273" s="18"/>
      <c r="VAB273" s="18"/>
      <c r="VAC273" s="18"/>
      <c r="VAD273" s="18"/>
      <c r="VAE273" s="18"/>
      <c r="VAF273" s="18"/>
      <c r="VAG273" s="18"/>
      <c r="VAH273" s="18"/>
      <c r="VAI273" s="18"/>
      <c r="VAJ273" s="18"/>
      <c r="VAK273" s="18"/>
      <c r="VAL273" s="18"/>
      <c r="VAM273" s="18"/>
      <c r="VAN273" s="18"/>
      <c r="VAO273" s="18"/>
      <c r="VAP273" s="18"/>
      <c r="VAQ273" s="18"/>
      <c r="VAR273" s="18"/>
      <c r="VAS273" s="18"/>
      <c r="VAT273" s="18"/>
      <c r="VAU273" s="18"/>
      <c r="VAV273" s="18"/>
      <c r="VAW273" s="18"/>
      <c r="VAX273" s="18"/>
      <c r="VAY273" s="18"/>
      <c r="VAZ273" s="18"/>
      <c r="VBA273" s="18"/>
      <c r="VBB273" s="18"/>
      <c r="VBC273" s="18"/>
      <c r="VBD273" s="18"/>
      <c r="VBE273" s="18"/>
      <c r="VBF273" s="18"/>
      <c r="VBG273" s="18"/>
      <c r="VBH273" s="18"/>
      <c r="VBI273" s="18"/>
      <c r="VBJ273" s="18"/>
      <c r="VBK273" s="18"/>
      <c r="VBL273" s="18"/>
      <c r="VBM273" s="18"/>
      <c r="VBN273" s="18"/>
      <c r="VBO273" s="18"/>
      <c r="VBP273" s="18"/>
      <c r="VBQ273" s="18"/>
      <c r="VBR273" s="18"/>
      <c r="VBS273" s="18"/>
      <c r="VBT273" s="18"/>
      <c r="VBU273" s="18"/>
      <c r="VBV273" s="18"/>
      <c r="VBW273" s="18"/>
      <c r="VBX273" s="18"/>
      <c r="VBY273" s="18"/>
      <c r="VBZ273" s="18"/>
      <c r="VCA273" s="18"/>
      <c r="VCB273" s="18"/>
      <c r="VCC273" s="18"/>
      <c r="VCD273" s="18"/>
      <c r="VCE273" s="18"/>
      <c r="VCF273" s="18"/>
      <c r="VCG273" s="18"/>
      <c r="VCH273" s="18"/>
      <c r="VCI273" s="18"/>
      <c r="VCJ273" s="18"/>
      <c r="VCK273" s="18"/>
      <c r="VCL273" s="18"/>
      <c r="VCM273" s="18"/>
      <c r="VCN273" s="18"/>
      <c r="VCO273" s="18"/>
      <c r="VCP273" s="18"/>
      <c r="VCQ273" s="18"/>
      <c r="VCR273" s="18"/>
      <c r="VCS273" s="18"/>
      <c r="VCT273" s="18"/>
      <c r="VCU273" s="18"/>
      <c r="VCV273" s="18"/>
      <c r="VCW273" s="18"/>
      <c r="VCX273" s="18"/>
      <c r="VCY273" s="18"/>
      <c r="VCZ273" s="18"/>
      <c r="VDA273" s="18"/>
      <c r="VDB273" s="18"/>
      <c r="VDC273" s="18"/>
      <c r="VDD273" s="18"/>
      <c r="VDE273" s="18"/>
      <c r="VDF273" s="18"/>
      <c r="VDG273" s="18"/>
      <c r="VDH273" s="18"/>
      <c r="VDI273" s="18"/>
      <c r="VDJ273" s="18"/>
      <c r="VDK273" s="18"/>
      <c r="VDL273" s="18"/>
      <c r="VDM273" s="18"/>
      <c r="VDN273" s="18"/>
      <c r="VDO273" s="18"/>
      <c r="VDP273" s="18"/>
      <c r="VDQ273" s="18"/>
      <c r="VDR273" s="18"/>
      <c r="VDS273" s="18"/>
      <c r="VDT273" s="18"/>
      <c r="VDU273" s="18"/>
      <c r="VDV273" s="18"/>
      <c r="VDW273" s="18"/>
      <c r="VDX273" s="18"/>
      <c r="VDY273" s="18"/>
      <c r="VDZ273" s="18"/>
      <c r="VEA273" s="18"/>
      <c r="VEB273" s="18"/>
      <c r="VEC273" s="18"/>
      <c r="VED273" s="18"/>
      <c r="VEE273" s="18"/>
      <c r="VEF273" s="18"/>
      <c r="VEG273" s="18"/>
      <c r="VEH273" s="18"/>
      <c r="VEI273" s="18"/>
      <c r="VEJ273" s="18"/>
      <c r="VEK273" s="18"/>
      <c r="VEL273" s="18"/>
      <c r="VEM273" s="18"/>
      <c r="VEN273" s="18"/>
      <c r="VEO273" s="18"/>
      <c r="VEP273" s="18"/>
      <c r="VEQ273" s="18"/>
      <c r="VER273" s="18"/>
      <c r="VES273" s="18"/>
      <c r="VET273" s="18"/>
      <c r="VEU273" s="18"/>
      <c r="VEV273" s="18"/>
      <c r="VEW273" s="18"/>
      <c r="VEX273" s="18"/>
      <c r="VEY273" s="18"/>
      <c r="VEZ273" s="18"/>
      <c r="VFA273" s="18"/>
      <c r="VFB273" s="18"/>
      <c r="VFC273" s="18"/>
      <c r="VFD273" s="18"/>
      <c r="VFE273" s="18"/>
      <c r="VFF273" s="18"/>
      <c r="VFG273" s="18"/>
      <c r="VFH273" s="18"/>
      <c r="VFI273" s="18"/>
      <c r="VFJ273" s="18"/>
      <c r="VFK273" s="18"/>
      <c r="VFL273" s="18"/>
      <c r="VFM273" s="18"/>
      <c r="VFN273" s="18"/>
      <c r="VFO273" s="18"/>
      <c r="VFP273" s="18"/>
      <c r="VFQ273" s="18"/>
      <c r="VFR273" s="18"/>
      <c r="VFS273" s="18"/>
      <c r="VFT273" s="18"/>
      <c r="VFU273" s="18"/>
      <c r="VFV273" s="18"/>
      <c r="VFW273" s="18"/>
      <c r="VFX273" s="18"/>
      <c r="VFY273" s="18"/>
      <c r="VFZ273" s="18"/>
      <c r="VGA273" s="18"/>
      <c r="VGB273" s="18"/>
      <c r="VGC273" s="18"/>
      <c r="VGD273" s="18"/>
      <c r="VGE273" s="18"/>
      <c r="VGF273" s="18"/>
      <c r="VGG273" s="18"/>
      <c r="VGH273" s="18"/>
      <c r="VGI273" s="18"/>
      <c r="VGJ273" s="18"/>
      <c r="VGK273" s="18"/>
      <c r="VGL273" s="18"/>
      <c r="VGM273" s="18"/>
      <c r="VGN273" s="18"/>
      <c r="VGO273" s="18"/>
      <c r="VGP273" s="18"/>
      <c r="VGQ273" s="18"/>
      <c r="VGR273" s="18"/>
      <c r="VGS273" s="18"/>
      <c r="VGT273" s="18"/>
      <c r="VGU273" s="18"/>
      <c r="VGV273" s="18"/>
      <c r="VGW273" s="18"/>
      <c r="VGX273" s="18"/>
      <c r="VGY273" s="18"/>
      <c r="VGZ273" s="18"/>
      <c r="VHA273" s="18"/>
      <c r="VHB273" s="18"/>
      <c r="VHC273" s="18"/>
      <c r="VHD273" s="18"/>
      <c r="VHE273" s="18"/>
      <c r="VHF273" s="18"/>
      <c r="VHG273" s="18"/>
      <c r="VHH273" s="18"/>
      <c r="VHI273" s="18"/>
      <c r="VHJ273" s="18"/>
      <c r="VHK273" s="18"/>
      <c r="VHL273" s="18"/>
      <c r="VHM273" s="18"/>
      <c r="VHN273" s="18"/>
      <c r="VHO273" s="18"/>
      <c r="VHP273" s="18"/>
      <c r="VHQ273" s="18"/>
      <c r="VHR273" s="18"/>
      <c r="VHS273" s="18"/>
      <c r="VHT273" s="18"/>
      <c r="VHU273" s="18"/>
      <c r="VHV273" s="18"/>
      <c r="VHW273" s="18"/>
      <c r="VHX273" s="18"/>
      <c r="VHY273" s="18"/>
      <c r="VHZ273" s="18"/>
      <c r="VIA273" s="18"/>
      <c r="VIB273" s="18"/>
      <c r="VIC273" s="18"/>
      <c r="VID273" s="18"/>
      <c r="VIE273" s="18"/>
      <c r="VIF273" s="18"/>
      <c r="VIG273" s="18"/>
      <c r="VIH273" s="18"/>
      <c r="VII273" s="18"/>
      <c r="VIJ273" s="18"/>
      <c r="VIK273" s="18"/>
      <c r="VIL273" s="18"/>
      <c r="VIM273" s="18"/>
      <c r="VIN273" s="18"/>
      <c r="VIO273" s="18"/>
      <c r="VIP273" s="18"/>
      <c r="VIQ273" s="18"/>
      <c r="VIR273" s="18"/>
      <c r="VIS273" s="18"/>
      <c r="VIT273" s="18"/>
      <c r="VIU273" s="18"/>
      <c r="VIV273" s="18"/>
      <c r="VIW273" s="18"/>
      <c r="VIX273" s="18"/>
      <c r="VIY273" s="18"/>
      <c r="VIZ273" s="18"/>
      <c r="VJA273" s="18"/>
      <c r="VJB273" s="18"/>
      <c r="VJC273" s="18"/>
      <c r="VJD273" s="18"/>
      <c r="VJE273" s="18"/>
      <c r="VJF273" s="18"/>
      <c r="VJG273" s="18"/>
      <c r="VJH273" s="18"/>
      <c r="VJI273" s="18"/>
      <c r="VJJ273" s="18"/>
      <c r="VJK273" s="18"/>
      <c r="VJL273" s="18"/>
      <c r="VJM273" s="18"/>
      <c r="VJN273" s="18"/>
      <c r="VJO273" s="18"/>
      <c r="VJP273" s="18"/>
      <c r="VJQ273" s="18"/>
      <c r="VJR273" s="18"/>
      <c r="VJS273" s="18"/>
      <c r="VJT273" s="18"/>
      <c r="VJU273" s="18"/>
      <c r="VJV273" s="18"/>
      <c r="VJW273" s="18"/>
      <c r="VJX273" s="18"/>
      <c r="VJY273" s="18"/>
      <c r="VJZ273" s="18"/>
      <c r="VKA273" s="18"/>
      <c r="VKB273" s="18"/>
      <c r="VKC273" s="18"/>
      <c r="VKD273" s="18"/>
      <c r="VKE273" s="18"/>
      <c r="VKF273" s="18"/>
      <c r="VKG273" s="18"/>
      <c r="VKH273" s="18"/>
      <c r="VKI273" s="18"/>
      <c r="VKJ273" s="18"/>
      <c r="VKK273" s="18"/>
      <c r="VKL273" s="18"/>
      <c r="VKM273" s="18"/>
      <c r="VKN273" s="18"/>
      <c r="VKO273" s="18"/>
      <c r="VKP273" s="18"/>
      <c r="VKQ273" s="18"/>
      <c r="VKR273" s="18"/>
      <c r="VKS273" s="18"/>
      <c r="VKT273" s="18"/>
      <c r="VKU273" s="18"/>
      <c r="VKV273" s="18"/>
      <c r="VKW273" s="18"/>
      <c r="VKX273" s="18"/>
      <c r="VKY273" s="18"/>
      <c r="VKZ273" s="18"/>
      <c r="VLA273" s="18"/>
      <c r="VLB273" s="18"/>
      <c r="VLC273" s="18"/>
      <c r="VLD273" s="18"/>
      <c r="VLE273" s="18"/>
      <c r="VLF273" s="18"/>
      <c r="VLG273" s="18"/>
      <c r="VLH273" s="18"/>
      <c r="VLI273" s="18"/>
      <c r="VLJ273" s="18"/>
      <c r="VLK273" s="18"/>
      <c r="VLL273" s="18"/>
      <c r="VLM273" s="18"/>
      <c r="VLN273" s="18"/>
      <c r="VLO273" s="18"/>
      <c r="VLP273" s="18"/>
      <c r="VLQ273" s="18"/>
      <c r="VLR273" s="18"/>
      <c r="VLS273" s="18"/>
      <c r="VLT273" s="18"/>
      <c r="VLU273" s="18"/>
      <c r="VLV273" s="18"/>
      <c r="VLW273" s="18"/>
      <c r="VLX273" s="18"/>
      <c r="VLY273" s="18"/>
      <c r="VLZ273" s="18"/>
      <c r="VMA273" s="18"/>
      <c r="VMB273" s="18"/>
      <c r="VMC273" s="18"/>
      <c r="VMD273" s="18"/>
      <c r="VME273" s="18"/>
      <c r="VMF273" s="18"/>
      <c r="VMG273" s="18"/>
      <c r="VMH273" s="18"/>
      <c r="VMI273" s="18"/>
      <c r="VMJ273" s="18"/>
      <c r="VMK273" s="18"/>
      <c r="VML273" s="18"/>
      <c r="VMM273" s="18"/>
      <c r="VMN273" s="18"/>
      <c r="VMO273" s="18"/>
      <c r="VMP273" s="18"/>
      <c r="VMQ273" s="18"/>
      <c r="VMR273" s="18"/>
      <c r="VMS273" s="18"/>
      <c r="VMT273" s="18"/>
      <c r="VMU273" s="18"/>
      <c r="VMV273" s="18"/>
      <c r="VMW273" s="18"/>
      <c r="VMX273" s="18"/>
      <c r="VMY273" s="18"/>
      <c r="VMZ273" s="18"/>
      <c r="VNA273" s="18"/>
      <c r="VNB273" s="18"/>
      <c r="VNC273" s="18"/>
      <c r="VND273" s="18"/>
      <c r="VNE273" s="18"/>
      <c r="VNF273" s="18"/>
      <c r="VNG273" s="18"/>
      <c r="VNH273" s="18"/>
      <c r="VNI273" s="18"/>
      <c r="VNJ273" s="18"/>
      <c r="VNK273" s="18"/>
      <c r="VNL273" s="18"/>
      <c r="VNM273" s="18"/>
      <c r="VNN273" s="18"/>
      <c r="VNO273" s="18"/>
      <c r="VNP273" s="18"/>
      <c r="VNQ273" s="18"/>
      <c r="VNR273" s="18"/>
      <c r="VNS273" s="18"/>
      <c r="VNT273" s="18"/>
      <c r="VNU273" s="18"/>
      <c r="VNV273" s="18"/>
      <c r="VNW273" s="18"/>
      <c r="VNX273" s="18"/>
      <c r="VNY273" s="18"/>
      <c r="VNZ273" s="18"/>
      <c r="VOA273" s="18"/>
      <c r="VOB273" s="18"/>
      <c r="VOC273" s="18"/>
      <c r="VOD273" s="18"/>
      <c r="VOE273" s="18"/>
      <c r="VOF273" s="18"/>
      <c r="VOG273" s="18"/>
      <c r="VOH273" s="18"/>
      <c r="VOI273" s="18"/>
      <c r="VOJ273" s="18"/>
      <c r="VOK273" s="18"/>
      <c r="VOL273" s="18"/>
      <c r="VOM273" s="18"/>
      <c r="VON273" s="18"/>
      <c r="VOO273" s="18"/>
      <c r="VOP273" s="18"/>
      <c r="VOQ273" s="18"/>
      <c r="VOR273" s="18"/>
      <c r="VOS273" s="18"/>
      <c r="VOT273" s="18"/>
      <c r="VOU273" s="18"/>
      <c r="VOV273" s="18"/>
      <c r="VOW273" s="18"/>
      <c r="VOX273" s="18"/>
      <c r="VOY273" s="18"/>
      <c r="VOZ273" s="18"/>
      <c r="VPA273" s="18"/>
      <c r="VPB273" s="18"/>
      <c r="VPC273" s="18"/>
      <c r="VPD273" s="18"/>
      <c r="VPE273" s="18"/>
      <c r="VPF273" s="18"/>
      <c r="VPG273" s="18"/>
      <c r="VPH273" s="18"/>
      <c r="VPI273" s="18"/>
      <c r="VPJ273" s="18"/>
      <c r="VPK273" s="18"/>
      <c r="VPL273" s="18"/>
      <c r="VPM273" s="18"/>
      <c r="VPN273" s="18"/>
      <c r="VPO273" s="18"/>
      <c r="VPP273" s="18"/>
      <c r="VPQ273" s="18"/>
      <c r="VPR273" s="18"/>
      <c r="VPS273" s="18"/>
      <c r="VPT273" s="18"/>
      <c r="VPU273" s="18"/>
      <c r="VPV273" s="18"/>
      <c r="VPW273" s="18"/>
      <c r="VPX273" s="18"/>
      <c r="VPY273" s="18"/>
      <c r="VPZ273" s="18"/>
      <c r="VQA273" s="18"/>
      <c r="VQB273" s="18"/>
      <c r="VQC273" s="18"/>
      <c r="VQD273" s="18"/>
      <c r="VQE273" s="18"/>
      <c r="VQF273" s="18"/>
      <c r="VQG273" s="18"/>
      <c r="VQH273" s="18"/>
      <c r="VQI273" s="18"/>
      <c r="VQJ273" s="18"/>
      <c r="VQK273" s="18"/>
      <c r="VQL273" s="18"/>
      <c r="VQM273" s="18"/>
      <c r="VQN273" s="18"/>
      <c r="VQO273" s="18"/>
      <c r="VQP273" s="18"/>
      <c r="VQQ273" s="18"/>
      <c r="VQR273" s="18"/>
      <c r="VQS273" s="18"/>
      <c r="VQT273" s="18"/>
      <c r="VQU273" s="18"/>
      <c r="VQV273" s="18"/>
      <c r="VQW273" s="18"/>
      <c r="VQX273" s="18"/>
      <c r="VQY273" s="18"/>
      <c r="VQZ273" s="18"/>
      <c r="VRA273" s="18"/>
      <c r="VRB273" s="18"/>
      <c r="VRC273" s="18"/>
      <c r="VRD273" s="18"/>
      <c r="VRE273" s="18"/>
      <c r="VRF273" s="18"/>
      <c r="VRG273" s="18"/>
      <c r="VRH273" s="18"/>
      <c r="VRI273" s="18"/>
      <c r="VRJ273" s="18"/>
      <c r="VRK273" s="18"/>
      <c r="VRL273" s="18"/>
      <c r="VRM273" s="18"/>
      <c r="VRN273" s="18"/>
      <c r="VRO273" s="18"/>
      <c r="VRP273" s="18"/>
      <c r="VRQ273" s="18"/>
      <c r="VRR273" s="18"/>
      <c r="VRS273" s="18"/>
      <c r="VRT273" s="18"/>
      <c r="VRU273" s="18"/>
      <c r="VRV273" s="18"/>
      <c r="VRW273" s="18"/>
      <c r="VRX273" s="18"/>
      <c r="VRY273" s="18"/>
      <c r="VRZ273" s="18"/>
      <c r="VSA273" s="18"/>
      <c r="VSB273" s="18"/>
      <c r="VSC273" s="18"/>
      <c r="VSD273" s="18"/>
      <c r="VSE273" s="18"/>
      <c r="VSF273" s="18"/>
      <c r="VSG273" s="18"/>
      <c r="VSH273" s="18"/>
      <c r="VSI273" s="18"/>
      <c r="VSJ273" s="18"/>
      <c r="VSK273" s="18"/>
      <c r="VSL273" s="18"/>
      <c r="VSM273" s="18"/>
      <c r="VSN273" s="18"/>
      <c r="VSO273" s="18"/>
      <c r="VSP273" s="18"/>
      <c r="VSQ273" s="18"/>
      <c r="VSR273" s="18"/>
      <c r="VSS273" s="18"/>
      <c r="VST273" s="18"/>
      <c r="VSU273" s="18"/>
      <c r="VSV273" s="18"/>
      <c r="VSW273" s="18"/>
      <c r="VSX273" s="18"/>
      <c r="VSY273" s="18"/>
      <c r="VSZ273" s="18"/>
      <c r="VTA273" s="18"/>
      <c r="VTB273" s="18"/>
      <c r="VTC273" s="18"/>
      <c r="VTD273" s="18"/>
      <c r="VTE273" s="18"/>
      <c r="VTF273" s="18"/>
      <c r="VTG273" s="18"/>
      <c r="VTH273" s="18"/>
      <c r="VTI273" s="18"/>
      <c r="VTJ273" s="18"/>
      <c r="VTK273" s="18"/>
      <c r="VTL273" s="18"/>
      <c r="VTM273" s="18"/>
      <c r="VTN273" s="18"/>
      <c r="VTO273" s="18"/>
      <c r="VTP273" s="18"/>
      <c r="VTQ273" s="18"/>
      <c r="VTR273" s="18"/>
      <c r="VTS273" s="18"/>
      <c r="VTT273" s="18"/>
      <c r="VTU273" s="18"/>
      <c r="VTV273" s="18"/>
      <c r="VTW273" s="18"/>
      <c r="VTX273" s="18"/>
      <c r="VTY273" s="18"/>
      <c r="VTZ273" s="18"/>
      <c r="VUA273" s="18"/>
      <c r="VUB273" s="18"/>
      <c r="VUC273" s="18"/>
      <c r="VUD273" s="18"/>
      <c r="VUE273" s="18"/>
      <c r="VUF273" s="18"/>
      <c r="VUG273" s="18"/>
      <c r="VUH273" s="18"/>
      <c r="VUI273" s="18"/>
      <c r="VUJ273" s="18"/>
      <c r="VUK273" s="18"/>
      <c r="VUL273" s="18"/>
      <c r="VUM273" s="18"/>
      <c r="VUN273" s="18"/>
      <c r="VUO273" s="18"/>
      <c r="VUP273" s="18"/>
      <c r="VUQ273" s="18"/>
      <c r="VUR273" s="18"/>
      <c r="VUS273" s="18"/>
      <c r="VUT273" s="18"/>
      <c r="VUU273" s="18"/>
      <c r="VUV273" s="18"/>
      <c r="VUW273" s="18"/>
      <c r="VUX273" s="18"/>
      <c r="VUY273" s="18"/>
      <c r="VUZ273" s="18"/>
      <c r="VVA273" s="18"/>
      <c r="VVB273" s="18"/>
      <c r="VVC273" s="18"/>
      <c r="VVD273" s="18"/>
      <c r="VVE273" s="18"/>
      <c r="VVF273" s="18"/>
      <c r="VVG273" s="18"/>
      <c r="VVH273" s="18"/>
      <c r="VVI273" s="18"/>
      <c r="VVJ273" s="18"/>
      <c r="VVK273" s="18"/>
      <c r="VVL273" s="18"/>
      <c r="VVM273" s="18"/>
      <c r="VVN273" s="18"/>
      <c r="VVO273" s="18"/>
      <c r="VVP273" s="18"/>
      <c r="VVQ273" s="18"/>
      <c r="VVR273" s="18"/>
      <c r="VVS273" s="18"/>
      <c r="VVT273" s="18"/>
      <c r="VVU273" s="18"/>
      <c r="VVV273" s="18"/>
      <c r="VVW273" s="18"/>
      <c r="VVX273" s="18"/>
      <c r="VVY273" s="18"/>
      <c r="VVZ273" s="18"/>
      <c r="VWA273" s="18"/>
      <c r="VWB273" s="18"/>
      <c r="VWC273" s="18"/>
      <c r="VWD273" s="18"/>
      <c r="VWE273" s="18"/>
      <c r="VWF273" s="18"/>
      <c r="VWG273" s="18"/>
      <c r="VWH273" s="18"/>
      <c r="VWI273" s="18"/>
      <c r="VWJ273" s="18"/>
      <c r="VWK273" s="18"/>
      <c r="VWL273" s="18"/>
      <c r="VWM273" s="18"/>
      <c r="VWN273" s="18"/>
      <c r="VWO273" s="18"/>
      <c r="VWP273" s="18"/>
      <c r="VWQ273" s="18"/>
      <c r="VWR273" s="18"/>
      <c r="VWS273" s="18"/>
      <c r="VWT273" s="18"/>
      <c r="VWU273" s="18"/>
      <c r="VWV273" s="18"/>
      <c r="VWW273" s="18"/>
      <c r="VWX273" s="18"/>
      <c r="VWY273" s="18"/>
      <c r="VWZ273" s="18"/>
      <c r="VXA273" s="18"/>
      <c r="VXB273" s="18"/>
      <c r="VXC273" s="18"/>
      <c r="VXD273" s="18"/>
      <c r="VXE273" s="18"/>
      <c r="VXF273" s="18"/>
      <c r="VXG273" s="18"/>
      <c r="VXH273" s="18"/>
      <c r="VXI273" s="18"/>
      <c r="VXJ273" s="18"/>
      <c r="VXK273" s="18"/>
      <c r="VXL273" s="18"/>
      <c r="VXM273" s="18"/>
      <c r="VXN273" s="18"/>
      <c r="VXO273" s="18"/>
      <c r="VXP273" s="18"/>
      <c r="VXQ273" s="18"/>
      <c r="VXR273" s="18"/>
      <c r="VXS273" s="18"/>
      <c r="VXT273" s="18"/>
      <c r="VXU273" s="18"/>
      <c r="VXV273" s="18"/>
      <c r="VXW273" s="18"/>
      <c r="VXX273" s="18"/>
      <c r="VXY273" s="18"/>
      <c r="VXZ273" s="18"/>
      <c r="VYA273" s="18"/>
      <c r="VYB273" s="18"/>
      <c r="VYC273" s="18"/>
      <c r="VYD273" s="18"/>
      <c r="VYE273" s="18"/>
      <c r="VYF273" s="18"/>
      <c r="VYG273" s="18"/>
      <c r="VYH273" s="18"/>
      <c r="VYI273" s="18"/>
      <c r="VYJ273" s="18"/>
      <c r="VYK273" s="18"/>
      <c r="VYL273" s="18"/>
      <c r="VYM273" s="18"/>
      <c r="VYN273" s="18"/>
      <c r="VYO273" s="18"/>
      <c r="VYP273" s="18"/>
      <c r="VYQ273" s="18"/>
      <c r="VYR273" s="18"/>
      <c r="VYS273" s="18"/>
      <c r="VYT273" s="18"/>
      <c r="VYU273" s="18"/>
      <c r="VYV273" s="18"/>
      <c r="VYW273" s="18"/>
      <c r="VYX273" s="18"/>
      <c r="VYY273" s="18"/>
      <c r="VYZ273" s="18"/>
      <c r="VZA273" s="18"/>
      <c r="VZB273" s="18"/>
      <c r="VZC273" s="18"/>
      <c r="VZD273" s="18"/>
      <c r="VZE273" s="18"/>
      <c r="VZF273" s="18"/>
      <c r="VZG273" s="18"/>
      <c r="VZH273" s="18"/>
      <c r="VZI273" s="18"/>
      <c r="VZJ273" s="18"/>
      <c r="VZK273" s="18"/>
      <c r="VZL273" s="18"/>
      <c r="VZM273" s="18"/>
      <c r="VZN273" s="18"/>
      <c r="VZO273" s="18"/>
      <c r="VZP273" s="18"/>
      <c r="VZQ273" s="18"/>
      <c r="VZR273" s="18"/>
      <c r="VZS273" s="18"/>
      <c r="VZT273" s="18"/>
      <c r="VZU273" s="18"/>
      <c r="VZV273" s="18"/>
      <c r="VZW273" s="18"/>
      <c r="VZX273" s="18"/>
      <c r="VZY273" s="18"/>
      <c r="VZZ273" s="18"/>
      <c r="WAA273" s="18"/>
      <c r="WAB273" s="18"/>
      <c r="WAC273" s="18"/>
      <c r="WAD273" s="18"/>
      <c r="WAE273" s="18"/>
      <c r="WAF273" s="18"/>
      <c r="WAG273" s="18"/>
      <c r="WAH273" s="18"/>
      <c r="WAI273" s="18"/>
      <c r="WAJ273" s="18"/>
      <c r="WAK273" s="18"/>
      <c r="WAL273" s="18"/>
      <c r="WAM273" s="18"/>
      <c r="WAN273" s="18"/>
      <c r="WAO273" s="18"/>
      <c r="WAP273" s="18"/>
      <c r="WAQ273" s="18"/>
      <c r="WAR273" s="18"/>
      <c r="WAS273" s="18"/>
      <c r="WAT273" s="18"/>
      <c r="WAU273" s="18"/>
      <c r="WAV273" s="18"/>
      <c r="WAW273" s="18"/>
      <c r="WAX273" s="18"/>
      <c r="WAY273" s="18"/>
      <c r="WAZ273" s="18"/>
      <c r="WBA273" s="18"/>
      <c r="WBB273" s="18"/>
      <c r="WBC273" s="18"/>
      <c r="WBD273" s="18"/>
      <c r="WBE273" s="18"/>
      <c r="WBF273" s="18"/>
      <c r="WBG273" s="18"/>
      <c r="WBH273" s="18"/>
      <c r="WBI273" s="18"/>
      <c r="WBJ273" s="18"/>
      <c r="WBK273" s="18"/>
      <c r="WBL273" s="18"/>
      <c r="WBM273" s="18"/>
      <c r="WBN273" s="18"/>
      <c r="WBO273" s="18"/>
      <c r="WBP273" s="18"/>
      <c r="WBQ273" s="18"/>
      <c r="WBR273" s="18"/>
      <c r="WBS273" s="18"/>
      <c r="WBT273" s="18"/>
      <c r="WBU273" s="18"/>
      <c r="WBV273" s="18"/>
      <c r="WBW273" s="18"/>
      <c r="WBX273" s="18"/>
      <c r="WBY273" s="18"/>
      <c r="WBZ273" s="18"/>
      <c r="WCA273" s="18"/>
      <c r="WCB273" s="18"/>
      <c r="WCC273" s="18"/>
      <c r="WCD273" s="18"/>
      <c r="WCE273" s="18"/>
      <c r="WCF273" s="18"/>
      <c r="WCG273" s="18"/>
      <c r="WCH273" s="18"/>
      <c r="WCI273" s="18"/>
      <c r="WCJ273" s="18"/>
      <c r="WCK273" s="18"/>
      <c r="WCL273" s="18"/>
      <c r="WCM273" s="18"/>
      <c r="WCN273" s="18"/>
      <c r="WCO273" s="18"/>
      <c r="WCP273" s="18"/>
      <c r="WCQ273" s="18"/>
      <c r="WCR273" s="18"/>
      <c r="WCS273" s="18"/>
      <c r="WCT273" s="18"/>
      <c r="WCU273" s="18"/>
      <c r="WCV273" s="18"/>
      <c r="WCW273" s="18"/>
      <c r="WCX273" s="18"/>
      <c r="WCY273" s="18"/>
      <c r="WCZ273" s="18"/>
      <c r="WDA273" s="18"/>
      <c r="WDB273" s="18"/>
      <c r="WDC273" s="18"/>
      <c r="WDD273" s="18"/>
      <c r="WDE273" s="18"/>
      <c r="WDF273" s="18"/>
      <c r="WDG273" s="18"/>
      <c r="WDH273" s="18"/>
      <c r="WDI273" s="18"/>
      <c r="WDJ273" s="18"/>
      <c r="WDK273" s="18"/>
      <c r="WDL273" s="18"/>
      <c r="WDM273" s="18"/>
      <c r="WDN273" s="18"/>
      <c r="WDO273" s="18"/>
      <c r="WDP273" s="18"/>
      <c r="WDQ273" s="18"/>
      <c r="WDR273" s="18"/>
      <c r="WDS273" s="18"/>
      <c r="WDT273" s="18"/>
      <c r="WDU273" s="18"/>
      <c r="WDV273" s="18"/>
      <c r="WDW273" s="18"/>
      <c r="WDX273" s="18"/>
      <c r="WDY273" s="18"/>
      <c r="WDZ273" s="18"/>
      <c r="WEA273" s="18"/>
      <c r="WEB273" s="18"/>
      <c r="WEC273" s="18"/>
      <c r="WED273" s="18"/>
      <c r="WEE273" s="18"/>
      <c r="WEF273" s="18"/>
      <c r="WEG273" s="18"/>
      <c r="WEH273" s="18"/>
      <c r="WEI273" s="18"/>
      <c r="WEJ273" s="18"/>
      <c r="WEK273" s="18"/>
      <c r="WEL273" s="18"/>
      <c r="WEM273" s="18"/>
      <c r="WEN273" s="18"/>
      <c r="WEO273" s="18"/>
      <c r="WEP273" s="18"/>
      <c r="WEQ273" s="18"/>
      <c r="WER273" s="18"/>
      <c r="WES273" s="18"/>
      <c r="WET273" s="18"/>
      <c r="WEU273" s="18"/>
      <c r="WEV273" s="18"/>
      <c r="WEW273" s="18"/>
      <c r="WEX273" s="18"/>
      <c r="WEY273" s="18"/>
      <c r="WEZ273" s="18"/>
      <c r="WFA273" s="18"/>
      <c r="WFB273" s="18"/>
      <c r="WFC273" s="18"/>
      <c r="WFD273" s="18"/>
      <c r="WFE273" s="18"/>
      <c r="WFF273" s="18"/>
      <c r="WFG273" s="18"/>
      <c r="WFH273" s="18"/>
      <c r="WFI273" s="18"/>
      <c r="WFJ273" s="18"/>
      <c r="WFK273" s="18"/>
      <c r="WFL273" s="18"/>
      <c r="WFM273" s="18"/>
      <c r="WFN273" s="18"/>
      <c r="WFO273" s="18"/>
      <c r="WFP273" s="18"/>
      <c r="WFQ273" s="18"/>
      <c r="WFR273" s="18"/>
      <c r="WFS273" s="18"/>
      <c r="WFT273" s="18"/>
      <c r="WFU273" s="18"/>
      <c r="WFV273" s="18"/>
      <c r="WFW273" s="18"/>
      <c r="WFX273" s="18"/>
      <c r="WFY273" s="18"/>
      <c r="WFZ273" s="18"/>
      <c r="WGA273" s="18"/>
      <c r="WGB273" s="18"/>
      <c r="WGC273" s="18"/>
      <c r="WGD273" s="18"/>
      <c r="WGE273" s="18"/>
      <c r="WGF273" s="18"/>
      <c r="WGG273" s="18"/>
      <c r="WGH273" s="18"/>
      <c r="WGI273" s="18"/>
      <c r="WGJ273" s="18"/>
      <c r="WGK273" s="18"/>
      <c r="WGL273" s="18"/>
      <c r="WGM273" s="18"/>
      <c r="WGN273" s="18"/>
      <c r="WGO273" s="18"/>
      <c r="WGP273" s="18"/>
      <c r="WGQ273" s="18"/>
      <c r="WGR273" s="18"/>
      <c r="WGS273" s="18"/>
      <c r="WGT273" s="18"/>
      <c r="WGU273" s="18"/>
      <c r="WGV273" s="18"/>
      <c r="WGW273" s="18"/>
      <c r="WGX273" s="18"/>
      <c r="WGY273" s="18"/>
      <c r="WGZ273" s="18"/>
      <c r="WHA273" s="18"/>
      <c r="WHB273" s="18"/>
      <c r="WHC273" s="18"/>
      <c r="WHD273" s="18"/>
      <c r="WHE273" s="18"/>
      <c r="WHF273" s="18"/>
      <c r="WHG273" s="18"/>
      <c r="WHH273" s="18"/>
      <c r="WHI273" s="18"/>
      <c r="WHJ273" s="18"/>
      <c r="WHK273" s="18"/>
      <c r="WHL273" s="18"/>
      <c r="WHM273" s="18"/>
      <c r="WHN273" s="18"/>
      <c r="WHO273" s="18"/>
      <c r="WHP273" s="18"/>
      <c r="WHQ273" s="18"/>
      <c r="WHR273" s="18"/>
      <c r="WHS273" s="18"/>
      <c r="WHT273" s="18"/>
      <c r="WHU273" s="18"/>
      <c r="WHV273" s="18"/>
      <c r="WHW273" s="18"/>
      <c r="WHX273" s="18"/>
      <c r="WHY273" s="18"/>
      <c r="WHZ273" s="18"/>
      <c r="WIA273" s="18"/>
      <c r="WIB273" s="18"/>
      <c r="WIC273" s="18"/>
      <c r="WID273" s="18"/>
      <c r="WIE273" s="18"/>
      <c r="WIF273" s="18"/>
      <c r="WIG273" s="18"/>
      <c r="WIH273" s="18"/>
      <c r="WII273" s="18"/>
      <c r="WIJ273" s="18"/>
      <c r="WIK273" s="18"/>
      <c r="WIL273" s="18"/>
      <c r="WIM273" s="18"/>
      <c r="WIN273" s="18"/>
      <c r="WIO273" s="18"/>
      <c r="WIP273" s="18"/>
      <c r="WIQ273" s="18"/>
      <c r="WIR273" s="18"/>
      <c r="WIS273" s="18"/>
      <c r="WIT273" s="18"/>
      <c r="WIU273" s="18"/>
      <c r="WIV273" s="18"/>
      <c r="WIW273" s="18"/>
      <c r="WIX273" s="18"/>
      <c r="WIY273" s="18"/>
      <c r="WIZ273" s="18"/>
      <c r="WJA273" s="18"/>
      <c r="WJB273" s="18"/>
      <c r="WJC273" s="18"/>
      <c r="WJD273" s="18"/>
      <c r="WJE273" s="18"/>
      <c r="WJF273" s="18"/>
      <c r="WJG273" s="18"/>
      <c r="WJH273" s="18"/>
      <c r="WJI273" s="18"/>
      <c r="WJJ273" s="18"/>
      <c r="WJK273" s="18"/>
      <c r="WJL273" s="18"/>
      <c r="WJM273" s="18"/>
      <c r="WJN273" s="18"/>
      <c r="WJO273" s="18"/>
      <c r="WJP273" s="18"/>
      <c r="WJQ273" s="18"/>
      <c r="WJR273" s="18"/>
      <c r="WJS273" s="18"/>
      <c r="WJT273" s="18"/>
      <c r="WJU273" s="18"/>
      <c r="WJV273" s="18"/>
      <c r="WJW273" s="18"/>
      <c r="WJX273" s="18"/>
      <c r="WJY273" s="18"/>
      <c r="WJZ273" s="18"/>
      <c r="WKA273" s="18"/>
      <c r="WKB273" s="18"/>
      <c r="WKC273" s="18"/>
      <c r="WKD273" s="18"/>
      <c r="WKE273" s="18"/>
      <c r="WKF273" s="18"/>
      <c r="WKG273" s="18"/>
      <c r="WKH273" s="18"/>
      <c r="WKI273" s="18"/>
      <c r="WKJ273" s="18"/>
      <c r="WKK273" s="18"/>
      <c r="WKL273" s="18"/>
      <c r="WKM273" s="18"/>
      <c r="WKN273" s="18"/>
      <c r="WKO273" s="18"/>
      <c r="WKP273" s="18"/>
      <c r="WKQ273" s="18"/>
      <c r="WKR273" s="18"/>
      <c r="WKS273" s="18"/>
      <c r="WKT273" s="18"/>
      <c r="WKU273" s="18"/>
      <c r="WKV273" s="18"/>
      <c r="WKW273" s="18"/>
      <c r="WKX273" s="18"/>
      <c r="WKY273" s="18"/>
      <c r="WKZ273" s="18"/>
      <c r="WLA273" s="18"/>
      <c r="WLB273" s="18"/>
      <c r="WLC273" s="18"/>
      <c r="WLD273" s="18"/>
      <c r="WLE273" s="18"/>
      <c r="WLF273" s="18"/>
      <c r="WLG273" s="18"/>
      <c r="WLH273" s="18"/>
      <c r="WLI273" s="18"/>
      <c r="WLJ273" s="18"/>
      <c r="WLK273" s="18"/>
      <c r="WLL273" s="18"/>
      <c r="WLM273" s="18"/>
      <c r="WLN273" s="18"/>
      <c r="WLO273" s="18"/>
      <c r="WLP273" s="18"/>
      <c r="WLQ273" s="18"/>
      <c r="WLR273" s="18"/>
      <c r="WLS273" s="18"/>
      <c r="WLT273" s="18"/>
      <c r="WLU273" s="18"/>
      <c r="WLV273" s="18"/>
      <c r="WLW273" s="18"/>
      <c r="WLX273" s="18"/>
      <c r="WLY273" s="18"/>
      <c r="WLZ273" s="18"/>
      <c r="WMA273" s="18"/>
      <c r="WMB273" s="18"/>
      <c r="WMC273" s="18"/>
      <c r="WMD273" s="18"/>
      <c r="WME273" s="18"/>
      <c r="WMF273" s="18"/>
      <c r="WMG273" s="18"/>
      <c r="WMH273" s="18"/>
      <c r="WMI273" s="18"/>
      <c r="WMJ273" s="18"/>
      <c r="WMK273" s="18"/>
      <c r="WML273" s="18"/>
      <c r="WMM273" s="18"/>
      <c r="WMN273" s="18"/>
      <c r="WMO273" s="18"/>
      <c r="WMP273" s="18"/>
      <c r="WMQ273" s="18"/>
      <c r="WMR273" s="18"/>
      <c r="WMS273" s="18"/>
      <c r="WMT273" s="18"/>
      <c r="WMU273" s="18"/>
      <c r="WMV273" s="18"/>
      <c r="WMW273" s="18"/>
      <c r="WMX273" s="18"/>
      <c r="WMY273" s="18"/>
      <c r="WMZ273" s="18"/>
      <c r="WNA273" s="18"/>
      <c r="WNB273" s="18"/>
      <c r="WNC273" s="18"/>
      <c r="WND273" s="18"/>
      <c r="WNE273" s="18"/>
      <c r="WNF273" s="18"/>
      <c r="WNG273" s="18"/>
      <c r="WNH273" s="18"/>
      <c r="WNI273" s="18"/>
      <c r="WNJ273" s="18"/>
      <c r="WNK273" s="18"/>
      <c r="WNL273" s="18"/>
      <c r="WNM273" s="18"/>
      <c r="WNN273" s="18"/>
      <c r="WNO273" s="18"/>
      <c r="WNP273" s="18"/>
      <c r="WNQ273" s="18"/>
      <c r="WNR273" s="18"/>
      <c r="WNS273" s="18"/>
      <c r="WNT273" s="18"/>
      <c r="WNU273" s="18"/>
      <c r="WNV273" s="18"/>
      <c r="WNW273" s="18"/>
      <c r="WNX273" s="18"/>
      <c r="WNY273" s="18"/>
      <c r="WNZ273" s="18"/>
      <c r="WOA273" s="18"/>
      <c r="WOB273" s="18"/>
      <c r="WOC273" s="18"/>
      <c r="WOD273" s="18"/>
      <c r="WOE273" s="18"/>
      <c r="WOF273" s="18"/>
      <c r="WOG273" s="18"/>
      <c r="WOH273" s="18"/>
      <c r="WOI273" s="18"/>
      <c r="WOJ273" s="18"/>
      <c r="WOK273" s="18"/>
      <c r="WOL273" s="18"/>
      <c r="WOM273" s="18"/>
      <c r="WON273" s="18"/>
      <c r="WOO273" s="18"/>
      <c r="WOP273" s="18"/>
      <c r="WOQ273" s="18"/>
      <c r="WOR273" s="18"/>
      <c r="WOS273" s="18"/>
      <c r="WOT273" s="18"/>
      <c r="WOU273" s="18"/>
      <c r="WOV273" s="18"/>
      <c r="WOW273" s="18"/>
      <c r="WOX273" s="18"/>
      <c r="WOY273" s="18"/>
      <c r="WOZ273" s="18"/>
      <c r="WPA273" s="18"/>
      <c r="WPB273" s="18"/>
      <c r="WPC273" s="18"/>
      <c r="WPD273" s="18"/>
      <c r="WPE273" s="18"/>
      <c r="WPF273" s="18"/>
      <c r="WPG273" s="18"/>
      <c r="WPH273" s="18"/>
      <c r="WPI273" s="18"/>
      <c r="WPJ273" s="18"/>
      <c r="WPK273" s="18"/>
      <c r="WPL273" s="18"/>
      <c r="WPM273" s="18"/>
      <c r="WPN273" s="18"/>
      <c r="WPO273" s="18"/>
      <c r="WPP273" s="18"/>
      <c r="WPQ273" s="18"/>
      <c r="WPR273" s="18"/>
      <c r="WPS273" s="18"/>
      <c r="WPT273" s="18"/>
      <c r="WPU273" s="18"/>
      <c r="WPV273" s="18"/>
      <c r="WPW273" s="18"/>
      <c r="WPX273" s="18"/>
      <c r="WPY273" s="18"/>
      <c r="WPZ273" s="18"/>
      <c r="WQA273" s="18"/>
      <c r="WQB273" s="18"/>
      <c r="WQC273" s="18"/>
      <c r="WQD273" s="18"/>
      <c r="WQE273" s="18"/>
      <c r="WQF273" s="18"/>
      <c r="WQG273" s="18"/>
      <c r="WQH273" s="18"/>
      <c r="WQI273" s="18"/>
      <c r="WQJ273" s="18"/>
      <c r="WQK273" s="18"/>
      <c r="WQL273" s="18"/>
      <c r="WQM273" s="18"/>
      <c r="WQN273" s="18"/>
      <c r="WQO273" s="18"/>
      <c r="WQP273" s="18"/>
      <c r="WQQ273" s="18"/>
      <c r="WQR273" s="18"/>
      <c r="WQS273" s="18"/>
      <c r="WQT273" s="18"/>
      <c r="WQU273" s="18"/>
      <c r="WQV273" s="18"/>
      <c r="WQW273" s="18"/>
      <c r="WQX273" s="18"/>
      <c r="WQY273" s="18"/>
      <c r="WQZ273" s="18"/>
      <c r="WRA273" s="18"/>
      <c r="WRB273" s="18"/>
      <c r="WRC273" s="18"/>
      <c r="WRD273" s="18"/>
      <c r="WRE273" s="18"/>
      <c r="WRF273" s="18"/>
      <c r="WRG273" s="18"/>
      <c r="WRH273" s="18"/>
      <c r="WRI273" s="18"/>
      <c r="WRJ273" s="18"/>
      <c r="WRK273" s="18"/>
      <c r="WRL273" s="18"/>
      <c r="WRM273" s="18"/>
      <c r="WRN273" s="18"/>
      <c r="WRO273" s="18"/>
      <c r="WRP273" s="18"/>
      <c r="WRQ273" s="18"/>
      <c r="WRR273" s="18"/>
      <c r="WRS273" s="18"/>
      <c r="WRT273" s="18"/>
      <c r="WRU273" s="18"/>
      <c r="WRV273" s="18"/>
      <c r="WRW273" s="18"/>
      <c r="WRX273" s="18"/>
      <c r="WRY273" s="18"/>
      <c r="WRZ273" s="18"/>
      <c r="WSA273" s="18"/>
      <c r="WSB273" s="18"/>
      <c r="WSC273" s="18"/>
      <c r="WSD273" s="18"/>
      <c r="WSE273" s="18"/>
      <c r="WSF273" s="18"/>
      <c r="WSG273" s="18"/>
      <c r="WSH273" s="18"/>
      <c r="WSI273" s="18"/>
      <c r="WSJ273" s="18"/>
      <c r="WSK273" s="18"/>
      <c r="WSL273" s="18"/>
      <c r="WSM273" s="18"/>
      <c r="WSN273" s="18"/>
      <c r="WSO273" s="18"/>
      <c r="WSP273" s="18"/>
      <c r="WSQ273" s="18"/>
      <c r="WSR273" s="18"/>
      <c r="WSS273" s="18"/>
      <c r="WST273" s="18"/>
      <c r="WSU273" s="18"/>
      <c r="WSV273" s="18"/>
      <c r="WSW273" s="18"/>
      <c r="WSX273" s="18"/>
      <c r="WSY273" s="18"/>
      <c r="WSZ273" s="18"/>
      <c r="WTA273" s="18"/>
      <c r="WTB273" s="18"/>
      <c r="WTC273" s="18"/>
      <c r="WTD273" s="18"/>
      <c r="WTE273" s="18"/>
      <c r="WTF273" s="18"/>
      <c r="WTG273" s="18"/>
      <c r="WTH273" s="18"/>
      <c r="WTI273" s="18"/>
      <c r="WTJ273" s="18"/>
      <c r="WTK273" s="18"/>
      <c r="WTL273" s="18"/>
      <c r="WTM273" s="18"/>
      <c r="WTN273" s="18"/>
      <c r="WTO273" s="18"/>
      <c r="WTP273" s="18"/>
      <c r="WTQ273" s="18"/>
      <c r="WTR273" s="18"/>
      <c r="WTS273" s="18"/>
      <c r="WTT273" s="18"/>
      <c r="WTU273" s="18"/>
      <c r="WTV273" s="18"/>
      <c r="WTW273" s="18"/>
      <c r="WTX273" s="18"/>
      <c r="WTY273" s="18"/>
      <c r="WTZ273" s="18"/>
      <c r="WUA273" s="18"/>
      <c r="WUB273" s="18"/>
      <c r="WUC273" s="18"/>
      <c r="WUD273" s="18"/>
      <c r="WUE273" s="18"/>
      <c r="WUF273" s="18"/>
      <c r="WUG273" s="18"/>
      <c r="WUH273" s="18"/>
      <c r="WUI273" s="18"/>
      <c r="WUJ273" s="18"/>
      <c r="WUK273" s="18"/>
      <c r="WUL273" s="18"/>
      <c r="WUM273" s="18"/>
      <c r="WUN273" s="18"/>
      <c r="WUO273" s="18"/>
      <c r="WUP273" s="18"/>
      <c r="WUQ273" s="18"/>
      <c r="WUR273" s="18"/>
      <c r="WUS273" s="18"/>
      <c r="WUT273" s="18"/>
      <c r="WUU273" s="18"/>
      <c r="WUV273" s="18"/>
      <c r="WUW273" s="18"/>
      <c r="WUX273" s="18"/>
      <c r="WUY273" s="18"/>
      <c r="WUZ273" s="18"/>
      <c r="WVA273" s="18"/>
      <c r="WVB273" s="18"/>
      <c r="WVC273" s="18"/>
      <c r="WVD273" s="18"/>
      <c r="WVE273" s="18"/>
      <c r="WVF273" s="18"/>
      <c r="WVG273" s="18"/>
      <c r="WVH273" s="18"/>
      <c r="WVI273" s="18"/>
      <c r="WVJ273" s="18"/>
      <c r="WVK273" s="18"/>
      <c r="WVL273" s="18"/>
      <c r="WVM273" s="18"/>
      <c r="WVN273" s="18"/>
      <c r="WVO273" s="18"/>
      <c r="WVP273" s="18"/>
      <c r="WVQ273" s="18"/>
      <c r="WVR273" s="18"/>
      <c r="WVS273" s="18"/>
      <c r="WVT273" s="18"/>
      <c r="WVU273" s="18"/>
      <c r="WVV273" s="18"/>
      <c r="WVW273" s="18"/>
      <c r="WVX273" s="18"/>
      <c r="WVY273" s="18"/>
      <c r="WVZ273" s="18"/>
      <c r="WWA273" s="18"/>
      <c r="WWB273" s="18"/>
      <c r="WWC273" s="18"/>
      <c r="WWD273" s="18"/>
      <c r="WWE273" s="18"/>
      <c r="WWF273" s="18"/>
      <c r="WWG273" s="18"/>
      <c r="WWH273" s="18"/>
      <c r="WWI273" s="18"/>
      <c r="WWJ273" s="18"/>
      <c r="WWK273" s="18"/>
      <c r="WWL273" s="18"/>
      <c r="WWM273" s="18"/>
      <c r="WWN273" s="18"/>
      <c r="WWO273" s="18"/>
      <c r="WWP273" s="18"/>
      <c r="WWQ273" s="18"/>
      <c r="WWR273" s="18"/>
      <c r="WWS273" s="18"/>
      <c r="WWT273" s="18"/>
      <c r="WWU273" s="18"/>
      <c r="WWV273" s="18"/>
      <c r="WWW273" s="18"/>
      <c r="WWX273" s="18"/>
      <c r="WWY273" s="18"/>
      <c r="WWZ273" s="18"/>
      <c r="WXA273" s="18"/>
      <c r="WXB273" s="18"/>
      <c r="WXC273" s="18"/>
      <c r="WXD273" s="18"/>
      <c r="WXE273" s="18"/>
      <c r="WXF273" s="18"/>
      <c r="WXG273" s="18"/>
      <c r="WXH273" s="18"/>
      <c r="WXI273" s="18"/>
      <c r="WXJ273" s="18"/>
      <c r="WXK273" s="18"/>
      <c r="WXL273" s="18"/>
      <c r="WXM273" s="18"/>
      <c r="WXN273" s="18"/>
      <c r="WXO273" s="18"/>
      <c r="WXP273" s="18"/>
      <c r="WXQ273" s="18"/>
      <c r="WXR273" s="18"/>
      <c r="WXS273" s="18"/>
      <c r="WXT273" s="18"/>
      <c r="WXU273" s="18"/>
      <c r="WXV273" s="18"/>
      <c r="WXW273" s="18"/>
      <c r="WXX273" s="18"/>
      <c r="WXY273" s="18"/>
      <c r="WXZ273" s="18"/>
      <c r="WYA273" s="18"/>
      <c r="WYB273" s="18"/>
      <c r="WYC273" s="18"/>
      <c r="WYD273" s="18"/>
      <c r="WYE273" s="18"/>
      <c r="WYF273" s="18"/>
      <c r="WYG273" s="18"/>
      <c r="WYH273" s="18"/>
      <c r="WYI273" s="18"/>
      <c r="WYJ273" s="18"/>
      <c r="WYK273" s="18"/>
      <c r="WYL273" s="18"/>
      <c r="WYM273" s="18"/>
      <c r="WYN273" s="18"/>
      <c r="WYO273" s="18"/>
      <c r="WYP273" s="18"/>
      <c r="WYQ273" s="18"/>
      <c r="WYR273" s="18"/>
      <c r="WYS273" s="18"/>
      <c r="WYT273" s="18"/>
      <c r="WYU273" s="18"/>
      <c r="WYV273" s="18"/>
      <c r="WYW273" s="18"/>
      <c r="WYX273" s="18"/>
      <c r="WYY273" s="18"/>
      <c r="WYZ273" s="18"/>
      <c r="WZA273" s="18"/>
      <c r="WZB273" s="18"/>
      <c r="WZC273" s="18"/>
      <c r="WZD273" s="18"/>
      <c r="WZE273" s="18"/>
      <c r="WZF273" s="18"/>
      <c r="WZG273" s="18"/>
      <c r="WZH273" s="18"/>
      <c r="WZI273" s="18"/>
      <c r="WZJ273" s="18"/>
      <c r="WZK273" s="18"/>
      <c r="WZL273" s="18"/>
      <c r="WZM273" s="18"/>
      <c r="WZN273" s="18"/>
      <c r="WZO273" s="18"/>
      <c r="WZP273" s="18"/>
      <c r="WZQ273" s="18"/>
      <c r="WZR273" s="18"/>
      <c r="WZS273" s="18"/>
      <c r="WZT273" s="18"/>
      <c r="WZU273" s="18"/>
      <c r="WZV273" s="18"/>
      <c r="WZW273" s="18"/>
      <c r="WZX273" s="18"/>
      <c r="WZY273" s="18"/>
      <c r="WZZ273" s="18"/>
      <c r="XAA273" s="18"/>
      <c r="XAB273" s="18"/>
      <c r="XAC273" s="18"/>
      <c r="XAD273" s="18"/>
      <c r="XAE273" s="18"/>
      <c r="XAF273" s="18"/>
      <c r="XAG273" s="18"/>
      <c r="XAH273" s="18"/>
      <c r="XAI273" s="18"/>
      <c r="XAJ273" s="18"/>
      <c r="XAK273" s="18"/>
      <c r="XAL273" s="18"/>
      <c r="XAM273" s="18"/>
      <c r="XAN273" s="18"/>
      <c r="XAO273" s="18"/>
      <c r="XAP273" s="18"/>
      <c r="XAQ273" s="18"/>
      <c r="XAR273" s="18"/>
      <c r="XAS273" s="18"/>
      <c r="XAT273" s="18"/>
      <c r="XAU273" s="18"/>
      <c r="XAV273" s="18"/>
      <c r="XAW273" s="18"/>
      <c r="XAX273" s="18"/>
      <c r="XAY273" s="18"/>
      <c r="XAZ273" s="18"/>
      <c r="XBA273" s="18"/>
      <c r="XBB273" s="18"/>
      <c r="XBC273" s="18"/>
      <c r="XBD273" s="18"/>
      <c r="XBE273" s="18"/>
      <c r="XBF273" s="18"/>
      <c r="XBG273" s="18"/>
      <c r="XBH273" s="18"/>
      <c r="XBI273" s="18"/>
      <c r="XBJ273" s="18"/>
      <c r="XBK273" s="18"/>
      <c r="XBL273" s="18"/>
      <c r="XBM273" s="18"/>
      <c r="XBN273" s="18"/>
      <c r="XBO273" s="18"/>
      <c r="XBP273" s="18"/>
      <c r="XBQ273" s="18"/>
      <c r="XBR273" s="18"/>
      <c r="XBS273" s="18"/>
      <c r="XBT273" s="18"/>
      <c r="XBU273" s="18"/>
      <c r="XBV273" s="18"/>
      <c r="XBW273" s="18"/>
      <c r="XBX273" s="18"/>
      <c r="XBY273" s="18"/>
      <c r="XBZ273" s="18"/>
      <c r="XCA273" s="18"/>
      <c r="XCB273" s="18"/>
      <c r="XCC273" s="18"/>
      <c r="XCD273" s="18"/>
      <c r="XCE273" s="18"/>
      <c r="XCF273" s="18"/>
      <c r="XCG273" s="18"/>
      <c r="XCH273" s="18"/>
      <c r="XCI273" s="18"/>
      <c r="XCJ273" s="18"/>
      <c r="XCK273" s="18"/>
      <c r="XCL273" s="18"/>
      <c r="XCM273" s="18"/>
      <c r="XCN273" s="18"/>
      <c r="XCO273" s="18"/>
      <c r="XCP273" s="18"/>
      <c r="XCQ273" s="18"/>
      <c r="XCR273" s="18"/>
      <c r="XCS273" s="18"/>
      <c r="XCT273" s="18"/>
      <c r="XCU273" s="18"/>
      <c r="XCV273" s="18"/>
      <c r="XCW273" s="18"/>
      <c r="XCX273" s="18"/>
      <c r="XCY273" s="18"/>
      <c r="XCZ273" s="18"/>
      <c r="XDA273" s="18"/>
      <c r="XDB273" s="18"/>
      <c r="XDC273" s="18"/>
      <c r="XDD273" s="18"/>
      <c r="XDE273" s="18"/>
      <c r="XDF273" s="18"/>
      <c r="XDG273" s="18"/>
      <c r="XDH273" s="18"/>
      <c r="XDI273" s="18"/>
      <c r="XDJ273" s="18"/>
      <c r="XDK273" s="18"/>
      <c r="XDL273" s="18"/>
      <c r="XDM273" s="18"/>
      <c r="XDN273" s="18"/>
      <c r="XDO273" s="18"/>
      <c r="XDP273" s="18"/>
      <c r="XDQ273" s="18"/>
      <c r="XDR273" s="18"/>
      <c r="XDS273" s="18"/>
      <c r="XDT273" s="18"/>
      <c r="XDU273" s="18"/>
      <c r="XDV273" s="18"/>
      <c r="XDW273" s="18"/>
      <c r="XDX273" s="18"/>
      <c r="XDY273" s="18"/>
      <c r="XDZ273" s="18"/>
      <c r="XEA273" s="18"/>
      <c r="XEB273" s="18"/>
      <c r="XEC273" s="18"/>
      <c r="XED273" s="18"/>
      <c r="XEE273" s="18"/>
      <c r="XEF273" s="18"/>
      <c r="XEG273" s="18"/>
      <c r="XEH273" s="18"/>
      <c r="XEI273" s="18"/>
      <c r="XEJ273" s="18"/>
      <c r="XEK273" s="18"/>
      <c r="XEL273" s="18"/>
      <c r="XEM273" s="18"/>
      <c r="XEN273" s="18"/>
      <c r="XEO273" s="18"/>
      <c r="XEP273" s="18"/>
      <c r="XEQ273" s="18"/>
    </row>
    <row r="274" spans="1:16371" s="20" customFormat="1" x14ac:dyDescent="0.3">
      <c r="A274" s="21">
        <v>266</v>
      </c>
      <c r="B274" s="71" t="s">
        <v>487</v>
      </c>
      <c r="C274" s="71" t="s">
        <v>23</v>
      </c>
      <c r="D274" s="71">
        <v>3</v>
      </c>
      <c r="E274" s="71">
        <v>5.99</v>
      </c>
      <c r="F274" s="71" t="s">
        <v>488</v>
      </c>
      <c r="G274" s="72" t="s">
        <v>489</v>
      </c>
      <c r="H274" s="71">
        <v>1516</v>
      </c>
      <c r="I274" s="73">
        <v>7.4999999999999997E-2</v>
      </c>
      <c r="J274" s="74">
        <v>0.3</v>
      </c>
      <c r="K274" s="74">
        <v>1.65</v>
      </c>
      <c r="L274" s="73">
        <v>0.01</v>
      </c>
      <c r="M274" s="73">
        <v>2E-3</v>
      </c>
      <c r="N274" s="73"/>
      <c r="O274" s="73">
        <v>5.5E-2</v>
      </c>
      <c r="P274" s="73">
        <v>0.11</v>
      </c>
      <c r="Q274" s="73">
        <v>0.03</v>
      </c>
      <c r="R274" s="73" t="s">
        <v>631</v>
      </c>
      <c r="S274" s="75"/>
      <c r="T274" s="74">
        <v>0.25</v>
      </c>
      <c r="U274" s="52" t="s">
        <v>631</v>
      </c>
      <c r="V274" s="52" t="s">
        <v>631</v>
      </c>
      <c r="W274" s="52"/>
      <c r="X274" s="32" t="s">
        <v>631</v>
      </c>
      <c r="Y274" s="53" t="s">
        <v>631</v>
      </c>
      <c r="Z274" s="4">
        <v>45</v>
      </c>
      <c r="AA274" s="53" t="s">
        <v>631</v>
      </c>
      <c r="AB274" s="42">
        <f>IF(J274&lt;=0.04,0,IF((BA274-AL274*BF$4*炼钢参数表!$X$5/1000-AM274*BG$4*炼钢参数表!$X$5/1000)&lt;=0.03,0,IF((J274/100/0.1769/炼钢参数表!K274*1000)&gt;(K274-炼钢参数表!J274)/100/0.6566/炼钢参数表!L274*1000,IF(K274&lt;1.6,(K274-炼钢参数表!J274)/100/0.6566/炼钢参数表!L274*1000,(K274-0.08-炼钢参数表!J274)/100/0.6566/炼钢参数表!L274*1000),IF(K274&lt;1.6,J274/100/0.1769/炼钢参数表!K274*1000,(J274-0.08)/100/0.1769/炼钢参数表!K274*1000))))</f>
        <v>15.5455059355568</v>
      </c>
      <c r="AC274" s="8">
        <f>IF((BA274-AB274*$BB$4*0.9/1000-AL274*BF$4*炼钢参数表!$X$5/1000-AM274*BG$4*炼钢参数表!$X$5/1000)&lt;(K274-炼钢参数表!J274-AB274*0.6566*炼钢参数表!L274/10)*0.082,0,(K274-炼钢参数表!J274-AB274*0.6566*炼钢参数表!L274/10)/100/($AC$3/100)/炼钢参数表!L274*1000)</f>
        <v>0</v>
      </c>
      <c r="AD274" s="8">
        <f>IF((BA274-AB274*$BB$4*0.9/1000-AC274*$BC$4*0.9/1000-AL274*BF$4*炼钢参数表!$X$5/1000-AM274*BG$4*炼钢参数表!$X$5/1000)&lt;=(K274-炼钢参数表!J274-AB274*0.6566*炼钢参数表!L274/10-AC274*($AC$3/100)*炼钢参数表!L274/10)*0.02,0,((K274-炼钢参数表!J274-AB274*0.6566*炼钢参数表!L274/10-AC274*($AC$3/100)*炼钢参数表!L274/10)/100/($AD$3/100)/炼钢参数表!L274*1000))</f>
        <v>0</v>
      </c>
      <c r="AE274" s="8">
        <f>(K274-炼钢参数表!J274-AB274*0.6566*炼钢参数表!L274/10-AC274*($AC$3/100)*炼钢参数表!L274/10-AD274*($AD$3/100)*炼钢参数表!L274/10)/100/($AE$3/100)/炼钢参数表!L274*1000</f>
        <v>7.0783377698810996</v>
      </c>
      <c r="AF274" s="8">
        <v>0</v>
      </c>
      <c r="AG274" s="8">
        <f>IF(J274&lt;=0.04,0,((J274-(AB274*0.1769*炼钢参数表!K274/1000*100))/100/炼钢参数表!K274/($AG$3/100)*1000))</f>
        <v>1.38446628824588</v>
      </c>
      <c r="AH274" s="8">
        <v>1.8</v>
      </c>
      <c r="AI274" s="8">
        <f>IF(N274="",0,IF(N274&lt;=0.002,0,((N274)/100)/($AI$3/100)/炼钢参数表!M274*1000))</f>
        <v>0</v>
      </c>
      <c r="AJ274" s="8">
        <f>IF(O274="",0,IF(O274&lt;=0.002,0,((O274)/100)/($AJ$3/100)/炼钢参数表!N274*1000))</f>
        <v>0.86289128197404397</v>
      </c>
      <c r="AK274" s="8">
        <f>IF(P274="",0,IF(P274&lt;=0.002,0,((P274+0.005)/100)/($AK$3/100)/炼钢参数表!O274*1000))</f>
        <v>2.2951343152516701</v>
      </c>
      <c r="AL274" s="8">
        <f>IF((BA274-J274*0.00003-K274*0.00024)&lt;=0.05,0,IF(T274="",0,IF(T274&lt;=0.03,0,IF(((BA274-J274*0.00003-K274*0.00024)-0.05)/0.18/100/($AL$3/100)/炼钢参数表!P274*1000&lt;=T274/100/($AL$3/100)/炼钢参数表!P274*1000,((BA274-J274*0.00003-K274*0.00024)-0.05)/0.18/100/($AL$3/100)/炼钢参数表!P274*1000,T274/100/($AL$3/100)/炼钢参数表!P274*1000))))</f>
        <v>0</v>
      </c>
      <c r="AM274" s="8">
        <f>IF(T274="",0,IF(T274&lt;=0.03,0,((T274-AL274*($AL$3/100)*炼钢参数表!P274/10)/100/($AM$3/100)/炼钢参数表!P274*1000)))</f>
        <v>4.3811686855092002</v>
      </c>
      <c r="AN274" s="8">
        <f>IF(U274="",0,IF(U274&lt;=0.02,0,(U274/100)/($AN$3/100)/炼钢参数表!Q274*1000))</f>
        <v>0</v>
      </c>
      <c r="AO274" s="8">
        <f>IF(V274="",0,IF(V274&lt;=0.02,0,(V274/100)/($AO$3/100)/炼钢参数表!R274*1000))</f>
        <v>0</v>
      </c>
      <c r="AP274" s="8">
        <f>IF(W274="",0,IF(W274&lt;=0.02,0,(W274/100)/($AP$3/100)/炼钢参数表!S274*1000))</f>
        <v>0</v>
      </c>
      <c r="AQ274" s="8">
        <f>IF(X274="",0,IF(X274&lt;=0.0002,0,(X274/100)/($AQ$3/100)/炼钢参数表!T274*1000))</f>
        <v>0</v>
      </c>
      <c r="AR274" s="8">
        <f>IF(Y274="",0,IF(Y274&lt;=0.02,0,(Y274/100)/($AR$3/100)/炼钢参数表!U274*1000))</f>
        <v>0</v>
      </c>
      <c r="AS274" s="8">
        <f>IF(L274&lt;=0.04,0,((L274-0.04)/100)/($AS$3/100)/炼钢参数表!V274*1000)</f>
        <v>0</v>
      </c>
      <c r="AT274" s="8">
        <f>IF(M274&lt;=0.03,0,((M274-0.03)/100)/($AT$3/100)/炼钢参数表!W274*1000)</f>
        <v>0</v>
      </c>
      <c r="AU274" s="74"/>
      <c r="AV274" s="8">
        <f t="shared" si="52"/>
        <v>33.347504276418697</v>
      </c>
      <c r="AW274" s="8" cm="1">
        <f t="array" ref="AW274">SUMPRODUCT($AB$4:$AU$4,AB274:AU274)/1000</f>
        <v>495.43732564010799</v>
      </c>
      <c r="AY274" s="71" t="str">
        <f t="shared" ref="AY274:AY291" si="53">F274</f>
        <v>HX750-1</v>
      </c>
      <c r="AZ274" s="77">
        <f>VLOOKUP(AY274,炼钢参数表!$F$5:$J$1027,4,0)</f>
        <v>4.2999999999999997E-2</v>
      </c>
      <c r="BA274" s="77">
        <f t="shared" ref="BA274:BA291" si="54">I274-AZ274</f>
        <v>3.2000000000000001E-2</v>
      </c>
      <c r="BB274" s="77">
        <f>AB274*$BB$4*炼钢参数表!$X$5/1000</f>
        <v>2.4064443188241899E-2</v>
      </c>
      <c r="BC274" s="77">
        <f>AC274*$BC$4*炼钢参数表!$X$5/1000</f>
        <v>0</v>
      </c>
      <c r="BD274" s="77">
        <f>AD274*$BD$4*炼钢参数表!$X$5/1000</f>
        <v>0</v>
      </c>
      <c r="BE274" s="77">
        <f>AE274*$BE$4*炼钢参数表!$X$5/1000</f>
        <v>4.0771225554515102E-3</v>
      </c>
      <c r="BF274" s="77">
        <f>AL274*$BF$4*炼钢参数表!$X$5/1000</f>
        <v>0</v>
      </c>
      <c r="BG274" s="77">
        <f>AM274*$BG$4*炼钢参数表!$X$5/1000</f>
        <v>4.7316621803499302E-4</v>
      </c>
      <c r="BH274" s="77">
        <f t="shared" ref="BH274:BH291" si="55">SUM(BB274:BG274)</f>
        <v>2.8614731961728399E-2</v>
      </c>
      <c r="BI274" s="77">
        <f t="shared" ref="BI274:BI291" si="56">AZ274+BH274</f>
        <v>7.1614731961728406E-2</v>
      </c>
      <c r="BJ274" s="77">
        <f t="shared" ref="BJ274:BJ291" si="57">BI274-I274</f>
        <v>-3.3852680382715598E-3</v>
      </c>
      <c r="BK274" s="78"/>
      <c r="BL274" s="76"/>
    </row>
    <row r="275" spans="1:16371" s="20" customFormat="1" x14ac:dyDescent="0.3">
      <c r="A275" s="21">
        <v>267</v>
      </c>
      <c r="B275" s="71" t="s">
        <v>487</v>
      </c>
      <c r="C275" s="71" t="s">
        <v>26</v>
      </c>
      <c r="D275" s="71">
        <v>6</v>
      </c>
      <c r="E275" s="71">
        <v>12</v>
      </c>
      <c r="F275" s="71" t="s">
        <v>490</v>
      </c>
      <c r="G275" s="72" t="s">
        <v>489</v>
      </c>
      <c r="H275" s="71">
        <v>1516</v>
      </c>
      <c r="I275" s="73">
        <v>7.4999999999999997E-2</v>
      </c>
      <c r="J275" s="74">
        <v>0.3</v>
      </c>
      <c r="K275" s="74">
        <v>1.75</v>
      </c>
      <c r="L275" s="73">
        <v>0.01</v>
      </c>
      <c r="M275" s="73">
        <v>3.0000000000000001E-3</v>
      </c>
      <c r="N275" s="73"/>
      <c r="O275" s="73">
        <v>0.06</v>
      </c>
      <c r="P275" s="73">
        <v>0.12</v>
      </c>
      <c r="Q275" s="73">
        <v>0.03</v>
      </c>
      <c r="R275" s="73" t="s">
        <v>631</v>
      </c>
      <c r="S275" s="75"/>
      <c r="T275" s="74">
        <v>0.25</v>
      </c>
      <c r="U275" s="52" t="s">
        <v>631</v>
      </c>
      <c r="V275" s="52" t="s">
        <v>631</v>
      </c>
      <c r="W275" s="52"/>
      <c r="X275" s="32" t="s">
        <v>631</v>
      </c>
      <c r="Y275" s="53" t="s">
        <v>631</v>
      </c>
      <c r="Z275" s="4">
        <v>45</v>
      </c>
      <c r="AA275" s="53" t="s">
        <v>631</v>
      </c>
      <c r="AB275" s="42">
        <f>IF(J275&lt;=0.04,0,IF((BA275-AL275*BF$4*炼钢参数表!$X$5/1000-AM275*BG$4*炼钢参数表!$X$5/1000)&lt;=0.03,0,IF((J275/100/0.1769/炼钢参数表!K275*1000)&gt;(K275-炼钢参数表!J275)/100/0.6566/炼钢参数表!L275*1000,IF(K275&lt;1.6,(K275-炼钢参数表!J275)/100/0.6566/炼钢参数表!L275*1000,(K275-0.08-炼钢参数表!J275)/100/0.6566/炼钢参数表!L275*1000),IF(K275&lt;1.6,J275/100/0.1769/炼钢参数表!K275*1000,(J275-0.08)/100/0.1769/炼钢参数表!K275*1000))))</f>
        <v>15.5455059355568</v>
      </c>
      <c r="AC275" s="8">
        <f>IF((BA275-AB275*$BB$4*0.9/1000-AL275*BF$4*炼钢参数表!$X$5/1000-AM275*BG$4*炼钢参数表!$X$5/1000)&lt;(K275-炼钢参数表!J275-AB275*0.6566*炼钢参数表!L275/10)*0.082,0,(K275-炼钢参数表!J275-AB275*0.6566*炼钢参数表!L275/10)/100/($AC$3/100)/炼钢参数表!L275*1000)</f>
        <v>0</v>
      </c>
      <c r="AD275" s="8">
        <f>IF((BA275-AB275*$BB$4*0.9/1000-AC275*$BC$4*0.9/1000-AL275*BF$4*炼钢参数表!$X$5/1000-AM275*BG$4*炼钢参数表!$X$5/1000)&lt;=(K275-炼钢参数表!J275-AB275*0.6566*炼钢参数表!L275/10-AC275*($AC$3/100)*炼钢参数表!L275/10)*0.02,0,((K275-炼钢参数表!J275-AB275*0.6566*炼钢参数表!L275/10-AC275*($AC$3/100)*炼钢参数表!L275/10)/100/($AD$3/100)/炼钢参数表!L275*1000))</f>
        <v>0</v>
      </c>
      <c r="AE275" s="8">
        <f>(K275-炼钢参数表!J275-AB275*0.6566*炼钢参数表!L275/10-AC275*($AC$3/100)*炼钢参数表!L275/10-AD275*($AD$3/100)*炼钢参数表!L275/10)/100/($AE$3/100)/炼钢参数表!L275*1000</f>
        <v>8.3351528496511502</v>
      </c>
      <c r="AF275" s="8">
        <v>0</v>
      </c>
      <c r="AG275" s="8">
        <f>IF(J275&lt;=0.04,0,((J275-(AB275*0.1769*炼钢参数表!K275/1000*100))/100/炼钢参数表!K275/($AG$3/100)*1000))</f>
        <v>1.38446628824588</v>
      </c>
      <c r="AH275" s="8">
        <v>1.8</v>
      </c>
      <c r="AI275" s="8">
        <f>IF(N275="",0,IF(N275&lt;=0.002,0,((N275)/100)/($AI$3/100)/炼钢参数表!M275*1000))</f>
        <v>0</v>
      </c>
      <c r="AJ275" s="8">
        <f>IF(O275="",0,IF(O275&lt;=0.002,0,((O275)/100)/($AJ$3/100)/炼钢参数表!N275*1000))</f>
        <v>0.94133594397168396</v>
      </c>
      <c r="AK275" s="8">
        <f>IF(P275="",0,IF(P275&lt;=0.002,0,((P275+0.005)/100)/($AK$3/100)/炼钢参数表!O275*1000))</f>
        <v>2.4947112122300701</v>
      </c>
      <c r="AL275" s="8">
        <f>IF((BA275-J275*0.00003-K275*0.00024)&lt;=0.05,0,IF(T275="",0,IF(T275&lt;=0.03,0,IF(((BA275-J275*0.00003-K275*0.00024)-0.05)/0.18/100/($AL$3/100)/炼钢参数表!P275*1000&lt;=T275/100/($AL$3/100)/炼钢参数表!P275*1000,((BA275-J275*0.00003-K275*0.00024)-0.05)/0.18/100/($AL$3/100)/炼钢参数表!P275*1000,T275/100/($AL$3/100)/炼钢参数表!P275*1000))))</f>
        <v>0</v>
      </c>
      <c r="AM275" s="8">
        <f>IF(T275="",0,IF(T275&lt;=0.03,0,((T275-AL275*($AL$3/100)*炼钢参数表!P275/10)/100/($AM$3/100)/炼钢参数表!P275*1000)))</f>
        <v>4.3811686855092002</v>
      </c>
      <c r="AN275" s="8">
        <f>IF(U275="",0,IF(U275&lt;=0.02,0,(U275/100)/($AN$3/100)/炼钢参数表!Q275*1000))</f>
        <v>0</v>
      </c>
      <c r="AO275" s="8">
        <f>IF(V275="",0,IF(V275&lt;=0.02,0,(V275/100)/($AO$3/100)/炼钢参数表!R275*1000))</f>
        <v>0</v>
      </c>
      <c r="AP275" s="8">
        <f>IF(W275="",0,IF(W275&lt;=0.02,0,(W275/100)/($AP$3/100)/炼钢参数表!S275*1000))</f>
        <v>0</v>
      </c>
      <c r="AQ275" s="8">
        <f>IF(X275="",0,IF(X275&lt;=0.0002,0,(X275/100)/($AQ$3/100)/炼钢参数表!T275*1000))</f>
        <v>0</v>
      </c>
      <c r="AR275" s="8">
        <f>IF(Y275="",0,IF(Y275&lt;=0.02,0,(Y275/100)/($AR$3/100)/炼钢参数表!U275*1000))</f>
        <v>0</v>
      </c>
      <c r="AS275" s="8">
        <f>IF(L275&lt;=0.04,0,((L275-0.04)/100)/($AS$3/100)/炼钢参数表!V275*1000)</f>
        <v>0</v>
      </c>
      <c r="AT275" s="8">
        <f>IF(M275&lt;=0.03,0,((M275-0.03)/100)/($AT$3/100)/炼钢参数表!W275*1000)</f>
        <v>0</v>
      </c>
      <c r="AU275" s="74"/>
      <c r="AV275" s="8">
        <f t="shared" si="52"/>
        <v>34.882340915164797</v>
      </c>
      <c r="AW275" s="8" cm="1">
        <f t="array" ref="AW275">SUMPRODUCT($AB$4:$AU$4,AB275:AU275)/1000</f>
        <v>527.70255083418203</v>
      </c>
      <c r="AY275" s="71" t="str">
        <f t="shared" si="53"/>
        <v>HX750-2</v>
      </c>
      <c r="AZ275" s="77">
        <f>VLOOKUP(AY275,炼钢参数表!$F$5:$J$1027,4,0)</f>
        <v>4.2999999999999997E-2</v>
      </c>
      <c r="BA275" s="77">
        <f t="shared" si="54"/>
        <v>3.2000000000000001E-2</v>
      </c>
      <c r="BB275" s="77">
        <f>AB275*$BB$4*炼钢参数表!$X$5/1000</f>
        <v>2.4064443188241899E-2</v>
      </c>
      <c r="BC275" s="77">
        <f>AC275*$BC$4*炼钢参数表!$X$5/1000</f>
        <v>0</v>
      </c>
      <c r="BD275" s="77">
        <f>AD275*$BD$4*炼钢参数表!$X$5/1000</f>
        <v>0</v>
      </c>
      <c r="BE275" s="77">
        <f>AE275*$BE$4*炼钢参数表!$X$5/1000</f>
        <v>4.80104804139906E-3</v>
      </c>
      <c r="BF275" s="77">
        <f>AL275*$BF$4*炼钢参数表!$X$5/1000</f>
        <v>0</v>
      </c>
      <c r="BG275" s="77">
        <f>AM275*$BG$4*炼钢参数表!$X$5/1000</f>
        <v>4.7316621803499302E-4</v>
      </c>
      <c r="BH275" s="77">
        <f t="shared" si="55"/>
        <v>2.9338657447676001E-2</v>
      </c>
      <c r="BI275" s="77">
        <f t="shared" si="56"/>
        <v>7.2338657447675994E-2</v>
      </c>
      <c r="BJ275" s="77">
        <f t="shared" si="57"/>
        <v>-2.661342552324E-3</v>
      </c>
      <c r="BK275" s="78"/>
      <c r="BL275" s="76"/>
    </row>
    <row r="276" spans="1:16371" s="18" customFormat="1" x14ac:dyDescent="0.3">
      <c r="A276" s="21">
        <v>268</v>
      </c>
      <c r="B276" s="4" t="s">
        <v>491</v>
      </c>
      <c r="C276" s="4" t="s">
        <v>23</v>
      </c>
      <c r="D276" s="4">
        <v>6</v>
      </c>
      <c r="E276" s="4">
        <v>15.99</v>
      </c>
      <c r="F276" s="4" t="s">
        <v>492</v>
      </c>
      <c r="G276" s="50" t="s">
        <v>493</v>
      </c>
      <c r="H276" s="4">
        <v>1513</v>
      </c>
      <c r="I276" s="51">
        <v>0.16</v>
      </c>
      <c r="J276" s="52">
        <v>0.2</v>
      </c>
      <c r="K276" s="52">
        <v>1.3</v>
      </c>
      <c r="L276" s="51">
        <v>1.2E-2</v>
      </c>
      <c r="M276" s="51">
        <v>3.0000000000000001E-3</v>
      </c>
      <c r="N276" s="51" t="s">
        <v>631</v>
      </c>
      <c r="O276" s="51">
        <v>0.02</v>
      </c>
      <c r="P276" s="51">
        <v>0.02</v>
      </c>
      <c r="Q276" s="51">
        <v>0.03</v>
      </c>
      <c r="R276" s="51" t="s">
        <v>631</v>
      </c>
      <c r="S276" s="32"/>
      <c r="T276" s="52">
        <v>0.35</v>
      </c>
      <c r="U276" s="52"/>
      <c r="V276" s="52"/>
      <c r="W276" s="52"/>
      <c r="X276" s="32">
        <v>1.5E-3</v>
      </c>
      <c r="Y276" s="53"/>
      <c r="Z276" s="4">
        <v>45</v>
      </c>
      <c r="AA276" s="53" t="s">
        <v>631</v>
      </c>
      <c r="AB276" s="42">
        <f>IF(J276&lt;=0.04,0,IF((BA276-AL276*BF$4*炼钢参数表!$X$5/1000-AM276*BG$4*炼钢参数表!$X$5/1000)&lt;=0.03,0,IF((J276/100/0.1769/炼钢参数表!K276*1000)&gt;(K276-炼钢参数表!J276)/100/0.6566/炼钢参数表!L276*1000,IF(K276&lt;1.6,(K276-炼钢参数表!J276)/100/0.6566/炼钢参数表!L276*1000,(K276-0.08-炼钢参数表!J276)/100/0.6566/炼钢参数表!L276*1000),IF(K276&lt;1.6,J276/100/0.1769/炼钢参数表!K276*1000,(J276-0.08)/100/0.1769/炼钢参数表!K276*1000))))</f>
        <v>14.132278123233499</v>
      </c>
      <c r="AC276" s="8">
        <f>IF((BA276-AB276*$BB$4*0.9/1000-AL276*BF$4*炼钢参数表!$X$5/1000-AM276*BG$4*炼钢参数表!$X$5/1000)&lt;(K276-炼钢参数表!J276-AB276*0.6566*炼钢参数表!L276/10)*0.082,0,(K276-炼钢参数表!J276-AB276*0.6566*炼钢参数表!L276/10)/100/($AC$3/100)/炼钢参数表!L276*1000)</f>
        <v>3.7477467434078902</v>
      </c>
      <c r="AD276" s="8">
        <f>IF((BA276-AB276*$BB$4*0.9/1000-AC276*$BC$4*0.9/1000-AL276*BF$4*炼钢参数表!$X$5/1000-AM276*BG$4*炼钢参数表!$X$5/1000)&lt;=(K276-炼钢参数表!J276-AB276*0.6566*炼钢参数表!L276/10-AC276*($AC$3/100)*炼钢参数表!L276/10)*0.02,0,((K276-炼钢参数表!J276-AB276*0.6566*炼钢参数表!L276/10-AC276*($AC$3/100)*炼钢参数表!L276/10)/100/($AD$3/100)/炼钢参数表!L276*1000))</f>
        <v>0</v>
      </c>
      <c r="AE276" s="8">
        <f>(K276-炼钢参数表!J276-AB276*0.6566*炼钢参数表!L276/10-AC276*($AC$3/100)*炼钢参数表!L276/10-AD276*($AD$3/100)*炼钢参数表!L276/10)/100/($AE$3/100)/炼钢参数表!L276*1000</f>
        <v>0</v>
      </c>
      <c r="AF276" s="8">
        <v>0</v>
      </c>
      <c r="AG276" s="8">
        <f>IF(J276&lt;=0.04,0,((J276-(AB276*0.1769*炼钢参数表!K276/1000*100))/100/炼钢参数表!K276/($AG$3/100)*1000))</f>
        <v>0</v>
      </c>
      <c r="AH276" s="8">
        <v>1.8</v>
      </c>
      <c r="AI276" s="8">
        <f>IF(N276="",0,IF(N276&lt;=0.002,0,((N276)/100)/($AI$3/100)/炼钢参数表!M276*1000))</f>
        <v>0</v>
      </c>
      <c r="AJ276" s="8">
        <f>IF(O276="",0,IF(O276&lt;=0.002,0,((O276)/100)/($AJ$3/100)/炼钢参数表!N276*1000))</f>
        <v>0.31377864799056099</v>
      </c>
      <c r="AK276" s="8">
        <f>IF(P276="",0,IF(P276&lt;=0.002,0,((P276+0.005)/100)/($AK$3/100)/炼钢参数表!O276*1000))</f>
        <v>0.49894224244601398</v>
      </c>
      <c r="AL276" s="8">
        <f>IF((BA276-J276*0.00003-K276*0.00024)&lt;=0.05,0,IF(T276="",0,IF(T276&lt;=0.03,0,IF(((BA276-J276*0.00003-K276*0.00024)-0.05)/0.18/100/($AL$3/100)/炼钢参数表!P276*1000&lt;=T276/100/($AL$3/100)/炼钢参数表!P276*1000,((BA276-J276*0.00003-K276*0.00024)-0.05)/0.18/100/($AL$3/100)/炼钢参数表!P276*1000,T276/100/($AL$3/100)/炼钢参数表!P276*1000))))</f>
        <v>5.28264270451771</v>
      </c>
      <c r="AM276" s="8">
        <f>IF(T276="",0,IF(T276&lt;=0.03,0,((T276-AL276*($AL$3/100)*炼钢参数表!P276/10)/100/($AM$3/100)/炼钢参数表!P276*1000)))</f>
        <v>1.5122125285735599</v>
      </c>
      <c r="AN276" s="8">
        <f>IF(U276="",0,IF(U276&lt;=0.02,0,(U276/100)/($AN$3/100)/炼钢参数表!Q276*1000))</f>
        <v>0</v>
      </c>
      <c r="AO276" s="8">
        <f>IF(V276="",0,IF(V276&lt;=0.02,0,(V276/100)/($AO$3/100)/炼钢参数表!R276*1000))</f>
        <v>0</v>
      </c>
      <c r="AP276" s="8">
        <f>IF(W276="",0,IF(W276&lt;=0.02,0,(W276/100)/($AP$3/100)/炼钢参数表!S276*1000))</f>
        <v>0</v>
      </c>
      <c r="AQ276" s="8">
        <f>IF(X276="",0,IF(X276&lt;=0.0002,0,(X276/100)/($AQ$3/100)/炼钢参数表!T276*1000))</f>
        <v>0.119047619047619</v>
      </c>
      <c r="AR276" s="8">
        <f>IF(Y276="",0,IF(Y276&lt;=0.02,0,(Y276/100)/($AR$3/100)/炼钢参数表!U276*1000))</f>
        <v>0</v>
      </c>
      <c r="AS276" s="8">
        <f>IF(L276&lt;=0.04,0,((L276-0.04)/100)/($AS$3/100)/炼钢参数表!V276*1000)</f>
        <v>0</v>
      </c>
      <c r="AT276" s="8">
        <f>IF(M276&lt;=0.03,0,((M276-0.03)/100)/($AT$3/100)/炼钢参数表!W276*1000)</f>
        <v>0</v>
      </c>
      <c r="AU276" s="6"/>
      <c r="AV276" s="8">
        <f t="shared" si="52"/>
        <v>27.406648609216798</v>
      </c>
      <c r="AW276" s="8" cm="1">
        <f t="array" ref="AW276">SUMPRODUCT($AB$4:$AU$4,AB276:AU276)/1000</f>
        <v>284.85860812222597</v>
      </c>
      <c r="AY276" s="2" t="str">
        <f t="shared" si="53"/>
        <v>NM400-1</v>
      </c>
      <c r="AZ276" s="37">
        <f>VLOOKUP(AY276,炼钢参数表!$F$5:$J$1027,4,0)</f>
        <v>6.2214285714285701E-2</v>
      </c>
      <c r="BA276" s="37">
        <f t="shared" si="54"/>
        <v>9.7785714285714295E-2</v>
      </c>
      <c r="BB276" s="77">
        <f>AB276*$BB$4*炼钢参数表!$X$5/1000</f>
        <v>2.1876766534765401E-2</v>
      </c>
      <c r="BC276" s="77">
        <f>AC276*$BC$4*炼钢参数表!$X$5/1000</f>
        <v>2.2565183142058898E-2</v>
      </c>
      <c r="BD276" s="77">
        <f>AD276*$BD$4*炼钢参数表!$X$5/1000</f>
        <v>0</v>
      </c>
      <c r="BE276" s="77">
        <f>AE276*$BE$4*炼钢参数表!$X$5/1000</f>
        <v>0</v>
      </c>
      <c r="BF276" s="77">
        <f>AL276*$BF$4*炼钢参数表!$X$5/1000</f>
        <v>4.7543784340659402E-2</v>
      </c>
      <c r="BG276" s="77">
        <f>AM276*$BG$4*炼钢参数表!$X$5/1000</f>
        <v>1.6331895308594499E-4</v>
      </c>
      <c r="BH276" s="77">
        <f t="shared" si="55"/>
        <v>9.2149052970569606E-2</v>
      </c>
      <c r="BI276" s="77">
        <f t="shared" si="56"/>
        <v>0.15436333868485499</v>
      </c>
      <c r="BJ276" s="77">
        <f t="shared" si="57"/>
        <v>-5.6366613151446997E-3</v>
      </c>
      <c r="BK276" s="54"/>
      <c r="BL276" s="7"/>
    </row>
    <row r="277" spans="1:16371" s="18" customFormat="1" x14ac:dyDescent="0.3">
      <c r="A277" s="21">
        <v>269</v>
      </c>
      <c r="B277" s="4" t="s">
        <v>491</v>
      </c>
      <c r="C277" s="4" t="s">
        <v>26</v>
      </c>
      <c r="D277" s="4">
        <v>16</v>
      </c>
      <c r="E277" s="4">
        <v>28</v>
      </c>
      <c r="F277" s="4" t="s">
        <v>494</v>
      </c>
      <c r="G277" s="50" t="s">
        <v>493</v>
      </c>
      <c r="H277" s="4">
        <v>1513</v>
      </c>
      <c r="I277" s="51">
        <v>0.16</v>
      </c>
      <c r="J277" s="52">
        <v>0.2</v>
      </c>
      <c r="K277" s="52">
        <v>1.3</v>
      </c>
      <c r="L277" s="51">
        <v>1.2E-2</v>
      </c>
      <c r="M277" s="51">
        <v>3.0000000000000001E-3</v>
      </c>
      <c r="N277" s="51" t="s">
        <v>631</v>
      </c>
      <c r="O277" s="51">
        <v>0.02</v>
      </c>
      <c r="P277" s="51">
        <v>0.02</v>
      </c>
      <c r="Q277" s="51">
        <v>0.03</v>
      </c>
      <c r="R277" s="51" t="s">
        <v>631</v>
      </c>
      <c r="S277" s="32"/>
      <c r="T277" s="52">
        <v>0.5</v>
      </c>
      <c r="U277" s="52"/>
      <c r="V277" s="52"/>
      <c r="W277" s="52"/>
      <c r="X277" s="32">
        <v>1.5E-3</v>
      </c>
      <c r="Y277" s="53"/>
      <c r="Z277" s="4">
        <v>45</v>
      </c>
      <c r="AA277" s="53" t="s">
        <v>631</v>
      </c>
      <c r="AB277" s="42">
        <f>IF(J277&lt;=0.04,0,IF((BA277-AL277*BF$4*炼钢参数表!$X$5/1000-AM277*BG$4*炼钢参数表!$X$5/1000)&lt;=0.03,0,IF((J277/100/0.1769/炼钢参数表!K277*1000)&gt;(K277-炼钢参数表!J277)/100/0.6566/炼钢参数表!L277*1000,IF(K277&lt;1.6,(K277-炼钢参数表!J277)/100/0.6566/炼钢参数表!L277*1000,(K277-0.08-炼钢参数表!J277)/100/0.6566/炼钢参数表!L277*1000),IF(K277&lt;1.6,J277/100/0.1769/炼钢参数表!K277*1000,(J277-0.08)/100/0.1769/炼钢参数表!K277*1000))))</f>
        <v>14.132278123233499</v>
      </c>
      <c r="AC277" s="8">
        <f>IF((BA277-AB277*$BB$4*0.9/1000-AL277*BF$4*炼钢参数表!$X$5/1000-AM277*BG$4*炼钢参数表!$X$5/1000)&lt;(K277-炼钢参数表!J277-AB277*0.6566*炼钢参数表!L277/10)*0.082,0,(K277-炼钢参数表!J277-AB277*0.6566*炼钢参数表!L277/10)/100/($AC$3/100)/炼钢参数表!L277*1000)</f>
        <v>3.6619806667076098</v>
      </c>
      <c r="AD277" s="8">
        <f>IF((BA277-AB277*$BB$4*0.9/1000-AC277*$BC$4*0.9/1000-AL277*BF$4*炼钢参数表!$X$5/1000-AM277*BG$4*炼钢参数表!$X$5/1000)&lt;=(K277-炼钢参数表!J277-AB277*0.6566*炼钢参数表!L277/10-AC277*($AC$3/100)*炼钢参数表!L277/10)*0.02,0,((K277-炼钢参数表!J277-AB277*0.6566*炼钢参数表!L277/10-AC277*($AC$3/100)*炼钢参数表!L277/10)/100/($AD$3/100)/炼钢参数表!L277*1000))</f>
        <v>0</v>
      </c>
      <c r="AE277" s="8">
        <f>(K277-炼钢参数表!J277-AB277*0.6566*炼钢参数表!L277/10-AC277*($AC$3/100)*炼钢参数表!L277/10-AD277*($AD$3/100)*炼钢参数表!L277/10)/100/($AE$3/100)/炼钢参数表!L277*1000</f>
        <v>0</v>
      </c>
      <c r="AF277" s="8">
        <v>0</v>
      </c>
      <c r="AG277" s="8">
        <f>IF(J277&lt;=0.04,0,((J277-(AB277*0.1769*炼钢参数表!K277/1000*100))/100/炼钢参数表!K277/($AG$3/100)*1000))</f>
        <v>0</v>
      </c>
      <c r="AH277" s="8">
        <v>1.8</v>
      </c>
      <c r="AI277" s="8">
        <f>IF(N277="",0,IF(N277&lt;=0.002,0,((N277)/100)/($AI$3/100)/炼钢参数表!M277*1000))</f>
        <v>0</v>
      </c>
      <c r="AJ277" s="8">
        <f>IF(O277="",0,IF(O277&lt;=0.002,0,((O277)/100)/($AJ$3/100)/炼钢参数表!N277*1000))</f>
        <v>0.31377864799056099</v>
      </c>
      <c r="AK277" s="8">
        <f>IF(P277="",0,IF(P277&lt;=0.002,0,((P277+0.005)/100)/($AK$3/100)/炼钢参数表!O277*1000))</f>
        <v>0.49894224244601398</v>
      </c>
      <c r="AL277" s="8">
        <f>IF((BA277-J277*0.00003-K277*0.00024)&lt;=0.05,0,IF(T277="",0,IF(T277&lt;=0.03,0,IF(((BA277-J277*0.00003-K277*0.00024)-0.05)/0.18/100/($AL$3/100)/炼钢参数表!P277*1000&lt;=T277/100/($AL$3/100)/炼钢参数表!P277*1000,((BA277-J277*0.00003-K277*0.00024)-0.05)/0.18/100/($AL$3/100)/炼钢参数表!P277*1000,T277/100/($AL$3/100)/炼钢参数表!P277*1000))))</f>
        <v>4.7258512170196996</v>
      </c>
      <c r="AM277" s="8">
        <f>IF(T277="",0,IF(T277&lt;=0.03,0,((T277-AL277*($AL$3/100)*炼钢参数表!P277/10)/100/($AM$3/100)/炼钢参数表!P277*1000)))</f>
        <v>4.6280126185785502</v>
      </c>
      <c r="AN277" s="8">
        <f>IF(U277="",0,IF(U277&lt;=0.02,0,(U277/100)/($AN$3/100)/炼钢参数表!Q277*1000))</f>
        <v>0</v>
      </c>
      <c r="AO277" s="8">
        <f>IF(V277="",0,IF(V277&lt;=0.02,0,(V277/100)/($AO$3/100)/炼钢参数表!R277*1000))</f>
        <v>0</v>
      </c>
      <c r="AP277" s="8">
        <f>IF(W277="",0,IF(W277&lt;=0.02,0,(W277/100)/($AP$3/100)/炼钢参数表!S277*1000))</f>
        <v>0</v>
      </c>
      <c r="AQ277" s="8">
        <f>IF(X277="",0,IF(X277&lt;=0.0002,0,(X277/100)/($AQ$3/100)/炼钢参数表!T277*1000))</f>
        <v>0.119047619047619</v>
      </c>
      <c r="AR277" s="8">
        <f>IF(Y277="",0,IF(Y277&lt;=0.02,0,(Y277/100)/($AR$3/100)/炼钢参数表!U277*1000))</f>
        <v>0</v>
      </c>
      <c r="AS277" s="8">
        <f>IF(L277&lt;=0.04,0,((L277-0.04)/100)/($AS$3/100)/炼钢参数表!V277*1000)</f>
        <v>0</v>
      </c>
      <c r="AT277" s="8">
        <f>IF(M277&lt;=0.03,0,((M277-0.03)/100)/($AT$3/100)/炼钢参数表!W277*1000)</f>
        <v>0</v>
      </c>
      <c r="AU277" s="6"/>
      <c r="AV277" s="8">
        <f t="shared" si="52"/>
        <v>29.879891135023499</v>
      </c>
      <c r="AW277" s="8" cm="1">
        <f t="array" ref="AW277">SUMPRODUCT($AB$4:$AU$4,AB277:AU277)/1000</f>
        <v>324.89864881807603</v>
      </c>
      <c r="AY277" s="2" t="str">
        <f t="shared" si="53"/>
        <v>NM400-2</v>
      </c>
      <c r="AZ277" s="37">
        <f>VLOOKUP(AY277,炼钢参数表!$F$5:$J$1027,4,0)</f>
        <v>6.7217391304347798E-2</v>
      </c>
      <c r="BA277" s="37">
        <f t="shared" si="54"/>
        <v>9.2782608695652205E-2</v>
      </c>
      <c r="BB277" s="77">
        <f>AB277*$BB$4*炼钢参数表!$X$5/1000</f>
        <v>2.1876766534765401E-2</v>
      </c>
      <c r="BC277" s="77">
        <f>AC277*$BC$4*炼钢参数表!$X$5/1000</f>
        <v>2.2048785594246501E-2</v>
      </c>
      <c r="BD277" s="77">
        <f>AD277*$BD$4*炼钢参数表!$X$5/1000</f>
        <v>0</v>
      </c>
      <c r="BE277" s="77">
        <f>AE277*$BE$4*炼钢参数表!$X$5/1000</f>
        <v>0</v>
      </c>
      <c r="BF277" s="77">
        <f>AL277*$BF$4*炼钢参数表!$X$5/1000</f>
        <v>4.2532660953177301E-2</v>
      </c>
      <c r="BG277" s="77">
        <f>AM277*$BG$4*炼钢参数表!$X$5/1000</f>
        <v>4.9982536280648404E-4</v>
      </c>
      <c r="BH277" s="77">
        <f t="shared" si="55"/>
        <v>8.6958038444995694E-2</v>
      </c>
      <c r="BI277" s="77">
        <f t="shared" si="56"/>
        <v>0.15417542974934301</v>
      </c>
      <c r="BJ277" s="77">
        <f t="shared" si="57"/>
        <v>-5.8245702506565201E-3</v>
      </c>
      <c r="BK277" s="54"/>
      <c r="BL277" s="7"/>
    </row>
    <row r="278" spans="1:16371" s="18" customFormat="1" x14ac:dyDescent="0.3">
      <c r="A278" s="21">
        <v>270</v>
      </c>
      <c r="B278" s="4" t="s">
        <v>495</v>
      </c>
      <c r="C278" s="4" t="s">
        <v>23</v>
      </c>
      <c r="D278" s="4">
        <v>6</v>
      </c>
      <c r="E278" s="4">
        <v>15.99</v>
      </c>
      <c r="F278" s="4" t="s">
        <v>496</v>
      </c>
      <c r="G278" s="50" t="s">
        <v>497</v>
      </c>
      <c r="H278" s="4">
        <v>1508</v>
      </c>
      <c r="I278" s="51">
        <v>0.2</v>
      </c>
      <c r="J278" s="52">
        <v>0.2</v>
      </c>
      <c r="K278" s="52">
        <v>1.3</v>
      </c>
      <c r="L278" s="51">
        <v>1.2E-2</v>
      </c>
      <c r="M278" s="51">
        <v>3.0000000000000001E-3</v>
      </c>
      <c r="N278" s="51" t="s">
        <v>631</v>
      </c>
      <c r="O278" s="51">
        <v>0.02</v>
      </c>
      <c r="P278" s="51">
        <v>2.5000000000000001E-2</v>
      </c>
      <c r="Q278" s="51">
        <v>0.03</v>
      </c>
      <c r="R278" s="51" t="s">
        <v>631</v>
      </c>
      <c r="S278" s="32"/>
      <c r="T278" s="52">
        <v>0.35</v>
      </c>
      <c r="U278" s="52"/>
      <c r="V278" s="52"/>
      <c r="W278" s="52"/>
      <c r="X278" s="32">
        <v>1.5E-3</v>
      </c>
      <c r="Y278" s="53"/>
      <c r="Z278" s="4">
        <v>45</v>
      </c>
      <c r="AA278" s="53" t="s">
        <v>631</v>
      </c>
      <c r="AB278" s="42">
        <f>IF(J278&lt;=0.04,0,IF((BA278-AL278*BF$4*炼钢参数表!$X$5/1000-AM278*BG$4*炼钢参数表!$X$5/1000)&lt;=0.03,0,IF((J278/100/0.1769/炼钢参数表!K278*1000)&gt;(K278-炼钢参数表!J278)/100/0.6566/炼钢参数表!L278*1000,IF(K278&lt;1.6,(K278-炼钢参数表!J278)/100/0.6566/炼钢参数表!L278*1000,(K278-0.08-炼钢参数表!J278)/100/0.6566/炼钢参数表!L278*1000),IF(K278&lt;1.6,J278/100/0.1769/炼钢参数表!K278*1000,(J278-0.08)/100/0.1769/炼钢参数表!K278*1000))))</f>
        <v>14.132278123233499</v>
      </c>
      <c r="AC278" s="8">
        <f>IF((BA278-AB278*$BB$4*0.9/1000-AL278*BF$4*炼钢参数表!$X$5/1000-AM278*BG$4*炼钢参数表!$X$5/1000)&lt;(K278-炼钢参数表!J278-AB278*0.6566*炼钢参数表!L278/10)*0.082,0,(K278-炼钢参数表!J278-AB278*0.6566*炼钢参数表!L278/10)/100/($AC$3/100)/炼钢参数表!L278*1000)</f>
        <v>3.7884562481979298</v>
      </c>
      <c r="AD278" s="8">
        <f>IF((BA278-AB278*$BB$4*0.9/1000-AC278*$BC$4*0.9/1000-AL278*BF$4*炼钢参数表!$X$5/1000-AM278*BG$4*炼钢参数表!$X$5/1000)&lt;=(K278-炼钢参数表!J278-AB278*0.6566*炼钢参数表!L278/10-AC278*($AC$3/100)*炼钢参数表!L278/10)*0.02,0,((K278-炼钢参数表!J278-AB278*0.6566*炼钢参数表!L278/10-AC278*($AC$3/100)*炼钢参数表!L278/10)/100/($AD$3/100)/炼钢参数表!L278*1000))</f>
        <v>0</v>
      </c>
      <c r="AE278" s="8">
        <f>(K278-炼钢参数表!J278-AB278*0.6566*炼钢参数表!L278/10-AC278*($AC$3/100)*炼钢参数表!L278/10-AD278*($AD$3/100)*炼钢参数表!L278/10)/100/($AE$3/100)/炼钢参数表!L278*1000</f>
        <v>0</v>
      </c>
      <c r="AF278" s="8">
        <v>0</v>
      </c>
      <c r="AG278" s="8">
        <f>IF(J278&lt;=0.04,0,((J278-(AB278*0.1769*炼钢参数表!K278/1000*100))/100/炼钢参数表!K278/($AG$3/100)*1000))</f>
        <v>0</v>
      </c>
      <c r="AH278" s="8">
        <v>1.7962244263614899</v>
      </c>
      <c r="AI278" s="8">
        <f>IF(N278="",0,IF(N278&lt;=0.002,0,((N278)/100)/($AI$3/100)/炼钢参数表!M278*1000))</f>
        <v>0</v>
      </c>
      <c r="AJ278" s="8">
        <f>IF(O278="",0,IF(O278&lt;=0.002,0,((O278)/100)/($AJ$3/100)/炼钢参数表!N278*1000))</f>
        <v>0.31377864799056099</v>
      </c>
      <c r="AK278" s="8">
        <f>IF(P278="",0,IF(P278&lt;=0.002,0,((P278+0.005)/100)/($AK$3/100)/炼钢参数表!O278*1000))</f>
        <v>0.59873069093521702</v>
      </c>
      <c r="AL278" s="8">
        <f>IF((BA278-J278*0.00003-K278*0.00024)&lt;=0.05,0,IF(T278="",0,IF(T278&lt;=0.03,0,IF(((BA278-J278*0.00003-K278*0.00024)-0.05)/0.18/100/($AL$3/100)/炼钢参数表!P278*1000&lt;=T278/100/($AL$3/100)/炼钢参数表!P278*1000,((BA278-J278*0.00003-K278*0.00024)-0.05)/0.18/100/($AL$3/100)/炼钢参数表!P278*1000,T278/100/($AL$3/100)/炼钢参数表!P278*1000))))</f>
        <v>7.0112179487179498</v>
      </c>
      <c r="AM278" s="8">
        <f>IF(T278="",0,IF(T278&lt;=0.03,0,((T278-AL278*($AL$3/100)*炼钢参数表!P278/10)/100/($AM$3/100)/炼钢参数表!P278*1000)))</f>
        <v>0</v>
      </c>
      <c r="AN278" s="8">
        <f>IF(U278="",0,IF(U278&lt;=0.02,0,(U278/100)/($AN$3/100)/炼钢参数表!Q278*1000))</f>
        <v>0</v>
      </c>
      <c r="AO278" s="8">
        <f>IF(V278="",0,IF(V278&lt;=0.02,0,(V278/100)/($AO$3/100)/炼钢参数表!R278*1000))</f>
        <v>0</v>
      </c>
      <c r="AP278" s="8">
        <f>IF(W278="",0,IF(W278&lt;=0.02,0,(W278/100)/($AP$3/100)/炼钢参数表!S278*1000))</f>
        <v>0</v>
      </c>
      <c r="AQ278" s="8">
        <f>IF(X278="",0,IF(X278&lt;=0.0002,0,(X278/100)/($AQ$3/100)/炼钢参数表!T278*1000))</f>
        <v>0.119047619047619</v>
      </c>
      <c r="AR278" s="8">
        <f>IF(Y278="",0,IF(Y278&lt;=0.02,0,(Y278/100)/($AR$3/100)/炼钢参数表!U278*1000))</f>
        <v>0</v>
      </c>
      <c r="AS278" s="8">
        <f>IF(L278&lt;=0.04,0,((L278-0.04)/100)/($AS$3/100)/炼钢参数表!V278*1000)</f>
        <v>0</v>
      </c>
      <c r="AT278" s="8">
        <f>IF(M278&lt;=0.03,0,((M278-0.03)/100)/($AT$3/100)/炼钢参数表!W278*1000)</f>
        <v>0</v>
      </c>
      <c r="AU278" s="6"/>
      <c r="AV278" s="8">
        <f t="shared" si="52"/>
        <v>27.759733704484201</v>
      </c>
      <c r="AW278" s="8" cm="1">
        <f t="array" ref="AW278">SUMPRODUCT($AB$4:$AU$4,AB278:AU278)/1000</f>
        <v>279.081925727319</v>
      </c>
      <c r="AY278" s="2" t="str">
        <f t="shared" si="53"/>
        <v>NM450-1</v>
      </c>
      <c r="AZ278" s="37">
        <f>VLOOKUP(AY278,炼钢参数表!$F$5:$J$1027,4,0)</f>
        <v>5.1999999999999998E-2</v>
      </c>
      <c r="BA278" s="37">
        <f t="shared" si="54"/>
        <v>0.14799999999999999</v>
      </c>
      <c r="BB278" s="77">
        <f>AB278*$BB$4*炼钢参数表!$X$5/1000</f>
        <v>2.1876766534765401E-2</v>
      </c>
      <c r="BC278" s="77">
        <f>AC278*$BC$4*炼钢参数表!$X$5/1000</f>
        <v>2.2810295070399701E-2</v>
      </c>
      <c r="BD278" s="77">
        <f>AD278*$BD$4*炼钢参数表!$X$5/1000</f>
        <v>0</v>
      </c>
      <c r="BE278" s="77">
        <f>AE278*$BE$4*炼钢参数表!$X$5/1000</f>
        <v>0</v>
      </c>
      <c r="BF278" s="77">
        <f>AL278*$BF$4*炼钢参数表!$X$5/1000</f>
        <v>6.3100961538461495E-2</v>
      </c>
      <c r="BG278" s="77">
        <f>AM278*$BG$4*炼钢参数表!$X$5/1000</f>
        <v>0</v>
      </c>
      <c r="BH278" s="77">
        <f t="shared" si="55"/>
        <v>0.107788023143627</v>
      </c>
      <c r="BI278" s="77">
        <f t="shared" si="56"/>
        <v>0.159788023143627</v>
      </c>
      <c r="BJ278" s="77">
        <f t="shared" si="57"/>
        <v>-4.0211976856373399E-2</v>
      </c>
      <c r="BK278" s="54"/>
      <c r="BL278" s="7"/>
    </row>
    <row r="279" spans="1:16371" s="18" customFormat="1" x14ac:dyDescent="0.3">
      <c r="A279" s="21">
        <v>271</v>
      </c>
      <c r="B279" s="4" t="s">
        <v>495</v>
      </c>
      <c r="C279" s="4" t="s">
        <v>26</v>
      </c>
      <c r="D279" s="4">
        <v>16</v>
      </c>
      <c r="E279" s="4">
        <v>28</v>
      </c>
      <c r="F279" s="4" t="s">
        <v>498</v>
      </c>
      <c r="G279" s="50" t="s">
        <v>497</v>
      </c>
      <c r="H279" s="4">
        <v>1508</v>
      </c>
      <c r="I279" s="51">
        <v>0.2</v>
      </c>
      <c r="J279" s="52">
        <v>0.2</v>
      </c>
      <c r="K279" s="52">
        <v>1.3</v>
      </c>
      <c r="L279" s="51">
        <v>1.2E-2</v>
      </c>
      <c r="M279" s="51">
        <v>3.0000000000000001E-3</v>
      </c>
      <c r="N279" s="51" t="s">
        <v>631</v>
      </c>
      <c r="O279" s="51">
        <v>0.02</v>
      </c>
      <c r="P279" s="51">
        <v>2.5000000000000001E-2</v>
      </c>
      <c r="Q279" s="51">
        <v>0.03</v>
      </c>
      <c r="R279" s="51" t="s">
        <v>631</v>
      </c>
      <c r="S279" s="32"/>
      <c r="T279" s="52">
        <v>0.5</v>
      </c>
      <c r="U279" s="52"/>
      <c r="V279" s="52"/>
      <c r="W279" s="52"/>
      <c r="X279" s="32">
        <v>1.5E-3</v>
      </c>
      <c r="Y279" s="53"/>
      <c r="Z279" s="4">
        <v>45</v>
      </c>
      <c r="AA279" s="53" t="s">
        <v>631</v>
      </c>
      <c r="AB279" s="42">
        <f>IF(J279&lt;=0.04,0,IF((BA279-AL279*BF$4*炼钢参数表!$X$5/1000-AM279*BG$4*炼钢参数表!$X$5/1000)&lt;=0.03,0,IF((J279/100/0.1769/炼钢参数表!K279*1000)&gt;(K279-炼钢参数表!J279)/100/0.6566/炼钢参数表!L279*1000,IF(K279&lt;1.6,(K279-炼钢参数表!J279)/100/0.6566/炼钢参数表!L279*1000,(K279-0.08-炼钢参数表!J279)/100/0.6566/炼钢参数表!L279*1000),IF(K279&lt;1.6,J279/100/0.1769/炼钢参数表!K279*1000,(J279-0.08)/100/0.1769/炼钢参数表!K279*1000))))</f>
        <v>14.132278123233499</v>
      </c>
      <c r="AC279" s="8">
        <f>IF((BA279-AB279*$BB$4*0.9/1000-AL279*BF$4*炼钢参数表!$X$5/1000-AM279*BG$4*炼钢参数表!$X$5/1000)&lt;(K279-炼钢参数表!J279-AB279*0.6566*炼钢参数表!L279/10)*0.082,0,(K279-炼钢参数表!J279-AB279*0.6566*炼钢参数表!L279/10)/100/($AC$3/100)/炼钢参数表!L279*1000)</f>
        <v>3.7787673860579001</v>
      </c>
      <c r="AD279" s="8">
        <f>IF((BA279-AB279*$BB$4*0.9/1000-AC279*$BC$4*0.9/1000-AL279*BF$4*炼钢参数表!$X$5/1000-AM279*BG$4*炼钢参数表!$X$5/1000)&lt;=(K279-炼钢参数表!J279-AB279*0.6566*炼钢参数表!L279/10-AC279*($AC$3/100)*炼钢参数表!L279/10)*0.02,0,((K279-炼钢参数表!J279-AB279*0.6566*炼钢参数表!L279/10-AC279*($AC$3/100)*炼钢参数表!L279/10)/100/($AD$3/100)/炼钢参数表!L279*1000))</f>
        <v>0</v>
      </c>
      <c r="AE279" s="8">
        <f>(K279-炼钢参数表!J279-AB279*0.6566*炼钢参数表!L279/10-AC279*($AC$3/100)*炼钢参数表!L279/10-AD279*($AD$3/100)*炼钢参数表!L279/10)/100/($AE$3/100)/炼钢参数表!L279*1000</f>
        <v>0</v>
      </c>
      <c r="AF279" s="8">
        <v>0</v>
      </c>
      <c r="AG279" s="8">
        <f>IF(J279&lt;=0.04,0,((J279-(AB279*0.1769*炼钢参数表!K279/1000*100))/100/炼钢参数表!K279/($AG$3/100)*1000))</f>
        <v>0</v>
      </c>
      <c r="AH279" s="8">
        <v>1.8</v>
      </c>
      <c r="AI279" s="8">
        <f>IF(N279="",0,IF(N279&lt;=0.002,0,((N279)/100)/($AI$3/100)/炼钢参数表!M279*1000))</f>
        <v>0</v>
      </c>
      <c r="AJ279" s="8">
        <f>IF(O279="",0,IF(O279&lt;=0.002,0,((O279)/100)/($AJ$3/100)/炼钢参数表!N279*1000))</f>
        <v>0.31377864799056099</v>
      </c>
      <c r="AK279" s="8">
        <f>IF(P279="",0,IF(P279&lt;=0.002,0,((P279+0.005)/100)/($AK$3/100)/炼钢参数表!O279*1000))</f>
        <v>0.59873069093521702</v>
      </c>
      <c r="AL279" s="8">
        <f>IF((BA279-J279*0.00003-K279*0.00024)&lt;=0.05,0,IF(T279="",0,IF(T279&lt;=0.03,0,IF(((BA279-J279*0.00003-K279*0.00024)-0.05)/0.18/100/($AL$3/100)/炼钢参数表!P279*1000&lt;=T279/100/($AL$3/100)/炼钢参数表!P279*1000,((BA279-J279*0.00003-K279*0.00024)-0.05)/0.18/100/($AL$3/100)/炼钢参数表!P279*1000,T279/100/($AL$3/100)/炼钢参数表!P279*1000))))</f>
        <v>9.8971688034188006</v>
      </c>
      <c r="AM279" s="8">
        <f>IF(T279="",0,IF(T279&lt;=0.03,0,((T279-AL279*($AL$3/100)*炼钢参数表!P279/10)/100/($AM$3/100)/炼钢参数表!P279*1000)))</f>
        <v>0.10397973680275301</v>
      </c>
      <c r="AN279" s="8">
        <f>IF(U279="",0,IF(U279&lt;=0.02,0,(U279/100)/($AN$3/100)/炼钢参数表!Q279*1000))</f>
        <v>0</v>
      </c>
      <c r="AO279" s="8">
        <f>IF(V279="",0,IF(V279&lt;=0.02,0,(V279/100)/($AO$3/100)/炼钢参数表!R279*1000))</f>
        <v>0</v>
      </c>
      <c r="AP279" s="8">
        <f>IF(W279="",0,IF(W279&lt;=0.02,0,(W279/100)/($AP$3/100)/炼钢参数表!S279*1000))</f>
        <v>0</v>
      </c>
      <c r="AQ279" s="8">
        <f>IF(X279="",0,IF(X279&lt;=0.0002,0,(X279/100)/($AQ$3/100)/炼钢参数表!T279*1000))</f>
        <v>0.119047619047619</v>
      </c>
      <c r="AR279" s="8">
        <f>IF(Y279="",0,IF(Y279&lt;=0.02,0,(Y279/100)/($AR$3/100)/炼钢参数表!U279*1000))</f>
        <v>0</v>
      </c>
      <c r="AS279" s="8">
        <f>IF(L279&lt;=0.04,0,((L279-0.04)/100)/($AS$3/100)/炼钢参数表!V279*1000)</f>
        <v>0</v>
      </c>
      <c r="AT279" s="8">
        <f>IF(M279&lt;=0.03,0,((M279-0.03)/100)/($AT$3/100)/炼钢参数表!W279*1000)</f>
        <v>0</v>
      </c>
      <c r="AU279" s="6"/>
      <c r="AV279" s="8">
        <f t="shared" si="52"/>
        <v>30.743751007486299</v>
      </c>
      <c r="AW279" s="8" cm="1">
        <f t="array" ref="AW279">SUMPRODUCT($AB$4:$AU$4,AB279:AU279)/1000</f>
        <v>303.054865951887</v>
      </c>
      <c r="AY279" s="2" t="str">
        <f t="shared" si="53"/>
        <v>NM450-2</v>
      </c>
      <c r="AZ279" s="37">
        <f>VLOOKUP(AY279,炼钢参数表!$F$5:$J$1027,4,0)</f>
        <v>6.0749999999999998E-2</v>
      </c>
      <c r="BA279" s="37">
        <f t="shared" si="54"/>
        <v>0.13925000000000001</v>
      </c>
      <c r="BB279" s="77">
        <f>AB279*$BB$4*炼钢参数表!$X$5/1000</f>
        <v>2.1876766534765401E-2</v>
      </c>
      <c r="BC279" s="77">
        <f>AC279*$BC$4*炼钢参数表!$X$5/1000</f>
        <v>2.27519584314546E-2</v>
      </c>
      <c r="BD279" s="77">
        <f>AD279*$BD$4*炼钢参数表!$X$5/1000</f>
        <v>0</v>
      </c>
      <c r="BE279" s="77">
        <f>AE279*$BE$4*炼钢参数表!$X$5/1000</f>
        <v>0</v>
      </c>
      <c r="BF279" s="77">
        <f>AL279*$BF$4*炼钢参数表!$X$5/1000</f>
        <v>8.90745192307692E-2</v>
      </c>
      <c r="BG279" s="77">
        <f>AM279*$BG$4*炼钢参数表!$X$5/1000</f>
        <v>1.12298115746973E-5</v>
      </c>
      <c r="BH279" s="77">
        <f t="shared" si="55"/>
        <v>0.13371447400856401</v>
      </c>
      <c r="BI279" s="77">
        <f t="shared" si="56"/>
        <v>0.19446447400856401</v>
      </c>
      <c r="BJ279" s="77">
        <f t="shared" si="57"/>
        <v>-5.5355259914360603E-3</v>
      </c>
      <c r="BK279" s="54"/>
      <c r="BL279" s="7"/>
    </row>
    <row r="280" spans="1:16371" s="18" customFormat="1" x14ac:dyDescent="0.3">
      <c r="A280" s="21">
        <v>272</v>
      </c>
      <c r="B280" s="4" t="s">
        <v>499</v>
      </c>
      <c r="C280" s="4" t="s">
        <v>23</v>
      </c>
      <c r="D280" s="4">
        <v>6</v>
      </c>
      <c r="E280" s="4">
        <v>15.99</v>
      </c>
      <c r="F280" s="4" t="s">
        <v>500</v>
      </c>
      <c r="G280" s="50" t="s">
        <v>501</v>
      </c>
      <c r="H280" s="4">
        <v>1504</v>
      </c>
      <c r="I280" s="51">
        <v>0.26</v>
      </c>
      <c r="J280" s="52">
        <v>0.15</v>
      </c>
      <c r="K280" s="52">
        <v>1</v>
      </c>
      <c r="L280" s="51">
        <v>0.01</v>
      </c>
      <c r="M280" s="51">
        <v>2E-3</v>
      </c>
      <c r="N280" s="51"/>
      <c r="O280" s="51">
        <v>2.5000000000000001E-2</v>
      </c>
      <c r="P280" s="51">
        <v>0.02</v>
      </c>
      <c r="Q280" s="51">
        <v>0.04</v>
      </c>
      <c r="R280" s="51"/>
      <c r="S280" s="32"/>
      <c r="T280" s="52">
        <v>0.35</v>
      </c>
      <c r="U280" s="52"/>
      <c r="V280" s="52"/>
      <c r="W280" s="52"/>
      <c r="X280" s="32">
        <v>1.5E-3</v>
      </c>
      <c r="Y280" s="53"/>
      <c r="Z280" s="4">
        <v>45</v>
      </c>
      <c r="AA280" s="53"/>
      <c r="AB280" s="42">
        <f>IF(J280&lt;=0.04,0,IF((BA280-AL280*BF$4*炼钢参数表!$X$5/1000-AM280*BG$4*炼钢参数表!$X$5/1000)&lt;=0.03,0,IF((J280/100/0.1769/炼钢参数表!K280*1000)&gt;(K280-炼钢参数表!J280)/100/0.6566/炼钢参数表!L280*1000,IF(K280&lt;1.6,(K280-炼钢参数表!J280)/100/0.6566/炼钢参数表!L280*1000,(K280-0.08-炼钢参数表!J280)/100/0.6566/炼钢参数表!L280*1000),IF(K280&lt;1.6,J280/100/0.1769/炼钢参数表!K280*1000,(J280-0.08)/100/0.1769/炼钢参数表!K280*1000))))</f>
        <v>10.5992085924251</v>
      </c>
      <c r="AC280" s="8">
        <f>IF((BA280-AB280*$BB$4*0.9/1000-AL280*BF$4*炼钢参数表!$X$5/1000-AM280*BG$4*炼钢参数表!$X$5/1000)&lt;(K280-炼钢参数表!J280-AB280*0.6566*炼钢参数表!L280/10)*0.082,0,(K280-炼钢参数表!J280-AB280*0.6566*炼钢参数表!L280/10)/100/($AC$3/100)/炼钢参数表!L280*1000)</f>
        <v>2.8447617845508102</v>
      </c>
      <c r="AD280" s="8">
        <f>IF((BA280-AB280*$BB$4*0.9/1000-AC280*$BC$4*0.9/1000-AL280*BF$4*炼钢参数表!$X$5/1000-AM280*BG$4*炼钢参数表!$X$5/1000)&lt;=(K280-炼钢参数表!J280-AB280*0.6566*炼钢参数表!L280/10-AC280*($AC$3/100)*炼钢参数表!L280/10)*0.02,0,((K280-炼钢参数表!J280-AB280*0.6566*炼钢参数表!L280/10-AC280*($AC$3/100)*炼钢参数表!L280/10)/100/($AD$3/100)/炼钢参数表!L280*1000))</f>
        <v>0</v>
      </c>
      <c r="AE280" s="8">
        <f>(K280-炼钢参数表!J280-AB280*0.6566*炼钢参数表!L280/10-AC280*($AC$3/100)*炼钢参数表!L280/10-AD280*($AD$3/100)*炼钢参数表!L280/10)/100/($AE$3/100)/炼钢参数表!L280*1000</f>
        <v>0</v>
      </c>
      <c r="AF280" s="8">
        <v>0</v>
      </c>
      <c r="AG280" s="8">
        <f>IF(J280&lt;=0.04,0,((J280-(AB280*0.1769*炼钢参数表!K280/1000*100))/100/炼钢参数表!K280/($AG$3/100)*1000))</f>
        <v>0</v>
      </c>
      <c r="AH280" s="8">
        <v>2</v>
      </c>
      <c r="AI280" s="8">
        <f>IF(N280="",0,IF(N280&lt;=0.002,0,((N280)/100)/($AI$3/100)/炼钢参数表!M280*1000))</f>
        <v>0</v>
      </c>
      <c r="AJ280" s="8">
        <f>IF(O280="",0,IF(O280&lt;=0.002,0,((O280)/100)/($AJ$3/100)/炼钢参数表!N280*1000))</f>
        <v>0.39222330998820198</v>
      </c>
      <c r="AK280" s="8">
        <f>IF(P280="",0,IF(P280&lt;=0.002,0,((P280+0.005)/100)/($AK$3/100)/炼钢参数表!O280*1000))</f>
        <v>0.49894224244601398</v>
      </c>
      <c r="AL280" s="8">
        <f>IF((BA280-J280*0.00003-K280*0.00024)&lt;=0.05,0,IF(T280="",0,IF(T280&lt;=0.03,0,IF(((BA280-J280*0.00003-K280*0.00024)-0.05)/0.18/100/($AL$3/100)/炼钢参数表!P280*1000&lt;=T280/100/($AL$3/100)/炼钢参数表!P280*1000,((BA280-J280*0.00003-K280*0.00024)-0.05)/0.18/100/($AL$3/100)/炼钢参数表!P280*1000,T280/100/($AL$3/100)/炼钢参数表!P280*1000))))</f>
        <v>7.0112179487179498</v>
      </c>
      <c r="AM280" s="8">
        <f>IF(T280="",0,IF(T280&lt;=0.03,0,((T280-AL280*($AL$3/100)*炼钢参数表!P280/10)/100/($AM$3/100)/炼钢参数表!P280*1000)))</f>
        <v>0</v>
      </c>
      <c r="AN280" s="8">
        <f>IF(U280="",0,IF(U280&lt;=0.02,0,(U280/100)/($AN$3/100)/炼钢参数表!Q280*1000))</f>
        <v>0</v>
      </c>
      <c r="AO280" s="8">
        <f>IF(V280="",0,IF(V280&lt;=0.02,0,(V280/100)/($AO$3/100)/炼钢参数表!R280*1000))</f>
        <v>0</v>
      </c>
      <c r="AP280" s="8">
        <f>IF(W280="",0,IF(W280&lt;=0.02,0,(W280/100)/($AP$3/100)/炼钢参数表!S280*1000))</f>
        <v>0</v>
      </c>
      <c r="AQ280" s="8">
        <f>IF(X280="",0,IF(X280&lt;=0.0002,0,(X280/100)/($AQ$3/100)/炼钢参数表!T280*1000))</f>
        <v>0.119047619047619</v>
      </c>
      <c r="AR280" s="8">
        <f>IF(Y280="",0,IF(Y280&lt;=0.02,0,(Y280/100)/($AR$3/100)/炼钢参数表!U280*1000))</f>
        <v>0</v>
      </c>
      <c r="AS280" s="8">
        <f>IF(L280&lt;=0.04,0,((L280-0.04)/100)/($AS$3/100)/炼钢参数表!V280*1000)</f>
        <v>0</v>
      </c>
      <c r="AT280" s="8">
        <f>IF(M280&lt;=0.03,0,((M280-0.03)/100)/($AT$3/100)/炼钢参数表!W280*1000)</f>
        <v>0</v>
      </c>
      <c r="AU280" s="6"/>
      <c r="AV280" s="8">
        <f t="shared" si="52"/>
        <v>23.465401497175701</v>
      </c>
      <c r="AW280" s="8" cm="1">
        <f t="array" ref="AW280">SUMPRODUCT($AB$4:$AU$4,AB280:AU280)/1000</f>
        <v>273.256769672818</v>
      </c>
      <c r="AY280" s="2" t="str">
        <f t="shared" si="53"/>
        <v>NM500-1</v>
      </c>
      <c r="AZ280" s="37">
        <f>VLOOKUP(AY280,炼钢参数表!$F$5:$J$1027,4,0)</f>
        <v>0.05</v>
      </c>
      <c r="BA280" s="37">
        <f t="shared" si="54"/>
        <v>0.21</v>
      </c>
      <c r="BB280" s="77">
        <f>AB280*$BB$4*炼钢参数表!$X$5/1000</f>
        <v>1.6407574901074098E-2</v>
      </c>
      <c r="BC280" s="77">
        <f>AC280*$BC$4*炼钢参数表!$X$5/1000</f>
        <v>1.7128310704780401E-2</v>
      </c>
      <c r="BD280" s="77">
        <f>AD280*$BD$4*炼钢参数表!$X$5/1000</f>
        <v>0</v>
      </c>
      <c r="BE280" s="77">
        <f>AE280*$BE$4*炼钢参数表!$X$5/1000</f>
        <v>0</v>
      </c>
      <c r="BF280" s="77">
        <f>AL280*$BF$4*炼钢参数表!$X$5/1000</f>
        <v>6.3100961538461495E-2</v>
      </c>
      <c r="BG280" s="77">
        <f>AM280*$BG$4*炼钢参数表!$X$5/1000</f>
        <v>0</v>
      </c>
      <c r="BH280" s="77">
        <f t="shared" si="55"/>
        <v>9.6636847144316002E-2</v>
      </c>
      <c r="BI280" s="77">
        <f t="shared" si="56"/>
        <v>0.14663684714431599</v>
      </c>
      <c r="BJ280" s="77">
        <f t="shared" si="57"/>
        <v>-0.113363152855684</v>
      </c>
      <c r="BK280" s="54"/>
      <c r="BL280" s="7"/>
    </row>
    <row r="281" spans="1:16371" s="18" customFormat="1" x14ac:dyDescent="0.3">
      <c r="A281" s="21">
        <v>273</v>
      </c>
      <c r="B281" s="4" t="s">
        <v>499</v>
      </c>
      <c r="C281" s="4" t="s">
        <v>26</v>
      </c>
      <c r="D281" s="4">
        <v>16</v>
      </c>
      <c r="E281" s="4">
        <v>28</v>
      </c>
      <c r="F281" s="4" t="s">
        <v>502</v>
      </c>
      <c r="G281" s="50" t="s">
        <v>501</v>
      </c>
      <c r="H281" s="4">
        <v>1504</v>
      </c>
      <c r="I281" s="51">
        <v>0.27500000000000002</v>
      </c>
      <c r="J281" s="52">
        <v>0.15</v>
      </c>
      <c r="K281" s="52">
        <v>1</v>
      </c>
      <c r="L281" s="51">
        <v>0.01</v>
      </c>
      <c r="M281" s="51">
        <v>2E-3</v>
      </c>
      <c r="N281" s="51"/>
      <c r="O281" s="51">
        <v>2.5000000000000001E-2</v>
      </c>
      <c r="P281" s="51">
        <v>0.02</v>
      </c>
      <c r="Q281" s="51">
        <v>0.04</v>
      </c>
      <c r="R281" s="51"/>
      <c r="S281" s="32"/>
      <c r="T281" s="52">
        <v>0.5</v>
      </c>
      <c r="U281" s="52"/>
      <c r="V281" s="52"/>
      <c r="W281" s="52"/>
      <c r="X281" s="32">
        <v>1.5E-3</v>
      </c>
      <c r="Y281" s="53"/>
      <c r="Z281" s="4">
        <v>45</v>
      </c>
      <c r="AA281" s="53"/>
      <c r="AB281" s="42">
        <f>IF(J281&lt;=0.04,0,IF((BA281-AL281*BF$4*炼钢参数表!$X$5/1000-AM281*BG$4*炼钢参数表!$X$5/1000)&lt;=0.03,0,IF((J281/100/0.1769/炼钢参数表!K281*1000)&gt;(K281-炼钢参数表!J281)/100/0.6566/炼钢参数表!L281*1000,IF(K281&lt;1.6,(K281-炼钢参数表!J281)/100/0.6566/炼钢参数表!L281*1000,(K281-0.08-炼钢参数表!J281)/100/0.6566/炼钢参数表!L281*1000),IF(K281&lt;1.6,J281/100/0.1769/炼钢参数表!K281*1000,(J281-0.08)/100/0.1769/炼钢参数表!K281*1000))))</f>
        <v>10.5992085924251</v>
      </c>
      <c r="AC281" s="8">
        <f>IF((BA281-AB281*$BB$4*0.9/1000-AL281*BF$4*炼钢参数表!$X$5/1000-AM281*BG$4*炼钢参数表!$X$5/1000)&lt;(K281-炼钢参数表!J281-AB281*0.6566*炼钢参数表!L281/10)*0.082,0,(K281-炼钢参数表!J281-AB281*0.6566*炼钢参数表!L281/10)/100/($AC$3/100)/炼钢参数表!L281*1000)</f>
        <v>2.8447617845508102</v>
      </c>
      <c r="AD281" s="8">
        <f>IF((BA281-AB281*$BB$4*0.9/1000-AC281*$BC$4*0.9/1000-AL281*BF$4*炼钢参数表!$X$5/1000-AM281*BG$4*炼钢参数表!$X$5/1000)&lt;=(K281-炼钢参数表!J281-AB281*0.6566*炼钢参数表!L281/10-AC281*($AC$3/100)*炼钢参数表!L281/10)*0.02,0,((K281-炼钢参数表!J281-AB281*0.6566*炼钢参数表!L281/10-AC281*($AC$3/100)*炼钢参数表!L281/10)/100/($AD$3/100)/炼钢参数表!L281*1000))</f>
        <v>0</v>
      </c>
      <c r="AE281" s="8">
        <f>(K281-炼钢参数表!J281-AB281*0.6566*炼钢参数表!L281/10-AC281*($AC$3/100)*炼钢参数表!L281/10-AD281*($AD$3/100)*炼钢参数表!L281/10)/100/($AE$3/100)/炼钢参数表!L281*1000</f>
        <v>0</v>
      </c>
      <c r="AF281" s="8">
        <v>0</v>
      </c>
      <c r="AG281" s="8">
        <f>IF(J281&lt;=0.04,0,((J281-(AB281*0.1769*炼钢参数表!K281/1000*100))/100/炼钢参数表!K281/($AG$3/100)*1000))</f>
        <v>0</v>
      </c>
      <c r="AH281" s="8">
        <v>2</v>
      </c>
      <c r="AI281" s="8">
        <f>IF(N281="",0,IF(N281&lt;=0.002,0,((N281)/100)/($AI$3/100)/炼钢参数表!M281*1000))</f>
        <v>0</v>
      </c>
      <c r="AJ281" s="8">
        <f>IF(O281="",0,IF(O281&lt;=0.002,0,((O281)/100)/($AJ$3/100)/炼钢参数表!N281*1000))</f>
        <v>0.39222330998820198</v>
      </c>
      <c r="AK281" s="8">
        <f>IF(P281="",0,IF(P281&lt;=0.002,0,((P281+0.005)/100)/($AK$3/100)/炼钢参数表!O281*1000))</f>
        <v>0.49894224244601398</v>
      </c>
      <c r="AL281" s="8">
        <f>IF((BA281-J281*0.00003-K281*0.00024)&lt;=0.05,0,IF(T281="",0,IF(T281&lt;=0.03,0,IF(((BA281-J281*0.00003-K281*0.00024)-0.05)/0.18/100/($AL$3/100)/炼钢参数表!P281*1000&lt;=T281/100/($AL$3/100)/炼钢参数表!P281*1000,((BA281-J281*0.00003-K281*0.00024)-0.05)/0.18/100/($AL$3/100)/炼钢参数表!P281*1000,T281/100/($AL$3/100)/炼钢参数表!P281*1000))))</f>
        <v>10.0160256410256</v>
      </c>
      <c r="AM281" s="8">
        <f>IF(T281="",0,IF(T281&lt;=0.03,0,((T281-AL281*($AL$3/100)*炼钢参数表!P281/10)/100/($AM$3/100)/炼钢参数表!P281*1000)))</f>
        <v>0</v>
      </c>
      <c r="AN281" s="8">
        <f>IF(U281="",0,IF(U281&lt;=0.02,0,(U281/100)/($AN$3/100)/炼钢参数表!Q281*1000))</f>
        <v>0</v>
      </c>
      <c r="AO281" s="8">
        <f>IF(V281="",0,IF(V281&lt;=0.02,0,(V281/100)/($AO$3/100)/炼钢参数表!R281*1000))</f>
        <v>0</v>
      </c>
      <c r="AP281" s="8">
        <f>IF(W281="",0,IF(W281&lt;=0.02,0,(W281/100)/($AP$3/100)/炼钢参数表!S281*1000))</f>
        <v>0</v>
      </c>
      <c r="AQ281" s="8">
        <f>IF(X281="",0,IF(X281&lt;=0.0002,0,(X281/100)/($AQ$3/100)/炼钢参数表!T281*1000))</f>
        <v>0.119047619047619</v>
      </c>
      <c r="AR281" s="8">
        <f>IF(Y281="",0,IF(Y281&lt;=0.02,0,(Y281/100)/($AR$3/100)/炼钢参数表!U281*1000))</f>
        <v>0</v>
      </c>
      <c r="AS281" s="8">
        <f>IF(L281&lt;=0.04,0,((L281-0.04)/100)/($AS$3/100)/炼钢参数表!V281*1000)</f>
        <v>0</v>
      </c>
      <c r="AT281" s="8">
        <f>IF(M281&lt;=0.03,0,((M281-0.03)/100)/($AT$3/100)/炼钢参数表!W281*1000)</f>
        <v>0</v>
      </c>
      <c r="AU281" s="6"/>
      <c r="AV281" s="8">
        <f t="shared" si="52"/>
        <v>26.470209189483398</v>
      </c>
      <c r="AW281" s="8" cm="1">
        <f t="array" ref="AW281">SUMPRODUCT($AB$4:$AU$4,AB281:AU281)/1000</f>
        <v>296.63045074837902</v>
      </c>
      <c r="AY281" s="2" t="str">
        <f t="shared" si="53"/>
        <v>NM500-2</v>
      </c>
      <c r="AZ281" s="37">
        <f>VLOOKUP(AY281,炼钢参数表!$F$5:$J$1027,4,0)</f>
        <v>0.05</v>
      </c>
      <c r="BA281" s="37">
        <f t="shared" si="54"/>
        <v>0.22500000000000001</v>
      </c>
      <c r="BB281" s="77">
        <f>AB281*$BB$4*炼钢参数表!$X$5/1000</f>
        <v>1.6407574901074098E-2</v>
      </c>
      <c r="BC281" s="77">
        <f>AC281*$BC$4*炼钢参数表!$X$5/1000</f>
        <v>1.7128310704780401E-2</v>
      </c>
      <c r="BD281" s="77">
        <f>AD281*$BD$4*炼钢参数表!$X$5/1000</f>
        <v>0</v>
      </c>
      <c r="BE281" s="77">
        <f>AE281*$BE$4*炼钢参数表!$X$5/1000</f>
        <v>0</v>
      </c>
      <c r="BF281" s="77">
        <f>AL281*$BF$4*炼钢参数表!$X$5/1000</f>
        <v>9.0144230769230796E-2</v>
      </c>
      <c r="BG281" s="77">
        <f>AM281*$BG$4*炼钢参数表!$X$5/1000</f>
        <v>0</v>
      </c>
      <c r="BH281" s="77">
        <f t="shared" si="55"/>
        <v>0.123680116375085</v>
      </c>
      <c r="BI281" s="77">
        <f t="shared" si="56"/>
        <v>0.17368011637508499</v>
      </c>
      <c r="BJ281" s="77">
        <f t="shared" si="57"/>
        <v>-0.10131988362491499</v>
      </c>
      <c r="BK281" s="54"/>
      <c r="BL281" s="7"/>
    </row>
    <row r="282" spans="1:16371" s="18" customFormat="1" x14ac:dyDescent="0.3">
      <c r="A282" s="21">
        <v>274</v>
      </c>
      <c r="B282" s="4" t="s">
        <v>503</v>
      </c>
      <c r="C282" s="4" t="s">
        <v>23</v>
      </c>
      <c r="D282" s="4">
        <v>6</v>
      </c>
      <c r="E282" s="4">
        <v>15.99</v>
      </c>
      <c r="F282" s="4" t="s">
        <v>504</v>
      </c>
      <c r="G282" s="50" t="s">
        <v>505</v>
      </c>
      <c r="H282" s="4">
        <v>1492</v>
      </c>
      <c r="I282" s="4">
        <v>0.4</v>
      </c>
      <c r="J282" s="4">
        <v>0.2</v>
      </c>
      <c r="K282" s="4">
        <v>0.85</v>
      </c>
      <c r="L282" s="4">
        <v>0.01</v>
      </c>
      <c r="M282" s="4">
        <v>2E-3</v>
      </c>
      <c r="N282" s="4">
        <v>0.04</v>
      </c>
      <c r="O282" s="4">
        <v>1.4999999999999999E-2</v>
      </c>
      <c r="P282" s="4">
        <v>1.2E-2</v>
      </c>
      <c r="Q282" s="4">
        <v>0.04</v>
      </c>
      <c r="R282" s="4" t="s">
        <v>631</v>
      </c>
      <c r="S282" s="4" t="s">
        <v>631</v>
      </c>
      <c r="T282" s="4">
        <v>0.35</v>
      </c>
      <c r="U282" s="4">
        <v>0.5</v>
      </c>
      <c r="V282" s="4">
        <v>0</v>
      </c>
      <c r="W282" s="4">
        <v>0</v>
      </c>
      <c r="X282" s="4">
        <v>1.6999999999999999E-3</v>
      </c>
      <c r="Y282" s="4" t="s">
        <v>631</v>
      </c>
      <c r="Z282" s="4">
        <v>0</v>
      </c>
      <c r="AA282" s="4"/>
      <c r="AB282" s="42">
        <f>IF(J282&lt;=0.04,0,IF((BA282-AL282*BF$4*炼钢参数表!$X$5/1000-AM282*BG$4*炼钢参数表!$X$5/1000)&lt;=0.03,0,IF((J282/100/0.1769/炼钢参数表!K282*1000)&gt;(K282-炼钢参数表!J282)/100/0.6566/炼钢参数表!L282*1000,IF(K282&lt;1.6,(K282-炼钢参数表!J282)/100/0.6566/炼钢参数表!L282*1000,(K282-0.08-炼钢参数表!J282)/100/0.6566/炼钢参数表!L282*1000),IF(K282&lt;1.6,J282/100/0.1769/炼钢参数表!K282*1000,(J282-0.08)/100/0.1769/炼钢参数表!K282*1000))))</f>
        <v>11.5001833813026</v>
      </c>
      <c r="AC282" s="8">
        <f>IF((BA282-AB282*$BB$4*0.9/1000-AL282*BF$4*炼钢参数表!$X$5/1000-AM282*BG$4*炼钢参数表!$X$5/1000)&lt;(K282-炼钢参数表!J282-AB282*0.6566*炼钢参数表!L282/10)*0.082,0,(K282-炼钢参数表!J282-AB282*0.6566*炼钢参数表!L282/10)/100/($AC$3/100)/炼钢参数表!L282*1000)</f>
        <v>0</v>
      </c>
      <c r="AD282" s="8">
        <f>IF((BA282-AB282*$BB$4*0.9/1000-AC282*$BC$4*0.9/1000-AL282*BF$4*炼钢参数表!$X$5/1000-AM282*BG$4*炼钢参数表!$X$5/1000)&lt;=(K282-炼钢参数表!J282-AB282*0.6566*炼钢参数表!L282/10-AC282*($AC$3/100)*炼钢参数表!L282/10)*0.02,0,((K282-炼钢参数表!J282-AB282*0.6566*炼钢参数表!L282/10-AC282*($AC$3/100)*炼钢参数表!L282/10)/100/($AD$3/100)/炼钢参数表!L282*1000))</f>
        <v>0</v>
      </c>
      <c r="AE282" s="8">
        <f>(K282-炼钢参数表!J282-AB282*0.6566*炼钢参数表!L282/10-AC282*($AC$3/100)*炼钢参数表!L282/10-AD282*($AD$3/100)*炼钢参数表!L282/10)/100/($AE$3/100)/炼钢参数表!L282*1000</f>
        <v>0</v>
      </c>
      <c r="AF282" s="8">
        <v>0</v>
      </c>
      <c r="AG282" s="8">
        <f>IF(J282&lt;=0.04,0,((J282-(AB282*0.1769*炼钢参数表!K282/1000*100))/100/炼钢参数表!K282/($AG$3/100)*1000))</f>
        <v>0.644631814824278</v>
      </c>
      <c r="AH282" s="8">
        <v>2</v>
      </c>
      <c r="AI282" s="8">
        <f>IF(N282="",0,IF(N282&lt;=0.002,0,((N282)/100)/($AI$3/100)/炼钢参数表!M282*1000))</f>
        <v>0.79766125719390701</v>
      </c>
      <c r="AJ282" s="8">
        <f>IF(O282="",0,IF(O282&lt;=0.002,0,((O282)/100)/($AJ$3/100)/炼钢参数表!N282*1000))</f>
        <v>0.23533398599292099</v>
      </c>
      <c r="AK282" s="8">
        <f>IF(P282="",0,IF(P282&lt;=0.002,0,((P282+0.005)/100)/($AK$3/100)/炼钢参数表!O282*1000))</f>
        <v>0.33928072486328997</v>
      </c>
      <c r="AL282" s="8">
        <f>IF((BA282-J282*0.00003-K282*0.00024)&lt;=0.05,0,IF(T282="",0,IF(T282&lt;=0.03,0,IF(((BA282-J282*0.00003-K282*0.00024)-0.05)/0.18/100/($AL$3/100)/炼钢参数表!P282*1000&lt;=T282/100/($AL$3/100)/炼钢参数表!P282*1000,((BA282-J282*0.00003-K282*0.00024)-0.05)/0.18/100/($AL$3/100)/炼钢参数表!P282*1000,T282/100/($AL$3/100)/炼钢参数表!P282*1000))))</f>
        <v>7.0112179487179498</v>
      </c>
      <c r="AM282" s="8">
        <f>IF(T282="",0,IF(T282&lt;=0.03,0,((T282-AL282*($AL$3/100)*炼钢参数表!P282/10)/100/($AM$3/100)/炼钢参数表!P282*1000)))</f>
        <v>0</v>
      </c>
      <c r="AN282" s="8">
        <f>IF(U282="",0,IF(U282&lt;=0.02,0,(U282/100)/($AN$3/100)/炼钢参数表!Q282*1000))</f>
        <v>5.15357658214801</v>
      </c>
      <c r="AO282" s="8">
        <f>IF(V282="",0,IF(V282&lt;=0.02,0,(V282/100)/($AO$3/100)/炼钢参数表!R282*1000))</f>
        <v>0</v>
      </c>
      <c r="AP282" s="8">
        <f>IF(W282="",0,IF(W282&lt;=0.02,0,(W282/100)/($AP$3/100)/炼钢参数表!S282*1000))</f>
        <v>0</v>
      </c>
      <c r="AQ282" s="8">
        <f>IF(X282="",0,IF(X282&lt;=0.0002,0,(X282/100)/($AQ$3/100)/炼钢参数表!T282*1000))</f>
        <v>0.134920634920635</v>
      </c>
      <c r="AR282" s="8">
        <f>IF(Y282="",0,IF(Y282&lt;=0.02,0,(Y282/100)/($AR$3/100)/炼钢参数表!U282*1000))</f>
        <v>0</v>
      </c>
      <c r="AS282" s="8">
        <f>IF(L282&lt;=0.04,0,((L282-0.04)/100)/($AS$3/100)/炼钢参数表!V282*1000)</f>
        <v>0</v>
      </c>
      <c r="AT282" s="8">
        <f>IF(M282&lt;=0.03,0,((M282-0.03)/100)/($AT$3/100)/炼钢参数表!W282*1000)</f>
        <v>0</v>
      </c>
      <c r="AU282" s="6"/>
      <c r="AV282" s="8">
        <f t="shared" si="52"/>
        <v>27.816806329963601</v>
      </c>
      <c r="AW282" s="8" cm="1">
        <f t="array" ref="AW282">SUMPRODUCT($AB$4:$AU$4,AB282:AU282)/1000</f>
        <v>1005.25941886575</v>
      </c>
      <c r="AY282" s="2" t="str">
        <f t="shared" si="53"/>
        <v>NM600-1</v>
      </c>
      <c r="AZ282" s="37">
        <f>VLOOKUP(AY282,炼钢参数表!$F$5:$J$1027,4,0)</f>
        <v>0.05</v>
      </c>
      <c r="BA282" s="37">
        <f t="shared" si="54"/>
        <v>0.35</v>
      </c>
      <c r="BB282" s="37">
        <f>AB282*$BB$4*炼钢参数表!$X$5/1000</f>
        <v>1.7802283874256399E-2</v>
      </c>
      <c r="BC282" s="37">
        <f>AC282*$BC$4*炼钢参数表!$X$5/1000</f>
        <v>0</v>
      </c>
      <c r="BD282" s="37">
        <f>AD282*$BD$4*炼钢参数表!$X$5/1000</f>
        <v>0</v>
      </c>
      <c r="BE282" s="37">
        <f>AE282*$BE$4*炼钢参数表!$X$5/1000</f>
        <v>0</v>
      </c>
      <c r="BF282" s="37">
        <f>AL282*$BF$4*炼钢参数表!$X$5/1000</f>
        <v>6.3100961538461495E-2</v>
      </c>
      <c r="BG282" s="37">
        <f>AM282*$BG$4*炼钢参数表!$X$5/1000</f>
        <v>0</v>
      </c>
      <c r="BH282" s="37">
        <f t="shared" si="55"/>
        <v>8.09032454127179E-2</v>
      </c>
      <c r="BI282" s="37">
        <f t="shared" si="56"/>
        <v>0.130903245412718</v>
      </c>
      <c r="BJ282" s="37">
        <f t="shared" si="57"/>
        <v>-0.26909675458728199</v>
      </c>
      <c r="BK282" s="54"/>
      <c r="BL282" s="7"/>
    </row>
    <row r="283" spans="1:16371" s="18" customFormat="1" x14ac:dyDescent="0.3">
      <c r="A283" s="21">
        <v>275</v>
      </c>
      <c r="B283" s="4" t="s">
        <v>503</v>
      </c>
      <c r="C283" s="4" t="s">
        <v>26</v>
      </c>
      <c r="D283" s="4">
        <v>16</v>
      </c>
      <c r="E283" s="4">
        <v>25.4</v>
      </c>
      <c r="F283" s="4" t="s">
        <v>506</v>
      </c>
      <c r="G283" s="50" t="s">
        <v>505</v>
      </c>
      <c r="H283" s="4">
        <v>1492</v>
      </c>
      <c r="I283" s="4">
        <v>0.4</v>
      </c>
      <c r="J283" s="4">
        <v>0.2</v>
      </c>
      <c r="K283" s="4">
        <v>0.85</v>
      </c>
      <c r="L283" s="4">
        <v>0.01</v>
      </c>
      <c r="M283" s="4">
        <v>2E-3</v>
      </c>
      <c r="N283" s="4">
        <v>0.04</v>
      </c>
      <c r="O283" s="4">
        <v>1.4999999999999999E-2</v>
      </c>
      <c r="P283" s="4">
        <v>1.2E-2</v>
      </c>
      <c r="Q283" s="4">
        <v>0.04</v>
      </c>
      <c r="R283" s="4" t="s">
        <v>631</v>
      </c>
      <c r="S283" s="4" t="s">
        <v>631</v>
      </c>
      <c r="T283" s="4">
        <v>0.5</v>
      </c>
      <c r="U283" s="4">
        <v>0.5</v>
      </c>
      <c r="V283" s="4">
        <v>0</v>
      </c>
      <c r="W283" s="4">
        <v>0</v>
      </c>
      <c r="X283" s="4">
        <v>1.6999999999999999E-3</v>
      </c>
      <c r="Y283" s="4" t="s">
        <v>631</v>
      </c>
      <c r="Z283" s="4">
        <v>0</v>
      </c>
      <c r="AA283" s="4"/>
      <c r="AB283" s="42">
        <f>IF(J283&lt;=0.04,0,IF((BA283-AL283*BF$4*炼钢参数表!$X$5/1000-AM283*BG$4*炼钢参数表!$X$5/1000)&lt;=0.03,0,IF((J283/100/0.1769/炼钢参数表!K283*1000)&gt;(K283-炼钢参数表!J283)/100/0.6566/炼钢参数表!L283*1000,IF(K283&lt;1.6,(K283-炼钢参数表!J283)/100/0.6566/炼钢参数表!L283*1000,(K283-0.08-炼钢参数表!J283)/100/0.6566/炼钢参数表!L283*1000),IF(K283&lt;1.6,J283/100/0.1769/炼钢参数表!K283*1000,(J283-0.08)/100/0.1769/炼钢参数表!K283*1000))))</f>
        <v>11.5001833813026</v>
      </c>
      <c r="AC283" s="8">
        <f>IF((BA283-AB283*$BB$4*0.9/1000-AL283*BF$4*炼钢参数表!$X$5/1000-AM283*BG$4*炼钢参数表!$X$5/1000)&lt;(K283-炼钢参数表!J283-AB283*0.6566*炼钢参数表!L283/10)*0.082,0,(K283-炼钢参数表!J283-AB283*0.6566*炼钢参数表!L283/10)/100/($AC$3/100)/炼钢参数表!L283*1000)</f>
        <v>0</v>
      </c>
      <c r="AD283" s="8">
        <f>IF((BA283-AB283*$BB$4*0.9/1000-AC283*$BC$4*0.9/1000-AL283*BF$4*炼钢参数表!$X$5/1000-AM283*BG$4*炼钢参数表!$X$5/1000)&lt;=(K283-炼钢参数表!J283-AB283*0.6566*炼钢参数表!L283/10-AC283*($AC$3/100)*炼钢参数表!L283/10)*0.02,0,((K283-炼钢参数表!J283-AB283*0.6566*炼钢参数表!L283/10-AC283*($AC$3/100)*炼钢参数表!L283/10)/100/($AD$3/100)/炼钢参数表!L283*1000))</f>
        <v>0</v>
      </c>
      <c r="AE283" s="8">
        <f>(K283-炼钢参数表!J283-AB283*0.6566*炼钢参数表!L283/10-AC283*($AC$3/100)*炼钢参数表!L283/10-AD283*($AD$3/100)*炼钢参数表!L283/10)/100/($AE$3/100)/炼钢参数表!L283*1000</f>
        <v>0</v>
      </c>
      <c r="AF283" s="8">
        <v>0</v>
      </c>
      <c r="AG283" s="8">
        <f>IF(J283&lt;=0.04,0,((J283-(AB283*0.1769*炼钢参数表!K283/1000*100))/100/炼钢参数表!K283/($AG$3/100)*1000))</f>
        <v>0.644631814824278</v>
      </c>
      <c r="AH283" s="8">
        <v>2</v>
      </c>
      <c r="AI283" s="8">
        <f>IF(N283="",0,IF(N283&lt;=0.002,0,((N283)/100)/($AI$3/100)/炼钢参数表!M283*1000))</f>
        <v>0.79766125719390701</v>
      </c>
      <c r="AJ283" s="8">
        <f>IF(O283="",0,IF(O283&lt;=0.002,0,((O283)/100)/($AJ$3/100)/炼钢参数表!N283*1000))</f>
        <v>0.23533398599292099</v>
      </c>
      <c r="AK283" s="8">
        <f>IF(P283="",0,IF(P283&lt;=0.002,0,((P283+0.005)/100)/($AK$3/100)/炼钢参数表!O283*1000))</f>
        <v>0.33928072486328997</v>
      </c>
      <c r="AL283" s="8">
        <f>IF((BA283-J283*0.00003-K283*0.00024)&lt;=0.05,0,IF(T283="",0,IF(T283&lt;=0.03,0,IF(((BA283-J283*0.00003-K283*0.00024)-0.05)/0.18/100/($AL$3/100)/炼钢参数表!P283*1000&lt;=T283/100/($AL$3/100)/炼钢参数表!P283*1000,((BA283-J283*0.00003-K283*0.00024)-0.05)/0.18/100/($AL$3/100)/炼钢参数表!P283*1000,T283/100/($AL$3/100)/炼钢参数表!P283*1000))))</f>
        <v>10.0160256410256</v>
      </c>
      <c r="AM283" s="8">
        <f>IF(T283="",0,IF(T283&lt;=0.03,0,((T283-AL283*($AL$3/100)*炼钢参数表!P283/10)/100/($AM$3/100)/炼钢参数表!P283*1000)))</f>
        <v>0</v>
      </c>
      <c r="AN283" s="8">
        <f>IF(U283="",0,IF(U283&lt;=0.02,0,(U283/100)/($AN$3/100)/炼钢参数表!Q283*1000))</f>
        <v>5.15357658214801</v>
      </c>
      <c r="AO283" s="8">
        <f>IF(V283="",0,IF(V283&lt;=0.02,0,(V283/100)/($AO$3/100)/炼钢参数表!R283*1000))</f>
        <v>0</v>
      </c>
      <c r="AP283" s="8">
        <f>IF(W283="",0,IF(W283&lt;=0.02,0,(W283/100)/($AP$3/100)/炼钢参数表!S283*1000))</f>
        <v>0</v>
      </c>
      <c r="AQ283" s="8">
        <f>IF(X283="",0,IF(X283&lt;=0.0002,0,(X283/100)/($AQ$3/100)/炼钢参数表!T283*1000))</f>
        <v>0.134920634920635</v>
      </c>
      <c r="AR283" s="8">
        <f>IF(Y283="",0,IF(Y283&lt;=0.02,0,(Y283/100)/($AR$3/100)/炼钢参数表!U283*1000))</f>
        <v>0</v>
      </c>
      <c r="AS283" s="8">
        <f>IF(L283&lt;=0.04,0,((L283-0.04)/100)/($AS$3/100)/炼钢参数表!V283*1000)</f>
        <v>0</v>
      </c>
      <c r="AT283" s="8">
        <f>IF(M283&lt;=0.03,0,((M283-0.03)/100)/($AT$3/100)/炼钢参数表!W283*1000)</f>
        <v>0</v>
      </c>
      <c r="AU283" s="6"/>
      <c r="AV283" s="8">
        <f t="shared" si="52"/>
        <v>30.821614022271302</v>
      </c>
      <c r="AW283" s="8" cm="1">
        <f t="array" ref="AW283">SUMPRODUCT($AB$4:$AU$4,AB283:AU283)/1000</f>
        <v>1028.6330999413101</v>
      </c>
      <c r="AY283" s="2" t="str">
        <f t="shared" si="53"/>
        <v>NM600-2</v>
      </c>
      <c r="AZ283" s="37">
        <f>VLOOKUP(AY283,炼钢参数表!$F$5:$J$1027,4,0)</f>
        <v>0.05</v>
      </c>
      <c r="BA283" s="37">
        <f t="shared" si="54"/>
        <v>0.35</v>
      </c>
      <c r="BB283" s="37">
        <f>AB283*$BB$4*炼钢参数表!$X$5/1000</f>
        <v>1.7802283874256399E-2</v>
      </c>
      <c r="BC283" s="37">
        <f>AC283*$BC$4*炼钢参数表!$X$5/1000</f>
        <v>0</v>
      </c>
      <c r="BD283" s="37">
        <f>AD283*$BD$4*炼钢参数表!$X$5/1000</f>
        <v>0</v>
      </c>
      <c r="BE283" s="37">
        <f>AE283*$BE$4*炼钢参数表!$X$5/1000</f>
        <v>0</v>
      </c>
      <c r="BF283" s="37">
        <f>AL283*$BF$4*炼钢参数表!$X$5/1000</f>
        <v>9.0144230769230796E-2</v>
      </c>
      <c r="BG283" s="37">
        <f>AM283*$BG$4*炼钢参数表!$X$5/1000</f>
        <v>0</v>
      </c>
      <c r="BH283" s="37">
        <f t="shared" si="55"/>
        <v>0.10794651464348699</v>
      </c>
      <c r="BI283" s="37">
        <f t="shared" si="56"/>
        <v>0.157946514643487</v>
      </c>
      <c r="BJ283" s="37">
        <f t="shared" si="57"/>
        <v>-0.242053485356513</v>
      </c>
      <c r="BK283" s="54"/>
      <c r="BL283" s="7"/>
    </row>
    <row r="284" spans="1:16371" s="18" customFormat="1" x14ac:dyDescent="0.3">
      <c r="A284" s="21">
        <v>276</v>
      </c>
      <c r="B284" s="21" t="s">
        <v>507</v>
      </c>
      <c r="C284" s="21" t="s">
        <v>23</v>
      </c>
      <c r="D284" s="21">
        <v>3</v>
      </c>
      <c r="E284" s="21">
        <v>20</v>
      </c>
      <c r="F284" s="21" t="s">
        <v>508</v>
      </c>
      <c r="G284" s="22" t="s">
        <v>509</v>
      </c>
      <c r="H284" s="21">
        <v>1514</v>
      </c>
      <c r="I284" s="21">
        <v>0.14000000000000001</v>
      </c>
      <c r="J284" s="21">
        <v>0.15</v>
      </c>
      <c r="K284" s="21">
        <v>1.35</v>
      </c>
      <c r="L284" s="21">
        <v>0.01</v>
      </c>
      <c r="M284" s="21">
        <v>3.0000000000000001E-3</v>
      </c>
      <c r="N284" s="21"/>
      <c r="O284" s="21">
        <v>2.5000000000000001E-2</v>
      </c>
      <c r="P284" s="21">
        <v>1.4999999999999999E-2</v>
      </c>
      <c r="Q284" s="21">
        <v>3.5000000000000003E-2</v>
      </c>
      <c r="R284" s="21" t="s">
        <v>631</v>
      </c>
      <c r="S284" s="21" t="s">
        <v>631</v>
      </c>
      <c r="T284" s="21">
        <v>0.35</v>
      </c>
      <c r="U284" s="21">
        <v>0</v>
      </c>
      <c r="V284" s="21">
        <v>0</v>
      </c>
      <c r="W284" s="21">
        <v>0</v>
      </c>
      <c r="X284" s="21">
        <v>1.2999999999999999E-3</v>
      </c>
      <c r="Y284" s="21" t="s">
        <v>631</v>
      </c>
      <c r="Z284" s="21">
        <v>45</v>
      </c>
      <c r="AA284" s="21"/>
      <c r="AB284" s="42">
        <f>IF(J284&lt;=0.04,0,IF((BA284-AL284*BF$4*炼钢参数表!$X$5/1000-AM284*BG$4*炼钢参数表!$X$5/1000)&lt;=0.03,0,IF((J284/100/0.1769/炼钢参数表!K284*1000)&gt;(K284-炼钢参数表!J284)/100/0.6566/炼钢参数表!L284*1000,IF(K284&lt;1.6,(K284-炼钢参数表!J284)/100/0.6566/炼钢参数表!L284*1000,(K284-0.08-炼钢参数表!J284)/100/0.6566/炼钢参数表!L284*1000),IF(K284&lt;1.6,J284/100/0.1769/炼钢参数表!K284*1000,(J284-0.08)/100/0.1769/炼钢参数表!K284*1000))))</f>
        <v>10.5992085924251</v>
      </c>
      <c r="AC284" s="8">
        <f>IF((BA284-AB284*$BB$4*0.9/1000-AL284*BF$4*炼钢参数表!$X$5/1000-AM284*BG$4*炼钢参数表!$X$5/1000)&lt;(K284-炼钢参数表!J284-AB284*0.6566*炼钢参数表!L284/10)*0.082,0,(K284-炼钢参数表!J284-AB284*0.6566*炼钢参数表!L284/10)/100/($AC$3/100)/炼钢参数表!L284*1000)</f>
        <v>0</v>
      </c>
      <c r="AD284" s="8">
        <f>IF((BA284-AB284*$BB$4*0.9/1000-AC284*$BC$4*0.9/1000-AL284*BF$4*炼钢参数表!$X$5/1000-AM284*BG$4*炼钢参数表!$X$5/1000)&lt;=(K284-炼钢参数表!J284-AB284*0.6566*炼钢参数表!L284/10-AC284*($AC$3/100)*炼钢参数表!L284/10)*0.02,0,((K284-炼钢参数表!J284-AB284*0.6566*炼钢参数表!L284/10-AC284*($AC$3/100)*炼钢参数表!L284/10)/100/($AD$3/100)/炼钢参数表!L284*1000))</f>
        <v>7.1908613386255897</v>
      </c>
      <c r="AE284" s="8">
        <f>(K284-炼钢参数表!J284-AB284*0.6566*炼钢参数表!L284/10-AC284*($AC$3/100)*炼钢参数表!L284/10-AD284*($AD$3/100)*炼钢参数表!L284/10)/100/($AE$3/100)/炼钢参数表!L284*1000</f>
        <v>0</v>
      </c>
      <c r="AF284" s="8">
        <v>0</v>
      </c>
      <c r="AG284" s="8">
        <f>IF(J284&lt;=0.04,0,((J284-(AB284*0.1769*炼钢参数表!K284/1000*100))/100/炼钢参数表!K284/($AG$3/100)*1000))</f>
        <v>0</v>
      </c>
      <c r="AH284" s="8">
        <v>1.8</v>
      </c>
      <c r="AI284" s="8">
        <f>IF(N284="",0,IF(N284&lt;=0.002,0,((N284)/100)/($AI$3/100)/炼钢参数表!M284*1000))</f>
        <v>0</v>
      </c>
      <c r="AJ284" s="8">
        <f>IF(O284="",0,IF(O284&lt;=0.002,0,((O284)/100)/($AJ$3/100)/炼钢参数表!N284*1000))</f>
        <v>0.39222330998820198</v>
      </c>
      <c r="AK284" s="8">
        <f>IF(P284="",0,IF(P284&lt;=0.002,0,((P284+0.005)/100)/($AK$3/100)/炼钢参数表!O284*1000))</f>
        <v>0.399153793956812</v>
      </c>
      <c r="AL284" s="8">
        <f>IF((BA284-J284*0.00003-K284*0.00024)&lt;=0.05,0,IF(T284="",0,IF(T284&lt;=0.03,0,IF(((BA284-J284*0.00003-K284*0.00024)-0.05)/0.18/100/($AL$3/100)/炼钢参数表!P284*1000&lt;=T284/100/($AL$3/100)/炼钢参数表!P284*1000,((BA284-J284*0.00003-K284*0.00024)-0.05)/0.18/100/($AL$3/100)/炼钢参数表!P284*1000,T284/100/($AL$3/100)/炼钢参数表!P284*1000))))</f>
        <v>3.69162882834758</v>
      </c>
      <c r="AM284" s="8">
        <f>IF(T284="",0,IF(T284&lt;=0.03,0,((T284-AL284*($AL$3/100)*炼钢参数表!P284/10)/100/($AM$3/100)/炼钢参数表!P284*1000)))</f>
        <v>2.9040820030157999</v>
      </c>
      <c r="AN284" s="8">
        <f>IF(U284="",0,IF(U284&lt;=0.02,0,(U284/100)/($AN$3/100)/炼钢参数表!Q284*1000))</f>
        <v>0</v>
      </c>
      <c r="AO284" s="8">
        <f>IF(V284="",0,IF(V284&lt;=0.02,0,(V284/100)/($AO$3/100)/炼钢参数表!R284*1000))</f>
        <v>0</v>
      </c>
      <c r="AP284" s="8">
        <f>IF(W284="",0,IF(W284&lt;=0.02,0,(W284/100)/($AP$3/100)/炼钢参数表!S284*1000))</f>
        <v>0</v>
      </c>
      <c r="AQ284" s="8">
        <f>IF(X284="",0,IF(X284&lt;=0.0002,0,(X284/100)/($AQ$3/100)/炼钢参数表!T284*1000))</f>
        <v>0.103174603174603</v>
      </c>
      <c r="AR284" s="8">
        <f>IF(Y284="",0,IF(Y284&lt;=0.02,0,(Y284/100)/($AR$3/100)/炼钢参数表!U284*1000))</f>
        <v>0</v>
      </c>
      <c r="AS284" s="8">
        <f>IF(L284&lt;=0.04,0,((L284-0.04)/100)/($AS$3/100)/炼钢参数表!V284*1000)</f>
        <v>0</v>
      </c>
      <c r="AT284" s="8">
        <f>IF(M284&lt;=0.03,0,((M284-0.03)/100)/($AT$3/100)/炼钢参数表!W284*1000)</f>
        <v>0</v>
      </c>
      <c r="AU284" s="6"/>
      <c r="AV284" s="8">
        <f t="shared" si="52"/>
        <v>27.080332469533701</v>
      </c>
      <c r="AW284" s="8" cm="1">
        <f t="array" ref="AW284">SUMPRODUCT($AB$4:$AU$4,AB284:AU284)/1000</f>
        <v>320.41387198680201</v>
      </c>
      <c r="AY284" s="2" t="str">
        <f t="shared" si="53"/>
        <v>Q690D-1</v>
      </c>
      <c r="AZ284" s="37">
        <f>VLOOKUP(AY284,炼钢参数表!$F$5:$J$1027,4,0)</f>
        <v>5.6500000000000002E-2</v>
      </c>
      <c r="BA284" s="37">
        <f t="shared" si="54"/>
        <v>8.3500000000000005E-2</v>
      </c>
      <c r="BB284" s="37">
        <f>AB284*$BB$4*炼钢参数表!$X$5/1000</f>
        <v>1.6407574901074098E-2</v>
      </c>
      <c r="BC284" s="37">
        <f>AC284*$BC$4*炼钢参数表!$X$5/1000</f>
        <v>0</v>
      </c>
      <c r="BD284" s="37">
        <f>AD284*$BD$4*炼钢参数表!$X$5/1000</f>
        <v>9.7076628071445497E-3</v>
      </c>
      <c r="BE284" s="37">
        <f>AE284*$BE$4*炼钢参数表!$X$5/1000</f>
        <v>0</v>
      </c>
      <c r="BF284" s="37">
        <f>AL284*$BF$4*炼钢参数表!$X$5/1000</f>
        <v>3.3224659455128203E-2</v>
      </c>
      <c r="BG284" s="37">
        <f>AM284*$BG$4*炼钢参数表!$X$5/1000</f>
        <v>3.13640856325706E-4</v>
      </c>
      <c r="BH284" s="37">
        <f t="shared" si="55"/>
        <v>5.9653538019672499E-2</v>
      </c>
      <c r="BI284" s="37">
        <f t="shared" si="56"/>
        <v>0.116153538019673</v>
      </c>
      <c r="BJ284" s="37">
        <f t="shared" si="57"/>
        <v>-2.3846461980327499E-2</v>
      </c>
      <c r="BK284" s="54"/>
      <c r="BL284" s="7"/>
    </row>
    <row r="285" spans="1:16371" s="18" customFormat="1" x14ac:dyDescent="0.3">
      <c r="A285" s="21">
        <v>277</v>
      </c>
      <c r="B285" s="4" t="s">
        <v>510</v>
      </c>
      <c r="C285" s="4" t="s">
        <v>23</v>
      </c>
      <c r="D285" s="4">
        <v>3.5</v>
      </c>
      <c r="E285" s="4">
        <v>25.4</v>
      </c>
      <c r="F285" s="4" t="s">
        <v>510</v>
      </c>
      <c r="G285" s="50" t="s">
        <v>511</v>
      </c>
      <c r="H285" s="4">
        <v>1519</v>
      </c>
      <c r="I285" s="51">
        <v>0.16</v>
      </c>
      <c r="J285" s="52">
        <v>0.1</v>
      </c>
      <c r="K285" s="52">
        <v>0.6</v>
      </c>
      <c r="L285" s="51">
        <v>0.02</v>
      </c>
      <c r="M285" s="51">
        <v>1.4999999999999999E-2</v>
      </c>
      <c r="N285" s="51" t="s">
        <v>631</v>
      </c>
      <c r="O285" s="51" t="s">
        <v>631</v>
      </c>
      <c r="P285" s="51" t="s">
        <v>631</v>
      </c>
      <c r="Q285" s="51">
        <v>2.5000000000000001E-2</v>
      </c>
      <c r="R285" s="51" t="s">
        <v>631</v>
      </c>
      <c r="S285" s="32" t="s">
        <v>631</v>
      </c>
      <c r="T285" s="52"/>
      <c r="U285" s="52"/>
      <c r="V285" s="52"/>
      <c r="W285" s="52"/>
      <c r="X285" s="32" t="s">
        <v>631</v>
      </c>
      <c r="Y285" s="53" t="s">
        <v>631</v>
      </c>
      <c r="Z285" s="4"/>
      <c r="AA285" s="53"/>
      <c r="AB285" s="42">
        <f>IF(J285&lt;=0.04,0,IF((BA285-AL285*BF$4*炼钢参数表!$X$5/1000-AM285*BG$4*炼钢参数表!$X$5/1000)&lt;=0.03,0,IF((J285/100/0.1769/炼钢参数表!K285*1000)&gt;(K285-炼钢参数表!J285)/100/0.6566/炼钢参数表!L285*1000,IF(K285&lt;1.6,(K285-炼钢参数表!J285)/100/0.6566/炼钢参数表!L285*1000,(K285-0.08-炼钢参数表!J285)/100/0.6566/炼钢参数表!L285*1000),IF(K285&lt;1.6,J285/100/0.1769/炼钢参数表!K285*1000,(J285-0.08)/100/0.1769/炼钢参数表!K285*1000))))</f>
        <v>7.0661390616167301</v>
      </c>
      <c r="AC285" s="8">
        <f>IF((BA285-AB285*$BB$4*0.9/1000-AL285*BF$4*炼钢参数表!$X$5/1000-AM285*BG$4*炼钢参数表!$X$5/1000)&lt;(K285-炼钢参数表!J285-AB285*0.6566*炼钢参数表!L285/10)*0.082,0,(K285-炼钢参数表!J285-AB285*0.6566*炼钢参数表!L285/10)/100/($AC$3/100)/炼钢参数表!L285*1000)</f>
        <v>0.24797117621331999</v>
      </c>
      <c r="AD285" s="8">
        <f>IF((BA285-AB285*$BB$4*0.9/1000-AC285*$BC$4*0.9/1000-AL285*BF$4*炼钢参数表!$X$5/1000-AM285*BG$4*炼钢参数表!$X$5/1000)&lt;=(K285-炼钢参数表!J285-AB285*0.6566*炼钢参数表!L285/10-AC285*($AC$3/100)*炼钢参数表!L285/10)*0.02,0,((K285-炼钢参数表!J285-AB285*0.6566*炼钢参数表!L285/10-AC285*($AC$3/100)*炼钢参数表!L285/10)/100/($AD$3/100)/炼钢参数表!L285*1000))</f>
        <v>0</v>
      </c>
      <c r="AE285" s="8">
        <f>(K285-炼钢参数表!J285-AB285*0.6566*炼钢参数表!L285/10-AC285*($AC$3/100)*炼钢参数表!L285/10-AD285*($AD$3/100)*炼钢参数表!L285/10)/100/($AE$3/100)/炼钢参数表!L285*1000</f>
        <v>0</v>
      </c>
      <c r="AF285" s="8">
        <v>0</v>
      </c>
      <c r="AG285" s="8">
        <f>IF(J285&lt;=0.04,0,((J285-(AB285*0.1769*炼钢参数表!K285/1000*100))/100/炼钢参数表!K285/($AG$3/100)*1000))</f>
        <v>0</v>
      </c>
      <c r="AH285" s="8">
        <v>1.33</v>
      </c>
      <c r="AI285" s="8">
        <f>IF(N285="",0,IF(N285&lt;=0.002,0,((N285)/100)/($AI$3/100)/炼钢参数表!M285*1000))</f>
        <v>0</v>
      </c>
      <c r="AJ285" s="8">
        <f>IF(O285="",0,IF(O285&lt;=0.002,0,((O285)/100)/($AJ$3/100)/炼钢参数表!N285*1000))</f>
        <v>0</v>
      </c>
      <c r="AK285" s="8">
        <f>IF(P285="",0,IF(P285&lt;=0.002,0,((P285+0.005)/100)/($AK$3/100)/炼钢参数表!O285*1000))</f>
        <v>0</v>
      </c>
      <c r="AL285" s="8">
        <f>IF((BA285-J285*0.00003-K285*0.00024)&lt;=0.05,0,IF(T285="",0,IF(T285&lt;=0.03,0,IF(((BA285-J285*0.00003-K285*0.00024)-0.05)/0.18/100/($AL$3/100)/炼钢参数表!P285*1000&lt;=T285/100/($AL$3/100)/炼钢参数表!P285*1000,((BA285-J285*0.00003-K285*0.00024)-0.05)/0.18/100/($AL$3/100)/炼钢参数表!P285*1000,T285/100/($AL$3/100)/炼钢参数表!P285*1000))))</f>
        <v>0</v>
      </c>
      <c r="AM285" s="8">
        <f>IF(T285="",0,IF(T285&lt;=0.03,0,((T285-AL285*($AL$3/100)*炼钢参数表!P285/10)/100/($AM$3/100)/炼钢参数表!P285*1000)))</f>
        <v>0</v>
      </c>
      <c r="AN285" s="8">
        <f>IF(U285="",0,IF(U285&lt;=0.02,0,(U285/100)/($AN$3/100)/炼钢参数表!Q285*1000))</f>
        <v>0</v>
      </c>
      <c r="AO285" s="8">
        <f>IF(V285="",0,IF(V285&lt;=0.02,0,(V285/100)/($AO$3/100)/炼钢参数表!R285*1000))</f>
        <v>0</v>
      </c>
      <c r="AP285" s="8">
        <f>IF(W285="",0,IF(W285&lt;=0.02,0,(W285/100)/($AP$3/100)/炼钢参数表!S285*1000))</f>
        <v>0</v>
      </c>
      <c r="AQ285" s="8">
        <f>IF(X285="",0,IF(X285&lt;=0.0002,0,(X285/100)/($AQ$3/100)/炼钢参数表!T285*1000))</f>
        <v>0</v>
      </c>
      <c r="AR285" s="8">
        <f>IF(Y285="",0,IF(Y285&lt;=0.02,0,(Y285/100)/($AR$3/100)/炼钢参数表!U285*1000))</f>
        <v>0</v>
      </c>
      <c r="AS285" s="8">
        <f>IF(L285&lt;=0.04,0,((L285-0.04)/100)/($AS$3/100)/炼钢参数表!V285*1000)</f>
        <v>0</v>
      </c>
      <c r="AT285" s="8">
        <f>IF(M285&lt;=0.03,0,((M285-0.03)/100)/($AT$3/100)/炼钢参数表!W285*1000)</f>
        <v>0</v>
      </c>
      <c r="AU285" s="6"/>
      <c r="AV285" s="8">
        <f t="shared" ref="AV285:AV332" si="58">SUM(AB285:AU285)</f>
        <v>8.6441102378300503</v>
      </c>
      <c r="AW285" s="8" cm="1">
        <f t="array" ref="AW285">SUMPRODUCT($AB$4:$AU$4,AB285:AU285)/1000</f>
        <v>69.539473965705795</v>
      </c>
      <c r="AY285" s="2" t="str">
        <f t="shared" si="53"/>
        <v>A</v>
      </c>
      <c r="AZ285" s="37">
        <f>VLOOKUP(AY285,炼钢参数表!$F$5:$J$1027,4,0)</f>
        <v>7.4291718170581098E-2</v>
      </c>
      <c r="BA285" s="37">
        <f t="shared" si="54"/>
        <v>8.5708281829418906E-2</v>
      </c>
      <c r="BB285" s="77">
        <f>AB285*$BB$4*炼钢参数表!$X$5/1000</f>
        <v>1.09383832673827E-2</v>
      </c>
      <c r="BC285" s="77">
        <f>AC285*$BC$4*炼钢参数表!$X$5/1000</f>
        <v>1.4930344519804E-3</v>
      </c>
      <c r="BD285" s="77">
        <f>AD285*$BD$4*炼钢参数表!$X$5/1000</f>
        <v>0</v>
      </c>
      <c r="BE285" s="77">
        <f>AE285*$BE$4*炼钢参数表!$X$5/1000</f>
        <v>0</v>
      </c>
      <c r="BF285" s="77">
        <f>AL285*$BF$4*炼钢参数表!$X$5/1000</f>
        <v>0</v>
      </c>
      <c r="BG285" s="77">
        <f>AM285*$BG$4*炼钢参数表!$X$5/1000</f>
        <v>0</v>
      </c>
      <c r="BH285" s="77">
        <f t="shared" si="55"/>
        <v>1.24314177193631E-2</v>
      </c>
      <c r="BI285" s="77">
        <f t="shared" si="56"/>
        <v>8.6723135889944195E-2</v>
      </c>
      <c r="BJ285" s="77">
        <f t="shared" si="57"/>
        <v>-7.3276864110055795E-2</v>
      </c>
      <c r="BK285" s="54"/>
      <c r="BL285" s="7"/>
    </row>
    <row r="286" spans="1:16371" s="18" customFormat="1" x14ac:dyDescent="0.3">
      <c r="A286" s="21">
        <v>278</v>
      </c>
      <c r="B286" s="4" t="s">
        <v>512</v>
      </c>
      <c r="C286" s="4" t="s">
        <v>23</v>
      </c>
      <c r="D286" s="4">
        <v>4</v>
      </c>
      <c r="E286" s="4">
        <v>25.4</v>
      </c>
      <c r="F286" s="4" t="s">
        <v>512</v>
      </c>
      <c r="G286" s="50" t="s">
        <v>511</v>
      </c>
      <c r="H286" s="4">
        <v>1519</v>
      </c>
      <c r="I286" s="51">
        <v>0.16</v>
      </c>
      <c r="J286" s="52">
        <v>0.12</v>
      </c>
      <c r="K286" s="52">
        <v>0.75</v>
      </c>
      <c r="L286" s="51">
        <v>1.4999999999999999E-2</v>
      </c>
      <c r="M286" s="51">
        <v>6.0000000000000001E-3</v>
      </c>
      <c r="N286" s="51" t="s">
        <v>631</v>
      </c>
      <c r="O286" s="51" t="s">
        <v>631</v>
      </c>
      <c r="P286" s="51" t="s">
        <v>631</v>
      </c>
      <c r="Q286" s="51">
        <v>2.5000000000000001E-2</v>
      </c>
      <c r="R286" s="51" t="s">
        <v>631</v>
      </c>
      <c r="S286" s="32" t="s">
        <v>631</v>
      </c>
      <c r="T286" s="52"/>
      <c r="U286" s="52"/>
      <c r="V286" s="52"/>
      <c r="W286" s="52"/>
      <c r="X286" s="32" t="s">
        <v>631</v>
      </c>
      <c r="Y286" s="53" t="s">
        <v>631</v>
      </c>
      <c r="Z286" s="4">
        <v>45</v>
      </c>
      <c r="AA286" s="53" t="s">
        <v>631</v>
      </c>
      <c r="AB286" s="42">
        <f>IF(J286&lt;=0.04,0,IF((BA286-AL286*BF$4*炼钢参数表!$X$5/1000-AM286*BG$4*炼钢参数表!$X$5/1000)&lt;=0.03,0,IF((J286/100/0.1769/炼钢参数表!K286*1000)&gt;(K286-炼钢参数表!J286)/100/0.6566/炼钢参数表!L286*1000,IF(K286&lt;1.6,(K286-炼钢参数表!J286)/100/0.6566/炼钢参数表!L286*1000,(K286-0.08-炼钢参数表!J286)/100/0.6566/炼钢参数表!L286*1000),IF(K286&lt;1.6,J286/100/0.1769/炼钢参数表!K286*1000,(J286-0.08)/100/0.1769/炼钢参数表!K286*1000))))</f>
        <v>8.47936687394008</v>
      </c>
      <c r="AC286" s="8">
        <f>IF((BA286-AB286*$BB$4*0.9/1000-AL286*BF$4*炼钢参数表!$X$5/1000-AM286*BG$4*炼钢参数表!$X$5/1000)&lt;(K286-炼钢参数表!J286-AB286*0.6566*炼钢参数表!L286/10)*0.082,0,(K286-炼钢参数表!J286-AB286*0.6566*炼钢参数表!L286/10)/100/($AC$3/100)/炼钢参数表!L286*1000)</f>
        <v>1.07281224609119</v>
      </c>
      <c r="AD286" s="8">
        <f>IF((BA286-AB286*$BB$4*0.9/1000-AC286*$BC$4*0.9/1000-AL286*BF$4*炼钢参数表!$X$5/1000-AM286*BG$4*炼钢参数表!$X$5/1000)&lt;=(K286-炼钢参数表!J286-AB286*0.6566*炼钢参数表!L286/10-AC286*($AC$3/100)*炼钢参数表!L286/10)*0.02,0,((K286-炼钢参数表!J286-AB286*0.6566*炼钢参数表!L286/10-AC286*($AC$3/100)*炼钢参数表!L286/10)/100/($AD$3/100)/炼钢参数表!L286*1000))</f>
        <v>0</v>
      </c>
      <c r="AE286" s="8">
        <f>(K286-炼钢参数表!J286-AB286*0.6566*炼钢参数表!L286/10-AC286*($AC$3/100)*炼钢参数表!L286/10-AD286*($AD$3/100)*炼钢参数表!L286/10)/100/($AE$3/100)/炼钢参数表!L286*1000</f>
        <v>0</v>
      </c>
      <c r="AF286" s="8">
        <v>0</v>
      </c>
      <c r="AG286" s="8">
        <f>IF(J286&lt;=0.04,0,((J286-(AB286*0.1769*炼钢参数表!K286/1000*100))/100/炼钢参数表!K286/($AG$3/100)*1000))</f>
        <v>0</v>
      </c>
      <c r="AH286" s="8">
        <v>1.33</v>
      </c>
      <c r="AI286" s="8">
        <f>IF(N286="",0,IF(N286&lt;=0.002,0,((N286)/100)/($AI$3/100)/炼钢参数表!M286*1000))</f>
        <v>0</v>
      </c>
      <c r="AJ286" s="8">
        <f>IF(O286="",0,IF(O286&lt;=0.002,0,((O286)/100)/($AJ$3/100)/炼钢参数表!N286*1000))</f>
        <v>0</v>
      </c>
      <c r="AK286" s="8">
        <f>IF(P286="",0,IF(P286&lt;=0.002,0,((P286+0.005)/100)/($AK$3/100)/炼钢参数表!O286*1000))</f>
        <v>0</v>
      </c>
      <c r="AL286" s="8">
        <f>IF((BA286-J286*0.00003-K286*0.00024)&lt;=0.05,0,IF(T286="",0,IF(T286&lt;=0.03,0,IF(((BA286-J286*0.00003-K286*0.00024)-0.05)/0.18/100/($AL$3/100)/炼钢参数表!P286*1000&lt;=T286/100/($AL$3/100)/炼钢参数表!P286*1000,((BA286-J286*0.00003-K286*0.00024)-0.05)/0.18/100/($AL$3/100)/炼钢参数表!P286*1000,T286/100/($AL$3/100)/炼钢参数表!P286*1000))))</f>
        <v>0</v>
      </c>
      <c r="AM286" s="8">
        <f>IF(T286="",0,IF(T286&lt;=0.03,0,((T286-AL286*($AL$3/100)*炼钢参数表!P286/10)/100/($AM$3/100)/炼钢参数表!P286*1000)))</f>
        <v>0</v>
      </c>
      <c r="AN286" s="8">
        <f>IF(U286="",0,IF(U286&lt;=0.02,0,(U286/100)/($AN$3/100)/炼钢参数表!Q286*1000))</f>
        <v>0</v>
      </c>
      <c r="AO286" s="8">
        <f>IF(V286="",0,IF(V286&lt;=0.02,0,(V286/100)/($AO$3/100)/炼钢参数表!R286*1000))</f>
        <v>0</v>
      </c>
      <c r="AP286" s="8">
        <f>IF(W286="",0,IF(W286&lt;=0.02,0,(W286/100)/($AP$3/100)/炼钢参数表!S286*1000))</f>
        <v>0</v>
      </c>
      <c r="AQ286" s="8">
        <f>IF(X286="",0,IF(X286&lt;=0.0002,0,(X286/100)/($AQ$3/100)/炼钢参数表!T286*1000))</f>
        <v>0</v>
      </c>
      <c r="AR286" s="8">
        <f>IF(Y286="",0,IF(Y286&lt;=0.02,0,(Y286/100)/($AR$3/100)/炼钢参数表!U286*1000))</f>
        <v>0</v>
      </c>
      <c r="AS286" s="8">
        <f>IF(L286&lt;=0.04,0,((L286-0.04)/100)/($AS$3/100)/炼钢参数表!V286*1000)</f>
        <v>0</v>
      </c>
      <c r="AT286" s="8">
        <f>IF(M286&lt;=0.03,0,((M286-0.03)/100)/($AT$3/100)/炼钢参数表!W286*1000)</f>
        <v>0</v>
      </c>
      <c r="AU286" s="6"/>
      <c r="AV286" s="8">
        <f t="shared" si="58"/>
        <v>10.882179120031299</v>
      </c>
      <c r="AW286" s="8" cm="1">
        <f t="array" ref="AW286">SUMPRODUCT($AB$4:$AU$4,AB286:AU286)/1000</f>
        <v>82.191465998279199</v>
      </c>
      <c r="AY286" s="2" t="str">
        <f t="shared" si="53"/>
        <v>B</v>
      </c>
      <c r="AZ286" s="37">
        <f>VLOOKUP(AY286,炼钢参数表!$F$5:$J$1027,4,0)</f>
        <v>7.3384615384615395E-2</v>
      </c>
      <c r="BA286" s="37">
        <f t="shared" si="54"/>
        <v>8.6615384615384594E-2</v>
      </c>
      <c r="BB286" s="77">
        <f>AB286*$BB$4*炼钢参数表!$X$5/1000</f>
        <v>1.31260599208592E-2</v>
      </c>
      <c r="BC286" s="77">
        <f>AC286*$BC$4*炼钢参数表!$X$5/1000</f>
        <v>6.4594025337150604E-3</v>
      </c>
      <c r="BD286" s="77">
        <f>AD286*$BD$4*炼钢参数表!$X$5/1000</f>
        <v>0</v>
      </c>
      <c r="BE286" s="77">
        <f>AE286*$BE$4*炼钢参数表!$X$5/1000</f>
        <v>0</v>
      </c>
      <c r="BF286" s="77">
        <f>AL286*$BF$4*炼钢参数表!$X$5/1000</f>
        <v>0</v>
      </c>
      <c r="BG286" s="77">
        <f>AM286*$BG$4*炼钢参数表!$X$5/1000</f>
        <v>0</v>
      </c>
      <c r="BH286" s="77">
        <f t="shared" si="55"/>
        <v>1.95854624545743E-2</v>
      </c>
      <c r="BI286" s="77">
        <f t="shared" si="56"/>
        <v>9.2970077839189702E-2</v>
      </c>
      <c r="BJ286" s="77">
        <f t="shared" si="57"/>
        <v>-6.7029922160810301E-2</v>
      </c>
      <c r="BK286" s="54"/>
      <c r="BL286" s="7"/>
    </row>
    <row r="287" spans="1:16371" s="18" customFormat="1" x14ac:dyDescent="0.3">
      <c r="A287" s="21">
        <v>279</v>
      </c>
      <c r="B287" s="4" t="s">
        <v>513</v>
      </c>
      <c r="C287" s="4" t="s">
        <v>23</v>
      </c>
      <c r="D287" s="4">
        <v>4</v>
      </c>
      <c r="E287" s="4">
        <v>12.5</v>
      </c>
      <c r="F287" s="4" t="s">
        <v>514</v>
      </c>
      <c r="G287" s="50" t="s">
        <v>511</v>
      </c>
      <c r="H287" s="4">
        <v>1521</v>
      </c>
      <c r="I287" s="51">
        <v>7.0000000000000007E-2</v>
      </c>
      <c r="J287" s="52">
        <v>0.2</v>
      </c>
      <c r="K287" s="52">
        <v>1.2</v>
      </c>
      <c r="L287" s="51">
        <v>1.4999999999999999E-2</v>
      </c>
      <c r="M287" s="51">
        <v>6.0000000000000001E-3</v>
      </c>
      <c r="N287" s="51"/>
      <c r="O287" s="51"/>
      <c r="P287" s="51"/>
      <c r="Q287" s="51">
        <v>0.03</v>
      </c>
      <c r="R287" s="51"/>
      <c r="S287" s="32">
        <v>0.01</v>
      </c>
      <c r="T287" s="52"/>
      <c r="U287" s="52"/>
      <c r="V287" s="52" t="s">
        <v>631</v>
      </c>
      <c r="W287" s="52"/>
      <c r="X287" s="32" t="s">
        <v>631</v>
      </c>
      <c r="Y287" s="53" t="s">
        <v>631</v>
      </c>
      <c r="Z287" s="4" t="s">
        <v>631</v>
      </c>
      <c r="AA287" s="104"/>
      <c r="AB287" s="42">
        <f>IF(J287&lt;=0.04,0,IF((BA287-AL287*BF$4*炼钢参数表!$X$5/1000-AM287*BG$4*炼钢参数表!$X$5/1000)&lt;=0.03,0,IF((J287/100/0.1769/炼钢参数表!K287*1000)&gt;(K287-炼钢参数表!J287)/100/0.6566/炼钢参数表!L287*1000,IF(K287&lt;1.6,(K287-炼钢参数表!J287)/100/0.6566/炼钢参数表!L287*1000,(K287-0.08-炼钢参数表!J287)/100/0.6566/炼钢参数表!L287*1000),IF(K287&lt;1.6,J287/100/0.1769/炼钢参数表!K287*1000,(J287-0.08)/100/0.1769/炼钢参数表!K287*1000))))</f>
        <v>0</v>
      </c>
      <c r="AC287" s="8">
        <f>IF((BA287-AB287*$BB$4*0.9/1000-AL287*BF$4*炼钢参数表!$X$5/1000-AM287*BG$4*炼钢参数表!$X$5/1000)&lt;(K287-炼钢参数表!J287-AB287*0.6566*炼钢参数表!L287/10)*0.082,0,(K287-炼钢参数表!J287-AB287*0.6566*炼钢参数表!L287/10)/100/($AC$3/100)/炼钢参数表!L287*1000)</f>
        <v>0</v>
      </c>
      <c r="AD287" s="8">
        <f>IF((BA287-AB287*$BB$4*0.9/1000-AC287*$BC$4*0.9/1000-AL287*BF$4*炼钢参数表!$X$5/1000-AM287*BG$4*炼钢参数表!$X$5/1000)&lt;=(K287-炼钢参数表!J287-AB287*0.6566*炼钢参数表!L287/10-AC287*($AC$3/100)*炼钢参数表!L287/10)*0.02,0,((K287-炼钢参数表!J287-AB287*0.6566*炼钢参数表!L287/10-AC287*($AC$3/100)*炼钢参数表!L287/10)/100/($AD$3/100)/炼钢参数表!L287*1000))</f>
        <v>14.358557275724101</v>
      </c>
      <c r="AE287" s="8">
        <f>(K287-炼钢参数表!J287-AB287*0.6566*炼钢参数表!L287/10-AC287*($AC$3/100)*炼钢参数表!L287/10-AD287*($AD$3/100)*炼钢参数表!L287/10)/100/($AE$3/100)/炼钢参数表!L287*1000</f>
        <v>0</v>
      </c>
      <c r="AF287" s="8">
        <v>0</v>
      </c>
      <c r="AG287" s="8">
        <f>IF(J287&lt;=0.04,0,((J287-(AB287*0.1769*炼钢参数表!K287/1000*100))/100/炼钢参数表!K287/($AG$3/100)*1000))</f>
        <v>3.4611657206147002</v>
      </c>
      <c r="AH287" s="8">
        <v>1.9</v>
      </c>
      <c r="AI287" s="8">
        <f>IF(N287="",0,IF(N287&lt;=0.002,0,((N287)/100)/($AI$3/100)/炼钢参数表!M287*1000))</f>
        <v>0</v>
      </c>
      <c r="AJ287" s="8">
        <f>IF(O287="",0,IF(O287&lt;=0.002,0,((O287)/100)/($AJ$3/100)/炼钢参数表!N287*1000))</f>
        <v>0</v>
      </c>
      <c r="AK287" s="8">
        <f>IF(P287="",0,IF(P287&lt;=0.002,0,((P287+0.005)/100)/($AK$3/100)/炼钢参数表!O287*1000))</f>
        <v>0</v>
      </c>
      <c r="AL287" s="8">
        <f>IF((BA287-J287*0.00003-K287*0.00024)&lt;=0.05,0,IF(T287="",0,IF(T287&lt;=0.03,0,IF(((BA287-J287*0.00003-K287*0.00024)-0.05)/0.18/100/($AL$3/100)/炼钢参数表!P287*1000&lt;=T287/100/($AL$3/100)/炼钢参数表!P287*1000,((BA287-J287*0.00003-K287*0.00024)-0.05)/0.18/100/($AL$3/100)/炼钢参数表!P287*1000,T287/100/($AL$3/100)/炼钢参数表!P287*1000))))</f>
        <v>0</v>
      </c>
      <c r="AM287" s="8">
        <f>IF(T287="",0,IF(T287&lt;=0.03,0,((T287-AL287*($AL$3/100)*炼钢参数表!P287/10)/100/($AM$3/100)/炼钢参数表!P287*1000)))</f>
        <v>0</v>
      </c>
      <c r="AN287" s="8">
        <f>IF(U287="",0,IF(U287&lt;=0.02,0,(U287/100)/($AN$3/100)/炼钢参数表!Q287*1000))</f>
        <v>0</v>
      </c>
      <c r="AO287" s="8">
        <f>IF(V287="",0,IF(V287&lt;=0.02,0,(V287/100)/($AO$3/100)/炼钢参数表!R287*1000))</f>
        <v>0</v>
      </c>
      <c r="AP287" s="8">
        <f>IF(W287="",0,IF(W287&lt;=0.02,0,(W287/100)/($AP$3/100)/炼钢参数表!S287*1000))</f>
        <v>0</v>
      </c>
      <c r="AQ287" s="8">
        <f>IF(X287="",0,IF(X287&lt;=0.0002,0,(X287/100)/($AQ$3/100)/炼钢参数表!T287*1000))</f>
        <v>0</v>
      </c>
      <c r="AR287" s="8">
        <f>IF(Y287="",0,IF(Y287&lt;=0.02,0,(Y287/100)/($AR$3/100)/炼钢参数表!U287*1000))</f>
        <v>0</v>
      </c>
      <c r="AS287" s="8">
        <f>IF(L287&lt;=0.04,0,((L287-0.04)/100)/($AS$3/100)/炼钢参数表!V287*1000)</f>
        <v>0</v>
      </c>
      <c r="AT287" s="8">
        <f>IF(M287&lt;=0.03,0,((M287-0.03)/100)/($AT$3/100)/炼钢参数表!W287*1000)</f>
        <v>0</v>
      </c>
      <c r="AU287" s="6"/>
      <c r="AV287" s="8">
        <f t="shared" si="58"/>
        <v>19.719722996338799</v>
      </c>
      <c r="AW287" s="8" cm="1">
        <f t="array" ref="AW287">SUMPRODUCT($AB$4:$AU$4,AB287:AU287)/1000</f>
        <v>171.382591970135</v>
      </c>
      <c r="AY287" s="2" t="str">
        <f t="shared" si="53"/>
        <v>AH32-1</v>
      </c>
      <c r="AZ287" s="37">
        <f>VLOOKUP(AY287,炼钢参数表!$F$5:$J$1027,4,0)</f>
        <v>0.04</v>
      </c>
      <c r="BA287" s="37">
        <f t="shared" si="54"/>
        <v>0.03</v>
      </c>
      <c r="BB287" s="77">
        <f>AB287*$BB$4*炼钢参数表!$X$5/1000</f>
        <v>0</v>
      </c>
      <c r="BC287" s="77">
        <f>AC287*$BC$4*炼钢参数表!$X$5/1000</f>
        <v>0</v>
      </c>
      <c r="BD287" s="77">
        <f>AD287*$BD$4*炼钢参数表!$X$5/1000</f>
        <v>1.9384052322227601E-2</v>
      </c>
      <c r="BE287" s="77">
        <f>AE287*$BE$4*炼钢参数表!$X$5/1000</f>
        <v>0</v>
      </c>
      <c r="BF287" s="77">
        <f>AL287*$BF$4*炼钢参数表!$X$5/1000</f>
        <v>0</v>
      </c>
      <c r="BG287" s="77">
        <f>AM287*$BG$4*炼钢参数表!$X$5/1000</f>
        <v>0</v>
      </c>
      <c r="BH287" s="77">
        <f t="shared" si="55"/>
        <v>1.9384052322227601E-2</v>
      </c>
      <c r="BI287" s="77">
        <f t="shared" si="56"/>
        <v>5.9384052322227598E-2</v>
      </c>
      <c r="BJ287" s="77">
        <f t="shared" si="57"/>
        <v>-1.06159476777724E-2</v>
      </c>
      <c r="BK287" s="54"/>
      <c r="BL287" s="7"/>
    </row>
    <row r="288" spans="1:16371" s="18" customFormat="1" x14ac:dyDescent="0.3">
      <c r="A288" s="21">
        <v>280</v>
      </c>
      <c r="B288" s="4" t="s">
        <v>513</v>
      </c>
      <c r="C288" s="4" t="s">
        <v>26</v>
      </c>
      <c r="D288" s="4">
        <v>12.51</v>
      </c>
      <c r="E288" s="4">
        <v>25</v>
      </c>
      <c r="F288" s="4" t="s">
        <v>515</v>
      </c>
      <c r="G288" s="50" t="s">
        <v>511</v>
      </c>
      <c r="H288" s="4">
        <v>1521</v>
      </c>
      <c r="I288" s="51">
        <v>7.0000000000000007E-2</v>
      </c>
      <c r="J288" s="52">
        <v>0.2</v>
      </c>
      <c r="K288" s="52">
        <v>1.3</v>
      </c>
      <c r="L288" s="51">
        <v>1.4999999999999999E-2</v>
      </c>
      <c r="M288" s="51">
        <v>6.0000000000000001E-3</v>
      </c>
      <c r="N288" s="51"/>
      <c r="O288" s="51"/>
      <c r="P288" s="51"/>
      <c r="Q288" s="51">
        <v>0.03</v>
      </c>
      <c r="R288" s="51"/>
      <c r="S288" s="32">
        <v>0.01</v>
      </c>
      <c r="T288" s="52"/>
      <c r="U288" s="52"/>
      <c r="V288" s="52" t="s">
        <v>631</v>
      </c>
      <c r="W288" s="52"/>
      <c r="X288" s="32" t="s">
        <v>631</v>
      </c>
      <c r="Y288" s="53" t="s">
        <v>631</v>
      </c>
      <c r="Z288" s="4" t="s">
        <v>631</v>
      </c>
      <c r="AA288" s="104"/>
      <c r="AB288" s="42">
        <f>IF(J288&lt;=0.04,0,IF((BA288-AL288*BF$4*炼钢参数表!$X$5/1000-AM288*BG$4*炼钢参数表!$X$5/1000)&lt;=0.03,0,IF((J288/100/0.1769/炼钢参数表!K288*1000)&gt;(K288-炼钢参数表!J288)/100/0.6566/炼钢参数表!L288*1000,IF(K288&lt;1.6,(K288-炼钢参数表!J288)/100/0.6566/炼钢参数表!L288*1000,(K288-0.08-炼钢参数表!J288)/100/0.6566/炼钢参数表!L288*1000),IF(K288&lt;1.6,J288/100/0.1769/炼钢参数表!K288*1000,(J288-0.08)/100/0.1769/炼钢参数表!K288*1000))))</f>
        <v>0</v>
      </c>
      <c r="AC288" s="8">
        <f>IF((BA288-AB288*$BB$4*0.9/1000-AL288*BF$4*炼钢参数表!$X$5/1000-AM288*BG$4*炼钢参数表!$X$5/1000)&lt;(K288-炼钢参数表!J288-AB288*0.6566*炼钢参数表!L288/10)*0.082,0,(K288-炼钢参数表!J288-AB288*0.6566*炼钢参数表!L288/10)/100/($AC$3/100)/炼钢参数表!L288*1000)</f>
        <v>0</v>
      </c>
      <c r="AD288" s="8">
        <f>IF((BA288-AB288*$BB$4*0.9/1000-AC288*$BC$4*0.9/1000-AL288*BF$4*炼钢参数表!$X$5/1000-AM288*BG$4*炼钢参数表!$X$5/1000)&lt;=(K288-炼钢参数表!J288-AB288*0.6566*炼钢参数表!L288/10-AC288*($AC$3/100)*炼钢参数表!L288/10)*0.02,0,((K288-炼钢参数表!J288-AB288*0.6566*炼钢参数表!L288/10-AC288*($AC$3/100)*炼钢参数表!L288/10)/100/($AD$3/100)/炼钢参数表!L288*1000))</f>
        <v>15.655612894508399</v>
      </c>
      <c r="AE288" s="8">
        <f>(K288-炼钢参数表!J288-AB288*0.6566*炼钢参数表!L288/10-AC288*($AC$3/100)*炼钢参数表!L288/10-AD288*($AD$3/100)*炼钢参数表!L288/10)/100/($AE$3/100)/炼钢参数表!L288*1000</f>
        <v>0</v>
      </c>
      <c r="AF288" s="8">
        <v>0</v>
      </c>
      <c r="AG288" s="8">
        <f>IF(J288&lt;=0.04,0,((J288-(AB288*0.1769*炼钢参数表!K288/1000*100))/100/炼钢参数表!K288/($AG$3/100)*1000))</f>
        <v>3.4611657206147002</v>
      </c>
      <c r="AH288" s="8">
        <v>1.9</v>
      </c>
      <c r="AI288" s="8">
        <f>IF(N288="",0,IF(N288&lt;=0.002,0,((N288)/100)/($AI$3/100)/炼钢参数表!M288*1000))</f>
        <v>0</v>
      </c>
      <c r="AJ288" s="8">
        <f>IF(O288="",0,IF(O288&lt;=0.002,0,((O288)/100)/($AJ$3/100)/炼钢参数表!N288*1000))</f>
        <v>0</v>
      </c>
      <c r="AK288" s="8">
        <f>IF(P288="",0,IF(P288&lt;=0.002,0,((P288+0.005)/100)/($AK$3/100)/炼钢参数表!O288*1000))</f>
        <v>0</v>
      </c>
      <c r="AL288" s="8">
        <f>IF((BA288-J288*0.00003-K288*0.00024)&lt;=0.05,0,IF(T288="",0,IF(T288&lt;=0.03,0,IF(((BA288-J288*0.00003-K288*0.00024)-0.05)/0.18/100/($AL$3/100)/炼钢参数表!P288*1000&lt;=T288/100/($AL$3/100)/炼钢参数表!P288*1000,((BA288-J288*0.00003-K288*0.00024)-0.05)/0.18/100/($AL$3/100)/炼钢参数表!P288*1000,T288/100/($AL$3/100)/炼钢参数表!P288*1000))))</f>
        <v>0</v>
      </c>
      <c r="AM288" s="8">
        <f>IF(T288="",0,IF(T288&lt;=0.03,0,((T288-AL288*($AL$3/100)*炼钢参数表!P288/10)/100/($AM$3/100)/炼钢参数表!P288*1000)))</f>
        <v>0</v>
      </c>
      <c r="AN288" s="8">
        <f>IF(U288="",0,IF(U288&lt;=0.02,0,(U288/100)/($AN$3/100)/炼钢参数表!Q288*1000))</f>
        <v>0</v>
      </c>
      <c r="AO288" s="8">
        <f>IF(V288="",0,IF(V288&lt;=0.02,0,(V288/100)/($AO$3/100)/炼钢参数表!R288*1000))</f>
        <v>0</v>
      </c>
      <c r="AP288" s="8">
        <f>IF(W288="",0,IF(W288&lt;=0.02,0,(W288/100)/($AP$3/100)/炼钢参数表!S288*1000))</f>
        <v>0</v>
      </c>
      <c r="AQ288" s="8">
        <f>IF(X288="",0,IF(X288&lt;=0.0002,0,(X288/100)/($AQ$3/100)/炼钢参数表!T288*1000))</f>
        <v>0</v>
      </c>
      <c r="AR288" s="8">
        <f>IF(Y288="",0,IF(Y288&lt;=0.02,0,(Y288/100)/($AR$3/100)/炼钢参数表!U288*1000))</f>
        <v>0</v>
      </c>
      <c r="AS288" s="8">
        <f>IF(L288&lt;=0.04,0,((L288-0.04)/100)/($AS$3/100)/炼钢参数表!V288*1000)</f>
        <v>0</v>
      </c>
      <c r="AT288" s="8">
        <f>IF(M288&lt;=0.03,0,((M288-0.03)/100)/($AT$3/100)/炼钢参数表!W288*1000)</f>
        <v>0</v>
      </c>
      <c r="AU288" s="6"/>
      <c r="AV288" s="8">
        <f t="shared" si="58"/>
        <v>21.016778615123201</v>
      </c>
      <c r="AW288" s="8" cm="1">
        <f t="array" ref="AW288">SUMPRODUCT($AB$4:$AU$4,AB288:AU288)/1000</f>
        <v>181.40894668702001</v>
      </c>
      <c r="AY288" s="2" t="str">
        <f t="shared" si="53"/>
        <v>AH32-2</v>
      </c>
      <c r="AZ288" s="37">
        <f>VLOOKUP(AY288,炼钢参数表!$F$5:$J$1027,4,0)</f>
        <v>4.3999999999999997E-2</v>
      </c>
      <c r="BA288" s="37">
        <f t="shared" si="54"/>
        <v>2.5999999999999999E-2</v>
      </c>
      <c r="BB288" s="37">
        <f>AB288*$BB$4*炼钢参数表!$X$5/1000</f>
        <v>0</v>
      </c>
      <c r="BC288" s="37">
        <f>AC288*$BC$4*炼钢参数表!$X$5/1000</f>
        <v>0</v>
      </c>
      <c r="BD288" s="37">
        <f>AD288*$BD$4*炼钢参数表!$X$5/1000</f>
        <v>2.1135077407586401E-2</v>
      </c>
      <c r="BE288" s="37">
        <f>AE288*$BE$4*炼钢参数表!$X$5/1000</f>
        <v>0</v>
      </c>
      <c r="BF288" s="37">
        <f>AL288*$BF$4*炼钢参数表!$X$5/1000</f>
        <v>0</v>
      </c>
      <c r="BG288" s="37">
        <f>AM288*$BG$4*炼钢参数表!$X$5/1000</f>
        <v>0</v>
      </c>
      <c r="BH288" s="37">
        <f t="shared" si="55"/>
        <v>2.1135077407586401E-2</v>
      </c>
      <c r="BI288" s="37">
        <f t="shared" si="56"/>
        <v>6.5135077407586395E-2</v>
      </c>
      <c r="BJ288" s="37">
        <f t="shared" si="57"/>
        <v>-4.8649225924136102E-3</v>
      </c>
      <c r="BK288" s="54"/>
      <c r="BL288" s="7"/>
    </row>
    <row r="289" spans="1:64" x14ac:dyDescent="0.3">
      <c r="A289" s="21">
        <v>281</v>
      </c>
      <c r="B289" s="4" t="s">
        <v>516</v>
      </c>
      <c r="C289" s="4" t="s">
        <v>23</v>
      </c>
      <c r="D289" s="4">
        <v>4</v>
      </c>
      <c r="E289" s="4">
        <v>12.5</v>
      </c>
      <c r="F289" s="4" t="s">
        <v>517</v>
      </c>
      <c r="G289" s="50" t="s">
        <v>511</v>
      </c>
      <c r="H289" s="4">
        <v>1521</v>
      </c>
      <c r="I289" s="51">
        <v>7.0000000000000007E-2</v>
      </c>
      <c r="J289" s="52">
        <v>0.12</v>
      </c>
      <c r="K289" s="52">
        <v>1.3</v>
      </c>
      <c r="L289" s="51">
        <v>1.4999999999999999E-2</v>
      </c>
      <c r="M289" s="51">
        <v>6.0000000000000001E-3</v>
      </c>
      <c r="N289" s="51"/>
      <c r="O289" s="51">
        <v>3.5000000000000003E-2</v>
      </c>
      <c r="P289" s="51">
        <v>0.01</v>
      </c>
      <c r="Q289" s="51">
        <v>0.03</v>
      </c>
      <c r="R289" s="51" t="s">
        <v>631</v>
      </c>
      <c r="S289" s="32"/>
      <c r="T289" s="52"/>
      <c r="U289" s="52"/>
      <c r="V289" s="52"/>
      <c r="W289" s="52"/>
      <c r="X289" s="32"/>
      <c r="Y289" s="53" t="s">
        <v>631</v>
      </c>
      <c r="Z289" s="4">
        <v>50</v>
      </c>
      <c r="AA289" s="53"/>
      <c r="AB289" s="42">
        <f>IF(J289&lt;=0.04,0,IF((BA289-AL289*BF$4*炼钢参数表!$X$5/1000-AM289*BG$4*炼钢参数表!$X$5/1000)&lt;=0.03,0,IF((J289/100/0.1769/炼钢参数表!K289*1000)&gt;(K289-炼钢参数表!J289)/100/0.6566/炼钢参数表!L289*1000,IF(K289&lt;1.6,(K289-炼钢参数表!J289)/100/0.6566/炼钢参数表!L289*1000,(K289-0.08-炼钢参数表!J289)/100/0.6566/炼钢参数表!L289*1000),IF(K289&lt;1.6,J289/100/0.1769/炼钢参数表!K289*1000,(J289-0.08)/100/0.1769/炼钢参数表!K289*1000))))</f>
        <v>0</v>
      </c>
      <c r="AC289" s="8">
        <f>IF((BA289-AB289*$BB$4*0.9/1000-AL289*BF$4*炼钢参数表!$X$5/1000-AM289*BG$4*炼钢参数表!$X$5/1000)&lt;(K289-炼钢参数表!J289-AB289*0.6566*炼钢参数表!L289/10)*0.082,0,(K289-炼钢参数表!J289-AB289*0.6566*炼钢参数表!L289/10)/100/($AC$3/100)/炼钢参数表!L289*1000)</f>
        <v>0</v>
      </c>
      <c r="AD289" s="8">
        <f>IF((BA289-AB289*$BB$4*0.9/1000-AC289*$BC$4*0.9/1000-AL289*BF$4*炼钢参数表!$X$5/1000-AM289*BG$4*炼钢参数表!$X$5/1000)&lt;=(K289-炼钢参数表!J289-AB289*0.6566*炼钢参数表!L289/10-AC289*($AC$3/100)*炼钢参数表!L289/10)*0.02,0,((K289-炼钢参数表!J289-AB289*0.6566*炼钢参数表!L289/10-AC289*($AC$3/100)*炼钢参数表!L289/10)/100/($AD$3/100)/炼钢参数表!L289*1000))</f>
        <v>15.728841713781099</v>
      </c>
      <c r="AE289" s="8">
        <f>(K289-炼钢参数表!J289-AB289*0.6566*炼钢参数表!L289/10-AC289*($AC$3/100)*炼钢参数表!L289/10-AD289*($AD$3/100)*炼钢参数表!L289/10)/100/($AE$3/100)/炼钢参数表!L289*1000</f>
        <v>0</v>
      </c>
      <c r="AF289" s="8">
        <v>0</v>
      </c>
      <c r="AG289" s="8">
        <f>IF(J289&lt;=0.04,0,((J289-(AB289*0.1769*炼钢参数表!K289/1000*100))/100/炼钢参数表!K289/($AG$3/100)*1000))</f>
        <v>2.0766994323688199</v>
      </c>
      <c r="AH289" s="8">
        <v>1.9</v>
      </c>
      <c r="AI289" s="8">
        <f>IF(N289="",0,IF(N289&lt;=0.002,0,((N289)/100)/($AI$3/100)/炼钢参数表!M289*1000))</f>
        <v>0</v>
      </c>
      <c r="AJ289" s="8">
        <f>IF(O289="",0,IF(O289&lt;=0.002,0,((O289)/100)/($AJ$3/100)/炼钢参数表!N289*1000))</f>
        <v>0.54911263398348298</v>
      </c>
      <c r="AK289" s="8">
        <f>IF(P289="",0,IF(P289&lt;=0.002,0,((P289+0.005)/100)/($AK$3/100)/炼钢参数表!O289*1000))</f>
        <v>0.29936534546760901</v>
      </c>
      <c r="AL289" s="8">
        <f>IF((BA289-J289*0.00003-K289*0.00024)&lt;=0.05,0,IF(T289="",0,IF(T289&lt;=0.03,0,IF(((BA289-J289*0.00003-K289*0.00024)-0.05)/0.18/100/($AL$3/100)/炼钢参数表!P289*1000&lt;=T289/100/($AL$3/100)/炼钢参数表!P289*1000,((BA289-J289*0.00003-K289*0.00024)-0.05)/0.18/100/($AL$3/100)/炼钢参数表!P289*1000,T289/100/($AL$3/100)/炼钢参数表!P289*1000))))</f>
        <v>0</v>
      </c>
      <c r="AM289" s="8">
        <f>IF(T289="",0,IF(T289&lt;=0.03,0,((T289-AL289*($AL$3/100)*炼钢参数表!P289/10)/100/($AM$3/100)/炼钢参数表!P289*1000)))</f>
        <v>0</v>
      </c>
      <c r="AN289" s="8">
        <f>IF(U289="",0,IF(U289&lt;=0.02,0,(U289/100)/($AN$3/100)/炼钢参数表!Q289*1000))</f>
        <v>0</v>
      </c>
      <c r="AO289" s="8">
        <f>IF(V289="",0,IF(V289&lt;=0.02,0,(V289/100)/($AO$3/100)/炼钢参数表!R289*1000))</f>
        <v>0</v>
      </c>
      <c r="AP289" s="8">
        <f>IF(W289="",0,IF(W289&lt;=0.02,0,(W289/100)/($AP$3/100)/炼钢参数表!S289*1000))</f>
        <v>0</v>
      </c>
      <c r="AQ289" s="8">
        <f>IF(X289="",0,IF(X289&lt;=0.0002,0,(X289/100)/($AQ$3/100)/炼钢参数表!T289*1000))</f>
        <v>0</v>
      </c>
      <c r="AR289" s="8">
        <f>IF(Y289="",0,IF(Y289&lt;=0.02,0,(Y289/100)/($AR$3/100)/炼钢参数表!U289*1000))</f>
        <v>0</v>
      </c>
      <c r="AS289" s="8">
        <f>IF(L289&lt;=0.04,0,((L289-0.04)/100)/($AS$3/100)/炼钢参数表!V289*1000)</f>
        <v>0</v>
      </c>
      <c r="AT289" s="8">
        <f>IF(M289&lt;=0.03,0,((M289-0.03)/100)/($AT$3/100)/炼钢参数表!W289*1000)</f>
        <v>0</v>
      </c>
      <c r="AU289" s="6"/>
      <c r="AV289" s="8">
        <f t="shared" si="58"/>
        <v>20.554019125601101</v>
      </c>
      <c r="AW289" s="8" cm="1">
        <f t="array" ref="AW289">SUMPRODUCT($AB$4:$AU$4,AB289:AU289)/1000</f>
        <v>300.26709357168897</v>
      </c>
      <c r="AY289" s="2" t="str">
        <f t="shared" si="53"/>
        <v>AH36-1</v>
      </c>
      <c r="AZ289" s="37">
        <f>VLOOKUP(AY289,炼钢参数表!$F$5:$J$1027,4,0)</f>
        <v>4.2963636363636398E-2</v>
      </c>
      <c r="BA289" s="37">
        <f t="shared" si="54"/>
        <v>2.7036363636363601E-2</v>
      </c>
      <c r="BB289" s="37">
        <f>AB289*$BB$4*炼钢参数表!$X$5/1000</f>
        <v>0</v>
      </c>
      <c r="BC289" s="37">
        <f>AC289*$BC$4*炼钢参数表!$X$5/1000</f>
        <v>0</v>
      </c>
      <c r="BD289" s="37">
        <f>AD289*$BD$4*炼钢参数表!$X$5/1000</f>
        <v>2.1233936313604498E-2</v>
      </c>
      <c r="BE289" s="37">
        <f>AE289*$BE$4*炼钢参数表!$X$5/1000</f>
        <v>0</v>
      </c>
      <c r="BF289" s="37">
        <f>AL289*$BF$4*炼钢参数表!$X$5/1000</f>
        <v>0</v>
      </c>
      <c r="BG289" s="37">
        <f>AM289*$BG$4*炼钢参数表!$X$5/1000</f>
        <v>0</v>
      </c>
      <c r="BH289" s="37">
        <f t="shared" si="55"/>
        <v>2.1233936313604498E-2</v>
      </c>
      <c r="BI289" s="37">
        <f t="shared" si="56"/>
        <v>6.4197572677240897E-2</v>
      </c>
      <c r="BJ289" s="37">
        <f t="shared" si="57"/>
        <v>-5.8024273227590701E-3</v>
      </c>
      <c r="BK289" s="54"/>
      <c r="BL289" s="7"/>
    </row>
    <row r="290" spans="1:64" x14ac:dyDescent="0.3">
      <c r="A290" s="21">
        <v>282</v>
      </c>
      <c r="B290" s="4" t="s">
        <v>516</v>
      </c>
      <c r="C290" s="4" t="s">
        <v>26</v>
      </c>
      <c r="D290" s="4">
        <v>12.51</v>
      </c>
      <c r="E290" s="4">
        <v>25</v>
      </c>
      <c r="F290" s="4" t="s">
        <v>518</v>
      </c>
      <c r="G290" s="50" t="s">
        <v>511</v>
      </c>
      <c r="H290" s="4">
        <v>1522</v>
      </c>
      <c r="I290" s="51">
        <v>7.0000000000000007E-2</v>
      </c>
      <c r="J290" s="52">
        <v>0.15</v>
      </c>
      <c r="K290" s="52">
        <v>1.4</v>
      </c>
      <c r="L290" s="51">
        <v>1.4999999999999999E-2</v>
      </c>
      <c r="M290" s="51">
        <v>6.0000000000000001E-3</v>
      </c>
      <c r="N290" s="51"/>
      <c r="O290" s="51">
        <v>3.5000000000000003E-2</v>
      </c>
      <c r="P290" s="51">
        <v>0.01</v>
      </c>
      <c r="Q290" s="51">
        <v>0.03</v>
      </c>
      <c r="R290" s="51" t="s">
        <v>631</v>
      </c>
      <c r="S290" s="32"/>
      <c r="T290" s="52"/>
      <c r="U290" s="52"/>
      <c r="V290" s="52"/>
      <c r="W290" s="52"/>
      <c r="X290" s="32"/>
      <c r="Y290" s="53" t="s">
        <v>631</v>
      </c>
      <c r="Z290" s="4">
        <v>50</v>
      </c>
      <c r="AA290" s="53"/>
      <c r="AB290" s="42">
        <f>IF(J290&lt;=0.04,0,IF((BA290-AL290*BF$4*炼钢参数表!$X$5/1000-AM290*BG$4*炼钢参数表!$X$5/1000)&lt;=0.03,0,IF((J290/100/0.1769/炼钢参数表!K290*1000)&gt;(K290-炼钢参数表!J290)/100/0.6566/炼钢参数表!L290*1000,IF(K290&lt;1.6,(K290-炼钢参数表!J290)/100/0.6566/炼钢参数表!L290*1000,(K290-0.08-炼钢参数表!J290)/100/0.6566/炼钢参数表!L290*1000),IF(K290&lt;1.6,J290/100/0.1769/炼钢参数表!K290*1000,(J290-0.08)/100/0.1769/炼钢参数表!K290*1000))))</f>
        <v>0</v>
      </c>
      <c r="AC290" s="8">
        <f>IF((BA290-AB290*$BB$4*0.9/1000-AL290*BF$4*炼钢参数表!$X$5/1000-AM290*BG$4*炼钢参数表!$X$5/1000)&lt;(K290-炼钢参数表!J290-AB290*0.6566*炼钢参数表!L290/10)*0.082,0,(K290-炼钢参数表!J290-AB290*0.6566*炼钢参数表!L290/10)/100/($AC$3/100)/炼钢参数表!L290*1000)</f>
        <v>0</v>
      </c>
      <c r="AD290" s="8">
        <f>IF((BA290-AB290*$BB$4*0.9/1000-AC290*$BC$4*0.9/1000-AL290*BF$4*炼钢参数表!$X$5/1000-AM290*BG$4*炼钢参数表!$X$5/1000)&lt;=(K290-炼钢参数表!J290-AB290*0.6566*炼钢参数表!L290/10-AC290*($AC$3/100)*炼钢参数表!L290/10)*0.02,0,((K290-炼钢参数表!J290-AB290*0.6566*炼钢参数表!L290/10-AC290*($AC$3/100)*炼钢参数表!L290/10)/100/($AD$3/100)/炼钢参数表!L290*1000))</f>
        <v>17.0297464108606</v>
      </c>
      <c r="AE290" s="8">
        <f>(K290-炼钢参数表!J290-AB290*0.6566*炼钢参数表!L290/10-AC290*($AC$3/100)*炼钢参数表!L290/10-AD290*($AD$3/100)*炼钢参数表!L290/10)/100/($AE$3/100)/炼钢参数表!L290*1000</f>
        <v>0</v>
      </c>
      <c r="AF290" s="8">
        <v>0</v>
      </c>
      <c r="AG290" s="8">
        <f>IF(J290&lt;=0.04,0,((J290-(AB290*0.1769*炼钢参数表!K290/1000*100))/100/炼钢参数表!K290/($AG$3/100)*1000))</f>
        <v>2.5958742904610301</v>
      </c>
      <c r="AH290" s="8">
        <v>1.9</v>
      </c>
      <c r="AI290" s="8">
        <f>IF(N290="",0,IF(N290&lt;=0.002,0,((N290)/100)/($AI$3/100)/炼钢参数表!M290*1000))</f>
        <v>0</v>
      </c>
      <c r="AJ290" s="8">
        <f>IF(O290="",0,IF(O290&lt;=0.002,0,((O290)/100)/($AJ$3/100)/炼钢参数表!N290*1000))</f>
        <v>0.54911263398348298</v>
      </c>
      <c r="AK290" s="8">
        <f>IF(P290="",0,IF(P290&lt;=0.002,0,((P290+0.005)/100)/($AK$3/100)/炼钢参数表!O290*1000))</f>
        <v>0.29936534546760901</v>
      </c>
      <c r="AL290" s="8">
        <f>IF((BA290-J290*0.00003-K290*0.00024)&lt;=0.05,0,IF(T290="",0,IF(T290&lt;=0.03,0,IF(((BA290-J290*0.00003-K290*0.00024)-0.05)/0.18/100/($AL$3/100)/炼钢参数表!P290*1000&lt;=T290/100/($AL$3/100)/炼钢参数表!P290*1000,((BA290-J290*0.00003-K290*0.00024)-0.05)/0.18/100/($AL$3/100)/炼钢参数表!P290*1000,T290/100/($AL$3/100)/炼钢参数表!P290*1000))))</f>
        <v>0</v>
      </c>
      <c r="AM290" s="8">
        <f>IF(T290="",0,IF(T290&lt;=0.03,0,((T290-AL290*($AL$3/100)*炼钢参数表!P290/10)/100/($AM$3/100)/炼钢参数表!P290*1000)))</f>
        <v>0</v>
      </c>
      <c r="AN290" s="8">
        <f>IF(U290="",0,IF(U290&lt;=0.02,0,(U290/100)/($AN$3/100)/炼钢参数表!Q290*1000))</f>
        <v>0</v>
      </c>
      <c r="AO290" s="8">
        <f>IF(V290="",0,IF(V290&lt;=0.02,0,(V290/100)/($AO$3/100)/炼钢参数表!R290*1000))</f>
        <v>0</v>
      </c>
      <c r="AP290" s="8">
        <f>IF(W290="",0,IF(W290&lt;=0.02,0,(W290/100)/($AP$3/100)/炼钢参数表!S290*1000))</f>
        <v>0</v>
      </c>
      <c r="AQ290" s="8">
        <f>IF(X290="",0,IF(X290&lt;=0.0002,0,(X290/100)/($AQ$3/100)/炼钢参数表!T290*1000))</f>
        <v>0</v>
      </c>
      <c r="AR290" s="8">
        <f>IF(Y290="",0,IF(Y290&lt;=0.02,0,(Y290/100)/($AR$3/100)/炼钢参数表!U290*1000))</f>
        <v>0</v>
      </c>
      <c r="AS290" s="8">
        <f>IF(L290&lt;=0.04,0,((L290-0.04)/100)/($AS$3/100)/炼钢参数表!V290*1000)</f>
        <v>0</v>
      </c>
      <c r="AT290" s="8">
        <f>IF(M290&lt;=0.03,0,((M290-0.03)/100)/($AT$3/100)/炼钢参数表!W290*1000)</f>
        <v>0</v>
      </c>
      <c r="AU290" s="6"/>
      <c r="AV290" s="8">
        <f t="shared" si="58"/>
        <v>22.3740986807727</v>
      </c>
      <c r="AW290" s="8" cm="1">
        <f t="array" ref="AW290">SUMPRODUCT($AB$4:$AU$4,AB290:AU290)/1000</f>
        <v>313.015560118069</v>
      </c>
      <c r="AY290" s="2" t="str">
        <f t="shared" si="53"/>
        <v>AH36-2</v>
      </c>
      <c r="AZ290" s="37">
        <f>VLOOKUP(AY290,炼钢参数表!$F$5:$J$1027,4,0)</f>
        <v>4.1595744680851102E-2</v>
      </c>
      <c r="BA290" s="37">
        <f t="shared" si="54"/>
        <v>2.8404255319148902E-2</v>
      </c>
      <c r="BB290" s="37">
        <f>AB290*$BB$4*炼钢参数表!$X$5/1000</f>
        <v>0</v>
      </c>
      <c r="BC290" s="37">
        <f>AC290*$BC$4*炼钢参数表!$X$5/1000</f>
        <v>0</v>
      </c>
      <c r="BD290" s="37">
        <f>AD290*$BD$4*炼钢参数表!$X$5/1000</f>
        <v>2.2990157654661801E-2</v>
      </c>
      <c r="BE290" s="37">
        <f>AE290*$BE$4*炼钢参数表!$X$5/1000</f>
        <v>0</v>
      </c>
      <c r="BF290" s="37">
        <f>AL290*$BF$4*炼钢参数表!$X$5/1000</f>
        <v>0</v>
      </c>
      <c r="BG290" s="37">
        <f>AM290*$BG$4*炼钢参数表!$X$5/1000</f>
        <v>0</v>
      </c>
      <c r="BH290" s="37">
        <f t="shared" si="55"/>
        <v>2.2990157654661801E-2</v>
      </c>
      <c r="BI290" s="37">
        <f t="shared" si="56"/>
        <v>6.4585902335512896E-2</v>
      </c>
      <c r="BJ290" s="37">
        <f t="shared" si="57"/>
        <v>-5.4140976644871499E-3</v>
      </c>
      <c r="BK290" s="54"/>
      <c r="BL290" s="7"/>
    </row>
    <row r="291" spans="1:64" x14ac:dyDescent="0.3">
      <c r="A291" s="21">
        <v>283</v>
      </c>
      <c r="B291" s="4" t="s">
        <v>519</v>
      </c>
      <c r="C291" s="4" t="s">
        <v>23</v>
      </c>
      <c r="D291" s="4">
        <v>3.5</v>
      </c>
      <c r="E291" s="4">
        <v>25.4</v>
      </c>
      <c r="F291" s="4" t="s">
        <v>519</v>
      </c>
      <c r="G291" s="50" t="s">
        <v>511</v>
      </c>
      <c r="H291" s="4">
        <v>1519</v>
      </c>
      <c r="I291" s="51">
        <v>0.16</v>
      </c>
      <c r="J291" s="52">
        <v>0.1</v>
      </c>
      <c r="K291" s="52">
        <v>0.6</v>
      </c>
      <c r="L291" s="51">
        <v>0.02</v>
      </c>
      <c r="M291" s="51">
        <v>1.4999999999999999E-2</v>
      </c>
      <c r="N291" s="51" t="s">
        <v>631</v>
      </c>
      <c r="O291" s="51" t="s">
        <v>631</v>
      </c>
      <c r="P291" s="51" t="s">
        <v>631</v>
      </c>
      <c r="Q291" s="51">
        <v>2.5000000000000001E-2</v>
      </c>
      <c r="R291" s="51" t="s">
        <v>631</v>
      </c>
      <c r="S291" s="32" t="s">
        <v>631</v>
      </c>
      <c r="T291" s="52"/>
      <c r="U291" s="52"/>
      <c r="V291" s="52"/>
      <c r="W291" s="52"/>
      <c r="X291" s="32" t="s">
        <v>631</v>
      </c>
      <c r="Y291" s="53" t="s">
        <v>631</v>
      </c>
      <c r="Z291" s="4"/>
      <c r="AA291" s="53"/>
      <c r="AB291" s="42">
        <f>IF(J291&lt;=0.04,0,IF((BA291-AL291*BF$4*炼钢参数表!$X$5/1000-AM291*BG$4*炼钢参数表!$X$5/1000)&lt;=0.03,0,IF((J291/100/0.1769/炼钢参数表!K291*1000)&gt;(K291-炼钢参数表!J291)/100/0.6566/炼钢参数表!L291*1000,IF(K291&lt;1.6,(K291-炼钢参数表!J291)/100/0.6566/炼钢参数表!L291*1000,(K291-0.08-炼钢参数表!J291)/100/0.6566/炼钢参数表!L291*1000),IF(K291&lt;1.6,J291/100/0.1769/炼钢参数表!K291*1000,(J291-0.08)/100/0.1769/炼钢参数表!K291*1000))))</f>
        <v>7.0661390616167301</v>
      </c>
      <c r="AC291" s="8">
        <f>IF((BA291-AB291*$BB$4*0.9/1000-AL291*BF$4*炼钢参数表!$X$5/1000-AM291*BG$4*炼钢参数表!$X$5/1000)&lt;(K291-炼钢参数表!J291-AB291*0.6566*炼钢参数表!L291/10)*0.082,0,(K291-炼钢参数表!J291-AB291*0.6566*炼钢参数表!L291/10)/100/($AC$3/100)/炼钢参数表!L291*1000)</f>
        <v>0.24797117621331999</v>
      </c>
      <c r="AD291" s="8">
        <f>IF((BA291-AB291*$BB$4*0.9/1000-AC291*$BC$4*0.9/1000-AL291*BF$4*炼钢参数表!$X$5/1000-AM291*BG$4*炼钢参数表!$X$5/1000)&lt;=(K291-炼钢参数表!J291-AB291*0.6566*炼钢参数表!L291/10-AC291*($AC$3/100)*炼钢参数表!L291/10)*0.02,0,((K291-炼钢参数表!J291-AB291*0.6566*炼钢参数表!L291/10-AC291*($AC$3/100)*炼钢参数表!L291/10)/100/($AD$3/100)/炼钢参数表!L291*1000))</f>
        <v>0</v>
      </c>
      <c r="AE291" s="8">
        <f>(K291-炼钢参数表!J291-AB291*0.6566*炼钢参数表!L291/10-AC291*($AC$3/100)*炼钢参数表!L291/10-AD291*($AD$3/100)*炼钢参数表!L291/10)/100/($AE$3/100)/炼钢参数表!L291*1000</f>
        <v>0</v>
      </c>
      <c r="AF291" s="8">
        <v>0</v>
      </c>
      <c r="AG291" s="8">
        <f>IF(J291&lt;=0.04,0,((J291-(AB291*0.1769*炼钢参数表!K291/1000*100))/100/炼钢参数表!K291/($AG$3/100)*1000))</f>
        <v>0</v>
      </c>
      <c r="AH291" s="8">
        <v>1.33</v>
      </c>
      <c r="AI291" s="8">
        <f>IF(N291="",0,IF(N291&lt;=0.002,0,((N291)/100)/($AI$3/100)/炼钢参数表!M291*1000))</f>
        <v>0</v>
      </c>
      <c r="AJ291" s="8">
        <f>IF(O291="",0,IF(O291&lt;=0.002,0,((O291)/100)/($AJ$3/100)/炼钢参数表!N291*1000))</f>
        <v>0</v>
      </c>
      <c r="AK291" s="8">
        <f>IF(P291="",0,IF(P291&lt;=0.002,0,((P291+0.005)/100)/($AK$3/100)/炼钢参数表!O291*1000))</f>
        <v>0</v>
      </c>
      <c r="AL291" s="8">
        <f>IF((BA291-J291*0.00003-K291*0.00024)&lt;=0.05,0,IF(T291="",0,IF(T291&lt;=0.03,0,IF(((BA291-J291*0.00003-K291*0.00024)-0.05)/0.18/100/($AL$3/100)/炼钢参数表!P291*1000&lt;=T291/100/($AL$3/100)/炼钢参数表!P291*1000,((BA291-J291*0.00003-K291*0.00024)-0.05)/0.18/100/($AL$3/100)/炼钢参数表!P291*1000,T291/100/($AL$3/100)/炼钢参数表!P291*1000))))</f>
        <v>0</v>
      </c>
      <c r="AM291" s="8">
        <f>IF(T291="",0,IF(T291&lt;=0.03,0,((T291-AL291*($AL$3/100)*炼钢参数表!P291/10)/100/($AM$3/100)/炼钢参数表!P291*1000)))</f>
        <v>0</v>
      </c>
      <c r="AN291" s="8">
        <f>IF(U291="",0,IF(U291&lt;=0.02,0,(U291/100)/($AN$3/100)/炼钢参数表!Q291*1000))</f>
        <v>0</v>
      </c>
      <c r="AO291" s="8">
        <f>IF(V291="",0,IF(V291&lt;=0.02,0,(V291/100)/($AO$3/100)/炼钢参数表!R291*1000))</f>
        <v>0</v>
      </c>
      <c r="AP291" s="8">
        <f>IF(W291="",0,IF(W291&lt;=0.02,0,(W291/100)/($AP$3/100)/炼钢参数表!S291*1000))</f>
        <v>0</v>
      </c>
      <c r="AQ291" s="8">
        <f>IF(X291="",0,IF(X291&lt;=0.0002,0,(X291/100)/($AQ$3/100)/炼钢参数表!T291*1000))</f>
        <v>0</v>
      </c>
      <c r="AR291" s="8">
        <f>IF(Y291="",0,IF(Y291&lt;=0.02,0,(Y291/100)/($AR$3/100)/炼钢参数表!U291*1000))</f>
        <v>0</v>
      </c>
      <c r="AS291" s="8">
        <f>IF(L291&lt;=0.04,0,((L291-0.04)/100)/($AS$3/100)/炼钢参数表!V291*1000)</f>
        <v>0</v>
      </c>
      <c r="AT291" s="8">
        <f>IF(M291&lt;=0.03,0,((M291-0.03)/100)/($AT$3/100)/炼钢参数表!W291*1000)</f>
        <v>0</v>
      </c>
      <c r="AU291" s="6"/>
      <c r="AV291" s="8">
        <f t="shared" si="58"/>
        <v>8.6441102378300503</v>
      </c>
      <c r="AW291" s="8" cm="1">
        <f t="array" ref="AW291">SUMPRODUCT($AB$4:$AU$4,AB291:AU291)/1000</f>
        <v>69.539473965705795</v>
      </c>
      <c r="AY291" s="2" t="str">
        <f t="shared" si="53"/>
        <v>CCSA</v>
      </c>
      <c r="AZ291" s="37">
        <f>VLOOKUP(AY291,炼钢参数表!$F$5:$J$1027,4,0)</f>
        <v>7.4291718170581098E-2</v>
      </c>
      <c r="BA291" s="37">
        <f t="shared" si="54"/>
        <v>8.5708281829418906E-2</v>
      </c>
      <c r="BB291" s="37">
        <f>AB291*$BB$4*炼钢参数表!$X$5/1000</f>
        <v>1.09383832673827E-2</v>
      </c>
      <c r="BC291" s="37">
        <f>AC291*$BC$4*炼钢参数表!$X$5/1000</f>
        <v>1.4930344519804E-3</v>
      </c>
      <c r="BD291" s="37">
        <f>AD291*$BD$4*炼钢参数表!$X$5/1000</f>
        <v>0</v>
      </c>
      <c r="BE291" s="37">
        <f>AE291*$BE$4*炼钢参数表!$X$5/1000</f>
        <v>0</v>
      </c>
      <c r="BF291" s="37">
        <f>AL291*$BF$4*炼钢参数表!$X$5/1000</f>
        <v>0</v>
      </c>
      <c r="BG291" s="37">
        <f>AM291*$BG$4*炼钢参数表!$X$5/1000</f>
        <v>0</v>
      </c>
      <c r="BH291" s="37">
        <f t="shared" si="55"/>
        <v>1.24314177193631E-2</v>
      </c>
      <c r="BI291" s="37">
        <f t="shared" si="56"/>
        <v>8.6723135889944195E-2</v>
      </c>
      <c r="BJ291" s="37">
        <f t="shared" si="57"/>
        <v>-7.3276864110055795E-2</v>
      </c>
      <c r="BK291" s="54"/>
      <c r="BL291" s="7"/>
    </row>
    <row r="292" spans="1:64" x14ac:dyDescent="0.3">
      <c r="A292" s="21">
        <v>284</v>
      </c>
      <c r="B292" s="4" t="s">
        <v>520</v>
      </c>
      <c r="C292" s="4" t="s">
        <v>23</v>
      </c>
      <c r="D292" s="4">
        <v>4</v>
      </c>
      <c r="E292" s="4">
        <v>25.4</v>
      </c>
      <c r="F292" s="4" t="s">
        <v>520</v>
      </c>
      <c r="G292" s="50" t="s">
        <v>511</v>
      </c>
      <c r="H292" s="4">
        <v>1519</v>
      </c>
      <c r="I292" s="51">
        <v>0.16</v>
      </c>
      <c r="J292" s="52">
        <v>0.12</v>
      </c>
      <c r="K292" s="52">
        <v>0.75</v>
      </c>
      <c r="L292" s="51">
        <v>1.4999999999999999E-2</v>
      </c>
      <c r="M292" s="51">
        <v>6.0000000000000001E-3</v>
      </c>
      <c r="N292" s="51" t="s">
        <v>631</v>
      </c>
      <c r="O292" s="51" t="s">
        <v>631</v>
      </c>
      <c r="P292" s="51" t="s">
        <v>631</v>
      </c>
      <c r="Q292" s="51">
        <v>2.5000000000000001E-2</v>
      </c>
      <c r="R292" s="51" t="s">
        <v>631</v>
      </c>
      <c r="S292" s="32" t="s">
        <v>631</v>
      </c>
      <c r="T292" s="52"/>
      <c r="U292" s="52"/>
      <c r="V292" s="52"/>
      <c r="W292" s="52"/>
      <c r="X292" s="32" t="s">
        <v>631</v>
      </c>
      <c r="Y292" s="53" t="s">
        <v>631</v>
      </c>
      <c r="Z292" s="4">
        <v>45</v>
      </c>
      <c r="AA292" s="53" t="s">
        <v>631</v>
      </c>
      <c r="AB292" s="42">
        <f>IF(J292&lt;=0.04,0,IF((BA292-AL292*BF$4*炼钢参数表!$X$5/1000-AM292*BG$4*炼钢参数表!$X$5/1000)&lt;=0.03,0,IF((J292/100/0.1769/炼钢参数表!K292*1000)&gt;(K292-炼钢参数表!J292)/100/0.6566/炼钢参数表!L292*1000,IF(K292&lt;1.6,(K292-炼钢参数表!J292)/100/0.6566/炼钢参数表!L292*1000,(K292-0.08-炼钢参数表!J292)/100/0.6566/炼钢参数表!L292*1000),IF(K292&lt;1.6,J292/100/0.1769/炼钢参数表!K292*1000,(J292-0.08)/100/0.1769/炼钢参数表!K292*1000))))</f>
        <v>8.47936687394008</v>
      </c>
      <c r="AC292" s="8">
        <f>IF((BA292-AB292*$BB$4*0.9/1000-AL292*BF$4*炼钢参数表!$X$5/1000-AM292*BG$4*炼钢参数表!$X$5/1000)&lt;(K292-炼钢参数表!J292-AB292*0.6566*炼钢参数表!L292/10)*0.082,0,(K292-炼钢参数表!J292-AB292*0.6566*炼钢参数表!L292/10)/100/($AC$3/100)/炼钢参数表!L292*1000)</f>
        <v>1.07281224609119</v>
      </c>
      <c r="AD292" s="8">
        <f>IF((BA292-AB292*$BB$4*0.9/1000-AC292*$BC$4*0.9/1000-AL292*BF$4*炼钢参数表!$X$5/1000-AM292*BG$4*炼钢参数表!$X$5/1000)&lt;=(K292-炼钢参数表!J292-AB292*0.6566*炼钢参数表!L292/10-AC292*($AC$3/100)*炼钢参数表!L292/10)*0.02,0,((K292-炼钢参数表!J292-AB292*0.6566*炼钢参数表!L292/10-AC292*($AC$3/100)*炼钢参数表!L292/10)/100/($AD$3/100)/炼钢参数表!L292*1000))</f>
        <v>0</v>
      </c>
      <c r="AE292" s="8">
        <f>(K292-炼钢参数表!J292-AB292*0.6566*炼钢参数表!L292/10-AC292*($AC$3/100)*炼钢参数表!L292/10-AD292*($AD$3/100)*炼钢参数表!L292/10)/100/($AE$3/100)/炼钢参数表!L292*1000</f>
        <v>0</v>
      </c>
      <c r="AF292" s="8">
        <v>0</v>
      </c>
      <c r="AG292" s="8">
        <f>IF(J292&lt;=0.04,0,((J292-(AB292*0.1769*炼钢参数表!K292/1000*100))/100/炼钢参数表!K292/($AG$3/100)*1000))</f>
        <v>0</v>
      </c>
      <c r="AH292" s="8">
        <v>1.33</v>
      </c>
      <c r="AI292" s="8">
        <f>IF(N292="",0,IF(N292&lt;=0.002,0,((N292)/100)/($AI$3/100)/炼钢参数表!M292*1000))</f>
        <v>0</v>
      </c>
      <c r="AJ292" s="8">
        <f>IF(O292="",0,IF(O292&lt;=0.002,0,((O292)/100)/($AJ$3/100)/炼钢参数表!N292*1000))</f>
        <v>0</v>
      </c>
      <c r="AK292" s="8">
        <f>IF(P292="",0,IF(P292&lt;=0.002,0,((P292+0.005)/100)/($AK$3/100)/炼钢参数表!O292*1000))</f>
        <v>0</v>
      </c>
      <c r="AL292" s="8">
        <f>IF((BA292-J292*0.00003-K292*0.00024)&lt;=0.05,0,IF(T292="",0,IF(T292&lt;=0.03,0,IF(((BA292-J292*0.00003-K292*0.00024)-0.05)/0.18/100/($AL$3/100)/炼钢参数表!P292*1000&lt;=T292/100/($AL$3/100)/炼钢参数表!P292*1000,((BA292-J292*0.00003-K292*0.00024)-0.05)/0.18/100/($AL$3/100)/炼钢参数表!P292*1000,T292/100/($AL$3/100)/炼钢参数表!P292*1000))))</f>
        <v>0</v>
      </c>
      <c r="AM292" s="8">
        <f>IF(T292="",0,IF(T292&lt;=0.03,0,((T292-AL292*($AL$3/100)*炼钢参数表!P292/10)/100/($AM$3/100)/炼钢参数表!P292*1000)))</f>
        <v>0</v>
      </c>
      <c r="AN292" s="8">
        <f>IF(U292="",0,IF(U292&lt;=0.02,0,(U292/100)/($AN$3/100)/炼钢参数表!Q292*1000))</f>
        <v>0</v>
      </c>
      <c r="AO292" s="8">
        <f>IF(V292="",0,IF(V292&lt;=0.02,0,(V292/100)/($AO$3/100)/炼钢参数表!R292*1000))</f>
        <v>0</v>
      </c>
      <c r="AP292" s="8">
        <f>IF(W292="",0,IF(W292&lt;=0.02,0,(W292/100)/($AP$3/100)/炼钢参数表!S292*1000))</f>
        <v>0</v>
      </c>
      <c r="AQ292" s="8">
        <f>IF(X292="",0,IF(X292&lt;=0.0002,0,(X292/100)/($AQ$3/100)/炼钢参数表!T292*1000))</f>
        <v>0</v>
      </c>
      <c r="AR292" s="8">
        <f>IF(Y292="",0,IF(Y292&lt;=0.02,0,(Y292/100)/($AR$3/100)/炼钢参数表!U292*1000))</f>
        <v>0</v>
      </c>
      <c r="AS292" s="8">
        <f>IF(L292&lt;=0.04,0,((L292-0.04)/100)/($AS$3/100)/炼钢参数表!V292*1000)</f>
        <v>0</v>
      </c>
      <c r="AT292" s="8">
        <f>IF(M292&lt;=0.03,0,((M292-0.03)/100)/($AT$3/100)/炼钢参数表!W292*1000)</f>
        <v>0</v>
      </c>
      <c r="AU292" s="6"/>
      <c r="AV292" s="8">
        <f t="shared" si="58"/>
        <v>10.882179120031299</v>
      </c>
      <c r="AW292" s="8" cm="1">
        <f t="array" ref="AW292">SUMPRODUCT($AB$4:$AU$4,AB292:AU292)/1000</f>
        <v>82.191465998279199</v>
      </c>
      <c r="AY292" s="2" t="str">
        <f t="shared" ref="AY292:AY332" si="59">F292</f>
        <v>CCSB</v>
      </c>
      <c r="AZ292" s="37">
        <f>VLOOKUP(AY292,炼钢参数表!$F$5:$J$1027,4,0)</f>
        <v>7.3384615384615395E-2</v>
      </c>
      <c r="BA292" s="37">
        <f t="shared" ref="BA292:BA332" si="60">I292-AZ292</f>
        <v>8.6615384615384594E-2</v>
      </c>
      <c r="BB292" s="37">
        <f>AB292*$BB$4*炼钢参数表!$X$5/1000</f>
        <v>1.31260599208592E-2</v>
      </c>
      <c r="BC292" s="37">
        <f>AC292*$BC$4*炼钢参数表!$X$5/1000</f>
        <v>6.4594025337150604E-3</v>
      </c>
      <c r="BD292" s="37">
        <f>AD292*$BD$4*炼钢参数表!$X$5/1000</f>
        <v>0</v>
      </c>
      <c r="BE292" s="37">
        <f>AE292*$BE$4*炼钢参数表!$X$5/1000</f>
        <v>0</v>
      </c>
      <c r="BF292" s="37">
        <f>AL292*$BF$4*炼钢参数表!$X$5/1000</f>
        <v>0</v>
      </c>
      <c r="BG292" s="37">
        <f>AM292*$BG$4*炼钢参数表!$X$5/1000</f>
        <v>0</v>
      </c>
      <c r="BH292" s="37">
        <f t="shared" ref="BH292:BH332" si="61">SUM(BB292:BG292)</f>
        <v>1.95854624545743E-2</v>
      </c>
      <c r="BI292" s="37">
        <f t="shared" ref="BI292:BI332" si="62">AZ292+BH292</f>
        <v>9.2970077839189702E-2</v>
      </c>
      <c r="BJ292" s="37">
        <f t="shared" ref="BJ292:BJ332" si="63">BI292-I292</f>
        <v>-6.7029922160810301E-2</v>
      </c>
      <c r="BK292" s="54"/>
      <c r="BL292" s="7"/>
    </row>
    <row r="293" spans="1:64" x14ac:dyDescent="0.3">
      <c r="A293" s="21">
        <v>285</v>
      </c>
      <c r="B293" s="4" t="s">
        <v>521</v>
      </c>
      <c r="C293" s="4" t="s">
        <v>23</v>
      </c>
      <c r="D293" s="4">
        <v>4</v>
      </c>
      <c r="E293" s="4">
        <v>12.5</v>
      </c>
      <c r="F293" s="4" t="s">
        <v>522</v>
      </c>
      <c r="G293" s="50" t="s">
        <v>511</v>
      </c>
      <c r="H293" s="4">
        <v>1521</v>
      </c>
      <c r="I293" s="51">
        <v>7.0000000000000007E-2</v>
      </c>
      <c r="J293" s="52">
        <v>0.2</v>
      </c>
      <c r="K293" s="52">
        <v>1.2</v>
      </c>
      <c r="L293" s="51">
        <v>1.4999999999999999E-2</v>
      </c>
      <c r="M293" s="51">
        <v>6.0000000000000001E-3</v>
      </c>
      <c r="N293" s="51"/>
      <c r="O293" s="51"/>
      <c r="P293" s="51"/>
      <c r="Q293" s="51">
        <v>0.03</v>
      </c>
      <c r="R293" s="51"/>
      <c r="S293" s="32">
        <v>0.01</v>
      </c>
      <c r="T293" s="52"/>
      <c r="U293" s="52"/>
      <c r="V293" s="52" t="s">
        <v>631</v>
      </c>
      <c r="W293" s="52"/>
      <c r="X293" s="32" t="s">
        <v>631</v>
      </c>
      <c r="Y293" s="53" t="s">
        <v>631</v>
      </c>
      <c r="Z293" s="4" t="s">
        <v>631</v>
      </c>
      <c r="AA293" s="104"/>
      <c r="AB293" s="42">
        <f>IF(J293&lt;=0.04,0,IF((BA293-AL293*BF$4*炼钢参数表!$X$5/1000-AM293*BG$4*炼钢参数表!$X$5/1000)&lt;=0.03,0,IF((J293/100/0.1769/炼钢参数表!K293*1000)&gt;(K293-炼钢参数表!J293)/100/0.6566/炼钢参数表!L293*1000,IF(K293&lt;1.6,(K293-炼钢参数表!J293)/100/0.6566/炼钢参数表!L293*1000,(K293-0.08-炼钢参数表!J293)/100/0.6566/炼钢参数表!L293*1000),IF(K293&lt;1.6,J293/100/0.1769/炼钢参数表!K293*1000,(J293-0.08)/100/0.1769/炼钢参数表!K293*1000))))</f>
        <v>0</v>
      </c>
      <c r="AC293" s="8">
        <f>IF((BA293-AB293*$BB$4*0.9/1000-AL293*BF$4*炼钢参数表!$X$5/1000-AM293*BG$4*炼钢参数表!$X$5/1000)&lt;(K293-炼钢参数表!J293-AB293*0.6566*炼钢参数表!L293/10)*0.082,0,(K293-炼钢参数表!J293-AB293*0.6566*炼钢参数表!L293/10)/100/($AC$3/100)/炼钢参数表!L293*1000)</f>
        <v>0</v>
      </c>
      <c r="AD293" s="8">
        <f>IF((BA293-AB293*$BB$4*0.9/1000-AC293*$BC$4*0.9/1000-AL293*BF$4*炼钢参数表!$X$5/1000-AM293*BG$4*炼钢参数表!$X$5/1000)&lt;=(K293-炼钢参数表!J293-AB293*0.6566*炼钢参数表!L293/10-AC293*($AC$3/100)*炼钢参数表!L293/10)*0.02,0,((K293-炼钢参数表!J293-AB293*0.6566*炼钢参数表!L293/10-AC293*($AC$3/100)*炼钢参数表!L293/10)/100/($AD$3/100)/炼钢参数表!L293*1000))</f>
        <v>14.358557275724101</v>
      </c>
      <c r="AE293" s="8">
        <f>(K293-炼钢参数表!J293-AB293*0.6566*炼钢参数表!L293/10-AC293*($AC$3/100)*炼钢参数表!L293/10-AD293*($AD$3/100)*炼钢参数表!L293/10)/100/($AE$3/100)/炼钢参数表!L293*1000</f>
        <v>0</v>
      </c>
      <c r="AF293" s="8">
        <v>0</v>
      </c>
      <c r="AG293" s="8">
        <f>IF(J293&lt;=0.04,0,((J293-(AB293*0.1769*炼钢参数表!K293/1000*100))/100/炼钢参数表!K293/($AG$3/100)*1000))</f>
        <v>3.4611657206147002</v>
      </c>
      <c r="AH293" s="8">
        <v>1.9</v>
      </c>
      <c r="AI293" s="8">
        <f>IF(N293="",0,IF(N293&lt;=0.002,0,((N293)/100)/($AI$3/100)/炼钢参数表!M293*1000))</f>
        <v>0</v>
      </c>
      <c r="AJ293" s="8">
        <f>IF(O293="",0,IF(O293&lt;=0.002,0,((O293)/100)/($AJ$3/100)/炼钢参数表!N293*1000))</f>
        <v>0</v>
      </c>
      <c r="AK293" s="8">
        <f>IF(P293="",0,IF(P293&lt;=0.002,0,((P293+0.005)/100)/($AK$3/100)/炼钢参数表!O293*1000))</f>
        <v>0</v>
      </c>
      <c r="AL293" s="8">
        <f>IF((BA293-J293*0.00003-K293*0.00024)&lt;=0.05,0,IF(T293="",0,IF(T293&lt;=0.03,0,IF(((BA293-J293*0.00003-K293*0.00024)-0.05)/0.18/100/($AL$3/100)/炼钢参数表!P293*1000&lt;=T293/100/($AL$3/100)/炼钢参数表!P293*1000,((BA293-J293*0.00003-K293*0.00024)-0.05)/0.18/100/($AL$3/100)/炼钢参数表!P293*1000,T293/100/($AL$3/100)/炼钢参数表!P293*1000))))</f>
        <v>0</v>
      </c>
      <c r="AM293" s="8">
        <f>IF(T293="",0,IF(T293&lt;=0.03,0,((T293-AL293*($AL$3/100)*炼钢参数表!P293/10)/100/($AM$3/100)/炼钢参数表!P293*1000)))</f>
        <v>0</v>
      </c>
      <c r="AN293" s="8">
        <f>IF(U293="",0,IF(U293&lt;=0.02,0,(U293/100)/($AN$3/100)/炼钢参数表!Q293*1000))</f>
        <v>0</v>
      </c>
      <c r="AO293" s="8">
        <f>IF(V293="",0,IF(V293&lt;=0.02,0,(V293/100)/($AO$3/100)/炼钢参数表!R293*1000))</f>
        <v>0</v>
      </c>
      <c r="AP293" s="8">
        <f>IF(W293="",0,IF(W293&lt;=0.02,0,(W293/100)/($AP$3/100)/炼钢参数表!S293*1000))</f>
        <v>0</v>
      </c>
      <c r="AQ293" s="8">
        <f>IF(X293="",0,IF(X293&lt;=0.0002,0,(X293/100)/($AQ$3/100)/炼钢参数表!T293*1000))</f>
        <v>0</v>
      </c>
      <c r="AR293" s="8">
        <f>IF(Y293="",0,IF(Y293&lt;=0.02,0,(Y293/100)/($AR$3/100)/炼钢参数表!U293*1000))</f>
        <v>0</v>
      </c>
      <c r="AS293" s="8">
        <f>IF(L293&lt;=0.04,0,((L293-0.04)/100)/($AS$3/100)/炼钢参数表!V293*1000)</f>
        <v>0</v>
      </c>
      <c r="AT293" s="8">
        <f>IF(M293&lt;=0.03,0,((M293-0.03)/100)/($AT$3/100)/炼钢参数表!W293*1000)</f>
        <v>0</v>
      </c>
      <c r="AU293" s="6"/>
      <c r="AV293" s="8">
        <f t="shared" si="58"/>
        <v>19.719722996338799</v>
      </c>
      <c r="AW293" s="8" cm="1">
        <f t="array" ref="AW293">SUMPRODUCT($AB$4:$AU$4,AB293:AU293)/1000</f>
        <v>171.382591970135</v>
      </c>
      <c r="AY293" s="2" t="str">
        <f t="shared" si="59"/>
        <v>CCSAH32-1</v>
      </c>
      <c r="AZ293" s="37">
        <f>VLOOKUP(AY293,炼钢参数表!$F$5:$J$1027,4,0)</f>
        <v>0.04</v>
      </c>
      <c r="BA293" s="37">
        <f t="shared" si="60"/>
        <v>0.03</v>
      </c>
      <c r="BB293" s="37">
        <f>AB293*$BB$4*炼钢参数表!$X$5/1000</f>
        <v>0</v>
      </c>
      <c r="BC293" s="37">
        <f>AC293*$BC$4*炼钢参数表!$X$5/1000</f>
        <v>0</v>
      </c>
      <c r="BD293" s="37">
        <f>AD293*$BD$4*炼钢参数表!$X$5/1000</f>
        <v>1.9384052322227601E-2</v>
      </c>
      <c r="BE293" s="37">
        <f>AE293*$BE$4*炼钢参数表!$X$5/1000</f>
        <v>0</v>
      </c>
      <c r="BF293" s="37">
        <f>AL293*$BF$4*炼钢参数表!$X$5/1000</f>
        <v>0</v>
      </c>
      <c r="BG293" s="37">
        <f>AM293*$BG$4*炼钢参数表!$X$5/1000</f>
        <v>0</v>
      </c>
      <c r="BH293" s="37">
        <f t="shared" si="61"/>
        <v>1.9384052322227601E-2</v>
      </c>
      <c r="BI293" s="37">
        <f t="shared" si="62"/>
        <v>5.9384052322227598E-2</v>
      </c>
      <c r="BJ293" s="37">
        <f t="shared" si="63"/>
        <v>-1.06159476777724E-2</v>
      </c>
      <c r="BK293" s="54"/>
      <c r="BL293" s="7"/>
    </row>
    <row r="294" spans="1:64" x14ac:dyDescent="0.3">
      <c r="A294" s="21">
        <v>286</v>
      </c>
      <c r="B294" s="4" t="s">
        <v>521</v>
      </c>
      <c r="C294" s="4" t="s">
        <v>26</v>
      </c>
      <c r="D294" s="4">
        <v>12.51</v>
      </c>
      <c r="E294" s="4">
        <v>25</v>
      </c>
      <c r="F294" s="4" t="s">
        <v>523</v>
      </c>
      <c r="G294" s="50" t="s">
        <v>511</v>
      </c>
      <c r="H294" s="4">
        <v>1521</v>
      </c>
      <c r="I294" s="51">
        <v>7.0000000000000007E-2</v>
      </c>
      <c r="J294" s="52">
        <v>0.2</v>
      </c>
      <c r="K294" s="52">
        <v>1.3</v>
      </c>
      <c r="L294" s="51">
        <v>1.4999999999999999E-2</v>
      </c>
      <c r="M294" s="51">
        <v>6.0000000000000001E-3</v>
      </c>
      <c r="N294" s="51"/>
      <c r="O294" s="51"/>
      <c r="P294" s="51"/>
      <c r="Q294" s="51">
        <v>0.03</v>
      </c>
      <c r="R294" s="51"/>
      <c r="S294" s="32">
        <v>0.01</v>
      </c>
      <c r="T294" s="52"/>
      <c r="U294" s="52"/>
      <c r="V294" s="52" t="s">
        <v>631</v>
      </c>
      <c r="W294" s="52"/>
      <c r="X294" s="32" t="s">
        <v>631</v>
      </c>
      <c r="Y294" s="53" t="s">
        <v>631</v>
      </c>
      <c r="Z294" s="4" t="s">
        <v>631</v>
      </c>
      <c r="AA294" s="104"/>
      <c r="AB294" s="42">
        <f>IF(J294&lt;=0.04,0,IF((BA294-AL294*BF$4*炼钢参数表!$X$5/1000-AM294*BG$4*炼钢参数表!$X$5/1000)&lt;=0.03,0,IF((J294/100/0.1769/炼钢参数表!K294*1000)&gt;(K294-炼钢参数表!J294)/100/0.6566/炼钢参数表!L294*1000,IF(K294&lt;1.6,(K294-炼钢参数表!J294)/100/0.6566/炼钢参数表!L294*1000,(K294-0.08-炼钢参数表!J294)/100/0.6566/炼钢参数表!L294*1000),IF(K294&lt;1.6,J294/100/0.1769/炼钢参数表!K294*1000,(J294-0.08)/100/0.1769/炼钢参数表!K294*1000))))</f>
        <v>0</v>
      </c>
      <c r="AC294" s="8">
        <f>IF((BA294-AB294*$BB$4*0.9/1000-AL294*BF$4*炼钢参数表!$X$5/1000-AM294*BG$4*炼钢参数表!$X$5/1000)&lt;(K294-炼钢参数表!J294-AB294*0.6566*炼钢参数表!L294/10)*0.082,0,(K294-炼钢参数表!J294-AB294*0.6566*炼钢参数表!L294/10)/100/($AC$3/100)/炼钢参数表!L294*1000)</f>
        <v>0</v>
      </c>
      <c r="AD294" s="8">
        <f>IF((BA294-AB294*$BB$4*0.9/1000-AC294*$BC$4*0.9/1000-AL294*BF$4*炼钢参数表!$X$5/1000-AM294*BG$4*炼钢参数表!$X$5/1000)&lt;=(K294-炼钢参数表!J294-AB294*0.6566*炼钢参数表!L294/10-AC294*($AC$3/100)*炼钢参数表!L294/10)*0.02,0,((K294-炼钢参数表!J294-AB294*0.6566*炼钢参数表!L294/10-AC294*($AC$3/100)*炼钢参数表!L294/10)/100/($AD$3/100)/炼钢参数表!L294*1000))</f>
        <v>15.655612894508399</v>
      </c>
      <c r="AE294" s="8">
        <f>(K294-炼钢参数表!J294-AB294*0.6566*炼钢参数表!L294/10-AC294*($AC$3/100)*炼钢参数表!L294/10-AD294*($AD$3/100)*炼钢参数表!L294/10)/100/($AE$3/100)/炼钢参数表!L294*1000</f>
        <v>0</v>
      </c>
      <c r="AF294" s="8">
        <v>0</v>
      </c>
      <c r="AG294" s="8">
        <f>IF(J294&lt;=0.04,0,((J294-(AB294*0.1769*炼钢参数表!K294/1000*100))/100/炼钢参数表!K294/($AG$3/100)*1000))</f>
        <v>3.4611657206147002</v>
      </c>
      <c r="AH294" s="8">
        <v>1.9</v>
      </c>
      <c r="AI294" s="8">
        <f>IF(N294="",0,IF(N294&lt;=0.002,0,((N294)/100)/($AI$3/100)/炼钢参数表!M294*1000))</f>
        <v>0</v>
      </c>
      <c r="AJ294" s="8">
        <f>IF(O294="",0,IF(O294&lt;=0.002,0,((O294)/100)/($AJ$3/100)/炼钢参数表!N294*1000))</f>
        <v>0</v>
      </c>
      <c r="AK294" s="8">
        <f>IF(P294="",0,IF(P294&lt;=0.002,0,((P294+0.005)/100)/($AK$3/100)/炼钢参数表!O294*1000))</f>
        <v>0</v>
      </c>
      <c r="AL294" s="8">
        <f>IF((BA294-J294*0.00003-K294*0.00024)&lt;=0.05,0,IF(T294="",0,IF(T294&lt;=0.03,0,IF(((BA294-J294*0.00003-K294*0.00024)-0.05)/0.18/100/($AL$3/100)/炼钢参数表!P294*1000&lt;=T294/100/($AL$3/100)/炼钢参数表!P294*1000,((BA294-J294*0.00003-K294*0.00024)-0.05)/0.18/100/($AL$3/100)/炼钢参数表!P294*1000,T294/100/($AL$3/100)/炼钢参数表!P294*1000))))</f>
        <v>0</v>
      </c>
      <c r="AM294" s="8">
        <f>IF(T294="",0,IF(T294&lt;=0.03,0,((T294-AL294*($AL$3/100)*炼钢参数表!P294/10)/100/($AM$3/100)/炼钢参数表!P294*1000)))</f>
        <v>0</v>
      </c>
      <c r="AN294" s="8">
        <f>IF(U294="",0,IF(U294&lt;=0.02,0,(U294/100)/($AN$3/100)/炼钢参数表!Q294*1000))</f>
        <v>0</v>
      </c>
      <c r="AO294" s="8">
        <f>IF(V294="",0,IF(V294&lt;=0.02,0,(V294/100)/($AO$3/100)/炼钢参数表!R294*1000))</f>
        <v>0</v>
      </c>
      <c r="AP294" s="8">
        <f>IF(W294="",0,IF(W294&lt;=0.02,0,(W294/100)/($AP$3/100)/炼钢参数表!S294*1000))</f>
        <v>0</v>
      </c>
      <c r="AQ294" s="8">
        <f>IF(X294="",0,IF(X294&lt;=0.0002,0,(X294/100)/($AQ$3/100)/炼钢参数表!T294*1000))</f>
        <v>0</v>
      </c>
      <c r="AR294" s="8">
        <f>IF(Y294="",0,IF(Y294&lt;=0.02,0,(Y294/100)/($AR$3/100)/炼钢参数表!U294*1000))</f>
        <v>0</v>
      </c>
      <c r="AS294" s="8">
        <f>IF(L294&lt;=0.04,0,((L294-0.04)/100)/($AS$3/100)/炼钢参数表!V294*1000)</f>
        <v>0</v>
      </c>
      <c r="AT294" s="8">
        <f>IF(M294&lt;=0.03,0,((M294-0.03)/100)/($AT$3/100)/炼钢参数表!W294*1000)</f>
        <v>0</v>
      </c>
      <c r="AU294" s="6"/>
      <c r="AV294" s="8">
        <f t="shared" si="58"/>
        <v>21.016778615123201</v>
      </c>
      <c r="AW294" s="8" cm="1">
        <f t="array" ref="AW294">SUMPRODUCT($AB$4:$AU$4,AB294:AU294)/1000</f>
        <v>181.40894668702001</v>
      </c>
      <c r="AY294" s="2" t="str">
        <f t="shared" si="59"/>
        <v>CCSAH32-2</v>
      </c>
      <c r="AZ294" s="37">
        <f>VLOOKUP(AY294,炼钢参数表!$F$5:$J$1027,4,0)</f>
        <v>4.3999999999999997E-2</v>
      </c>
      <c r="BA294" s="37">
        <f t="shared" si="60"/>
        <v>2.5999999999999999E-2</v>
      </c>
      <c r="BB294" s="37">
        <f>AB294*$BB$4*炼钢参数表!$X$5/1000</f>
        <v>0</v>
      </c>
      <c r="BC294" s="37">
        <f>AC294*$BC$4*炼钢参数表!$X$5/1000</f>
        <v>0</v>
      </c>
      <c r="BD294" s="37">
        <f>AD294*$BD$4*炼钢参数表!$X$5/1000</f>
        <v>2.1135077407586401E-2</v>
      </c>
      <c r="BE294" s="37">
        <f>AE294*$BE$4*炼钢参数表!$X$5/1000</f>
        <v>0</v>
      </c>
      <c r="BF294" s="37">
        <f>AL294*$BF$4*炼钢参数表!$X$5/1000</f>
        <v>0</v>
      </c>
      <c r="BG294" s="37">
        <f>AM294*$BG$4*炼钢参数表!$X$5/1000</f>
        <v>0</v>
      </c>
      <c r="BH294" s="37">
        <f t="shared" si="61"/>
        <v>2.1135077407586401E-2</v>
      </c>
      <c r="BI294" s="37">
        <f t="shared" si="62"/>
        <v>6.5135077407586395E-2</v>
      </c>
      <c r="BJ294" s="37">
        <f t="shared" si="63"/>
        <v>-4.8649225924136102E-3</v>
      </c>
      <c r="BK294" s="54"/>
      <c r="BL294" s="7"/>
    </row>
    <row r="295" spans="1:64" x14ac:dyDescent="0.3">
      <c r="A295" s="21">
        <v>287</v>
      </c>
      <c r="B295" s="4" t="s">
        <v>524</v>
      </c>
      <c r="C295" s="4" t="s">
        <v>23</v>
      </c>
      <c r="D295" s="4">
        <v>4</v>
      </c>
      <c r="E295" s="4">
        <v>12.5</v>
      </c>
      <c r="F295" s="4" t="s">
        <v>525</v>
      </c>
      <c r="G295" s="50" t="s">
        <v>511</v>
      </c>
      <c r="H295" s="4">
        <v>1521</v>
      </c>
      <c r="I295" s="51">
        <v>7.0000000000000007E-2</v>
      </c>
      <c r="J295" s="52">
        <v>0.12</v>
      </c>
      <c r="K295" s="52">
        <v>1.3</v>
      </c>
      <c r="L295" s="51">
        <v>1.4999999999999999E-2</v>
      </c>
      <c r="M295" s="51">
        <v>6.0000000000000001E-3</v>
      </c>
      <c r="N295" s="51"/>
      <c r="O295" s="51">
        <v>3.5000000000000003E-2</v>
      </c>
      <c r="P295" s="51">
        <v>0.01</v>
      </c>
      <c r="Q295" s="51">
        <v>0.03</v>
      </c>
      <c r="R295" s="51" t="s">
        <v>631</v>
      </c>
      <c r="S295" s="32"/>
      <c r="T295" s="52"/>
      <c r="U295" s="52"/>
      <c r="V295" s="52"/>
      <c r="W295" s="52"/>
      <c r="X295" s="32"/>
      <c r="Y295" s="53" t="s">
        <v>631</v>
      </c>
      <c r="Z295" s="4">
        <v>50</v>
      </c>
      <c r="AA295" s="53"/>
      <c r="AB295" s="42">
        <f>IF(J295&lt;=0.04,0,IF((BA295-AL295*BF$4*炼钢参数表!$X$5/1000-AM295*BG$4*炼钢参数表!$X$5/1000)&lt;=0.03,0,IF((J295/100/0.1769/炼钢参数表!K295*1000)&gt;(K295-炼钢参数表!J295)/100/0.6566/炼钢参数表!L295*1000,IF(K295&lt;1.6,(K295-炼钢参数表!J295)/100/0.6566/炼钢参数表!L295*1000,(K295-0.08-炼钢参数表!J295)/100/0.6566/炼钢参数表!L295*1000),IF(K295&lt;1.6,J295/100/0.1769/炼钢参数表!K295*1000,(J295-0.08)/100/0.1769/炼钢参数表!K295*1000))))</f>
        <v>0</v>
      </c>
      <c r="AC295" s="8">
        <f>IF((BA295-AB295*$BB$4*0.9/1000-AL295*BF$4*炼钢参数表!$X$5/1000-AM295*BG$4*炼钢参数表!$X$5/1000)&lt;(K295-炼钢参数表!J295-AB295*0.6566*炼钢参数表!L295/10)*0.082,0,(K295-炼钢参数表!J295-AB295*0.6566*炼钢参数表!L295/10)/100/($AC$3/100)/炼钢参数表!L295*1000)</f>
        <v>0</v>
      </c>
      <c r="AD295" s="8">
        <f>IF((BA295-AB295*$BB$4*0.9/1000-AC295*$BC$4*0.9/1000-AL295*BF$4*炼钢参数表!$X$5/1000-AM295*BG$4*炼钢参数表!$X$5/1000)&lt;=(K295-炼钢参数表!J295-AB295*0.6566*炼钢参数表!L295/10-AC295*($AC$3/100)*炼钢参数表!L295/10)*0.02,0,((K295-炼钢参数表!J295-AB295*0.6566*炼钢参数表!L295/10-AC295*($AC$3/100)*炼钢参数表!L295/10)/100/($AD$3/100)/炼钢参数表!L295*1000))</f>
        <v>15.728841713781099</v>
      </c>
      <c r="AE295" s="8">
        <f>(K295-炼钢参数表!J295-AB295*0.6566*炼钢参数表!L295/10-AC295*($AC$3/100)*炼钢参数表!L295/10-AD295*($AD$3/100)*炼钢参数表!L295/10)/100/($AE$3/100)/炼钢参数表!L295*1000</f>
        <v>0</v>
      </c>
      <c r="AF295" s="8">
        <v>0</v>
      </c>
      <c r="AG295" s="8">
        <f>IF(J295&lt;=0.04,0,((J295-(AB295*0.1769*炼钢参数表!K295/1000*100))/100/炼钢参数表!K295/($AG$3/100)*1000))</f>
        <v>2.0766994323688199</v>
      </c>
      <c r="AH295" s="8">
        <v>1.9</v>
      </c>
      <c r="AI295" s="8">
        <f>IF(N295="",0,IF(N295&lt;=0.002,0,((N295)/100)/($AI$3/100)/炼钢参数表!M295*1000))</f>
        <v>0</v>
      </c>
      <c r="AJ295" s="8">
        <f>IF(O295="",0,IF(O295&lt;=0.002,0,((O295)/100)/($AJ$3/100)/炼钢参数表!N295*1000))</f>
        <v>0.54911263398348298</v>
      </c>
      <c r="AK295" s="8">
        <f>IF(P295="",0,IF(P295&lt;=0.002,0,((P295+0.005)/100)/($AK$3/100)/炼钢参数表!O295*1000))</f>
        <v>0.29936534546760901</v>
      </c>
      <c r="AL295" s="8">
        <f>IF((BA295-J295*0.00003-K295*0.00024)&lt;=0.05,0,IF(T295="",0,IF(T295&lt;=0.03,0,IF(((BA295-J295*0.00003-K295*0.00024)-0.05)/0.18/100/($AL$3/100)/炼钢参数表!P295*1000&lt;=T295/100/($AL$3/100)/炼钢参数表!P295*1000,((BA295-J295*0.00003-K295*0.00024)-0.05)/0.18/100/($AL$3/100)/炼钢参数表!P295*1000,T295/100/($AL$3/100)/炼钢参数表!P295*1000))))</f>
        <v>0</v>
      </c>
      <c r="AM295" s="8">
        <f>IF(T295="",0,IF(T295&lt;=0.03,0,((T295-AL295*($AL$3/100)*炼钢参数表!P295/10)/100/($AM$3/100)/炼钢参数表!P295*1000)))</f>
        <v>0</v>
      </c>
      <c r="AN295" s="8">
        <f>IF(U295="",0,IF(U295&lt;=0.02,0,(U295/100)/($AN$3/100)/炼钢参数表!Q295*1000))</f>
        <v>0</v>
      </c>
      <c r="AO295" s="8">
        <f>IF(V295="",0,IF(V295&lt;=0.02,0,(V295/100)/($AO$3/100)/炼钢参数表!R295*1000))</f>
        <v>0</v>
      </c>
      <c r="AP295" s="8">
        <f>IF(W295="",0,IF(W295&lt;=0.02,0,(W295/100)/($AP$3/100)/炼钢参数表!S295*1000))</f>
        <v>0</v>
      </c>
      <c r="AQ295" s="8">
        <f>IF(X295="",0,IF(X295&lt;=0.0002,0,(X295/100)/($AQ$3/100)/炼钢参数表!T295*1000))</f>
        <v>0</v>
      </c>
      <c r="AR295" s="8">
        <f>IF(Y295="",0,IF(Y295&lt;=0.02,0,(Y295/100)/($AR$3/100)/炼钢参数表!U295*1000))</f>
        <v>0</v>
      </c>
      <c r="AS295" s="8">
        <f>IF(L295&lt;=0.04,0,((L295-0.04)/100)/($AS$3/100)/炼钢参数表!V295*1000)</f>
        <v>0</v>
      </c>
      <c r="AT295" s="8">
        <f>IF(M295&lt;=0.03,0,((M295-0.03)/100)/($AT$3/100)/炼钢参数表!W295*1000)</f>
        <v>0</v>
      </c>
      <c r="AU295" s="6"/>
      <c r="AV295" s="8">
        <f t="shared" si="58"/>
        <v>20.554019125601101</v>
      </c>
      <c r="AW295" s="8" cm="1">
        <f t="array" ref="AW295">SUMPRODUCT($AB$4:$AU$4,AB295:AU295)/1000</f>
        <v>300.26709357168897</v>
      </c>
      <c r="AY295" s="2" t="str">
        <f t="shared" si="59"/>
        <v>CCSAH36-1</v>
      </c>
      <c r="AZ295" s="37">
        <f>VLOOKUP(AY295,炼钢参数表!$F$5:$J$1027,4,0)</f>
        <v>4.2963636363636398E-2</v>
      </c>
      <c r="BA295" s="37">
        <f t="shared" si="60"/>
        <v>2.7036363636363601E-2</v>
      </c>
      <c r="BB295" s="37">
        <f>AB295*$BB$4*炼钢参数表!$X$5/1000</f>
        <v>0</v>
      </c>
      <c r="BC295" s="37">
        <f>AC295*$BC$4*炼钢参数表!$X$5/1000</f>
        <v>0</v>
      </c>
      <c r="BD295" s="37">
        <f>AD295*$BD$4*炼钢参数表!$X$5/1000</f>
        <v>2.1233936313604498E-2</v>
      </c>
      <c r="BE295" s="37">
        <f>AE295*$BE$4*炼钢参数表!$X$5/1000</f>
        <v>0</v>
      </c>
      <c r="BF295" s="37">
        <f>AL295*$BF$4*炼钢参数表!$X$5/1000</f>
        <v>0</v>
      </c>
      <c r="BG295" s="37">
        <f>AM295*$BG$4*炼钢参数表!$X$5/1000</f>
        <v>0</v>
      </c>
      <c r="BH295" s="37">
        <f t="shared" si="61"/>
        <v>2.1233936313604498E-2</v>
      </c>
      <c r="BI295" s="37">
        <f t="shared" si="62"/>
        <v>6.4197572677240897E-2</v>
      </c>
      <c r="BJ295" s="37">
        <f t="shared" si="63"/>
        <v>-5.8024273227590701E-3</v>
      </c>
      <c r="BK295" s="54"/>
      <c r="BL295" s="7"/>
    </row>
    <row r="296" spans="1:64" x14ac:dyDescent="0.3">
      <c r="A296" s="21">
        <v>288</v>
      </c>
      <c r="B296" s="4" t="s">
        <v>524</v>
      </c>
      <c r="C296" s="4" t="s">
        <v>26</v>
      </c>
      <c r="D296" s="4">
        <v>12.51</v>
      </c>
      <c r="E296" s="4">
        <v>25</v>
      </c>
      <c r="F296" s="4" t="s">
        <v>526</v>
      </c>
      <c r="G296" s="50" t="s">
        <v>511</v>
      </c>
      <c r="H296" s="4">
        <v>1522</v>
      </c>
      <c r="I296" s="51">
        <v>7.0000000000000007E-2</v>
      </c>
      <c r="J296" s="52">
        <v>0.15</v>
      </c>
      <c r="K296" s="52">
        <v>1.4</v>
      </c>
      <c r="L296" s="51">
        <v>1.4999999999999999E-2</v>
      </c>
      <c r="M296" s="51">
        <v>6.0000000000000001E-3</v>
      </c>
      <c r="N296" s="51"/>
      <c r="O296" s="51">
        <v>3.5000000000000003E-2</v>
      </c>
      <c r="P296" s="51">
        <v>0.01</v>
      </c>
      <c r="Q296" s="51">
        <v>0.03</v>
      </c>
      <c r="R296" s="51" t="s">
        <v>631</v>
      </c>
      <c r="S296" s="32"/>
      <c r="T296" s="52"/>
      <c r="U296" s="52"/>
      <c r="V296" s="52"/>
      <c r="W296" s="52"/>
      <c r="X296" s="32"/>
      <c r="Y296" s="53" t="s">
        <v>631</v>
      </c>
      <c r="Z296" s="4">
        <v>50</v>
      </c>
      <c r="AA296" s="53"/>
      <c r="AB296" s="42">
        <f>IF(J296&lt;=0.04,0,IF((BA296-AL296*BF$4*炼钢参数表!$X$5/1000-AM296*BG$4*炼钢参数表!$X$5/1000)&lt;=0.03,0,IF((J296/100/0.1769/炼钢参数表!K296*1000)&gt;(K296-炼钢参数表!J296)/100/0.6566/炼钢参数表!L296*1000,IF(K296&lt;1.6,(K296-炼钢参数表!J296)/100/0.6566/炼钢参数表!L296*1000,(K296-0.08-炼钢参数表!J296)/100/0.6566/炼钢参数表!L296*1000),IF(K296&lt;1.6,J296/100/0.1769/炼钢参数表!K296*1000,(J296-0.08)/100/0.1769/炼钢参数表!K296*1000))))</f>
        <v>0</v>
      </c>
      <c r="AC296" s="8">
        <f>IF((BA296-AB296*$BB$4*0.9/1000-AL296*BF$4*炼钢参数表!$X$5/1000-AM296*BG$4*炼钢参数表!$X$5/1000)&lt;(K296-炼钢参数表!J296-AB296*0.6566*炼钢参数表!L296/10)*0.082,0,(K296-炼钢参数表!J296-AB296*0.6566*炼钢参数表!L296/10)/100/($AC$3/100)/炼钢参数表!L296*1000)</f>
        <v>0</v>
      </c>
      <c r="AD296" s="8">
        <f>IF((BA296-AB296*$BB$4*0.9/1000-AC296*$BC$4*0.9/1000-AL296*BF$4*炼钢参数表!$X$5/1000-AM296*BG$4*炼钢参数表!$X$5/1000)&lt;=(K296-炼钢参数表!J296-AB296*0.6566*炼钢参数表!L296/10-AC296*($AC$3/100)*炼钢参数表!L296/10)*0.02,0,((K296-炼钢参数表!J296-AB296*0.6566*炼钢参数表!L296/10-AC296*($AC$3/100)*炼钢参数表!L296/10)/100/($AD$3/100)/炼钢参数表!L296*1000))</f>
        <v>17.0297464108606</v>
      </c>
      <c r="AE296" s="8">
        <f>(K296-炼钢参数表!J296-AB296*0.6566*炼钢参数表!L296/10-AC296*($AC$3/100)*炼钢参数表!L296/10-AD296*($AD$3/100)*炼钢参数表!L296/10)/100/($AE$3/100)/炼钢参数表!L296*1000</f>
        <v>0</v>
      </c>
      <c r="AF296" s="8">
        <v>0</v>
      </c>
      <c r="AG296" s="8">
        <f>IF(J296&lt;=0.04,0,((J296-(AB296*0.1769*炼钢参数表!K296/1000*100))/100/炼钢参数表!K296/($AG$3/100)*1000))</f>
        <v>2.5958742904610301</v>
      </c>
      <c r="AH296" s="8">
        <v>1.9</v>
      </c>
      <c r="AI296" s="8">
        <f>IF(N296="",0,IF(N296&lt;=0.002,0,((N296)/100)/($AI$3/100)/炼钢参数表!M296*1000))</f>
        <v>0</v>
      </c>
      <c r="AJ296" s="8">
        <f>IF(O296="",0,IF(O296&lt;=0.002,0,((O296)/100)/($AJ$3/100)/炼钢参数表!N296*1000))</f>
        <v>0.54911263398348298</v>
      </c>
      <c r="AK296" s="8">
        <f>IF(P296="",0,IF(P296&lt;=0.002,0,((P296+0.005)/100)/($AK$3/100)/炼钢参数表!O296*1000))</f>
        <v>0.29936534546760901</v>
      </c>
      <c r="AL296" s="8">
        <f>IF((BA296-J296*0.00003-K296*0.00024)&lt;=0.05,0,IF(T296="",0,IF(T296&lt;=0.03,0,IF(((BA296-J296*0.00003-K296*0.00024)-0.05)/0.18/100/($AL$3/100)/炼钢参数表!P296*1000&lt;=T296/100/($AL$3/100)/炼钢参数表!P296*1000,((BA296-J296*0.00003-K296*0.00024)-0.05)/0.18/100/($AL$3/100)/炼钢参数表!P296*1000,T296/100/($AL$3/100)/炼钢参数表!P296*1000))))</f>
        <v>0</v>
      </c>
      <c r="AM296" s="8">
        <f>IF(T296="",0,IF(T296&lt;=0.03,0,((T296-AL296*($AL$3/100)*炼钢参数表!P296/10)/100/($AM$3/100)/炼钢参数表!P296*1000)))</f>
        <v>0</v>
      </c>
      <c r="AN296" s="8">
        <f>IF(U296="",0,IF(U296&lt;=0.02,0,(U296/100)/($AN$3/100)/炼钢参数表!Q296*1000))</f>
        <v>0</v>
      </c>
      <c r="AO296" s="8">
        <f>IF(V296="",0,IF(V296&lt;=0.02,0,(V296/100)/($AO$3/100)/炼钢参数表!R296*1000))</f>
        <v>0</v>
      </c>
      <c r="AP296" s="8">
        <f>IF(W296="",0,IF(W296&lt;=0.02,0,(W296/100)/($AP$3/100)/炼钢参数表!S296*1000))</f>
        <v>0</v>
      </c>
      <c r="AQ296" s="8">
        <f>IF(X296="",0,IF(X296&lt;=0.0002,0,(X296/100)/($AQ$3/100)/炼钢参数表!T296*1000))</f>
        <v>0</v>
      </c>
      <c r="AR296" s="8">
        <f>IF(Y296="",0,IF(Y296&lt;=0.02,0,(Y296/100)/($AR$3/100)/炼钢参数表!U296*1000))</f>
        <v>0</v>
      </c>
      <c r="AS296" s="8">
        <f>IF(L296&lt;=0.04,0,((L296-0.04)/100)/($AS$3/100)/炼钢参数表!V296*1000)</f>
        <v>0</v>
      </c>
      <c r="AT296" s="8">
        <f>IF(M296&lt;=0.03,0,((M296-0.03)/100)/($AT$3/100)/炼钢参数表!W296*1000)</f>
        <v>0</v>
      </c>
      <c r="AU296" s="6"/>
      <c r="AV296" s="8">
        <f t="shared" si="58"/>
        <v>22.3740986807727</v>
      </c>
      <c r="AW296" s="8" cm="1">
        <f t="array" ref="AW296">SUMPRODUCT($AB$4:$AU$4,AB296:AU296)/1000</f>
        <v>313.015560118069</v>
      </c>
      <c r="AY296" s="2" t="str">
        <f t="shared" si="59"/>
        <v>CCSAH36-2</v>
      </c>
      <c r="AZ296" s="37">
        <f>VLOOKUP(AY296,炼钢参数表!$F$5:$J$1027,4,0)</f>
        <v>4.1595744680851102E-2</v>
      </c>
      <c r="BA296" s="37">
        <f t="shared" si="60"/>
        <v>2.8404255319148902E-2</v>
      </c>
      <c r="BB296" s="37">
        <f>AB296*$BB$4*炼钢参数表!$X$5/1000</f>
        <v>0</v>
      </c>
      <c r="BC296" s="37">
        <f>AC296*$BC$4*炼钢参数表!$X$5/1000</f>
        <v>0</v>
      </c>
      <c r="BD296" s="37">
        <f>AD296*$BD$4*炼钢参数表!$X$5/1000</f>
        <v>2.2990157654661801E-2</v>
      </c>
      <c r="BE296" s="37">
        <f>AE296*$BE$4*炼钢参数表!$X$5/1000</f>
        <v>0</v>
      </c>
      <c r="BF296" s="37">
        <f>AL296*$BF$4*炼钢参数表!$X$5/1000</f>
        <v>0</v>
      </c>
      <c r="BG296" s="37">
        <f>AM296*$BG$4*炼钢参数表!$X$5/1000</f>
        <v>0</v>
      </c>
      <c r="BH296" s="37">
        <f t="shared" si="61"/>
        <v>2.2990157654661801E-2</v>
      </c>
      <c r="BI296" s="37">
        <f t="shared" si="62"/>
        <v>6.4585902335512896E-2</v>
      </c>
      <c r="BJ296" s="37">
        <f t="shared" si="63"/>
        <v>-5.4140976644871499E-3</v>
      </c>
      <c r="BK296" s="54"/>
      <c r="BL296" s="7"/>
    </row>
    <row r="297" spans="1:64" x14ac:dyDescent="0.3">
      <c r="A297" s="21">
        <v>289</v>
      </c>
      <c r="B297" s="4" t="s">
        <v>527</v>
      </c>
      <c r="C297" s="4" t="s">
        <v>23</v>
      </c>
      <c r="D297" s="4">
        <v>3.5</v>
      </c>
      <c r="E297" s="4">
        <v>25.4</v>
      </c>
      <c r="F297" s="4" t="s">
        <v>527</v>
      </c>
      <c r="G297" s="50" t="s">
        <v>511</v>
      </c>
      <c r="H297" s="4">
        <v>1519</v>
      </c>
      <c r="I297" s="51">
        <v>0.16</v>
      </c>
      <c r="J297" s="52">
        <v>0.1</v>
      </c>
      <c r="K297" s="52">
        <v>0.6</v>
      </c>
      <c r="L297" s="51">
        <v>0.02</v>
      </c>
      <c r="M297" s="51">
        <v>1.4999999999999999E-2</v>
      </c>
      <c r="N297" s="51" t="s">
        <v>631</v>
      </c>
      <c r="O297" s="51" t="s">
        <v>631</v>
      </c>
      <c r="P297" s="51" t="s">
        <v>631</v>
      </c>
      <c r="Q297" s="51">
        <v>2.5000000000000001E-2</v>
      </c>
      <c r="R297" s="51" t="s">
        <v>631</v>
      </c>
      <c r="S297" s="32" t="s">
        <v>631</v>
      </c>
      <c r="T297" s="52"/>
      <c r="U297" s="52"/>
      <c r="V297" s="52"/>
      <c r="W297" s="52"/>
      <c r="X297" s="32" t="s">
        <v>631</v>
      </c>
      <c r="Y297" s="53" t="s">
        <v>631</v>
      </c>
      <c r="Z297" s="4"/>
      <c r="AA297" s="53"/>
      <c r="AB297" s="42">
        <f>IF(J297&lt;=0.04,0,IF((BA297-AL297*BF$4*炼钢参数表!$X$5/1000-AM297*BG$4*炼钢参数表!$X$5/1000)&lt;=0.03,0,IF((J297/100/0.1769/炼钢参数表!K297*1000)&gt;(K297-炼钢参数表!J297)/100/0.6566/炼钢参数表!L297*1000,IF(K297&lt;1.6,(K297-炼钢参数表!J297)/100/0.6566/炼钢参数表!L297*1000,(K297-0.08-炼钢参数表!J297)/100/0.6566/炼钢参数表!L297*1000),IF(K297&lt;1.6,J297/100/0.1769/炼钢参数表!K297*1000,(J297-0.08)/100/0.1769/炼钢参数表!K297*1000))))</f>
        <v>7.0661390616167301</v>
      </c>
      <c r="AC297" s="8">
        <f>IF((BA297-AB297*$BB$4*0.9/1000-AL297*BF$4*炼钢参数表!$X$5/1000-AM297*BG$4*炼钢参数表!$X$5/1000)&lt;(K297-炼钢参数表!J297-AB297*0.6566*炼钢参数表!L297/10)*0.082,0,(K297-炼钢参数表!J297-AB297*0.6566*炼钢参数表!L297/10)/100/($AC$3/100)/炼钢参数表!L297*1000)</f>
        <v>0.24797117621331999</v>
      </c>
      <c r="AD297" s="8">
        <f>IF((BA297-AB297*$BB$4*0.9/1000-AC297*$BC$4*0.9/1000-AL297*BF$4*炼钢参数表!$X$5/1000-AM297*BG$4*炼钢参数表!$X$5/1000)&lt;=(K297-炼钢参数表!J297-AB297*0.6566*炼钢参数表!L297/10-AC297*($AC$3/100)*炼钢参数表!L297/10)*0.02,0,((K297-炼钢参数表!J297-AB297*0.6566*炼钢参数表!L297/10-AC297*($AC$3/100)*炼钢参数表!L297/10)/100/($AD$3/100)/炼钢参数表!L297*1000))</f>
        <v>0</v>
      </c>
      <c r="AE297" s="8">
        <f>(K297-炼钢参数表!J297-AB297*0.6566*炼钢参数表!L297/10-AC297*($AC$3/100)*炼钢参数表!L297/10-AD297*($AD$3/100)*炼钢参数表!L297/10)/100/($AE$3/100)/炼钢参数表!L297*1000</f>
        <v>0</v>
      </c>
      <c r="AF297" s="8">
        <v>0</v>
      </c>
      <c r="AG297" s="8">
        <f>IF(J297&lt;=0.04,0,((J297-(AB297*0.1769*炼钢参数表!K297/1000*100))/100/炼钢参数表!K297/($AG$3/100)*1000))</f>
        <v>0</v>
      </c>
      <c r="AH297" s="8">
        <v>1.33</v>
      </c>
      <c r="AI297" s="8">
        <f>IF(N297="",0,IF(N297&lt;=0.002,0,((N297)/100)/($AI$3/100)/炼钢参数表!M297*1000))</f>
        <v>0</v>
      </c>
      <c r="AJ297" s="8">
        <f>IF(O297="",0,IF(O297&lt;=0.002,0,((O297)/100)/($AJ$3/100)/炼钢参数表!N297*1000))</f>
        <v>0</v>
      </c>
      <c r="AK297" s="8">
        <f>IF(P297="",0,IF(P297&lt;=0.002,0,((P297+0.005)/100)/($AK$3/100)/炼钢参数表!O297*1000))</f>
        <v>0</v>
      </c>
      <c r="AL297" s="8">
        <f>IF((BA297-J297*0.00003-K297*0.00024)&lt;=0.05,0,IF(T297="",0,IF(T297&lt;=0.03,0,IF(((BA297-J297*0.00003-K297*0.00024)-0.05)/0.18/100/($AL$3/100)/炼钢参数表!P297*1000&lt;=T297/100/($AL$3/100)/炼钢参数表!P297*1000,((BA297-J297*0.00003-K297*0.00024)-0.05)/0.18/100/($AL$3/100)/炼钢参数表!P297*1000,T297/100/($AL$3/100)/炼钢参数表!P297*1000))))</f>
        <v>0</v>
      </c>
      <c r="AM297" s="8">
        <f>IF(T297="",0,IF(T297&lt;=0.03,0,((T297-AL297*($AL$3/100)*炼钢参数表!P297/10)/100/($AM$3/100)/炼钢参数表!P297*1000)))</f>
        <v>0</v>
      </c>
      <c r="AN297" s="8">
        <f>IF(U297="",0,IF(U297&lt;=0.02,0,(U297/100)/($AN$3/100)/炼钢参数表!Q297*1000))</f>
        <v>0</v>
      </c>
      <c r="AO297" s="8">
        <f>IF(V297="",0,IF(V297&lt;=0.02,0,(V297/100)/($AO$3/100)/炼钢参数表!R297*1000))</f>
        <v>0</v>
      </c>
      <c r="AP297" s="8">
        <f>IF(W297="",0,IF(W297&lt;=0.02,0,(W297/100)/($AP$3/100)/炼钢参数表!S297*1000))</f>
        <v>0</v>
      </c>
      <c r="AQ297" s="8">
        <f>IF(X297="",0,IF(X297&lt;=0.0002,0,(X297/100)/($AQ$3/100)/炼钢参数表!T297*1000))</f>
        <v>0</v>
      </c>
      <c r="AR297" s="8">
        <f>IF(Y297="",0,IF(Y297&lt;=0.02,0,(Y297/100)/($AR$3/100)/炼钢参数表!U297*1000))</f>
        <v>0</v>
      </c>
      <c r="AS297" s="8">
        <f>IF(L297&lt;=0.04,0,((L297-0.04)/100)/($AS$3/100)/炼钢参数表!V297*1000)</f>
        <v>0</v>
      </c>
      <c r="AT297" s="8">
        <f>IF(M297&lt;=0.03,0,((M297-0.03)/100)/($AT$3/100)/炼钢参数表!W297*1000)</f>
        <v>0</v>
      </c>
      <c r="AU297" s="6"/>
      <c r="AV297" s="8">
        <f t="shared" si="58"/>
        <v>8.6441102378300503</v>
      </c>
      <c r="AW297" s="8" cm="1">
        <f t="array" ref="AW297">SUMPRODUCT($AB$4:$AU$4,AB297:AU297)/1000</f>
        <v>69.539473965705795</v>
      </c>
      <c r="AY297" s="2" t="str">
        <f t="shared" si="59"/>
        <v>AB/A</v>
      </c>
      <c r="AZ297" s="37">
        <f>VLOOKUP(AY297,炼钢参数表!$F$5:$J$1027,4,0)</f>
        <v>7.4291718170581098E-2</v>
      </c>
      <c r="BA297" s="37">
        <f t="shared" si="60"/>
        <v>8.5708281829418906E-2</v>
      </c>
      <c r="BB297" s="37">
        <f>AB297*$BB$4*炼钢参数表!$X$5/1000</f>
        <v>1.09383832673827E-2</v>
      </c>
      <c r="BC297" s="37">
        <f>AC297*$BC$4*炼钢参数表!$X$5/1000</f>
        <v>1.4930344519804E-3</v>
      </c>
      <c r="BD297" s="37">
        <f>AD297*$BD$4*炼钢参数表!$X$5/1000</f>
        <v>0</v>
      </c>
      <c r="BE297" s="37">
        <f>AE297*$BE$4*炼钢参数表!$X$5/1000</f>
        <v>0</v>
      </c>
      <c r="BF297" s="37">
        <f>AL297*$BF$4*炼钢参数表!$X$5/1000</f>
        <v>0</v>
      </c>
      <c r="BG297" s="37">
        <f>AM297*$BG$4*炼钢参数表!$X$5/1000</f>
        <v>0</v>
      </c>
      <c r="BH297" s="37">
        <f t="shared" si="61"/>
        <v>1.24314177193631E-2</v>
      </c>
      <c r="BI297" s="37">
        <f t="shared" si="62"/>
        <v>8.6723135889944195E-2</v>
      </c>
      <c r="BJ297" s="37">
        <f t="shared" si="63"/>
        <v>-7.3276864110055795E-2</v>
      </c>
      <c r="BK297" s="54"/>
      <c r="BL297" s="7"/>
    </row>
    <row r="298" spans="1:64" x14ac:dyDescent="0.3">
      <c r="A298" s="21">
        <v>290</v>
      </c>
      <c r="B298" s="4" t="s">
        <v>528</v>
      </c>
      <c r="C298" s="4" t="s">
        <v>23</v>
      </c>
      <c r="D298" s="4">
        <v>4</v>
      </c>
      <c r="E298" s="4">
        <v>25.4</v>
      </c>
      <c r="F298" s="4" t="s">
        <v>528</v>
      </c>
      <c r="G298" s="50" t="s">
        <v>511</v>
      </c>
      <c r="H298" s="4">
        <v>1519</v>
      </c>
      <c r="I298" s="51">
        <v>0.16</v>
      </c>
      <c r="J298" s="52">
        <v>0.12</v>
      </c>
      <c r="K298" s="52">
        <v>0.75</v>
      </c>
      <c r="L298" s="51">
        <v>1.4999999999999999E-2</v>
      </c>
      <c r="M298" s="51">
        <v>6.0000000000000001E-3</v>
      </c>
      <c r="N298" s="51" t="s">
        <v>631</v>
      </c>
      <c r="O298" s="51" t="s">
        <v>631</v>
      </c>
      <c r="P298" s="51" t="s">
        <v>631</v>
      </c>
      <c r="Q298" s="51">
        <v>2.5000000000000001E-2</v>
      </c>
      <c r="R298" s="51" t="s">
        <v>631</v>
      </c>
      <c r="S298" s="32" t="s">
        <v>631</v>
      </c>
      <c r="T298" s="52"/>
      <c r="U298" s="52"/>
      <c r="V298" s="52"/>
      <c r="W298" s="52"/>
      <c r="X298" s="32" t="s">
        <v>631</v>
      </c>
      <c r="Y298" s="53" t="s">
        <v>631</v>
      </c>
      <c r="Z298" s="4">
        <v>45</v>
      </c>
      <c r="AA298" s="53" t="s">
        <v>631</v>
      </c>
      <c r="AB298" s="42">
        <f>IF(J298&lt;=0.04,0,IF((BA298-AL298*BF$4*炼钢参数表!$X$5/1000-AM298*BG$4*炼钢参数表!$X$5/1000)&lt;=0.03,0,IF((J298/100/0.1769/炼钢参数表!K298*1000)&gt;(K298-炼钢参数表!J298)/100/0.6566/炼钢参数表!L298*1000,IF(K298&lt;1.6,(K298-炼钢参数表!J298)/100/0.6566/炼钢参数表!L298*1000,(K298-0.08-炼钢参数表!J298)/100/0.6566/炼钢参数表!L298*1000),IF(K298&lt;1.6,J298/100/0.1769/炼钢参数表!K298*1000,(J298-0.08)/100/0.1769/炼钢参数表!K298*1000))))</f>
        <v>8.47936687394008</v>
      </c>
      <c r="AC298" s="8">
        <f>IF((BA298-AB298*$BB$4*0.9/1000-AL298*BF$4*炼钢参数表!$X$5/1000-AM298*BG$4*炼钢参数表!$X$5/1000)&lt;(K298-炼钢参数表!J298-AB298*0.6566*炼钢参数表!L298/10)*0.082,0,(K298-炼钢参数表!J298-AB298*0.6566*炼钢参数表!L298/10)/100/($AC$3/100)/炼钢参数表!L298*1000)</f>
        <v>1.07281224609119</v>
      </c>
      <c r="AD298" s="8">
        <f>IF((BA298-AB298*$BB$4*0.9/1000-AC298*$BC$4*0.9/1000-AL298*BF$4*炼钢参数表!$X$5/1000-AM298*BG$4*炼钢参数表!$X$5/1000)&lt;=(K298-炼钢参数表!J298-AB298*0.6566*炼钢参数表!L298/10-AC298*($AC$3/100)*炼钢参数表!L298/10)*0.02,0,((K298-炼钢参数表!J298-AB298*0.6566*炼钢参数表!L298/10-AC298*($AC$3/100)*炼钢参数表!L298/10)/100/($AD$3/100)/炼钢参数表!L298*1000))</f>
        <v>0</v>
      </c>
      <c r="AE298" s="8">
        <f>(K298-炼钢参数表!J298-AB298*0.6566*炼钢参数表!L298/10-AC298*($AC$3/100)*炼钢参数表!L298/10-AD298*($AD$3/100)*炼钢参数表!L298/10)/100/($AE$3/100)/炼钢参数表!L298*1000</f>
        <v>0</v>
      </c>
      <c r="AF298" s="8">
        <v>0</v>
      </c>
      <c r="AG298" s="8">
        <f>IF(J298&lt;=0.04,0,((J298-(AB298*0.1769*炼钢参数表!K298/1000*100))/100/炼钢参数表!K298/($AG$3/100)*1000))</f>
        <v>0</v>
      </c>
      <c r="AH298" s="8">
        <v>1.33</v>
      </c>
      <c r="AI298" s="8">
        <f>IF(N298="",0,IF(N298&lt;=0.002,0,((N298)/100)/($AI$3/100)/炼钢参数表!M298*1000))</f>
        <v>0</v>
      </c>
      <c r="AJ298" s="8">
        <f>IF(O298="",0,IF(O298&lt;=0.002,0,((O298)/100)/($AJ$3/100)/炼钢参数表!N298*1000))</f>
        <v>0</v>
      </c>
      <c r="AK298" s="8">
        <f>IF(P298="",0,IF(P298&lt;=0.002,0,((P298+0.005)/100)/($AK$3/100)/炼钢参数表!O298*1000))</f>
        <v>0</v>
      </c>
      <c r="AL298" s="8">
        <f>IF((BA298-J298*0.00003-K298*0.00024)&lt;=0.05,0,IF(T298="",0,IF(T298&lt;=0.03,0,IF(((BA298-J298*0.00003-K298*0.00024)-0.05)/0.18/100/($AL$3/100)/炼钢参数表!P298*1000&lt;=T298/100/($AL$3/100)/炼钢参数表!P298*1000,((BA298-J298*0.00003-K298*0.00024)-0.05)/0.18/100/($AL$3/100)/炼钢参数表!P298*1000,T298/100/($AL$3/100)/炼钢参数表!P298*1000))))</f>
        <v>0</v>
      </c>
      <c r="AM298" s="8">
        <f>IF(T298="",0,IF(T298&lt;=0.03,0,((T298-AL298*($AL$3/100)*炼钢参数表!P298/10)/100/($AM$3/100)/炼钢参数表!P298*1000)))</f>
        <v>0</v>
      </c>
      <c r="AN298" s="8">
        <f>IF(U298="",0,IF(U298&lt;=0.02,0,(U298/100)/($AN$3/100)/炼钢参数表!Q298*1000))</f>
        <v>0</v>
      </c>
      <c r="AO298" s="8">
        <f>IF(V298="",0,IF(V298&lt;=0.02,0,(V298/100)/($AO$3/100)/炼钢参数表!R298*1000))</f>
        <v>0</v>
      </c>
      <c r="AP298" s="8">
        <f>IF(W298="",0,IF(W298&lt;=0.02,0,(W298/100)/($AP$3/100)/炼钢参数表!S298*1000))</f>
        <v>0</v>
      </c>
      <c r="AQ298" s="8">
        <f>IF(X298="",0,IF(X298&lt;=0.0002,0,(X298/100)/($AQ$3/100)/炼钢参数表!T298*1000))</f>
        <v>0</v>
      </c>
      <c r="AR298" s="8">
        <f>IF(Y298="",0,IF(Y298&lt;=0.02,0,(Y298/100)/($AR$3/100)/炼钢参数表!U298*1000))</f>
        <v>0</v>
      </c>
      <c r="AS298" s="8">
        <f>IF(L298&lt;=0.04,0,((L298-0.04)/100)/($AS$3/100)/炼钢参数表!V298*1000)</f>
        <v>0</v>
      </c>
      <c r="AT298" s="8">
        <f>IF(M298&lt;=0.03,0,((M298-0.03)/100)/($AT$3/100)/炼钢参数表!W298*1000)</f>
        <v>0</v>
      </c>
      <c r="AU298" s="6"/>
      <c r="AV298" s="8">
        <f t="shared" si="58"/>
        <v>10.882179120031299</v>
      </c>
      <c r="AW298" s="8" cm="1">
        <f t="array" ref="AW298">SUMPRODUCT($AB$4:$AU$4,AB298:AU298)/1000</f>
        <v>82.191465998279199</v>
      </c>
      <c r="AY298" s="2" t="str">
        <f t="shared" si="59"/>
        <v>AB/B</v>
      </c>
      <c r="AZ298" s="37">
        <f>VLOOKUP(AY298,炼钢参数表!$F$5:$J$1027,4,0)</f>
        <v>7.3384615384615395E-2</v>
      </c>
      <c r="BA298" s="37">
        <f t="shared" si="60"/>
        <v>8.6615384615384594E-2</v>
      </c>
      <c r="BB298" s="37">
        <f>AB298*$BB$4*炼钢参数表!$X$5/1000</f>
        <v>1.31260599208592E-2</v>
      </c>
      <c r="BC298" s="37">
        <f>AC298*$BC$4*炼钢参数表!$X$5/1000</f>
        <v>6.4594025337150604E-3</v>
      </c>
      <c r="BD298" s="37">
        <f>AD298*$BD$4*炼钢参数表!$X$5/1000</f>
        <v>0</v>
      </c>
      <c r="BE298" s="37">
        <f>AE298*$BE$4*炼钢参数表!$X$5/1000</f>
        <v>0</v>
      </c>
      <c r="BF298" s="37">
        <f>AL298*$BF$4*炼钢参数表!$X$5/1000</f>
        <v>0</v>
      </c>
      <c r="BG298" s="37">
        <f>AM298*$BG$4*炼钢参数表!$X$5/1000</f>
        <v>0</v>
      </c>
      <c r="BH298" s="37">
        <f t="shared" si="61"/>
        <v>1.95854624545743E-2</v>
      </c>
      <c r="BI298" s="37">
        <f t="shared" si="62"/>
        <v>9.2970077839189702E-2</v>
      </c>
      <c r="BJ298" s="37">
        <f t="shared" si="63"/>
        <v>-6.7029922160810301E-2</v>
      </c>
      <c r="BK298" s="54"/>
      <c r="BL298" s="7"/>
    </row>
    <row r="299" spans="1:64" x14ac:dyDescent="0.3">
      <c r="A299" s="21">
        <v>291</v>
      </c>
      <c r="B299" s="4" t="s">
        <v>529</v>
      </c>
      <c r="C299" s="4" t="s">
        <v>23</v>
      </c>
      <c r="D299" s="4">
        <v>4</v>
      </c>
      <c r="E299" s="4">
        <v>12.5</v>
      </c>
      <c r="F299" s="4" t="s">
        <v>530</v>
      </c>
      <c r="G299" s="50" t="s">
        <v>511</v>
      </c>
      <c r="H299" s="4">
        <v>1521</v>
      </c>
      <c r="I299" s="51">
        <v>7.0000000000000007E-2</v>
      </c>
      <c r="J299" s="52">
        <v>0.2</v>
      </c>
      <c r="K299" s="52">
        <v>1.2</v>
      </c>
      <c r="L299" s="51">
        <v>1.4999999999999999E-2</v>
      </c>
      <c r="M299" s="51">
        <v>6.0000000000000001E-3</v>
      </c>
      <c r="N299" s="51"/>
      <c r="O299" s="51"/>
      <c r="P299" s="51"/>
      <c r="Q299" s="51">
        <v>0.03</v>
      </c>
      <c r="R299" s="51"/>
      <c r="S299" s="32">
        <v>0.01</v>
      </c>
      <c r="T299" s="52"/>
      <c r="U299" s="52"/>
      <c r="V299" s="52" t="s">
        <v>631</v>
      </c>
      <c r="W299" s="52"/>
      <c r="X299" s="32" t="s">
        <v>631</v>
      </c>
      <c r="Y299" s="53" t="s">
        <v>631</v>
      </c>
      <c r="Z299" s="4" t="s">
        <v>631</v>
      </c>
      <c r="AA299" s="104"/>
      <c r="AB299" s="42">
        <f>IF(J299&lt;=0.04,0,IF((BA299-AL299*BF$4*炼钢参数表!$X$5/1000-AM299*BG$4*炼钢参数表!$X$5/1000)&lt;=0.03,0,IF((J299/100/0.1769/炼钢参数表!K299*1000)&gt;(K299-炼钢参数表!J299)/100/0.6566/炼钢参数表!L299*1000,IF(K299&lt;1.6,(K299-炼钢参数表!J299)/100/0.6566/炼钢参数表!L299*1000,(K299-0.08-炼钢参数表!J299)/100/0.6566/炼钢参数表!L299*1000),IF(K299&lt;1.6,J299/100/0.1769/炼钢参数表!K299*1000,(J299-0.08)/100/0.1769/炼钢参数表!K299*1000))))</f>
        <v>0</v>
      </c>
      <c r="AC299" s="8">
        <f>IF((BA299-AB299*$BB$4*0.9/1000-AL299*BF$4*炼钢参数表!$X$5/1000-AM299*BG$4*炼钢参数表!$X$5/1000)&lt;(K299-炼钢参数表!J299-AB299*0.6566*炼钢参数表!L299/10)*0.082,0,(K299-炼钢参数表!J299-AB299*0.6566*炼钢参数表!L299/10)/100/($AC$3/100)/炼钢参数表!L299*1000)</f>
        <v>0</v>
      </c>
      <c r="AD299" s="8">
        <f>IF((BA299-AB299*$BB$4*0.9/1000-AC299*$BC$4*0.9/1000-AL299*BF$4*炼钢参数表!$X$5/1000-AM299*BG$4*炼钢参数表!$X$5/1000)&lt;=(K299-炼钢参数表!J299-AB299*0.6566*炼钢参数表!L299/10-AC299*($AC$3/100)*炼钢参数表!L299/10)*0.02,0,((K299-炼钢参数表!J299-AB299*0.6566*炼钢参数表!L299/10-AC299*($AC$3/100)*炼钢参数表!L299/10)/100/($AD$3/100)/炼钢参数表!L299*1000))</f>
        <v>14.358557275724101</v>
      </c>
      <c r="AE299" s="8">
        <f>(K299-炼钢参数表!J299-AB299*0.6566*炼钢参数表!L299/10-AC299*($AC$3/100)*炼钢参数表!L299/10-AD299*($AD$3/100)*炼钢参数表!L299/10)/100/($AE$3/100)/炼钢参数表!L299*1000</f>
        <v>0</v>
      </c>
      <c r="AF299" s="8">
        <v>0</v>
      </c>
      <c r="AG299" s="8">
        <f>IF(J299&lt;=0.04,0,((J299-(AB299*0.1769*炼钢参数表!K299/1000*100))/100/炼钢参数表!K299/($AG$3/100)*1000))</f>
        <v>3.4611657206147002</v>
      </c>
      <c r="AH299" s="8">
        <v>1.9</v>
      </c>
      <c r="AI299" s="8">
        <f>IF(N299="",0,IF(N299&lt;=0.002,0,((N299)/100)/($AI$3/100)/炼钢参数表!M299*1000))</f>
        <v>0</v>
      </c>
      <c r="AJ299" s="8">
        <f>IF(O299="",0,IF(O299&lt;=0.002,0,((O299)/100)/($AJ$3/100)/炼钢参数表!N299*1000))</f>
        <v>0</v>
      </c>
      <c r="AK299" s="8">
        <f>IF(P299="",0,IF(P299&lt;=0.002,0,((P299+0.005)/100)/($AK$3/100)/炼钢参数表!O299*1000))</f>
        <v>0</v>
      </c>
      <c r="AL299" s="8">
        <f>IF((BA299-J299*0.00003-K299*0.00024)&lt;=0.05,0,IF(T299="",0,IF(T299&lt;=0.03,0,IF(((BA299-J299*0.00003-K299*0.00024)-0.05)/0.18/100/($AL$3/100)/炼钢参数表!P299*1000&lt;=T299/100/($AL$3/100)/炼钢参数表!P299*1000,((BA299-J299*0.00003-K299*0.00024)-0.05)/0.18/100/($AL$3/100)/炼钢参数表!P299*1000,T299/100/($AL$3/100)/炼钢参数表!P299*1000))))</f>
        <v>0</v>
      </c>
      <c r="AM299" s="8">
        <f>IF(T299="",0,IF(T299&lt;=0.03,0,((T299-AL299*($AL$3/100)*炼钢参数表!P299/10)/100/($AM$3/100)/炼钢参数表!P299*1000)))</f>
        <v>0</v>
      </c>
      <c r="AN299" s="8">
        <f>IF(U299="",0,IF(U299&lt;=0.02,0,(U299/100)/($AN$3/100)/炼钢参数表!Q299*1000))</f>
        <v>0</v>
      </c>
      <c r="AO299" s="8">
        <f>IF(V299="",0,IF(V299&lt;=0.02,0,(V299/100)/($AO$3/100)/炼钢参数表!R299*1000))</f>
        <v>0</v>
      </c>
      <c r="AP299" s="8">
        <f>IF(W299="",0,IF(W299&lt;=0.02,0,(W299/100)/($AP$3/100)/炼钢参数表!S299*1000))</f>
        <v>0</v>
      </c>
      <c r="AQ299" s="8">
        <f>IF(X299="",0,IF(X299&lt;=0.0002,0,(X299/100)/($AQ$3/100)/炼钢参数表!T299*1000))</f>
        <v>0</v>
      </c>
      <c r="AR299" s="8">
        <f>IF(Y299="",0,IF(Y299&lt;=0.02,0,(Y299/100)/($AR$3/100)/炼钢参数表!U299*1000))</f>
        <v>0</v>
      </c>
      <c r="AS299" s="8">
        <f>IF(L299&lt;=0.04,0,((L299-0.04)/100)/($AS$3/100)/炼钢参数表!V299*1000)</f>
        <v>0</v>
      </c>
      <c r="AT299" s="8">
        <f>IF(M299&lt;=0.03,0,((M299-0.03)/100)/($AT$3/100)/炼钢参数表!W299*1000)</f>
        <v>0</v>
      </c>
      <c r="AU299" s="6"/>
      <c r="AV299" s="8">
        <f t="shared" si="58"/>
        <v>19.719722996338799</v>
      </c>
      <c r="AW299" s="8" cm="1">
        <f t="array" ref="AW299">SUMPRODUCT($AB$4:$AU$4,AB299:AU299)/1000</f>
        <v>171.382591970135</v>
      </c>
      <c r="AY299" s="2" t="str">
        <f t="shared" si="59"/>
        <v>AB/AH32-1</v>
      </c>
      <c r="AZ299" s="37">
        <f>VLOOKUP(AY299,炼钢参数表!$F$5:$J$1027,4,0)</f>
        <v>0.04</v>
      </c>
      <c r="BA299" s="37">
        <f t="shared" si="60"/>
        <v>0.03</v>
      </c>
      <c r="BB299" s="37">
        <f>AB299*$BB$4*炼钢参数表!$X$5/1000</f>
        <v>0</v>
      </c>
      <c r="BC299" s="37">
        <f>AC299*$BC$4*炼钢参数表!$X$5/1000</f>
        <v>0</v>
      </c>
      <c r="BD299" s="37">
        <f>AD299*$BD$4*炼钢参数表!$X$5/1000</f>
        <v>1.9384052322227601E-2</v>
      </c>
      <c r="BE299" s="37">
        <f>AE299*$BE$4*炼钢参数表!$X$5/1000</f>
        <v>0</v>
      </c>
      <c r="BF299" s="37">
        <f>AL299*$BF$4*炼钢参数表!$X$5/1000</f>
        <v>0</v>
      </c>
      <c r="BG299" s="37">
        <f>AM299*$BG$4*炼钢参数表!$X$5/1000</f>
        <v>0</v>
      </c>
      <c r="BH299" s="37">
        <f t="shared" si="61"/>
        <v>1.9384052322227601E-2</v>
      </c>
      <c r="BI299" s="37">
        <f t="shared" si="62"/>
        <v>5.9384052322227598E-2</v>
      </c>
      <c r="BJ299" s="37">
        <f t="shared" si="63"/>
        <v>-1.06159476777724E-2</v>
      </c>
      <c r="BK299" s="54"/>
      <c r="BL299" s="7"/>
    </row>
    <row r="300" spans="1:64" x14ac:dyDescent="0.3">
      <c r="A300" s="21">
        <v>292</v>
      </c>
      <c r="B300" s="4" t="s">
        <v>529</v>
      </c>
      <c r="C300" s="4" t="s">
        <v>26</v>
      </c>
      <c r="D300" s="4">
        <v>12.51</v>
      </c>
      <c r="E300" s="4">
        <v>25</v>
      </c>
      <c r="F300" s="4" t="s">
        <v>531</v>
      </c>
      <c r="G300" s="50" t="s">
        <v>511</v>
      </c>
      <c r="H300" s="4">
        <v>1521</v>
      </c>
      <c r="I300" s="51">
        <v>7.0000000000000007E-2</v>
      </c>
      <c r="J300" s="52">
        <v>0.2</v>
      </c>
      <c r="K300" s="52">
        <v>1.3</v>
      </c>
      <c r="L300" s="51">
        <v>1.4999999999999999E-2</v>
      </c>
      <c r="M300" s="51">
        <v>6.0000000000000001E-3</v>
      </c>
      <c r="N300" s="51"/>
      <c r="O300" s="51"/>
      <c r="P300" s="51"/>
      <c r="Q300" s="51">
        <v>0.03</v>
      </c>
      <c r="R300" s="51"/>
      <c r="S300" s="32">
        <v>0.01</v>
      </c>
      <c r="T300" s="52"/>
      <c r="U300" s="52"/>
      <c r="V300" s="52" t="s">
        <v>631</v>
      </c>
      <c r="W300" s="52"/>
      <c r="X300" s="32" t="s">
        <v>631</v>
      </c>
      <c r="Y300" s="53" t="s">
        <v>631</v>
      </c>
      <c r="Z300" s="4" t="s">
        <v>631</v>
      </c>
      <c r="AA300" s="104"/>
      <c r="AB300" s="42">
        <f>IF(J300&lt;=0.04,0,IF((BA300-AL300*BF$4*炼钢参数表!$X$5/1000-AM300*BG$4*炼钢参数表!$X$5/1000)&lt;=0.03,0,IF((J300/100/0.1769/炼钢参数表!K300*1000)&gt;(K300-炼钢参数表!J300)/100/0.6566/炼钢参数表!L300*1000,IF(K300&lt;1.6,(K300-炼钢参数表!J300)/100/0.6566/炼钢参数表!L300*1000,(K300-0.08-炼钢参数表!J300)/100/0.6566/炼钢参数表!L300*1000),IF(K300&lt;1.6,J300/100/0.1769/炼钢参数表!K300*1000,(J300-0.08)/100/0.1769/炼钢参数表!K300*1000))))</f>
        <v>0</v>
      </c>
      <c r="AC300" s="8">
        <f>IF((BA300-AB300*$BB$4*0.9/1000-AL300*BF$4*炼钢参数表!$X$5/1000-AM300*BG$4*炼钢参数表!$X$5/1000)&lt;(K300-炼钢参数表!J300-AB300*0.6566*炼钢参数表!L300/10)*0.082,0,(K300-炼钢参数表!J300-AB300*0.6566*炼钢参数表!L300/10)/100/($AC$3/100)/炼钢参数表!L300*1000)</f>
        <v>0</v>
      </c>
      <c r="AD300" s="8">
        <f>IF((BA300-AB300*$BB$4*0.9/1000-AC300*$BC$4*0.9/1000-AL300*BF$4*炼钢参数表!$X$5/1000-AM300*BG$4*炼钢参数表!$X$5/1000)&lt;=(K300-炼钢参数表!J300-AB300*0.6566*炼钢参数表!L300/10-AC300*($AC$3/100)*炼钢参数表!L300/10)*0.02,0,((K300-炼钢参数表!J300-AB300*0.6566*炼钢参数表!L300/10-AC300*($AC$3/100)*炼钢参数表!L300/10)/100/($AD$3/100)/炼钢参数表!L300*1000))</f>
        <v>15.655612894508399</v>
      </c>
      <c r="AE300" s="8">
        <f>(K300-炼钢参数表!J300-AB300*0.6566*炼钢参数表!L300/10-AC300*($AC$3/100)*炼钢参数表!L300/10-AD300*($AD$3/100)*炼钢参数表!L300/10)/100/($AE$3/100)/炼钢参数表!L300*1000</f>
        <v>0</v>
      </c>
      <c r="AF300" s="8">
        <v>0</v>
      </c>
      <c r="AG300" s="8">
        <f>IF(J300&lt;=0.04,0,((J300-(AB300*0.1769*炼钢参数表!K300/1000*100))/100/炼钢参数表!K300/($AG$3/100)*1000))</f>
        <v>3.4611657206147002</v>
      </c>
      <c r="AH300" s="8">
        <v>1.9</v>
      </c>
      <c r="AI300" s="8">
        <f>IF(N300="",0,IF(N300&lt;=0.002,0,((N300)/100)/($AI$3/100)/炼钢参数表!M300*1000))</f>
        <v>0</v>
      </c>
      <c r="AJ300" s="8">
        <f>IF(O300="",0,IF(O300&lt;=0.002,0,((O300)/100)/($AJ$3/100)/炼钢参数表!N300*1000))</f>
        <v>0</v>
      </c>
      <c r="AK300" s="8">
        <f>IF(P300="",0,IF(P300&lt;=0.002,0,((P300+0.005)/100)/($AK$3/100)/炼钢参数表!O300*1000))</f>
        <v>0</v>
      </c>
      <c r="AL300" s="8">
        <f>IF((BA300-J300*0.00003-K300*0.00024)&lt;=0.05,0,IF(T300="",0,IF(T300&lt;=0.03,0,IF(((BA300-J300*0.00003-K300*0.00024)-0.05)/0.18/100/($AL$3/100)/炼钢参数表!P300*1000&lt;=T300/100/($AL$3/100)/炼钢参数表!P300*1000,((BA300-J300*0.00003-K300*0.00024)-0.05)/0.18/100/($AL$3/100)/炼钢参数表!P300*1000,T300/100/($AL$3/100)/炼钢参数表!P300*1000))))</f>
        <v>0</v>
      </c>
      <c r="AM300" s="8">
        <f>IF(T300="",0,IF(T300&lt;=0.03,0,((T300-AL300*($AL$3/100)*炼钢参数表!P300/10)/100/($AM$3/100)/炼钢参数表!P300*1000)))</f>
        <v>0</v>
      </c>
      <c r="AN300" s="8">
        <f>IF(U300="",0,IF(U300&lt;=0.02,0,(U300/100)/($AN$3/100)/炼钢参数表!Q300*1000))</f>
        <v>0</v>
      </c>
      <c r="AO300" s="8">
        <f>IF(V300="",0,IF(V300&lt;=0.02,0,(V300/100)/($AO$3/100)/炼钢参数表!R300*1000))</f>
        <v>0</v>
      </c>
      <c r="AP300" s="8">
        <f>IF(W300="",0,IF(W300&lt;=0.02,0,(W300/100)/($AP$3/100)/炼钢参数表!S300*1000))</f>
        <v>0</v>
      </c>
      <c r="AQ300" s="8">
        <f>IF(X300="",0,IF(X300&lt;=0.0002,0,(X300/100)/($AQ$3/100)/炼钢参数表!T300*1000))</f>
        <v>0</v>
      </c>
      <c r="AR300" s="8">
        <f>IF(Y300="",0,IF(Y300&lt;=0.02,0,(Y300/100)/($AR$3/100)/炼钢参数表!U300*1000))</f>
        <v>0</v>
      </c>
      <c r="AS300" s="8">
        <f>IF(L300&lt;=0.04,0,((L300-0.04)/100)/($AS$3/100)/炼钢参数表!V300*1000)</f>
        <v>0</v>
      </c>
      <c r="AT300" s="8">
        <f>IF(M300&lt;=0.03,0,((M300-0.03)/100)/($AT$3/100)/炼钢参数表!W300*1000)</f>
        <v>0</v>
      </c>
      <c r="AU300" s="6"/>
      <c r="AV300" s="8">
        <f t="shared" si="58"/>
        <v>21.016778615123201</v>
      </c>
      <c r="AW300" s="8" cm="1">
        <f t="array" ref="AW300">SUMPRODUCT($AB$4:$AU$4,AB300:AU300)/1000</f>
        <v>181.40894668702001</v>
      </c>
      <c r="AY300" s="2" t="str">
        <f t="shared" si="59"/>
        <v>AB/AH32-2</v>
      </c>
      <c r="AZ300" s="37">
        <f>VLOOKUP(AY300,炼钢参数表!$F$5:$J$1027,4,0)</f>
        <v>4.3999999999999997E-2</v>
      </c>
      <c r="BA300" s="37">
        <f t="shared" si="60"/>
        <v>2.5999999999999999E-2</v>
      </c>
      <c r="BB300" s="37">
        <f>AB300*$BB$4*炼钢参数表!$X$5/1000</f>
        <v>0</v>
      </c>
      <c r="BC300" s="37">
        <f>AC300*$BC$4*炼钢参数表!$X$5/1000</f>
        <v>0</v>
      </c>
      <c r="BD300" s="37">
        <f>AD300*$BD$4*炼钢参数表!$X$5/1000</f>
        <v>2.1135077407586401E-2</v>
      </c>
      <c r="BE300" s="37">
        <f>AE300*$BE$4*炼钢参数表!$X$5/1000</f>
        <v>0</v>
      </c>
      <c r="BF300" s="37">
        <f>AL300*$BF$4*炼钢参数表!$X$5/1000</f>
        <v>0</v>
      </c>
      <c r="BG300" s="37">
        <f>AM300*$BG$4*炼钢参数表!$X$5/1000</f>
        <v>0</v>
      </c>
      <c r="BH300" s="37">
        <f t="shared" si="61"/>
        <v>2.1135077407586401E-2</v>
      </c>
      <c r="BI300" s="37">
        <f t="shared" si="62"/>
        <v>6.5135077407586395E-2</v>
      </c>
      <c r="BJ300" s="37">
        <f t="shared" si="63"/>
        <v>-4.8649225924136102E-3</v>
      </c>
      <c r="BK300" s="54"/>
      <c r="BL300" s="7"/>
    </row>
    <row r="301" spans="1:64" x14ac:dyDescent="0.3">
      <c r="A301" s="21">
        <v>293</v>
      </c>
      <c r="B301" s="4" t="s">
        <v>532</v>
      </c>
      <c r="C301" s="4" t="s">
        <v>23</v>
      </c>
      <c r="D301" s="4">
        <v>4</v>
      </c>
      <c r="E301" s="4">
        <v>12.5</v>
      </c>
      <c r="F301" s="4" t="s">
        <v>533</v>
      </c>
      <c r="G301" s="50" t="s">
        <v>511</v>
      </c>
      <c r="H301" s="4">
        <v>1521</v>
      </c>
      <c r="I301" s="51">
        <v>7.0000000000000007E-2</v>
      </c>
      <c r="J301" s="52">
        <v>0.12</v>
      </c>
      <c r="K301" s="52">
        <v>1.3</v>
      </c>
      <c r="L301" s="51">
        <v>1.4999999999999999E-2</v>
      </c>
      <c r="M301" s="51">
        <v>6.0000000000000001E-3</v>
      </c>
      <c r="N301" s="51"/>
      <c r="O301" s="51">
        <v>3.5000000000000003E-2</v>
      </c>
      <c r="P301" s="51">
        <v>0.01</v>
      </c>
      <c r="Q301" s="51">
        <v>0.03</v>
      </c>
      <c r="R301" s="51" t="s">
        <v>631</v>
      </c>
      <c r="S301" s="32"/>
      <c r="T301" s="52"/>
      <c r="U301" s="52"/>
      <c r="V301" s="52"/>
      <c r="W301" s="52"/>
      <c r="X301" s="32"/>
      <c r="Y301" s="53" t="s">
        <v>631</v>
      </c>
      <c r="Z301" s="4">
        <v>50</v>
      </c>
      <c r="AA301" s="53"/>
      <c r="AB301" s="42">
        <f>IF(J301&lt;=0.04,0,IF((BA301-AL301*BF$4*炼钢参数表!$X$5/1000-AM301*BG$4*炼钢参数表!$X$5/1000)&lt;=0.03,0,IF((J301/100/0.1769/炼钢参数表!K301*1000)&gt;(K301-炼钢参数表!J301)/100/0.6566/炼钢参数表!L301*1000,IF(K301&lt;1.6,(K301-炼钢参数表!J301)/100/0.6566/炼钢参数表!L301*1000,(K301-0.08-炼钢参数表!J301)/100/0.6566/炼钢参数表!L301*1000),IF(K301&lt;1.6,J301/100/0.1769/炼钢参数表!K301*1000,(J301-0.08)/100/0.1769/炼钢参数表!K301*1000))))</f>
        <v>0</v>
      </c>
      <c r="AC301" s="8">
        <f>IF((BA301-AB301*$BB$4*0.9/1000-AL301*BF$4*炼钢参数表!$X$5/1000-AM301*BG$4*炼钢参数表!$X$5/1000)&lt;(K301-炼钢参数表!J301-AB301*0.6566*炼钢参数表!L301/10)*0.082,0,(K301-炼钢参数表!J301-AB301*0.6566*炼钢参数表!L301/10)/100/($AC$3/100)/炼钢参数表!L301*1000)</f>
        <v>0</v>
      </c>
      <c r="AD301" s="8">
        <f>IF((BA301-AB301*$BB$4*0.9/1000-AC301*$BC$4*0.9/1000-AL301*BF$4*炼钢参数表!$X$5/1000-AM301*BG$4*炼钢参数表!$X$5/1000)&lt;=(K301-炼钢参数表!J301-AB301*0.6566*炼钢参数表!L301/10-AC301*($AC$3/100)*炼钢参数表!L301/10)*0.02,0,((K301-炼钢参数表!J301-AB301*0.6566*炼钢参数表!L301/10-AC301*($AC$3/100)*炼钢参数表!L301/10)/100/($AD$3/100)/炼钢参数表!L301*1000))</f>
        <v>15.728841713781099</v>
      </c>
      <c r="AE301" s="8">
        <f>(K301-炼钢参数表!J301-AB301*0.6566*炼钢参数表!L301/10-AC301*($AC$3/100)*炼钢参数表!L301/10-AD301*($AD$3/100)*炼钢参数表!L301/10)/100/($AE$3/100)/炼钢参数表!L301*1000</f>
        <v>0</v>
      </c>
      <c r="AF301" s="8">
        <v>0</v>
      </c>
      <c r="AG301" s="8">
        <f>IF(J301&lt;=0.04,0,((J301-(AB301*0.1769*炼钢参数表!K301/1000*100))/100/炼钢参数表!K301/($AG$3/100)*1000))</f>
        <v>2.0766994323688199</v>
      </c>
      <c r="AH301" s="8">
        <v>1.9</v>
      </c>
      <c r="AI301" s="8">
        <f>IF(N301="",0,IF(N301&lt;=0.002,0,((N301)/100)/($AI$3/100)/炼钢参数表!M301*1000))</f>
        <v>0</v>
      </c>
      <c r="AJ301" s="8">
        <f>IF(O301="",0,IF(O301&lt;=0.002,0,((O301)/100)/($AJ$3/100)/炼钢参数表!N301*1000))</f>
        <v>0.54911263398348298</v>
      </c>
      <c r="AK301" s="8">
        <f>IF(P301="",0,IF(P301&lt;=0.002,0,((P301+0.005)/100)/($AK$3/100)/炼钢参数表!O301*1000))</f>
        <v>0.29936534546760901</v>
      </c>
      <c r="AL301" s="8">
        <f>IF((BA301-J301*0.00003-K301*0.00024)&lt;=0.05,0,IF(T301="",0,IF(T301&lt;=0.03,0,IF(((BA301-J301*0.00003-K301*0.00024)-0.05)/0.18/100/($AL$3/100)/炼钢参数表!P301*1000&lt;=T301/100/($AL$3/100)/炼钢参数表!P301*1000,((BA301-J301*0.00003-K301*0.00024)-0.05)/0.18/100/($AL$3/100)/炼钢参数表!P301*1000,T301/100/($AL$3/100)/炼钢参数表!P301*1000))))</f>
        <v>0</v>
      </c>
      <c r="AM301" s="8">
        <f>IF(T301="",0,IF(T301&lt;=0.03,0,((T301-AL301*($AL$3/100)*炼钢参数表!P301/10)/100/($AM$3/100)/炼钢参数表!P301*1000)))</f>
        <v>0</v>
      </c>
      <c r="AN301" s="8">
        <f>IF(U301="",0,IF(U301&lt;=0.02,0,(U301/100)/($AN$3/100)/炼钢参数表!Q301*1000))</f>
        <v>0</v>
      </c>
      <c r="AO301" s="8">
        <f>IF(V301="",0,IF(V301&lt;=0.02,0,(V301/100)/($AO$3/100)/炼钢参数表!R301*1000))</f>
        <v>0</v>
      </c>
      <c r="AP301" s="8">
        <f>IF(W301="",0,IF(W301&lt;=0.02,0,(W301/100)/($AP$3/100)/炼钢参数表!S301*1000))</f>
        <v>0</v>
      </c>
      <c r="AQ301" s="8">
        <f>IF(X301="",0,IF(X301&lt;=0.0002,0,(X301/100)/($AQ$3/100)/炼钢参数表!T301*1000))</f>
        <v>0</v>
      </c>
      <c r="AR301" s="8">
        <f>IF(Y301="",0,IF(Y301&lt;=0.02,0,(Y301/100)/($AR$3/100)/炼钢参数表!U301*1000))</f>
        <v>0</v>
      </c>
      <c r="AS301" s="8">
        <f>IF(L301&lt;=0.04,0,((L301-0.04)/100)/($AS$3/100)/炼钢参数表!V301*1000)</f>
        <v>0</v>
      </c>
      <c r="AT301" s="8">
        <f>IF(M301&lt;=0.03,0,((M301-0.03)/100)/($AT$3/100)/炼钢参数表!W301*1000)</f>
        <v>0</v>
      </c>
      <c r="AU301" s="6"/>
      <c r="AV301" s="8">
        <f t="shared" si="58"/>
        <v>20.554019125601101</v>
      </c>
      <c r="AW301" s="8" cm="1">
        <f t="array" ref="AW301">SUMPRODUCT($AB$4:$AU$4,AB301:AU301)/1000</f>
        <v>300.26709357168897</v>
      </c>
      <c r="AY301" s="2" t="str">
        <f t="shared" si="59"/>
        <v>AB/AH36-1</v>
      </c>
      <c r="AZ301" s="37">
        <f>VLOOKUP(AY301,炼钢参数表!$F$5:$J$1027,4,0)</f>
        <v>4.2963636363636398E-2</v>
      </c>
      <c r="BA301" s="37">
        <f t="shared" si="60"/>
        <v>2.7036363636363601E-2</v>
      </c>
      <c r="BB301" s="37">
        <f>AB301*$BB$4*炼钢参数表!$X$5/1000</f>
        <v>0</v>
      </c>
      <c r="BC301" s="37">
        <f>AC301*$BC$4*炼钢参数表!$X$5/1000</f>
        <v>0</v>
      </c>
      <c r="BD301" s="37">
        <f>AD301*$BD$4*炼钢参数表!$X$5/1000</f>
        <v>2.1233936313604498E-2</v>
      </c>
      <c r="BE301" s="37">
        <f>AE301*$BE$4*炼钢参数表!$X$5/1000</f>
        <v>0</v>
      </c>
      <c r="BF301" s="37">
        <f>AL301*$BF$4*炼钢参数表!$X$5/1000</f>
        <v>0</v>
      </c>
      <c r="BG301" s="37">
        <f>AM301*$BG$4*炼钢参数表!$X$5/1000</f>
        <v>0</v>
      </c>
      <c r="BH301" s="37">
        <f t="shared" si="61"/>
        <v>2.1233936313604498E-2</v>
      </c>
      <c r="BI301" s="37">
        <f t="shared" si="62"/>
        <v>6.4197572677240897E-2</v>
      </c>
      <c r="BJ301" s="37">
        <f t="shared" si="63"/>
        <v>-5.8024273227590701E-3</v>
      </c>
      <c r="BK301" s="54"/>
      <c r="BL301" s="7"/>
    </row>
    <row r="302" spans="1:64" x14ac:dyDescent="0.3">
      <c r="A302" s="21">
        <v>294</v>
      </c>
      <c r="B302" s="4" t="s">
        <v>532</v>
      </c>
      <c r="C302" s="4" t="s">
        <v>26</v>
      </c>
      <c r="D302" s="4">
        <v>12.51</v>
      </c>
      <c r="E302" s="4">
        <v>25</v>
      </c>
      <c r="F302" s="4" t="s">
        <v>534</v>
      </c>
      <c r="G302" s="50" t="s">
        <v>511</v>
      </c>
      <c r="H302" s="4">
        <v>1522</v>
      </c>
      <c r="I302" s="51">
        <v>7.0000000000000007E-2</v>
      </c>
      <c r="J302" s="52">
        <v>0.15</v>
      </c>
      <c r="K302" s="52">
        <v>1.4</v>
      </c>
      <c r="L302" s="51">
        <v>1.4999999999999999E-2</v>
      </c>
      <c r="M302" s="51">
        <v>6.0000000000000001E-3</v>
      </c>
      <c r="N302" s="51"/>
      <c r="O302" s="51">
        <v>3.5000000000000003E-2</v>
      </c>
      <c r="P302" s="51">
        <v>0.01</v>
      </c>
      <c r="Q302" s="51">
        <v>0.03</v>
      </c>
      <c r="R302" s="51" t="s">
        <v>631</v>
      </c>
      <c r="S302" s="32"/>
      <c r="T302" s="52"/>
      <c r="U302" s="52"/>
      <c r="V302" s="52"/>
      <c r="W302" s="52"/>
      <c r="X302" s="32"/>
      <c r="Y302" s="53" t="s">
        <v>631</v>
      </c>
      <c r="Z302" s="4">
        <v>50</v>
      </c>
      <c r="AA302" s="53"/>
      <c r="AB302" s="42">
        <f>IF(J302&lt;=0.04,0,IF((BA302-AL302*BF$4*炼钢参数表!$X$5/1000-AM302*BG$4*炼钢参数表!$X$5/1000)&lt;=0.03,0,IF((J302/100/0.1769/炼钢参数表!K302*1000)&gt;(K302-炼钢参数表!J302)/100/0.6566/炼钢参数表!L302*1000,IF(K302&lt;1.6,(K302-炼钢参数表!J302)/100/0.6566/炼钢参数表!L302*1000,(K302-0.08-炼钢参数表!J302)/100/0.6566/炼钢参数表!L302*1000),IF(K302&lt;1.6,J302/100/0.1769/炼钢参数表!K302*1000,(J302-0.08)/100/0.1769/炼钢参数表!K302*1000))))</f>
        <v>0</v>
      </c>
      <c r="AC302" s="8">
        <f>IF((BA302-AB302*$BB$4*0.9/1000-AL302*BF$4*炼钢参数表!$X$5/1000-AM302*BG$4*炼钢参数表!$X$5/1000)&lt;(K302-炼钢参数表!J302-AB302*0.6566*炼钢参数表!L302/10)*0.082,0,(K302-炼钢参数表!J302-AB302*0.6566*炼钢参数表!L302/10)/100/($AC$3/100)/炼钢参数表!L302*1000)</f>
        <v>0</v>
      </c>
      <c r="AD302" s="8">
        <f>IF((BA302-AB302*$BB$4*0.9/1000-AC302*$BC$4*0.9/1000-AL302*BF$4*炼钢参数表!$X$5/1000-AM302*BG$4*炼钢参数表!$X$5/1000)&lt;=(K302-炼钢参数表!J302-AB302*0.6566*炼钢参数表!L302/10-AC302*($AC$3/100)*炼钢参数表!L302/10)*0.02,0,((K302-炼钢参数表!J302-AB302*0.6566*炼钢参数表!L302/10-AC302*($AC$3/100)*炼钢参数表!L302/10)/100/($AD$3/100)/炼钢参数表!L302*1000))</f>
        <v>17.0297464108606</v>
      </c>
      <c r="AE302" s="8">
        <f>(K302-炼钢参数表!J302-AB302*0.6566*炼钢参数表!L302/10-AC302*($AC$3/100)*炼钢参数表!L302/10-AD302*($AD$3/100)*炼钢参数表!L302/10)/100/($AE$3/100)/炼钢参数表!L302*1000</f>
        <v>0</v>
      </c>
      <c r="AF302" s="8">
        <v>0</v>
      </c>
      <c r="AG302" s="8">
        <f>IF(J302&lt;=0.04,0,((J302-(AB302*0.1769*炼钢参数表!K302/1000*100))/100/炼钢参数表!K302/($AG$3/100)*1000))</f>
        <v>2.5958742904610301</v>
      </c>
      <c r="AH302" s="8">
        <v>1.9</v>
      </c>
      <c r="AI302" s="8">
        <f>IF(N302="",0,IF(N302&lt;=0.002,0,((N302)/100)/($AI$3/100)/炼钢参数表!M302*1000))</f>
        <v>0</v>
      </c>
      <c r="AJ302" s="8">
        <f>IF(O302="",0,IF(O302&lt;=0.002,0,((O302)/100)/($AJ$3/100)/炼钢参数表!N302*1000))</f>
        <v>0.54911263398348298</v>
      </c>
      <c r="AK302" s="8">
        <f>IF(P302="",0,IF(P302&lt;=0.002,0,((P302+0.005)/100)/($AK$3/100)/炼钢参数表!O302*1000))</f>
        <v>0.29936534546760901</v>
      </c>
      <c r="AL302" s="8">
        <f>IF((BA302-J302*0.00003-K302*0.00024)&lt;=0.05,0,IF(T302="",0,IF(T302&lt;=0.03,0,IF(((BA302-J302*0.00003-K302*0.00024)-0.05)/0.18/100/($AL$3/100)/炼钢参数表!P302*1000&lt;=T302/100/($AL$3/100)/炼钢参数表!P302*1000,((BA302-J302*0.00003-K302*0.00024)-0.05)/0.18/100/($AL$3/100)/炼钢参数表!P302*1000,T302/100/($AL$3/100)/炼钢参数表!P302*1000))))</f>
        <v>0</v>
      </c>
      <c r="AM302" s="8">
        <f>IF(T302="",0,IF(T302&lt;=0.03,0,((T302-AL302*($AL$3/100)*炼钢参数表!P302/10)/100/($AM$3/100)/炼钢参数表!P302*1000)))</f>
        <v>0</v>
      </c>
      <c r="AN302" s="8">
        <f>IF(U302="",0,IF(U302&lt;=0.02,0,(U302/100)/($AN$3/100)/炼钢参数表!Q302*1000))</f>
        <v>0</v>
      </c>
      <c r="AO302" s="8">
        <f>IF(V302="",0,IF(V302&lt;=0.02,0,(V302/100)/($AO$3/100)/炼钢参数表!R302*1000))</f>
        <v>0</v>
      </c>
      <c r="AP302" s="8">
        <f>IF(W302="",0,IF(W302&lt;=0.02,0,(W302/100)/($AP$3/100)/炼钢参数表!S302*1000))</f>
        <v>0</v>
      </c>
      <c r="AQ302" s="8">
        <f>IF(X302="",0,IF(X302&lt;=0.0002,0,(X302/100)/($AQ$3/100)/炼钢参数表!T302*1000))</f>
        <v>0</v>
      </c>
      <c r="AR302" s="8">
        <f>IF(Y302="",0,IF(Y302&lt;=0.02,0,(Y302/100)/($AR$3/100)/炼钢参数表!U302*1000))</f>
        <v>0</v>
      </c>
      <c r="AS302" s="8">
        <f>IF(L302&lt;=0.04,0,((L302-0.04)/100)/($AS$3/100)/炼钢参数表!V302*1000)</f>
        <v>0</v>
      </c>
      <c r="AT302" s="8">
        <f>IF(M302&lt;=0.03,0,((M302-0.03)/100)/($AT$3/100)/炼钢参数表!W302*1000)</f>
        <v>0</v>
      </c>
      <c r="AU302" s="6"/>
      <c r="AV302" s="8">
        <f t="shared" si="58"/>
        <v>22.3740986807727</v>
      </c>
      <c r="AW302" s="8" cm="1">
        <f t="array" ref="AW302">SUMPRODUCT($AB$4:$AU$4,AB302:AU302)/1000</f>
        <v>313.015560118069</v>
      </c>
      <c r="AY302" s="2" t="str">
        <f t="shared" si="59"/>
        <v>AB/AH36-2</v>
      </c>
      <c r="AZ302" s="37">
        <f>VLOOKUP(AY302,炼钢参数表!$F$5:$J$1027,4,0)</f>
        <v>4.1595744680851102E-2</v>
      </c>
      <c r="BA302" s="37">
        <f t="shared" si="60"/>
        <v>2.8404255319148902E-2</v>
      </c>
      <c r="BB302" s="37">
        <f>AB302*$BB$4*炼钢参数表!$X$5/1000</f>
        <v>0</v>
      </c>
      <c r="BC302" s="37">
        <f>AC302*$BC$4*炼钢参数表!$X$5/1000</f>
        <v>0</v>
      </c>
      <c r="BD302" s="37">
        <f>AD302*$BD$4*炼钢参数表!$X$5/1000</f>
        <v>2.2990157654661801E-2</v>
      </c>
      <c r="BE302" s="37">
        <f>AE302*$BE$4*炼钢参数表!$X$5/1000</f>
        <v>0</v>
      </c>
      <c r="BF302" s="37">
        <f>AL302*$BF$4*炼钢参数表!$X$5/1000</f>
        <v>0</v>
      </c>
      <c r="BG302" s="37">
        <f>AM302*$BG$4*炼钢参数表!$X$5/1000</f>
        <v>0</v>
      </c>
      <c r="BH302" s="37">
        <f t="shared" si="61"/>
        <v>2.2990157654661801E-2</v>
      </c>
      <c r="BI302" s="37">
        <f t="shared" si="62"/>
        <v>6.4585902335512896E-2</v>
      </c>
      <c r="BJ302" s="37">
        <f t="shared" si="63"/>
        <v>-5.4140976644871499E-3</v>
      </c>
      <c r="BK302" s="54"/>
      <c r="BL302" s="7"/>
    </row>
    <row r="303" spans="1:64" x14ac:dyDescent="0.3">
      <c r="A303" s="21">
        <v>295</v>
      </c>
      <c r="B303" s="4" t="s">
        <v>535</v>
      </c>
      <c r="C303" s="4" t="s">
        <v>23</v>
      </c>
      <c r="D303" s="4">
        <v>3.5</v>
      </c>
      <c r="E303" s="4">
        <v>25.4</v>
      </c>
      <c r="F303" s="4" t="s">
        <v>535</v>
      </c>
      <c r="G303" s="50" t="s">
        <v>511</v>
      </c>
      <c r="H303" s="4">
        <v>1519</v>
      </c>
      <c r="I303" s="51">
        <v>0.16</v>
      </c>
      <c r="J303" s="52">
        <v>0.1</v>
      </c>
      <c r="K303" s="52">
        <v>0.6</v>
      </c>
      <c r="L303" s="51">
        <v>0.02</v>
      </c>
      <c r="M303" s="51">
        <v>1.4999999999999999E-2</v>
      </c>
      <c r="N303" s="51" t="s">
        <v>631</v>
      </c>
      <c r="O303" s="51" t="s">
        <v>631</v>
      </c>
      <c r="P303" s="51" t="s">
        <v>631</v>
      </c>
      <c r="Q303" s="51">
        <v>2.5000000000000001E-2</v>
      </c>
      <c r="R303" s="51" t="s">
        <v>631</v>
      </c>
      <c r="S303" s="32" t="s">
        <v>631</v>
      </c>
      <c r="T303" s="52"/>
      <c r="U303" s="52"/>
      <c r="V303" s="52"/>
      <c r="W303" s="52"/>
      <c r="X303" s="32" t="s">
        <v>631</v>
      </c>
      <c r="Y303" s="53" t="s">
        <v>631</v>
      </c>
      <c r="Z303" s="4"/>
      <c r="AA303" s="53"/>
      <c r="AB303" s="42">
        <f>IF(J303&lt;=0.04,0,IF((BA303-AL303*BF$4*炼钢参数表!$X$5/1000-AM303*BG$4*炼钢参数表!$X$5/1000)&lt;=0.03,0,IF((J303/100/0.1769/炼钢参数表!K303*1000)&gt;(K303-炼钢参数表!J303)/100/0.6566/炼钢参数表!L303*1000,IF(K303&lt;1.6,(K303-炼钢参数表!J303)/100/0.6566/炼钢参数表!L303*1000,(K303-0.08-炼钢参数表!J303)/100/0.6566/炼钢参数表!L303*1000),IF(K303&lt;1.6,J303/100/0.1769/炼钢参数表!K303*1000,(J303-0.08)/100/0.1769/炼钢参数表!K303*1000))))</f>
        <v>7.0661390616167301</v>
      </c>
      <c r="AC303" s="8">
        <f>IF((BA303-AB303*$BB$4*0.9/1000-AL303*BF$4*炼钢参数表!$X$5/1000-AM303*BG$4*炼钢参数表!$X$5/1000)&lt;(K303-炼钢参数表!J303-AB303*0.6566*炼钢参数表!L303/10)*0.082,0,(K303-炼钢参数表!J303-AB303*0.6566*炼钢参数表!L303/10)/100/($AC$3/100)/炼钢参数表!L303*1000)</f>
        <v>0.24797117621331999</v>
      </c>
      <c r="AD303" s="8">
        <f>IF((BA303-AB303*$BB$4*0.9/1000-AC303*$BC$4*0.9/1000-AL303*BF$4*炼钢参数表!$X$5/1000-AM303*BG$4*炼钢参数表!$X$5/1000)&lt;=(K303-炼钢参数表!J303-AB303*0.6566*炼钢参数表!L303/10-AC303*($AC$3/100)*炼钢参数表!L303/10)*0.02,0,((K303-炼钢参数表!J303-AB303*0.6566*炼钢参数表!L303/10-AC303*($AC$3/100)*炼钢参数表!L303/10)/100/($AD$3/100)/炼钢参数表!L303*1000))</f>
        <v>0</v>
      </c>
      <c r="AE303" s="8">
        <f>(K303-炼钢参数表!J303-AB303*0.6566*炼钢参数表!L303/10-AC303*($AC$3/100)*炼钢参数表!L303/10-AD303*($AD$3/100)*炼钢参数表!L303/10)/100/($AE$3/100)/炼钢参数表!L303*1000</f>
        <v>0</v>
      </c>
      <c r="AF303" s="8">
        <v>0</v>
      </c>
      <c r="AG303" s="8">
        <f>IF(J303&lt;=0.04,0,((J303-(AB303*0.1769*炼钢参数表!K303/1000*100))/100/炼钢参数表!K303/($AG$3/100)*1000))</f>
        <v>0</v>
      </c>
      <c r="AH303" s="8">
        <v>1.33</v>
      </c>
      <c r="AI303" s="8">
        <f>IF(N303="",0,IF(N303&lt;=0.002,0,((N303)/100)/($AI$3/100)/炼钢参数表!M303*1000))</f>
        <v>0</v>
      </c>
      <c r="AJ303" s="8">
        <f>IF(O303="",0,IF(O303&lt;=0.002,0,((O303)/100)/($AJ$3/100)/炼钢参数表!N303*1000))</f>
        <v>0</v>
      </c>
      <c r="AK303" s="8">
        <f>IF(P303="",0,IF(P303&lt;=0.002,0,((P303+0.005)/100)/($AK$3/100)/炼钢参数表!O303*1000))</f>
        <v>0</v>
      </c>
      <c r="AL303" s="8">
        <f>IF((BA303-J303*0.00003-K303*0.00024)&lt;=0.05,0,IF(T303="",0,IF(T303&lt;=0.03,0,IF(((BA303-J303*0.00003-K303*0.00024)-0.05)/0.18/100/($AL$3/100)/炼钢参数表!P303*1000&lt;=T303/100/($AL$3/100)/炼钢参数表!P303*1000,((BA303-J303*0.00003-K303*0.00024)-0.05)/0.18/100/($AL$3/100)/炼钢参数表!P303*1000,T303/100/($AL$3/100)/炼钢参数表!P303*1000))))</f>
        <v>0</v>
      </c>
      <c r="AM303" s="8">
        <f>IF(T303="",0,IF(T303&lt;=0.03,0,((T303-AL303*($AL$3/100)*炼钢参数表!P303/10)/100/($AM$3/100)/炼钢参数表!P303*1000)))</f>
        <v>0</v>
      </c>
      <c r="AN303" s="8">
        <f>IF(U303="",0,IF(U303&lt;=0.02,0,(U303/100)/($AN$3/100)/炼钢参数表!Q303*1000))</f>
        <v>0</v>
      </c>
      <c r="AO303" s="8">
        <f>IF(V303="",0,IF(V303&lt;=0.02,0,(V303/100)/($AO$3/100)/炼钢参数表!R303*1000))</f>
        <v>0</v>
      </c>
      <c r="AP303" s="8">
        <f>IF(W303="",0,IF(W303&lt;=0.02,0,(W303/100)/($AP$3/100)/炼钢参数表!S303*1000))</f>
        <v>0</v>
      </c>
      <c r="AQ303" s="8">
        <f>IF(X303="",0,IF(X303&lt;=0.0002,0,(X303/100)/($AQ$3/100)/炼钢参数表!T303*1000))</f>
        <v>0</v>
      </c>
      <c r="AR303" s="8">
        <f>IF(Y303="",0,IF(Y303&lt;=0.02,0,(Y303/100)/($AR$3/100)/炼钢参数表!U303*1000))</f>
        <v>0</v>
      </c>
      <c r="AS303" s="8">
        <f>IF(L303&lt;=0.04,0,((L303-0.04)/100)/($AS$3/100)/炼钢参数表!V303*1000)</f>
        <v>0</v>
      </c>
      <c r="AT303" s="8">
        <f>IF(M303&lt;=0.03,0,((M303-0.03)/100)/($AT$3/100)/炼钢参数表!W303*1000)</f>
        <v>0</v>
      </c>
      <c r="AU303" s="6"/>
      <c r="AV303" s="8">
        <f t="shared" si="58"/>
        <v>8.6441102378300503</v>
      </c>
      <c r="AW303" s="8" cm="1">
        <f t="array" ref="AW303">SUMPRODUCT($AB$4:$AU$4,AB303:AU303)/1000</f>
        <v>69.539473965705795</v>
      </c>
      <c r="AY303" s="2" t="str">
        <f t="shared" si="59"/>
        <v>BVA</v>
      </c>
      <c r="AZ303" s="37">
        <f>VLOOKUP(AY303,炼钢参数表!$F$5:$J$1027,4,0)</f>
        <v>7.4291718170581098E-2</v>
      </c>
      <c r="BA303" s="37">
        <f t="shared" si="60"/>
        <v>8.5708281829418906E-2</v>
      </c>
      <c r="BB303" s="37">
        <f>AB303*$BB$4*炼钢参数表!$X$5/1000</f>
        <v>1.09383832673827E-2</v>
      </c>
      <c r="BC303" s="37">
        <f>AC303*$BC$4*炼钢参数表!$X$5/1000</f>
        <v>1.4930344519804E-3</v>
      </c>
      <c r="BD303" s="37">
        <f>AD303*$BD$4*炼钢参数表!$X$5/1000</f>
        <v>0</v>
      </c>
      <c r="BE303" s="37">
        <f>AE303*$BE$4*炼钢参数表!$X$5/1000</f>
        <v>0</v>
      </c>
      <c r="BF303" s="37">
        <f>AL303*$BF$4*炼钢参数表!$X$5/1000</f>
        <v>0</v>
      </c>
      <c r="BG303" s="37">
        <f>AM303*$BG$4*炼钢参数表!$X$5/1000</f>
        <v>0</v>
      </c>
      <c r="BH303" s="37">
        <f t="shared" si="61"/>
        <v>1.24314177193631E-2</v>
      </c>
      <c r="BI303" s="37">
        <f t="shared" si="62"/>
        <v>8.6723135889944195E-2</v>
      </c>
      <c r="BJ303" s="37">
        <f t="shared" si="63"/>
        <v>-7.3276864110055795E-2</v>
      </c>
      <c r="BK303" s="54"/>
      <c r="BL303" s="7"/>
    </row>
    <row r="304" spans="1:64" x14ac:dyDescent="0.3">
      <c r="A304" s="21">
        <v>296</v>
      </c>
      <c r="B304" s="4" t="s">
        <v>536</v>
      </c>
      <c r="C304" s="4" t="s">
        <v>23</v>
      </c>
      <c r="D304" s="4">
        <v>4</v>
      </c>
      <c r="E304" s="4">
        <v>25.4</v>
      </c>
      <c r="F304" s="4" t="s">
        <v>536</v>
      </c>
      <c r="G304" s="50" t="s">
        <v>511</v>
      </c>
      <c r="H304" s="4">
        <v>1519</v>
      </c>
      <c r="I304" s="51">
        <v>0.16</v>
      </c>
      <c r="J304" s="52">
        <v>0.12</v>
      </c>
      <c r="K304" s="52">
        <v>0.75</v>
      </c>
      <c r="L304" s="51">
        <v>1.4999999999999999E-2</v>
      </c>
      <c r="M304" s="51">
        <v>6.0000000000000001E-3</v>
      </c>
      <c r="N304" s="51" t="s">
        <v>631</v>
      </c>
      <c r="O304" s="51" t="s">
        <v>631</v>
      </c>
      <c r="P304" s="51" t="s">
        <v>631</v>
      </c>
      <c r="Q304" s="51">
        <v>2.5000000000000001E-2</v>
      </c>
      <c r="R304" s="51" t="s">
        <v>631</v>
      </c>
      <c r="S304" s="32" t="s">
        <v>631</v>
      </c>
      <c r="T304" s="52"/>
      <c r="U304" s="52"/>
      <c r="V304" s="52"/>
      <c r="W304" s="52"/>
      <c r="X304" s="32" t="s">
        <v>631</v>
      </c>
      <c r="Y304" s="53" t="s">
        <v>631</v>
      </c>
      <c r="Z304" s="4">
        <v>45</v>
      </c>
      <c r="AA304" s="53" t="s">
        <v>631</v>
      </c>
      <c r="AB304" s="42">
        <f>IF(J304&lt;=0.04,0,IF((BA304-AL304*BF$4*炼钢参数表!$X$5/1000-AM304*BG$4*炼钢参数表!$X$5/1000)&lt;=0.03,0,IF((J304/100/0.1769/炼钢参数表!K304*1000)&gt;(K304-炼钢参数表!J304)/100/0.6566/炼钢参数表!L304*1000,IF(K304&lt;1.6,(K304-炼钢参数表!J304)/100/0.6566/炼钢参数表!L304*1000,(K304-0.08-炼钢参数表!J304)/100/0.6566/炼钢参数表!L304*1000),IF(K304&lt;1.6,J304/100/0.1769/炼钢参数表!K304*1000,(J304-0.08)/100/0.1769/炼钢参数表!K304*1000))))</f>
        <v>8.47936687394008</v>
      </c>
      <c r="AC304" s="8">
        <f>IF((BA304-AB304*$BB$4*0.9/1000-AL304*BF$4*炼钢参数表!$X$5/1000-AM304*BG$4*炼钢参数表!$X$5/1000)&lt;(K304-炼钢参数表!J304-AB304*0.6566*炼钢参数表!L304/10)*0.082,0,(K304-炼钢参数表!J304-AB304*0.6566*炼钢参数表!L304/10)/100/($AC$3/100)/炼钢参数表!L304*1000)</f>
        <v>1.07281224609119</v>
      </c>
      <c r="AD304" s="8">
        <f>IF((BA304-AB304*$BB$4*0.9/1000-AC304*$BC$4*0.9/1000-AL304*BF$4*炼钢参数表!$X$5/1000-AM304*BG$4*炼钢参数表!$X$5/1000)&lt;=(K304-炼钢参数表!J304-AB304*0.6566*炼钢参数表!L304/10-AC304*($AC$3/100)*炼钢参数表!L304/10)*0.02,0,((K304-炼钢参数表!J304-AB304*0.6566*炼钢参数表!L304/10-AC304*($AC$3/100)*炼钢参数表!L304/10)/100/($AD$3/100)/炼钢参数表!L304*1000))</f>
        <v>0</v>
      </c>
      <c r="AE304" s="8">
        <f>(K304-炼钢参数表!J304-AB304*0.6566*炼钢参数表!L304/10-AC304*($AC$3/100)*炼钢参数表!L304/10-AD304*($AD$3/100)*炼钢参数表!L304/10)/100/($AE$3/100)/炼钢参数表!L304*1000</f>
        <v>0</v>
      </c>
      <c r="AF304" s="8">
        <v>0</v>
      </c>
      <c r="AG304" s="8">
        <f>IF(J304&lt;=0.04,0,((J304-(AB304*0.1769*炼钢参数表!K304/1000*100))/100/炼钢参数表!K304/($AG$3/100)*1000))</f>
        <v>0</v>
      </c>
      <c r="AH304" s="8">
        <v>1.33</v>
      </c>
      <c r="AI304" s="8">
        <f>IF(N304="",0,IF(N304&lt;=0.002,0,((N304)/100)/($AI$3/100)/炼钢参数表!M304*1000))</f>
        <v>0</v>
      </c>
      <c r="AJ304" s="8">
        <f>IF(O304="",0,IF(O304&lt;=0.002,0,((O304)/100)/($AJ$3/100)/炼钢参数表!N304*1000))</f>
        <v>0</v>
      </c>
      <c r="AK304" s="8">
        <f>IF(P304="",0,IF(P304&lt;=0.002,0,((P304+0.005)/100)/($AK$3/100)/炼钢参数表!O304*1000))</f>
        <v>0</v>
      </c>
      <c r="AL304" s="8">
        <f>IF((BA304-J304*0.00003-K304*0.00024)&lt;=0.05,0,IF(T304="",0,IF(T304&lt;=0.03,0,IF(((BA304-J304*0.00003-K304*0.00024)-0.05)/0.18/100/($AL$3/100)/炼钢参数表!P304*1000&lt;=T304/100/($AL$3/100)/炼钢参数表!P304*1000,((BA304-J304*0.00003-K304*0.00024)-0.05)/0.18/100/($AL$3/100)/炼钢参数表!P304*1000,T304/100/($AL$3/100)/炼钢参数表!P304*1000))))</f>
        <v>0</v>
      </c>
      <c r="AM304" s="8">
        <f>IF(T304="",0,IF(T304&lt;=0.03,0,((T304-AL304*($AL$3/100)*炼钢参数表!P304/10)/100/($AM$3/100)/炼钢参数表!P304*1000)))</f>
        <v>0</v>
      </c>
      <c r="AN304" s="8">
        <f>IF(U304="",0,IF(U304&lt;=0.02,0,(U304/100)/($AN$3/100)/炼钢参数表!Q304*1000))</f>
        <v>0</v>
      </c>
      <c r="AO304" s="8">
        <f>IF(V304="",0,IF(V304&lt;=0.02,0,(V304/100)/($AO$3/100)/炼钢参数表!R304*1000))</f>
        <v>0</v>
      </c>
      <c r="AP304" s="8">
        <f>IF(W304="",0,IF(W304&lt;=0.02,0,(W304/100)/($AP$3/100)/炼钢参数表!S304*1000))</f>
        <v>0</v>
      </c>
      <c r="AQ304" s="8">
        <f>IF(X304="",0,IF(X304&lt;=0.0002,0,(X304/100)/($AQ$3/100)/炼钢参数表!T304*1000))</f>
        <v>0</v>
      </c>
      <c r="AR304" s="8">
        <f>IF(Y304="",0,IF(Y304&lt;=0.02,0,(Y304/100)/($AR$3/100)/炼钢参数表!U304*1000))</f>
        <v>0</v>
      </c>
      <c r="AS304" s="8">
        <f>IF(L304&lt;=0.04,0,((L304-0.04)/100)/($AS$3/100)/炼钢参数表!V304*1000)</f>
        <v>0</v>
      </c>
      <c r="AT304" s="8">
        <f>IF(M304&lt;=0.03,0,((M304-0.03)/100)/($AT$3/100)/炼钢参数表!W304*1000)</f>
        <v>0</v>
      </c>
      <c r="AU304" s="6"/>
      <c r="AV304" s="8">
        <f t="shared" si="58"/>
        <v>10.882179120031299</v>
      </c>
      <c r="AW304" s="8" cm="1">
        <f t="array" ref="AW304">SUMPRODUCT($AB$4:$AU$4,AB304:AU304)/1000</f>
        <v>82.191465998279199</v>
      </c>
      <c r="AY304" s="2" t="str">
        <f t="shared" si="59"/>
        <v>BVB</v>
      </c>
      <c r="AZ304" s="37">
        <f>VLOOKUP(AY304,炼钢参数表!$F$5:$J$1027,4,0)</f>
        <v>7.3384615384615395E-2</v>
      </c>
      <c r="BA304" s="37">
        <f t="shared" si="60"/>
        <v>8.6615384615384594E-2</v>
      </c>
      <c r="BB304" s="37">
        <f>AB304*$BB$4*炼钢参数表!$X$5/1000</f>
        <v>1.31260599208592E-2</v>
      </c>
      <c r="BC304" s="37">
        <f>AC304*$BC$4*炼钢参数表!$X$5/1000</f>
        <v>6.4594025337150604E-3</v>
      </c>
      <c r="BD304" s="37">
        <f>AD304*$BD$4*炼钢参数表!$X$5/1000</f>
        <v>0</v>
      </c>
      <c r="BE304" s="37">
        <f>AE304*$BE$4*炼钢参数表!$X$5/1000</f>
        <v>0</v>
      </c>
      <c r="BF304" s="37">
        <f>AL304*$BF$4*炼钢参数表!$X$5/1000</f>
        <v>0</v>
      </c>
      <c r="BG304" s="37">
        <f>AM304*$BG$4*炼钢参数表!$X$5/1000</f>
        <v>0</v>
      </c>
      <c r="BH304" s="37">
        <f t="shared" si="61"/>
        <v>1.95854624545743E-2</v>
      </c>
      <c r="BI304" s="37">
        <f t="shared" si="62"/>
        <v>9.2970077839189702E-2</v>
      </c>
      <c r="BJ304" s="37">
        <f t="shared" si="63"/>
        <v>-6.7029922160810301E-2</v>
      </c>
      <c r="BK304" s="54"/>
      <c r="BL304" s="7"/>
    </row>
    <row r="305" spans="1:64" x14ac:dyDescent="0.3">
      <c r="A305" s="21">
        <v>297</v>
      </c>
      <c r="B305" s="4" t="s">
        <v>537</v>
      </c>
      <c r="C305" s="4" t="s">
        <v>23</v>
      </c>
      <c r="D305" s="4">
        <v>4</v>
      </c>
      <c r="E305" s="4">
        <v>12.5</v>
      </c>
      <c r="F305" s="4" t="s">
        <v>538</v>
      </c>
      <c r="G305" s="50" t="s">
        <v>511</v>
      </c>
      <c r="H305" s="4">
        <v>1521</v>
      </c>
      <c r="I305" s="51">
        <v>7.0000000000000007E-2</v>
      </c>
      <c r="J305" s="52">
        <v>0.2</v>
      </c>
      <c r="K305" s="52">
        <v>1.2</v>
      </c>
      <c r="L305" s="51">
        <v>1.4999999999999999E-2</v>
      </c>
      <c r="M305" s="51">
        <v>6.0000000000000001E-3</v>
      </c>
      <c r="N305" s="51"/>
      <c r="O305" s="51"/>
      <c r="P305" s="51"/>
      <c r="Q305" s="51">
        <v>0.03</v>
      </c>
      <c r="R305" s="51"/>
      <c r="S305" s="32">
        <v>0.01</v>
      </c>
      <c r="T305" s="52"/>
      <c r="U305" s="52"/>
      <c r="V305" s="52" t="s">
        <v>631</v>
      </c>
      <c r="W305" s="52"/>
      <c r="X305" s="32" t="s">
        <v>631</v>
      </c>
      <c r="Y305" s="53" t="s">
        <v>631</v>
      </c>
      <c r="Z305" s="4" t="s">
        <v>631</v>
      </c>
      <c r="AA305" s="104"/>
      <c r="AB305" s="42">
        <f>IF(J305&lt;=0.04,0,IF((BA305-AL305*BF$4*炼钢参数表!$X$5/1000-AM305*BG$4*炼钢参数表!$X$5/1000)&lt;=0.03,0,IF((J305/100/0.1769/炼钢参数表!K305*1000)&gt;(K305-炼钢参数表!J305)/100/0.6566/炼钢参数表!L305*1000,IF(K305&lt;1.6,(K305-炼钢参数表!J305)/100/0.6566/炼钢参数表!L305*1000,(K305-0.08-炼钢参数表!J305)/100/0.6566/炼钢参数表!L305*1000),IF(K305&lt;1.6,J305/100/0.1769/炼钢参数表!K305*1000,(J305-0.08)/100/0.1769/炼钢参数表!K305*1000))))</f>
        <v>0</v>
      </c>
      <c r="AC305" s="8">
        <f>IF((BA305-AB305*$BB$4*0.9/1000-AL305*BF$4*炼钢参数表!$X$5/1000-AM305*BG$4*炼钢参数表!$X$5/1000)&lt;(K305-炼钢参数表!J305-AB305*0.6566*炼钢参数表!L305/10)*0.082,0,(K305-炼钢参数表!J305-AB305*0.6566*炼钢参数表!L305/10)/100/($AC$3/100)/炼钢参数表!L305*1000)</f>
        <v>0</v>
      </c>
      <c r="AD305" s="8">
        <f>IF((BA305-AB305*$BB$4*0.9/1000-AC305*$BC$4*0.9/1000-AL305*BF$4*炼钢参数表!$X$5/1000-AM305*BG$4*炼钢参数表!$X$5/1000)&lt;=(K305-炼钢参数表!J305-AB305*0.6566*炼钢参数表!L305/10-AC305*($AC$3/100)*炼钢参数表!L305/10)*0.02,0,((K305-炼钢参数表!J305-AB305*0.6566*炼钢参数表!L305/10-AC305*($AC$3/100)*炼钢参数表!L305/10)/100/($AD$3/100)/炼钢参数表!L305*1000))</f>
        <v>14.358557275724101</v>
      </c>
      <c r="AE305" s="8">
        <f>(K305-炼钢参数表!J305-AB305*0.6566*炼钢参数表!L305/10-AC305*($AC$3/100)*炼钢参数表!L305/10-AD305*($AD$3/100)*炼钢参数表!L305/10)/100/($AE$3/100)/炼钢参数表!L305*1000</f>
        <v>0</v>
      </c>
      <c r="AF305" s="8">
        <v>0</v>
      </c>
      <c r="AG305" s="8">
        <f>IF(J305&lt;=0.04,0,((J305-(AB305*0.1769*炼钢参数表!K305/1000*100))/100/炼钢参数表!K305/($AG$3/100)*1000))</f>
        <v>3.4611657206147002</v>
      </c>
      <c r="AH305" s="8">
        <v>1.9</v>
      </c>
      <c r="AI305" s="8">
        <f>IF(N305="",0,IF(N305&lt;=0.002,0,((N305)/100)/($AI$3/100)/炼钢参数表!M305*1000))</f>
        <v>0</v>
      </c>
      <c r="AJ305" s="8">
        <f>IF(O305="",0,IF(O305&lt;=0.002,0,((O305)/100)/($AJ$3/100)/炼钢参数表!N305*1000))</f>
        <v>0</v>
      </c>
      <c r="AK305" s="8">
        <f>IF(P305="",0,IF(P305&lt;=0.002,0,((P305+0.005)/100)/($AK$3/100)/炼钢参数表!O305*1000))</f>
        <v>0</v>
      </c>
      <c r="AL305" s="8">
        <f>IF((BA305-J305*0.00003-K305*0.00024)&lt;=0.05,0,IF(T305="",0,IF(T305&lt;=0.03,0,IF(((BA305-J305*0.00003-K305*0.00024)-0.05)/0.18/100/($AL$3/100)/炼钢参数表!P305*1000&lt;=T305/100/($AL$3/100)/炼钢参数表!P305*1000,((BA305-J305*0.00003-K305*0.00024)-0.05)/0.18/100/($AL$3/100)/炼钢参数表!P305*1000,T305/100/($AL$3/100)/炼钢参数表!P305*1000))))</f>
        <v>0</v>
      </c>
      <c r="AM305" s="8">
        <f>IF(T305="",0,IF(T305&lt;=0.03,0,((T305-AL305*($AL$3/100)*炼钢参数表!P305/10)/100/($AM$3/100)/炼钢参数表!P305*1000)))</f>
        <v>0</v>
      </c>
      <c r="AN305" s="8">
        <f>IF(U305="",0,IF(U305&lt;=0.02,0,(U305/100)/($AN$3/100)/炼钢参数表!Q305*1000))</f>
        <v>0</v>
      </c>
      <c r="AO305" s="8">
        <f>IF(V305="",0,IF(V305&lt;=0.02,0,(V305/100)/($AO$3/100)/炼钢参数表!R305*1000))</f>
        <v>0</v>
      </c>
      <c r="AP305" s="8">
        <f>IF(W305="",0,IF(W305&lt;=0.02,0,(W305/100)/($AP$3/100)/炼钢参数表!S305*1000))</f>
        <v>0</v>
      </c>
      <c r="AQ305" s="8">
        <f>IF(X305="",0,IF(X305&lt;=0.0002,0,(X305/100)/($AQ$3/100)/炼钢参数表!T305*1000))</f>
        <v>0</v>
      </c>
      <c r="AR305" s="8">
        <f>IF(Y305="",0,IF(Y305&lt;=0.02,0,(Y305/100)/($AR$3/100)/炼钢参数表!U305*1000))</f>
        <v>0</v>
      </c>
      <c r="AS305" s="8">
        <f>IF(L305&lt;=0.04,0,((L305-0.04)/100)/($AS$3/100)/炼钢参数表!V305*1000)</f>
        <v>0</v>
      </c>
      <c r="AT305" s="8">
        <f>IF(M305&lt;=0.03,0,((M305-0.03)/100)/($AT$3/100)/炼钢参数表!W305*1000)</f>
        <v>0</v>
      </c>
      <c r="AU305" s="6"/>
      <c r="AV305" s="8">
        <f t="shared" si="58"/>
        <v>19.719722996338799</v>
      </c>
      <c r="AW305" s="8" cm="1">
        <f t="array" ref="AW305">SUMPRODUCT($AB$4:$AU$4,AB305:AU305)/1000</f>
        <v>171.382591970135</v>
      </c>
      <c r="AY305" s="2" t="str">
        <f t="shared" si="59"/>
        <v>BVAH32-1</v>
      </c>
      <c r="AZ305" s="37">
        <f>VLOOKUP(AY305,炼钢参数表!$F$5:$J$1027,4,0)</f>
        <v>0.04</v>
      </c>
      <c r="BA305" s="37">
        <f t="shared" si="60"/>
        <v>0.03</v>
      </c>
      <c r="BB305" s="37">
        <f>AB305*$BB$4*炼钢参数表!$X$5/1000</f>
        <v>0</v>
      </c>
      <c r="BC305" s="37">
        <f>AC305*$BC$4*炼钢参数表!$X$5/1000</f>
        <v>0</v>
      </c>
      <c r="BD305" s="37">
        <f>AD305*$BD$4*炼钢参数表!$X$5/1000</f>
        <v>1.9384052322227601E-2</v>
      </c>
      <c r="BE305" s="37">
        <f>AE305*$BE$4*炼钢参数表!$X$5/1000</f>
        <v>0</v>
      </c>
      <c r="BF305" s="37">
        <f>AL305*$BF$4*炼钢参数表!$X$5/1000</f>
        <v>0</v>
      </c>
      <c r="BG305" s="37">
        <f>AM305*$BG$4*炼钢参数表!$X$5/1000</f>
        <v>0</v>
      </c>
      <c r="BH305" s="37">
        <f t="shared" si="61"/>
        <v>1.9384052322227601E-2</v>
      </c>
      <c r="BI305" s="37">
        <f t="shared" si="62"/>
        <v>5.9384052322227598E-2</v>
      </c>
      <c r="BJ305" s="37">
        <f t="shared" si="63"/>
        <v>-1.06159476777724E-2</v>
      </c>
      <c r="BK305" s="54"/>
      <c r="BL305" s="7"/>
    </row>
    <row r="306" spans="1:64" x14ac:dyDescent="0.3">
      <c r="A306" s="21">
        <v>298</v>
      </c>
      <c r="B306" s="4" t="s">
        <v>537</v>
      </c>
      <c r="C306" s="4" t="s">
        <v>26</v>
      </c>
      <c r="D306" s="4">
        <v>12.51</v>
      </c>
      <c r="E306" s="4">
        <v>25</v>
      </c>
      <c r="F306" s="4" t="s">
        <v>539</v>
      </c>
      <c r="G306" s="50" t="s">
        <v>511</v>
      </c>
      <c r="H306" s="4">
        <v>1521</v>
      </c>
      <c r="I306" s="51">
        <v>7.0000000000000007E-2</v>
      </c>
      <c r="J306" s="52">
        <v>0.2</v>
      </c>
      <c r="K306" s="52">
        <v>1.3</v>
      </c>
      <c r="L306" s="51">
        <v>1.4999999999999999E-2</v>
      </c>
      <c r="M306" s="51">
        <v>6.0000000000000001E-3</v>
      </c>
      <c r="N306" s="51"/>
      <c r="O306" s="51"/>
      <c r="P306" s="51"/>
      <c r="Q306" s="51">
        <v>0.03</v>
      </c>
      <c r="R306" s="51"/>
      <c r="S306" s="32">
        <v>0.01</v>
      </c>
      <c r="T306" s="52"/>
      <c r="U306" s="52"/>
      <c r="V306" s="52" t="s">
        <v>631</v>
      </c>
      <c r="W306" s="52"/>
      <c r="X306" s="32" t="s">
        <v>631</v>
      </c>
      <c r="Y306" s="53" t="s">
        <v>631</v>
      </c>
      <c r="Z306" s="4" t="s">
        <v>631</v>
      </c>
      <c r="AA306" s="104"/>
      <c r="AB306" s="42">
        <f>IF(J306&lt;=0.04,0,IF((BA306-AL306*BF$4*炼钢参数表!$X$5/1000-AM306*BG$4*炼钢参数表!$X$5/1000)&lt;=0.03,0,IF((J306/100/0.1769/炼钢参数表!K306*1000)&gt;(K306-炼钢参数表!J306)/100/0.6566/炼钢参数表!L306*1000,IF(K306&lt;1.6,(K306-炼钢参数表!J306)/100/0.6566/炼钢参数表!L306*1000,(K306-0.08-炼钢参数表!J306)/100/0.6566/炼钢参数表!L306*1000),IF(K306&lt;1.6,J306/100/0.1769/炼钢参数表!K306*1000,(J306-0.08)/100/0.1769/炼钢参数表!K306*1000))))</f>
        <v>0</v>
      </c>
      <c r="AC306" s="8">
        <f>IF((BA306-AB306*$BB$4*0.9/1000-AL306*BF$4*炼钢参数表!$X$5/1000-AM306*BG$4*炼钢参数表!$X$5/1000)&lt;(K306-炼钢参数表!J306-AB306*0.6566*炼钢参数表!L306/10)*0.082,0,(K306-炼钢参数表!J306-AB306*0.6566*炼钢参数表!L306/10)/100/($AC$3/100)/炼钢参数表!L306*1000)</f>
        <v>0</v>
      </c>
      <c r="AD306" s="8">
        <f>IF((BA306-AB306*$BB$4*0.9/1000-AC306*$BC$4*0.9/1000-AL306*BF$4*炼钢参数表!$X$5/1000-AM306*BG$4*炼钢参数表!$X$5/1000)&lt;=(K306-炼钢参数表!J306-AB306*0.6566*炼钢参数表!L306/10-AC306*($AC$3/100)*炼钢参数表!L306/10)*0.02,0,((K306-炼钢参数表!J306-AB306*0.6566*炼钢参数表!L306/10-AC306*($AC$3/100)*炼钢参数表!L306/10)/100/($AD$3/100)/炼钢参数表!L306*1000))</f>
        <v>15.655612894508399</v>
      </c>
      <c r="AE306" s="8">
        <f>(K306-炼钢参数表!J306-AB306*0.6566*炼钢参数表!L306/10-AC306*($AC$3/100)*炼钢参数表!L306/10-AD306*($AD$3/100)*炼钢参数表!L306/10)/100/($AE$3/100)/炼钢参数表!L306*1000</f>
        <v>0</v>
      </c>
      <c r="AF306" s="8">
        <v>0</v>
      </c>
      <c r="AG306" s="8">
        <f>IF(J306&lt;=0.04,0,((J306-(AB306*0.1769*炼钢参数表!K306/1000*100))/100/炼钢参数表!K306/($AG$3/100)*1000))</f>
        <v>3.4611657206147002</v>
      </c>
      <c r="AH306" s="8">
        <v>1.9</v>
      </c>
      <c r="AI306" s="8">
        <f>IF(N306="",0,IF(N306&lt;=0.002,0,((N306)/100)/($AI$3/100)/炼钢参数表!M306*1000))</f>
        <v>0</v>
      </c>
      <c r="AJ306" s="8">
        <f>IF(O306="",0,IF(O306&lt;=0.002,0,((O306)/100)/($AJ$3/100)/炼钢参数表!N306*1000))</f>
        <v>0</v>
      </c>
      <c r="AK306" s="8">
        <f>IF(P306="",0,IF(P306&lt;=0.002,0,((P306+0.005)/100)/($AK$3/100)/炼钢参数表!O306*1000))</f>
        <v>0</v>
      </c>
      <c r="AL306" s="8">
        <f>IF((BA306-J306*0.00003-K306*0.00024)&lt;=0.05,0,IF(T306="",0,IF(T306&lt;=0.03,0,IF(((BA306-J306*0.00003-K306*0.00024)-0.05)/0.18/100/($AL$3/100)/炼钢参数表!P306*1000&lt;=T306/100/($AL$3/100)/炼钢参数表!P306*1000,((BA306-J306*0.00003-K306*0.00024)-0.05)/0.18/100/($AL$3/100)/炼钢参数表!P306*1000,T306/100/($AL$3/100)/炼钢参数表!P306*1000))))</f>
        <v>0</v>
      </c>
      <c r="AM306" s="8">
        <f>IF(T306="",0,IF(T306&lt;=0.03,0,((T306-AL306*($AL$3/100)*炼钢参数表!P306/10)/100/($AM$3/100)/炼钢参数表!P306*1000)))</f>
        <v>0</v>
      </c>
      <c r="AN306" s="8">
        <f>IF(U306="",0,IF(U306&lt;=0.02,0,(U306/100)/($AN$3/100)/炼钢参数表!Q306*1000))</f>
        <v>0</v>
      </c>
      <c r="AO306" s="8">
        <f>IF(V306="",0,IF(V306&lt;=0.02,0,(V306/100)/($AO$3/100)/炼钢参数表!R306*1000))</f>
        <v>0</v>
      </c>
      <c r="AP306" s="8">
        <f>IF(W306="",0,IF(W306&lt;=0.02,0,(W306/100)/($AP$3/100)/炼钢参数表!S306*1000))</f>
        <v>0</v>
      </c>
      <c r="AQ306" s="8">
        <f>IF(X306="",0,IF(X306&lt;=0.0002,0,(X306/100)/($AQ$3/100)/炼钢参数表!T306*1000))</f>
        <v>0</v>
      </c>
      <c r="AR306" s="8">
        <f>IF(Y306="",0,IF(Y306&lt;=0.02,0,(Y306/100)/($AR$3/100)/炼钢参数表!U306*1000))</f>
        <v>0</v>
      </c>
      <c r="AS306" s="8">
        <f>IF(L306&lt;=0.04,0,((L306-0.04)/100)/($AS$3/100)/炼钢参数表!V306*1000)</f>
        <v>0</v>
      </c>
      <c r="AT306" s="8">
        <f>IF(M306&lt;=0.03,0,((M306-0.03)/100)/($AT$3/100)/炼钢参数表!W306*1000)</f>
        <v>0</v>
      </c>
      <c r="AU306" s="6"/>
      <c r="AV306" s="8">
        <f t="shared" si="58"/>
        <v>21.016778615123201</v>
      </c>
      <c r="AW306" s="8" cm="1">
        <f t="array" ref="AW306">SUMPRODUCT($AB$4:$AU$4,AB306:AU306)/1000</f>
        <v>181.40894668702001</v>
      </c>
      <c r="AY306" s="2" t="str">
        <f t="shared" si="59"/>
        <v>BVAH32-2</v>
      </c>
      <c r="AZ306" s="37">
        <f>VLOOKUP(AY306,炼钢参数表!$F$5:$J$1027,4,0)</f>
        <v>4.3999999999999997E-2</v>
      </c>
      <c r="BA306" s="37">
        <f t="shared" si="60"/>
        <v>2.5999999999999999E-2</v>
      </c>
      <c r="BB306" s="37">
        <f>AB306*$BB$4*炼钢参数表!$X$5/1000</f>
        <v>0</v>
      </c>
      <c r="BC306" s="37">
        <f>AC306*$BC$4*炼钢参数表!$X$5/1000</f>
        <v>0</v>
      </c>
      <c r="BD306" s="37">
        <f>AD306*$BD$4*炼钢参数表!$X$5/1000</f>
        <v>2.1135077407586401E-2</v>
      </c>
      <c r="BE306" s="37">
        <f>AE306*$BE$4*炼钢参数表!$X$5/1000</f>
        <v>0</v>
      </c>
      <c r="BF306" s="37">
        <f>AL306*$BF$4*炼钢参数表!$X$5/1000</f>
        <v>0</v>
      </c>
      <c r="BG306" s="37">
        <f>AM306*$BG$4*炼钢参数表!$X$5/1000</f>
        <v>0</v>
      </c>
      <c r="BH306" s="37">
        <f t="shared" si="61"/>
        <v>2.1135077407586401E-2</v>
      </c>
      <c r="BI306" s="37">
        <f t="shared" si="62"/>
        <v>6.5135077407586395E-2</v>
      </c>
      <c r="BJ306" s="37">
        <f t="shared" si="63"/>
        <v>-4.8649225924136102E-3</v>
      </c>
      <c r="BK306" s="54"/>
      <c r="BL306" s="7"/>
    </row>
    <row r="307" spans="1:64" x14ac:dyDescent="0.3">
      <c r="A307" s="21">
        <v>299</v>
      </c>
      <c r="B307" s="4" t="s">
        <v>540</v>
      </c>
      <c r="C307" s="4" t="s">
        <v>23</v>
      </c>
      <c r="D307" s="4">
        <v>4</v>
      </c>
      <c r="E307" s="4">
        <v>12.5</v>
      </c>
      <c r="F307" s="4" t="s">
        <v>541</v>
      </c>
      <c r="G307" s="50" t="s">
        <v>511</v>
      </c>
      <c r="H307" s="4">
        <v>1521</v>
      </c>
      <c r="I307" s="51">
        <v>7.0000000000000007E-2</v>
      </c>
      <c r="J307" s="52">
        <v>0.12</v>
      </c>
      <c r="K307" s="52">
        <v>1.3</v>
      </c>
      <c r="L307" s="51">
        <v>1.4999999999999999E-2</v>
      </c>
      <c r="M307" s="51">
        <v>6.0000000000000001E-3</v>
      </c>
      <c r="N307" s="51"/>
      <c r="O307" s="51">
        <v>3.5000000000000003E-2</v>
      </c>
      <c r="P307" s="51">
        <v>0.01</v>
      </c>
      <c r="Q307" s="51">
        <v>0.03</v>
      </c>
      <c r="R307" s="51" t="s">
        <v>631</v>
      </c>
      <c r="S307" s="32"/>
      <c r="T307" s="52"/>
      <c r="U307" s="52"/>
      <c r="V307" s="52"/>
      <c r="W307" s="52"/>
      <c r="X307" s="32"/>
      <c r="Y307" s="53" t="s">
        <v>631</v>
      </c>
      <c r="Z307" s="4">
        <v>50</v>
      </c>
      <c r="AA307" s="53"/>
      <c r="AB307" s="42">
        <f>IF(J307&lt;=0.04,0,IF((BA307-AL307*BF$4*炼钢参数表!$X$5/1000-AM307*BG$4*炼钢参数表!$X$5/1000)&lt;=0.03,0,IF((J307/100/0.1769/炼钢参数表!K307*1000)&gt;(K307-炼钢参数表!J307)/100/0.6566/炼钢参数表!L307*1000,IF(K307&lt;1.6,(K307-炼钢参数表!J307)/100/0.6566/炼钢参数表!L307*1000,(K307-0.08-炼钢参数表!J307)/100/0.6566/炼钢参数表!L307*1000),IF(K307&lt;1.6,J307/100/0.1769/炼钢参数表!K307*1000,(J307-0.08)/100/0.1769/炼钢参数表!K307*1000))))</f>
        <v>0</v>
      </c>
      <c r="AC307" s="8">
        <f>IF((BA307-AB307*$BB$4*0.9/1000-AL307*BF$4*炼钢参数表!$X$5/1000-AM307*BG$4*炼钢参数表!$X$5/1000)&lt;(K307-炼钢参数表!J307-AB307*0.6566*炼钢参数表!L307/10)*0.082,0,(K307-炼钢参数表!J307-AB307*0.6566*炼钢参数表!L307/10)/100/($AC$3/100)/炼钢参数表!L307*1000)</f>
        <v>0</v>
      </c>
      <c r="AD307" s="8">
        <f>IF((BA307-AB307*$BB$4*0.9/1000-AC307*$BC$4*0.9/1000-AL307*BF$4*炼钢参数表!$X$5/1000-AM307*BG$4*炼钢参数表!$X$5/1000)&lt;=(K307-炼钢参数表!J307-AB307*0.6566*炼钢参数表!L307/10-AC307*($AC$3/100)*炼钢参数表!L307/10)*0.02,0,((K307-炼钢参数表!J307-AB307*0.6566*炼钢参数表!L307/10-AC307*($AC$3/100)*炼钢参数表!L307/10)/100/($AD$3/100)/炼钢参数表!L307*1000))</f>
        <v>15.728841713781099</v>
      </c>
      <c r="AE307" s="8">
        <f>(K307-炼钢参数表!J307-AB307*0.6566*炼钢参数表!L307/10-AC307*($AC$3/100)*炼钢参数表!L307/10-AD307*($AD$3/100)*炼钢参数表!L307/10)/100/($AE$3/100)/炼钢参数表!L307*1000</f>
        <v>0</v>
      </c>
      <c r="AF307" s="8">
        <v>0</v>
      </c>
      <c r="AG307" s="8">
        <f>IF(J307&lt;=0.04,0,((J307-(AB307*0.1769*炼钢参数表!K307/1000*100))/100/炼钢参数表!K307/($AG$3/100)*1000))</f>
        <v>2.0766994323688199</v>
      </c>
      <c r="AH307" s="8">
        <v>1.9</v>
      </c>
      <c r="AI307" s="8">
        <f>IF(N307="",0,IF(N307&lt;=0.002,0,((N307)/100)/($AI$3/100)/炼钢参数表!M307*1000))</f>
        <v>0</v>
      </c>
      <c r="AJ307" s="8">
        <f>IF(O307="",0,IF(O307&lt;=0.002,0,((O307)/100)/($AJ$3/100)/炼钢参数表!N307*1000))</f>
        <v>0.54911263398348298</v>
      </c>
      <c r="AK307" s="8">
        <f>IF(P307="",0,IF(P307&lt;=0.002,0,((P307+0.005)/100)/($AK$3/100)/炼钢参数表!O307*1000))</f>
        <v>0.29936534546760901</v>
      </c>
      <c r="AL307" s="8">
        <f>IF((BA307-J307*0.00003-K307*0.00024)&lt;=0.05,0,IF(T307="",0,IF(T307&lt;=0.03,0,IF(((BA307-J307*0.00003-K307*0.00024)-0.05)/0.18/100/($AL$3/100)/炼钢参数表!P307*1000&lt;=T307/100/($AL$3/100)/炼钢参数表!P307*1000,((BA307-J307*0.00003-K307*0.00024)-0.05)/0.18/100/($AL$3/100)/炼钢参数表!P307*1000,T307/100/($AL$3/100)/炼钢参数表!P307*1000))))</f>
        <v>0</v>
      </c>
      <c r="AM307" s="8">
        <f>IF(T307="",0,IF(T307&lt;=0.03,0,((T307-AL307*($AL$3/100)*炼钢参数表!P307/10)/100/($AM$3/100)/炼钢参数表!P307*1000)))</f>
        <v>0</v>
      </c>
      <c r="AN307" s="8">
        <f>IF(U307="",0,IF(U307&lt;=0.02,0,(U307/100)/($AN$3/100)/炼钢参数表!Q307*1000))</f>
        <v>0</v>
      </c>
      <c r="AO307" s="8">
        <f>IF(V307="",0,IF(V307&lt;=0.02,0,(V307/100)/($AO$3/100)/炼钢参数表!R307*1000))</f>
        <v>0</v>
      </c>
      <c r="AP307" s="8">
        <f>IF(W307="",0,IF(W307&lt;=0.02,0,(W307/100)/($AP$3/100)/炼钢参数表!S307*1000))</f>
        <v>0</v>
      </c>
      <c r="AQ307" s="8">
        <f>IF(X307="",0,IF(X307&lt;=0.0002,0,(X307/100)/($AQ$3/100)/炼钢参数表!T307*1000))</f>
        <v>0</v>
      </c>
      <c r="AR307" s="8">
        <f>IF(Y307="",0,IF(Y307&lt;=0.02,0,(Y307/100)/($AR$3/100)/炼钢参数表!U307*1000))</f>
        <v>0</v>
      </c>
      <c r="AS307" s="8">
        <f>IF(L307&lt;=0.04,0,((L307-0.04)/100)/($AS$3/100)/炼钢参数表!V307*1000)</f>
        <v>0</v>
      </c>
      <c r="AT307" s="8">
        <f>IF(M307&lt;=0.03,0,((M307-0.03)/100)/($AT$3/100)/炼钢参数表!W307*1000)</f>
        <v>0</v>
      </c>
      <c r="AU307" s="6"/>
      <c r="AV307" s="8">
        <f t="shared" si="58"/>
        <v>20.554019125601101</v>
      </c>
      <c r="AW307" s="8" cm="1">
        <f t="array" ref="AW307">SUMPRODUCT($AB$4:$AU$4,AB307:AU307)/1000</f>
        <v>300.26709357168897</v>
      </c>
      <c r="AY307" s="2" t="str">
        <f t="shared" si="59"/>
        <v>BVAH36-1</v>
      </c>
      <c r="AZ307" s="37">
        <f>VLOOKUP(AY307,炼钢参数表!$F$5:$J$1027,4,0)</f>
        <v>4.2963636363636398E-2</v>
      </c>
      <c r="BA307" s="37">
        <f t="shared" si="60"/>
        <v>2.7036363636363601E-2</v>
      </c>
      <c r="BB307" s="37">
        <f>AB307*$BB$4*炼钢参数表!$X$5/1000</f>
        <v>0</v>
      </c>
      <c r="BC307" s="37">
        <f>AC307*$BC$4*炼钢参数表!$X$5/1000</f>
        <v>0</v>
      </c>
      <c r="BD307" s="37">
        <f>AD307*$BD$4*炼钢参数表!$X$5/1000</f>
        <v>2.1233936313604498E-2</v>
      </c>
      <c r="BE307" s="37">
        <f>AE307*$BE$4*炼钢参数表!$X$5/1000</f>
        <v>0</v>
      </c>
      <c r="BF307" s="37">
        <f>AL307*$BF$4*炼钢参数表!$X$5/1000</f>
        <v>0</v>
      </c>
      <c r="BG307" s="37">
        <f>AM307*$BG$4*炼钢参数表!$X$5/1000</f>
        <v>0</v>
      </c>
      <c r="BH307" s="37">
        <f t="shared" si="61"/>
        <v>2.1233936313604498E-2</v>
      </c>
      <c r="BI307" s="37">
        <f t="shared" si="62"/>
        <v>6.4197572677240897E-2</v>
      </c>
      <c r="BJ307" s="37">
        <f t="shared" si="63"/>
        <v>-5.8024273227590701E-3</v>
      </c>
      <c r="BK307" s="54"/>
      <c r="BL307" s="7"/>
    </row>
    <row r="308" spans="1:64" x14ac:dyDescent="0.3">
      <c r="A308" s="21">
        <v>300</v>
      </c>
      <c r="B308" s="4" t="s">
        <v>540</v>
      </c>
      <c r="C308" s="4" t="s">
        <v>26</v>
      </c>
      <c r="D308" s="4">
        <v>12.51</v>
      </c>
      <c r="E308" s="4">
        <v>25</v>
      </c>
      <c r="F308" s="4" t="s">
        <v>542</v>
      </c>
      <c r="G308" s="50" t="s">
        <v>511</v>
      </c>
      <c r="H308" s="4">
        <v>1522</v>
      </c>
      <c r="I308" s="51">
        <v>7.0000000000000007E-2</v>
      </c>
      <c r="J308" s="52">
        <v>0.15</v>
      </c>
      <c r="K308" s="52">
        <v>1.4</v>
      </c>
      <c r="L308" s="51">
        <v>1.4999999999999999E-2</v>
      </c>
      <c r="M308" s="51">
        <v>6.0000000000000001E-3</v>
      </c>
      <c r="N308" s="51"/>
      <c r="O308" s="51">
        <v>3.5000000000000003E-2</v>
      </c>
      <c r="P308" s="51">
        <v>0.01</v>
      </c>
      <c r="Q308" s="51">
        <v>0.03</v>
      </c>
      <c r="R308" s="51" t="s">
        <v>631</v>
      </c>
      <c r="S308" s="32"/>
      <c r="T308" s="52"/>
      <c r="U308" s="52"/>
      <c r="V308" s="52"/>
      <c r="W308" s="52"/>
      <c r="X308" s="32"/>
      <c r="Y308" s="53" t="s">
        <v>631</v>
      </c>
      <c r="Z308" s="4">
        <v>50</v>
      </c>
      <c r="AA308" s="53"/>
      <c r="AB308" s="42">
        <f>IF(J308&lt;=0.04,0,IF((BA308-AL308*BF$4*炼钢参数表!$X$5/1000-AM308*BG$4*炼钢参数表!$X$5/1000)&lt;=0.03,0,IF((J308/100/0.1769/炼钢参数表!K308*1000)&gt;(K308-炼钢参数表!J308)/100/0.6566/炼钢参数表!L308*1000,IF(K308&lt;1.6,(K308-炼钢参数表!J308)/100/0.6566/炼钢参数表!L308*1000,(K308-0.08-炼钢参数表!J308)/100/0.6566/炼钢参数表!L308*1000),IF(K308&lt;1.6,J308/100/0.1769/炼钢参数表!K308*1000,(J308-0.08)/100/0.1769/炼钢参数表!K308*1000))))</f>
        <v>0</v>
      </c>
      <c r="AC308" s="8">
        <f>IF((BA308-AB308*$BB$4*0.9/1000-AL308*BF$4*炼钢参数表!$X$5/1000-AM308*BG$4*炼钢参数表!$X$5/1000)&lt;(K308-炼钢参数表!J308-AB308*0.6566*炼钢参数表!L308/10)*0.082,0,(K308-炼钢参数表!J308-AB308*0.6566*炼钢参数表!L308/10)/100/($AC$3/100)/炼钢参数表!L308*1000)</f>
        <v>0</v>
      </c>
      <c r="AD308" s="8">
        <f>IF((BA308-AB308*$BB$4*0.9/1000-AC308*$BC$4*0.9/1000-AL308*BF$4*炼钢参数表!$X$5/1000-AM308*BG$4*炼钢参数表!$X$5/1000)&lt;=(K308-炼钢参数表!J308-AB308*0.6566*炼钢参数表!L308/10-AC308*($AC$3/100)*炼钢参数表!L308/10)*0.02,0,((K308-炼钢参数表!J308-AB308*0.6566*炼钢参数表!L308/10-AC308*($AC$3/100)*炼钢参数表!L308/10)/100/($AD$3/100)/炼钢参数表!L308*1000))</f>
        <v>17.0297464108606</v>
      </c>
      <c r="AE308" s="8">
        <f>(K308-炼钢参数表!J308-AB308*0.6566*炼钢参数表!L308/10-AC308*($AC$3/100)*炼钢参数表!L308/10-AD308*($AD$3/100)*炼钢参数表!L308/10)/100/($AE$3/100)/炼钢参数表!L308*1000</f>
        <v>0</v>
      </c>
      <c r="AF308" s="8">
        <v>0</v>
      </c>
      <c r="AG308" s="8">
        <f>IF(J308&lt;=0.04,0,((J308-(AB308*0.1769*炼钢参数表!K308/1000*100))/100/炼钢参数表!K308/($AG$3/100)*1000))</f>
        <v>2.5958742904610301</v>
      </c>
      <c r="AH308" s="8">
        <v>1.9</v>
      </c>
      <c r="AI308" s="8">
        <f>IF(N308="",0,IF(N308&lt;=0.002,0,((N308)/100)/($AI$3/100)/炼钢参数表!M308*1000))</f>
        <v>0</v>
      </c>
      <c r="AJ308" s="8">
        <f>IF(O308="",0,IF(O308&lt;=0.002,0,((O308)/100)/($AJ$3/100)/炼钢参数表!N308*1000))</f>
        <v>0.54911263398348298</v>
      </c>
      <c r="AK308" s="8">
        <f>IF(P308="",0,IF(P308&lt;=0.002,0,((P308+0.005)/100)/($AK$3/100)/炼钢参数表!O308*1000))</f>
        <v>0.29936534546760901</v>
      </c>
      <c r="AL308" s="8">
        <f>IF((BA308-J308*0.00003-K308*0.00024)&lt;=0.05,0,IF(T308="",0,IF(T308&lt;=0.03,0,IF(((BA308-J308*0.00003-K308*0.00024)-0.05)/0.18/100/($AL$3/100)/炼钢参数表!P308*1000&lt;=T308/100/($AL$3/100)/炼钢参数表!P308*1000,((BA308-J308*0.00003-K308*0.00024)-0.05)/0.18/100/($AL$3/100)/炼钢参数表!P308*1000,T308/100/($AL$3/100)/炼钢参数表!P308*1000))))</f>
        <v>0</v>
      </c>
      <c r="AM308" s="8">
        <f>IF(T308="",0,IF(T308&lt;=0.03,0,((T308-AL308*($AL$3/100)*炼钢参数表!P308/10)/100/($AM$3/100)/炼钢参数表!P308*1000)))</f>
        <v>0</v>
      </c>
      <c r="AN308" s="8">
        <f>IF(U308="",0,IF(U308&lt;=0.02,0,(U308/100)/($AN$3/100)/炼钢参数表!Q308*1000))</f>
        <v>0</v>
      </c>
      <c r="AO308" s="8">
        <f>IF(V308="",0,IF(V308&lt;=0.02,0,(V308/100)/($AO$3/100)/炼钢参数表!R308*1000))</f>
        <v>0</v>
      </c>
      <c r="AP308" s="8">
        <f>IF(W308="",0,IF(W308&lt;=0.02,0,(W308/100)/($AP$3/100)/炼钢参数表!S308*1000))</f>
        <v>0</v>
      </c>
      <c r="AQ308" s="8">
        <f>IF(X308="",0,IF(X308&lt;=0.0002,0,(X308/100)/($AQ$3/100)/炼钢参数表!T308*1000))</f>
        <v>0</v>
      </c>
      <c r="AR308" s="8">
        <f>IF(Y308="",0,IF(Y308&lt;=0.02,0,(Y308/100)/($AR$3/100)/炼钢参数表!U308*1000))</f>
        <v>0</v>
      </c>
      <c r="AS308" s="8">
        <f>IF(L308&lt;=0.04,0,((L308-0.04)/100)/($AS$3/100)/炼钢参数表!V308*1000)</f>
        <v>0</v>
      </c>
      <c r="AT308" s="8">
        <f>IF(M308&lt;=0.03,0,((M308-0.03)/100)/($AT$3/100)/炼钢参数表!W308*1000)</f>
        <v>0</v>
      </c>
      <c r="AU308" s="6"/>
      <c r="AV308" s="8">
        <f t="shared" si="58"/>
        <v>22.3740986807727</v>
      </c>
      <c r="AW308" s="8" cm="1">
        <f t="array" ref="AW308">SUMPRODUCT($AB$4:$AU$4,AB308:AU308)/1000</f>
        <v>313.015560118069</v>
      </c>
      <c r="AY308" s="2" t="str">
        <f t="shared" si="59"/>
        <v>BVAH36-2</v>
      </c>
      <c r="AZ308" s="37">
        <f>VLOOKUP(AY308,炼钢参数表!$F$5:$J$1027,4,0)</f>
        <v>4.1595744680851102E-2</v>
      </c>
      <c r="BA308" s="37">
        <f t="shared" si="60"/>
        <v>2.8404255319148902E-2</v>
      </c>
      <c r="BB308" s="37">
        <f>AB308*$BB$4*炼钢参数表!$X$5/1000</f>
        <v>0</v>
      </c>
      <c r="BC308" s="37">
        <f>AC308*$BC$4*炼钢参数表!$X$5/1000</f>
        <v>0</v>
      </c>
      <c r="BD308" s="37">
        <f>AD308*$BD$4*炼钢参数表!$X$5/1000</f>
        <v>2.2990157654661801E-2</v>
      </c>
      <c r="BE308" s="37">
        <f>AE308*$BE$4*炼钢参数表!$X$5/1000</f>
        <v>0</v>
      </c>
      <c r="BF308" s="37">
        <f>AL308*$BF$4*炼钢参数表!$X$5/1000</f>
        <v>0</v>
      </c>
      <c r="BG308" s="37">
        <f>AM308*$BG$4*炼钢参数表!$X$5/1000</f>
        <v>0</v>
      </c>
      <c r="BH308" s="37">
        <f t="shared" si="61"/>
        <v>2.2990157654661801E-2</v>
      </c>
      <c r="BI308" s="37">
        <f t="shared" si="62"/>
        <v>6.4585902335512896E-2</v>
      </c>
      <c r="BJ308" s="37">
        <f t="shared" si="63"/>
        <v>-5.4140976644871499E-3</v>
      </c>
      <c r="BK308" s="54"/>
      <c r="BL308" s="7"/>
    </row>
    <row r="309" spans="1:64" x14ac:dyDescent="0.3">
      <c r="A309" s="21">
        <v>301</v>
      </c>
      <c r="B309" s="4" t="s">
        <v>543</v>
      </c>
      <c r="C309" s="4" t="s">
        <v>23</v>
      </c>
      <c r="D309" s="4">
        <v>3.5</v>
      </c>
      <c r="E309" s="4">
        <v>25.4</v>
      </c>
      <c r="F309" s="4" t="s">
        <v>543</v>
      </c>
      <c r="G309" s="50" t="s">
        <v>511</v>
      </c>
      <c r="H309" s="4">
        <v>1519</v>
      </c>
      <c r="I309" s="51">
        <v>0.16</v>
      </c>
      <c r="J309" s="52">
        <v>0.1</v>
      </c>
      <c r="K309" s="52">
        <v>0.6</v>
      </c>
      <c r="L309" s="51">
        <v>0.02</v>
      </c>
      <c r="M309" s="51">
        <v>1.4999999999999999E-2</v>
      </c>
      <c r="N309" s="51" t="s">
        <v>631</v>
      </c>
      <c r="O309" s="51" t="s">
        <v>631</v>
      </c>
      <c r="P309" s="51" t="s">
        <v>631</v>
      </c>
      <c r="Q309" s="51">
        <v>2.5000000000000001E-2</v>
      </c>
      <c r="R309" s="51" t="s">
        <v>631</v>
      </c>
      <c r="S309" s="32" t="s">
        <v>631</v>
      </c>
      <c r="T309" s="52"/>
      <c r="U309" s="52"/>
      <c r="V309" s="52"/>
      <c r="W309" s="52"/>
      <c r="X309" s="32" t="s">
        <v>631</v>
      </c>
      <c r="Y309" s="53" t="s">
        <v>631</v>
      </c>
      <c r="Z309" s="4"/>
      <c r="AA309" s="53"/>
      <c r="AB309" s="42">
        <f>IF(J309&lt;=0.04,0,IF((BA309-AL309*BF$4*炼钢参数表!$X$5/1000-AM309*BG$4*炼钢参数表!$X$5/1000)&lt;=0.03,0,IF((J309/100/0.1769/炼钢参数表!K309*1000)&gt;(K309-炼钢参数表!J309)/100/0.6566/炼钢参数表!L309*1000,IF(K309&lt;1.6,(K309-炼钢参数表!J309)/100/0.6566/炼钢参数表!L309*1000,(K309-0.08-炼钢参数表!J309)/100/0.6566/炼钢参数表!L309*1000),IF(K309&lt;1.6,J309/100/0.1769/炼钢参数表!K309*1000,(J309-0.08)/100/0.1769/炼钢参数表!K309*1000))))</f>
        <v>7.0661390616167301</v>
      </c>
      <c r="AC309" s="8">
        <f>IF((BA309-AB309*$BB$4*0.9/1000-AL309*BF$4*炼钢参数表!$X$5/1000-AM309*BG$4*炼钢参数表!$X$5/1000)&lt;(K309-炼钢参数表!J309-AB309*0.6566*炼钢参数表!L309/10)*0.082,0,(K309-炼钢参数表!J309-AB309*0.6566*炼钢参数表!L309/10)/100/($AC$3/100)/炼钢参数表!L309*1000)</f>
        <v>0.24797117621331999</v>
      </c>
      <c r="AD309" s="8">
        <f>IF((BA309-AB309*$BB$4*0.9/1000-AC309*$BC$4*0.9/1000-AL309*BF$4*炼钢参数表!$X$5/1000-AM309*BG$4*炼钢参数表!$X$5/1000)&lt;=(K309-炼钢参数表!J309-AB309*0.6566*炼钢参数表!L309/10-AC309*($AC$3/100)*炼钢参数表!L309/10)*0.02,0,((K309-炼钢参数表!J309-AB309*0.6566*炼钢参数表!L309/10-AC309*($AC$3/100)*炼钢参数表!L309/10)/100/($AD$3/100)/炼钢参数表!L309*1000))</f>
        <v>0</v>
      </c>
      <c r="AE309" s="8">
        <f>(K309-炼钢参数表!J309-AB309*0.6566*炼钢参数表!L309/10-AC309*($AC$3/100)*炼钢参数表!L309/10-AD309*($AD$3/100)*炼钢参数表!L309/10)/100/($AE$3/100)/炼钢参数表!L309*1000</f>
        <v>0</v>
      </c>
      <c r="AF309" s="8">
        <v>0</v>
      </c>
      <c r="AG309" s="8">
        <f>IF(J309&lt;=0.04,0,((J309-(AB309*0.1769*炼钢参数表!K309/1000*100))/100/炼钢参数表!K309/($AG$3/100)*1000))</f>
        <v>0</v>
      </c>
      <c r="AH309" s="8">
        <v>1.33</v>
      </c>
      <c r="AI309" s="8">
        <f>IF(N309="",0,IF(N309&lt;=0.002,0,((N309)/100)/($AI$3/100)/炼钢参数表!M309*1000))</f>
        <v>0</v>
      </c>
      <c r="AJ309" s="8">
        <f>IF(O309="",0,IF(O309&lt;=0.002,0,((O309)/100)/($AJ$3/100)/炼钢参数表!N309*1000))</f>
        <v>0</v>
      </c>
      <c r="AK309" s="8">
        <f>IF(P309="",0,IF(P309&lt;=0.002,0,((P309+0.005)/100)/($AK$3/100)/炼钢参数表!O309*1000))</f>
        <v>0</v>
      </c>
      <c r="AL309" s="8">
        <f>IF((BA309-J309*0.00003-K309*0.00024)&lt;=0.05,0,IF(T309="",0,IF(T309&lt;=0.03,0,IF(((BA309-J309*0.00003-K309*0.00024)-0.05)/0.18/100/($AL$3/100)/炼钢参数表!P309*1000&lt;=T309/100/($AL$3/100)/炼钢参数表!P309*1000,((BA309-J309*0.00003-K309*0.00024)-0.05)/0.18/100/($AL$3/100)/炼钢参数表!P309*1000,T309/100/($AL$3/100)/炼钢参数表!P309*1000))))</f>
        <v>0</v>
      </c>
      <c r="AM309" s="8">
        <f>IF(T309="",0,IF(T309&lt;=0.03,0,((T309-AL309*($AL$3/100)*炼钢参数表!P309/10)/100/($AM$3/100)/炼钢参数表!P309*1000)))</f>
        <v>0</v>
      </c>
      <c r="AN309" s="8">
        <f>IF(U309="",0,IF(U309&lt;=0.02,0,(U309/100)/($AN$3/100)/炼钢参数表!Q309*1000))</f>
        <v>0</v>
      </c>
      <c r="AO309" s="8">
        <f>IF(V309="",0,IF(V309&lt;=0.02,0,(V309/100)/($AO$3/100)/炼钢参数表!R309*1000))</f>
        <v>0</v>
      </c>
      <c r="AP309" s="8">
        <f>IF(W309="",0,IF(W309&lt;=0.02,0,(W309/100)/($AP$3/100)/炼钢参数表!S309*1000))</f>
        <v>0</v>
      </c>
      <c r="AQ309" s="8">
        <f>IF(X309="",0,IF(X309&lt;=0.0002,0,(X309/100)/($AQ$3/100)/炼钢参数表!T309*1000))</f>
        <v>0</v>
      </c>
      <c r="AR309" s="8">
        <f>IF(Y309="",0,IF(Y309&lt;=0.02,0,(Y309/100)/($AR$3/100)/炼钢参数表!U309*1000))</f>
        <v>0</v>
      </c>
      <c r="AS309" s="8">
        <f>IF(L309&lt;=0.04,0,((L309-0.04)/100)/($AS$3/100)/炼钢参数表!V309*1000)</f>
        <v>0</v>
      </c>
      <c r="AT309" s="8">
        <f>IF(M309&lt;=0.03,0,((M309-0.03)/100)/($AT$3/100)/炼钢参数表!W309*1000)</f>
        <v>0</v>
      </c>
      <c r="AU309" s="6"/>
      <c r="AV309" s="8">
        <f t="shared" si="58"/>
        <v>8.6441102378300503</v>
      </c>
      <c r="AW309" s="8" cm="1">
        <f t="array" ref="AW309">SUMPRODUCT($AB$4:$AU$4,AB309:AU309)/1000</f>
        <v>69.539473965705795</v>
      </c>
      <c r="AY309" s="2" t="str">
        <f t="shared" si="59"/>
        <v>NV A</v>
      </c>
      <c r="AZ309" s="37">
        <f>VLOOKUP(AY309,炼钢参数表!$F$5:$J$1027,4,0)</f>
        <v>7.4291718170581098E-2</v>
      </c>
      <c r="BA309" s="37">
        <f t="shared" si="60"/>
        <v>8.5708281829418906E-2</v>
      </c>
      <c r="BB309" s="37">
        <f>AB309*$BB$4*炼钢参数表!$X$5/1000</f>
        <v>1.09383832673827E-2</v>
      </c>
      <c r="BC309" s="37">
        <f>AC309*$BC$4*炼钢参数表!$X$5/1000</f>
        <v>1.4930344519804E-3</v>
      </c>
      <c r="BD309" s="37">
        <f>AD309*$BD$4*炼钢参数表!$X$5/1000</f>
        <v>0</v>
      </c>
      <c r="BE309" s="37">
        <f>AE309*$BE$4*炼钢参数表!$X$5/1000</f>
        <v>0</v>
      </c>
      <c r="BF309" s="37">
        <f>AL309*$BF$4*炼钢参数表!$X$5/1000</f>
        <v>0</v>
      </c>
      <c r="BG309" s="37">
        <f>AM309*$BG$4*炼钢参数表!$X$5/1000</f>
        <v>0</v>
      </c>
      <c r="BH309" s="37">
        <f t="shared" si="61"/>
        <v>1.24314177193631E-2</v>
      </c>
      <c r="BI309" s="37">
        <f t="shared" si="62"/>
        <v>8.6723135889944195E-2</v>
      </c>
      <c r="BJ309" s="37">
        <f t="shared" si="63"/>
        <v>-7.3276864110055795E-2</v>
      </c>
      <c r="BK309" s="54"/>
      <c r="BL309" s="7"/>
    </row>
    <row r="310" spans="1:64" x14ac:dyDescent="0.3">
      <c r="A310" s="21">
        <v>302</v>
      </c>
      <c r="B310" s="4" t="s">
        <v>544</v>
      </c>
      <c r="C310" s="4" t="s">
        <v>23</v>
      </c>
      <c r="D310" s="4">
        <v>4</v>
      </c>
      <c r="E310" s="4">
        <v>25.4</v>
      </c>
      <c r="F310" s="4" t="s">
        <v>544</v>
      </c>
      <c r="G310" s="50" t="s">
        <v>511</v>
      </c>
      <c r="H310" s="4">
        <v>1519</v>
      </c>
      <c r="I310" s="51">
        <v>0.16</v>
      </c>
      <c r="J310" s="52">
        <v>0.12</v>
      </c>
      <c r="K310" s="52">
        <v>0.75</v>
      </c>
      <c r="L310" s="51">
        <v>1.4999999999999999E-2</v>
      </c>
      <c r="M310" s="51">
        <v>6.0000000000000001E-3</v>
      </c>
      <c r="N310" s="51" t="s">
        <v>631</v>
      </c>
      <c r="O310" s="51" t="s">
        <v>631</v>
      </c>
      <c r="P310" s="51" t="s">
        <v>631</v>
      </c>
      <c r="Q310" s="51">
        <v>2.5000000000000001E-2</v>
      </c>
      <c r="R310" s="51" t="s">
        <v>631</v>
      </c>
      <c r="S310" s="32" t="s">
        <v>631</v>
      </c>
      <c r="T310" s="52"/>
      <c r="U310" s="52"/>
      <c r="V310" s="52"/>
      <c r="W310" s="52"/>
      <c r="X310" s="32" t="s">
        <v>631</v>
      </c>
      <c r="Y310" s="53" t="s">
        <v>631</v>
      </c>
      <c r="Z310" s="4">
        <v>45</v>
      </c>
      <c r="AA310" s="53" t="s">
        <v>631</v>
      </c>
      <c r="AB310" s="42">
        <f>IF(J310&lt;=0.04,0,IF((BA310-AL310*BF$4*炼钢参数表!$X$5/1000-AM310*BG$4*炼钢参数表!$X$5/1000)&lt;=0.03,0,IF((J310/100/0.1769/炼钢参数表!K310*1000)&gt;(K310-炼钢参数表!J310)/100/0.6566/炼钢参数表!L310*1000,IF(K310&lt;1.6,(K310-炼钢参数表!J310)/100/0.6566/炼钢参数表!L310*1000,(K310-0.08-炼钢参数表!J310)/100/0.6566/炼钢参数表!L310*1000),IF(K310&lt;1.6,J310/100/0.1769/炼钢参数表!K310*1000,(J310-0.08)/100/0.1769/炼钢参数表!K310*1000))))</f>
        <v>8.47936687394008</v>
      </c>
      <c r="AC310" s="8">
        <f>IF((BA310-AB310*$BB$4*0.9/1000-AL310*BF$4*炼钢参数表!$X$5/1000-AM310*BG$4*炼钢参数表!$X$5/1000)&lt;(K310-炼钢参数表!J310-AB310*0.6566*炼钢参数表!L310/10)*0.082,0,(K310-炼钢参数表!J310-AB310*0.6566*炼钢参数表!L310/10)/100/($AC$3/100)/炼钢参数表!L310*1000)</f>
        <v>1.07281224609119</v>
      </c>
      <c r="AD310" s="8">
        <f>IF((BA310-AB310*$BB$4*0.9/1000-AC310*$BC$4*0.9/1000-AL310*BF$4*炼钢参数表!$X$5/1000-AM310*BG$4*炼钢参数表!$X$5/1000)&lt;=(K310-炼钢参数表!J310-AB310*0.6566*炼钢参数表!L310/10-AC310*($AC$3/100)*炼钢参数表!L310/10)*0.02,0,((K310-炼钢参数表!J310-AB310*0.6566*炼钢参数表!L310/10-AC310*($AC$3/100)*炼钢参数表!L310/10)/100/($AD$3/100)/炼钢参数表!L310*1000))</f>
        <v>0</v>
      </c>
      <c r="AE310" s="8">
        <f>(K310-炼钢参数表!J310-AB310*0.6566*炼钢参数表!L310/10-AC310*($AC$3/100)*炼钢参数表!L310/10-AD310*($AD$3/100)*炼钢参数表!L310/10)/100/($AE$3/100)/炼钢参数表!L310*1000</f>
        <v>0</v>
      </c>
      <c r="AF310" s="8">
        <v>0</v>
      </c>
      <c r="AG310" s="8">
        <f>IF(J310&lt;=0.04,0,((J310-(AB310*0.1769*炼钢参数表!K310/1000*100))/100/炼钢参数表!K310/($AG$3/100)*1000))</f>
        <v>0</v>
      </c>
      <c r="AH310" s="8">
        <v>1.33</v>
      </c>
      <c r="AI310" s="8">
        <f>IF(N310="",0,IF(N310&lt;=0.002,0,((N310)/100)/($AI$3/100)/炼钢参数表!M310*1000))</f>
        <v>0</v>
      </c>
      <c r="AJ310" s="8">
        <f>IF(O310="",0,IF(O310&lt;=0.002,0,((O310)/100)/($AJ$3/100)/炼钢参数表!N310*1000))</f>
        <v>0</v>
      </c>
      <c r="AK310" s="8">
        <f>IF(P310="",0,IF(P310&lt;=0.002,0,((P310+0.005)/100)/($AK$3/100)/炼钢参数表!O310*1000))</f>
        <v>0</v>
      </c>
      <c r="AL310" s="8">
        <f>IF((BA310-J310*0.00003-K310*0.00024)&lt;=0.05,0,IF(T310="",0,IF(T310&lt;=0.03,0,IF(((BA310-J310*0.00003-K310*0.00024)-0.05)/0.18/100/($AL$3/100)/炼钢参数表!P310*1000&lt;=T310/100/($AL$3/100)/炼钢参数表!P310*1000,((BA310-J310*0.00003-K310*0.00024)-0.05)/0.18/100/($AL$3/100)/炼钢参数表!P310*1000,T310/100/($AL$3/100)/炼钢参数表!P310*1000))))</f>
        <v>0</v>
      </c>
      <c r="AM310" s="8">
        <f>IF(T310="",0,IF(T310&lt;=0.03,0,((T310-AL310*($AL$3/100)*炼钢参数表!P310/10)/100/($AM$3/100)/炼钢参数表!P310*1000)))</f>
        <v>0</v>
      </c>
      <c r="AN310" s="8">
        <f>IF(U310="",0,IF(U310&lt;=0.02,0,(U310/100)/($AN$3/100)/炼钢参数表!Q310*1000))</f>
        <v>0</v>
      </c>
      <c r="AO310" s="8">
        <f>IF(V310="",0,IF(V310&lt;=0.02,0,(V310/100)/($AO$3/100)/炼钢参数表!R310*1000))</f>
        <v>0</v>
      </c>
      <c r="AP310" s="8">
        <f>IF(W310="",0,IF(W310&lt;=0.02,0,(W310/100)/($AP$3/100)/炼钢参数表!S310*1000))</f>
        <v>0</v>
      </c>
      <c r="AQ310" s="8">
        <f>IF(X310="",0,IF(X310&lt;=0.0002,0,(X310/100)/($AQ$3/100)/炼钢参数表!T310*1000))</f>
        <v>0</v>
      </c>
      <c r="AR310" s="8">
        <f>IF(Y310="",0,IF(Y310&lt;=0.02,0,(Y310/100)/($AR$3/100)/炼钢参数表!U310*1000))</f>
        <v>0</v>
      </c>
      <c r="AS310" s="8">
        <f>IF(L310&lt;=0.04,0,((L310-0.04)/100)/($AS$3/100)/炼钢参数表!V310*1000)</f>
        <v>0</v>
      </c>
      <c r="AT310" s="8">
        <f>IF(M310&lt;=0.03,0,((M310-0.03)/100)/($AT$3/100)/炼钢参数表!W310*1000)</f>
        <v>0</v>
      </c>
      <c r="AU310" s="6"/>
      <c r="AV310" s="8">
        <f t="shared" si="58"/>
        <v>10.882179120031299</v>
      </c>
      <c r="AW310" s="8" cm="1">
        <f t="array" ref="AW310">SUMPRODUCT($AB$4:$AU$4,AB310:AU310)/1000</f>
        <v>82.191465998279199</v>
      </c>
      <c r="AY310" s="2" t="str">
        <f t="shared" si="59"/>
        <v>NV B</v>
      </c>
      <c r="AZ310" s="37">
        <f>VLOOKUP(AY310,炼钢参数表!$F$5:$J$1027,4,0)</f>
        <v>7.3384615384615395E-2</v>
      </c>
      <c r="BA310" s="37">
        <f t="shared" si="60"/>
        <v>8.6615384615384594E-2</v>
      </c>
      <c r="BB310" s="37">
        <f>AB310*$BB$4*炼钢参数表!$X$5/1000</f>
        <v>1.31260599208592E-2</v>
      </c>
      <c r="BC310" s="37">
        <f>AC310*$BC$4*炼钢参数表!$X$5/1000</f>
        <v>6.4594025337150604E-3</v>
      </c>
      <c r="BD310" s="37">
        <f>AD310*$BD$4*炼钢参数表!$X$5/1000</f>
        <v>0</v>
      </c>
      <c r="BE310" s="37">
        <f>AE310*$BE$4*炼钢参数表!$X$5/1000</f>
        <v>0</v>
      </c>
      <c r="BF310" s="37">
        <f>AL310*$BF$4*炼钢参数表!$X$5/1000</f>
        <v>0</v>
      </c>
      <c r="BG310" s="37">
        <f>AM310*$BG$4*炼钢参数表!$X$5/1000</f>
        <v>0</v>
      </c>
      <c r="BH310" s="37">
        <f t="shared" si="61"/>
        <v>1.95854624545743E-2</v>
      </c>
      <c r="BI310" s="37">
        <f t="shared" si="62"/>
        <v>9.2970077839189702E-2</v>
      </c>
      <c r="BJ310" s="37">
        <f t="shared" si="63"/>
        <v>-6.7029922160810301E-2</v>
      </c>
      <c r="BK310" s="54"/>
      <c r="BL310" s="7"/>
    </row>
    <row r="311" spans="1:64" x14ac:dyDescent="0.3">
      <c r="A311" s="21">
        <v>303</v>
      </c>
      <c r="B311" s="4" t="s">
        <v>545</v>
      </c>
      <c r="C311" s="4" t="s">
        <v>23</v>
      </c>
      <c r="D311" s="4">
        <v>4</v>
      </c>
      <c r="E311" s="4">
        <v>12.5</v>
      </c>
      <c r="F311" s="4" t="s">
        <v>546</v>
      </c>
      <c r="G311" s="50" t="s">
        <v>511</v>
      </c>
      <c r="H311" s="4">
        <v>1521</v>
      </c>
      <c r="I311" s="51">
        <v>7.0000000000000007E-2</v>
      </c>
      <c r="J311" s="52">
        <v>0.2</v>
      </c>
      <c r="K311" s="52">
        <v>1.2</v>
      </c>
      <c r="L311" s="51">
        <v>1.4999999999999999E-2</v>
      </c>
      <c r="M311" s="51">
        <v>6.0000000000000001E-3</v>
      </c>
      <c r="N311" s="51"/>
      <c r="O311" s="51"/>
      <c r="P311" s="51"/>
      <c r="Q311" s="51">
        <v>0.03</v>
      </c>
      <c r="R311" s="51"/>
      <c r="S311" s="32">
        <v>0.01</v>
      </c>
      <c r="T311" s="52"/>
      <c r="U311" s="52"/>
      <c r="V311" s="52" t="s">
        <v>631</v>
      </c>
      <c r="W311" s="52"/>
      <c r="X311" s="32" t="s">
        <v>631</v>
      </c>
      <c r="Y311" s="53" t="s">
        <v>631</v>
      </c>
      <c r="Z311" s="4" t="s">
        <v>631</v>
      </c>
      <c r="AA311" s="104"/>
      <c r="AB311" s="42">
        <f>IF(J311&lt;=0.04,0,IF((BA311-AL311*BF$4*炼钢参数表!$X$5/1000-AM311*BG$4*炼钢参数表!$X$5/1000)&lt;=0.03,0,IF((J311/100/0.1769/炼钢参数表!K311*1000)&gt;(K311-炼钢参数表!J311)/100/0.6566/炼钢参数表!L311*1000,IF(K311&lt;1.6,(K311-炼钢参数表!J311)/100/0.6566/炼钢参数表!L311*1000,(K311-0.08-炼钢参数表!J311)/100/0.6566/炼钢参数表!L311*1000),IF(K311&lt;1.6,J311/100/0.1769/炼钢参数表!K311*1000,(J311-0.08)/100/0.1769/炼钢参数表!K311*1000))))</f>
        <v>0</v>
      </c>
      <c r="AC311" s="8">
        <f>IF((BA311-AB311*$BB$4*0.9/1000-AL311*BF$4*炼钢参数表!$X$5/1000-AM311*BG$4*炼钢参数表!$X$5/1000)&lt;(K311-炼钢参数表!J311-AB311*0.6566*炼钢参数表!L311/10)*0.082,0,(K311-炼钢参数表!J311-AB311*0.6566*炼钢参数表!L311/10)/100/($AC$3/100)/炼钢参数表!L311*1000)</f>
        <v>0</v>
      </c>
      <c r="AD311" s="8">
        <f>IF((BA311-AB311*$BB$4*0.9/1000-AC311*$BC$4*0.9/1000-AL311*BF$4*炼钢参数表!$X$5/1000-AM311*BG$4*炼钢参数表!$X$5/1000)&lt;=(K311-炼钢参数表!J311-AB311*0.6566*炼钢参数表!L311/10-AC311*($AC$3/100)*炼钢参数表!L311/10)*0.02,0,((K311-炼钢参数表!J311-AB311*0.6566*炼钢参数表!L311/10-AC311*($AC$3/100)*炼钢参数表!L311/10)/100/($AD$3/100)/炼钢参数表!L311*1000))</f>
        <v>14.358557275724101</v>
      </c>
      <c r="AE311" s="8">
        <f>(K311-炼钢参数表!J311-AB311*0.6566*炼钢参数表!L311/10-AC311*($AC$3/100)*炼钢参数表!L311/10-AD311*($AD$3/100)*炼钢参数表!L311/10)/100/($AE$3/100)/炼钢参数表!L311*1000</f>
        <v>0</v>
      </c>
      <c r="AF311" s="8">
        <v>0</v>
      </c>
      <c r="AG311" s="8">
        <f>IF(J311&lt;=0.04,0,((J311-(AB311*0.1769*炼钢参数表!K311/1000*100))/100/炼钢参数表!K311/($AG$3/100)*1000))</f>
        <v>3.4611657206147002</v>
      </c>
      <c r="AH311" s="8">
        <v>1.9</v>
      </c>
      <c r="AI311" s="8">
        <f>IF(N311="",0,IF(N311&lt;=0.002,0,((N311)/100)/($AI$3/100)/炼钢参数表!M311*1000))</f>
        <v>0</v>
      </c>
      <c r="AJ311" s="8">
        <f>IF(O311="",0,IF(O311&lt;=0.002,0,((O311)/100)/($AJ$3/100)/炼钢参数表!N311*1000))</f>
        <v>0</v>
      </c>
      <c r="AK311" s="8">
        <f>IF(P311="",0,IF(P311&lt;=0.002,0,((P311+0.005)/100)/($AK$3/100)/炼钢参数表!O311*1000))</f>
        <v>0</v>
      </c>
      <c r="AL311" s="8">
        <f>IF((BA311-J311*0.00003-K311*0.00024)&lt;=0.05,0,IF(T311="",0,IF(T311&lt;=0.03,0,IF(((BA311-J311*0.00003-K311*0.00024)-0.05)/0.18/100/($AL$3/100)/炼钢参数表!P311*1000&lt;=T311/100/($AL$3/100)/炼钢参数表!P311*1000,((BA311-J311*0.00003-K311*0.00024)-0.05)/0.18/100/($AL$3/100)/炼钢参数表!P311*1000,T311/100/($AL$3/100)/炼钢参数表!P311*1000))))</f>
        <v>0</v>
      </c>
      <c r="AM311" s="8">
        <f>IF(T311="",0,IF(T311&lt;=0.03,0,((T311-AL311*($AL$3/100)*炼钢参数表!P311/10)/100/($AM$3/100)/炼钢参数表!P311*1000)))</f>
        <v>0</v>
      </c>
      <c r="AN311" s="8">
        <f>IF(U311="",0,IF(U311&lt;=0.02,0,(U311/100)/($AN$3/100)/炼钢参数表!Q311*1000))</f>
        <v>0</v>
      </c>
      <c r="AO311" s="8">
        <f>IF(V311="",0,IF(V311&lt;=0.02,0,(V311/100)/($AO$3/100)/炼钢参数表!R311*1000))</f>
        <v>0</v>
      </c>
      <c r="AP311" s="8">
        <f>IF(W311="",0,IF(W311&lt;=0.02,0,(W311/100)/($AP$3/100)/炼钢参数表!S311*1000))</f>
        <v>0</v>
      </c>
      <c r="AQ311" s="8">
        <f>IF(X311="",0,IF(X311&lt;=0.0002,0,(X311/100)/($AQ$3/100)/炼钢参数表!T311*1000))</f>
        <v>0</v>
      </c>
      <c r="AR311" s="8">
        <f>IF(Y311="",0,IF(Y311&lt;=0.02,0,(Y311/100)/($AR$3/100)/炼钢参数表!U311*1000))</f>
        <v>0</v>
      </c>
      <c r="AS311" s="8">
        <f>IF(L311&lt;=0.04,0,((L311-0.04)/100)/($AS$3/100)/炼钢参数表!V311*1000)</f>
        <v>0</v>
      </c>
      <c r="AT311" s="8">
        <f>IF(M311&lt;=0.03,0,((M311-0.03)/100)/($AT$3/100)/炼钢参数表!W311*1000)</f>
        <v>0</v>
      </c>
      <c r="AU311" s="6"/>
      <c r="AV311" s="8">
        <f t="shared" si="58"/>
        <v>19.719722996338799</v>
      </c>
      <c r="AW311" s="8" cm="1">
        <f t="array" ref="AW311">SUMPRODUCT($AB$4:$AU$4,AB311:AU311)/1000</f>
        <v>171.382591970135</v>
      </c>
      <c r="AY311" s="2" t="str">
        <f t="shared" si="59"/>
        <v>NV A32-1</v>
      </c>
      <c r="AZ311" s="37">
        <f>VLOOKUP(AY311,炼钢参数表!$F$5:$J$1027,4,0)</f>
        <v>0.04</v>
      </c>
      <c r="BA311" s="37">
        <f t="shared" si="60"/>
        <v>0.03</v>
      </c>
      <c r="BB311" s="37">
        <f>AB311*$BB$4*炼钢参数表!$X$5/1000</f>
        <v>0</v>
      </c>
      <c r="BC311" s="37">
        <f>AC311*$BC$4*炼钢参数表!$X$5/1000</f>
        <v>0</v>
      </c>
      <c r="BD311" s="37">
        <f>AD311*$BD$4*炼钢参数表!$X$5/1000</f>
        <v>1.9384052322227601E-2</v>
      </c>
      <c r="BE311" s="37">
        <f>AE311*$BE$4*炼钢参数表!$X$5/1000</f>
        <v>0</v>
      </c>
      <c r="BF311" s="37">
        <f>AL311*$BF$4*炼钢参数表!$X$5/1000</f>
        <v>0</v>
      </c>
      <c r="BG311" s="37">
        <f>AM311*$BG$4*炼钢参数表!$X$5/1000</f>
        <v>0</v>
      </c>
      <c r="BH311" s="37">
        <f t="shared" si="61"/>
        <v>1.9384052322227601E-2</v>
      </c>
      <c r="BI311" s="37">
        <f t="shared" si="62"/>
        <v>5.9384052322227598E-2</v>
      </c>
      <c r="BJ311" s="37">
        <f t="shared" si="63"/>
        <v>-1.06159476777724E-2</v>
      </c>
      <c r="BK311" s="54"/>
      <c r="BL311" s="7"/>
    </row>
    <row r="312" spans="1:64" x14ac:dyDescent="0.3">
      <c r="A312" s="21">
        <v>304</v>
      </c>
      <c r="B312" s="4" t="s">
        <v>545</v>
      </c>
      <c r="C312" s="4" t="s">
        <v>26</v>
      </c>
      <c r="D312" s="4">
        <v>12.51</v>
      </c>
      <c r="E312" s="4">
        <v>25</v>
      </c>
      <c r="F312" s="4" t="s">
        <v>547</v>
      </c>
      <c r="G312" s="50" t="s">
        <v>511</v>
      </c>
      <c r="H312" s="4">
        <v>1521</v>
      </c>
      <c r="I312" s="51">
        <v>7.0000000000000007E-2</v>
      </c>
      <c r="J312" s="52">
        <v>0.2</v>
      </c>
      <c r="K312" s="52">
        <v>1.3</v>
      </c>
      <c r="L312" s="51">
        <v>1.4999999999999999E-2</v>
      </c>
      <c r="M312" s="51">
        <v>6.0000000000000001E-3</v>
      </c>
      <c r="N312" s="51"/>
      <c r="O312" s="51"/>
      <c r="P312" s="51"/>
      <c r="Q312" s="51">
        <v>0.03</v>
      </c>
      <c r="R312" s="51"/>
      <c r="S312" s="32">
        <v>0.01</v>
      </c>
      <c r="T312" s="52"/>
      <c r="U312" s="52"/>
      <c r="V312" s="52" t="s">
        <v>631</v>
      </c>
      <c r="W312" s="52"/>
      <c r="X312" s="32" t="s">
        <v>631</v>
      </c>
      <c r="Y312" s="53" t="s">
        <v>631</v>
      </c>
      <c r="Z312" s="4" t="s">
        <v>631</v>
      </c>
      <c r="AA312" s="104"/>
      <c r="AB312" s="42">
        <f>IF(J312&lt;=0.04,0,IF((BA312-AL312*BF$4*炼钢参数表!$X$5/1000-AM312*BG$4*炼钢参数表!$X$5/1000)&lt;=0.03,0,IF((J312/100/0.1769/炼钢参数表!K312*1000)&gt;(K312-炼钢参数表!J312)/100/0.6566/炼钢参数表!L312*1000,IF(K312&lt;1.6,(K312-炼钢参数表!J312)/100/0.6566/炼钢参数表!L312*1000,(K312-0.08-炼钢参数表!J312)/100/0.6566/炼钢参数表!L312*1000),IF(K312&lt;1.6,J312/100/0.1769/炼钢参数表!K312*1000,(J312-0.08)/100/0.1769/炼钢参数表!K312*1000))))</f>
        <v>0</v>
      </c>
      <c r="AC312" s="8">
        <f>IF((BA312-AB312*$BB$4*0.9/1000-AL312*BF$4*炼钢参数表!$X$5/1000-AM312*BG$4*炼钢参数表!$X$5/1000)&lt;(K312-炼钢参数表!J312-AB312*0.6566*炼钢参数表!L312/10)*0.082,0,(K312-炼钢参数表!J312-AB312*0.6566*炼钢参数表!L312/10)/100/($AC$3/100)/炼钢参数表!L312*1000)</f>
        <v>0</v>
      </c>
      <c r="AD312" s="8">
        <f>IF((BA312-AB312*$BB$4*0.9/1000-AC312*$BC$4*0.9/1000-AL312*BF$4*炼钢参数表!$X$5/1000-AM312*BG$4*炼钢参数表!$X$5/1000)&lt;=(K312-炼钢参数表!J312-AB312*0.6566*炼钢参数表!L312/10-AC312*($AC$3/100)*炼钢参数表!L312/10)*0.02,0,((K312-炼钢参数表!J312-AB312*0.6566*炼钢参数表!L312/10-AC312*($AC$3/100)*炼钢参数表!L312/10)/100/($AD$3/100)/炼钢参数表!L312*1000))</f>
        <v>15.655612894508399</v>
      </c>
      <c r="AE312" s="8">
        <f>(K312-炼钢参数表!J312-AB312*0.6566*炼钢参数表!L312/10-AC312*($AC$3/100)*炼钢参数表!L312/10-AD312*($AD$3/100)*炼钢参数表!L312/10)/100/($AE$3/100)/炼钢参数表!L312*1000</f>
        <v>0</v>
      </c>
      <c r="AF312" s="8">
        <v>0</v>
      </c>
      <c r="AG312" s="8">
        <f>IF(J312&lt;=0.04,0,((J312-(AB312*0.1769*炼钢参数表!K312/1000*100))/100/炼钢参数表!K312/($AG$3/100)*1000))</f>
        <v>3.4611657206147002</v>
      </c>
      <c r="AH312" s="8">
        <v>1.9</v>
      </c>
      <c r="AI312" s="8">
        <f>IF(N312="",0,IF(N312&lt;=0.002,0,((N312)/100)/($AI$3/100)/炼钢参数表!M312*1000))</f>
        <v>0</v>
      </c>
      <c r="AJ312" s="8">
        <f>IF(O312="",0,IF(O312&lt;=0.002,0,((O312)/100)/($AJ$3/100)/炼钢参数表!N312*1000))</f>
        <v>0</v>
      </c>
      <c r="AK312" s="8">
        <f>IF(P312="",0,IF(P312&lt;=0.002,0,((P312+0.005)/100)/($AK$3/100)/炼钢参数表!O312*1000))</f>
        <v>0</v>
      </c>
      <c r="AL312" s="8">
        <f>IF((BA312-J312*0.00003-K312*0.00024)&lt;=0.05,0,IF(T312="",0,IF(T312&lt;=0.03,0,IF(((BA312-J312*0.00003-K312*0.00024)-0.05)/0.18/100/($AL$3/100)/炼钢参数表!P312*1000&lt;=T312/100/($AL$3/100)/炼钢参数表!P312*1000,((BA312-J312*0.00003-K312*0.00024)-0.05)/0.18/100/($AL$3/100)/炼钢参数表!P312*1000,T312/100/($AL$3/100)/炼钢参数表!P312*1000))))</f>
        <v>0</v>
      </c>
      <c r="AM312" s="8">
        <f>IF(T312="",0,IF(T312&lt;=0.03,0,((T312-AL312*($AL$3/100)*炼钢参数表!P312/10)/100/($AM$3/100)/炼钢参数表!P312*1000)))</f>
        <v>0</v>
      </c>
      <c r="AN312" s="8">
        <f>IF(U312="",0,IF(U312&lt;=0.02,0,(U312/100)/($AN$3/100)/炼钢参数表!Q312*1000))</f>
        <v>0</v>
      </c>
      <c r="AO312" s="8">
        <f>IF(V312="",0,IF(V312&lt;=0.02,0,(V312/100)/($AO$3/100)/炼钢参数表!R312*1000))</f>
        <v>0</v>
      </c>
      <c r="AP312" s="8">
        <f>IF(W312="",0,IF(W312&lt;=0.02,0,(W312/100)/($AP$3/100)/炼钢参数表!S312*1000))</f>
        <v>0</v>
      </c>
      <c r="AQ312" s="8">
        <f>IF(X312="",0,IF(X312&lt;=0.0002,0,(X312/100)/($AQ$3/100)/炼钢参数表!T312*1000))</f>
        <v>0</v>
      </c>
      <c r="AR312" s="8">
        <f>IF(Y312="",0,IF(Y312&lt;=0.02,0,(Y312/100)/($AR$3/100)/炼钢参数表!U312*1000))</f>
        <v>0</v>
      </c>
      <c r="AS312" s="8">
        <f>IF(L312&lt;=0.04,0,((L312-0.04)/100)/($AS$3/100)/炼钢参数表!V312*1000)</f>
        <v>0</v>
      </c>
      <c r="AT312" s="8">
        <f>IF(M312&lt;=0.03,0,((M312-0.03)/100)/($AT$3/100)/炼钢参数表!W312*1000)</f>
        <v>0</v>
      </c>
      <c r="AU312" s="6"/>
      <c r="AV312" s="8">
        <f t="shared" si="58"/>
        <v>21.016778615123201</v>
      </c>
      <c r="AW312" s="8" cm="1">
        <f t="array" ref="AW312">SUMPRODUCT($AB$4:$AU$4,AB312:AU312)/1000</f>
        <v>181.40894668702001</v>
      </c>
      <c r="AY312" s="2" t="str">
        <f t="shared" si="59"/>
        <v>NV A32-2</v>
      </c>
      <c r="AZ312" s="37">
        <f>VLOOKUP(AY312,炼钢参数表!$F$5:$J$1027,4,0)</f>
        <v>4.3999999999999997E-2</v>
      </c>
      <c r="BA312" s="37">
        <f t="shared" si="60"/>
        <v>2.5999999999999999E-2</v>
      </c>
      <c r="BB312" s="37">
        <f>AB312*$BB$4*炼钢参数表!$X$5/1000</f>
        <v>0</v>
      </c>
      <c r="BC312" s="37">
        <f>AC312*$BC$4*炼钢参数表!$X$5/1000</f>
        <v>0</v>
      </c>
      <c r="BD312" s="37">
        <f>AD312*$BD$4*炼钢参数表!$X$5/1000</f>
        <v>2.1135077407586401E-2</v>
      </c>
      <c r="BE312" s="37">
        <f>AE312*$BE$4*炼钢参数表!$X$5/1000</f>
        <v>0</v>
      </c>
      <c r="BF312" s="37">
        <f>AL312*$BF$4*炼钢参数表!$X$5/1000</f>
        <v>0</v>
      </c>
      <c r="BG312" s="37">
        <f>AM312*$BG$4*炼钢参数表!$X$5/1000</f>
        <v>0</v>
      </c>
      <c r="BH312" s="37">
        <f t="shared" si="61"/>
        <v>2.1135077407586401E-2</v>
      </c>
      <c r="BI312" s="37">
        <f t="shared" si="62"/>
        <v>6.5135077407586395E-2</v>
      </c>
      <c r="BJ312" s="37">
        <f t="shared" si="63"/>
        <v>-4.8649225924136102E-3</v>
      </c>
      <c r="BK312" s="54"/>
      <c r="BL312" s="7"/>
    </row>
    <row r="313" spans="1:64" x14ac:dyDescent="0.3">
      <c r="A313" s="21">
        <v>305</v>
      </c>
      <c r="B313" s="4" t="s">
        <v>548</v>
      </c>
      <c r="C313" s="4" t="s">
        <v>23</v>
      </c>
      <c r="D313" s="4">
        <v>4</v>
      </c>
      <c r="E313" s="4">
        <v>12.5</v>
      </c>
      <c r="F313" s="4" t="s">
        <v>549</v>
      </c>
      <c r="G313" s="50" t="s">
        <v>511</v>
      </c>
      <c r="H313" s="4">
        <v>1521</v>
      </c>
      <c r="I313" s="51">
        <v>7.0000000000000007E-2</v>
      </c>
      <c r="J313" s="52">
        <v>0.12</v>
      </c>
      <c r="K313" s="52">
        <v>1.3</v>
      </c>
      <c r="L313" s="51">
        <v>1.4999999999999999E-2</v>
      </c>
      <c r="M313" s="51">
        <v>6.0000000000000001E-3</v>
      </c>
      <c r="N313" s="51"/>
      <c r="O313" s="51">
        <v>3.5000000000000003E-2</v>
      </c>
      <c r="P313" s="51">
        <v>0.01</v>
      </c>
      <c r="Q313" s="51">
        <v>0.03</v>
      </c>
      <c r="R313" s="51" t="s">
        <v>631</v>
      </c>
      <c r="S313" s="32"/>
      <c r="T313" s="52"/>
      <c r="U313" s="52"/>
      <c r="V313" s="52"/>
      <c r="W313" s="52"/>
      <c r="X313" s="32"/>
      <c r="Y313" s="53" t="s">
        <v>631</v>
      </c>
      <c r="Z313" s="4">
        <v>50</v>
      </c>
      <c r="AA313" s="53"/>
      <c r="AB313" s="42">
        <f>IF(J313&lt;=0.04,0,IF((BA313-AL313*BF$4*炼钢参数表!$X$5/1000-AM313*BG$4*炼钢参数表!$X$5/1000)&lt;=0.03,0,IF((J313/100/0.1769/炼钢参数表!K313*1000)&gt;(K313-炼钢参数表!J313)/100/0.6566/炼钢参数表!L313*1000,IF(K313&lt;1.6,(K313-炼钢参数表!J313)/100/0.6566/炼钢参数表!L313*1000,(K313-0.08-炼钢参数表!J313)/100/0.6566/炼钢参数表!L313*1000),IF(K313&lt;1.6,J313/100/0.1769/炼钢参数表!K313*1000,(J313-0.08)/100/0.1769/炼钢参数表!K313*1000))))</f>
        <v>0</v>
      </c>
      <c r="AC313" s="8">
        <f>IF((BA313-AB313*$BB$4*0.9/1000-AL313*BF$4*炼钢参数表!$X$5/1000-AM313*BG$4*炼钢参数表!$X$5/1000)&lt;(K313-炼钢参数表!J313-AB313*0.6566*炼钢参数表!L313/10)*0.082,0,(K313-炼钢参数表!J313-AB313*0.6566*炼钢参数表!L313/10)/100/($AC$3/100)/炼钢参数表!L313*1000)</f>
        <v>0</v>
      </c>
      <c r="AD313" s="8">
        <f>IF((BA313-AB313*$BB$4*0.9/1000-AC313*$BC$4*0.9/1000-AL313*BF$4*炼钢参数表!$X$5/1000-AM313*BG$4*炼钢参数表!$X$5/1000)&lt;=(K313-炼钢参数表!J313-AB313*0.6566*炼钢参数表!L313/10-AC313*($AC$3/100)*炼钢参数表!L313/10)*0.02,0,((K313-炼钢参数表!J313-AB313*0.6566*炼钢参数表!L313/10-AC313*($AC$3/100)*炼钢参数表!L313/10)/100/($AD$3/100)/炼钢参数表!L313*1000))</f>
        <v>15.728841713781099</v>
      </c>
      <c r="AE313" s="8">
        <f>(K313-炼钢参数表!J313-AB313*0.6566*炼钢参数表!L313/10-AC313*($AC$3/100)*炼钢参数表!L313/10-AD313*($AD$3/100)*炼钢参数表!L313/10)/100/($AE$3/100)/炼钢参数表!L313*1000</f>
        <v>0</v>
      </c>
      <c r="AF313" s="8">
        <v>0</v>
      </c>
      <c r="AG313" s="8">
        <f>IF(J313&lt;=0.04,0,((J313-(AB313*0.1769*炼钢参数表!K313/1000*100))/100/炼钢参数表!K313/($AG$3/100)*1000))</f>
        <v>2.0766994323688199</v>
      </c>
      <c r="AH313" s="8">
        <v>1.9</v>
      </c>
      <c r="AI313" s="8">
        <f>IF(N313="",0,IF(N313&lt;=0.002,0,((N313)/100)/($AI$3/100)/炼钢参数表!M313*1000))</f>
        <v>0</v>
      </c>
      <c r="AJ313" s="8">
        <f>IF(O313="",0,IF(O313&lt;=0.002,0,((O313)/100)/($AJ$3/100)/炼钢参数表!N313*1000))</f>
        <v>0.54911263398348298</v>
      </c>
      <c r="AK313" s="8">
        <f>IF(P313="",0,IF(P313&lt;=0.002,0,((P313+0.005)/100)/($AK$3/100)/炼钢参数表!O313*1000))</f>
        <v>0.29936534546760901</v>
      </c>
      <c r="AL313" s="8">
        <f>IF((BA313-J313*0.00003-K313*0.00024)&lt;=0.05,0,IF(T313="",0,IF(T313&lt;=0.03,0,IF(((BA313-J313*0.00003-K313*0.00024)-0.05)/0.18/100/($AL$3/100)/炼钢参数表!P313*1000&lt;=T313/100/($AL$3/100)/炼钢参数表!P313*1000,((BA313-J313*0.00003-K313*0.00024)-0.05)/0.18/100/($AL$3/100)/炼钢参数表!P313*1000,T313/100/($AL$3/100)/炼钢参数表!P313*1000))))</f>
        <v>0</v>
      </c>
      <c r="AM313" s="8">
        <f>IF(T313="",0,IF(T313&lt;=0.03,0,((T313-AL313*($AL$3/100)*炼钢参数表!P313/10)/100/($AM$3/100)/炼钢参数表!P313*1000)))</f>
        <v>0</v>
      </c>
      <c r="AN313" s="8">
        <f>IF(U313="",0,IF(U313&lt;=0.02,0,(U313/100)/($AN$3/100)/炼钢参数表!Q313*1000))</f>
        <v>0</v>
      </c>
      <c r="AO313" s="8">
        <f>IF(V313="",0,IF(V313&lt;=0.02,0,(V313/100)/($AO$3/100)/炼钢参数表!R313*1000))</f>
        <v>0</v>
      </c>
      <c r="AP313" s="8">
        <f>IF(W313="",0,IF(W313&lt;=0.02,0,(W313/100)/($AP$3/100)/炼钢参数表!S313*1000))</f>
        <v>0</v>
      </c>
      <c r="AQ313" s="8">
        <f>IF(X313="",0,IF(X313&lt;=0.0002,0,(X313/100)/($AQ$3/100)/炼钢参数表!T313*1000))</f>
        <v>0</v>
      </c>
      <c r="AR313" s="8">
        <f>IF(Y313="",0,IF(Y313&lt;=0.02,0,(Y313/100)/($AR$3/100)/炼钢参数表!U313*1000))</f>
        <v>0</v>
      </c>
      <c r="AS313" s="8">
        <f>IF(L313&lt;=0.04,0,((L313-0.04)/100)/($AS$3/100)/炼钢参数表!V313*1000)</f>
        <v>0</v>
      </c>
      <c r="AT313" s="8">
        <f>IF(M313&lt;=0.03,0,((M313-0.03)/100)/($AT$3/100)/炼钢参数表!W313*1000)</f>
        <v>0</v>
      </c>
      <c r="AU313" s="6"/>
      <c r="AV313" s="8">
        <f t="shared" si="58"/>
        <v>20.554019125601101</v>
      </c>
      <c r="AW313" s="8" cm="1">
        <f t="array" ref="AW313">SUMPRODUCT($AB$4:$AU$4,AB313:AU313)/1000</f>
        <v>300.26709357168897</v>
      </c>
      <c r="AY313" s="2" t="str">
        <f t="shared" si="59"/>
        <v>NV A36-1</v>
      </c>
      <c r="AZ313" s="37">
        <f>VLOOKUP(AY313,炼钢参数表!$F$5:$J$1027,4,0)</f>
        <v>4.2963636363636398E-2</v>
      </c>
      <c r="BA313" s="37">
        <f t="shared" si="60"/>
        <v>2.7036363636363601E-2</v>
      </c>
      <c r="BB313" s="37">
        <f>AB313*$BB$4*炼钢参数表!$X$5/1000</f>
        <v>0</v>
      </c>
      <c r="BC313" s="37">
        <f>AC313*$BC$4*炼钢参数表!$X$5/1000</f>
        <v>0</v>
      </c>
      <c r="BD313" s="37">
        <f>AD313*$BD$4*炼钢参数表!$X$5/1000</f>
        <v>2.1233936313604498E-2</v>
      </c>
      <c r="BE313" s="37">
        <f>AE313*$BE$4*炼钢参数表!$X$5/1000</f>
        <v>0</v>
      </c>
      <c r="BF313" s="37">
        <f>AL313*$BF$4*炼钢参数表!$X$5/1000</f>
        <v>0</v>
      </c>
      <c r="BG313" s="37">
        <f>AM313*$BG$4*炼钢参数表!$X$5/1000</f>
        <v>0</v>
      </c>
      <c r="BH313" s="37">
        <f t="shared" si="61"/>
        <v>2.1233936313604498E-2</v>
      </c>
      <c r="BI313" s="37">
        <f t="shared" si="62"/>
        <v>6.4197572677240897E-2</v>
      </c>
      <c r="BJ313" s="37">
        <f t="shared" si="63"/>
        <v>-5.8024273227590701E-3</v>
      </c>
      <c r="BK313" s="54"/>
      <c r="BL313" s="7"/>
    </row>
    <row r="314" spans="1:64" x14ac:dyDescent="0.3">
      <c r="A314" s="21">
        <v>306</v>
      </c>
      <c r="B314" s="4" t="s">
        <v>548</v>
      </c>
      <c r="C314" s="4" t="s">
        <v>26</v>
      </c>
      <c r="D314" s="4">
        <v>12.51</v>
      </c>
      <c r="E314" s="4">
        <v>25</v>
      </c>
      <c r="F314" s="4" t="s">
        <v>550</v>
      </c>
      <c r="G314" s="50" t="s">
        <v>511</v>
      </c>
      <c r="H314" s="4">
        <v>1522</v>
      </c>
      <c r="I314" s="51">
        <v>7.0000000000000007E-2</v>
      </c>
      <c r="J314" s="52">
        <v>0.15</v>
      </c>
      <c r="K314" s="52">
        <v>1.4</v>
      </c>
      <c r="L314" s="51">
        <v>1.4999999999999999E-2</v>
      </c>
      <c r="M314" s="51">
        <v>6.0000000000000001E-3</v>
      </c>
      <c r="N314" s="51"/>
      <c r="O314" s="51">
        <v>3.5000000000000003E-2</v>
      </c>
      <c r="P314" s="51">
        <v>0.01</v>
      </c>
      <c r="Q314" s="51">
        <v>0.03</v>
      </c>
      <c r="R314" s="51" t="s">
        <v>631</v>
      </c>
      <c r="S314" s="32"/>
      <c r="T314" s="52"/>
      <c r="U314" s="52"/>
      <c r="V314" s="52"/>
      <c r="W314" s="52"/>
      <c r="X314" s="32"/>
      <c r="Y314" s="53" t="s">
        <v>631</v>
      </c>
      <c r="Z314" s="4">
        <v>50</v>
      </c>
      <c r="AA314" s="53"/>
      <c r="AB314" s="42">
        <f>IF(J314&lt;=0.04,0,IF((BA314-AL314*BF$4*炼钢参数表!$X$5/1000-AM314*BG$4*炼钢参数表!$X$5/1000)&lt;=0.03,0,IF((J314/100/0.1769/炼钢参数表!K314*1000)&gt;(K314-炼钢参数表!J314)/100/0.6566/炼钢参数表!L314*1000,IF(K314&lt;1.6,(K314-炼钢参数表!J314)/100/0.6566/炼钢参数表!L314*1000,(K314-0.08-炼钢参数表!J314)/100/0.6566/炼钢参数表!L314*1000),IF(K314&lt;1.6,J314/100/0.1769/炼钢参数表!K314*1000,(J314-0.08)/100/0.1769/炼钢参数表!K314*1000))))</f>
        <v>0</v>
      </c>
      <c r="AC314" s="8">
        <f>IF((BA314-AB314*$BB$4*0.9/1000-AL314*BF$4*炼钢参数表!$X$5/1000-AM314*BG$4*炼钢参数表!$X$5/1000)&lt;(K314-炼钢参数表!J314-AB314*0.6566*炼钢参数表!L314/10)*0.082,0,(K314-炼钢参数表!J314-AB314*0.6566*炼钢参数表!L314/10)/100/($AC$3/100)/炼钢参数表!L314*1000)</f>
        <v>0</v>
      </c>
      <c r="AD314" s="8">
        <f>IF((BA314-AB314*$BB$4*0.9/1000-AC314*$BC$4*0.9/1000-AL314*BF$4*炼钢参数表!$X$5/1000-AM314*BG$4*炼钢参数表!$X$5/1000)&lt;=(K314-炼钢参数表!J314-AB314*0.6566*炼钢参数表!L314/10-AC314*($AC$3/100)*炼钢参数表!L314/10)*0.02,0,((K314-炼钢参数表!J314-AB314*0.6566*炼钢参数表!L314/10-AC314*($AC$3/100)*炼钢参数表!L314/10)/100/($AD$3/100)/炼钢参数表!L314*1000))</f>
        <v>17.0297464108606</v>
      </c>
      <c r="AE314" s="8">
        <f>(K314-炼钢参数表!J314-AB314*0.6566*炼钢参数表!L314/10-AC314*($AC$3/100)*炼钢参数表!L314/10-AD314*($AD$3/100)*炼钢参数表!L314/10)/100/($AE$3/100)/炼钢参数表!L314*1000</f>
        <v>0</v>
      </c>
      <c r="AF314" s="8">
        <v>0</v>
      </c>
      <c r="AG314" s="8">
        <f>IF(J314&lt;=0.04,0,((J314-(AB314*0.1769*炼钢参数表!K314/1000*100))/100/炼钢参数表!K314/($AG$3/100)*1000))</f>
        <v>2.5958742904610301</v>
      </c>
      <c r="AH314" s="8">
        <v>1.9</v>
      </c>
      <c r="AI314" s="8">
        <f>IF(N314="",0,IF(N314&lt;=0.002,0,((N314)/100)/($AI$3/100)/炼钢参数表!M314*1000))</f>
        <v>0</v>
      </c>
      <c r="AJ314" s="8">
        <f>IF(O314="",0,IF(O314&lt;=0.002,0,((O314)/100)/($AJ$3/100)/炼钢参数表!N314*1000))</f>
        <v>0.54911263398348298</v>
      </c>
      <c r="AK314" s="8">
        <f>IF(P314="",0,IF(P314&lt;=0.002,0,((P314+0.005)/100)/($AK$3/100)/炼钢参数表!O314*1000))</f>
        <v>0.29936534546760901</v>
      </c>
      <c r="AL314" s="8">
        <f>IF((BA314-J314*0.00003-K314*0.00024)&lt;=0.05,0,IF(T314="",0,IF(T314&lt;=0.03,0,IF(((BA314-J314*0.00003-K314*0.00024)-0.05)/0.18/100/($AL$3/100)/炼钢参数表!P314*1000&lt;=T314/100/($AL$3/100)/炼钢参数表!P314*1000,((BA314-J314*0.00003-K314*0.00024)-0.05)/0.18/100/($AL$3/100)/炼钢参数表!P314*1000,T314/100/($AL$3/100)/炼钢参数表!P314*1000))))</f>
        <v>0</v>
      </c>
      <c r="AM314" s="8">
        <f>IF(T314="",0,IF(T314&lt;=0.03,0,((T314-AL314*($AL$3/100)*炼钢参数表!P314/10)/100/($AM$3/100)/炼钢参数表!P314*1000)))</f>
        <v>0</v>
      </c>
      <c r="AN314" s="8">
        <f>IF(U314="",0,IF(U314&lt;=0.02,0,(U314/100)/($AN$3/100)/炼钢参数表!Q314*1000))</f>
        <v>0</v>
      </c>
      <c r="AO314" s="8">
        <f>IF(V314="",0,IF(V314&lt;=0.02,0,(V314/100)/($AO$3/100)/炼钢参数表!R314*1000))</f>
        <v>0</v>
      </c>
      <c r="AP314" s="8">
        <f>IF(W314="",0,IF(W314&lt;=0.02,0,(W314/100)/($AP$3/100)/炼钢参数表!S314*1000))</f>
        <v>0</v>
      </c>
      <c r="AQ314" s="8">
        <f>IF(X314="",0,IF(X314&lt;=0.0002,0,(X314/100)/($AQ$3/100)/炼钢参数表!T314*1000))</f>
        <v>0</v>
      </c>
      <c r="AR314" s="8">
        <f>IF(Y314="",0,IF(Y314&lt;=0.02,0,(Y314/100)/($AR$3/100)/炼钢参数表!U314*1000))</f>
        <v>0</v>
      </c>
      <c r="AS314" s="8">
        <f>IF(L314&lt;=0.04,0,((L314-0.04)/100)/($AS$3/100)/炼钢参数表!V314*1000)</f>
        <v>0</v>
      </c>
      <c r="AT314" s="8">
        <f>IF(M314&lt;=0.03,0,((M314-0.03)/100)/($AT$3/100)/炼钢参数表!W314*1000)</f>
        <v>0</v>
      </c>
      <c r="AU314" s="6"/>
      <c r="AV314" s="8">
        <f t="shared" si="58"/>
        <v>22.3740986807727</v>
      </c>
      <c r="AW314" s="8" cm="1">
        <f t="array" ref="AW314">SUMPRODUCT($AB$4:$AU$4,AB314:AU314)/1000</f>
        <v>313.015560118069</v>
      </c>
      <c r="AY314" s="2" t="str">
        <f t="shared" si="59"/>
        <v>NV A36-2</v>
      </c>
      <c r="AZ314" s="37">
        <f>VLOOKUP(AY314,炼钢参数表!$F$5:$J$1027,4,0)</f>
        <v>4.1595744680851102E-2</v>
      </c>
      <c r="BA314" s="37">
        <f t="shared" si="60"/>
        <v>2.8404255319148902E-2</v>
      </c>
      <c r="BB314" s="37">
        <f>AB314*$BB$4*炼钢参数表!$X$5/1000</f>
        <v>0</v>
      </c>
      <c r="BC314" s="37">
        <f>AC314*$BC$4*炼钢参数表!$X$5/1000</f>
        <v>0</v>
      </c>
      <c r="BD314" s="37">
        <f>AD314*$BD$4*炼钢参数表!$X$5/1000</f>
        <v>2.2990157654661801E-2</v>
      </c>
      <c r="BE314" s="37">
        <f>AE314*$BE$4*炼钢参数表!$X$5/1000</f>
        <v>0</v>
      </c>
      <c r="BF314" s="37">
        <f>AL314*$BF$4*炼钢参数表!$X$5/1000</f>
        <v>0</v>
      </c>
      <c r="BG314" s="37">
        <f>AM314*$BG$4*炼钢参数表!$X$5/1000</f>
        <v>0</v>
      </c>
      <c r="BH314" s="37">
        <f t="shared" si="61"/>
        <v>2.2990157654661801E-2</v>
      </c>
      <c r="BI314" s="37">
        <f t="shared" si="62"/>
        <v>6.4585902335512896E-2</v>
      </c>
      <c r="BJ314" s="37">
        <f t="shared" si="63"/>
        <v>-5.4140976644871499E-3</v>
      </c>
      <c r="BK314" s="54"/>
      <c r="BL314" s="7"/>
    </row>
    <row r="315" spans="1:64" x14ac:dyDescent="0.3">
      <c r="A315" s="21">
        <v>307</v>
      </c>
      <c r="B315" s="4" t="s">
        <v>551</v>
      </c>
      <c r="C315" s="4" t="s">
        <v>23</v>
      </c>
      <c r="D315" s="4">
        <v>3.5</v>
      </c>
      <c r="E315" s="4">
        <v>25.4</v>
      </c>
      <c r="F315" s="4" t="s">
        <v>551</v>
      </c>
      <c r="G315" s="50" t="s">
        <v>511</v>
      </c>
      <c r="H315" s="4">
        <v>1519</v>
      </c>
      <c r="I315" s="51">
        <v>0.16</v>
      </c>
      <c r="J315" s="52">
        <v>0.1</v>
      </c>
      <c r="K315" s="52">
        <v>0.6</v>
      </c>
      <c r="L315" s="51">
        <v>0.02</v>
      </c>
      <c r="M315" s="51">
        <v>1.4999999999999999E-2</v>
      </c>
      <c r="N315" s="51" t="s">
        <v>631</v>
      </c>
      <c r="O315" s="51" t="s">
        <v>631</v>
      </c>
      <c r="P315" s="51" t="s">
        <v>631</v>
      </c>
      <c r="Q315" s="51">
        <v>2.5000000000000001E-2</v>
      </c>
      <c r="R315" s="51" t="s">
        <v>631</v>
      </c>
      <c r="S315" s="32" t="s">
        <v>631</v>
      </c>
      <c r="T315" s="52"/>
      <c r="U315" s="52"/>
      <c r="V315" s="52"/>
      <c r="W315" s="52"/>
      <c r="X315" s="32" t="s">
        <v>631</v>
      </c>
      <c r="Y315" s="53" t="s">
        <v>631</v>
      </c>
      <c r="Z315" s="4"/>
      <c r="AA315" s="53"/>
      <c r="AB315" s="42">
        <f>IF(J315&lt;=0.04,0,IF((BA315-AL315*BF$4*炼钢参数表!$X$5/1000-AM315*BG$4*炼钢参数表!$X$5/1000)&lt;=0.03,0,IF((J315/100/0.1769/炼钢参数表!K315*1000)&gt;(K315-炼钢参数表!J315)/100/0.6566/炼钢参数表!L315*1000,IF(K315&lt;1.6,(K315-炼钢参数表!J315)/100/0.6566/炼钢参数表!L315*1000,(K315-0.08-炼钢参数表!J315)/100/0.6566/炼钢参数表!L315*1000),IF(K315&lt;1.6,J315/100/0.1769/炼钢参数表!K315*1000,(J315-0.08)/100/0.1769/炼钢参数表!K315*1000))))</f>
        <v>7.0661390616167301</v>
      </c>
      <c r="AC315" s="8">
        <f>IF((BA315-AB315*$BB$4*0.9/1000-AL315*BF$4*炼钢参数表!$X$5/1000-AM315*BG$4*炼钢参数表!$X$5/1000)&lt;(K315-炼钢参数表!J315-AB315*0.6566*炼钢参数表!L315/10)*0.082,0,(K315-炼钢参数表!J315-AB315*0.6566*炼钢参数表!L315/10)/100/($AC$3/100)/炼钢参数表!L315*1000)</f>
        <v>0.24797117621331999</v>
      </c>
      <c r="AD315" s="8">
        <f>IF((BA315-AB315*$BB$4*0.9/1000-AC315*$BC$4*0.9/1000-AL315*BF$4*炼钢参数表!$X$5/1000-AM315*BG$4*炼钢参数表!$X$5/1000)&lt;=(K315-炼钢参数表!J315-AB315*0.6566*炼钢参数表!L315/10-AC315*($AC$3/100)*炼钢参数表!L315/10)*0.02,0,((K315-炼钢参数表!J315-AB315*0.6566*炼钢参数表!L315/10-AC315*($AC$3/100)*炼钢参数表!L315/10)/100/($AD$3/100)/炼钢参数表!L315*1000))</f>
        <v>0</v>
      </c>
      <c r="AE315" s="8">
        <f>(K315-炼钢参数表!J315-AB315*0.6566*炼钢参数表!L315/10-AC315*($AC$3/100)*炼钢参数表!L315/10-AD315*($AD$3/100)*炼钢参数表!L315/10)/100/($AE$3/100)/炼钢参数表!L315*1000</f>
        <v>0</v>
      </c>
      <c r="AF315" s="8">
        <v>0</v>
      </c>
      <c r="AG315" s="8">
        <f>IF(J315&lt;=0.04,0,((J315-(AB315*0.1769*炼钢参数表!K315/1000*100))/100/炼钢参数表!K315/($AG$3/100)*1000))</f>
        <v>0</v>
      </c>
      <c r="AH315" s="8">
        <v>1.33</v>
      </c>
      <c r="AI315" s="8">
        <f>IF(N315="",0,IF(N315&lt;=0.002,0,((N315)/100)/($AI$3/100)/炼钢参数表!M315*1000))</f>
        <v>0</v>
      </c>
      <c r="AJ315" s="8">
        <f>IF(O315="",0,IF(O315&lt;=0.002,0,((O315)/100)/($AJ$3/100)/炼钢参数表!N315*1000))</f>
        <v>0</v>
      </c>
      <c r="AK315" s="8">
        <f>IF(P315="",0,IF(P315&lt;=0.002,0,((P315+0.005)/100)/($AK$3/100)/炼钢参数表!O315*1000))</f>
        <v>0</v>
      </c>
      <c r="AL315" s="8">
        <f>IF((BA315-J315*0.00003-K315*0.00024)&lt;=0.05,0,IF(T315="",0,IF(T315&lt;=0.03,0,IF(((BA315-J315*0.00003-K315*0.00024)-0.05)/0.18/100/($AL$3/100)/炼钢参数表!P315*1000&lt;=T315/100/($AL$3/100)/炼钢参数表!P315*1000,((BA315-J315*0.00003-K315*0.00024)-0.05)/0.18/100/($AL$3/100)/炼钢参数表!P315*1000,T315/100/($AL$3/100)/炼钢参数表!P315*1000))))</f>
        <v>0</v>
      </c>
      <c r="AM315" s="8">
        <f>IF(T315="",0,IF(T315&lt;=0.03,0,((T315-AL315*($AL$3/100)*炼钢参数表!P315/10)/100/($AM$3/100)/炼钢参数表!P315*1000)))</f>
        <v>0</v>
      </c>
      <c r="AN315" s="8">
        <f>IF(U315="",0,IF(U315&lt;=0.02,0,(U315/100)/($AN$3/100)/炼钢参数表!Q315*1000))</f>
        <v>0</v>
      </c>
      <c r="AO315" s="8">
        <f>IF(V315="",0,IF(V315&lt;=0.02,0,(V315/100)/($AO$3/100)/炼钢参数表!R315*1000))</f>
        <v>0</v>
      </c>
      <c r="AP315" s="8">
        <f>IF(W315="",0,IF(W315&lt;=0.02,0,(W315/100)/($AP$3/100)/炼钢参数表!S315*1000))</f>
        <v>0</v>
      </c>
      <c r="AQ315" s="8">
        <f>IF(X315="",0,IF(X315&lt;=0.0002,0,(X315/100)/($AQ$3/100)/炼钢参数表!T315*1000))</f>
        <v>0</v>
      </c>
      <c r="AR315" s="8">
        <f>IF(Y315="",0,IF(Y315&lt;=0.02,0,(Y315/100)/($AR$3/100)/炼钢参数表!U315*1000))</f>
        <v>0</v>
      </c>
      <c r="AS315" s="8">
        <f>IF(L315&lt;=0.04,0,((L315-0.04)/100)/($AS$3/100)/炼钢参数表!V315*1000)</f>
        <v>0</v>
      </c>
      <c r="AT315" s="8">
        <f>IF(M315&lt;=0.03,0,((M315-0.03)/100)/($AT$3/100)/炼钢参数表!W315*1000)</f>
        <v>0</v>
      </c>
      <c r="AU315" s="6"/>
      <c r="AV315" s="8">
        <f t="shared" si="58"/>
        <v>8.6441102378300503</v>
      </c>
      <c r="AW315" s="8" cm="1">
        <f t="array" ref="AW315">SUMPRODUCT($AB$4:$AU$4,AB315:AU315)/1000</f>
        <v>69.539473965705795</v>
      </c>
      <c r="AY315" s="2" t="str">
        <f t="shared" si="59"/>
        <v>KA</v>
      </c>
      <c r="AZ315" s="37">
        <f>VLOOKUP(AY315,炼钢参数表!$F$5:$J$1027,4,0)</f>
        <v>7.4291718170581098E-2</v>
      </c>
      <c r="BA315" s="37">
        <f t="shared" si="60"/>
        <v>8.5708281829418906E-2</v>
      </c>
      <c r="BB315" s="37">
        <f>AB315*$BB$4*炼钢参数表!$X$5/1000</f>
        <v>1.09383832673827E-2</v>
      </c>
      <c r="BC315" s="37">
        <f>AC315*$BC$4*炼钢参数表!$X$5/1000</f>
        <v>1.4930344519804E-3</v>
      </c>
      <c r="BD315" s="37">
        <f>AD315*$BD$4*炼钢参数表!$X$5/1000</f>
        <v>0</v>
      </c>
      <c r="BE315" s="37">
        <f>AE315*$BE$4*炼钢参数表!$X$5/1000</f>
        <v>0</v>
      </c>
      <c r="BF315" s="37">
        <f>AL315*$BF$4*炼钢参数表!$X$5/1000</f>
        <v>0</v>
      </c>
      <c r="BG315" s="37">
        <f>AM315*$BG$4*炼钢参数表!$X$5/1000</f>
        <v>0</v>
      </c>
      <c r="BH315" s="37">
        <f t="shared" si="61"/>
        <v>1.24314177193631E-2</v>
      </c>
      <c r="BI315" s="37">
        <f t="shared" si="62"/>
        <v>8.6723135889944195E-2</v>
      </c>
      <c r="BJ315" s="37">
        <f t="shared" si="63"/>
        <v>-7.3276864110055795E-2</v>
      </c>
      <c r="BK315" s="54"/>
      <c r="BL315" s="7"/>
    </row>
    <row r="316" spans="1:64" x14ac:dyDescent="0.3">
      <c r="A316" s="21">
        <v>308</v>
      </c>
      <c r="B316" s="4" t="s">
        <v>552</v>
      </c>
      <c r="C316" s="4" t="s">
        <v>23</v>
      </c>
      <c r="D316" s="4">
        <v>4</v>
      </c>
      <c r="E316" s="4">
        <v>25.4</v>
      </c>
      <c r="F316" s="4" t="s">
        <v>552</v>
      </c>
      <c r="G316" s="50" t="s">
        <v>511</v>
      </c>
      <c r="H316" s="4">
        <v>1519</v>
      </c>
      <c r="I316" s="51">
        <v>0.16</v>
      </c>
      <c r="J316" s="52">
        <v>0.12</v>
      </c>
      <c r="K316" s="52">
        <v>0.75</v>
      </c>
      <c r="L316" s="51">
        <v>1.4999999999999999E-2</v>
      </c>
      <c r="M316" s="51">
        <v>6.0000000000000001E-3</v>
      </c>
      <c r="N316" s="51" t="s">
        <v>631</v>
      </c>
      <c r="O316" s="51" t="s">
        <v>631</v>
      </c>
      <c r="P316" s="51" t="s">
        <v>631</v>
      </c>
      <c r="Q316" s="51">
        <v>2.5000000000000001E-2</v>
      </c>
      <c r="R316" s="51" t="s">
        <v>631</v>
      </c>
      <c r="S316" s="32" t="s">
        <v>631</v>
      </c>
      <c r="T316" s="52"/>
      <c r="U316" s="52"/>
      <c r="V316" s="52"/>
      <c r="W316" s="52"/>
      <c r="X316" s="32" t="s">
        <v>631</v>
      </c>
      <c r="Y316" s="53" t="s">
        <v>631</v>
      </c>
      <c r="Z316" s="4">
        <v>45</v>
      </c>
      <c r="AA316" s="53" t="s">
        <v>631</v>
      </c>
      <c r="AB316" s="42">
        <f>IF(J316&lt;=0.04,0,IF((BA316-AL316*BF$4*炼钢参数表!$X$5/1000-AM316*BG$4*炼钢参数表!$X$5/1000)&lt;=0.03,0,IF((J316/100/0.1769/炼钢参数表!K316*1000)&gt;(K316-炼钢参数表!J316)/100/0.6566/炼钢参数表!L316*1000,IF(K316&lt;1.6,(K316-炼钢参数表!J316)/100/0.6566/炼钢参数表!L316*1000,(K316-0.08-炼钢参数表!J316)/100/0.6566/炼钢参数表!L316*1000),IF(K316&lt;1.6,J316/100/0.1769/炼钢参数表!K316*1000,(J316-0.08)/100/0.1769/炼钢参数表!K316*1000))))</f>
        <v>8.47936687394008</v>
      </c>
      <c r="AC316" s="8">
        <f>IF((BA316-AB316*$BB$4*0.9/1000-AL316*BF$4*炼钢参数表!$X$5/1000-AM316*BG$4*炼钢参数表!$X$5/1000)&lt;(K316-炼钢参数表!J316-AB316*0.6566*炼钢参数表!L316/10)*0.082,0,(K316-炼钢参数表!J316-AB316*0.6566*炼钢参数表!L316/10)/100/($AC$3/100)/炼钢参数表!L316*1000)</f>
        <v>1.07281224609119</v>
      </c>
      <c r="AD316" s="8">
        <f>IF((BA316-AB316*$BB$4*0.9/1000-AC316*$BC$4*0.9/1000-AL316*BF$4*炼钢参数表!$X$5/1000-AM316*BG$4*炼钢参数表!$X$5/1000)&lt;=(K316-炼钢参数表!J316-AB316*0.6566*炼钢参数表!L316/10-AC316*($AC$3/100)*炼钢参数表!L316/10)*0.02,0,((K316-炼钢参数表!J316-AB316*0.6566*炼钢参数表!L316/10-AC316*($AC$3/100)*炼钢参数表!L316/10)/100/($AD$3/100)/炼钢参数表!L316*1000))</f>
        <v>0</v>
      </c>
      <c r="AE316" s="8">
        <f>(K316-炼钢参数表!J316-AB316*0.6566*炼钢参数表!L316/10-AC316*($AC$3/100)*炼钢参数表!L316/10-AD316*($AD$3/100)*炼钢参数表!L316/10)/100/($AE$3/100)/炼钢参数表!L316*1000</f>
        <v>0</v>
      </c>
      <c r="AF316" s="8">
        <v>0</v>
      </c>
      <c r="AG316" s="8">
        <f>IF(J316&lt;=0.04,0,((J316-(AB316*0.1769*炼钢参数表!K316/1000*100))/100/炼钢参数表!K316/($AG$3/100)*1000))</f>
        <v>0</v>
      </c>
      <c r="AH316" s="8">
        <v>1.33</v>
      </c>
      <c r="AI316" s="8">
        <f>IF(N316="",0,IF(N316&lt;=0.002,0,((N316)/100)/($AI$3/100)/炼钢参数表!M316*1000))</f>
        <v>0</v>
      </c>
      <c r="AJ316" s="8">
        <f>IF(O316="",0,IF(O316&lt;=0.002,0,((O316)/100)/($AJ$3/100)/炼钢参数表!N316*1000))</f>
        <v>0</v>
      </c>
      <c r="AK316" s="8">
        <f>IF(P316="",0,IF(P316&lt;=0.002,0,((P316+0.005)/100)/($AK$3/100)/炼钢参数表!O316*1000))</f>
        <v>0</v>
      </c>
      <c r="AL316" s="8">
        <f>IF((BA316-J316*0.00003-K316*0.00024)&lt;=0.05,0,IF(T316="",0,IF(T316&lt;=0.03,0,IF(((BA316-J316*0.00003-K316*0.00024)-0.05)/0.18/100/($AL$3/100)/炼钢参数表!P316*1000&lt;=T316/100/($AL$3/100)/炼钢参数表!P316*1000,((BA316-J316*0.00003-K316*0.00024)-0.05)/0.18/100/($AL$3/100)/炼钢参数表!P316*1000,T316/100/($AL$3/100)/炼钢参数表!P316*1000))))</f>
        <v>0</v>
      </c>
      <c r="AM316" s="8">
        <f>IF(T316="",0,IF(T316&lt;=0.03,0,((T316-AL316*($AL$3/100)*炼钢参数表!P316/10)/100/($AM$3/100)/炼钢参数表!P316*1000)))</f>
        <v>0</v>
      </c>
      <c r="AN316" s="8">
        <f>IF(U316="",0,IF(U316&lt;=0.02,0,(U316/100)/($AN$3/100)/炼钢参数表!Q316*1000))</f>
        <v>0</v>
      </c>
      <c r="AO316" s="8">
        <f>IF(V316="",0,IF(V316&lt;=0.02,0,(V316/100)/($AO$3/100)/炼钢参数表!R316*1000))</f>
        <v>0</v>
      </c>
      <c r="AP316" s="8">
        <f>IF(W316="",0,IF(W316&lt;=0.02,0,(W316/100)/($AP$3/100)/炼钢参数表!S316*1000))</f>
        <v>0</v>
      </c>
      <c r="AQ316" s="8">
        <f>IF(X316="",0,IF(X316&lt;=0.0002,0,(X316/100)/($AQ$3/100)/炼钢参数表!T316*1000))</f>
        <v>0</v>
      </c>
      <c r="AR316" s="8">
        <f>IF(Y316="",0,IF(Y316&lt;=0.02,0,(Y316/100)/($AR$3/100)/炼钢参数表!U316*1000))</f>
        <v>0</v>
      </c>
      <c r="AS316" s="8">
        <f>IF(L316&lt;=0.04,0,((L316-0.04)/100)/($AS$3/100)/炼钢参数表!V316*1000)</f>
        <v>0</v>
      </c>
      <c r="AT316" s="8">
        <f>IF(M316&lt;=0.03,0,((M316-0.03)/100)/($AT$3/100)/炼钢参数表!W316*1000)</f>
        <v>0</v>
      </c>
      <c r="AU316" s="6"/>
      <c r="AV316" s="8">
        <f t="shared" si="58"/>
        <v>10.882179120031299</v>
      </c>
      <c r="AW316" s="8" cm="1">
        <f t="array" ref="AW316">SUMPRODUCT($AB$4:$AU$4,AB316:AU316)/1000</f>
        <v>82.191465998279199</v>
      </c>
      <c r="AY316" s="2" t="str">
        <f t="shared" si="59"/>
        <v>KB</v>
      </c>
      <c r="AZ316" s="37">
        <f>VLOOKUP(AY316,炼钢参数表!$F$5:$J$1027,4,0)</f>
        <v>7.3384615384615395E-2</v>
      </c>
      <c r="BA316" s="37">
        <f t="shared" si="60"/>
        <v>8.6615384615384594E-2</v>
      </c>
      <c r="BB316" s="37">
        <f>AB316*$BB$4*炼钢参数表!$X$5/1000</f>
        <v>1.31260599208592E-2</v>
      </c>
      <c r="BC316" s="37">
        <f>AC316*$BC$4*炼钢参数表!$X$5/1000</f>
        <v>6.4594025337150604E-3</v>
      </c>
      <c r="BD316" s="37">
        <f>AD316*$BD$4*炼钢参数表!$X$5/1000</f>
        <v>0</v>
      </c>
      <c r="BE316" s="37">
        <f>AE316*$BE$4*炼钢参数表!$X$5/1000</f>
        <v>0</v>
      </c>
      <c r="BF316" s="37">
        <f>AL316*$BF$4*炼钢参数表!$X$5/1000</f>
        <v>0</v>
      </c>
      <c r="BG316" s="37">
        <f>AM316*$BG$4*炼钢参数表!$X$5/1000</f>
        <v>0</v>
      </c>
      <c r="BH316" s="37">
        <f t="shared" si="61"/>
        <v>1.95854624545743E-2</v>
      </c>
      <c r="BI316" s="37">
        <f t="shared" si="62"/>
        <v>9.2970077839189702E-2</v>
      </c>
      <c r="BJ316" s="37">
        <f t="shared" si="63"/>
        <v>-6.7029922160810301E-2</v>
      </c>
      <c r="BK316" s="54"/>
      <c r="BL316" s="7"/>
    </row>
    <row r="317" spans="1:64" x14ac:dyDescent="0.3">
      <c r="A317" s="21">
        <v>309</v>
      </c>
      <c r="B317" s="4" t="s">
        <v>553</v>
      </c>
      <c r="C317" s="4" t="s">
        <v>23</v>
      </c>
      <c r="D317" s="4">
        <v>4</v>
      </c>
      <c r="E317" s="4">
        <v>12.5</v>
      </c>
      <c r="F317" s="4" t="s">
        <v>554</v>
      </c>
      <c r="G317" s="50" t="s">
        <v>511</v>
      </c>
      <c r="H317" s="4">
        <v>1521</v>
      </c>
      <c r="I317" s="51">
        <v>7.0000000000000007E-2</v>
      </c>
      <c r="J317" s="52">
        <v>0.2</v>
      </c>
      <c r="K317" s="52">
        <v>1.2</v>
      </c>
      <c r="L317" s="51">
        <v>1.4999999999999999E-2</v>
      </c>
      <c r="M317" s="51">
        <v>6.0000000000000001E-3</v>
      </c>
      <c r="N317" s="51"/>
      <c r="O317" s="51"/>
      <c r="P317" s="51"/>
      <c r="Q317" s="51">
        <v>0.03</v>
      </c>
      <c r="R317" s="51"/>
      <c r="S317" s="32">
        <v>0.01</v>
      </c>
      <c r="T317" s="52"/>
      <c r="U317" s="52"/>
      <c r="V317" s="52" t="s">
        <v>631</v>
      </c>
      <c r="W317" s="52"/>
      <c r="X317" s="32" t="s">
        <v>631</v>
      </c>
      <c r="Y317" s="53" t="s">
        <v>631</v>
      </c>
      <c r="Z317" s="4" t="s">
        <v>631</v>
      </c>
      <c r="AA317" s="104"/>
      <c r="AB317" s="42">
        <f>IF(J317&lt;=0.04,0,IF((BA317-AL317*BF$4*炼钢参数表!$X$5/1000-AM317*BG$4*炼钢参数表!$X$5/1000)&lt;=0.03,0,IF((J317/100/0.1769/炼钢参数表!K317*1000)&gt;(K317-炼钢参数表!J317)/100/0.6566/炼钢参数表!L317*1000,IF(K317&lt;1.6,(K317-炼钢参数表!J317)/100/0.6566/炼钢参数表!L317*1000,(K317-0.08-炼钢参数表!J317)/100/0.6566/炼钢参数表!L317*1000),IF(K317&lt;1.6,J317/100/0.1769/炼钢参数表!K317*1000,(J317-0.08)/100/0.1769/炼钢参数表!K317*1000))))</f>
        <v>0</v>
      </c>
      <c r="AC317" s="8">
        <f>IF((BA317-AB317*$BB$4*0.9/1000-AL317*BF$4*炼钢参数表!$X$5/1000-AM317*BG$4*炼钢参数表!$X$5/1000)&lt;(K317-炼钢参数表!J317-AB317*0.6566*炼钢参数表!L317/10)*0.082,0,(K317-炼钢参数表!J317-AB317*0.6566*炼钢参数表!L317/10)/100/($AC$3/100)/炼钢参数表!L317*1000)</f>
        <v>0</v>
      </c>
      <c r="AD317" s="8">
        <f>IF((BA317-AB317*$BB$4*0.9/1000-AC317*$BC$4*0.9/1000-AL317*BF$4*炼钢参数表!$X$5/1000-AM317*BG$4*炼钢参数表!$X$5/1000)&lt;=(K317-炼钢参数表!J317-AB317*0.6566*炼钢参数表!L317/10-AC317*($AC$3/100)*炼钢参数表!L317/10)*0.02,0,((K317-炼钢参数表!J317-AB317*0.6566*炼钢参数表!L317/10-AC317*($AC$3/100)*炼钢参数表!L317/10)/100/($AD$3/100)/炼钢参数表!L317*1000))</f>
        <v>14.358557275724101</v>
      </c>
      <c r="AE317" s="8">
        <f>(K317-炼钢参数表!J317-AB317*0.6566*炼钢参数表!L317/10-AC317*($AC$3/100)*炼钢参数表!L317/10-AD317*($AD$3/100)*炼钢参数表!L317/10)/100/($AE$3/100)/炼钢参数表!L317*1000</f>
        <v>0</v>
      </c>
      <c r="AF317" s="8">
        <v>0</v>
      </c>
      <c r="AG317" s="8">
        <f>IF(J317&lt;=0.04,0,((J317-(AB317*0.1769*炼钢参数表!K317/1000*100))/100/炼钢参数表!K317/($AG$3/100)*1000))</f>
        <v>3.4611657206147002</v>
      </c>
      <c r="AH317" s="8">
        <v>1.9</v>
      </c>
      <c r="AI317" s="8">
        <f>IF(N317="",0,IF(N317&lt;=0.002,0,((N317)/100)/($AI$3/100)/炼钢参数表!M317*1000))</f>
        <v>0</v>
      </c>
      <c r="AJ317" s="8">
        <f>IF(O317="",0,IF(O317&lt;=0.002,0,((O317)/100)/($AJ$3/100)/炼钢参数表!N317*1000))</f>
        <v>0</v>
      </c>
      <c r="AK317" s="8">
        <f>IF(P317="",0,IF(P317&lt;=0.002,0,((P317+0.005)/100)/($AK$3/100)/炼钢参数表!O317*1000))</f>
        <v>0</v>
      </c>
      <c r="AL317" s="8">
        <f>IF((BA317-J317*0.00003-K317*0.00024)&lt;=0.05,0,IF(T317="",0,IF(T317&lt;=0.03,0,IF(((BA317-J317*0.00003-K317*0.00024)-0.05)/0.18/100/($AL$3/100)/炼钢参数表!P317*1000&lt;=T317/100/($AL$3/100)/炼钢参数表!P317*1000,((BA317-J317*0.00003-K317*0.00024)-0.05)/0.18/100/($AL$3/100)/炼钢参数表!P317*1000,T317/100/($AL$3/100)/炼钢参数表!P317*1000))))</f>
        <v>0</v>
      </c>
      <c r="AM317" s="8">
        <f>IF(T317="",0,IF(T317&lt;=0.03,0,((T317-AL317*($AL$3/100)*炼钢参数表!P317/10)/100/($AM$3/100)/炼钢参数表!P317*1000)))</f>
        <v>0</v>
      </c>
      <c r="AN317" s="8">
        <f>IF(U317="",0,IF(U317&lt;=0.02,0,(U317/100)/($AN$3/100)/炼钢参数表!Q317*1000))</f>
        <v>0</v>
      </c>
      <c r="AO317" s="8">
        <f>IF(V317="",0,IF(V317&lt;=0.02,0,(V317/100)/($AO$3/100)/炼钢参数表!R317*1000))</f>
        <v>0</v>
      </c>
      <c r="AP317" s="8">
        <f>IF(W317="",0,IF(W317&lt;=0.02,0,(W317/100)/($AP$3/100)/炼钢参数表!S317*1000))</f>
        <v>0</v>
      </c>
      <c r="AQ317" s="8">
        <f>IF(X317="",0,IF(X317&lt;=0.0002,0,(X317/100)/($AQ$3/100)/炼钢参数表!T317*1000))</f>
        <v>0</v>
      </c>
      <c r="AR317" s="8">
        <f>IF(Y317="",0,IF(Y317&lt;=0.02,0,(Y317/100)/($AR$3/100)/炼钢参数表!U317*1000))</f>
        <v>0</v>
      </c>
      <c r="AS317" s="8">
        <f>IF(L317&lt;=0.04,0,((L317-0.04)/100)/($AS$3/100)/炼钢参数表!V317*1000)</f>
        <v>0</v>
      </c>
      <c r="AT317" s="8">
        <f>IF(M317&lt;=0.03,0,((M317-0.03)/100)/($AT$3/100)/炼钢参数表!W317*1000)</f>
        <v>0</v>
      </c>
      <c r="AU317" s="6"/>
      <c r="AV317" s="8">
        <f t="shared" si="58"/>
        <v>19.719722996338799</v>
      </c>
      <c r="AW317" s="8" cm="1">
        <f t="array" ref="AW317">SUMPRODUCT($AB$4:$AU$4,AB317:AU317)/1000</f>
        <v>171.382591970135</v>
      </c>
      <c r="AY317" s="2" t="str">
        <f t="shared" si="59"/>
        <v>KA32-1</v>
      </c>
      <c r="AZ317" s="37">
        <f>VLOOKUP(AY317,炼钢参数表!$F$5:$J$1027,4,0)</f>
        <v>0.04</v>
      </c>
      <c r="BA317" s="37">
        <f t="shared" si="60"/>
        <v>0.03</v>
      </c>
      <c r="BB317" s="37">
        <f>AB317*$BB$4*炼钢参数表!$X$5/1000</f>
        <v>0</v>
      </c>
      <c r="BC317" s="37">
        <f>AC317*$BC$4*炼钢参数表!$X$5/1000</f>
        <v>0</v>
      </c>
      <c r="BD317" s="37">
        <f>AD317*$BD$4*炼钢参数表!$X$5/1000</f>
        <v>1.9384052322227601E-2</v>
      </c>
      <c r="BE317" s="37">
        <f>AE317*$BE$4*炼钢参数表!$X$5/1000</f>
        <v>0</v>
      </c>
      <c r="BF317" s="37">
        <f>AL317*$BF$4*炼钢参数表!$X$5/1000</f>
        <v>0</v>
      </c>
      <c r="BG317" s="37">
        <f>AM317*$BG$4*炼钢参数表!$X$5/1000</f>
        <v>0</v>
      </c>
      <c r="BH317" s="37">
        <f t="shared" si="61"/>
        <v>1.9384052322227601E-2</v>
      </c>
      <c r="BI317" s="37">
        <f t="shared" si="62"/>
        <v>5.9384052322227598E-2</v>
      </c>
      <c r="BJ317" s="37">
        <f t="shared" si="63"/>
        <v>-1.06159476777724E-2</v>
      </c>
      <c r="BK317" s="54"/>
      <c r="BL317" s="7"/>
    </row>
    <row r="318" spans="1:64" x14ac:dyDescent="0.3">
      <c r="A318" s="21">
        <v>310</v>
      </c>
      <c r="B318" s="4" t="s">
        <v>553</v>
      </c>
      <c r="C318" s="4" t="s">
        <v>26</v>
      </c>
      <c r="D318" s="4">
        <v>12.51</v>
      </c>
      <c r="E318" s="4">
        <v>25</v>
      </c>
      <c r="F318" s="4" t="s">
        <v>555</v>
      </c>
      <c r="G318" s="50" t="s">
        <v>511</v>
      </c>
      <c r="H318" s="4">
        <v>1521</v>
      </c>
      <c r="I318" s="51">
        <v>7.0000000000000007E-2</v>
      </c>
      <c r="J318" s="52">
        <v>0.2</v>
      </c>
      <c r="K318" s="52">
        <v>1.3</v>
      </c>
      <c r="L318" s="51">
        <v>1.4999999999999999E-2</v>
      </c>
      <c r="M318" s="51">
        <v>6.0000000000000001E-3</v>
      </c>
      <c r="N318" s="51"/>
      <c r="O318" s="51"/>
      <c r="P318" s="51"/>
      <c r="Q318" s="51">
        <v>0.03</v>
      </c>
      <c r="R318" s="51"/>
      <c r="S318" s="32">
        <v>0.01</v>
      </c>
      <c r="T318" s="52"/>
      <c r="U318" s="52"/>
      <c r="V318" s="52" t="s">
        <v>631</v>
      </c>
      <c r="W318" s="52"/>
      <c r="X318" s="32" t="s">
        <v>631</v>
      </c>
      <c r="Y318" s="53" t="s">
        <v>631</v>
      </c>
      <c r="Z318" s="4" t="s">
        <v>631</v>
      </c>
      <c r="AA318" s="104"/>
      <c r="AB318" s="42">
        <f>IF(J318&lt;=0.04,0,IF((BA318-AL318*BF$4*炼钢参数表!$X$5/1000-AM318*BG$4*炼钢参数表!$X$5/1000)&lt;=0.03,0,IF((J318/100/0.1769/炼钢参数表!K318*1000)&gt;(K318-炼钢参数表!J318)/100/0.6566/炼钢参数表!L318*1000,IF(K318&lt;1.6,(K318-炼钢参数表!J318)/100/0.6566/炼钢参数表!L318*1000,(K318-0.08-炼钢参数表!J318)/100/0.6566/炼钢参数表!L318*1000),IF(K318&lt;1.6,J318/100/0.1769/炼钢参数表!K318*1000,(J318-0.08)/100/0.1769/炼钢参数表!K318*1000))))</f>
        <v>0</v>
      </c>
      <c r="AC318" s="8">
        <f>IF((BA318-AB318*$BB$4*0.9/1000-AL318*BF$4*炼钢参数表!$X$5/1000-AM318*BG$4*炼钢参数表!$X$5/1000)&lt;(K318-炼钢参数表!J318-AB318*0.6566*炼钢参数表!L318/10)*0.082,0,(K318-炼钢参数表!J318-AB318*0.6566*炼钢参数表!L318/10)/100/($AC$3/100)/炼钢参数表!L318*1000)</f>
        <v>0</v>
      </c>
      <c r="AD318" s="8">
        <f>IF((BA318-AB318*$BB$4*0.9/1000-AC318*$BC$4*0.9/1000-AL318*BF$4*炼钢参数表!$X$5/1000-AM318*BG$4*炼钢参数表!$X$5/1000)&lt;=(K318-炼钢参数表!J318-AB318*0.6566*炼钢参数表!L318/10-AC318*($AC$3/100)*炼钢参数表!L318/10)*0.02,0,((K318-炼钢参数表!J318-AB318*0.6566*炼钢参数表!L318/10-AC318*($AC$3/100)*炼钢参数表!L318/10)/100/($AD$3/100)/炼钢参数表!L318*1000))</f>
        <v>15.655612894508399</v>
      </c>
      <c r="AE318" s="8">
        <f>(K318-炼钢参数表!J318-AB318*0.6566*炼钢参数表!L318/10-AC318*($AC$3/100)*炼钢参数表!L318/10-AD318*($AD$3/100)*炼钢参数表!L318/10)/100/($AE$3/100)/炼钢参数表!L318*1000</f>
        <v>0</v>
      </c>
      <c r="AF318" s="8">
        <v>0</v>
      </c>
      <c r="AG318" s="8">
        <f>IF(J318&lt;=0.04,0,((J318-(AB318*0.1769*炼钢参数表!K318/1000*100))/100/炼钢参数表!K318/($AG$3/100)*1000))</f>
        <v>3.4611657206147002</v>
      </c>
      <c r="AH318" s="8">
        <v>1.9</v>
      </c>
      <c r="AI318" s="8">
        <f>IF(N318="",0,IF(N318&lt;=0.002,0,((N318)/100)/($AI$3/100)/炼钢参数表!M318*1000))</f>
        <v>0</v>
      </c>
      <c r="AJ318" s="8">
        <f>IF(O318="",0,IF(O318&lt;=0.002,0,((O318)/100)/($AJ$3/100)/炼钢参数表!N318*1000))</f>
        <v>0</v>
      </c>
      <c r="AK318" s="8">
        <f>IF(P318="",0,IF(P318&lt;=0.002,0,((P318+0.005)/100)/($AK$3/100)/炼钢参数表!O318*1000))</f>
        <v>0</v>
      </c>
      <c r="AL318" s="8">
        <f>IF((BA318-J318*0.00003-K318*0.00024)&lt;=0.05,0,IF(T318="",0,IF(T318&lt;=0.03,0,IF(((BA318-J318*0.00003-K318*0.00024)-0.05)/0.18/100/($AL$3/100)/炼钢参数表!P318*1000&lt;=T318/100/($AL$3/100)/炼钢参数表!P318*1000,((BA318-J318*0.00003-K318*0.00024)-0.05)/0.18/100/($AL$3/100)/炼钢参数表!P318*1000,T318/100/($AL$3/100)/炼钢参数表!P318*1000))))</f>
        <v>0</v>
      </c>
      <c r="AM318" s="8">
        <f>IF(T318="",0,IF(T318&lt;=0.03,0,((T318-AL318*($AL$3/100)*炼钢参数表!P318/10)/100/($AM$3/100)/炼钢参数表!P318*1000)))</f>
        <v>0</v>
      </c>
      <c r="AN318" s="8">
        <f>IF(U318="",0,IF(U318&lt;=0.02,0,(U318/100)/($AN$3/100)/炼钢参数表!Q318*1000))</f>
        <v>0</v>
      </c>
      <c r="AO318" s="8">
        <f>IF(V318="",0,IF(V318&lt;=0.02,0,(V318/100)/($AO$3/100)/炼钢参数表!R318*1000))</f>
        <v>0</v>
      </c>
      <c r="AP318" s="8">
        <f>IF(W318="",0,IF(W318&lt;=0.02,0,(W318/100)/($AP$3/100)/炼钢参数表!S318*1000))</f>
        <v>0</v>
      </c>
      <c r="AQ318" s="8">
        <f>IF(X318="",0,IF(X318&lt;=0.0002,0,(X318/100)/($AQ$3/100)/炼钢参数表!T318*1000))</f>
        <v>0</v>
      </c>
      <c r="AR318" s="8">
        <f>IF(Y318="",0,IF(Y318&lt;=0.02,0,(Y318/100)/($AR$3/100)/炼钢参数表!U318*1000))</f>
        <v>0</v>
      </c>
      <c r="AS318" s="8">
        <f>IF(L318&lt;=0.04,0,((L318-0.04)/100)/($AS$3/100)/炼钢参数表!V318*1000)</f>
        <v>0</v>
      </c>
      <c r="AT318" s="8">
        <f>IF(M318&lt;=0.03,0,((M318-0.03)/100)/($AT$3/100)/炼钢参数表!W318*1000)</f>
        <v>0</v>
      </c>
      <c r="AU318" s="6"/>
      <c r="AV318" s="8">
        <f t="shared" si="58"/>
        <v>21.016778615123201</v>
      </c>
      <c r="AW318" s="8" cm="1">
        <f t="array" ref="AW318">SUMPRODUCT($AB$4:$AU$4,AB318:AU318)/1000</f>
        <v>181.40894668702001</v>
      </c>
      <c r="AY318" s="2" t="str">
        <f t="shared" si="59"/>
        <v>KA32-2</v>
      </c>
      <c r="AZ318" s="37">
        <f>VLOOKUP(AY318,炼钢参数表!$F$5:$J$1027,4,0)</f>
        <v>4.3999999999999997E-2</v>
      </c>
      <c r="BA318" s="37">
        <f t="shared" si="60"/>
        <v>2.5999999999999999E-2</v>
      </c>
      <c r="BB318" s="37">
        <f>AB318*$BB$4*炼钢参数表!$X$5/1000</f>
        <v>0</v>
      </c>
      <c r="BC318" s="37">
        <f>AC318*$BC$4*炼钢参数表!$X$5/1000</f>
        <v>0</v>
      </c>
      <c r="BD318" s="37">
        <f>AD318*$BD$4*炼钢参数表!$X$5/1000</f>
        <v>2.1135077407586401E-2</v>
      </c>
      <c r="BE318" s="37">
        <f>AE318*$BE$4*炼钢参数表!$X$5/1000</f>
        <v>0</v>
      </c>
      <c r="BF318" s="37">
        <f>AL318*$BF$4*炼钢参数表!$X$5/1000</f>
        <v>0</v>
      </c>
      <c r="BG318" s="37">
        <f>AM318*$BG$4*炼钢参数表!$X$5/1000</f>
        <v>0</v>
      </c>
      <c r="BH318" s="37">
        <f t="shared" si="61"/>
        <v>2.1135077407586401E-2</v>
      </c>
      <c r="BI318" s="37">
        <f t="shared" si="62"/>
        <v>6.5135077407586395E-2</v>
      </c>
      <c r="BJ318" s="37">
        <f t="shared" si="63"/>
        <v>-4.8649225924136102E-3</v>
      </c>
      <c r="BK318" s="54"/>
      <c r="BL318" s="7"/>
    </row>
    <row r="319" spans="1:64" x14ac:dyDescent="0.3">
      <c r="A319" s="21">
        <v>311</v>
      </c>
      <c r="B319" s="4" t="s">
        <v>556</v>
      </c>
      <c r="C319" s="4" t="s">
        <v>23</v>
      </c>
      <c r="D319" s="4">
        <v>4</v>
      </c>
      <c r="E319" s="4">
        <v>12.5</v>
      </c>
      <c r="F319" s="4" t="s">
        <v>557</v>
      </c>
      <c r="G319" s="50" t="s">
        <v>511</v>
      </c>
      <c r="H319" s="4">
        <v>1521</v>
      </c>
      <c r="I319" s="51">
        <v>7.0000000000000007E-2</v>
      </c>
      <c r="J319" s="52">
        <v>0.12</v>
      </c>
      <c r="K319" s="52">
        <v>1.3</v>
      </c>
      <c r="L319" s="51">
        <v>1.4999999999999999E-2</v>
      </c>
      <c r="M319" s="51">
        <v>6.0000000000000001E-3</v>
      </c>
      <c r="N319" s="51"/>
      <c r="O319" s="51">
        <v>3.5000000000000003E-2</v>
      </c>
      <c r="P319" s="51">
        <v>0.01</v>
      </c>
      <c r="Q319" s="51">
        <v>0.03</v>
      </c>
      <c r="R319" s="51" t="s">
        <v>631</v>
      </c>
      <c r="S319" s="32"/>
      <c r="T319" s="52"/>
      <c r="U319" s="52"/>
      <c r="V319" s="52"/>
      <c r="W319" s="52"/>
      <c r="X319" s="32"/>
      <c r="Y319" s="53" t="s">
        <v>631</v>
      </c>
      <c r="Z319" s="4">
        <v>50</v>
      </c>
      <c r="AA319" s="53"/>
      <c r="AB319" s="42">
        <f>IF(J319&lt;=0.04,0,IF((BA319-AL319*BF$4*炼钢参数表!$X$5/1000-AM319*BG$4*炼钢参数表!$X$5/1000)&lt;=0.03,0,IF((J319/100/0.1769/炼钢参数表!K319*1000)&gt;(K319-炼钢参数表!J319)/100/0.6566/炼钢参数表!L319*1000,IF(K319&lt;1.6,(K319-炼钢参数表!J319)/100/0.6566/炼钢参数表!L319*1000,(K319-0.08-炼钢参数表!J319)/100/0.6566/炼钢参数表!L319*1000),IF(K319&lt;1.6,J319/100/0.1769/炼钢参数表!K319*1000,(J319-0.08)/100/0.1769/炼钢参数表!K319*1000))))</f>
        <v>0</v>
      </c>
      <c r="AC319" s="8">
        <f>IF((BA319-AB319*$BB$4*0.9/1000-AL319*BF$4*炼钢参数表!$X$5/1000-AM319*BG$4*炼钢参数表!$X$5/1000)&lt;(K319-炼钢参数表!J319-AB319*0.6566*炼钢参数表!L319/10)*0.082,0,(K319-炼钢参数表!J319-AB319*0.6566*炼钢参数表!L319/10)/100/($AC$3/100)/炼钢参数表!L319*1000)</f>
        <v>0</v>
      </c>
      <c r="AD319" s="8">
        <f>IF((BA319-AB319*$BB$4*0.9/1000-AC319*$BC$4*0.9/1000-AL319*BF$4*炼钢参数表!$X$5/1000-AM319*BG$4*炼钢参数表!$X$5/1000)&lt;=(K319-炼钢参数表!J319-AB319*0.6566*炼钢参数表!L319/10-AC319*($AC$3/100)*炼钢参数表!L319/10)*0.02,0,((K319-炼钢参数表!J319-AB319*0.6566*炼钢参数表!L319/10-AC319*($AC$3/100)*炼钢参数表!L319/10)/100/($AD$3/100)/炼钢参数表!L319*1000))</f>
        <v>15.728841713781099</v>
      </c>
      <c r="AE319" s="8">
        <f>(K319-炼钢参数表!J319-AB319*0.6566*炼钢参数表!L319/10-AC319*($AC$3/100)*炼钢参数表!L319/10-AD319*($AD$3/100)*炼钢参数表!L319/10)/100/($AE$3/100)/炼钢参数表!L319*1000</f>
        <v>0</v>
      </c>
      <c r="AF319" s="8">
        <v>0</v>
      </c>
      <c r="AG319" s="8">
        <f>IF(J319&lt;=0.04,0,((J319-(AB319*0.1769*炼钢参数表!K319/1000*100))/100/炼钢参数表!K319/($AG$3/100)*1000))</f>
        <v>2.0766994323688199</v>
      </c>
      <c r="AH319" s="8">
        <v>1.9</v>
      </c>
      <c r="AI319" s="8">
        <f>IF(N319="",0,IF(N319&lt;=0.002,0,((N319)/100)/($AI$3/100)/炼钢参数表!M319*1000))</f>
        <v>0</v>
      </c>
      <c r="AJ319" s="8">
        <f>IF(O319="",0,IF(O319&lt;=0.002,0,((O319)/100)/($AJ$3/100)/炼钢参数表!N319*1000))</f>
        <v>0.54911263398348298</v>
      </c>
      <c r="AK319" s="8">
        <f>IF(P319="",0,IF(P319&lt;=0.002,0,((P319+0.005)/100)/($AK$3/100)/炼钢参数表!O319*1000))</f>
        <v>0.29936534546760901</v>
      </c>
      <c r="AL319" s="8">
        <f>IF((BA319-J319*0.00003-K319*0.00024)&lt;=0.05,0,IF(T319="",0,IF(T319&lt;=0.03,0,IF(((BA319-J319*0.00003-K319*0.00024)-0.05)/0.18/100/($AL$3/100)/炼钢参数表!P319*1000&lt;=T319/100/($AL$3/100)/炼钢参数表!P319*1000,((BA319-J319*0.00003-K319*0.00024)-0.05)/0.18/100/($AL$3/100)/炼钢参数表!P319*1000,T319/100/($AL$3/100)/炼钢参数表!P319*1000))))</f>
        <v>0</v>
      </c>
      <c r="AM319" s="8">
        <f>IF(T319="",0,IF(T319&lt;=0.03,0,((T319-AL319*($AL$3/100)*炼钢参数表!P319/10)/100/($AM$3/100)/炼钢参数表!P319*1000)))</f>
        <v>0</v>
      </c>
      <c r="AN319" s="8">
        <f>IF(U319="",0,IF(U319&lt;=0.02,0,(U319/100)/($AN$3/100)/炼钢参数表!Q319*1000))</f>
        <v>0</v>
      </c>
      <c r="AO319" s="8">
        <f>IF(V319="",0,IF(V319&lt;=0.02,0,(V319/100)/($AO$3/100)/炼钢参数表!R319*1000))</f>
        <v>0</v>
      </c>
      <c r="AP319" s="8">
        <f>IF(W319="",0,IF(W319&lt;=0.02,0,(W319/100)/($AP$3/100)/炼钢参数表!S319*1000))</f>
        <v>0</v>
      </c>
      <c r="AQ319" s="8">
        <f>IF(X319="",0,IF(X319&lt;=0.0002,0,(X319/100)/($AQ$3/100)/炼钢参数表!T319*1000))</f>
        <v>0</v>
      </c>
      <c r="AR319" s="8">
        <f>IF(Y319="",0,IF(Y319&lt;=0.02,0,(Y319/100)/($AR$3/100)/炼钢参数表!U319*1000))</f>
        <v>0</v>
      </c>
      <c r="AS319" s="8">
        <f>IF(L319&lt;=0.04,0,((L319-0.04)/100)/($AS$3/100)/炼钢参数表!V319*1000)</f>
        <v>0</v>
      </c>
      <c r="AT319" s="8">
        <f>IF(M319&lt;=0.03,0,((M319-0.03)/100)/($AT$3/100)/炼钢参数表!W319*1000)</f>
        <v>0</v>
      </c>
      <c r="AU319" s="6"/>
      <c r="AV319" s="8">
        <f t="shared" si="58"/>
        <v>20.554019125601101</v>
      </c>
      <c r="AW319" s="8" cm="1">
        <f t="array" ref="AW319">SUMPRODUCT($AB$4:$AU$4,AB319:AU319)/1000</f>
        <v>300.26709357168897</v>
      </c>
      <c r="AY319" s="2" t="str">
        <f t="shared" si="59"/>
        <v>KA36-1</v>
      </c>
      <c r="AZ319" s="37">
        <f>VLOOKUP(AY319,炼钢参数表!$F$5:$J$1027,4,0)</f>
        <v>4.2963636363636398E-2</v>
      </c>
      <c r="BA319" s="37">
        <f t="shared" si="60"/>
        <v>2.7036363636363601E-2</v>
      </c>
      <c r="BB319" s="37">
        <f>AB319*$BB$4*炼钢参数表!$X$5/1000</f>
        <v>0</v>
      </c>
      <c r="BC319" s="37">
        <f>AC319*$BC$4*炼钢参数表!$X$5/1000</f>
        <v>0</v>
      </c>
      <c r="BD319" s="37">
        <f>AD319*$BD$4*炼钢参数表!$X$5/1000</f>
        <v>2.1233936313604498E-2</v>
      </c>
      <c r="BE319" s="37">
        <f>AE319*$BE$4*炼钢参数表!$X$5/1000</f>
        <v>0</v>
      </c>
      <c r="BF319" s="37">
        <f>AL319*$BF$4*炼钢参数表!$X$5/1000</f>
        <v>0</v>
      </c>
      <c r="BG319" s="37">
        <f>AM319*$BG$4*炼钢参数表!$X$5/1000</f>
        <v>0</v>
      </c>
      <c r="BH319" s="37">
        <f t="shared" si="61"/>
        <v>2.1233936313604498E-2</v>
      </c>
      <c r="BI319" s="37">
        <f t="shared" si="62"/>
        <v>6.4197572677240897E-2</v>
      </c>
      <c r="BJ319" s="37">
        <f t="shared" si="63"/>
        <v>-5.8024273227590701E-3</v>
      </c>
      <c r="BK319" s="54"/>
      <c r="BL319" s="7"/>
    </row>
    <row r="320" spans="1:64" x14ac:dyDescent="0.3">
      <c r="A320" s="21">
        <v>312</v>
      </c>
      <c r="B320" s="4" t="s">
        <v>556</v>
      </c>
      <c r="C320" s="4" t="s">
        <v>26</v>
      </c>
      <c r="D320" s="4">
        <v>12.51</v>
      </c>
      <c r="E320" s="4">
        <v>25</v>
      </c>
      <c r="F320" s="4" t="s">
        <v>558</v>
      </c>
      <c r="G320" s="50" t="s">
        <v>511</v>
      </c>
      <c r="H320" s="4">
        <v>1522</v>
      </c>
      <c r="I320" s="51">
        <v>7.0000000000000007E-2</v>
      </c>
      <c r="J320" s="52">
        <v>0.15</v>
      </c>
      <c r="K320" s="52">
        <v>1.4</v>
      </c>
      <c r="L320" s="51">
        <v>1.4999999999999999E-2</v>
      </c>
      <c r="M320" s="51">
        <v>6.0000000000000001E-3</v>
      </c>
      <c r="N320" s="51"/>
      <c r="O320" s="51">
        <v>3.5000000000000003E-2</v>
      </c>
      <c r="P320" s="51">
        <v>0.01</v>
      </c>
      <c r="Q320" s="51">
        <v>0.03</v>
      </c>
      <c r="R320" s="51" t="s">
        <v>631</v>
      </c>
      <c r="S320" s="32"/>
      <c r="T320" s="52"/>
      <c r="U320" s="52"/>
      <c r="V320" s="52"/>
      <c r="W320" s="52"/>
      <c r="X320" s="32"/>
      <c r="Y320" s="53" t="s">
        <v>631</v>
      </c>
      <c r="Z320" s="4">
        <v>50</v>
      </c>
      <c r="AA320" s="53"/>
      <c r="AB320" s="42">
        <f>IF(J320&lt;=0.04,0,IF((BA320-AL320*BF$4*炼钢参数表!$X$5/1000-AM320*BG$4*炼钢参数表!$X$5/1000)&lt;=0.03,0,IF((J320/100/0.1769/炼钢参数表!K320*1000)&gt;(K320-炼钢参数表!J320)/100/0.6566/炼钢参数表!L320*1000,IF(K320&lt;1.6,(K320-炼钢参数表!J320)/100/0.6566/炼钢参数表!L320*1000,(K320-0.08-炼钢参数表!J320)/100/0.6566/炼钢参数表!L320*1000),IF(K320&lt;1.6,J320/100/0.1769/炼钢参数表!K320*1000,(J320-0.08)/100/0.1769/炼钢参数表!K320*1000))))</f>
        <v>0</v>
      </c>
      <c r="AC320" s="8">
        <f>IF((BA320-AB320*$BB$4*0.9/1000-AL320*BF$4*炼钢参数表!$X$5/1000-AM320*BG$4*炼钢参数表!$X$5/1000)&lt;(K320-炼钢参数表!J320-AB320*0.6566*炼钢参数表!L320/10)*0.082,0,(K320-炼钢参数表!J320-AB320*0.6566*炼钢参数表!L320/10)/100/($AC$3/100)/炼钢参数表!L320*1000)</f>
        <v>0</v>
      </c>
      <c r="AD320" s="8">
        <f>IF((BA320-AB320*$BB$4*0.9/1000-AC320*$BC$4*0.9/1000-AL320*BF$4*炼钢参数表!$X$5/1000-AM320*BG$4*炼钢参数表!$X$5/1000)&lt;=(K320-炼钢参数表!J320-AB320*0.6566*炼钢参数表!L320/10-AC320*($AC$3/100)*炼钢参数表!L320/10)*0.02,0,((K320-炼钢参数表!J320-AB320*0.6566*炼钢参数表!L320/10-AC320*($AC$3/100)*炼钢参数表!L320/10)/100/($AD$3/100)/炼钢参数表!L320*1000))</f>
        <v>17.0297464108606</v>
      </c>
      <c r="AE320" s="8">
        <f>(K320-炼钢参数表!J320-AB320*0.6566*炼钢参数表!L320/10-AC320*($AC$3/100)*炼钢参数表!L320/10-AD320*($AD$3/100)*炼钢参数表!L320/10)/100/($AE$3/100)/炼钢参数表!L320*1000</f>
        <v>0</v>
      </c>
      <c r="AF320" s="8">
        <v>0</v>
      </c>
      <c r="AG320" s="8">
        <f>IF(J320&lt;=0.04,0,((J320-(AB320*0.1769*炼钢参数表!K320/1000*100))/100/炼钢参数表!K320/($AG$3/100)*1000))</f>
        <v>2.5958742904610301</v>
      </c>
      <c r="AH320" s="8">
        <v>1.9</v>
      </c>
      <c r="AI320" s="8">
        <f>IF(N320="",0,IF(N320&lt;=0.002,0,((N320)/100)/($AI$3/100)/炼钢参数表!M320*1000))</f>
        <v>0</v>
      </c>
      <c r="AJ320" s="8">
        <f>IF(O320="",0,IF(O320&lt;=0.002,0,((O320)/100)/($AJ$3/100)/炼钢参数表!N320*1000))</f>
        <v>0.54911263398348298</v>
      </c>
      <c r="AK320" s="8">
        <f>IF(P320="",0,IF(P320&lt;=0.002,0,((P320+0.005)/100)/($AK$3/100)/炼钢参数表!O320*1000))</f>
        <v>0.29936534546760901</v>
      </c>
      <c r="AL320" s="8">
        <f>IF((BA320-J320*0.00003-K320*0.00024)&lt;=0.05,0,IF(T320="",0,IF(T320&lt;=0.03,0,IF(((BA320-J320*0.00003-K320*0.00024)-0.05)/0.18/100/($AL$3/100)/炼钢参数表!P320*1000&lt;=T320/100/($AL$3/100)/炼钢参数表!P320*1000,((BA320-J320*0.00003-K320*0.00024)-0.05)/0.18/100/($AL$3/100)/炼钢参数表!P320*1000,T320/100/($AL$3/100)/炼钢参数表!P320*1000))))</f>
        <v>0</v>
      </c>
      <c r="AM320" s="8">
        <f>IF(T320="",0,IF(T320&lt;=0.03,0,((T320-AL320*($AL$3/100)*炼钢参数表!P320/10)/100/($AM$3/100)/炼钢参数表!P320*1000)))</f>
        <v>0</v>
      </c>
      <c r="AN320" s="8">
        <f>IF(U320="",0,IF(U320&lt;=0.02,0,(U320/100)/($AN$3/100)/炼钢参数表!Q320*1000))</f>
        <v>0</v>
      </c>
      <c r="AO320" s="8">
        <f>IF(V320="",0,IF(V320&lt;=0.02,0,(V320/100)/($AO$3/100)/炼钢参数表!R320*1000))</f>
        <v>0</v>
      </c>
      <c r="AP320" s="8">
        <f>IF(W320="",0,IF(W320&lt;=0.02,0,(W320/100)/($AP$3/100)/炼钢参数表!S320*1000))</f>
        <v>0</v>
      </c>
      <c r="AQ320" s="8">
        <f>IF(X320="",0,IF(X320&lt;=0.0002,0,(X320/100)/($AQ$3/100)/炼钢参数表!T320*1000))</f>
        <v>0</v>
      </c>
      <c r="AR320" s="8">
        <f>IF(Y320="",0,IF(Y320&lt;=0.02,0,(Y320/100)/($AR$3/100)/炼钢参数表!U320*1000))</f>
        <v>0</v>
      </c>
      <c r="AS320" s="8">
        <f>IF(L320&lt;=0.04,0,((L320-0.04)/100)/($AS$3/100)/炼钢参数表!V320*1000)</f>
        <v>0</v>
      </c>
      <c r="AT320" s="8">
        <f>IF(M320&lt;=0.03,0,((M320-0.03)/100)/($AT$3/100)/炼钢参数表!W320*1000)</f>
        <v>0</v>
      </c>
      <c r="AU320" s="6"/>
      <c r="AV320" s="8">
        <f t="shared" si="58"/>
        <v>22.3740986807727</v>
      </c>
      <c r="AW320" s="8" cm="1">
        <f t="array" ref="AW320">SUMPRODUCT($AB$4:$AU$4,AB320:AU320)/1000</f>
        <v>313.015560118069</v>
      </c>
      <c r="AY320" s="2" t="str">
        <f t="shared" si="59"/>
        <v>KA36-2</v>
      </c>
      <c r="AZ320" s="37">
        <f>VLOOKUP(AY320,炼钢参数表!$F$5:$J$1027,4,0)</f>
        <v>4.1595744680851102E-2</v>
      </c>
      <c r="BA320" s="37">
        <f t="shared" si="60"/>
        <v>2.8404255319148902E-2</v>
      </c>
      <c r="BB320" s="37">
        <f>AB320*$BB$4*炼钢参数表!$X$5/1000</f>
        <v>0</v>
      </c>
      <c r="BC320" s="37">
        <f>AC320*$BC$4*炼钢参数表!$X$5/1000</f>
        <v>0</v>
      </c>
      <c r="BD320" s="37">
        <f>AD320*$BD$4*炼钢参数表!$X$5/1000</f>
        <v>2.2990157654661801E-2</v>
      </c>
      <c r="BE320" s="37">
        <f>AE320*$BE$4*炼钢参数表!$X$5/1000</f>
        <v>0</v>
      </c>
      <c r="BF320" s="37">
        <f>AL320*$BF$4*炼钢参数表!$X$5/1000</f>
        <v>0</v>
      </c>
      <c r="BG320" s="37">
        <f>AM320*$BG$4*炼钢参数表!$X$5/1000</f>
        <v>0</v>
      </c>
      <c r="BH320" s="37">
        <f t="shared" si="61"/>
        <v>2.2990157654661801E-2</v>
      </c>
      <c r="BI320" s="37">
        <f t="shared" si="62"/>
        <v>6.4585902335512896E-2</v>
      </c>
      <c r="BJ320" s="37">
        <f t="shared" si="63"/>
        <v>-5.4140976644871499E-3</v>
      </c>
      <c r="BK320" s="54"/>
      <c r="BL320" s="7"/>
    </row>
    <row r="321" spans="1:64" x14ac:dyDescent="0.3">
      <c r="A321" s="21">
        <v>313</v>
      </c>
      <c r="B321" s="4" t="s">
        <v>559</v>
      </c>
      <c r="C321" s="4" t="s">
        <v>23</v>
      </c>
      <c r="D321" s="4">
        <v>3.5</v>
      </c>
      <c r="E321" s="4">
        <v>25.4</v>
      </c>
      <c r="F321" s="4" t="s">
        <v>559</v>
      </c>
      <c r="G321" s="50" t="s">
        <v>511</v>
      </c>
      <c r="H321" s="4">
        <v>1519</v>
      </c>
      <c r="I321" s="51">
        <v>0.16</v>
      </c>
      <c r="J321" s="52">
        <v>0.1</v>
      </c>
      <c r="K321" s="52">
        <v>0.6</v>
      </c>
      <c r="L321" s="51">
        <v>0.02</v>
      </c>
      <c r="M321" s="51">
        <v>1.4999999999999999E-2</v>
      </c>
      <c r="N321" s="51" t="s">
        <v>631</v>
      </c>
      <c r="O321" s="51" t="s">
        <v>631</v>
      </c>
      <c r="P321" s="51" t="s">
        <v>631</v>
      </c>
      <c r="Q321" s="51">
        <v>2.5000000000000001E-2</v>
      </c>
      <c r="R321" s="51" t="s">
        <v>631</v>
      </c>
      <c r="S321" s="32" t="s">
        <v>631</v>
      </c>
      <c r="T321" s="52"/>
      <c r="U321" s="52"/>
      <c r="V321" s="52"/>
      <c r="W321" s="52"/>
      <c r="X321" s="32" t="s">
        <v>631</v>
      </c>
      <c r="Y321" s="53" t="s">
        <v>631</v>
      </c>
      <c r="Z321" s="4"/>
      <c r="AA321" s="53"/>
      <c r="AB321" s="42">
        <f>IF(J321&lt;=0.04,0,IF((BA321-AL321*BF$4*炼钢参数表!$X$5/1000-AM321*BG$4*炼钢参数表!$X$5/1000)&lt;=0.03,0,IF((J321/100/0.1769/炼钢参数表!K321*1000)&gt;(K321-炼钢参数表!J321)/100/0.6566/炼钢参数表!L321*1000,IF(K321&lt;1.6,(K321-炼钢参数表!J321)/100/0.6566/炼钢参数表!L321*1000,(K321-0.08-炼钢参数表!J321)/100/0.6566/炼钢参数表!L321*1000),IF(K321&lt;1.6,J321/100/0.1769/炼钢参数表!K321*1000,(J321-0.08)/100/0.1769/炼钢参数表!K321*1000))))</f>
        <v>7.0661390616167301</v>
      </c>
      <c r="AC321" s="8">
        <f>IF((BA321-AB321*$BB$4*0.9/1000-AL321*BF$4*炼钢参数表!$X$5/1000-AM321*BG$4*炼钢参数表!$X$5/1000)&lt;(K321-炼钢参数表!J321-AB321*0.6566*炼钢参数表!L321/10)*0.082,0,(K321-炼钢参数表!J321-AB321*0.6566*炼钢参数表!L321/10)/100/($AC$3/100)/炼钢参数表!L321*1000)</f>
        <v>0.24797117621331999</v>
      </c>
      <c r="AD321" s="8">
        <f>IF((BA321-AB321*$BB$4*0.9/1000-AC321*$BC$4*0.9/1000-AL321*BF$4*炼钢参数表!$X$5/1000-AM321*BG$4*炼钢参数表!$X$5/1000)&lt;=(K321-炼钢参数表!J321-AB321*0.6566*炼钢参数表!L321/10-AC321*($AC$3/100)*炼钢参数表!L321/10)*0.02,0,((K321-炼钢参数表!J321-AB321*0.6566*炼钢参数表!L321/10-AC321*($AC$3/100)*炼钢参数表!L321/10)/100/($AD$3/100)/炼钢参数表!L321*1000))</f>
        <v>0</v>
      </c>
      <c r="AE321" s="8">
        <f>(K321-炼钢参数表!J321-AB321*0.6566*炼钢参数表!L321/10-AC321*($AC$3/100)*炼钢参数表!L321/10-AD321*($AD$3/100)*炼钢参数表!L321/10)/100/($AE$3/100)/炼钢参数表!L321*1000</f>
        <v>0</v>
      </c>
      <c r="AF321" s="8">
        <v>0</v>
      </c>
      <c r="AG321" s="8">
        <f>IF(J321&lt;=0.04,0,((J321-(AB321*0.1769*炼钢参数表!K321/1000*100))/100/炼钢参数表!K321/($AG$3/100)*1000))</f>
        <v>0</v>
      </c>
      <c r="AH321" s="8">
        <v>1.33</v>
      </c>
      <c r="AI321" s="8">
        <f>IF(N321="",0,IF(N321&lt;=0.002,0,((N321)/100)/($AI$3/100)/炼钢参数表!M321*1000))</f>
        <v>0</v>
      </c>
      <c r="AJ321" s="8">
        <f>IF(O321="",0,IF(O321&lt;=0.002,0,((O321)/100)/($AJ$3/100)/炼钢参数表!N321*1000))</f>
        <v>0</v>
      </c>
      <c r="AK321" s="8">
        <f>IF(P321="",0,IF(P321&lt;=0.002,0,((P321+0.005)/100)/($AK$3/100)/炼钢参数表!O321*1000))</f>
        <v>0</v>
      </c>
      <c r="AL321" s="8">
        <f>IF((BA321-J321*0.00003-K321*0.00024)&lt;=0.05,0,IF(T321="",0,IF(T321&lt;=0.03,0,IF(((BA321-J321*0.00003-K321*0.00024)-0.05)/0.18/100/($AL$3/100)/炼钢参数表!P321*1000&lt;=T321/100/($AL$3/100)/炼钢参数表!P321*1000,((BA321-J321*0.00003-K321*0.00024)-0.05)/0.18/100/($AL$3/100)/炼钢参数表!P321*1000,T321/100/($AL$3/100)/炼钢参数表!P321*1000))))</f>
        <v>0</v>
      </c>
      <c r="AM321" s="8">
        <f>IF(T321="",0,IF(T321&lt;=0.03,0,((T321-AL321*($AL$3/100)*炼钢参数表!P321/10)/100/($AM$3/100)/炼钢参数表!P321*1000)))</f>
        <v>0</v>
      </c>
      <c r="AN321" s="8">
        <f>IF(U321="",0,IF(U321&lt;=0.02,0,(U321/100)/($AN$3/100)/炼钢参数表!Q321*1000))</f>
        <v>0</v>
      </c>
      <c r="AO321" s="8">
        <f>IF(V321="",0,IF(V321&lt;=0.02,0,(V321/100)/($AO$3/100)/炼钢参数表!R321*1000))</f>
        <v>0</v>
      </c>
      <c r="AP321" s="8">
        <f>IF(W321="",0,IF(W321&lt;=0.02,0,(W321/100)/($AP$3/100)/炼钢参数表!S321*1000))</f>
        <v>0</v>
      </c>
      <c r="AQ321" s="8">
        <f>IF(X321="",0,IF(X321&lt;=0.0002,0,(X321/100)/($AQ$3/100)/炼钢参数表!T321*1000))</f>
        <v>0</v>
      </c>
      <c r="AR321" s="8">
        <f>IF(Y321="",0,IF(Y321&lt;=0.02,0,(Y321/100)/($AR$3/100)/炼钢参数表!U321*1000))</f>
        <v>0</v>
      </c>
      <c r="AS321" s="8">
        <f>IF(L321&lt;=0.04,0,((L321-0.04)/100)/($AS$3/100)/炼钢参数表!V321*1000)</f>
        <v>0</v>
      </c>
      <c r="AT321" s="8">
        <f>IF(M321&lt;=0.03,0,((M321-0.03)/100)/($AT$3/100)/炼钢参数表!W321*1000)</f>
        <v>0</v>
      </c>
      <c r="AU321" s="6"/>
      <c r="AV321" s="8">
        <f t="shared" si="58"/>
        <v>8.6441102378300503</v>
      </c>
      <c r="AW321" s="8" cm="1">
        <f t="array" ref="AW321">SUMPRODUCT($AB$4:$AU$4,AB321:AU321)/1000</f>
        <v>69.539473965705795</v>
      </c>
      <c r="AY321" s="2" t="str">
        <f t="shared" si="59"/>
        <v>KRA</v>
      </c>
      <c r="AZ321" s="37">
        <f>VLOOKUP(AY321,炼钢参数表!$F$5:$J$1027,4,0)</f>
        <v>7.4291718170581098E-2</v>
      </c>
      <c r="BA321" s="37">
        <f t="shared" si="60"/>
        <v>8.5708281829418906E-2</v>
      </c>
      <c r="BB321" s="37">
        <f>AB321*$BB$4*炼钢参数表!$X$5/1000</f>
        <v>1.09383832673827E-2</v>
      </c>
      <c r="BC321" s="37">
        <f>AC321*$BC$4*炼钢参数表!$X$5/1000</f>
        <v>1.4930344519804E-3</v>
      </c>
      <c r="BD321" s="37">
        <f>AD321*$BD$4*炼钢参数表!$X$5/1000</f>
        <v>0</v>
      </c>
      <c r="BE321" s="37">
        <f>AE321*$BE$4*炼钢参数表!$X$5/1000</f>
        <v>0</v>
      </c>
      <c r="BF321" s="37">
        <f>AL321*$BF$4*炼钢参数表!$X$5/1000</f>
        <v>0</v>
      </c>
      <c r="BG321" s="37">
        <f>AM321*$BG$4*炼钢参数表!$X$5/1000</f>
        <v>0</v>
      </c>
      <c r="BH321" s="37">
        <f t="shared" si="61"/>
        <v>1.24314177193631E-2</v>
      </c>
      <c r="BI321" s="37">
        <f t="shared" si="62"/>
        <v>8.6723135889944195E-2</v>
      </c>
      <c r="BJ321" s="37">
        <f t="shared" si="63"/>
        <v>-7.3276864110055795E-2</v>
      </c>
      <c r="BK321" s="54"/>
      <c r="BL321" s="7"/>
    </row>
    <row r="322" spans="1:64" x14ac:dyDescent="0.3">
      <c r="A322" s="21">
        <v>314</v>
      </c>
      <c r="B322" s="4" t="s">
        <v>560</v>
      </c>
      <c r="C322" s="4" t="s">
        <v>23</v>
      </c>
      <c r="D322" s="4">
        <v>4</v>
      </c>
      <c r="E322" s="4">
        <v>25.4</v>
      </c>
      <c r="F322" s="4" t="s">
        <v>560</v>
      </c>
      <c r="G322" s="50" t="s">
        <v>511</v>
      </c>
      <c r="H322" s="4">
        <v>1519</v>
      </c>
      <c r="I322" s="51">
        <v>0.16</v>
      </c>
      <c r="J322" s="52">
        <v>0.12</v>
      </c>
      <c r="K322" s="52">
        <v>0.75</v>
      </c>
      <c r="L322" s="51">
        <v>1.4999999999999999E-2</v>
      </c>
      <c r="M322" s="51">
        <v>6.0000000000000001E-3</v>
      </c>
      <c r="N322" s="51" t="s">
        <v>631</v>
      </c>
      <c r="O322" s="51" t="s">
        <v>631</v>
      </c>
      <c r="P322" s="51" t="s">
        <v>631</v>
      </c>
      <c r="Q322" s="51">
        <v>2.5000000000000001E-2</v>
      </c>
      <c r="R322" s="51" t="s">
        <v>631</v>
      </c>
      <c r="S322" s="32" t="s">
        <v>631</v>
      </c>
      <c r="T322" s="52"/>
      <c r="U322" s="52"/>
      <c r="V322" s="52"/>
      <c r="W322" s="52"/>
      <c r="X322" s="32" t="s">
        <v>631</v>
      </c>
      <c r="Y322" s="53" t="s">
        <v>631</v>
      </c>
      <c r="Z322" s="4">
        <v>45</v>
      </c>
      <c r="AA322" s="53" t="s">
        <v>631</v>
      </c>
      <c r="AB322" s="42">
        <f>IF(J322&lt;=0.04,0,IF((BA322-AL322*BF$4*炼钢参数表!$X$5/1000-AM322*BG$4*炼钢参数表!$X$5/1000)&lt;=0.03,0,IF((J322/100/0.1769/炼钢参数表!K322*1000)&gt;(K322-炼钢参数表!J322)/100/0.6566/炼钢参数表!L322*1000,IF(K322&lt;1.6,(K322-炼钢参数表!J322)/100/0.6566/炼钢参数表!L322*1000,(K322-0.08-炼钢参数表!J322)/100/0.6566/炼钢参数表!L322*1000),IF(K322&lt;1.6,J322/100/0.1769/炼钢参数表!K322*1000,(J322-0.08)/100/0.1769/炼钢参数表!K322*1000))))</f>
        <v>8.47936687394008</v>
      </c>
      <c r="AC322" s="8">
        <f>IF((BA322-AB322*$BB$4*0.9/1000-AL322*BF$4*炼钢参数表!$X$5/1000-AM322*BG$4*炼钢参数表!$X$5/1000)&lt;(K322-炼钢参数表!J322-AB322*0.6566*炼钢参数表!L322/10)*0.082,0,(K322-炼钢参数表!J322-AB322*0.6566*炼钢参数表!L322/10)/100/($AC$3/100)/炼钢参数表!L322*1000)</f>
        <v>1.07281224609119</v>
      </c>
      <c r="AD322" s="8">
        <f>IF((BA322-AB322*$BB$4*0.9/1000-AC322*$BC$4*0.9/1000-AL322*BF$4*炼钢参数表!$X$5/1000-AM322*BG$4*炼钢参数表!$X$5/1000)&lt;=(K322-炼钢参数表!J322-AB322*0.6566*炼钢参数表!L322/10-AC322*($AC$3/100)*炼钢参数表!L322/10)*0.02,0,((K322-炼钢参数表!J322-AB322*0.6566*炼钢参数表!L322/10-AC322*($AC$3/100)*炼钢参数表!L322/10)/100/($AD$3/100)/炼钢参数表!L322*1000))</f>
        <v>0</v>
      </c>
      <c r="AE322" s="8">
        <f>(K322-炼钢参数表!J322-AB322*0.6566*炼钢参数表!L322/10-AC322*($AC$3/100)*炼钢参数表!L322/10-AD322*($AD$3/100)*炼钢参数表!L322/10)/100/($AE$3/100)/炼钢参数表!L322*1000</f>
        <v>0</v>
      </c>
      <c r="AF322" s="8">
        <v>0</v>
      </c>
      <c r="AG322" s="8">
        <f>IF(J322&lt;=0.04,0,((J322-(AB322*0.1769*炼钢参数表!K322/1000*100))/100/炼钢参数表!K322/($AG$3/100)*1000))</f>
        <v>0</v>
      </c>
      <c r="AH322" s="8">
        <v>1.33</v>
      </c>
      <c r="AI322" s="8">
        <f>IF(N322="",0,IF(N322&lt;=0.002,0,((N322)/100)/($AI$3/100)/炼钢参数表!M322*1000))</f>
        <v>0</v>
      </c>
      <c r="AJ322" s="8">
        <f>IF(O322="",0,IF(O322&lt;=0.002,0,((O322)/100)/($AJ$3/100)/炼钢参数表!N322*1000))</f>
        <v>0</v>
      </c>
      <c r="AK322" s="8">
        <f>IF(P322="",0,IF(P322&lt;=0.002,0,((P322+0.005)/100)/($AK$3/100)/炼钢参数表!O322*1000))</f>
        <v>0</v>
      </c>
      <c r="AL322" s="8">
        <f>IF((BA322-J322*0.00003-K322*0.00024)&lt;=0.05,0,IF(T322="",0,IF(T322&lt;=0.03,0,IF(((BA322-J322*0.00003-K322*0.00024)-0.05)/0.18/100/($AL$3/100)/炼钢参数表!P322*1000&lt;=T322/100/($AL$3/100)/炼钢参数表!P322*1000,((BA322-J322*0.00003-K322*0.00024)-0.05)/0.18/100/($AL$3/100)/炼钢参数表!P322*1000,T322/100/($AL$3/100)/炼钢参数表!P322*1000))))</f>
        <v>0</v>
      </c>
      <c r="AM322" s="8">
        <f>IF(T322="",0,IF(T322&lt;=0.03,0,((T322-AL322*($AL$3/100)*炼钢参数表!P322/10)/100/($AM$3/100)/炼钢参数表!P322*1000)))</f>
        <v>0</v>
      </c>
      <c r="AN322" s="8">
        <f>IF(U322="",0,IF(U322&lt;=0.02,0,(U322/100)/($AN$3/100)/炼钢参数表!Q322*1000))</f>
        <v>0</v>
      </c>
      <c r="AO322" s="8">
        <f>IF(V322="",0,IF(V322&lt;=0.02,0,(V322/100)/($AO$3/100)/炼钢参数表!R322*1000))</f>
        <v>0</v>
      </c>
      <c r="AP322" s="8">
        <f>IF(W322="",0,IF(W322&lt;=0.02,0,(W322/100)/($AP$3/100)/炼钢参数表!S322*1000))</f>
        <v>0</v>
      </c>
      <c r="AQ322" s="8">
        <f>IF(X322="",0,IF(X322&lt;=0.0002,0,(X322/100)/($AQ$3/100)/炼钢参数表!T322*1000))</f>
        <v>0</v>
      </c>
      <c r="AR322" s="8">
        <f>IF(Y322="",0,IF(Y322&lt;=0.02,0,(Y322/100)/($AR$3/100)/炼钢参数表!U322*1000))</f>
        <v>0</v>
      </c>
      <c r="AS322" s="8">
        <f>IF(L322&lt;=0.04,0,((L322-0.04)/100)/($AS$3/100)/炼钢参数表!V322*1000)</f>
        <v>0</v>
      </c>
      <c r="AT322" s="8">
        <f>IF(M322&lt;=0.03,0,((M322-0.03)/100)/($AT$3/100)/炼钢参数表!W322*1000)</f>
        <v>0</v>
      </c>
      <c r="AU322" s="6"/>
      <c r="AV322" s="8">
        <f t="shared" si="58"/>
        <v>10.882179120031299</v>
      </c>
      <c r="AW322" s="8" cm="1">
        <f t="array" ref="AW322">SUMPRODUCT($AB$4:$AU$4,AB322:AU322)/1000</f>
        <v>82.191465998279199</v>
      </c>
      <c r="AY322" s="2" t="str">
        <f t="shared" si="59"/>
        <v>KRB</v>
      </c>
      <c r="AZ322" s="37">
        <f>VLOOKUP(AY322,炼钢参数表!$F$5:$J$1027,4,0)</f>
        <v>7.3384615384615395E-2</v>
      </c>
      <c r="BA322" s="37">
        <f t="shared" si="60"/>
        <v>8.6615384615384594E-2</v>
      </c>
      <c r="BB322" s="37">
        <f>AB322*$BB$4*炼钢参数表!$X$5/1000</f>
        <v>1.31260599208592E-2</v>
      </c>
      <c r="BC322" s="37">
        <f>AC322*$BC$4*炼钢参数表!$X$5/1000</f>
        <v>6.4594025337150604E-3</v>
      </c>
      <c r="BD322" s="37">
        <f>AD322*$BD$4*炼钢参数表!$X$5/1000</f>
        <v>0</v>
      </c>
      <c r="BE322" s="37">
        <f>AE322*$BE$4*炼钢参数表!$X$5/1000</f>
        <v>0</v>
      </c>
      <c r="BF322" s="37">
        <f>AL322*$BF$4*炼钢参数表!$X$5/1000</f>
        <v>0</v>
      </c>
      <c r="BG322" s="37">
        <f>AM322*$BG$4*炼钢参数表!$X$5/1000</f>
        <v>0</v>
      </c>
      <c r="BH322" s="37">
        <f t="shared" si="61"/>
        <v>1.95854624545743E-2</v>
      </c>
      <c r="BI322" s="37">
        <f t="shared" si="62"/>
        <v>9.2970077839189702E-2</v>
      </c>
      <c r="BJ322" s="37">
        <f t="shared" si="63"/>
        <v>-6.7029922160810301E-2</v>
      </c>
      <c r="BK322" s="54"/>
      <c r="BL322" s="7"/>
    </row>
    <row r="323" spans="1:64" x14ac:dyDescent="0.3">
      <c r="A323" s="21">
        <v>315</v>
      </c>
      <c r="B323" s="4" t="s">
        <v>561</v>
      </c>
      <c r="C323" s="4" t="s">
        <v>23</v>
      </c>
      <c r="D323" s="4">
        <v>4</v>
      </c>
      <c r="E323" s="4">
        <v>12.5</v>
      </c>
      <c r="F323" s="4" t="s">
        <v>562</v>
      </c>
      <c r="G323" s="50" t="s">
        <v>511</v>
      </c>
      <c r="H323" s="4">
        <v>1521</v>
      </c>
      <c r="I323" s="51">
        <v>7.0000000000000007E-2</v>
      </c>
      <c r="J323" s="52">
        <v>0.2</v>
      </c>
      <c r="K323" s="52">
        <v>1.2</v>
      </c>
      <c r="L323" s="51">
        <v>1.4999999999999999E-2</v>
      </c>
      <c r="M323" s="51">
        <v>6.0000000000000001E-3</v>
      </c>
      <c r="N323" s="51"/>
      <c r="O323" s="51"/>
      <c r="P323" s="51"/>
      <c r="Q323" s="51">
        <v>0.03</v>
      </c>
      <c r="R323" s="51"/>
      <c r="S323" s="32">
        <v>0.01</v>
      </c>
      <c r="T323" s="52"/>
      <c r="U323" s="52"/>
      <c r="V323" s="52" t="s">
        <v>631</v>
      </c>
      <c r="W323" s="52"/>
      <c r="X323" s="32" t="s">
        <v>631</v>
      </c>
      <c r="Y323" s="53" t="s">
        <v>631</v>
      </c>
      <c r="Z323" s="4" t="s">
        <v>631</v>
      </c>
      <c r="AA323" s="104"/>
      <c r="AB323" s="42">
        <f>IF(J323&lt;=0.04,0,IF((BA323-AL323*BF$4*炼钢参数表!$X$5/1000-AM323*BG$4*炼钢参数表!$X$5/1000)&lt;=0.03,0,IF((J323/100/0.1769/炼钢参数表!K323*1000)&gt;(K323-炼钢参数表!J323)/100/0.6566/炼钢参数表!L323*1000,IF(K323&lt;1.6,(K323-炼钢参数表!J323)/100/0.6566/炼钢参数表!L323*1000,(K323-0.08-炼钢参数表!J323)/100/0.6566/炼钢参数表!L323*1000),IF(K323&lt;1.6,J323/100/0.1769/炼钢参数表!K323*1000,(J323-0.08)/100/0.1769/炼钢参数表!K323*1000))))</f>
        <v>0</v>
      </c>
      <c r="AC323" s="8">
        <f>IF((BA323-AB323*$BB$4*0.9/1000-AL323*BF$4*炼钢参数表!$X$5/1000-AM323*BG$4*炼钢参数表!$X$5/1000)&lt;(K323-炼钢参数表!J323-AB323*0.6566*炼钢参数表!L323/10)*0.082,0,(K323-炼钢参数表!J323-AB323*0.6566*炼钢参数表!L323/10)/100/($AC$3/100)/炼钢参数表!L323*1000)</f>
        <v>0</v>
      </c>
      <c r="AD323" s="8">
        <f>IF((BA323-AB323*$BB$4*0.9/1000-AC323*$BC$4*0.9/1000-AL323*BF$4*炼钢参数表!$X$5/1000-AM323*BG$4*炼钢参数表!$X$5/1000)&lt;=(K323-炼钢参数表!J323-AB323*0.6566*炼钢参数表!L323/10-AC323*($AC$3/100)*炼钢参数表!L323/10)*0.02,0,((K323-炼钢参数表!J323-AB323*0.6566*炼钢参数表!L323/10-AC323*($AC$3/100)*炼钢参数表!L323/10)/100/($AD$3/100)/炼钢参数表!L323*1000))</f>
        <v>14.358557275724101</v>
      </c>
      <c r="AE323" s="8">
        <f>(K323-炼钢参数表!J323-AB323*0.6566*炼钢参数表!L323/10-AC323*($AC$3/100)*炼钢参数表!L323/10-AD323*($AD$3/100)*炼钢参数表!L323/10)/100/($AE$3/100)/炼钢参数表!L323*1000</f>
        <v>0</v>
      </c>
      <c r="AF323" s="8">
        <v>0</v>
      </c>
      <c r="AG323" s="8">
        <f>IF(J323&lt;=0.04,0,((J323-(AB323*0.1769*炼钢参数表!K323/1000*100))/100/炼钢参数表!K323/($AG$3/100)*1000))</f>
        <v>3.4611657206147002</v>
      </c>
      <c r="AH323" s="8">
        <v>1.9</v>
      </c>
      <c r="AI323" s="8">
        <f>IF(N323="",0,IF(N323&lt;=0.002,0,((N323)/100)/($AI$3/100)/炼钢参数表!M323*1000))</f>
        <v>0</v>
      </c>
      <c r="AJ323" s="8">
        <f>IF(O323="",0,IF(O323&lt;=0.002,0,((O323)/100)/($AJ$3/100)/炼钢参数表!N323*1000))</f>
        <v>0</v>
      </c>
      <c r="AK323" s="8">
        <f>IF(P323="",0,IF(P323&lt;=0.002,0,((P323+0.005)/100)/($AK$3/100)/炼钢参数表!O323*1000))</f>
        <v>0</v>
      </c>
      <c r="AL323" s="8">
        <f>IF((BA323-J323*0.00003-K323*0.00024)&lt;=0.05,0,IF(T323="",0,IF(T323&lt;=0.03,0,IF(((BA323-J323*0.00003-K323*0.00024)-0.05)/0.18/100/($AL$3/100)/炼钢参数表!P323*1000&lt;=T323/100/($AL$3/100)/炼钢参数表!P323*1000,((BA323-J323*0.00003-K323*0.00024)-0.05)/0.18/100/($AL$3/100)/炼钢参数表!P323*1000,T323/100/($AL$3/100)/炼钢参数表!P323*1000))))</f>
        <v>0</v>
      </c>
      <c r="AM323" s="8">
        <f>IF(T323="",0,IF(T323&lt;=0.03,0,((T323-AL323*($AL$3/100)*炼钢参数表!P323/10)/100/($AM$3/100)/炼钢参数表!P323*1000)))</f>
        <v>0</v>
      </c>
      <c r="AN323" s="8">
        <f>IF(U323="",0,IF(U323&lt;=0.02,0,(U323/100)/($AN$3/100)/炼钢参数表!Q323*1000))</f>
        <v>0</v>
      </c>
      <c r="AO323" s="8">
        <f>IF(V323="",0,IF(V323&lt;=0.02,0,(V323/100)/($AO$3/100)/炼钢参数表!R323*1000))</f>
        <v>0</v>
      </c>
      <c r="AP323" s="8">
        <f>IF(W323="",0,IF(W323&lt;=0.02,0,(W323/100)/($AP$3/100)/炼钢参数表!S323*1000))</f>
        <v>0</v>
      </c>
      <c r="AQ323" s="8">
        <f>IF(X323="",0,IF(X323&lt;=0.0002,0,(X323/100)/($AQ$3/100)/炼钢参数表!T323*1000))</f>
        <v>0</v>
      </c>
      <c r="AR323" s="8">
        <f>IF(Y323="",0,IF(Y323&lt;=0.02,0,(Y323/100)/($AR$3/100)/炼钢参数表!U323*1000))</f>
        <v>0</v>
      </c>
      <c r="AS323" s="8">
        <f>IF(L323&lt;=0.04,0,((L323-0.04)/100)/($AS$3/100)/炼钢参数表!V323*1000)</f>
        <v>0</v>
      </c>
      <c r="AT323" s="8">
        <f>IF(M323&lt;=0.03,0,((M323-0.03)/100)/($AT$3/100)/炼钢参数表!W323*1000)</f>
        <v>0</v>
      </c>
      <c r="AU323" s="6"/>
      <c r="AV323" s="8">
        <f t="shared" si="58"/>
        <v>19.719722996338799</v>
      </c>
      <c r="AW323" s="8" cm="1">
        <f t="array" ref="AW323">SUMPRODUCT($AB$4:$AU$4,AB323:AU323)/1000</f>
        <v>171.382591970135</v>
      </c>
      <c r="AY323" s="2" t="str">
        <f t="shared" si="59"/>
        <v>KRA32-1</v>
      </c>
      <c r="AZ323" s="37">
        <f>VLOOKUP(AY323,炼钢参数表!$F$5:$J$1027,4,0)</f>
        <v>0.04</v>
      </c>
      <c r="BA323" s="37">
        <f t="shared" si="60"/>
        <v>0.03</v>
      </c>
      <c r="BB323" s="37">
        <f>AB323*$BB$4*炼钢参数表!$X$5/1000</f>
        <v>0</v>
      </c>
      <c r="BC323" s="37">
        <f>AC323*$BC$4*炼钢参数表!$X$5/1000</f>
        <v>0</v>
      </c>
      <c r="BD323" s="37">
        <f>AD323*$BD$4*炼钢参数表!$X$5/1000</f>
        <v>1.9384052322227601E-2</v>
      </c>
      <c r="BE323" s="37">
        <f>AE323*$BE$4*炼钢参数表!$X$5/1000</f>
        <v>0</v>
      </c>
      <c r="BF323" s="37">
        <f>AL323*$BF$4*炼钢参数表!$X$5/1000</f>
        <v>0</v>
      </c>
      <c r="BG323" s="37">
        <f>AM323*$BG$4*炼钢参数表!$X$5/1000</f>
        <v>0</v>
      </c>
      <c r="BH323" s="37">
        <f t="shared" si="61"/>
        <v>1.9384052322227601E-2</v>
      </c>
      <c r="BI323" s="37">
        <f t="shared" si="62"/>
        <v>5.9384052322227598E-2</v>
      </c>
      <c r="BJ323" s="37">
        <f t="shared" si="63"/>
        <v>-1.06159476777724E-2</v>
      </c>
      <c r="BK323" s="54"/>
      <c r="BL323" s="7"/>
    </row>
    <row r="324" spans="1:64" x14ac:dyDescent="0.3">
      <c r="A324" s="21">
        <v>316</v>
      </c>
      <c r="B324" s="4" t="s">
        <v>561</v>
      </c>
      <c r="C324" s="4" t="s">
        <v>26</v>
      </c>
      <c r="D324" s="4">
        <v>12.51</v>
      </c>
      <c r="E324" s="4">
        <v>25</v>
      </c>
      <c r="F324" s="4" t="s">
        <v>563</v>
      </c>
      <c r="G324" s="50" t="s">
        <v>511</v>
      </c>
      <c r="H324" s="4">
        <v>1521</v>
      </c>
      <c r="I324" s="51">
        <v>7.0000000000000007E-2</v>
      </c>
      <c r="J324" s="52">
        <v>0.2</v>
      </c>
      <c r="K324" s="52">
        <v>1.3</v>
      </c>
      <c r="L324" s="51">
        <v>1.4999999999999999E-2</v>
      </c>
      <c r="M324" s="51">
        <v>6.0000000000000001E-3</v>
      </c>
      <c r="N324" s="51"/>
      <c r="O324" s="51"/>
      <c r="P324" s="51"/>
      <c r="Q324" s="51">
        <v>0.03</v>
      </c>
      <c r="R324" s="51"/>
      <c r="S324" s="32">
        <v>0.01</v>
      </c>
      <c r="T324" s="52"/>
      <c r="U324" s="52"/>
      <c r="V324" s="52" t="s">
        <v>631</v>
      </c>
      <c r="W324" s="52"/>
      <c r="X324" s="32" t="s">
        <v>631</v>
      </c>
      <c r="Y324" s="53" t="s">
        <v>631</v>
      </c>
      <c r="Z324" s="4" t="s">
        <v>631</v>
      </c>
      <c r="AA324" s="104"/>
      <c r="AB324" s="42">
        <f>IF(J324&lt;=0.04,0,IF((BA324-AL324*BF$4*炼钢参数表!$X$5/1000-AM324*BG$4*炼钢参数表!$X$5/1000)&lt;=0.03,0,IF((J324/100/0.1769/炼钢参数表!K324*1000)&gt;(K324-炼钢参数表!J324)/100/0.6566/炼钢参数表!L324*1000,IF(K324&lt;1.6,(K324-炼钢参数表!J324)/100/0.6566/炼钢参数表!L324*1000,(K324-0.08-炼钢参数表!J324)/100/0.6566/炼钢参数表!L324*1000),IF(K324&lt;1.6,J324/100/0.1769/炼钢参数表!K324*1000,(J324-0.08)/100/0.1769/炼钢参数表!K324*1000))))</f>
        <v>0</v>
      </c>
      <c r="AC324" s="8">
        <f>IF((BA324-AB324*$BB$4*0.9/1000-AL324*BF$4*炼钢参数表!$X$5/1000-AM324*BG$4*炼钢参数表!$X$5/1000)&lt;(K324-炼钢参数表!J324-AB324*0.6566*炼钢参数表!L324/10)*0.082,0,(K324-炼钢参数表!J324-AB324*0.6566*炼钢参数表!L324/10)/100/($AC$3/100)/炼钢参数表!L324*1000)</f>
        <v>0</v>
      </c>
      <c r="AD324" s="8">
        <f>IF((BA324-AB324*$BB$4*0.9/1000-AC324*$BC$4*0.9/1000-AL324*BF$4*炼钢参数表!$X$5/1000-AM324*BG$4*炼钢参数表!$X$5/1000)&lt;=(K324-炼钢参数表!J324-AB324*0.6566*炼钢参数表!L324/10-AC324*($AC$3/100)*炼钢参数表!L324/10)*0.02,0,((K324-炼钢参数表!J324-AB324*0.6566*炼钢参数表!L324/10-AC324*($AC$3/100)*炼钢参数表!L324/10)/100/($AD$3/100)/炼钢参数表!L324*1000))</f>
        <v>15.655612894508399</v>
      </c>
      <c r="AE324" s="8">
        <f>(K324-炼钢参数表!J324-AB324*0.6566*炼钢参数表!L324/10-AC324*($AC$3/100)*炼钢参数表!L324/10-AD324*($AD$3/100)*炼钢参数表!L324/10)/100/($AE$3/100)/炼钢参数表!L324*1000</f>
        <v>0</v>
      </c>
      <c r="AF324" s="8">
        <v>0</v>
      </c>
      <c r="AG324" s="8">
        <f>IF(J324&lt;=0.04,0,((J324-(AB324*0.1769*炼钢参数表!K324/1000*100))/100/炼钢参数表!K324/($AG$3/100)*1000))</f>
        <v>3.4611657206147002</v>
      </c>
      <c r="AH324" s="8">
        <v>1.9</v>
      </c>
      <c r="AI324" s="8">
        <f>IF(N324="",0,IF(N324&lt;=0.002,0,((N324)/100)/($AI$3/100)/炼钢参数表!M324*1000))</f>
        <v>0</v>
      </c>
      <c r="AJ324" s="8">
        <f>IF(O324="",0,IF(O324&lt;=0.002,0,((O324)/100)/($AJ$3/100)/炼钢参数表!N324*1000))</f>
        <v>0</v>
      </c>
      <c r="AK324" s="8">
        <f>IF(P324="",0,IF(P324&lt;=0.002,0,((P324+0.005)/100)/($AK$3/100)/炼钢参数表!O324*1000))</f>
        <v>0</v>
      </c>
      <c r="AL324" s="8">
        <f>IF((BA324-J324*0.00003-K324*0.00024)&lt;=0.05,0,IF(T324="",0,IF(T324&lt;=0.03,0,IF(((BA324-J324*0.00003-K324*0.00024)-0.05)/0.18/100/($AL$3/100)/炼钢参数表!P324*1000&lt;=T324/100/($AL$3/100)/炼钢参数表!P324*1000,((BA324-J324*0.00003-K324*0.00024)-0.05)/0.18/100/($AL$3/100)/炼钢参数表!P324*1000,T324/100/($AL$3/100)/炼钢参数表!P324*1000))))</f>
        <v>0</v>
      </c>
      <c r="AM324" s="8">
        <f>IF(T324="",0,IF(T324&lt;=0.03,0,((T324-AL324*($AL$3/100)*炼钢参数表!P324/10)/100/($AM$3/100)/炼钢参数表!P324*1000)))</f>
        <v>0</v>
      </c>
      <c r="AN324" s="8">
        <f>IF(U324="",0,IF(U324&lt;=0.02,0,(U324/100)/($AN$3/100)/炼钢参数表!Q324*1000))</f>
        <v>0</v>
      </c>
      <c r="AO324" s="8">
        <f>IF(V324="",0,IF(V324&lt;=0.02,0,(V324/100)/($AO$3/100)/炼钢参数表!R324*1000))</f>
        <v>0</v>
      </c>
      <c r="AP324" s="8">
        <f>IF(W324="",0,IF(W324&lt;=0.02,0,(W324/100)/($AP$3/100)/炼钢参数表!S324*1000))</f>
        <v>0</v>
      </c>
      <c r="AQ324" s="8">
        <f>IF(X324="",0,IF(X324&lt;=0.0002,0,(X324/100)/($AQ$3/100)/炼钢参数表!T324*1000))</f>
        <v>0</v>
      </c>
      <c r="AR324" s="8">
        <f>IF(Y324="",0,IF(Y324&lt;=0.02,0,(Y324/100)/($AR$3/100)/炼钢参数表!U324*1000))</f>
        <v>0</v>
      </c>
      <c r="AS324" s="8">
        <f>IF(L324&lt;=0.04,0,((L324-0.04)/100)/($AS$3/100)/炼钢参数表!V324*1000)</f>
        <v>0</v>
      </c>
      <c r="AT324" s="8">
        <f>IF(M324&lt;=0.03,0,((M324-0.03)/100)/($AT$3/100)/炼钢参数表!W324*1000)</f>
        <v>0</v>
      </c>
      <c r="AU324" s="6"/>
      <c r="AV324" s="8">
        <f t="shared" si="58"/>
        <v>21.016778615123201</v>
      </c>
      <c r="AW324" s="8" cm="1">
        <f t="array" ref="AW324">SUMPRODUCT($AB$4:$AU$4,AB324:AU324)/1000</f>
        <v>181.40894668702001</v>
      </c>
      <c r="AY324" s="2" t="str">
        <f t="shared" si="59"/>
        <v>KRA32-2</v>
      </c>
      <c r="AZ324" s="37">
        <f>VLOOKUP(AY324,炼钢参数表!$F$5:$J$1027,4,0)</f>
        <v>4.3999999999999997E-2</v>
      </c>
      <c r="BA324" s="37">
        <f t="shared" si="60"/>
        <v>2.5999999999999999E-2</v>
      </c>
      <c r="BB324" s="37">
        <f>AB324*$BB$4*炼钢参数表!$X$5/1000</f>
        <v>0</v>
      </c>
      <c r="BC324" s="37">
        <f>AC324*$BC$4*炼钢参数表!$X$5/1000</f>
        <v>0</v>
      </c>
      <c r="BD324" s="37">
        <f>AD324*$BD$4*炼钢参数表!$X$5/1000</f>
        <v>2.1135077407586401E-2</v>
      </c>
      <c r="BE324" s="37">
        <f>AE324*$BE$4*炼钢参数表!$X$5/1000</f>
        <v>0</v>
      </c>
      <c r="BF324" s="37">
        <f>AL324*$BF$4*炼钢参数表!$X$5/1000</f>
        <v>0</v>
      </c>
      <c r="BG324" s="37">
        <f>AM324*$BG$4*炼钢参数表!$X$5/1000</f>
        <v>0</v>
      </c>
      <c r="BH324" s="37">
        <f t="shared" si="61"/>
        <v>2.1135077407586401E-2</v>
      </c>
      <c r="BI324" s="37">
        <f t="shared" si="62"/>
        <v>6.5135077407586395E-2</v>
      </c>
      <c r="BJ324" s="37">
        <f t="shared" si="63"/>
        <v>-4.8649225924136102E-3</v>
      </c>
      <c r="BK324" s="54"/>
      <c r="BL324" s="7"/>
    </row>
    <row r="325" spans="1:64" x14ac:dyDescent="0.3">
      <c r="A325" s="21">
        <v>317</v>
      </c>
      <c r="B325" s="21" t="s">
        <v>564</v>
      </c>
      <c r="C325" s="21" t="s">
        <v>23</v>
      </c>
      <c r="D325" s="21">
        <v>4</v>
      </c>
      <c r="E325" s="21">
        <v>12.5</v>
      </c>
      <c r="F325" s="21" t="s">
        <v>565</v>
      </c>
      <c r="G325" s="21" t="s">
        <v>644</v>
      </c>
      <c r="H325" s="21">
        <v>1521</v>
      </c>
      <c r="I325" s="21">
        <v>7.0000000000000007E-2</v>
      </c>
      <c r="J325" s="21">
        <v>0.12</v>
      </c>
      <c r="K325" s="21">
        <v>1.3</v>
      </c>
      <c r="L325" s="21">
        <v>1.4999999999999999E-2</v>
      </c>
      <c r="M325" s="21">
        <v>6.0000000000000001E-3</v>
      </c>
      <c r="N325" s="21"/>
      <c r="O325" s="21">
        <v>3.5000000000000003E-2</v>
      </c>
      <c r="P325" s="21">
        <v>0.01</v>
      </c>
      <c r="Q325" s="21">
        <v>0.03</v>
      </c>
      <c r="R325" s="21"/>
      <c r="S325" s="21"/>
      <c r="T325" s="21"/>
      <c r="U325" s="21"/>
      <c r="V325" s="21"/>
      <c r="W325" s="21"/>
      <c r="X325" s="21"/>
      <c r="Y325" s="21"/>
      <c r="Z325" s="21">
        <v>50</v>
      </c>
      <c r="AA325" s="53"/>
      <c r="AB325" s="42">
        <f>IF(J325&lt;=0.04,0,IF((BA325-AL325*BF$4*炼钢参数表!$X$5/1000-AM325*BG$4*炼钢参数表!$X$5/1000)&lt;=0.03,0,IF((J325/100/0.1769/炼钢参数表!K325*1000)&gt;(K325-炼钢参数表!J325)/100/0.6566/炼钢参数表!L325*1000,IF(K325&lt;1.6,(K325-炼钢参数表!J325)/100/0.6566/炼钢参数表!L325*1000,(K325-0.08-炼钢参数表!J325)/100/0.6566/炼钢参数表!L325*1000),IF(K325&lt;1.6,J325/100/0.1769/炼钢参数表!K325*1000,(J325-0.08)/100/0.1769/炼钢参数表!K325*1000))))</f>
        <v>0</v>
      </c>
      <c r="AC325" s="8">
        <f>IF((BA325-AB325*$BB$4*0.9/1000-AL325*BF$4*炼钢参数表!$X$5/1000-AM325*BG$4*炼钢参数表!$X$5/1000)&lt;(K325-炼钢参数表!J325-AB325*0.6566*炼钢参数表!L325/10)*0.082,0,(K325-炼钢参数表!J325-AB325*0.6566*炼钢参数表!L325/10)/100/($AC$3/100)/炼钢参数表!L325*1000)</f>
        <v>0</v>
      </c>
      <c r="AD325" s="8">
        <f>IF((BA325-AB325*$BB$4*0.9/1000-AC325*$BC$4*0.9/1000-AL325*BF$4*炼钢参数表!$X$5/1000-AM325*BG$4*炼钢参数表!$X$5/1000)&lt;=(K325-炼钢参数表!J325-AB325*0.6566*炼钢参数表!L325/10-AC325*($AC$3/100)*炼钢参数表!L325/10)*0.02,0,((K325-炼钢参数表!J325-AB325*0.6566*炼钢参数表!L325/10-AC325*($AC$3/100)*炼钢参数表!L325/10)/100/($AD$3/100)/炼钢参数表!L325*1000))</f>
        <v>15.728841713781099</v>
      </c>
      <c r="AE325" s="8">
        <f>(K325-炼钢参数表!J325-AB325*0.6566*炼钢参数表!L325/10-AC325*($AC$3/100)*炼钢参数表!L325/10-AD325*($AD$3/100)*炼钢参数表!L325/10)/100/($AE$3/100)/炼钢参数表!L325*1000</f>
        <v>0</v>
      </c>
      <c r="AF325" s="8">
        <v>0</v>
      </c>
      <c r="AG325" s="8">
        <f>IF(J325&lt;=0.04,0,((J325-(AB325*0.1769*炼钢参数表!K325/1000*100))/100/炼钢参数表!K325/($AG$3/100)*1000))</f>
        <v>2.0766994323688199</v>
      </c>
      <c r="AH325" s="8">
        <v>1.9</v>
      </c>
      <c r="AI325" s="8">
        <f>IF(N325="",0,IF(N325&lt;=0.002,0,((N325)/100)/($AI$3/100)/炼钢参数表!M325*1000))</f>
        <v>0</v>
      </c>
      <c r="AJ325" s="8">
        <f>IF(O325="",0,IF(O325&lt;=0.002,0,((O325)/100)/($AJ$3/100)/炼钢参数表!N325*1000))</f>
        <v>0.54911263398348298</v>
      </c>
      <c r="AK325" s="8">
        <f>IF(P325="",0,IF(P325&lt;=0.002,0,((P325+0.005)/100)/($AK$3/100)/炼钢参数表!O325*1000))</f>
        <v>0.29936534546760901</v>
      </c>
      <c r="AL325" s="8">
        <f>IF((BA325-J325*0.00003-K325*0.00024)&lt;=0.05,0,IF(T325="",0,IF(T325&lt;=0.03,0,IF(((BA325-J325*0.00003-K325*0.00024)-0.05)/0.18/100/($AL$3/100)/炼钢参数表!P325*1000&lt;=T325/100/($AL$3/100)/炼钢参数表!P325*1000,((BA325-J325*0.00003-K325*0.00024)-0.05)/0.18/100/($AL$3/100)/炼钢参数表!P325*1000,T325/100/($AL$3/100)/炼钢参数表!P325*1000))))</f>
        <v>0</v>
      </c>
      <c r="AM325" s="8">
        <f>IF(T325="",0,IF(T325&lt;=0.03,0,((T325-AL325*($AL$3/100)*炼钢参数表!P325/10)/100/($AM$3/100)/炼钢参数表!P325*1000)))</f>
        <v>0</v>
      </c>
      <c r="AN325" s="8">
        <f>IF(U325="",0,IF(U325&lt;=0.02,0,(U325/100)/($AN$3/100)/炼钢参数表!Q325*1000))</f>
        <v>0</v>
      </c>
      <c r="AO325" s="8">
        <f>IF(V325="",0,IF(V325&lt;=0.02,0,(V325/100)/($AO$3/100)/炼钢参数表!R325*1000))</f>
        <v>0</v>
      </c>
      <c r="AP325" s="8">
        <f>IF(W325="",0,IF(W325&lt;=0.02,0,(W325/100)/($AP$3/100)/炼钢参数表!S325*1000))</f>
        <v>0</v>
      </c>
      <c r="AQ325" s="8">
        <f>IF(X325="",0,IF(X325&lt;=0.0002,0,(X325/100)/($AQ$3/100)/炼钢参数表!T325*1000))</f>
        <v>0</v>
      </c>
      <c r="AR325" s="8">
        <f>IF(Y325="",0,IF(Y325&lt;=0.02,0,(Y325/100)/($AR$3/100)/炼钢参数表!U325*1000))</f>
        <v>0</v>
      </c>
      <c r="AS325" s="8">
        <f>IF(L325&lt;=0.04,0,((L325-0.04)/100)/($AS$3/100)/炼钢参数表!V325*1000)</f>
        <v>0</v>
      </c>
      <c r="AT325" s="8">
        <f>IF(M325&lt;=0.03,0,((M325-0.03)/100)/($AT$3/100)/炼钢参数表!W325*1000)</f>
        <v>0</v>
      </c>
      <c r="AU325" s="6"/>
      <c r="AV325" s="8">
        <f t="shared" si="58"/>
        <v>20.554019125601101</v>
      </c>
      <c r="AW325" s="8" cm="1">
        <f t="array" ref="AW325">SUMPRODUCT($AB$4:$AU$4,AB325:AU325)/1000</f>
        <v>300.26709357168897</v>
      </c>
      <c r="AY325" s="2" t="str">
        <f t="shared" si="59"/>
        <v>KRAH36-1</v>
      </c>
      <c r="AZ325" s="37">
        <f>VLOOKUP(AY325,炼钢参数表!$F$5:$J$1027,4,0)</f>
        <v>4.2963636363636398E-2</v>
      </c>
      <c r="BA325" s="37">
        <f t="shared" si="60"/>
        <v>2.7036363636363601E-2</v>
      </c>
      <c r="BB325" s="37">
        <f>AB325*$BB$4*炼钢参数表!$X$5/1000</f>
        <v>0</v>
      </c>
      <c r="BC325" s="37">
        <f>AC325*$BC$4*炼钢参数表!$X$5/1000</f>
        <v>0</v>
      </c>
      <c r="BD325" s="37">
        <f>AD325*$BD$4*炼钢参数表!$X$5/1000</f>
        <v>2.1233936313604498E-2</v>
      </c>
      <c r="BE325" s="37">
        <f>AE325*$BE$4*炼钢参数表!$X$5/1000</f>
        <v>0</v>
      </c>
      <c r="BF325" s="37">
        <f>AL325*$BF$4*炼钢参数表!$X$5/1000</f>
        <v>0</v>
      </c>
      <c r="BG325" s="37">
        <f>AM325*$BG$4*炼钢参数表!$X$5/1000</f>
        <v>0</v>
      </c>
      <c r="BH325" s="37">
        <f t="shared" si="61"/>
        <v>2.1233936313604498E-2</v>
      </c>
      <c r="BI325" s="37">
        <f t="shared" si="62"/>
        <v>6.4197572677240897E-2</v>
      </c>
      <c r="BJ325" s="37">
        <f t="shared" si="63"/>
        <v>-5.8024273227590701E-3</v>
      </c>
      <c r="BK325" s="54"/>
      <c r="BL325" s="7"/>
    </row>
    <row r="326" spans="1:64" x14ac:dyDescent="0.3">
      <c r="A326" s="21">
        <v>318</v>
      </c>
      <c r="B326" s="21" t="s">
        <v>564</v>
      </c>
      <c r="C326" s="21" t="s">
        <v>26</v>
      </c>
      <c r="D326" s="21">
        <v>12.51</v>
      </c>
      <c r="E326" s="21">
        <v>25</v>
      </c>
      <c r="F326" s="21" t="s">
        <v>566</v>
      </c>
      <c r="G326" s="21" t="s">
        <v>644</v>
      </c>
      <c r="H326" s="21">
        <v>1522</v>
      </c>
      <c r="I326" s="21">
        <v>7.0000000000000007E-2</v>
      </c>
      <c r="J326" s="21">
        <v>0.15</v>
      </c>
      <c r="K326" s="21">
        <v>1.4</v>
      </c>
      <c r="L326" s="21">
        <v>1.4999999999999999E-2</v>
      </c>
      <c r="M326" s="21">
        <v>6.0000000000000001E-3</v>
      </c>
      <c r="N326" s="21"/>
      <c r="O326" s="21">
        <v>3.5000000000000003E-2</v>
      </c>
      <c r="P326" s="21">
        <v>0.01</v>
      </c>
      <c r="Q326" s="21">
        <v>0.03</v>
      </c>
      <c r="R326" s="21"/>
      <c r="S326" s="21"/>
      <c r="T326" s="21"/>
      <c r="U326" s="21"/>
      <c r="V326" s="21"/>
      <c r="W326" s="21"/>
      <c r="X326" s="21"/>
      <c r="Y326" s="21"/>
      <c r="Z326" s="21">
        <v>50</v>
      </c>
      <c r="AA326" s="53"/>
      <c r="AB326" s="42">
        <f>IF(J326&lt;=0.04,0,IF((BA326-AL326*BF$4*炼钢参数表!$X$5/1000-AM326*BG$4*炼钢参数表!$X$5/1000)&lt;=0.03,0,IF((J326/100/0.1769/炼钢参数表!K326*1000)&gt;(K326-炼钢参数表!J326)/100/0.6566/炼钢参数表!L326*1000,IF(K326&lt;1.6,(K326-炼钢参数表!J326)/100/0.6566/炼钢参数表!L326*1000,(K326-0.08-炼钢参数表!J326)/100/0.6566/炼钢参数表!L326*1000),IF(K326&lt;1.6,J326/100/0.1769/炼钢参数表!K326*1000,(J326-0.08)/100/0.1769/炼钢参数表!K326*1000))))</f>
        <v>0</v>
      </c>
      <c r="AC326" s="8">
        <f>IF((BA326-AB326*$BB$4*0.9/1000-AL326*BF$4*炼钢参数表!$X$5/1000-AM326*BG$4*炼钢参数表!$X$5/1000)&lt;(K326-炼钢参数表!J326-AB326*0.6566*炼钢参数表!L326/10)*0.082,0,(K326-炼钢参数表!J326-AB326*0.6566*炼钢参数表!L326/10)/100/($AC$3/100)/炼钢参数表!L326*1000)</f>
        <v>0</v>
      </c>
      <c r="AD326" s="8">
        <f>IF((BA326-AB326*$BB$4*0.9/1000-AC326*$BC$4*0.9/1000-AL326*BF$4*炼钢参数表!$X$5/1000-AM326*BG$4*炼钢参数表!$X$5/1000)&lt;=(K326-炼钢参数表!J326-AB326*0.6566*炼钢参数表!L326/10-AC326*($AC$3/100)*炼钢参数表!L326/10)*0.02,0,((K326-炼钢参数表!J326-AB326*0.6566*炼钢参数表!L326/10-AC326*($AC$3/100)*炼钢参数表!L326/10)/100/($AD$3/100)/炼钢参数表!L326*1000))</f>
        <v>17.0297464108606</v>
      </c>
      <c r="AE326" s="8">
        <f>(K326-炼钢参数表!J326-AB326*0.6566*炼钢参数表!L326/10-AC326*($AC$3/100)*炼钢参数表!L326/10-AD326*($AD$3/100)*炼钢参数表!L326/10)/100/($AE$3/100)/炼钢参数表!L326*1000</f>
        <v>0</v>
      </c>
      <c r="AF326" s="8">
        <v>0</v>
      </c>
      <c r="AG326" s="8">
        <f>IF(J326&lt;=0.04,0,((J326-(AB326*0.1769*炼钢参数表!K326/1000*100))/100/炼钢参数表!K326/($AG$3/100)*1000))</f>
        <v>2.5958742904610301</v>
      </c>
      <c r="AH326" s="8">
        <v>1.9</v>
      </c>
      <c r="AI326" s="8">
        <f>IF(N326="",0,IF(N326&lt;=0.002,0,((N326)/100)/($AI$3/100)/炼钢参数表!M326*1000))</f>
        <v>0</v>
      </c>
      <c r="AJ326" s="8">
        <f>IF(O326="",0,IF(O326&lt;=0.002,0,((O326)/100)/($AJ$3/100)/炼钢参数表!N326*1000))</f>
        <v>0.54911263398348298</v>
      </c>
      <c r="AK326" s="8">
        <f>IF(P326="",0,IF(P326&lt;=0.002,0,((P326+0.005)/100)/($AK$3/100)/炼钢参数表!O326*1000))</f>
        <v>0.29936534546760901</v>
      </c>
      <c r="AL326" s="8">
        <f>IF((BA326-J326*0.00003-K326*0.00024)&lt;=0.05,0,IF(T326="",0,IF(T326&lt;=0.03,0,IF(((BA326-J326*0.00003-K326*0.00024)-0.05)/0.18/100/($AL$3/100)/炼钢参数表!P326*1000&lt;=T326/100/($AL$3/100)/炼钢参数表!P326*1000,((BA326-J326*0.00003-K326*0.00024)-0.05)/0.18/100/($AL$3/100)/炼钢参数表!P326*1000,T326/100/($AL$3/100)/炼钢参数表!P326*1000))))</f>
        <v>0</v>
      </c>
      <c r="AM326" s="8">
        <f>IF(T326="",0,IF(T326&lt;=0.03,0,((T326-AL326*($AL$3/100)*炼钢参数表!P326/10)/100/($AM$3/100)/炼钢参数表!P326*1000)))</f>
        <v>0</v>
      </c>
      <c r="AN326" s="8">
        <f>IF(U326="",0,IF(U326&lt;=0.02,0,(U326/100)/($AN$3/100)/炼钢参数表!Q326*1000))</f>
        <v>0</v>
      </c>
      <c r="AO326" s="8">
        <f>IF(V326="",0,IF(V326&lt;=0.02,0,(V326/100)/($AO$3/100)/炼钢参数表!R326*1000))</f>
        <v>0</v>
      </c>
      <c r="AP326" s="8">
        <f>IF(W326="",0,IF(W326&lt;=0.02,0,(W326/100)/($AP$3/100)/炼钢参数表!S326*1000))</f>
        <v>0</v>
      </c>
      <c r="AQ326" s="8">
        <f>IF(X326="",0,IF(X326&lt;=0.0002,0,(X326/100)/($AQ$3/100)/炼钢参数表!T326*1000))</f>
        <v>0</v>
      </c>
      <c r="AR326" s="8">
        <f>IF(Y326="",0,IF(Y326&lt;=0.02,0,(Y326/100)/($AR$3/100)/炼钢参数表!U326*1000))</f>
        <v>0</v>
      </c>
      <c r="AS326" s="8">
        <f>IF(L326&lt;=0.04,0,((L326-0.04)/100)/($AS$3/100)/炼钢参数表!V326*1000)</f>
        <v>0</v>
      </c>
      <c r="AT326" s="8">
        <f>IF(M326&lt;=0.03,0,((M326-0.03)/100)/($AT$3/100)/炼钢参数表!W326*1000)</f>
        <v>0</v>
      </c>
      <c r="AU326" s="6"/>
      <c r="AV326" s="8">
        <f t="shared" si="58"/>
        <v>22.3740986807727</v>
      </c>
      <c r="AW326" s="8" cm="1">
        <f t="array" ref="AW326">SUMPRODUCT($AB$4:$AU$4,AB326:AU326)/1000</f>
        <v>313.015560118069</v>
      </c>
      <c r="AY326" s="2" t="str">
        <f t="shared" si="59"/>
        <v>KRAH36-2</v>
      </c>
      <c r="AZ326" s="37">
        <f>VLOOKUP(AY326,炼钢参数表!$F$5:$J$1027,4,0)</f>
        <v>4.1595744680851102E-2</v>
      </c>
      <c r="BA326" s="37">
        <f t="shared" si="60"/>
        <v>2.8404255319148902E-2</v>
      </c>
      <c r="BB326" s="37">
        <f>AB326*$BB$4*炼钢参数表!$X$5/1000</f>
        <v>0</v>
      </c>
      <c r="BC326" s="37">
        <f>AC326*$BC$4*炼钢参数表!$X$5/1000</f>
        <v>0</v>
      </c>
      <c r="BD326" s="37">
        <f>AD326*$BD$4*炼钢参数表!$X$5/1000</f>
        <v>2.2990157654661801E-2</v>
      </c>
      <c r="BE326" s="37">
        <f>AE326*$BE$4*炼钢参数表!$X$5/1000</f>
        <v>0</v>
      </c>
      <c r="BF326" s="37">
        <f>AL326*$BF$4*炼钢参数表!$X$5/1000</f>
        <v>0</v>
      </c>
      <c r="BG326" s="37">
        <f>AM326*$BG$4*炼钢参数表!$X$5/1000</f>
        <v>0</v>
      </c>
      <c r="BH326" s="37">
        <f t="shared" si="61"/>
        <v>2.2990157654661801E-2</v>
      </c>
      <c r="BI326" s="37">
        <f t="shared" si="62"/>
        <v>6.4585902335512896E-2</v>
      </c>
      <c r="BJ326" s="37">
        <f t="shared" si="63"/>
        <v>-5.4140976644871499E-3</v>
      </c>
      <c r="BK326" s="54"/>
      <c r="BL326" s="7"/>
    </row>
    <row r="327" spans="1:64" x14ac:dyDescent="0.3">
      <c r="A327" s="21">
        <v>319</v>
      </c>
      <c r="B327" s="4" t="s">
        <v>567</v>
      </c>
      <c r="C327" s="4" t="s">
        <v>23</v>
      </c>
      <c r="D327" s="4">
        <v>3.5</v>
      </c>
      <c r="E327" s="4">
        <v>25.4</v>
      </c>
      <c r="F327" s="4" t="s">
        <v>567</v>
      </c>
      <c r="G327" s="50" t="s">
        <v>511</v>
      </c>
      <c r="H327" s="4">
        <v>1519</v>
      </c>
      <c r="I327" s="51">
        <v>0.16</v>
      </c>
      <c r="J327" s="52">
        <v>0.1</v>
      </c>
      <c r="K327" s="52">
        <v>0.6</v>
      </c>
      <c r="L327" s="51">
        <v>0.02</v>
      </c>
      <c r="M327" s="51">
        <v>1.4999999999999999E-2</v>
      </c>
      <c r="N327" s="51" t="s">
        <v>631</v>
      </c>
      <c r="O327" s="51" t="s">
        <v>631</v>
      </c>
      <c r="P327" s="51" t="s">
        <v>631</v>
      </c>
      <c r="Q327" s="51">
        <v>2.5000000000000001E-2</v>
      </c>
      <c r="R327" s="51" t="s">
        <v>631</v>
      </c>
      <c r="S327" s="32" t="s">
        <v>631</v>
      </c>
      <c r="T327" s="52"/>
      <c r="U327" s="52"/>
      <c r="V327" s="52"/>
      <c r="W327" s="52"/>
      <c r="X327" s="32" t="s">
        <v>631</v>
      </c>
      <c r="Y327" s="53" t="s">
        <v>631</v>
      </c>
      <c r="Z327" s="4"/>
      <c r="AA327" s="53"/>
      <c r="AB327" s="42">
        <f>IF(J327&lt;=0.04,0,IF((BA327-AL327*BF$4*炼钢参数表!$X$5/1000-AM327*BG$4*炼钢参数表!$X$5/1000)&lt;=0.03,0,IF((J327/100/0.1769/炼钢参数表!K327*1000)&gt;(K327-炼钢参数表!J327)/100/0.6566/炼钢参数表!L327*1000,IF(K327&lt;1.6,(K327-炼钢参数表!J327)/100/0.6566/炼钢参数表!L327*1000,(K327-0.08-炼钢参数表!J327)/100/0.6566/炼钢参数表!L327*1000),IF(K327&lt;1.6,J327/100/0.1769/炼钢参数表!K327*1000,(J327-0.08)/100/0.1769/炼钢参数表!K327*1000))))</f>
        <v>7.0661390616167301</v>
      </c>
      <c r="AC327" s="8">
        <f>IF((BA327-AB327*$BB$4*0.9/1000-AL327*BF$4*炼钢参数表!$X$5/1000-AM327*BG$4*炼钢参数表!$X$5/1000)&lt;(K327-炼钢参数表!J327-AB327*0.6566*炼钢参数表!L327/10)*0.082,0,(K327-炼钢参数表!J327-AB327*0.6566*炼钢参数表!L327/10)/100/($AC$3/100)/炼钢参数表!L327*1000)</f>
        <v>0.24797117621331999</v>
      </c>
      <c r="AD327" s="8">
        <f>IF((BA327-AB327*$BB$4*0.9/1000-AC327*$BC$4*0.9/1000-AL327*BF$4*炼钢参数表!$X$5/1000-AM327*BG$4*炼钢参数表!$X$5/1000)&lt;=(K327-炼钢参数表!J327-AB327*0.6566*炼钢参数表!L327/10-AC327*($AC$3/100)*炼钢参数表!L327/10)*0.02,0,((K327-炼钢参数表!J327-AB327*0.6566*炼钢参数表!L327/10-AC327*($AC$3/100)*炼钢参数表!L327/10)/100/($AD$3/100)/炼钢参数表!L327*1000))</f>
        <v>0</v>
      </c>
      <c r="AE327" s="8">
        <f>(K327-炼钢参数表!J327-AB327*0.6566*炼钢参数表!L327/10-AC327*($AC$3/100)*炼钢参数表!L327/10-AD327*($AD$3/100)*炼钢参数表!L327/10)/100/($AE$3/100)/炼钢参数表!L327*1000</f>
        <v>0</v>
      </c>
      <c r="AF327" s="8">
        <v>0</v>
      </c>
      <c r="AG327" s="8">
        <f>IF(J327&lt;=0.04,0,((J327-(AB327*0.1769*炼钢参数表!K327/1000*100))/100/炼钢参数表!K327/($AG$3/100)*1000))</f>
        <v>0</v>
      </c>
      <c r="AH327" s="8">
        <v>1.33</v>
      </c>
      <c r="AI327" s="8">
        <f>IF(N327="",0,IF(N327&lt;=0.002,0,((N327)/100)/($AI$3/100)/炼钢参数表!M327*1000))</f>
        <v>0</v>
      </c>
      <c r="AJ327" s="8">
        <f>IF(O327="",0,IF(O327&lt;=0.002,0,((O327)/100)/($AJ$3/100)/炼钢参数表!N327*1000))</f>
        <v>0</v>
      </c>
      <c r="AK327" s="8">
        <f>IF(P327="",0,IF(P327&lt;=0.002,0,((P327+0.005)/100)/($AK$3/100)/炼钢参数表!O327*1000))</f>
        <v>0</v>
      </c>
      <c r="AL327" s="8">
        <f>IF((BA327-J327*0.00003-K327*0.00024)&lt;=0.05,0,IF(T327="",0,IF(T327&lt;=0.03,0,IF(((BA327-J327*0.00003-K327*0.00024)-0.05)/0.18/100/($AL$3/100)/炼钢参数表!P327*1000&lt;=T327/100/($AL$3/100)/炼钢参数表!P327*1000,((BA327-J327*0.00003-K327*0.00024)-0.05)/0.18/100/($AL$3/100)/炼钢参数表!P327*1000,T327/100/($AL$3/100)/炼钢参数表!P327*1000))))</f>
        <v>0</v>
      </c>
      <c r="AM327" s="8">
        <f>IF(T327="",0,IF(T327&lt;=0.03,0,((T327-AL327*($AL$3/100)*炼钢参数表!P327/10)/100/($AM$3/100)/炼钢参数表!P327*1000)))</f>
        <v>0</v>
      </c>
      <c r="AN327" s="8">
        <f>IF(U327="",0,IF(U327&lt;=0.02,0,(U327/100)/($AN$3/100)/炼钢参数表!Q327*1000))</f>
        <v>0</v>
      </c>
      <c r="AO327" s="8">
        <f>IF(V327="",0,IF(V327&lt;=0.02,0,(V327/100)/($AO$3/100)/炼钢参数表!R327*1000))</f>
        <v>0</v>
      </c>
      <c r="AP327" s="8">
        <f>IF(W327="",0,IF(W327&lt;=0.02,0,(W327/100)/($AP$3/100)/炼钢参数表!S327*1000))</f>
        <v>0</v>
      </c>
      <c r="AQ327" s="8">
        <f>IF(X327="",0,IF(X327&lt;=0.0002,0,(X327/100)/($AQ$3/100)/炼钢参数表!T327*1000))</f>
        <v>0</v>
      </c>
      <c r="AR327" s="8">
        <f>IF(Y327="",0,IF(Y327&lt;=0.02,0,(Y327/100)/($AR$3/100)/炼钢参数表!U327*1000))</f>
        <v>0</v>
      </c>
      <c r="AS327" s="8">
        <f>IF(L327&lt;=0.04,0,((L327-0.04)/100)/($AS$3/100)/炼钢参数表!V327*1000)</f>
        <v>0</v>
      </c>
      <c r="AT327" s="8">
        <f>IF(M327&lt;=0.03,0,((M327-0.03)/100)/($AT$3/100)/炼钢参数表!W327*1000)</f>
        <v>0</v>
      </c>
      <c r="AU327" s="6"/>
      <c r="AV327" s="8">
        <f t="shared" si="58"/>
        <v>8.6441102378300503</v>
      </c>
      <c r="AW327" s="8" cm="1">
        <f t="array" ref="AW327">SUMPRODUCT($AB$4:$AU$4,AB327:AU327)/1000</f>
        <v>69.539473965705795</v>
      </c>
      <c r="AY327" s="2" t="str">
        <f t="shared" si="59"/>
        <v>LRA</v>
      </c>
      <c r="AZ327" s="37">
        <f>VLOOKUP(AY327,炼钢参数表!$F$5:$J$1027,4,0)</f>
        <v>7.4291718170581098E-2</v>
      </c>
      <c r="BA327" s="37">
        <f t="shared" si="60"/>
        <v>8.5708281829418906E-2</v>
      </c>
      <c r="BB327" s="37">
        <f>AB327*$BB$4*炼钢参数表!$X$5/1000</f>
        <v>1.09383832673827E-2</v>
      </c>
      <c r="BC327" s="37">
        <f>AC327*$BC$4*炼钢参数表!$X$5/1000</f>
        <v>1.4930344519804E-3</v>
      </c>
      <c r="BD327" s="37">
        <f>AD327*$BD$4*炼钢参数表!$X$5/1000</f>
        <v>0</v>
      </c>
      <c r="BE327" s="37">
        <f>AE327*$BE$4*炼钢参数表!$X$5/1000</f>
        <v>0</v>
      </c>
      <c r="BF327" s="37">
        <f>AL327*$BF$4*炼钢参数表!$X$5/1000</f>
        <v>0</v>
      </c>
      <c r="BG327" s="37">
        <f>AM327*$BG$4*炼钢参数表!$X$5/1000</f>
        <v>0</v>
      </c>
      <c r="BH327" s="37">
        <f t="shared" si="61"/>
        <v>1.24314177193631E-2</v>
      </c>
      <c r="BI327" s="37">
        <f t="shared" si="62"/>
        <v>8.6723135889944195E-2</v>
      </c>
      <c r="BJ327" s="37">
        <f t="shared" si="63"/>
        <v>-7.3276864110055795E-2</v>
      </c>
      <c r="BK327" s="54"/>
      <c r="BL327" s="7"/>
    </row>
    <row r="328" spans="1:64" x14ac:dyDescent="0.3">
      <c r="A328" s="21">
        <v>320</v>
      </c>
      <c r="B328" s="4" t="s">
        <v>568</v>
      </c>
      <c r="C328" s="4" t="s">
        <v>23</v>
      </c>
      <c r="D328" s="4">
        <v>4</v>
      </c>
      <c r="E328" s="4">
        <v>25.4</v>
      </c>
      <c r="F328" s="4" t="s">
        <v>568</v>
      </c>
      <c r="G328" s="50" t="s">
        <v>511</v>
      </c>
      <c r="H328" s="4">
        <v>1519</v>
      </c>
      <c r="I328" s="51">
        <v>0.16</v>
      </c>
      <c r="J328" s="52">
        <v>0.12</v>
      </c>
      <c r="K328" s="52">
        <v>0.75</v>
      </c>
      <c r="L328" s="51">
        <v>1.4999999999999999E-2</v>
      </c>
      <c r="M328" s="51">
        <v>6.0000000000000001E-3</v>
      </c>
      <c r="N328" s="51" t="s">
        <v>631</v>
      </c>
      <c r="O328" s="51" t="s">
        <v>631</v>
      </c>
      <c r="P328" s="51" t="s">
        <v>631</v>
      </c>
      <c r="Q328" s="51">
        <v>2.5000000000000001E-2</v>
      </c>
      <c r="R328" s="51" t="s">
        <v>631</v>
      </c>
      <c r="S328" s="32" t="s">
        <v>631</v>
      </c>
      <c r="T328" s="52"/>
      <c r="U328" s="52"/>
      <c r="V328" s="52"/>
      <c r="W328" s="52"/>
      <c r="X328" s="32" t="s">
        <v>631</v>
      </c>
      <c r="Y328" s="53" t="s">
        <v>631</v>
      </c>
      <c r="Z328" s="4">
        <v>45</v>
      </c>
      <c r="AA328" s="53" t="s">
        <v>631</v>
      </c>
      <c r="AB328" s="42">
        <f>IF(J328&lt;=0.04,0,IF((BA328-AL328*BF$4*炼钢参数表!$X$5/1000-AM328*BG$4*炼钢参数表!$X$5/1000)&lt;=0.03,0,IF((J328/100/0.1769/炼钢参数表!K328*1000)&gt;(K328-炼钢参数表!J328)/100/0.6566/炼钢参数表!L328*1000,IF(K328&lt;1.6,(K328-炼钢参数表!J328)/100/0.6566/炼钢参数表!L328*1000,(K328-0.08-炼钢参数表!J328)/100/0.6566/炼钢参数表!L328*1000),IF(K328&lt;1.6,J328/100/0.1769/炼钢参数表!K328*1000,(J328-0.08)/100/0.1769/炼钢参数表!K328*1000))))</f>
        <v>8.47936687394008</v>
      </c>
      <c r="AC328" s="8">
        <f>IF((BA328-AB328*$BB$4*0.9/1000-AL328*BF$4*炼钢参数表!$X$5/1000-AM328*BG$4*炼钢参数表!$X$5/1000)&lt;(K328-炼钢参数表!J328-AB328*0.6566*炼钢参数表!L328/10)*0.082,0,(K328-炼钢参数表!J328-AB328*0.6566*炼钢参数表!L328/10)/100/($AC$3/100)/炼钢参数表!L328*1000)</f>
        <v>1.07281224609119</v>
      </c>
      <c r="AD328" s="8">
        <f>IF((BA328-AB328*$BB$4*0.9/1000-AC328*$BC$4*0.9/1000-AL328*BF$4*炼钢参数表!$X$5/1000-AM328*BG$4*炼钢参数表!$X$5/1000)&lt;=(K328-炼钢参数表!J328-AB328*0.6566*炼钢参数表!L328/10-AC328*($AC$3/100)*炼钢参数表!L328/10)*0.02,0,((K328-炼钢参数表!J328-AB328*0.6566*炼钢参数表!L328/10-AC328*($AC$3/100)*炼钢参数表!L328/10)/100/($AD$3/100)/炼钢参数表!L328*1000))</f>
        <v>0</v>
      </c>
      <c r="AE328" s="8">
        <f>(K328-炼钢参数表!J328-AB328*0.6566*炼钢参数表!L328/10-AC328*($AC$3/100)*炼钢参数表!L328/10-AD328*($AD$3/100)*炼钢参数表!L328/10)/100/($AE$3/100)/炼钢参数表!L328*1000</f>
        <v>0</v>
      </c>
      <c r="AF328" s="8">
        <v>0</v>
      </c>
      <c r="AG328" s="8">
        <f>IF(J328&lt;=0.04,0,((J328-(AB328*0.1769*炼钢参数表!K328/1000*100))/100/炼钢参数表!K328/($AG$3/100)*1000))</f>
        <v>0</v>
      </c>
      <c r="AH328" s="8">
        <v>1.33</v>
      </c>
      <c r="AI328" s="8">
        <f>IF(N328="",0,IF(N328&lt;=0.002,0,((N328)/100)/($AI$3/100)/炼钢参数表!M328*1000))</f>
        <v>0</v>
      </c>
      <c r="AJ328" s="8">
        <f>IF(O328="",0,IF(O328&lt;=0.002,0,((O328)/100)/($AJ$3/100)/炼钢参数表!N328*1000))</f>
        <v>0</v>
      </c>
      <c r="AK328" s="8">
        <f>IF(P328="",0,IF(P328&lt;=0.002,0,((P328+0.005)/100)/($AK$3/100)/炼钢参数表!O328*1000))</f>
        <v>0</v>
      </c>
      <c r="AL328" s="8">
        <f>IF((BA328-J328*0.00003-K328*0.00024)&lt;=0.05,0,IF(T328="",0,IF(T328&lt;=0.03,0,IF(((BA328-J328*0.00003-K328*0.00024)-0.05)/0.18/100/($AL$3/100)/炼钢参数表!P328*1000&lt;=T328/100/($AL$3/100)/炼钢参数表!P328*1000,((BA328-J328*0.00003-K328*0.00024)-0.05)/0.18/100/($AL$3/100)/炼钢参数表!P328*1000,T328/100/($AL$3/100)/炼钢参数表!P328*1000))))</f>
        <v>0</v>
      </c>
      <c r="AM328" s="8">
        <f>IF(T328="",0,IF(T328&lt;=0.03,0,((T328-AL328*($AL$3/100)*炼钢参数表!P328/10)/100/($AM$3/100)/炼钢参数表!P328*1000)))</f>
        <v>0</v>
      </c>
      <c r="AN328" s="8">
        <f>IF(U328="",0,IF(U328&lt;=0.02,0,(U328/100)/($AN$3/100)/炼钢参数表!Q328*1000))</f>
        <v>0</v>
      </c>
      <c r="AO328" s="8">
        <f>IF(V328="",0,IF(V328&lt;=0.02,0,(V328/100)/($AO$3/100)/炼钢参数表!R328*1000))</f>
        <v>0</v>
      </c>
      <c r="AP328" s="8">
        <f>IF(W328="",0,IF(W328&lt;=0.02,0,(W328/100)/($AP$3/100)/炼钢参数表!S328*1000))</f>
        <v>0</v>
      </c>
      <c r="AQ328" s="8">
        <f>IF(X328="",0,IF(X328&lt;=0.0002,0,(X328/100)/($AQ$3/100)/炼钢参数表!T328*1000))</f>
        <v>0</v>
      </c>
      <c r="AR328" s="8">
        <f>IF(Y328="",0,IF(Y328&lt;=0.02,0,(Y328/100)/($AR$3/100)/炼钢参数表!U328*1000))</f>
        <v>0</v>
      </c>
      <c r="AS328" s="8">
        <f>IF(L328&lt;=0.04,0,((L328-0.04)/100)/($AS$3/100)/炼钢参数表!V328*1000)</f>
        <v>0</v>
      </c>
      <c r="AT328" s="8">
        <f>IF(M328&lt;=0.03,0,((M328-0.03)/100)/($AT$3/100)/炼钢参数表!W328*1000)</f>
        <v>0</v>
      </c>
      <c r="AU328" s="6"/>
      <c r="AV328" s="8">
        <f t="shared" si="58"/>
        <v>10.882179120031299</v>
      </c>
      <c r="AW328" s="8" cm="1">
        <f t="array" ref="AW328">SUMPRODUCT($AB$4:$AU$4,AB328:AU328)/1000</f>
        <v>82.191465998279199</v>
      </c>
      <c r="AY328" s="2" t="str">
        <f t="shared" si="59"/>
        <v>LRB</v>
      </c>
      <c r="AZ328" s="37">
        <f>VLOOKUP(AY328,炼钢参数表!$F$5:$J$1027,4,0)</f>
        <v>7.3384615384615395E-2</v>
      </c>
      <c r="BA328" s="37">
        <f t="shared" si="60"/>
        <v>8.6615384615384594E-2</v>
      </c>
      <c r="BB328" s="37">
        <f>AB328*$BB$4*炼钢参数表!$X$5/1000</f>
        <v>1.31260599208592E-2</v>
      </c>
      <c r="BC328" s="37">
        <f>AC328*$BC$4*炼钢参数表!$X$5/1000</f>
        <v>6.4594025337150604E-3</v>
      </c>
      <c r="BD328" s="37">
        <f>AD328*$BD$4*炼钢参数表!$X$5/1000</f>
        <v>0</v>
      </c>
      <c r="BE328" s="37">
        <f>AE328*$BE$4*炼钢参数表!$X$5/1000</f>
        <v>0</v>
      </c>
      <c r="BF328" s="37">
        <f>AL328*$BF$4*炼钢参数表!$X$5/1000</f>
        <v>0</v>
      </c>
      <c r="BG328" s="37">
        <f>AM328*$BG$4*炼钢参数表!$X$5/1000</f>
        <v>0</v>
      </c>
      <c r="BH328" s="37">
        <f t="shared" si="61"/>
        <v>1.95854624545743E-2</v>
      </c>
      <c r="BI328" s="37">
        <f t="shared" si="62"/>
        <v>9.2970077839189702E-2</v>
      </c>
      <c r="BJ328" s="37">
        <f t="shared" si="63"/>
        <v>-6.7029922160810301E-2</v>
      </c>
      <c r="BK328" s="54"/>
      <c r="BL328" s="7"/>
    </row>
    <row r="329" spans="1:64" x14ac:dyDescent="0.3">
      <c r="A329" s="21">
        <v>321</v>
      </c>
      <c r="B329" s="4" t="s">
        <v>569</v>
      </c>
      <c r="C329" s="4" t="s">
        <v>23</v>
      </c>
      <c r="D329" s="4">
        <v>4</v>
      </c>
      <c r="E329" s="4">
        <v>12.5</v>
      </c>
      <c r="F329" s="4" t="s">
        <v>570</v>
      </c>
      <c r="G329" s="50" t="s">
        <v>511</v>
      </c>
      <c r="H329" s="4">
        <v>1521</v>
      </c>
      <c r="I329" s="51">
        <v>7.0000000000000007E-2</v>
      </c>
      <c r="J329" s="52">
        <v>0.2</v>
      </c>
      <c r="K329" s="52">
        <v>1.2</v>
      </c>
      <c r="L329" s="51">
        <v>1.4999999999999999E-2</v>
      </c>
      <c r="M329" s="51">
        <v>6.0000000000000001E-3</v>
      </c>
      <c r="N329" s="51"/>
      <c r="O329" s="51"/>
      <c r="P329" s="51"/>
      <c r="Q329" s="51">
        <v>0.03</v>
      </c>
      <c r="R329" s="51"/>
      <c r="S329" s="32">
        <v>0.01</v>
      </c>
      <c r="T329" s="52"/>
      <c r="U329" s="52"/>
      <c r="V329" s="52" t="s">
        <v>631</v>
      </c>
      <c r="W329" s="52"/>
      <c r="X329" s="32" t="s">
        <v>631</v>
      </c>
      <c r="Y329" s="53" t="s">
        <v>631</v>
      </c>
      <c r="Z329" s="4" t="s">
        <v>631</v>
      </c>
      <c r="AA329" s="104"/>
      <c r="AB329" s="42">
        <f>IF(J329&lt;=0.04,0,IF((BA329-AL329*BF$4*炼钢参数表!$X$5/1000-AM329*BG$4*炼钢参数表!$X$5/1000)&lt;=0.03,0,IF((J329/100/0.1769/炼钢参数表!K329*1000)&gt;(K329-炼钢参数表!J329)/100/0.6566/炼钢参数表!L329*1000,IF(K329&lt;1.6,(K329-炼钢参数表!J329)/100/0.6566/炼钢参数表!L329*1000,(K329-0.08-炼钢参数表!J329)/100/0.6566/炼钢参数表!L329*1000),IF(K329&lt;1.6,J329/100/0.1769/炼钢参数表!K329*1000,(J329-0.08)/100/0.1769/炼钢参数表!K329*1000))))</f>
        <v>0</v>
      </c>
      <c r="AC329" s="8">
        <f>IF((BA329-AB329*$BB$4*0.9/1000-AL329*BF$4*炼钢参数表!$X$5/1000-AM329*BG$4*炼钢参数表!$X$5/1000)&lt;(K329-炼钢参数表!J329-AB329*0.6566*炼钢参数表!L329/10)*0.082,0,(K329-炼钢参数表!J329-AB329*0.6566*炼钢参数表!L329/10)/100/($AC$3/100)/炼钢参数表!L329*1000)</f>
        <v>0</v>
      </c>
      <c r="AD329" s="8">
        <f>IF((BA329-AB329*$BB$4*0.9/1000-AC329*$BC$4*0.9/1000-AL329*BF$4*炼钢参数表!$X$5/1000-AM329*BG$4*炼钢参数表!$X$5/1000)&lt;=(K329-炼钢参数表!J329-AB329*0.6566*炼钢参数表!L329/10-AC329*($AC$3/100)*炼钢参数表!L329/10)*0.02,0,((K329-炼钢参数表!J329-AB329*0.6566*炼钢参数表!L329/10-AC329*($AC$3/100)*炼钢参数表!L329/10)/100/($AD$3/100)/炼钢参数表!L329*1000))</f>
        <v>14.358557275724101</v>
      </c>
      <c r="AE329" s="8">
        <f>(K329-炼钢参数表!J329-AB329*0.6566*炼钢参数表!L329/10-AC329*($AC$3/100)*炼钢参数表!L329/10-AD329*($AD$3/100)*炼钢参数表!L329/10)/100/($AE$3/100)/炼钢参数表!L329*1000</f>
        <v>0</v>
      </c>
      <c r="AF329" s="8">
        <v>0</v>
      </c>
      <c r="AG329" s="8">
        <f>IF(J329&lt;=0.04,0,((J329-(AB329*0.1769*炼钢参数表!K329/1000*100))/100/炼钢参数表!K329/($AG$3/100)*1000))</f>
        <v>3.4611657206147002</v>
      </c>
      <c r="AH329" s="8">
        <v>1.9</v>
      </c>
      <c r="AI329" s="8">
        <f>IF(N329="",0,IF(N329&lt;=0.002,0,((N329)/100)/($AI$3/100)/炼钢参数表!M329*1000))</f>
        <v>0</v>
      </c>
      <c r="AJ329" s="8">
        <f>IF(O329="",0,IF(O329&lt;=0.002,0,((O329)/100)/($AJ$3/100)/炼钢参数表!N329*1000))</f>
        <v>0</v>
      </c>
      <c r="AK329" s="8">
        <f>IF(P329="",0,IF(P329&lt;=0.002,0,((P329+0.005)/100)/($AK$3/100)/炼钢参数表!O329*1000))</f>
        <v>0</v>
      </c>
      <c r="AL329" s="8">
        <f>IF((BA329-J329*0.00003-K329*0.00024)&lt;=0.05,0,IF(T329="",0,IF(T329&lt;=0.03,0,IF(((BA329-J329*0.00003-K329*0.00024)-0.05)/0.18/100/($AL$3/100)/炼钢参数表!P329*1000&lt;=T329/100/($AL$3/100)/炼钢参数表!P329*1000,((BA329-J329*0.00003-K329*0.00024)-0.05)/0.18/100/($AL$3/100)/炼钢参数表!P329*1000,T329/100/($AL$3/100)/炼钢参数表!P329*1000))))</f>
        <v>0</v>
      </c>
      <c r="AM329" s="8">
        <f>IF(T329="",0,IF(T329&lt;=0.03,0,((T329-AL329*($AL$3/100)*炼钢参数表!P329/10)/100/($AM$3/100)/炼钢参数表!P329*1000)))</f>
        <v>0</v>
      </c>
      <c r="AN329" s="8">
        <f>IF(U329="",0,IF(U329&lt;=0.02,0,(U329/100)/($AN$3/100)/炼钢参数表!Q329*1000))</f>
        <v>0</v>
      </c>
      <c r="AO329" s="8">
        <f>IF(V329="",0,IF(V329&lt;=0.02,0,(V329/100)/($AO$3/100)/炼钢参数表!R329*1000))</f>
        <v>0</v>
      </c>
      <c r="AP329" s="8">
        <f>IF(W329="",0,IF(W329&lt;=0.02,0,(W329/100)/($AP$3/100)/炼钢参数表!S329*1000))</f>
        <v>0</v>
      </c>
      <c r="AQ329" s="8">
        <f>IF(X329="",0,IF(X329&lt;=0.0002,0,(X329/100)/($AQ$3/100)/炼钢参数表!T329*1000))</f>
        <v>0</v>
      </c>
      <c r="AR329" s="8">
        <f>IF(Y329="",0,IF(Y329&lt;=0.02,0,(Y329/100)/($AR$3/100)/炼钢参数表!U329*1000))</f>
        <v>0</v>
      </c>
      <c r="AS329" s="8">
        <f>IF(L329&lt;=0.04,0,((L329-0.04)/100)/($AS$3/100)/炼钢参数表!V329*1000)</f>
        <v>0</v>
      </c>
      <c r="AT329" s="8">
        <f>IF(M329&lt;=0.03,0,((M329-0.03)/100)/($AT$3/100)/炼钢参数表!W329*1000)</f>
        <v>0</v>
      </c>
      <c r="AU329" s="6"/>
      <c r="AV329" s="8">
        <f t="shared" si="58"/>
        <v>19.719722996338799</v>
      </c>
      <c r="AW329" s="8" cm="1">
        <f t="array" ref="AW329">SUMPRODUCT($AB$4:$AU$4,AB329:AU329)/1000</f>
        <v>171.382591970135</v>
      </c>
      <c r="AY329" s="2" t="str">
        <f t="shared" si="59"/>
        <v>LRA32-1</v>
      </c>
      <c r="AZ329" s="37">
        <f>VLOOKUP(AY329,炼钢参数表!$F$5:$J$1027,4,0)</f>
        <v>0.04</v>
      </c>
      <c r="BA329" s="37">
        <f t="shared" si="60"/>
        <v>0.03</v>
      </c>
      <c r="BB329" s="37">
        <f>AB329*$BB$4*炼钢参数表!$X$5/1000</f>
        <v>0</v>
      </c>
      <c r="BC329" s="37">
        <f>AC329*$BC$4*炼钢参数表!$X$5/1000</f>
        <v>0</v>
      </c>
      <c r="BD329" s="37">
        <f>AD329*$BD$4*炼钢参数表!$X$5/1000</f>
        <v>1.9384052322227601E-2</v>
      </c>
      <c r="BE329" s="37">
        <f>AE329*$BE$4*炼钢参数表!$X$5/1000</f>
        <v>0</v>
      </c>
      <c r="BF329" s="37">
        <f>AL329*$BF$4*炼钢参数表!$X$5/1000</f>
        <v>0</v>
      </c>
      <c r="BG329" s="37">
        <f>AM329*$BG$4*炼钢参数表!$X$5/1000</f>
        <v>0</v>
      </c>
      <c r="BH329" s="37">
        <f t="shared" si="61"/>
        <v>1.9384052322227601E-2</v>
      </c>
      <c r="BI329" s="37">
        <f t="shared" si="62"/>
        <v>5.9384052322227598E-2</v>
      </c>
      <c r="BJ329" s="37">
        <f t="shared" si="63"/>
        <v>-1.06159476777724E-2</v>
      </c>
      <c r="BK329" s="54"/>
      <c r="BL329" s="7"/>
    </row>
    <row r="330" spans="1:64" x14ac:dyDescent="0.3">
      <c r="A330" s="21">
        <v>322</v>
      </c>
      <c r="B330" s="4" t="s">
        <v>569</v>
      </c>
      <c r="C330" s="4" t="s">
        <v>26</v>
      </c>
      <c r="D330" s="4">
        <v>12.51</v>
      </c>
      <c r="E330" s="4">
        <v>25</v>
      </c>
      <c r="F330" s="4" t="s">
        <v>571</v>
      </c>
      <c r="G330" s="50" t="s">
        <v>511</v>
      </c>
      <c r="H330" s="4">
        <v>1521</v>
      </c>
      <c r="I330" s="51">
        <v>7.0000000000000007E-2</v>
      </c>
      <c r="J330" s="52">
        <v>0.2</v>
      </c>
      <c r="K330" s="52">
        <v>1.3</v>
      </c>
      <c r="L330" s="51">
        <v>1.4999999999999999E-2</v>
      </c>
      <c r="M330" s="51">
        <v>6.0000000000000001E-3</v>
      </c>
      <c r="N330" s="51"/>
      <c r="O330" s="51"/>
      <c r="P330" s="51"/>
      <c r="Q330" s="51">
        <v>0.03</v>
      </c>
      <c r="R330" s="51"/>
      <c r="S330" s="32">
        <v>0.01</v>
      </c>
      <c r="T330" s="52"/>
      <c r="U330" s="52"/>
      <c r="V330" s="52" t="s">
        <v>631</v>
      </c>
      <c r="W330" s="52"/>
      <c r="X330" s="32" t="s">
        <v>631</v>
      </c>
      <c r="Y330" s="53" t="s">
        <v>631</v>
      </c>
      <c r="Z330" s="4" t="s">
        <v>631</v>
      </c>
      <c r="AA330" s="104"/>
      <c r="AB330" s="42">
        <f>IF(J330&lt;=0.04,0,IF((BA330-AL330*BF$4*炼钢参数表!$X$5/1000-AM330*BG$4*炼钢参数表!$X$5/1000)&lt;=0.03,0,IF((J330/100/0.1769/炼钢参数表!K330*1000)&gt;(K330-炼钢参数表!J330)/100/0.6566/炼钢参数表!L330*1000,IF(K330&lt;1.6,(K330-炼钢参数表!J330)/100/0.6566/炼钢参数表!L330*1000,(K330-0.08-炼钢参数表!J330)/100/0.6566/炼钢参数表!L330*1000),IF(K330&lt;1.6,J330/100/0.1769/炼钢参数表!K330*1000,(J330-0.08)/100/0.1769/炼钢参数表!K330*1000))))</f>
        <v>0</v>
      </c>
      <c r="AC330" s="8">
        <f>IF((BA330-AB330*$BB$4*0.9/1000-AL330*BF$4*炼钢参数表!$X$5/1000-AM330*BG$4*炼钢参数表!$X$5/1000)&lt;(K330-炼钢参数表!J330-AB330*0.6566*炼钢参数表!L330/10)*0.082,0,(K330-炼钢参数表!J330-AB330*0.6566*炼钢参数表!L330/10)/100/($AC$3/100)/炼钢参数表!L330*1000)</f>
        <v>0</v>
      </c>
      <c r="AD330" s="8">
        <f>IF((BA330-AB330*$BB$4*0.9/1000-AC330*$BC$4*0.9/1000-AL330*BF$4*炼钢参数表!$X$5/1000-AM330*BG$4*炼钢参数表!$X$5/1000)&lt;=(K330-炼钢参数表!J330-AB330*0.6566*炼钢参数表!L330/10-AC330*($AC$3/100)*炼钢参数表!L330/10)*0.02,0,((K330-炼钢参数表!J330-AB330*0.6566*炼钢参数表!L330/10-AC330*($AC$3/100)*炼钢参数表!L330/10)/100/($AD$3/100)/炼钢参数表!L330*1000))</f>
        <v>15.655612894508399</v>
      </c>
      <c r="AE330" s="8">
        <f>(K330-炼钢参数表!J330-AB330*0.6566*炼钢参数表!L330/10-AC330*($AC$3/100)*炼钢参数表!L330/10-AD330*($AD$3/100)*炼钢参数表!L330/10)/100/($AE$3/100)/炼钢参数表!L330*1000</f>
        <v>0</v>
      </c>
      <c r="AF330" s="8">
        <v>0</v>
      </c>
      <c r="AG330" s="8">
        <f>IF(J330&lt;=0.04,0,((J330-(AB330*0.1769*炼钢参数表!K330/1000*100))/100/炼钢参数表!K330/($AG$3/100)*1000))</f>
        <v>3.4611657206147002</v>
      </c>
      <c r="AH330" s="8">
        <v>1.9</v>
      </c>
      <c r="AI330" s="8">
        <f>IF(N330="",0,IF(N330&lt;=0.002,0,((N330)/100)/($AI$3/100)/炼钢参数表!M330*1000))</f>
        <v>0</v>
      </c>
      <c r="AJ330" s="8">
        <f>IF(O330="",0,IF(O330&lt;=0.002,0,((O330)/100)/($AJ$3/100)/炼钢参数表!N330*1000))</f>
        <v>0</v>
      </c>
      <c r="AK330" s="8">
        <f>IF(P330="",0,IF(P330&lt;=0.002,0,((P330+0.005)/100)/($AK$3/100)/炼钢参数表!O330*1000))</f>
        <v>0</v>
      </c>
      <c r="AL330" s="8">
        <f>IF((BA330-J330*0.00003-K330*0.00024)&lt;=0.05,0,IF(T330="",0,IF(T330&lt;=0.03,0,IF(((BA330-J330*0.00003-K330*0.00024)-0.05)/0.18/100/($AL$3/100)/炼钢参数表!P330*1000&lt;=T330/100/($AL$3/100)/炼钢参数表!P330*1000,((BA330-J330*0.00003-K330*0.00024)-0.05)/0.18/100/($AL$3/100)/炼钢参数表!P330*1000,T330/100/($AL$3/100)/炼钢参数表!P330*1000))))</f>
        <v>0</v>
      </c>
      <c r="AM330" s="8">
        <f>IF(T330="",0,IF(T330&lt;=0.03,0,((T330-AL330*($AL$3/100)*炼钢参数表!P330/10)/100/($AM$3/100)/炼钢参数表!P330*1000)))</f>
        <v>0</v>
      </c>
      <c r="AN330" s="8">
        <f>IF(U330="",0,IF(U330&lt;=0.02,0,(U330/100)/($AN$3/100)/炼钢参数表!Q330*1000))</f>
        <v>0</v>
      </c>
      <c r="AO330" s="8">
        <f>IF(V330="",0,IF(V330&lt;=0.02,0,(V330/100)/($AO$3/100)/炼钢参数表!R330*1000))</f>
        <v>0</v>
      </c>
      <c r="AP330" s="8">
        <f>IF(W330="",0,IF(W330&lt;=0.02,0,(W330/100)/($AP$3/100)/炼钢参数表!S330*1000))</f>
        <v>0</v>
      </c>
      <c r="AQ330" s="8">
        <f>IF(X330="",0,IF(X330&lt;=0.0002,0,(X330/100)/($AQ$3/100)/炼钢参数表!T330*1000))</f>
        <v>0</v>
      </c>
      <c r="AR330" s="8">
        <f>IF(Y330="",0,IF(Y330&lt;=0.02,0,(Y330/100)/($AR$3/100)/炼钢参数表!U330*1000))</f>
        <v>0</v>
      </c>
      <c r="AS330" s="8">
        <f>IF(L330&lt;=0.04,0,((L330-0.04)/100)/($AS$3/100)/炼钢参数表!V330*1000)</f>
        <v>0</v>
      </c>
      <c r="AT330" s="8">
        <f>IF(M330&lt;=0.03,0,((M330-0.03)/100)/($AT$3/100)/炼钢参数表!W330*1000)</f>
        <v>0</v>
      </c>
      <c r="AU330" s="6"/>
      <c r="AV330" s="8">
        <f t="shared" si="58"/>
        <v>21.016778615123201</v>
      </c>
      <c r="AW330" s="8" cm="1">
        <f t="array" ref="AW330">SUMPRODUCT($AB$4:$AU$4,AB330:AU330)/1000</f>
        <v>181.40894668702001</v>
      </c>
      <c r="AY330" s="2" t="str">
        <f t="shared" si="59"/>
        <v>LRA32-2</v>
      </c>
      <c r="AZ330" s="37">
        <f>VLOOKUP(AY330,炼钢参数表!$F$5:$J$1027,4,0)</f>
        <v>4.3999999999999997E-2</v>
      </c>
      <c r="BA330" s="37">
        <f t="shared" si="60"/>
        <v>2.5999999999999999E-2</v>
      </c>
      <c r="BB330" s="37">
        <f>AB330*$BB$4*炼钢参数表!$X$5/1000</f>
        <v>0</v>
      </c>
      <c r="BC330" s="37">
        <f>AC330*$BC$4*炼钢参数表!$X$5/1000</f>
        <v>0</v>
      </c>
      <c r="BD330" s="37">
        <f>AD330*$BD$4*炼钢参数表!$X$5/1000</f>
        <v>2.1135077407586401E-2</v>
      </c>
      <c r="BE330" s="37">
        <f>AE330*$BE$4*炼钢参数表!$X$5/1000</f>
        <v>0</v>
      </c>
      <c r="BF330" s="37">
        <f>AL330*$BF$4*炼钢参数表!$X$5/1000</f>
        <v>0</v>
      </c>
      <c r="BG330" s="37">
        <f>AM330*$BG$4*炼钢参数表!$X$5/1000</f>
        <v>0</v>
      </c>
      <c r="BH330" s="37">
        <f t="shared" si="61"/>
        <v>2.1135077407586401E-2</v>
      </c>
      <c r="BI330" s="37">
        <f t="shared" si="62"/>
        <v>6.5135077407586395E-2</v>
      </c>
      <c r="BJ330" s="37">
        <f t="shared" si="63"/>
        <v>-4.8649225924136102E-3</v>
      </c>
      <c r="BK330" s="54"/>
      <c r="BL330" s="7"/>
    </row>
    <row r="331" spans="1:64" x14ac:dyDescent="0.3">
      <c r="A331" s="21">
        <v>323</v>
      </c>
      <c r="B331" s="4" t="s">
        <v>572</v>
      </c>
      <c r="C331" s="4" t="s">
        <v>23</v>
      </c>
      <c r="D331" s="4">
        <v>4</v>
      </c>
      <c r="E331" s="4">
        <v>12.5</v>
      </c>
      <c r="F331" s="4" t="s">
        <v>573</v>
      </c>
      <c r="G331" s="50" t="s">
        <v>511</v>
      </c>
      <c r="H331" s="4">
        <v>1521</v>
      </c>
      <c r="I331" s="51">
        <v>7.0000000000000007E-2</v>
      </c>
      <c r="J331" s="52">
        <v>0.12</v>
      </c>
      <c r="K331" s="52">
        <v>1.3</v>
      </c>
      <c r="L331" s="51">
        <v>1.4999999999999999E-2</v>
      </c>
      <c r="M331" s="51">
        <v>6.0000000000000001E-3</v>
      </c>
      <c r="N331" s="51"/>
      <c r="O331" s="51">
        <v>3.5000000000000003E-2</v>
      </c>
      <c r="P331" s="51">
        <v>0.01</v>
      </c>
      <c r="Q331" s="51">
        <v>0.03</v>
      </c>
      <c r="R331" s="51" t="s">
        <v>631</v>
      </c>
      <c r="S331" s="32"/>
      <c r="T331" s="52"/>
      <c r="U331" s="52"/>
      <c r="V331" s="52"/>
      <c r="W331" s="52"/>
      <c r="X331" s="32"/>
      <c r="Y331" s="53" t="s">
        <v>631</v>
      </c>
      <c r="Z331" s="4">
        <v>50</v>
      </c>
      <c r="AA331" s="53"/>
      <c r="AB331" s="42">
        <f>IF(J331&lt;=0.04,0,IF((BA331-AL331*BF$4*炼钢参数表!$X$5/1000-AM331*BG$4*炼钢参数表!$X$5/1000)&lt;=0.03,0,IF((J331/100/0.1769/炼钢参数表!K331*1000)&gt;(K331-炼钢参数表!J331)/100/0.6566/炼钢参数表!L331*1000,IF(K331&lt;1.6,(K331-炼钢参数表!J331)/100/0.6566/炼钢参数表!L331*1000,(K331-0.08-炼钢参数表!J331)/100/0.6566/炼钢参数表!L331*1000),IF(K331&lt;1.6,J331/100/0.1769/炼钢参数表!K331*1000,(J331-0.08)/100/0.1769/炼钢参数表!K331*1000))))</f>
        <v>0</v>
      </c>
      <c r="AC331" s="8">
        <f>IF((BA331-AB331*$BB$4*0.9/1000-AL331*BF$4*炼钢参数表!$X$5/1000-AM331*BG$4*炼钢参数表!$X$5/1000)&lt;(K331-炼钢参数表!J331-AB331*0.6566*炼钢参数表!L331/10)*0.082,0,(K331-炼钢参数表!J331-AB331*0.6566*炼钢参数表!L331/10)/100/($AC$3/100)/炼钢参数表!L331*1000)</f>
        <v>0</v>
      </c>
      <c r="AD331" s="8">
        <f>IF((BA331-AB331*$BB$4*0.9/1000-AC331*$BC$4*0.9/1000-AL331*BF$4*炼钢参数表!$X$5/1000-AM331*BG$4*炼钢参数表!$X$5/1000)&lt;=(K331-炼钢参数表!J331-AB331*0.6566*炼钢参数表!L331/10-AC331*($AC$3/100)*炼钢参数表!L331/10)*0.02,0,((K331-炼钢参数表!J331-AB331*0.6566*炼钢参数表!L331/10-AC331*($AC$3/100)*炼钢参数表!L331/10)/100/($AD$3/100)/炼钢参数表!L331*1000))</f>
        <v>15.728841713781099</v>
      </c>
      <c r="AE331" s="8">
        <f>(K331-炼钢参数表!J331-AB331*0.6566*炼钢参数表!L331/10-AC331*($AC$3/100)*炼钢参数表!L331/10-AD331*($AD$3/100)*炼钢参数表!L331/10)/100/($AE$3/100)/炼钢参数表!L331*1000</f>
        <v>0</v>
      </c>
      <c r="AF331" s="8">
        <v>0</v>
      </c>
      <c r="AG331" s="8">
        <f>IF(J331&lt;=0.04,0,((J331-(AB331*0.1769*炼钢参数表!K331/1000*100))/100/炼钢参数表!K331/($AG$3/100)*1000))</f>
        <v>2.0766994323688199</v>
      </c>
      <c r="AH331" s="8">
        <v>1.9</v>
      </c>
      <c r="AI331" s="8">
        <f>IF(N331="",0,IF(N331&lt;=0.002,0,((N331)/100)/($AI$3/100)/炼钢参数表!M331*1000))</f>
        <v>0</v>
      </c>
      <c r="AJ331" s="8">
        <f>IF(O331="",0,IF(O331&lt;=0.002,0,((O331)/100)/($AJ$3/100)/炼钢参数表!N331*1000))</f>
        <v>0.54911263398348298</v>
      </c>
      <c r="AK331" s="8">
        <f>IF(P331="",0,IF(P331&lt;=0.002,0,((P331+0.005)/100)/($AK$3/100)/炼钢参数表!O331*1000))</f>
        <v>0.29936534546760901</v>
      </c>
      <c r="AL331" s="8">
        <f>IF((BA331-J331*0.00003-K331*0.00024)&lt;=0.05,0,IF(T331="",0,IF(T331&lt;=0.03,0,IF(((BA331-J331*0.00003-K331*0.00024)-0.05)/0.18/100/($AL$3/100)/炼钢参数表!P331*1000&lt;=T331/100/($AL$3/100)/炼钢参数表!P331*1000,((BA331-J331*0.00003-K331*0.00024)-0.05)/0.18/100/($AL$3/100)/炼钢参数表!P331*1000,T331/100/($AL$3/100)/炼钢参数表!P331*1000))))</f>
        <v>0</v>
      </c>
      <c r="AM331" s="8">
        <f>IF(T331="",0,IF(T331&lt;=0.03,0,((T331-AL331*($AL$3/100)*炼钢参数表!P331/10)/100/($AM$3/100)/炼钢参数表!P331*1000)))</f>
        <v>0</v>
      </c>
      <c r="AN331" s="8">
        <f>IF(U331="",0,IF(U331&lt;=0.02,0,(U331/100)/($AN$3/100)/炼钢参数表!Q331*1000))</f>
        <v>0</v>
      </c>
      <c r="AO331" s="8">
        <f>IF(V331="",0,IF(V331&lt;=0.02,0,(V331/100)/($AO$3/100)/炼钢参数表!R331*1000))</f>
        <v>0</v>
      </c>
      <c r="AP331" s="8">
        <f>IF(W331="",0,IF(W331&lt;=0.02,0,(W331/100)/($AP$3/100)/炼钢参数表!S331*1000))</f>
        <v>0</v>
      </c>
      <c r="AQ331" s="8">
        <f>IF(X331="",0,IF(X331&lt;=0.0002,0,(X331/100)/($AQ$3/100)/炼钢参数表!T331*1000))</f>
        <v>0</v>
      </c>
      <c r="AR331" s="8">
        <f>IF(Y331="",0,IF(Y331&lt;=0.02,0,(Y331/100)/($AR$3/100)/炼钢参数表!U331*1000))</f>
        <v>0</v>
      </c>
      <c r="AS331" s="8">
        <f>IF(L331&lt;=0.04,0,((L331-0.04)/100)/($AS$3/100)/炼钢参数表!V331*1000)</f>
        <v>0</v>
      </c>
      <c r="AT331" s="8">
        <f>IF(M331&lt;=0.03,0,((M331-0.03)/100)/($AT$3/100)/炼钢参数表!W331*1000)</f>
        <v>0</v>
      </c>
      <c r="AU331" s="6"/>
      <c r="AV331" s="8">
        <f t="shared" si="58"/>
        <v>20.554019125601101</v>
      </c>
      <c r="AW331" s="8" cm="1">
        <f t="array" ref="AW331">SUMPRODUCT($AB$4:$AU$4,AB331:AU331)/1000</f>
        <v>300.26709357168897</v>
      </c>
      <c r="AY331" s="2" t="str">
        <f t="shared" si="59"/>
        <v>LRA36-1</v>
      </c>
      <c r="AZ331" s="37">
        <f>VLOOKUP(AY331,炼钢参数表!$F$5:$J$1027,4,0)</f>
        <v>4.2963636363636398E-2</v>
      </c>
      <c r="BA331" s="37">
        <f t="shared" si="60"/>
        <v>2.7036363636363601E-2</v>
      </c>
      <c r="BB331" s="37">
        <f>AB331*$BB$4*炼钢参数表!$X$5/1000</f>
        <v>0</v>
      </c>
      <c r="BC331" s="37">
        <f>AC331*$BC$4*炼钢参数表!$X$5/1000</f>
        <v>0</v>
      </c>
      <c r="BD331" s="37">
        <f>AD331*$BD$4*炼钢参数表!$X$5/1000</f>
        <v>2.1233936313604498E-2</v>
      </c>
      <c r="BE331" s="37">
        <f>AE331*$BE$4*炼钢参数表!$X$5/1000</f>
        <v>0</v>
      </c>
      <c r="BF331" s="37">
        <f>AL331*$BF$4*炼钢参数表!$X$5/1000</f>
        <v>0</v>
      </c>
      <c r="BG331" s="37">
        <f>AM331*$BG$4*炼钢参数表!$X$5/1000</f>
        <v>0</v>
      </c>
      <c r="BH331" s="37">
        <f t="shared" si="61"/>
        <v>2.1233936313604498E-2</v>
      </c>
      <c r="BI331" s="37">
        <f t="shared" si="62"/>
        <v>6.4197572677240897E-2</v>
      </c>
      <c r="BJ331" s="37">
        <f t="shared" si="63"/>
        <v>-5.8024273227590701E-3</v>
      </c>
      <c r="BK331" s="54"/>
      <c r="BL331" s="7"/>
    </row>
    <row r="332" spans="1:64" x14ac:dyDescent="0.3">
      <c r="A332" s="21">
        <v>324</v>
      </c>
      <c r="B332" s="4" t="s">
        <v>572</v>
      </c>
      <c r="C332" s="4" t="s">
        <v>26</v>
      </c>
      <c r="D332" s="4">
        <v>12.51</v>
      </c>
      <c r="E332" s="4">
        <v>25</v>
      </c>
      <c r="F332" s="4" t="s">
        <v>574</v>
      </c>
      <c r="G332" s="50" t="s">
        <v>511</v>
      </c>
      <c r="H332" s="4">
        <v>1522</v>
      </c>
      <c r="I332" s="51">
        <v>7.0000000000000007E-2</v>
      </c>
      <c r="J332" s="52">
        <v>0.15</v>
      </c>
      <c r="K332" s="52">
        <v>1.4</v>
      </c>
      <c r="L332" s="51">
        <v>1.4999999999999999E-2</v>
      </c>
      <c r="M332" s="51">
        <v>6.0000000000000001E-3</v>
      </c>
      <c r="N332" s="51"/>
      <c r="O332" s="51">
        <v>3.5000000000000003E-2</v>
      </c>
      <c r="P332" s="51">
        <v>0.01</v>
      </c>
      <c r="Q332" s="51">
        <v>0.03</v>
      </c>
      <c r="R332" s="51" t="s">
        <v>631</v>
      </c>
      <c r="S332" s="32"/>
      <c r="T332" s="52"/>
      <c r="U332" s="52"/>
      <c r="V332" s="52"/>
      <c r="W332" s="52"/>
      <c r="X332" s="32"/>
      <c r="Y332" s="53" t="s">
        <v>631</v>
      </c>
      <c r="Z332" s="4">
        <v>50</v>
      </c>
      <c r="AA332" s="53"/>
      <c r="AB332" s="42">
        <f>IF(J332&lt;=0.04,0,IF((BA332-AL332*BF$4*炼钢参数表!$X$5/1000-AM332*BG$4*炼钢参数表!$X$5/1000)&lt;=0.03,0,IF((J332/100/0.1769/炼钢参数表!K332*1000)&gt;(K332-炼钢参数表!J332)/100/0.6566/炼钢参数表!L332*1000,IF(K332&lt;1.6,(K332-炼钢参数表!J332)/100/0.6566/炼钢参数表!L332*1000,(K332-0.08-炼钢参数表!J332)/100/0.6566/炼钢参数表!L332*1000),IF(K332&lt;1.6,J332/100/0.1769/炼钢参数表!K332*1000,(J332-0.08)/100/0.1769/炼钢参数表!K332*1000))))</f>
        <v>0</v>
      </c>
      <c r="AC332" s="8">
        <f>IF((BA332-AB332*$BB$4*0.9/1000-AL332*BF$4*炼钢参数表!$X$5/1000-AM332*BG$4*炼钢参数表!$X$5/1000)&lt;(K332-炼钢参数表!J332-AB332*0.6566*炼钢参数表!L332/10)*0.082,0,(K332-炼钢参数表!J332-AB332*0.6566*炼钢参数表!L332/10)/100/($AC$3/100)/炼钢参数表!L332*1000)</f>
        <v>0</v>
      </c>
      <c r="AD332" s="8">
        <f>IF((BA332-AB332*$BB$4*0.9/1000-AC332*$BC$4*0.9/1000-AL332*BF$4*炼钢参数表!$X$5/1000-AM332*BG$4*炼钢参数表!$X$5/1000)&lt;=(K332-炼钢参数表!J332-AB332*0.6566*炼钢参数表!L332/10-AC332*($AC$3/100)*炼钢参数表!L332/10)*0.02,0,((K332-炼钢参数表!J332-AB332*0.6566*炼钢参数表!L332/10-AC332*($AC$3/100)*炼钢参数表!L332/10)/100/($AD$3/100)/炼钢参数表!L332*1000))</f>
        <v>17.0297464108606</v>
      </c>
      <c r="AE332" s="8">
        <f>(K332-炼钢参数表!J332-AB332*0.6566*炼钢参数表!L332/10-AC332*($AC$3/100)*炼钢参数表!L332/10-AD332*($AD$3/100)*炼钢参数表!L332/10)/100/($AE$3/100)/炼钢参数表!L332*1000</f>
        <v>0</v>
      </c>
      <c r="AF332" s="8">
        <v>0</v>
      </c>
      <c r="AG332" s="8">
        <f>IF(J332&lt;=0.04,0,((J332-(AB332*0.1769*炼钢参数表!K332/1000*100))/100/炼钢参数表!K332/($AG$3/100)*1000))</f>
        <v>2.5958742904610301</v>
      </c>
      <c r="AH332" s="8">
        <v>1.9</v>
      </c>
      <c r="AI332" s="8">
        <f>IF(N332="",0,IF(N332&lt;=0.002,0,((N332)/100)/($AI$3/100)/炼钢参数表!M332*1000))</f>
        <v>0</v>
      </c>
      <c r="AJ332" s="8">
        <f>IF(O332="",0,IF(O332&lt;=0.002,0,((O332)/100)/($AJ$3/100)/炼钢参数表!N332*1000))</f>
        <v>0.54911263398348298</v>
      </c>
      <c r="AK332" s="8">
        <f>IF(P332="",0,IF(P332&lt;=0.002,0,((P332+0.005)/100)/($AK$3/100)/炼钢参数表!O332*1000))</f>
        <v>0.29936534546760901</v>
      </c>
      <c r="AL332" s="8">
        <f>IF((BA332-J332*0.00003-K332*0.00024)&lt;=0.05,0,IF(T332="",0,IF(T332&lt;=0.03,0,IF(((BA332-J332*0.00003-K332*0.00024)-0.05)/0.18/100/($AL$3/100)/炼钢参数表!P332*1000&lt;=T332/100/($AL$3/100)/炼钢参数表!P332*1000,((BA332-J332*0.00003-K332*0.00024)-0.05)/0.18/100/($AL$3/100)/炼钢参数表!P332*1000,T332/100/($AL$3/100)/炼钢参数表!P332*1000))))</f>
        <v>0</v>
      </c>
      <c r="AM332" s="8">
        <f>IF(T332="",0,IF(T332&lt;=0.03,0,((T332-AL332*($AL$3/100)*炼钢参数表!P332/10)/100/($AM$3/100)/炼钢参数表!P332*1000)))</f>
        <v>0</v>
      </c>
      <c r="AN332" s="8">
        <f>IF(U332="",0,IF(U332&lt;=0.02,0,(U332/100)/($AN$3/100)/炼钢参数表!Q332*1000))</f>
        <v>0</v>
      </c>
      <c r="AO332" s="8">
        <f>IF(V332="",0,IF(V332&lt;=0.02,0,(V332/100)/($AO$3/100)/炼钢参数表!R332*1000))</f>
        <v>0</v>
      </c>
      <c r="AP332" s="8">
        <f>IF(W332="",0,IF(W332&lt;=0.02,0,(W332/100)/($AP$3/100)/炼钢参数表!S332*1000))</f>
        <v>0</v>
      </c>
      <c r="AQ332" s="8">
        <f>IF(X332="",0,IF(X332&lt;=0.0002,0,(X332/100)/($AQ$3/100)/炼钢参数表!T332*1000))</f>
        <v>0</v>
      </c>
      <c r="AR332" s="8">
        <f>IF(Y332="",0,IF(Y332&lt;=0.02,0,(Y332/100)/($AR$3/100)/炼钢参数表!U332*1000))</f>
        <v>0</v>
      </c>
      <c r="AS332" s="8">
        <f>IF(L332&lt;=0.04,0,((L332-0.04)/100)/($AS$3/100)/炼钢参数表!V332*1000)</f>
        <v>0</v>
      </c>
      <c r="AT332" s="8">
        <f>IF(M332&lt;=0.03,0,((M332-0.03)/100)/($AT$3/100)/炼钢参数表!W332*1000)</f>
        <v>0</v>
      </c>
      <c r="AU332" s="6"/>
      <c r="AV332" s="8">
        <f t="shared" si="58"/>
        <v>22.3740986807727</v>
      </c>
      <c r="AW332" s="8" cm="1">
        <f t="array" ref="AW332">SUMPRODUCT($AB$4:$AU$4,AB332:AU332)/1000</f>
        <v>313.015560118069</v>
      </c>
      <c r="AY332" s="2" t="str">
        <f t="shared" si="59"/>
        <v>LRA36-2</v>
      </c>
      <c r="AZ332" s="37">
        <f>VLOOKUP(AY332,炼钢参数表!$F$5:$J$1027,4,0)</f>
        <v>4.1595744680851102E-2</v>
      </c>
      <c r="BA332" s="37">
        <f t="shared" si="60"/>
        <v>2.8404255319148902E-2</v>
      </c>
      <c r="BB332" s="37">
        <f>AB332*$BB$4*炼钢参数表!$X$5/1000</f>
        <v>0</v>
      </c>
      <c r="BC332" s="37">
        <f>AC332*$BC$4*炼钢参数表!$X$5/1000</f>
        <v>0</v>
      </c>
      <c r="BD332" s="37">
        <f>AD332*$BD$4*炼钢参数表!$X$5/1000</f>
        <v>2.2990157654661801E-2</v>
      </c>
      <c r="BE332" s="37">
        <f>AE332*$BE$4*炼钢参数表!$X$5/1000</f>
        <v>0</v>
      </c>
      <c r="BF332" s="37">
        <f>AL332*$BF$4*炼钢参数表!$X$5/1000</f>
        <v>0</v>
      </c>
      <c r="BG332" s="37">
        <f>AM332*$BG$4*炼钢参数表!$X$5/1000</f>
        <v>0</v>
      </c>
      <c r="BH332" s="37">
        <f t="shared" si="61"/>
        <v>2.2990157654661801E-2</v>
      </c>
      <c r="BI332" s="37">
        <f t="shared" si="62"/>
        <v>6.4585902335512896E-2</v>
      </c>
      <c r="BJ332" s="37">
        <f t="shared" si="63"/>
        <v>-5.4140976644871499E-3</v>
      </c>
      <c r="BK332" s="54"/>
      <c r="BL332" s="7"/>
    </row>
    <row r="336" spans="1:64" x14ac:dyDescent="0.3"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</row>
    <row r="337" spans="3:26" x14ac:dyDescent="0.3"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</row>
  </sheetData>
  <autoFilter ref="AR1:AR337" xr:uid="{00000000-0009-0000-0000-000001000000}"/>
  <mergeCells count="29">
    <mergeCell ref="BJ3:BJ4"/>
    <mergeCell ref="BK2:BK4"/>
    <mergeCell ref="BL2:BL4"/>
    <mergeCell ref="AA317:AA318"/>
    <mergeCell ref="AA323:AA324"/>
    <mergeCell ref="AA329:AA330"/>
    <mergeCell ref="AV2:AV4"/>
    <mergeCell ref="AW2:AW4"/>
    <mergeCell ref="AA287:AA288"/>
    <mergeCell ref="AA293:AA294"/>
    <mergeCell ref="AA299:AA300"/>
    <mergeCell ref="AA305:AA306"/>
    <mergeCell ref="AA311:AA312"/>
    <mergeCell ref="I2:Z2"/>
    <mergeCell ref="AZ2:BJ2"/>
    <mergeCell ref="A2:A3"/>
    <mergeCell ref="B2:B3"/>
    <mergeCell ref="C2:C3"/>
    <mergeCell ref="D2:D3"/>
    <mergeCell ref="E2:E3"/>
    <mergeCell ref="F2:F3"/>
    <mergeCell ref="G2:G3"/>
    <mergeCell ref="H2:H3"/>
    <mergeCell ref="AA2:AA3"/>
    <mergeCell ref="AY2:AY4"/>
    <mergeCell ref="AZ3:AZ4"/>
    <mergeCell ref="BA3:BA4"/>
    <mergeCell ref="BH3:BH4"/>
    <mergeCell ref="BI3:BI4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3"/>
  <sheetViews>
    <sheetView topLeftCell="D19" workbookViewId="0">
      <selection activeCell="G19" sqref="G1:N1048576"/>
    </sheetView>
  </sheetViews>
  <sheetFormatPr defaultColWidth="8.69140625" defaultRowHeight="14.15" x14ac:dyDescent="0.3"/>
  <cols>
    <col min="2" max="2" width="13.07421875" customWidth="1"/>
    <col min="3" max="3" width="27.07421875" customWidth="1"/>
    <col min="4" max="4" width="25.53515625" customWidth="1"/>
    <col min="5" max="5" width="12.15234375" customWidth="1"/>
    <col min="6" max="6" width="11.53515625" customWidth="1"/>
    <col min="7" max="7" width="12.15234375" customWidth="1"/>
    <col min="8" max="9" width="8.15234375" customWidth="1"/>
    <col min="10" max="10" width="11.61328125" style="1" customWidth="1"/>
    <col min="11" max="11" width="9.53515625"/>
    <col min="13" max="13" width="9.84375" customWidth="1"/>
    <col min="15" max="15" width="10.3828125" customWidth="1"/>
  </cols>
  <sheetData>
    <row r="1" spans="2:15" x14ac:dyDescent="0.3">
      <c r="J1" s="1">
        <f>G4*0.00082</f>
        <v>8.1999999999999994E-6</v>
      </c>
    </row>
    <row r="2" spans="2:15" x14ac:dyDescent="0.3">
      <c r="B2" s="2" t="s">
        <v>645</v>
      </c>
      <c r="C2" s="2" t="s">
        <v>608</v>
      </c>
      <c r="D2" s="2" t="s">
        <v>609</v>
      </c>
      <c r="E2" s="2" t="s">
        <v>610</v>
      </c>
      <c r="F2" s="2" t="s">
        <v>619</v>
      </c>
      <c r="G2" s="2" t="s">
        <v>646</v>
      </c>
      <c r="H2" s="2"/>
      <c r="I2" s="2"/>
      <c r="J2" s="3" t="s">
        <v>647</v>
      </c>
      <c r="K2" s="2" t="s">
        <v>648</v>
      </c>
      <c r="L2" s="2" t="s">
        <v>649</v>
      </c>
      <c r="M2" s="2" t="s">
        <v>650</v>
      </c>
      <c r="N2" s="2" t="s">
        <v>651</v>
      </c>
      <c r="O2" s="2" t="s">
        <v>652</v>
      </c>
    </row>
    <row r="3" spans="2:15" x14ac:dyDescent="0.3">
      <c r="B3" s="2" t="s">
        <v>582</v>
      </c>
      <c r="C3" s="4">
        <v>1.72</v>
      </c>
      <c r="D3" s="4">
        <v>17.690000000000001</v>
      </c>
      <c r="E3" s="2">
        <v>65.66</v>
      </c>
      <c r="F3" s="2"/>
      <c r="G3" s="2">
        <v>0.01</v>
      </c>
      <c r="H3" s="2">
        <f>G3/100/(E3/100)/0.98*1000</f>
        <v>0.15540788353111601</v>
      </c>
      <c r="I3" s="2"/>
      <c r="J3" s="3">
        <f>G3/100/(E3/100)/0.98*(C3/100)*0.9*100</f>
        <v>2.4057140370616699E-4</v>
      </c>
      <c r="K3" s="2">
        <v>3</v>
      </c>
      <c r="L3" s="2"/>
      <c r="M3" s="2"/>
      <c r="N3" s="2">
        <v>0.03</v>
      </c>
      <c r="O3" s="2">
        <f>N3/J4</f>
        <v>36.426507224713497</v>
      </c>
    </row>
    <row r="4" spans="2:15" x14ac:dyDescent="0.3">
      <c r="B4" s="2" t="s">
        <v>583</v>
      </c>
      <c r="C4" s="4">
        <v>6.69</v>
      </c>
      <c r="D4" s="4"/>
      <c r="E4" s="2">
        <v>74.599999999999994</v>
      </c>
      <c r="F4" s="2"/>
      <c r="G4" s="2">
        <v>0.01</v>
      </c>
      <c r="H4" s="2">
        <f t="shared" ref="H4:H9" si="0">G4/100/(E4/100)/0.98*1000</f>
        <v>0.13678393609454501</v>
      </c>
      <c r="I4" s="2"/>
      <c r="J4" s="3">
        <f>G4/100/(E4/100)/0.98*(C4/100)*0.9*100</f>
        <v>8.2357607922525604E-4</v>
      </c>
      <c r="K4" s="2">
        <v>4</v>
      </c>
      <c r="L4" s="2"/>
      <c r="M4" s="2" t="s">
        <v>653</v>
      </c>
      <c r="N4" s="2">
        <v>0.01</v>
      </c>
      <c r="O4" s="2"/>
    </row>
    <row r="5" spans="2:15" x14ac:dyDescent="0.3">
      <c r="B5" s="2" t="s">
        <v>584</v>
      </c>
      <c r="C5" s="4">
        <v>1.5</v>
      </c>
      <c r="D5" s="4"/>
      <c r="E5" s="2">
        <v>78.540000000000006</v>
      </c>
      <c r="F5" s="2"/>
      <c r="G5" s="2">
        <v>0.01</v>
      </c>
      <c r="H5" s="2">
        <f t="shared" si="0"/>
        <v>0.12992209870961399</v>
      </c>
      <c r="I5" s="2"/>
      <c r="J5" s="3">
        <f>G5/100/(E5/100)/0.98*(C5/100)*0.9*100</f>
        <v>1.75394833257979E-4</v>
      </c>
      <c r="K5" s="2">
        <v>6</v>
      </c>
      <c r="L5" s="2"/>
      <c r="M5" s="2" t="s">
        <v>654</v>
      </c>
      <c r="N5" s="2"/>
      <c r="O5" s="2"/>
    </row>
    <row r="6" spans="2:15" ht="15" x14ac:dyDescent="0.3">
      <c r="B6" s="2" t="s">
        <v>585</v>
      </c>
      <c r="C6" s="5">
        <v>0.64</v>
      </c>
      <c r="D6" s="5"/>
      <c r="E6" s="2">
        <v>81.19</v>
      </c>
      <c r="F6" s="2"/>
      <c r="G6" s="2">
        <v>0.01</v>
      </c>
      <c r="H6" s="2">
        <f t="shared" si="0"/>
        <v>0.125681507977005</v>
      </c>
      <c r="I6" s="2"/>
      <c r="J6" s="3">
        <f>G6/100/(E6/100)/0.98*(C6/100)*0.9*100</f>
        <v>7.2392548594755094E-5</v>
      </c>
      <c r="K6" s="2">
        <v>7</v>
      </c>
      <c r="L6" s="2"/>
      <c r="M6" s="2" t="s">
        <v>655</v>
      </c>
      <c r="N6" s="2"/>
      <c r="O6" s="2"/>
    </row>
    <row r="7" spans="2:15" x14ac:dyDescent="0.3">
      <c r="B7" s="2" t="s">
        <v>656</v>
      </c>
      <c r="C7" s="2">
        <v>0.2</v>
      </c>
      <c r="D7" s="6">
        <v>72.23</v>
      </c>
      <c r="E7" s="2"/>
      <c r="F7" s="2"/>
      <c r="G7" s="2">
        <v>0.01</v>
      </c>
      <c r="H7" s="2" t="e">
        <f t="shared" si="0"/>
        <v>#DIV/0!</v>
      </c>
      <c r="I7" s="2"/>
      <c r="J7" s="3">
        <f>G7/100/(D7/100)/0.8*(C7/100)*0.9*100</f>
        <v>3.1150491485532297E-5</v>
      </c>
      <c r="K7" s="2">
        <v>4</v>
      </c>
      <c r="L7" s="2"/>
      <c r="M7" s="2"/>
      <c r="N7" s="2"/>
      <c r="O7" s="2"/>
    </row>
    <row r="8" spans="2:15" x14ac:dyDescent="0.3">
      <c r="B8" s="2" t="s">
        <v>592</v>
      </c>
      <c r="C8" s="2">
        <v>10</v>
      </c>
      <c r="D8" s="2"/>
      <c r="E8" s="7"/>
      <c r="F8" s="8">
        <v>52</v>
      </c>
      <c r="G8" s="2">
        <v>0.05</v>
      </c>
      <c r="H8" s="2" t="e">
        <f t="shared" si="0"/>
        <v>#DIV/0!</v>
      </c>
      <c r="I8" s="2"/>
      <c r="J8" s="3">
        <f>G8/100/(F8/100)/0.98*(C8/100)*0.9*100</f>
        <v>8.8304552590266899E-3</v>
      </c>
      <c r="K8" s="2">
        <v>1</v>
      </c>
      <c r="L8" s="2"/>
      <c r="M8" s="2" t="s">
        <v>657</v>
      </c>
      <c r="N8" s="2">
        <v>0.02</v>
      </c>
      <c r="O8" s="2"/>
    </row>
    <row r="9" spans="2:15" x14ac:dyDescent="0.3">
      <c r="B9" s="2" t="s">
        <v>593</v>
      </c>
      <c r="C9" s="9">
        <v>0.12</v>
      </c>
      <c r="D9" s="9"/>
      <c r="E9" s="7"/>
      <c r="F9" s="8">
        <v>59.44</v>
      </c>
      <c r="G9" s="2">
        <v>0.01</v>
      </c>
      <c r="H9" s="2" t="e">
        <f t="shared" si="0"/>
        <v>#DIV/0!</v>
      </c>
      <c r="I9" s="2"/>
      <c r="J9" s="3">
        <f>G9/100/(F9/100)/0.98*(C9/100)*0.9*100</f>
        <v>1.8540390584228299E-5</v>
      </c>
      <c r="K9" s="2">
        <v>2</v>
      </c>
      <c r="L9" s="2"/>
      <c r="M9" s="2"/>
      <c r="N9" s="2"/>
      <c r="O9" s="2"/>
    </row>
    <row r="11" spans="2:15" x14ac:dyDescent="0.3">
      <c r="C11" s="10"/>
      <c r="D11" s="10"/>
      <c r="E11" s="10"/>
      <c r="F11" s="10"/>
      <c r="G11" s="10"/>
      <c r="H11" s="10"/>
      <c r="I11" s="10"/>
      <c r="K11" s="10"/>
      <c r="L11" s="10"/>
    </row>
    <row r="12" spans="2:15" x14ac:dyDescent="0.3">
      <c r="M12">
        <f>0.06/100/0.0018</f>
        <v>0.33333333333333298</v>
      </c>
    </row>
    <row r="13" spans="2:15" x14ac:dyDescent="0.3">
      <c r="B13" s="11" t="s">
        <v>658</v>
      </c>
      <c r="C13" s="11" t="s">
        <v>659</v>
      </c>
      <c r="D13" s="11" t="s">
        <v>660</v>
      </c>
      <c r="E13" s="12" t="s">
        <v>661</v>
      </c>
      <c r="F13" s="11" t="s">
        <v>662</v>
      </c>
      <c r="G13" s="13"/>
      <c r="H13" s="13"/>
      <c r="I13" s="13"/>
    </row>
    <row r="14" spans="2:15" x14ac:dyDescent="0.3">
      <c r="B14" s="11">
        <v>0.16</v>
      </c>
      <c r="C14" s="11">
        <v>0.08</v>
      </c>
      <c r="D14" s="12">
        <v>0.1</v>
      </c>
      <c r="E14" s="11">
        <v>0.35</v>
      </c>
      <c r="F14" s="11">
        <v>0</v>
      </c>
      <c r="G14" s="11">
        <f>B14-C14</f>
        <v>0.08</v>
      </c>
      <c r="H14" s="11"/>
      <c r="I14" s="11"/>
      <c r="J14" s="14">
        <f>E14/G3*J3</f>
        <v>8.4199991297158501E-3</v>
      </c>
    </row>
    <row r="17" spans="2:14" x14ac:dyDescent="0.3">
      <c r="G17">
        <f>J8/G8</f>
        <v>0.17660910518053399</v>
      </c>
    </row>
    <row r="19" spans="2:14" x14ac:dyDescent="0.3">
      <c r="G19" s="2" t="s">
        <v>663</v>
      </c>
      <c r="H19" s="2" t="s">
        <v>664</v>
      </c>
      <c r="I19" s="2" t="s">
        <v>665</v>
      </c>
      <c r="J19" s="2" t="s">
        <v>608</v>
      </c>
      <c r="K19" s="3" t="s">
        <v>609</v>
      </c>
      <c r="L19" s="2" t="s">
        <v>610</v>
      </c>
      <c r="M19" s="2" t="s">
        <v>619</v>
      </c>
      <c r="N19" s="112" t="s">
        <v>581</v>
      </c>
    </row>
    <row r="20" spans="2:14" x14ac:dyDescent="0.3">
      <c r="G20" s="2" t="s">
        <v>666</v>
      </c>
      <c r="H20" s="106" t="s">
        <v>667</v>
      </c>
      <c r="I20" s="106" t="s">
        <v>667</v>
      </c>
      <c r="J20" s="2">
        <v>0.08</v>
      </c>
      <c r="K20" s="2">
        <v>0.2</v>
      </c>
      <c r="L20" s="2">
        <v>1.2</v>
      </c>
      <c r="M20" s="2">
        <v>0.4</v>
      </c>
      <c r="N20" s="112"/>
    </row>
    <row r="21" spans="2:14" x14ac:dyDescent="0.3">
      <c r="G21" s="2" t="s">
        <v>668</v>
      </c>
      <c r="H21" s="113"/>
      <c r="I21" s="113"/>
      <c r="J21" s="2">
        <v>0.04</v>
      </c>
      <c r="K21" s="2">
        <v>0</v>
      </c>
      <c r="L21" s="2">
        <v>0.08</v>
      </c>
      <c r="M21" s="2">
        <v>0</v>
      </c>
      <c r="N21" s="112"/>
    </row>
    <row r="22" spans="2:14" x14ac:dyDescent="0.3">
      <c r="G22" s="2" t="s">
        <v>669</v>
      </c>
      <c r="H22" s="107"/>
      <c r="I22" s="107"/>
      <c r="J22" s="2">
        <v>0.9</v>
      </c>
      <c r="K22" s="2">
        <v>0.75</v>
      </c>
      <c r="L22" s="2">
        <v>0.98</v>
      </c>
      <c r="M22" s="2">
        <v>0.95</v>
      </c>
      <c r="N22" s="112"/>
    </row>
    <row r="23" spans="2:14" x14ac:dyDescent="0.3">
      <c r="B23" s="2" t="s">
        <v>670</v>
      </c>
      <c r="C23" s="2" t="s">
        <v>671</v>
      </c>
      <c r="D23" s="2" t="s">
        <v>672</v>
      </c>
      <c r="G23" s="2" t="s">
        <v>582</v>
      </c>
      <c r="H23" s="17">
        <v>5088.49557522124</v>
      </c>
      <c r="I23" s="2"/>
      <c r="J23" s="4">
        <v>1.72</v>
      </c>
      <c r="K23" s="4">
        <v>17.690000000000001</v>
      </c>
      <c r="L23" s="2">
        <v>65.66</v>
      </c>
      <c r="M23" s="2"/>
      <c r="N23" s="112" t="s">
        <v>673</v>
      </c>
    </row>
    <row r="24" spans="2:14" x14ac:dyDescent="0.3">
      <c r="B24" s="2" t="s">
        <v>613</v>
      </c>
      <c r="C24" s="2">
        <v>0</v>
      </c>
      <c r="D24" s="2">
        <v>0</v>
      </c>
      <c r="G24" s="2" t="s">
        <v>583</v>
      </c>
      <c r="H24" s="17">
        <v>5592.9203539823002</v>
      </c>
      <c r="I24" s="2"/>
      <c r="J24" s="4">
        <v>6.69</v>
      </c>
      <c r="K24" s="4"/>
      <c r="L24" s="2">
        <v>74.599999999999994</v>
      </c>
      <c r="M24" s="2"/>
      <c r="N24" s="112"/>
    </row>
    <row r="25" spans="2:14" x14ac:dyDescent="0.3">
      <c r="B25" s="2" t="s">
        <v>614</v>
      </c>
      <c r="C25" s="2">
        <v>0</v>
      </c>
      <c r="D25" s="2">
        <v>0</v>
      </c>
      <c r="G25" s="2" t="s">
        <v>584</v>
      </c>
      <c r="H25" s="17">
        <v>7420.3539823008896</v>
      </c>
      <c r="I25" s="2"/>
      <c r="J25" s="4">
        <v>1.5</v>
      </c>
      <c r="K25" s="4"/>
      <c r="L25" s="2">
        <v>78.540000000000006</v>
      </c>
      <c r="M25" s="2"/>
      <c r="N25" s="112"/>
    </row>
    <row r="26" spans="2:14" ht="15" x14ac:dyDescent="0.3">
      <c r="B26" s="2" t="s">
        <v>615</v>
      </c>
      <c r="C26" s="2">
        <v>0</v>
      </c>
      <c r="D26" s="2">
        <v>5.0000000000000001E-3</v>
      </c>
      <c r="G26" s="2" t="s">
        <v>585</v>
      </c>
      <c r="H26" s="17">
        <v>7876.1061946902701</v>
      </c>
      <c r="I26" s="2"/>
      <c r="J26" s="5">
        <v>0.64</v>
      </c>
      <c r="K26" s="5"/>
      <c r="L26" s="2">
        <v>81.19</v>
      </c>
      <c r="M26" s="2"/>
      <c r="N26" s="112"/>
    </row>
    <row r="27" spans="2:14" x14ac:dyDescent="0.3">
      <c r="B27" s="2" t="s">
        <v>620</v>
      </c>
      <c r="C27" s="2">
        <v>0</v>
      </c>
      <c r="D27" s="2">
        <v>0</v>
      </c>
      <c r="G27" s="2" t="s">
        <v>656</v>
      </c>
      <c r="H27" s="17">
        <v>4973.4513274336296</v>
      </c>
      <c r="I27" s="2"/>
      <c r="J27" s="2">
        <v>0.2</v>
      </c>
      <c r="K27" s="6">
        <v>72.23</v>
      </c>
      <c r="L27" s="2"/>
      <c r="M27" s="2"/>
      <c r="N27" s="112"/>
    </row>
    <row r="28" spans="2:14" x14ac:dyDescent="0.3">
      <c r="B28" s="2" t="s">
        <v>621</v>
      </c>
      <c r="C28" s="2">
        <v>0</v>
      </c>
      <c r="D28" s="2">
        <v>0</v>
      </c>
      <c r="G28" s="2" t="s">
        <v>592</v>
      </c>
      <c r="H28" s="17">
        <v>7699.1150442477901</v>
      </c>
      <c r="I28" s="2"/>
      <c r="J28" s="2">
        <v>10</v>
      </c>
      <c r="K28" s="2"/>
      <c r="L28" s="7"/>
      <c r="M28" s="8">
        <v>52</v>
      </c>
      <c r="N28" s="112"/>
    </row>
    <row r="29" spans="2:14" x14ac:dyDescent="0.3">
      <c r="B29" s="2" t="s">
        <v>622</v>
      </c>
      <c r="C29" s="2">
        <v>0</v>
      </c>
      <c r="D29" s="2">
        <v>0</v>
      </c>
      <c r="G29" s="2" t="s">
        <v>593</v>
      </c>
      <c r="H29" s="17">
        <v>14955.7522123894</v>
      </c>
      <c r="I29" s="2"/>
      <c r="J29" s="9">
        <v>0.12</v>
      </c>
      <c r="K29" s="9"/>
      <c r="L29" s="7"/>
      <c r="M29" s="8">
        <v>59.44</v>
      </c>
      <c r="N29" s="112"/>
    </row>
    <row r="30" spans="2:14" x14ac:dyDescent="0.3">
      <c r="B30" s="2" t="s">
        <v>512</v>
      </c>
      <c r="C30" s="2">
        <v>0</v>
      </c>
      <c r="D30" s="2">
        <v>0</v>
      </c>
      <c r="G30" s="7" t="s">
        <v>674</v>
      </c>
      <c r="H30" s="98"/>
      <c r="I30" s="98"/>
      <c r="J30" s="98"/>
      <c r="K30" s="98"/>
      <c r="L30" s="98"/>
      <c r="M30" s="98"/>
      <c r="N30" s="98"/>
    </row>
    <row r="31" spans="2:14" x14ac:dyDescent="0.3">
      <c r="B31" s="2" t="s">
        <v>623</v>
      </c>
      <c r="C31" s="2">
        <v>0</v>
      </c>
      <c r="D31" s="2">
        <v>0</v>
      </c>
    </row>
    <row r="32" spans="2:14" x14ac:dyDescent="0.3">
      <c r="B32" s="2" t="s">
        <v>611</v>
      </c>
      <c r="C32" s="2">
        <v>0.03</v>
      </c>
      <c r="D32" s="2">
        <v>0.03</v>
      </c>
    </row>
    <row r="33" spans="2:4" x14ac:dyDescent="0.3">
      <c r="B33" s="2" t="s">
        <v>612</v>
      </c>
      <c r="C33" s="2">
        <v>0.02</v>
      </c>
      <c r="D33" s="2">
        <v>0.02</v>
      </c>
    </row>
  </sheetData>
  <mergeCells count="5">
    <mergeCell ref="H30:N30"/>
    <mergeCell ref="H20:H22"/>
    <mergeCell ref="I20:I22"/>
    <mergeCell ref="N19:N22"/>
    <mergeCell ref="N23:N29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炼钢参数表</vt:lpstr>
      <vt:lpstr>1.合金成本</vt:lpstr>
      <vt:lpstr>增碳分析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033</dc:creator>
  <cp:lastModifiedBy>renaissance Karma</cp:lastModifiedBy>
  <dcterms:created xsi:type="dcterms:W3CDTF">2023-05-12T11:15:00Z</dcterms:created>
  <dcterms:modified xsi:type="dcterms:W3CDTF">2026-06-15T07:07:52Z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29481F43776643DFAE8C8BAC293F7FF7_13</vt:lpwstr>
  </property>
  <property fmtid="{D5CDD505-2E9C-101B-9397-08002B2CF9AE}" pid="4" name="CalculationRule">
    <vt:i4>0</vt:i4>
  </property>
</Properties>
</file>