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3"/>
  </bookViews>
  <sheets>
    <sheet name="目标成分" sheetId="2" r:id="rId1"/>
    <sheet name="终点成分与元素回收率" sheetId="3" r:id="rId2"/>
    <sheet name="合金品位" sheetId="4" r:id="rId3"/>
    <sheet name="合金价格" sheetId="1" r:id="rId4"/>
  </sheets>
  <externalReferences>
    <externalReference r:id="rId5"/>
  </externalReferences>
  <definedNames>
    <definedName name="__RptPeriod__" hidden="1">"ENCODE_NgA="</definedName>
    <definedName name="__RptYear___1" hidden="1">"ENCODE_MgAwADAANwA="</definedName>
    <definedName name="__RptPeriod___1" hidden="1">"ENCODE_NAA="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<sst xmlns="http://schemas.openxmlformats.org/spreadsheetml/2006/main" count="4054" uniqueCount="606">
  <si>
    <t>序号</t>
  </si>
  <si>
    <t>适用
牌号</t>
  </si>
  <si>
    <t>分类
序号</t>
  </si>
  <si>
    <t>最小厚度mm</t>
  </si>
  <si>
    <t>最大厚度mm</t>
  </si>
  <si>
    <t>炼钢
牌号</t>
  </si>
  <si>
    <t>钢种类型</t>
  </si>
  <si>
    <t>液相线温度℃</t>
  </si>
  <si>
    <t>内控成分目标值/wt%</t>
  </si>
  <si>
    <t>备注</t>
  </si>
  <si>
    <t>C</t>
  </si>
  <si>
    <t>Si</t>
  </si>
  <si>
    <t>Mn</t>
  </si>
  <si>
    <t>P</t>
  </si>
  <si>
    <t>S</t>
  </si>
  <si>
    <t>V</t>
  </si>
  <si>
    <t>Nb</t>
  </si>
  <si>
    <t>Ti</t>
  </si>
  <si>
    <t>Als</t>
  </si>
  <si>
    <t>Alt</t>
  </si>
  <si>
    <t>Ca</t>
  </si>
  <si>
    <t>Cr</t>
  </si>
  <si>
    <t>Ni</t>
  </si>
  <si>
    <t>Cu</t>
  </si>
  <si>
    <t>Mo</t>
  </si>
  <si>
    <t>B</t>
  </si>
  <si>
    <t>Sb</t>
  </si>
  <si>
    <t>N</t>
  </si>
  <si>
    <t>合金不含税价格</t>
  </si>
  <si>
    <t>Q195</t>
  </si>
  <si>
    <t>01</t>
  </si>
  <si>
    <t>Q195-1</t>
  </si>
  <si>
    <t>A 碳素钢-碳素结构钢-A20 Q195</t>
  </si>
  <si>
    <t>02</t>
  </si>
  <si>
    <t>Q195-2</t>
  </si>
  <si>
    <t/>
  </si>
  <si>
    <t>Q235B</t>
  </si>
  <si>
    <t>Q235B-1</t>
  </si>
  <si>
    <t>A 碳素钢-碳素结构钢-A01 Q235B</t>
  </si>
  <si>
    <t>Q235B-2</t>
  </si>
  <si>
    <t>Q235C</t>
  </si>
  <si>
    <t>Q235C-1</t>
  </si>
  <si>
    <t>A 碳素钢-碳素结构钢-A02 Q235C</t>
  </si>
  <si>
    <t>Q235C-2</t>
  </si>
  <si>
    <t>Q235B-WJ</t>
  </si>
  <si>
    <t>Q235B-LX</t>
  </si>
  <si>
    <t>Q235B-HX</t>
  </si>
  <si>
    <t>Q235B-GL</t>
  </si>
  <si>
    <t>Q235B-GL1</t>
  </si>
  <si>
    <t>A 碳素钢-碳素结构钢-A06 Q235B-GL</t>
  </si>
  <si>
    <t>Q235B-GL2</t>
  </si>
  <si>
    <t>Q235B-GC</t>
  </si>
  <si>
    <t>Q235B-GC1</t>
  </si>
  <si>
    <t>A 碳素钢-碳素结构钢-A33 Q235B-GC</t>
  </si>
  <si>
    <t>Q235B-GC2</t>
  </si>
  <si>
    <t>Q235B-SD</t>
  </si>
  <si>
    <t>Q235B-SD1</t>
  </si>
  <si>
    <t>A 碳素钢-碳素结构钢-A22 Q235B-SD</t>
  </si>
  <si>
    <t>Q235B-SD2</t>
  </si>
  <si>
    <t>Q235B-HG</t>
  </si>
  <si>
    <t>A 碳素钢-碳素结构钢-A05 Q235B-HG</t>
  </si>
  <si>
    <t>A36</t>
  </si>
  <si>
    <t>A36-1</t>
  </si>
  <si>
    <t>A 碳素钢-碳素结构钢-A09 A36</t>
  </si>
  <si>
    <t>A36-2</t>
  </si>
  <si>
    <t>A36-DX</t>
  </si>
  <si>
    <t>A36-DX1</t>
  </si>
  <si>
    <t>A 碳素钢-碳素结构钢-A36 A36-DX</t>
  </si>
  <si>
    <t>A36-DX2</t>
  </si>
  <si>
    <t>SS400</t>
  </si>
  <si>
    <t>SS400-1</t>
  </si>
  <si>
    <t>A 碳素钢-碳素结构钢-A18 SS400</t>
  </si>
  <si>
    <t>SS400-2</t>
  </si>
  <si>
    <t>A36-HW</t>
  </si>
  <si>
    <t>Q235-HW</t>
  </si>
  <si>
    <t>E 花纹板-花纹板类钢材-E01 Q235-HW</t>
  </si>
  <si>
    <t>Q355-HW</t>
  </si>
  <si>
    <t>Q355-HW1</t>
  </si>
  <si>
    <t>E 花纹板-花纹板类钢材-E04 Q355-HW</t>
  </si>
  <si>
    <t>Q355级别花纹板</t>
  </si>
  <si>
    <t>Q355-HW2</t>
  </si>
  <si>
    <t>SPHC</t>
  </si>
  <si>
    <t>SPHC-ZT</t>
  </si>
  <si>
    <t>C 热轧低碳钢-冷轧基料-C01 SPHC</t>
  </si>
  <si>
    <t>SPHC-SX</t>
  </si>
  <si>
    <t>SPHC-M</t>
  </si>
  <si>
    <t>C 热轧低碳钢-冷轧基料-C02 SPHC-M</t>
  </si>
  <si>
    <t>SPHC-M(B)</t>
  </si>
  <si>
    <t>C 热轧低碳钢-冷轧基料-C05 SPHC-M(B)</t>
  </si>
  <si>
    <t>含硼马口铁</t>
  </si>
  <si>
    <t>MRT2.5</t>
  </si>
  <si>
    <t>C 热轧低碳钢-冷轧基料-C03 MRT2.5</t>
  </si>
  <si>
    <t>供日照昱岚新材料有限公司冷轧用热轧卷板</t>
  </si>
  <si>
    <t>YFMRT2.5</t>
  </si>
  <si>
    <t>C 热轧低碳钢-冷轧基料-C07 YFMRT2.5</t>
  </si>
  <si>
    <t>供友富用热轧卷板</t>
  </si>
  <si>
    <t>YLMRT3</t>
  </si>
  <si>
    <t>C 热轧低碳钢-冷轧基料-C04 YLMRT3</t>
  </si>
  <si>
    <t>Q355B</t>
  </si>
  <si>
    <t>Q355B-1</t>
  </si>
  <si>
    <t>B 结构钢-低合金高强结构钢-B01 Q355B</t>
  </si>
  <si>
    <t>Q355B-2</t>
  </si>
  <si>
    <t>03</t>
  </si>
  <si>
    <t>Q355B-3B</t>
  </si>
  <si>
    <t>B 低合金钢-低合金高强结构钢-B01 Q355B</t>
  </si>
  <si>
    <t>Q355C</t>
  </si>
  <si>
    <t>Q355C-1</t>
  </si>
  <si>
    <t>B 低合金钢-低合金高强结构钢-B03 Q355C</t>
  </si>
  <si>
    <t>Q355C-2</t>
  </si>
  <si>
    <t>Q355C-3</t>
  </si>
  <si>
    <t>Q355D</t>
  </si>
  <si>
    <t>Q355D-1</t>
  </si>
  <si>
    <t>B 低合金钢-低合金高强结构钢-B04 Q355D</t>
  </si>
  <si>
    <t>Q355D-2</t>
  </si>
  <si>
    <t>Q355D-3</t>
  </si>
  <si>
    <t>Q355B-T</t>
  </si>
  <si>
    <t>Q355B-T1</t>
  </si>
  <si>
    <t>B 低合金钢-低合金高强结构钢-B17 Q355B-T</t>
  </si>
  <si>
    <t>Q355B-T2</t>
  </si>
  <si>
    <t>Q355B-T3</t>
  </si>
  <si>
    <t>Q355ME</t>
  </si>
  <si>
    <t>Q355ME-1</t>
  </si>
  <si>
    <t>B 低合金钢-低合金高强结构钢-B26 Q355ME</t>
  </si>
  <si>
    <t>Q355ME-2</t>
  </si>
  <si>
    <t>Q355ME-3</t>
  </si>
  <si>
    <t>Q355B-S</t>
  </si>
  <si>
    <t>B 低合金钢-低合金高强结构钢-B24 Q355B-S</t>
  </si>
  <si>
    <t>Q355B-SS</t>
  </si>
  <si>
    <t>Q355B-SD</t>
  </si>
  <si>
    <t>Q355B-SD1</t>
  </si>
  <si>
    <t>B 低合金钢-低合金高强结构钢-B46 Q355B-SD</t>
  </si>
  <si>
    <t>Q355B-SD2</t>
  </si>
  <si>
    <t>Q355B-SD3</t>
  </si>
  <si>
    <t>Q355B-DX</t>
  </si>
  <si>
    <t>Q355B-DX1</t>
  </si>
  <si>
    <t>B 低合金钢-低合金高强结构钢-B20 Q355B-DX</t>
  </si>
  <si>
    <t>Q355B-ZW</t>
  </si>
  <si>
    <t>Q355B-ZW3</t>
  </si>
  <si>
    <t>B 低合金钢-低合金高强结构钢-B19 Q355B-ZW</t>
  </si>
  <si>
    <t>Q355B-ZW4</t>
  </si>
  <si>
    <t>Q355B-HL1</t>
  </si>
  <si>
    <t>Q355B-3A</t>
  </si>
  <si>
    <t>Q355B-HL2</t>
  </si>
  <si>
    <t>Q355B-HL3</t>
  </si>
  <si>
    <t>Q355B-HL4</t>
  </si>
  <si>
    <t>Q355C-HL3</t>
  </si>
  <si>
    <t>Q390B</t>
  </si>
  <si>
    <t>Q390B-1</t>
  </si>
  <si>
    <t>B 低合金钢-低合金高强结构钢-B16 Q390B</t>
  </si>
  <si>
    <t>Q390B-2</t>
  </si>
  <si>
    <t>Q390B-3</t>
  </si>
  <si>
    <t>Q420B</t>
  </si>
  <si>
    <t>Q420B-1</t>
  </si>
  <si>
    <t>B 低合金钢-低合金高强结构钢-B02 Q420B</t>
  </si>
  <si>
    <t>Q420B-2</t>
  </si>
  <si>
    <t>Q420MB</t>
  </si>
  <si>
    <t>Q420B-HL1</t>
  </si>
  <si>
    <t>Q420B-HL2</t>
  </si>
  <si>
    <t>Q420C</t>
  </si>
  <si>
    <t>Q420C-1</t>
  </si>
  <si>
    <t>B 低合金钢-低合金高强结构钢-B29 Q420C</t>
  </si>
  <si>
    <t>Q420C-2</t>
  </si>
  <si>
    <t>Q420MD</t>
  </si>
  <si>
    <t>Q420MD-1</t>
  </si>
  <si>
    <t>B 低合金钢-低合金高强结构钢-B48 Q420MD-HL2</t>
  </si>
  <si>
    <t>Q420MD-2</t>
  </si>
  <si>
    <t>Q420MD-HL1</t>
  </si>
  <si>
    <t>Q420MD-HL2</t>
  </si>
  <si>
    <t>Q420ME</t>
  </si>
  <si>
    <t>Q420ME-1</t>
  </si>
  <si>
    <t>B 低合金钢-低合金高强结构钢-B44 Q420ME</t>
  </si>
  <si>
    <t>Q420ME-2</t>
  </si>
  <si>
    <t>Q460C</t>
  </si>
  <si>
    <t>Q460C-1</t>
  </si>
  <si>
    <t>B 低合金钢-低合金高强结构钢-B22 Q460C</t>
  </si>
  <si>
    <t>Q460C-2</t>
  </si>
  <si>
    <t>Q460MC</t>
  </si>
  <si>
    <t>Q460MC-1</t>
  </si>
  <si>
    <t>B 低合金钢-低合金高强结构钢-B06 Q460MC</t>
  </si>
  <si>
    <t>Q460MC-2</t>
  </si>
  <si>
    <t>Q460MC(YZ)</t>
  </si>
  <si>
    <t>Q460MC(YZ)-2</t>
  </si>
  <si>
    <t>B 低合金钢-低合金高强结构钢-B56 Q460MC(YZ)</t>
  </si>
  <si>
    <t>Q460MD</t>
  </si>
  <si>
    <t>Q460MD-1</t>
  </si>
  <si>
    <t>B 低合金钢-低合金高强结构钢-B07 Q460MD</t>
  </si>
  <si>
    <t>Q460MD-2</t>
  </si>
  <si>
    <t>Q500MC</t>
  </si>
  <si>
    <t>Q500MC-1</t>
  </si>
  <si>
    <t>B 低合金钢-低合金高强结构钢-B49 Q500MC</t>
  </si>
  <si>
    <t>Q500MC-2</t>
  </si>
  <si>
    <t>Q500MD</t>
  </si>
  <si>
    <t>Q500MD-1</t>
  </si>
  <si>
    <t>B 低合金钢-低合金高强结构钢-B50 Q500MD</t>
  </si>
  <si>
    <t>Q500MD-2</t>
  </si>
  <si>
    <t>Q550MD</t>
  </si>
  <si>
    <t>B 低合金钢-低合金高强结构钢-B38 Q550MD</t>
  </si>
  <si>
    <t>Q390GJB</t>
  </si>
  <si>
    <t>Q390GJB-1</t>
  </si>
  <si>
    <t>B 低合金钢-低合金高强结构钢-B40 Q390GJB</t>
  </si>
  <si>
    <t>Q390GJB-2</t>
  </si>
  <si>
    <t>A572Gr50</t>
  </si>
  <si>
    <t>A572Gr50-1</t>
  </si>
  <si>
    <t>B 低合金钢-低合金高强结构钢-B25 A572Gr50</t>
  </si>
  <si>
    <t>A572Gr50-2</t>
  </si>
  <si>
    <t>A572Gr50-3</t>
  </si>
  <si>
    <t>A572Gr50-DX</t>
  </si>
  <si>
    <t>A572Gr50-DX1</t>
  </si>
  <si>
    <t>B 低合金钢-低合金高强结构钢-B55 A572Gr50-DX</t>
  </si>
  <si>
    <t>A572Gr50-DX2</t>
  </si>
  <si>
    <t>A572Gr50-DX3</t>
  </si>
  <si>
    <t>A572GR60</t>
  </si>
  <si>
    <t>A572GR60-1</t>
  </si>
  <si>
    <t>B 低合金钢-低合金高强结构钢-B54 A572GR60</t>
  </si>
  <si>
    <t>A572GR60-2</t>
  </si>
  <si>
    <t>A572GR60-3</t>
  </si>
  <si>
    <t>A572GR65</t>
  </si>
  <si>
    <t>A572GR65-1</t>
  </si>
  <si>
    <t>B 低合金钢-低合金高强结构钢-B37 A572GR65</t>
  </si>
  <si>
    <t>A572GR65-2</t>
  </si>
  <si>
    <t>A572GR65-T</t>
  </si>
  <si>
    <t>A572GR65-T1</t>
  </si>
  <si>
    <t>B 低合金钢-低合金高强结构钢-B30 A572GR65-T</t>
  </si>
  <si>
    <t>A572GR65-T2</t>
  </si>
  <si>
    <t>26MnB5</t>
  </si>
  <si>
    <t>I 合金结构钢-MnB钢-I02 26MnB5</t>
  </si>
  <si>
    <t>SA516 Gr70</t>
  </si>
  <si>
    <t>SA516 Gr70-1</t>
  </si>
  <si>
    <t>F 压力容器用钢-美标-F05 SA516 Gr70</t>
  </si>
  <si>
    <t>S235JR</t>
  </si>
  <si>
    <t>S235JR-1</t>
  </si>
  <si>
    <t>A 碳素钢-碳素结构钢-A17 S235JR</t>
  </si>
  <si>
    <t>欧标用</t>
  </si>
  <si>
    <t>S235JR-2</t>
  </si>
  <si>
    <t>S235JR-DX</t>
  </si>
  <si>
    <t>S235JR-DX1</t>
  </si>
  <si>
    <t>A 碳素钢-碳素结构钢-A40 S235JR-DX</t>
  </si>
  <si>
    <t>S235JR-DX2</t>
  </si>
  <si>
    <t>S235J0</t>
  </si>
  <si>
    <t>S235J0-1</t>
  </si>
  <si>
    <t>A 碳素钢-碳素结构钢-A14 S235J0</t>
  </si>
  <si>
    <t>S235J0-2</t>
  </si>
  <si>
    <t>S235J2</t>
  </si>
  <si>
    <t>S235J2-1</t>
  </si>
  <si>
    <t>A 碳素钢-碳素结构钢-A15 S235J2</t>
  </si>
  <si>
    <t>S235J2-2</t>
  </si>
  <si>
    <t>S275JR</t>
  </si>
  <si>
    <t>S275JR-1</t>
  </si>
  <si>
    <t>A 碳素钢-碳素结构钢-A10 S275JR</t>
  </si>
  <si>
    <t>S275JR-2</t>
  </si>
  <si>
    <t>S275JR-3</t>
  </si>
  <si>
    <t>S275JR-DX</t>
  </si>
  <si>
    <t>S275JR-DX1</t>
  </si>
  <si>
    <t>A 碳素钢-碳素结构钢-A38 S275JR-DX</t>
  </si>
  <si>
    <t>S275JR-DX2</t>
  </si>
  <si>
    <t>S275J0</t>
  </si>
  <si>
    <t>S275J0-1</t>
  </si>
  <si>
    <t>A 碳素钢-碳素结构钢-A28 S275J0</t>
  </si>
  <si>
    <t>S275J0-2</t>
  </si>
  <si>
    <t>S275J2</t>
  </si>
  <si>
    <t>S275J2-1</t>
  </si>
  <si>
    <t>A 碳素钢-碳素结构钢-A29 S275J2</t>
  </si>
  <si>
    <t>S275J2-2</t>
  </si>
  <si>
    <t>S355JR</t>
  </si>
  <si>
    <t>S355JR-1</t>
  </si>
  <si>
    <t>A 碳素钢-碳素结构钢-A21 S355JR</t>
  </si>
  <si>
    <t>S355JR-2</t>
  </si>
  <si>
    <t>S355JR-3</t>
  </si>
  <si>
    <t>S355JR-DX</t>
  </si>
  <si>
    <t>S355JR-DX1</t>
  </si>
  <si>
    <t>A 碳素钢-碳素结构钢-A31 S355JR-DX</t>
  </si>
  <si>
    <t>S355JR-DX2</t>
  </si>
  <si>
    <t>S355J0</t>
  </si>
  <si>
    <t>S355J0-1</t>
  </si>
  <si>
    <t>A 碳素钢-碳素结构钢-A26 S355J0</t>
  </si>
  <si>
    <t>S355J0-2</t>
  </si>
  <si>
    <t>S355J0-3</t>
  </si>
  <si>
    <t>S355J0-DX</t>
  </si>
  <si>
    <t>S355J0-DX1</t>
  </si>
  <si>
    <t>A 碳素钢-碳素结构钢-A32 S355J0-DX</t>
  </si>
  <si>
    <t>控硅S355J0-DX</t>
  </si>
  <si>
    <t>S355J0-DX2</t>
  </si>
  <si>
    <t>S355J2</t>
  </si>
  <si>
    <t>S355J2-1</t>
  </si>
  <si>
    <t>A 碳素钢-碳素结构钢-A16 S355J2</t>
  </si>
  <si>
    <t>S355J2-2</t>
  </si>
  <si>
    <t>S355J2-3</t>
  </si>
  <si>
    <t>S355M</t>
  </si>
  <si>
    <t>S355M-1</t>
  </si>
  <si>
    <t>A 碳素钢-碳素结构钢-A11 S355M</t>
  </si>
  <si>
    <t>S355M-2</t>
  </si>
  <si>
    <t>S460M</t>
  </si>
  <si>
    <t>S460M-1</t>
  </si>
  <si>
    <t>A 碳素钢-碳素结构钢-A12 S460M</t>
  </si>
  <si>
    <t>S460M-2</t>
  </si>
  <si>
    <t>S420MC</t>
  </si>
  <si>
    <t>S420MC-1</t>
  </si>
  <si>
    <t>B 低合金钢-低合金高强结构钢-B32 S420MC</t>
  </si>
  <si>
    <t>S420MC-2</t>
  </si>
  <si>
    <t>S460MC</t>
  </si>
  <si>
    <t>S460MC-1</t>
  </si>
  <si>
    <t>B 低合金钢-低合金高强结构钢-B53 S460MC</t>
  </si>
  <si>
    <t>S460MC-2</t>
  </si>
  <si>
    <t>S500MC</t>
  </si>
  <si>
    <t>S500MC-1</t>
  </si>
  <si>
    <t>D 汽车用钢-汽车结构钢-D11 S500MC</t>
  </si>
  <si>
    <t>S500MC-2</t>
  </si>
  <si>
    <t>QStE420TM</t>
  </si>
  <si>
    <t>QStE420TM-1</t>
  </si>
  <si>
    <t>D 汽车用钢-汽车结构钢-D17 QStE420TM</t>
  </si>
  <si>
    <t>QStE420TM-2</t>
  </si>
  <si>
    <t>QStE500TM</t>
  </si>
  <si>
    <t>QStE500TM-1</t>
  </si>
  <si>
    <t>D 汽车用钢-汽车结构钢-D12 QStE500TM</t>
  </si>
  <si>
    <t>QStE500TM-2</t>
  </si>
  <si>
    <t>QStE700TM</t>
  </si>
  <si>
    <t>QStE700TM-1</t>
  </si>
  <si>
    <t>D 汽车用钢-汽车结构钢-D19 QStE700TM</t>
  </si>
  <si>
    <t>QStE700TM-2</t>
  </si>
  <si>
    <t>BX700</t>
  </si>
  <si>
    <t>B 低合金钢-保险箱用钢-B45 BX700</t>
  </si>
  <si>
    <t>C355-5</t>
  </si>
  <si>
    <t>B 低合金钢-低合金高强结构钢-B41 C355-5</t>
  </si>
  <si>
    <t>YFA-1</t>
  </si>
  <si>
    <t>D 汽车用钢-汽车大梁钢-D22 YFA-1</t>
  </si>
  <si>
    <t>安驰定制</t>
  </si>
  <si>
    <t>Q245R</t>
  </si>
  <si>
    <t>Q245R-1</t>
  </si>
  <si>
    <t>F 压力容器用钢-345级别-F02 Q245R</t>
  </si>
  <si>
    <t>Q245R-2</t>
  </si>
  <si>
    <t>Q345R</t>
  </si>
  <si>
    <t>F 压力容器用钢-345级别-F01 Q345R</t>
  </si>
  <si>
    <t>Q345R-1</t>
  </si>
  <si>
    <t>Q345R-E</t>
  </si>
  <si>
    <t>Q345R-E1</t>
  </si>
  <si>
    <t>F 压力容器用钢-345级别-F06 Q345R-E</t>
  </si>
  <si>
    <t>Q345R-E2</t>
  </si>
  <si>
    <t>Q345qC</t>
  </si>
  <si>
    <t>B 低合金钢-低合金高强结构钢-B36 Q345qC</t>
  </si>
  <si>
    <t>Q345qD</t>
  </si>
  <si>
    <t>B 低合金钢-低合金高强结构钢-B35 Q345qD</t>
  </si>
  <si>
    <t>HP295</t>
  </si>
  <si>
    <t>H 焊接气瓶用钢-295级别-H01 HP295</t>
  </si>
  <si>
    <t>Q235PL</t>
  </si>
  <si>
    <t>Q235PL-1</t>
  </si>
  <si>
    <t>D 汽车用钢-汽车车轮用钢-D04 Q235PL</t>
  </si>
  <si>
    <t>Q235PL-2</t>
  </si>
  <si>
    <t>330CL</t>
  </si>
  <si>
    <t>330CL-1</t>
  </si>
  <si>
    <t>D 汽车用钢-汽车车轮用钢-D08 330CL</t>
  </si>
  <si>
    <t>330CL-2</t>
  </si>
  <si>
    <t>380CL</t>
  </si>
  <si>
    <t>380CL-1</t>
  </si>
  <si>
    <t>D 汽车用钢-汽车车轮用钢-D02 380CL</t>
  </si>
  <si>
    <t>380CL-2</t>
  </si>
  <si>
    <t>380CL-QL</t>
  </si>
  <si>
    <t>380CL-QL1</t>
  </si>
  <si>
    <t>D 汽车用钢-汽车车轮用钢-D23 380CL-QL</t>
  </si>
  <si>
    <t>齐鲁轮业定制</t>
  </si>
  <si>
    <t>380CL-QL2</t>
  </si>
  <si>
    <t>380CL-JD</t>
  </si>
  <si>
    <t>380CL-JD1</t>
  </si>
  <si>
    <t>D 汽车用钢-汽车车轮用钢-D25 380CL-JD</t>
  </si>
  <si>
    <t>380CL-JD2</t>
  </si>
  <si>
    <t>380CL-JD3</t>
  </si>
  <si>
    <t>420CL</t>
  </si>
  <si>
    <t>420CL-1</t>
  </si>
  <si>
    <t>D 汽车用钢-汽车车轮用钢-D18 420CL</t>
  </si>
  <si>
    <t>420CL-2</t>
  </si>
  <si>
    <t>SL440</t>
  </si>
  <si>
    <t>D 汽车用钢-汽车车轮用钢-D21 SL440</t>
  </si>
  <si>
    <t>590CL</t>
  </si>
  <si>
    <t>590CL-1</t>
  </si>
  <si>
    <t>D 汽车用钢-汽车车轮用钢-D13 590CL</t>
  </si>
  <si>
    <t>590CL-2</t>
  </si>
  <si>
    <t>YFDP600-SY</t>
  </si>
  <si>
    <t>D 汽车用钢-汽车车轮用钢-D15 YFDP600-SY</t>
  </si>
  <si>
    <t>510L</t>
  </si>
  <si>
    <t>510L-1</t>
  </si>
  <si>
    <t>D 汽车用钢-汽车大梁钢-D05 510L</t>
  </si>
  <si>
    <t>510L-2</t>
  </si>
  <si>
    <t>610L</t>
  </si>
  <si>
    <t>610L-1</t>
  </si>
  <si>
    <t>D 汽车用钢-汽车大梁钢-D06 610L</t>
  </si>
  <si>
    <t>610L-2</t>
  </si>
  <si>
    <t>YF700BL</t>
  </si>
  <si>
    <t>YF700BL-1</t>
  </si>
  <si>
    <t>D 汽车用钢-汽车大梁钢-D01 YF700BL</t>
  </si>
  <si>
    <t>YF700BL-2</t>
  </si>
  <si>
    <t>YF700BL-3</t>
  </si>
  <si>
    <t>700L</t>
  </si>
  <si>
    <t>700L-1</t>
  </si>
  <si>
    <t>D 汽车用钢-汽车大梁钢-D07 700L</t>
  </si>
  <si>
    <t>700L-2</t>
  </si>
  <si>
    <t>700L-3</t>
  </si>
  <si>
    <t>700L-S</t>
  </si>
  <si>
    <t>700L-S1</t>
  </si>
  <si>
    <t>D 汽车用钢-汽车大梁钢-D24 700L-S</t>
  </si>
  <si>
    <t>700L-S2</t>
  </si>
  <si>
    <t>700L(HJKJ)</t>
  </si>
  <si>
    <t>D 汽车用钢-汽车大梁钢-D26 700L(HJKJ)</t>
  </si>
  <si>
    <t>750L</t>
  </si>
  <si>
    <t>750L-1</t>
  </si>
  <si>
    <t>D 汽车用钢-汽车大梁钢-D16 750L</t>
  </si>
  <si>
    <t>750L-2</t>
  </si>
  <si>
    <t>800L</t>
  </si>
  <si>
    <t>800L-AC</t>
  </si>
  <si>
    <t>D 汽车用钢-汽车大梁钢-D09 800L-AC</t>
  </si>
  <si>
    <t>800L-ACH</t>
  </si>
  <si>
    <t>L245</t>
  </si>
  <si>
    <t>L245-1</t>
  </si>
  <si>
    <t>L 管线钢-L360级别-L02 L245</t>
  </si>
  <si>
    <t>L245-2</t>
  </si>
  <si>
    <t>L245M</t>
  </si>
  <si>
    <t>L245M-1</t>
  </si>
  <si>
    <t>L 管线钢-L360级别-L03 L245M</t>
  </si>
  <si>
    <t>L245M-2</t>
  </si>
  <si>
    <t>L290</t>
  </si>
  <si>
    <t>L290-1</t>
  </si>
  <si>
    <t>L 管线钢-L290级别-L12 L290</t>
  </si>
  <si>
    <t>L290-2</t>
  </si>
  <si>
    <t>L360</t>
  </si>
  <si>
    <t>L 管线钢-L360级别-L01 L360</t>
  </si>
  <si>
    <t>L485</t>
  </si>
  <si>
    <t>L485-1</t>
  </si>
  <si>
    <t>L 管线钢-L485级别-L08 L485</t>
  </si>
  <si>
    <t>L485-2</t>
  </si>
  <si>
    <t>X42</t>
  </si>
  <si>
    <t>X42-1</t>
  </si>
  <si>
    <t>L 管线钢-API-L09 X42</t>
  </si>
  <si>
    <t>X42-2</t>
  </si>
  <si>
    <t>X60M</t>
  </si>
  <si>
    <t>X60M-1</t>
  </si>
  <si>
    <t>L 管线钢-API-L11 X60M</t>
  </si>
  <si>
    <t>X60M-2</t>
  </si>
  <si>
    <t xml:space="preserve">PSL1 X65 </t>
  </si>
  <si>
    <t>X65-1</t>
  </si>
  <si>
    <t>L 管线钢-API-L04 API 5L X65</t>
  </si>
  <si>
    <t>X65-2</t>
  </si>
  <si>
    <t>X70</t>
  </si>
  <si>
    <t>X70-1</t>
  </si>
  <si>
    <t>L 管线钢-API-L05 X70</t>
  </si>
  <si>
    <t>API 5L X70</t>
  </si>
  <si>
    <t>X70-2</t>
  </si>
  <si>
    <t>X70M</t>
  </si>
  <si>
    <t>X70M-1</t>
  </si>
  <si>
    <t>L 管线钢-API-L06 X70M</t>
  </si>
  <si>
    <t>API 5L X70M</t>
  </si>
  <si>
    <t>X70M-2</t>
  </si>
  <si>
    <t>X80M</t>
  </si>
  <si>
    <t>X80M-1</t>
  </si>
  <si>
    <t>L 管线钢-API-L07 X80M</t>
  </si>
  <si>
    <t>X80M管线钢</t>
  </si>
  <si>
    <t>X80M-2</t>
  </si>
  <si>
    <t>JF-RS</t>
  </si>
  <si>
    <t>B 低合金钢-低合金高强结构钢-B27 JF-RS</t>
  </si>
  <si>
    <t>F520JJ</t>
  </si>
  <si>
    <t>B 低合金钢-搅拌车用钢-B18 F520JJ</t>
  </si>
  <si>
    <t>09CrCuSb</t>
  </si>
  <si>
    <t>F 压力容器用钢-耐酸钢-F03 09CrCuSb</t>
  </si>
  <si>
    <t>Q235NH</t>
  </si>
  <si>
    <t>Q235NH-1</t>
  </si>
  <si>
    <t>N 耐候钢-焊接耐候结构钢-N02 Q235NH</t>
  </si>
  <si>
    <t>Q235NH-2</t>
  </si>
  <si>
    <t>A709-50W</t>
  </si>
  <si>
    <t>A709-50W-1</t>
  </si>
  <si>
    <t>N 耐候钢-美标低合金高强钢-N04 A709-50W</t>
  </si>
  <si>
    <t>A709-50W-2</t>
  </si>
  <si>
    <t>A588GR.A</t>
  </si>
  <si>
    <t>A588GR.A-1</t>
  </si>
  <si>
    <t>N 耐候钢-美标低合金高强钢-N01 A588GR.A</t>
  </si>
  <si>
    <t>A588GR.A-2</t>
  </si>
  <si>
    <t>Q450NQR1</t>
  </si>
  <si>
    <t>N 耐候钢-焊接耐候结构钢-N03 Q450NQR1</t>
  </si>
  <si>
    <t>HXN-1</t>
  </si>
  <si>
    <t>HXN-11</t>
  </si>
  <si>
    <t>J 耐磨钢-345级别-J01 HXN-1</t>
  </si>
  <si>
    <t>HXN-12</t>
  </si>
  <si>
    <t>HXN-2</t>
  </si>
  <si>
    <t>J 耐磨钢-345级别-J04 HXN-2</t>
  </si>
  <si>
    <t>HX750</t>
  </si>
  <si>
    <t>HX750-1</t>
  </si>
  <si>
    <t>J 耐磨钢-750级别-J02 HX750</t>
  </si>
  <si>
    <t>HX750-2</t>
  </si>
  <si>
    <t>NM400</t>
  </si>
  <si>
    <t>NM400-1</t>
  </si>
  <si>
    <t>J 耐磨钢-400级别-J05 NM400</t>
  </si>
  <si>
    <t>NM400-2</t>
  </si>
  <si>
    <t>NM450</t>
  </si>
  <si>
    <t>NM450-1</t>
  </si>
  <si>
    <t>J 耐磨钢-450级别-J06 NM450</t>
  </si>
  <si>
    <t>NM450-2</t>
  </si>
  <si>
    <t>NM500</t>
  </si>
  <si>
    <t>NM500-1</t>
  </si>
  <si>
    <t>J 耐磨钢-500级别-J07 NM500</t>
  </si>
  <si>
    <t>NM500-2</t>
  </si>
  <si>
    <t>NM600</t>
  </si>
  <si>
    <t>NM600-1</t>
  </si>
  <si>
    <t>J 耐磨钢-600级别-J10 NM600</t>
  </si>
  <si>
    <t>NM600-2</t>
  </si>
  <si>
    <t>A</t>
  </si>
  <si>
    <t>G 船舶结构用钢- 一般强度结构钢-G01 A</t>
  </si>
  <si>
    <t>AH32</t>
  </si>
  <si>
    <t>AH32-1</t>
  </si>
  <si>
    <t>AH32-2</t>
  </si>
  <si>
    <t>AH36</t>
  </si>
  <si>
    <t>AH36-1</t>
  </si>
  <si>
    <t>AH36-2</t>
  </si>
  <si>
    <t>CCSA</t>
  </si>
  <si>
    <t>CCSB</t>
  </si>
  <si>
    <t>CCSAH32</t>
  </si>
  <si>
    <t>CCSAH32-1</t>
  </si>
  <si>
    <t>CCSAH32-2</t>
  </si>
  <si>
    <t>CCSAH36</t>
  </si>
  <si>
    <t>CCSAH36-1</t>
  </si>
  <si>
    <t>CCSAH36-2</t>
  </si>
  <si>
    <t>AB/A</t>
  </si>
  <si>
    <t>AB/B</t>
  </si>
  <si>
    <t>AB/AH32</t>
  </si>
  <si>
    <t>AB/AH32-1</t>
  </si>
  <si>
    <t>AB/AH32-2</t>
  </si>
  <si>
    <t>AB/AH36</t>
  </si>
  <si>
    <t>AB/AH36-1</t>
  </si>
  <si>
    <t>AB/AH36-2</t>
  </si>
  <si>
    <t>BVA</t>
  </si>
  <si>
    <t>BVB</t>
  </si>
  <si>
    <t>BVAH32</t>
  </si>
  <si>
    <t>BVAH32-1</t>
  </si>
  <si>
    <t>BVAH32-2</t>
  </si>
  <si>
    <t>BVAH36</t>
  </si>
  <si>
    <t>BVAH36-1</t>
  </si>
  <si>
    <t>BVAH36-2</t>
  </si>
  <si>
    <t>NV A</t>
  </si>
  <si>
    <t>NV B</t>
  </si>
  <si>
    <t>NV A32</t>
  </si>
  <si>
    <t>NV A32-1</t>
  </si>
  <si>
    <t>NV A32-2</t>
  </si>
  <si>
    <t>NV A36</t>
  </si>
  <si>
    <t>NV A36-1</t>
  </si>
  <si>
    <t>NV A36-2</t>
  </si>
  <si>
    <t>KA</t>
  </si>
  <si>
    <t>KB</t>
  </si>
  <si>
    <t>KA32</t>
  </si>
  <si>
    <t>KA32-1</t>
  </si>
  <si>
    <t>KA32-2</t>
  </si>
  <si>
    <t>KA36</t>
  </si>
  <si>
    <t>KA36-1</t>
  </si>
  <si>
    <t>KA36-2</t>
  </si>
  <si>
    <t>KRA</t>
  </si>
  <si>
    <t>KRB</t>
  </si>
  <si>
    <t>KRA32</t>
  </si>
  <si>
    <t>KRA32-1</t>
  </si>
  <si>
    <t>KRA32-2</t>
  </si>
  <si>
    <t>KRA36</t>
  </si>
  <si>
    <t>KRA36-1</t>
  </si>
  <si>
    <t>KRA36-2</t>
  </si>
  <si>
    <t>LRA</t>
  </si>
  <si>
    <t>LRB</t>
  </si>
  <si>
    <t>LRA32</t>
  </si>
  <si>
    <t>LRA32-1</t>
  </si>
  <si>
    <t>LRA32-2</t>
  </si>
  <si>
    <t>LRA36</t>
  </si>
  <si>
    <t>LRA36-1</t>
  </si>
  <si>
    <t>LRA36-2</t>
  </si>
  <si>
    <t>适用牌号</t>
  </si>
  <si>
    <t>厚度mm</t>
  </si>
  <si>
    <t>炼钢牌号</t>
  </si>
  <si>
    <t>终点碳</t>
  </si>
  <si>
    <t>终点锰</t>
  </si>
  <si>
    <t>终点Cr</t>
  </si>
  <si>
    <t>硅回收率</t>
  </si>
  <si>
    <t>锰回收率</t>
  </si>
  <si>
    <t>钒回收率</t>
  </si>
  <si>
    <t>铌回收率</t>
  </si>
  <si>
    <t>钛回收率</t>
  </si>
  <si>
    <t>铬回收率</t>
  </si>
  <si>
    <t>项目</t>
  </si>
  <si>
    <t>价格</t>
  </si>
  <si>
    <t>单耗</t>
  </si>
  <si>
    <t>目标成分</t>
  </si>
  <si>
    <t>残余元素</t>
  </si>
  <si>
    <t>回收率</t>
  </si>
  <si>
    <t>硅锰</t>
  </si>
  <si>
    <t>合金成分含量</t>
  </si>
  <si>
    <t>高碳锰铁</t>
  </si>
  <si>
    <t>中碳锰铁</t>
  </si>
  <si>
    <t>低碳锰铁</t>
  </si>
  <si>
    <t>硅铁</t>
  </si>
  <si>
    <t>高碳铬铁</t>
  </si>
  <si>
    <t>低碳铬铁</t>
  </si>
  <si>
    <t>最优合金成本</t>
  </si>
  <si>
    <t>含税到厂价格（元/吨)</t>
  </si>
  <si>
    <t>元素名称</t>
  </si>
  <si>
    <t>物料名称</t>
  </si>
  <si>
    <t>物料价格/元</t>
  </si>
  <si>
    <t>金属锰</t>
  </si>
  <si>
    <t>磷铁</t>
  </si>
  <si>
    <t>硫铁线40</t>
  </si>
  <si>
    <t>钒铁</t>
  </si>
  <si>
    <t>铌铁</t>
  </si>
  <si>
    <t>钛铁</t>
  </si>
  <si>
    <t>电解镍</t>
  </si>
  <si>
    <t>电解铜</t>
  </si>
  <si>
    <t>钼铁</t>
  </si>
  <si>
    <t>硼铁</t>
  </si>
  <si>
    <t>铝块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</si>
</sst>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_ "/>
    <numFmt numFmtId="178" formatCode="#,##0.0000"/>
    <numFmt numFmtId="179" formatCode="0.00_ "/>
    <numFmt numFmtId="180" formatCode="0.0000"/>
    <numFmt numFmtId="181" formatCode="0.000_ "/>
    <numFmt numFmtId="182" formatCode="0.0000_ "/>
    <numFmt numFmtId="183" formatCode="0.0000000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新細明體"/>
      <charset val="134"/>
    </font>
    <font>
      <sz val="12"/>
      <name val="宋体"/>
      <charset val="134"/>
    </font>
    <font>
      <sz val="12"/>
      <name val="楷体"/>
      <charset val="134"/>
    </font>
    <font>
      <b/>
      <sz val="14"/>
      <name val="宋体"/>
      <charset val="134"/>
    </font>
    <font>
      <sz val="11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5" borderId="8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9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0" fillId="0" borderId="0">
      <alignment vertical="center"/>
    </xf>
    <xf numFmtId="0" fontId="21" fillId="6" borderId="11">
      <alignment vertical="center"/>
    </xf>
    <xf numFmtId="0" fontId="22" fillId="7" borderId="12">
      <alignment vertical="center"/>
    </xf>
    <xf numFmtId="0" fontId="23" fillId="7" borderId="11">
      <alignment vertical="center"/>
    </xf>
    <xf numFmtId="0" fontId="24" fillId="8" borderId="13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0" fillId="35" borderId="0">
      <alignment vertical="center"/>
    </xf>
  </cellStyleXfs>
  <cellXfs count="9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 applyProtection="1">
      <alignment horizontal="center" vertical="center" wrapText="1"/>
    </xf>
    <xf numFmtId="179" fontId="0" fillId="0" borderId="1" xfId="0" applyNumberForma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79" fontId="0" fillId="0" borderId="1" xfId="0" applyNumberForma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79" fontId="5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181" fontId="5" fillId="0" borderId="0" xfId="0" applyNumberFormat="1" applyFont="1" applyFill="1" applyAlignment="1">
      <alignment vertical="center"/>
    </xf>
    <xf numFmtId="179" fontId="5" fillId="0" borderId="0" xfId="0" applyNumberFormat="1" applyFont="1" applyFill="1" applyAlignment="1">
      <alignment vertical="center"/>
    </xf>
    <xf numFmtId="182" fontId="5" fillId="0" borderId="0" xfId="0" applyNumberFormat="1" applyFont="1" applyFill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183" fontId="5" fillId="0" borderId="0" xfId="0" applyNumberFormat="1" applyFont="1" applyFill="1" applyAlignment="1">
      <alignment vertical="center"/>
    </xf>
    <xf numFmtId="182" fontId="5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181" fontId="5" fillId="0" borderId="1" xfId="0" applyNumberFormat="1" applyFont="1" applyFill="1" applyBorder="1" applyAlignment="1">
      <alignment horizontal="center" vertical="center"/>
    </xf>
    <xf numFmtId="182" fontId="5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181" fontId="9" fillId="0" borderId="1" xfId="0" applyNumberFormat="1" applyFont="1" applyFill="1" applyBorder="1" applyAlignment="1">
      <alignment vertical="center" wrapText="1"/>
    </xf>
    <xf numFmtId="179" fontId="9" fillId="0" borderId="1" xfId="0" applyNumberFormat="1" applyFont="1" applyFill="1" applyBorder="1" applyAlignment="1">
      <alignment vertical="center" wrapText="1"/>
    </xf>
    <xf numFmtId="182" fontId="9" fillId="0" borderId="1" xfId="0" applyNumberFormat="1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181" fontId="5" fillId="0" borderId="1" xfId="0" applyNumberFormat="1" applyFont="1" applyFill="1" applyBorder="1" applyAlignment="1">
      <alignment vertical="center"/>
    </xf>
    <xf numFmtId="179" fontId="5" fillId="0" borderId="1" xfId="0" applyNumberFormat="1" applyFont="1" applyFill="1" applyBorder="1" applyAlignment="1">
      <alignment vertical="center"/>
    </xf>
    <xf numFmtId="181" fontId="10" fillId="0" borderId="1" xfId="0" applyNumberFormat="1" applyFont="1" applyFill="1" applyBorder="1" applyAlignment="1">
      <alignment vertical="center"/>
    </xf>
    <xf numFmtId="179" fontId="10" fillId="0" borderId="1" xfId="0" applyNumberFormat="1" applyFont="1" applyFill="1" applyBorder="1" applyAlignment="1">
      <alignment vertical="center"/>
    </xf>
    <xf numFmtId="182" fontId="10" fillId="0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 quotePrefix="1">
      <alignment horizontal="center" vertical="center"/>
    </xf>
    <xf numFmtId="0" fontId="10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8909;&#21367;&#25104;&#26412;&#25928;&#30410;&#27979;&#31639;20260410&#29256;&#65288;&#22522;&#30784;&#21442;&#25968;&#34920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炼钢参数表"/>
      <sheetName val="轧钢参数表"/>
      <sheetName val="轧钢电耗1"/>
      <sheetName val="轧钢电耗2"/>
      <sheetName val="轧钢煤耗"/>
      <sheetName val="0.内控标准5.9"/>
      <sheetName val="轧钢钢坯单耗"/>
      <sheetName val="0.热卷效益测算"/>
      <sheetName val="成分"/>
      <sheetName val="2.钢坯成本"/>
      <sheetName val="3.热卷成本"/>
      <sheetName val="4.热卷售价"/>
      <sheetName val="Sheet1"/>
      <sheetName val="轧制工艺影响"/>
      <sheetName val="终点控制情况"/>
      <sheetName val="6.辅料明细"/>
      <sheetName val="6.合金辅料成分"/>
      <sheetName val="3.单位元素成本"/>
      <sheetName val="5.合金辅料价格"/>
      <sheetName val="终点成分"/>
      <sheetName val="精炼电及电极"/>
      <sheetName val="耐材"/>
      <sheetName val="1.合金成本"/>
      <sheetName val="增碳分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A5" t="str">
            <v>09CrCuSb</v>
          </cell>
          <cell r="B5">
            <v>0.031</v>
          </cell>
          <cell r="C5">
            <v>0.072</v>
          </cell>
        </row>
        <row r="6">
          <cell r="A6" t="str">
            <v>330CL-1</v>
          </cell>
          <cell r="B6">
            <v>0.054</v>
          </cell>
          <cell r="C6">
            <v>0.0953333333333333</v>
          </cell>
        </row>
        <row r="7">
          <cell r="A7" t="str">
            <v>330CL-2</v>
          </cell>
          <cell r="B7">
            <v>0.053</v>
          </cell>
          <cell r="C7">
            <v>0.119166666666667</v>
          </cell>
        </row>
        <row r="8">
          <cell r="A8" t="str">
            <v>380CL-2</v>
          </cell>
          <cell r="B8">
            <v>0.0448</v>
          </cell>
          <cell r="C8">
            <v>0.1058</v>
          </cell>
        </row>
        <row r="9">
          <cell r="A9" t="str">
            <v>380CL-QL2</v>
          </cell>
          <cell r="B9">
            <v>0.041125</v>
          </cell>
          <cell r="C9">
            <v>0.09225</v>
          </cell>
        </row>
        <row r="10">
          <cell r="A10" t="str">
            <v>420CL-1</v>
          </cell>
          <cell r="B10">
            <v>0.043</v>
          </cell>
          <cell r="C10">
            <v>0.0808333333333333</v>
          </cell>
        </row>
        <row r="11">
          <cell r="A11" t="str">
            <v>510L-1</v>
          </cell>
          <cell r="B11">
            <v>0.0431937984496124</v>
          </cell>
          <cell r="C11">
            <v>0.0922558139534884</v>
          </cell>
        </row>
        <row r="12">
          <cell r="A12" t="str">
            <v>510L-2</v>
          </cell>
          <cell r="B12">
            <v>0.0440363636363636</v>
          </cell>
          <cell r="C12">
            <v>0.0936181818181818</v>
          </cell>
        </row>
        <row r="13">
          <cell r="A13" t="str">
            <v>590CL-1</v>
          </cell>
          <cell r="B13">
            <v>0.0495</v>
          </cell>
          <cell r="C13">
            <v>0.102</v>
          </cell>
        </row>
        <row r="14">
          <cell r="A14" t="str">
            <v>610L-1</v>
          </cell>
          <cell r="B14">
            <v>0.0461549295774648</v>
          </cell>
          <cell r="C14">
            <v>0.0922535211267606</v>
          </cell>
        </row>
        <row r="15">
          <cell r="A15" t="str">
            <v>610L-2</v>
          </cell>
          <cell r="B15">
            <v>0.0451627906976744</v>
          </cell>
          <cell r="C15">
            <v>0.0963720930232558</v>
          </cell>
        </row>
        <row r="16">
          <cell r="A16" t="str">
            <v>700L-1</v>
          </cell>
          <cell r="B16">
            <v>0.0437058823529412</v>
          </cell>
          <cell r="C16">
            <v>0.100813725490196</v>
          </cell>
        </row>
        <row r="17">
          <cell r="A17" t="str">
            <v>700L-2</v>
          </cell>
          <cell r="B17">
            <v>0.0434954954954955</v>
          </cell>
          <cell r="C17">
            <v>0.0998918918918919</v>
          </cell>
        </row>
        <row r="18">
          <cell r="A18" t="str">
            <v>750L-2</v>
          </cell>
          <cell r="B18">
            <v>0.0486666666666667</v>
          </cell>
          <cell r="C18">
            <v>0.114</v>
          </cell>
        </row>
        <row r="19">
          <cell r="A19" t="str">
            <v>800L-AC</v>
          </cell>
          <cell r="B19">
            <v>0.0413684210526316</v>
          </cell>
          <cell r="C19">
            <v>0.0862631578947368</v>
          </cell>
        </row>
        <row r="20">
          <cell r="A20" t="str">
            <v>800L-ACH</v>
          </cell>
          <cell r="B20">
            <v>0.0394</v>
          </cell>
          <cell r="C20">
            <v>0.0834</v>
          </cell>
        </row>
        <row r="21">
          <cell r="A21" t="str">
            <v>A</v>
          </cell>
          <cell r="B21">
            <v>0.0742917181705811</v>
          </cell>
          <cell r="C21">
            <v>0.127187886279357</v>
          </cell>
        </row>
        <row r="22">
          <cell r="A22" t="str">
            <v>A36-1</v>
          </cell>
          <cell r="B22">
            <v>0.0703009259259259</v>
          </cell>
          <cell r="C22">
            <v>0.111680555555556</v>
          </cell>
        </row>
        <row r="23">
          <cell r="A23" t="str">
            <v>A36-2</v>
          </cell>
          <cell r="B23">
            <v>0.0686111111111111</v>
          </cell>
          <cell r="C23">
            <v>0.11275</v>
          </cell>
        </row>
        <row r="24">
          <cell r="A24" t="str">
            <v>A36-DX1</v>
          </cell>
          <cell r="B24">
            <v>0.07025</v>
          </cell>
          <cell r="C24">
            <v>0.120916666666667</v>
          </cell>
        </row>
        <row r="25">
          <cell r="A25" t="str">
            <v>A36-DX2</v>
          </cell>
          <cell r="B25">
            <v>0.079</v>
          </cell>
          <cell r="C25">
            <v>0.1325</v>
          </cell>
        </row>
        <row r="26">
          <cell r="A26" t="str">
            <v>A572Gr50-1</v>
          </cell>
          <cell r="B26">
            <v>0.0722197802197802</v>
          </cell>
          <cell r="C26">
            <v>0.115824175824176</v>
          </cell>
        </row>
        <row r="27">
          <cell r="A27" t="str">
            <v>A572Gr50-2</v>
          </cell>
          <cell r="B27">
            <v>0.0687462686567164</v>
          </cell>
          <cell r="C27">
            <v>0.117044776119403</v>
          </cell>
        </row>
        <row r="28">
          <cell r="A28" t="str">
            <v>A572Gr50-3</v>
          </cell>
          <cell r="B28">
            <v>0.0769130434782609</v>
          </cell>
          <cell r="C28">
            <v>0.128826086956522</v>
          </cell>
        </row>
        <row r="29">
          <cell r="A29" t="str">
            <v>A572Gr50-DX1</v>
          </cell>
          <cell r="B29">
            <v>0.0693333333333334</v>
          </cell>
          <cell r="C29">
            <v>0.106666666666667</v>
          </cell>
        </row>
        <row r="30">
          <cell r="A30" t="str">
            <v>A572GR60-2</v>
          </cell>
          <cell r="B30">
            <v>0.042</v>
          </cell>
          <cell r="C30">
            <v>0.107</v>
          </cell>
        </row>
        <row r="31">
          <cell r="A31" t="str">
            <v>A572GR65-1</v>
          </cell>
          <cell r="B31">
            <v>0.07025</v>
          </cell>
          <cell r="C31">
            <v>0.09275</v>
          </cell>
        </row>
        <row r="32">
          <cell r="A32" t="str">
            <v>A572GR65-2</v>
          </cell>
          <cell r="B32">
            <v>0.0716190476190476</v>
          </cell>
          <cell r="C32">
            <v>0.104571428571429</v>
          </cell>
        </row>
        <row r="33">
          <cell r="A33" t="str">
            <v>A572GR65-T1</v>
          </cell>
          <cell r="B33">
            <v>0.052</v>
          </cell>
          <cell r="C33">
            <v>0.1185</v>
          </cell>
        </row>
        <row r="34">
          <cell r="A34" t="str">
            <v>A572GR65-T2</v>
          </cell>
          <cell r="B34">
            <v>0.0595</v>
          </cell>
          <cell r="C34">
            <v>0.143</v>
          </cell>
        </row>
        <row r="35">
          <cell r="A35" t="str">
            <v>A588 GR.A-1</v>
          </cell>
          <cell r="B35">
            <v>0.0425</v>
          </cell>
          <cell r="C35">
            <v>0.1</v>
          </cell>
        </row>
        <row r="36">
          <cell r="A36" t="str">
            <v>A588 GR.A-2</v>
          </cell>
          <cell r="B36">
            <v>0.047</v>
          </cell>
          <cell r="C36">
            <v>0.116</v>
          </cell>
        </row>
        <row r="37">
          <cell r="A37" t="str">
            <v>A709-50W-1</v>
          </cell>
          <cell r="B37">
            <v>0.037</v>
          </cell>
          <cell r="C37">
            <v>0.077</v>
          </cell>
        </row>
        <row r="38">
          <cell r="A38" t="str">
            <v>AH32-1</v>
          </cell>
          <cell r="B38">
            <v>0.04</v>
          </cell>
          <cell r="C38">
            <v>0.0948333333333333</v>
          </cell>
        </row>
        <row r="39">
          <cell r="A39" t="str">
            <v>AH32-2</v>
          </cell>
          <cell r="B39">
            <v>0.044</v>
          </cell>
          <cell r="C39">
            <v>0.095</v>
          </cell>
        </row>
        <row r="40">
          <cell r="A40" t="str">
            <v>AH36-1</v>
          </cell>
          <cell r="B40">
            <v>0.0429636363636364</v>
          </cell>
          <cell r="C40">
            <v>0.0893636363636364</v>
          </cell>
        </row>
        <row r="41">
          <cell r="A41" t="str">
            <v>AH36-2</v>
          </cell>
          <cell r="B41">
            <v>0.0415957446808511</v>
          </cell>
          <cell r="C41">
            <v>0.0892340425531915</v>
          </cell>
        </row>
        <row r="42">
          <cell r="A42" t="str">
            <v>B</v>
          </cell>
          <cell r="B42">
            <v>0.0733846153846154</v>
          </cell>
          <cell r="C42">
            <v>0.125948717948718</v>
          </cell>
        </row>
        <row r="43">
          <cell r="A43" t="str">
            <v>BX700</v>
          </cell>
          <cell r="B43">
            <v>0.0375</v>
          </cell>
          <cell r="C43">
            <v>0.09</v>
          </cell>
        </row>
        <row r="44">
          <cell r="A44" t="str">
            <v>C355-5</v>
          </cell>
          <cell r="B44">
            <v>0.0553333333333333</v>
          </cell>
          <cell r="C44">
            <v>0.118333333333333</v>
          </cell>
        </row>
        <row r="45">
          <cell r="A45" t="str">
            <v>F520JJ</v>
          </cell>
          <cell r="B45">
            <v>0.059</v>
          </cell>
          <cell r="C45">
            <v>0.1022</v>
          </cell>
        </row>
        <row r="46">
          <cell r="A46" t="str">
            <v>HP295</v>
          </cell>
          <cell r="B46">
            <v>0.0653928571428572</v>
          </cell>
          <cell r="C46">
            <v>0.105428571428571</v>
          </cell>
        </row>
        <row r="47">
          <cell r="A47" t="str">
            <v>HX750-1</v>
          </cell>
          <cell r="B47">
            <v>0.043</v>
          </cell>
          <cell r="C47">
            <v>0.0865</v>
          </cell>
        </row>
        <row r="48">
          <cell r="A48" t="str">
            <v>HXN-12</v>
          </cell>
          <cell r="B48">
            <v>0.057625</v>
          </cell>
          <cell r="C48">
            <v>0.10975</v>
          </cell>
        </row>
        <row r="49">
          <cell r="A49" t="str">
            <v>HXN-2</v>
          </cell>
          <cell r="B49">
            <v>0.0425</v>
          </cell>
          <cell r="C49">
            <v>0.101</v>
          </cell>
        </row>
        <row r="50">
          <cell r="A50" t="str">
            <v>L245-1</v>
          </cell>
          <cell r="B50">
            <v>0.0676470588235294</v>
          </cell>
          <cell r="C50">
            <v>0.114823529411765</v>
          </cell>
        </row>
        <row r="51">
          <cell r="A51" t="str">
            <v>L245-2</v>
          </cell>
          <cell r="B51">
            <v>0.0709</v>
          </cell>
          <cell r="C51">
            <v>0.1058</v>
          </cell>
        </row>
        <row r="52">
          <cell r="A52" t="str">
            <v>L245M-1</v>
          </cell>
          <cell r="B52">
            <v>0.062</v>
          </cell>
          <cell r="C52">
            <v>0.0965</v>
          </cell>
        </row>
        <row r="53">
          <cell r="A53" t="str">
            <v>L245M-2</v>
          </cell>
          <cell r="B53">
            <v>0.07075</v>
          </cell>
          <cell r="C53">
            <v>0.1045</v>
          </cell>
        </row>
        <row r="54">
          <cell r="A54" t="str">
            <v>L360</v>
          </cell>
          <cell r="B54">
            <v>0.0422302405498282</v>
          </cell>
          <cell r="C54">
            <v>0.104893470790378</v>
          </cell>
        </row>
        <row r="55">
          <cell r="A55" t="str">
            <v>L485-2</v>
          </cell>
          <cell r="B55">
            <v>0.038</v>
          </cell>
          <cell r="C55">
            <v>0.0935</v>
          </cell>
        </row>
        <row r="56">
          <cell r="A56" t="str">
            <v>MRT2.5</v>
          </cell>
          <cell r="B56">
            <v>0.0605161290322581</v>
          </cell>
          <cell r="C56">
            <v>0.112990783410138</v>
          </cell>
        </row>
        <row r="57">
          <cell r="A57" t="str">
            <v>NM400</v>
          </cell>
          <cell r="B57">
            <v>0.0663333333333333</v>
          </cell>
          <cell r="C57">
            <v>0.0975</v>
          </cell>
        </row>
        <row r="58">
          <cell r="A58" t="str">
            <v>NM400-1</v>
          </cell>
          <cell r="B58">
            <v>0.064</v>
          </cell>
          <cell r="C58">
            <v>0.09325</v>
          </cell>
        </row>
        <row r="59">
          <cell r="A59" t="str">
            <v>NM400-2</v>
          </cell>
          <cell r="B59">
            <v>0.0916666666666667</v>
          </cell>
          <cell r="C59">
            <v>0.105333333333333</v>
          </cell>
        </row>
        <row r="60">
          <cell r="A60" t="str">
            <v>NM450</v>
          </cell>
          <cell r="B60">
            <v>0.0765</v>
          </cell>
          <cell r="C60">
            <v>0.1035</v>
          </cell>
        </row>
        <row r="61">
          <cell r="A61" t="str">
            <v>NM450-1</v>
          </cell>
          <cell r="B61">
            <v>0.076</v>
          </cell>
          <cell r="C61">
            <v>0.097</v>
          </cell>
        </row>
        <row r="62">
          <cell r="A62" t="str">
            <v>NM450-2</v>
          </cell>
          <cell r="B62">
            <v>0.098</v>
          </cell>
          <cell r="C62">
            <v>0.119</v>
          </cell>
        </row>
        <row r="63">
          <cell r="A63" t="str">
            <v>Q195-1</v>
          </cell>
          <cell r="B63">
            <v>0.0416666666666667</v>
          </cell>
          <cell r="C63">
            <v>0.103</v>
          </cell>
        </row>
        <row r="64">
          <cell r="A64" t="str">
            <v>Q235B-1</v>
          </cell>
          <cell r="B64">
            <v>0.0729366696191319</v>
          </cell>
          <cell r="C64">
            <v>0.122292294065545</v>
          </cell>
        </row>
        <row r="65">
          <cell r="A65" t="str">
            <v>Q235B-1A</v>
          </cell>
          <cell r="B65">
            <v>0.069</v>
          </cell>
          <cell r="C65">
            <v>0.168</v>
          </cell>
        </row>
        <row r="66">
          <cell r="A66" t="str">
            <v>Q235B-2</v>
          </cell>
          <cell r="B66">
            <v>0.0744058577405859</v>
          </cell>
          <cell r="C66">
            <v>0.122644351464435</v>
          </cell>
        </row>
        <row r="67">
          <cell r="A67" t="str">
            <v>Q235B-3A</v>
          </cell>
          <cell r="B67">
            <v>0.061</v>
          </cell>
          <cell r="C67">
            <v>0.15</v>
          </cell>
        </row>
        <row r="68">
          <cell r="A68" t="str">
            <v>Q235B-GC1</v>
          </cell>
          <cell r="B68">
            <v>0.073875</v>
          </cell>
          <cell r="C68">
            <v>0.0935</v>
          </cell>
        </row>
        <row r="69">
          <cell r="A69" t="str">
            <v>Q235B-HG</v>
          </cell>
          <cell r="B69">
            <v>0.0757938517179025</v>
          </cell>
          <cell r="C69">
            <v>0.130618444846293</v>
          </cell>
        </row>
        <row r="70">
          <cell r="A70" t="str">
            <v>Q235B-SD1</v>
          </cell>
          <cell r="B70">
            <v>0.0733050847457627</v>
          </cell>
          <cell r="C70">
            <v>0.122593220338983</v>
          </cell>
        </row>
        <row r="71">
          <cell r="A71" t="str">
            <v>Q235B-SD2</v>
          </cell>
          <cell r="B71">
            <v>0.0732727272727273</v>
          </cell>
          <cell r="C71">
            <v>0.124636363636364</v>
          </cell>
        </row>
        <row r="72">
          <cell r="A72" t="str">
            <v>Q235C-1</v>
          </cell>
          <cell r="B72">
            <v>0.068953488372093</v>
          </cell>
          <cell r="C72">
            <v>0.119093023255814</v>
          </cell>
        </row>
        <row r="73">
          <cell r="A73" t="str">
            <v>Q235C-2</v>
          </cell>
          <cell r="B73">
            <v>0.0625</v>
          </cell>
          <cell r="C73">
            <v>0.1289</v>
          </cell>
        </row>
        <row r="74">
          <cell r="A74" t="str">
            <v>Q235-HW</v>
          </cell>
          <cell r="B74">
            <v>0.0728013698630138</v>
          </cell>
          <cell r="C74">
            <v>0.129873287671233</v>
          </cell>
        </row>
        <row r="75">
          <cell r="A75" t="str">
            <v>Q235PL-1</v>
          </cell>
          <cell r="B75">
            <v>0.0733178294573643</v>
          </cell>
          <cell r="C75">
            <v>0.123240310077519</v>
          </cell>
        </row>
        <row r="76">
          <cell r="A76" t="str">
            <v>Q235PL-2</v>
          </cell>
          <cell r="B76">
            <v>0.0760578947368421</v>
          </cell>
          <cell r="C76">
            <v>0.123889473684211</v>
          </cell>
        </row>
        <row r="77">
          <cell r="A77" t="str">
            <v>Q245R-1</v>
          </cell>
          <cell r="B77">
            <v>0.0676363636363636</v>
          </cell>
          <cell r="C77">
            <v>0.111704545454545</v>
          </cell>
        </row>
        <row r="78">
          <cell r="A78" t="str">
            <v>Q245R-2</v>
          </cell>
          <cell r="B78">
            <v>0.0557777777777778</v>
          </cell>
          <cell r="C78">
            <v>0.0945555555555556</v>
          </cell>
        </row>
        <row r="79">
          <cell r="A79" t="str">
            <v>Q345qD</v>
          </cell>
          <cell r="B79">
            <v>0.0480833333333333</v>
          </cell>
          <cell r="C79">
            <v>0.111</v>
          </cell>
        </row>
        <row r="80">
          <cell r="A80" t="str">
            <v>Q345R</v>
          </cell>
          <cell r="B80">
            <v>0.0622470119521912</v>
          </cell>
          <cell r="C80">
            <v>0.104494023904382</v>
          </cell>
        </row>
        <row r="81">
          <cell r="A81" t="str">
            <v>Q345R-1</v>
          </cell>
          <cell r="B81">
            <v>0.06265625</v>
          </cell>
          <cell r="C81">
            <v>0.10896875</v>
          </cell>
        </row>
        <row r="82">
          <cell r="A82" t="str">
            <v>Q355B-1</v>
          </cell>
          <cell r="B82">
            <v>0.0708175675675676</v>
          </cell>
          <cell r="C82">
            <v>0.122477027027027</v>
          </cell>
        </row>
        <row r="83">
          <cell r="A83" t="str">
            <v>Q355B-2</v>
          </cell>
          <cell r="B83">
            <v>0.0740043183220236</v>
          </cell>
          <cell r="C83">
            <v>0.121203886489821</v>
          </cell>
        </row>
        <row r="84">
          <cell r="A84" t="str">
            <v>Q355B-3</v>
          </cell>
          <cell r="B84">
            <v>0.0680909090909091</v>
          </cell>
          <cell r="C84">
            <v>0.127425454545455</v>
          </cell>
        </row>
        <row r="85">
          <cell r="A85" t="str">
            <v>Q355B-3A</v>
          </cell>
          <cell r="B85">
            <v>0.0720489510489511</v>
          </cell>
          <cell r="C85">
            <v>0.122745920745921</v>
          </cell>
        </row>
        <row r="86">
          <cell r="A86" t="str">
            <v>Q355B-3B</v>
          </cell>
          <cell r="B86">
            <v>0.0741244444444444</v>
          </cell>
          <cell r="C86">
            <v>0.113951111111111</v>
          </cell>
        </row>
        <row r="87">
          <cell r="A87" t="str">
            <v>Q355B-4</v>
          </cell>
          <cell r="B87">
            <v>0.0692677824267783</v>
          </cell>
          <cell r="C87">
            <v>0.128945606694561</v>
          </cell>
        </row>
        <row r="88">
          <cell r="A88" t="str">
            <v>Q355B-DM</v>
          </cell>
          <cell r="B88">
            <v>0.0646875</v>
          </cell>
          <cell r="C88">
            <v>0.1375625</v>
          </cell>
        </row>
        <row r="89">
          <cell r="A89" t="str">
            <v>Q355B-DX1</v>
          </cell>
          <cell r="B89">
            <v>0.0551</v>
          </cell>
          <cell r="C89">
            <v>0.0817</v>
          </cell>
        </row>
        <row r="90">
          <cell r="A90" t="str">
            <v>Q355B-S</v>
          </cell>
          <cell r="B90">
            <v>0.044</v>
          </cell>
          <cell r="C90">
            <v>0.105333333333333</v>
          </cell>
        </row>
        <row r="91">
          <cell r="A91" t="str">
            <v>Q355B-SD2</v>
          </cell>
          <cell r="B91">
            <v>0.0646666666666667</v>
          </cell>
          <cell r="C91">
            <v>0.0946666666666667</v>
          </cell>
        </row>
        <row r="92">
          <cell r="A92" t="str">
            <v>Q355B-T1</v>
          </cell>
          <cell r="B92">
            <v>0.0628571428571429</v>
          </cell>
          <cell r="C92">
            <v>0.114285714285714</v>
          </cell>
        </row>
        <row r="93">
          <cell r="A93" t="str">
            <v>Q355B-T2</v>
          </cell>
          <cell r="B93">
            <v>0.068264705882353</v>
          </cell>
          <cell r="C93">
            <v>0.120852941176471</v>
          </cell>
        </row>
        <row r="94">
          <cell r="A94" t="str">
            <v>Q355B-T3</v>
          </cell>
          <cell r="B94">
            <v>0.0758</v>
          </cell>
          <cell r="C94">
            <v>0.1214</v>
          </cell>
        </row>
        <row r="95">
          <cell r="A95" t="str">
            <v>Q355C-1</v>
          </cell>
          <cell r="B95">
            <v>0.071</v>
          </cell>
          <cell r="C95">
            <v>0.112</v>
          </cell>
        </row>
        <row r="96">
          <cell r="A96" t="str">
            <v>Q355C-2</v>
          </cell>
          <cell r="B96">
            <v>0.0620652173913044</v>
          </cell>
          <cell r="C96">
            <v>0.113173913043478</v>
          </cell>
        </row>
        <row r="97">
          <cell r="A97" t="str">
            <v>Q355C-3</v>
          </cell>
          <cell r="B97">
            <v>0.067671052631579</v>
          </cell>
          <cell r="C97">
            <v>0.109171052631579</v>
          </cell>
        </row>
        <row r="98">
          <cell r="A98" t="str">
            <v>Q355D-1</v>
          </cell>
          <cell r="B98">
            <v>0.0702586206896552</v>
          </cell>
          <cell r="C98">
            <v>0.116155172413793</v>
          </cell>
        </row>
        <row r="99">
          <cell r="A99" t="str">
            <v>Q355D-2</v>
          </cell>
          <cell r="B99">
            <v>0.056923076923077</v>
          </cell>
          <cell r="C99">
            <v>0.0992307692307692</v>
          </cell>
        </row>
        <row r="100">
          <cell r="A100" t="str">
            <v>Q355D-3</v>
          </cell>
          <cell r="B100">
            <v>0.067</v>
          </cell>
          <cell r="C100">
            <v>0.1105</v>
          </cell>
        </row>
        <row r="101">
          <cell r="A101" t="str">
            <v>Q355ME-3</v>
          </cell>
          <cell r="B101">
            <v>0.0427333333333333</v>
          </cell>
          <cell r="C101">
            <v>0.102066666666667</v>
          </cell>
        </row>
        <row r="102">
          <cell r="A102" t="str">
            <v>Q390B-1</v>
          </cell>
          <cell r="B102">
            <v>0.0606666666666667</v>
          </cell>
          <cell r="C102">
            <v>0.109666666666667</v>
          </cell>
        </row>
        <row r="103">
          <cell r="A103" t="str">
            <v>Q390B-2</v>
          </cell>
          <cell r="B103">
            <v>0.0648235294117647</v>
          </cell>
          <cell r="C103">
            <v>0.113882352941176</v>
          </cell>
        </row>
        <row r="104">
          <cell r="A104" t="str">
            <v>Q390B-3</v>
          </cell>
          <cell r="B104">
            <v>0.0701935483870968</v>
          </cell>
          <cell r="C104">
            <v>0.120806451612903</v>
          </cell>
        </row>
        <row r="105">
          <cell r="A105" t="str">
            <v>Q390GJB-1</v>
          </cell>
          <cell r="B105">
            <v>0.055</v>
          </cell>
          <cell r="C105">
            <v>0.1055</v>
          </cell>
        </row>
        <row r="106">
          <cell r="A106" t="str">
            <v>Q390GJB-2</v>
          </cell>
          <cell r="B106">
            <v>0.0554571428571429</v>
          </cell>
          <cell r="C106">
            <v>0.100057142857143</v>
          </cell>
        </row>
        <row r="107">
          <cell r="A107" t="str">
            <v>Q420B-1</v>
          </cell>
          <cell r="B107">
            <v>0.0638461538461539</v>
          </cell>
          <cell r="C107">
            <v>0.111538461538462</v>
          </cell>
        </row>
        <row r="108">
          <cell r="A108" t="str">
            <v>Q420B-2</v>
          </cell>
          <cell r="B108">
            <v>0.0591847826086956</v>
          </cell>
          <cell r="C108">
            <v>0.112532608695652</v>
          </cell>
        </row>
        <row r="109">
          <cell r="A109" t="str">
            <v>Q420C-1</v>
          </cell>
          <cell r="B109">
            <v>0.071</v>
          </cell>
          <cell r="C109">
            <v>0.129</v>
          </cell>
        </row>
        <row r="110">
          <cell r="A110" t="str">
            <v>Q420C-2</v>
          </cell>
          <cell r="B110">
            <v>0.0796666666666667</v>
          </cell>
          <cell r="C110">
            <v>0.132333333333333</v>
          </cell>
        </row>
        <row r="111">
          <cell r="A111" t="str">
            <v>Q420MD-1</v>
          </cell>
          <cell r="B111">
            <v>0.0485</v>
          </cell>
          <cell r="C111">
            <v>0.0875</v>
          </cell>
        </row>
        <row r="112">
          <cell r="A112" t="str">
            <v>Q420MD-2</v>
          </cell>
          <cell r="B112">
            <v>0.057</v>
          </cell>
          <cell r="C112">
            <v>0.0965</v>
          </cell>
        </row>
        <row r="113">
          <cell r="A113" t="str">
            <v>Q420ME-1</v>
          </cell>
          <cell r="B113">
            <v>0.065</v>
          </cell>
          <cell r="C113">
            <v>0.093</v>
          </cell>
        </row>
        <row r="114">
          <cell r="A114" t="str">
            <v>Q450NQR1</v>
          </cell>
          <cell r="B114">
            <v>0.044</v>
          </cell>
          <cell r="C114">
            <v>0.084</v>
          </cell>
        </row>
        <row r="115">
          <cell r="A115" t="str">
            <v>Q460C-2</v>
          </cell>
          <cell r="B115">
            <v>0.051</v>
          </cell>
          <cell r="C115">
            <v>0.103333333333333</v>
          </cell>
        </row>
        <row r="116">
          <cell r="A116" t="str">
            <v>Q500MC-2</v>
          </cell>
          <cell r="B116">
            <v>0.035</v>
          </cell>
          <cell r="C116">
            <v>0.0905</v>
          </cell>
        </row>
        <row r="117">
          <cell r="A117" t="str">
            <v>QStE420TM-2</v>
          </cell>
          <cell r="B117">
            <v>0.048</v>
          </cell>
          <cell r="C117">
            <v>0.072</v>
          </cell>
        </row>
        <row r="118">
          <cell r="A118" t="str">
            <v>QStE500TM-1</v>
          </cell>
          <cell r="B118">
            <v>0.0420952380952381</v>
          </cell>
          <cell r="C118">
            <v>0.0812857142857143</v>
          </cell>
        </row>
        <row r="119">
          <cell r="A119" t="str">
            <v>QStE700TM-1</v>
          </cell>
          <cell r="B119">
            <v>0.0421111111111111</v>
          </cell>
          <cell r="C119">
            <v>0.0936666666666667</v>
          </cell>
        </row>
        <row r="120">
          <cell r="A120" t="str">
            <v>QStE700TM-2</v>
          </cell>
          <cell r="B120">
            <v>0.0425</v>
          </cell>
          <cell r="C120">
            <v>0.08575</v>
          </cell>
        </row>
        <row r="121">
          <cell r="A121" t="str">
            <v>S235JR-1</v>
          </cell>
          <cell r="B121">
            <v>0.0720421052631579</v>
          </cell>
          <cell r="C121">
            <v>0.123989473684211</v>
          </cell>
        </row>
        <row r="122">
          <cell r="A122" t="str">
            <v>S235JR-2</v>
          </cell>
          <cell r="B122">
            <v>0.07625</v>
          </cell>
          <cell r="C122">
            <v>0.14803125</v>
          </cell>
        </row>
        <row r="123">
          <cell r="A123" t="str">
            <v>S235JR-DX1</v>
          </cell>
          <cell r="B123">
            <v>0.098</v>
          </cell>
          <cell r="C123">
            <v>0.13775</v>
          </cell>
        </row>
        <row r="124">
          <cell r="A124" t="str">
            <v>S275JR-1</v>
          </cell>
          <cell r="B124">
            <v>0.09228</v>
          </cell>
          <cell r="C124">
            <v>0.12296</v>
          </cell>
        </row>
        <row r="125">
          <cell r="A125" t="str">
            <v>S275JR-2</v>
          </cell>
          <cell r="B125">
            <v>0.0762857142857143</v>
          </cell>
          <cell r="C125">
            <v>0.121</v>
          </cell>
        </row>
        <row r="126">
          <cell r="A126" t="str">
            <v>S275JR-3</v>
          </cell>
          <cell r="B126">
            <v>0.0663333333333333</v>
          </cell>
          <cell r="C126">
            <v>0.111666666666667</v>
          </cell>
        </row>
        <row r="127">
          <cell r="A127" t="str">
            <v>S275JR-DX1</v>
          </cell>
          <cell r="B127">
            <v>0.0726666666666667</v>
          </cell>
          <cell r="C127">
            <v>0.118333333333333</v>
          </cell>
        </row>
        <row r="128">
          <cell r="A128" t="str">
            <v>S355J0-1</v>
          </cell>
          <cell r="B128">
            <v>0.0835</v>
          </cell>
          <cell r="C128">
            <v>0.147</v>
          </cell>
        </row>
        <row r="129">
          <cell r="A129" t="str">
            <v>S355J0-2</v>
          </cell>
          <cell r="B129">
            <v>0.0808275862068966</v>
          </cell>
          <cell r="C129">
            <v>0.107862068965517</v>
          </cell>
        </row>
        <row r="130">
          <cell r="A130" t="str">
            <v>S355J0-3</v>
          </cell>
          <cell r="B130">
            <v>0.072</v>
          </cell>
          <cell r="C130">
            <v>0.1137</v>
          </cell>
        </row>
        <row r="131">
          <cell r="A131" t="str">
            <v>S355J2-1</v>
          </cell>
          <cell r="B131">
            <v>0.0667142857142857</v>
          </cell>
          <cell r="C131">
            <v>0.112</v>
          </cell>
        </row>
        <row r="132">
          <cell r="A132" t="str">
            <v>S355J2-2</v>
          </cell>
          <cell r="B132">
            <v>0.065</v>
          </cell>
          <cell r="C132">
            <v>0.092</v>
          </cell>
        </row>
        <row r="133">
          <cell r="A133" t="str">
            <v>S355J2-3</v>
          </cell>
          <cell r="B133">
            <v>0.073</v>
          </cell>
          <cell r="C133">
            <v>0.115</v>
          </cell>
        </row>
        <row r="134">
          <cell r="A134" t="str">
            <v>S355JR-1</v>
          </cell>
          <cell r="B134">
            <v>0.0693575129533679</v>
          </cell>
          <cell r="C134">
            <v>0.114424870466321</v>
          </cell>
        </row>
        <row r="135">
          <cell r="A135" t="str">
            <v>S355JR-2</v>
          </cell>
          <cell r="B135">
            <v>0.0721346153846154</v>
          </cell>
          <cell r="C135">
            <v>0.126442307692308</v>
          </cell>
        </row>
        <row r="136">
          <cell r="A136" t="str">
            <v>S355JR-3</v>
          </cell>
          <cell r="B136">
            <v>0.0821666666666667</v>
          </cell>
          <cell r="C136">
            <v>0.107833333333333</v>
          </cell>
        </row>
        <row r="137">
          <cell r="A137" t="str">
            <v>S355JR-DX1</v>
          </cell>
          <cell r="B137">
            <v>0.0716428571428572</v>
          </cell>
          <cell r="C137">
            <v>0.103</v>
          </cell>
        </row>
        <row r="138">
          <cell r="A138" t="str">
            <v>S420MC-2</v>
          </cell>
          <cell r="B138">
            <v>0.0354285714285714</v>
          </cell>
          <cell r="C138">
            <v>0.0714285714285714</v>
          </cell>
        </row>
        <row r="139">
          <cell r="A139" t="str">
            <v>S460MC-2</v>
          </cell>
          <cell r="B139">
            <v>0.04725</v>
          </cell>
          <cell r="C139">
            <v>0.07575</v>
          </cell>
        </row>
        <row r="140">
          <cell r="A140" t="str">
            <v>SL440</v>
          </cell>
          <cell r="B140">
            <v>0.0483333333333333</v>
          </cell>
          <cell r="C140">
            <v>0.082</v>
          </cell>
        </row>
        <row r="141">
          <cell r="A141" t="str">
            <v>SPHC-M</v>
          </cell>
          <cell r="B141">
            <v>0.05432</v>
          </cell>
          <cell r="C141">
            <v>0.09024</v>
          </cell>
        </row>
        <row r="142">
          <cell r="A142" t="str">
            <v>SPHC-M(B)</v>
          </cell>
          <cell r="B142">
            <v>0.07725</v>
          </cell>
          <cell r="C142">
            <v>0.10625</v>
          </cell>
        </row>
        <row r="143">
          <cell r="A143" t="str">
            <v>SPHC-SX</v>
          </cell>
          <cell r="B143">
            <v>0.05432</v>
          </cell>
          <cell r="C143">
            <v>0.09024</v>
          </cell>
        </row>
        <row r="144">
          <cell r="A144" t="str">
            <v>SS400-1</v>
          </cell>
          <cell r="B144">
            <v>0.070962962962963</v>
          </cell>
          <cell r="C144">
            <v>0.116777777777778</v>
          </cell>
        </row>
        <row r="145">
          <cell r="A145" t="str">
            <v>SS400-2</v>
          </cell>
          <cell r="B145">
            <v>0.0798333333333333</v>
          </cell>
          <cell r="C145">
            <v>0.115833333333333</v>
          </cell>
        </row>
        <row r="146">
          <cell r="A146" t="str">
            <v>X42-1</v>
          </cell>
          <cell r="B146">
            <v>0.0705</v>
          </cell>
          <cell r="C146">
            <v>0.116</v>
          </cell>
        </row>
        <row r="147">
          <cell r="A147" t="str">
            <v>X60M-2</v>
          </cell>
          <cell r="B147">
            <v>0.04725</v>
          </cell>
          <cell r="C147">
            <v>0.07875</v>
          </cell>
        </row>
        <row r="148">
          <cell r="A148" t="str">
            <v>X65-2</v>
          </cell>
          <cell r="B148">
            <v>0.0465833333333333</v>
          </cell>
          <cell r="C148">
            <v>0.0946666666666667</v>
          </cell>
        </row>
        <row r="149">
          <cell r="A149" t="str">
            <v>X70-1</v>
          </cell>
          <cell r="B149">
            <v>0.0405</v>
          </cell>
          <cell r="C149">
            <v>0.065</v>
          </cell>
        </row>
        <row r="150">
          <cell r="A150" t="str">
            <v>X80M-1</v>
          </cell>
          <cell r="B150">
            <v>0.036</v>
          </cell>
          <cell r="C150">
            <v>0.043</v>
          </cell>
        </row>
        <row r="151">
          <cell r="A151" t="str">
            <v>YF700BL-1</v>
          </cell>
          <cell r="B151">
            <v>0.0366086956521739</v>
          </cell>
          <cell r="C151">
            <v>0.086304347826087</v>
          </cell>
        </row>
        <row r="152">
          <cell r="A152" t="str">
            <v>YF700BL-2</v>
          </cell>
          <cell r="B152">
            <v>0.0389444444444445</v>
          </cell>
          <cell r="C152">
            <v>0.09275</v>
          </cell>
        </row>
        <row r="153">
          <cell r="A153" t="str">
            <v>YF700BL-3</v>
          </cell>
          <cell r="B153">
            <v>0.0398333333333333</v>
          </cell>
          <cell r="C153">
            <v>0.0851666666666667</v>
          </cell>
        </row>
        <row r="154">
          <cell r="A154" t="str">
            <v>YFMRT2.5</v>
          </cell>
          <cell r="B154">
            <v>0.0445</v>
          </cell>
          <cell r="C154">
            <v>0.0985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1"/>
  <sheetViews>
    <sheetView topLeftCell="U1" workbookViewId="0">
      <selection activeCell="AD12" sqref="AD12"/>
    </sheetView>
  </sheetViews>
  <sheetFormatPr defaultColWidth="9" defaultRowHeight="14"/>
  <cols>
    <col min="1" max="1" width="8.72727272727273" style="36"/>
    <col min="2" max="2" width="12.1818181818182" style="36" customWidth="1"/>
    <col min="3" max="5" width="8.72727272727273" style="37" customWidth="1"/>
    <col min="6" max="6" width="13.5454545454545" style="37" customWidth="1"/>
    <col min="7" max="7" width="41.1636363636364" style="66" customWidth="1"/>
    <col min="8" max="8" width="8.72727272727273" style="37" customWidth="1"/>
    <col min="9" max="9" width="8.72727272727273" style="67" customWidth="1"/>
    <col min="10" max="11" width="8.72727272727273" style="68" customWidth="1"/>
    <col min="12" max="18" width="8.72727272727273" style="67" customWidth="1"/>
    <col min="19" max="19" width="19.4727272727273" style="69" customWidth="1"/>
    <col min="20" max="23" width="8.72727272727273" style="68" customWidth="1"/>
    <col min="24" max="24" width="8.72727272727273" style="69" customWidth="1"/>
    <col min="25" max="25" width="8.72727272727273" style="36" customWidth="1"/>
    <col min="26" max="26" width="8.72727272727273" style="37" customWidth="1"/>
    <col min="27" max="27" width="12" style="36" customWidth="1"/>
  </cols>
  <sheetData>
    <row r="1" ht="15" spans="1:27">
      <c r="B1" s="38"/>
      <c r="C1" s="39"/>
      <c r="D1" s="40"/>
      <c r="E1" s="40"/>
      <c r="F1" s="41"/>
      <c r="G1" s="70"/>
      <c r="H1" s="37"/>
      <c r="I1" s="67"/>
      <c r="J1" s="68"/>
      <c r="K1" s="68"/>
      <c r="L1" s="67"/>
      <c r="M1" s="67"/>
      <c r="N1" s="67"/>
      <c r="O1" s="71"/>
      <c r="P1" s="67"/>
      <c r="Q1" s="67"/>
      <c r="R1" s="67"/>
      <c r="S1" s="72"/>
      <c r="T1" s="67"/>
    </row>
    <row r="2" spans="1:27">
      <c r="A2" s="73" t="s">
        <v>0</v>
      </c>
      <c r="B2" s="74" t="s">
        <v>1</v>
      </c>
      <c r="C2" s="74" t="s">
        <v>2</v>
      </c>
      <c r="D2" s="74" t="s">
        <v>3</v>
      </c>
      <c r="E2" s="74" t="s">
        <v>4</v>
      </c>
      <c r="F2" s="74" t="s">
        <v>5</v>
      </c>
      <c r="G2" s="75" t="s">
        <v>6</v>
      </c>
      <c r="H2" s="74" t="s">
        <v>7</v>
      </c>
      <c r="I2" s="76" t="s">
        <v>8</v>
      </c>
      <c r="J2" s="58"/>
      <c r="K2" s="58"/>
      <c r="L2" s="76"/>
      <c r="M2" s="76"/>
      <c r="N2" s="76"/>
      <c r="O2" s="76"/>
      <c r="P2" s="76"/>
      <c r="Q2" s="76"/>
      <c r="R2" s="76"/>
      <c r="S2" s="77"/>
      <c r="T2" s="58"/>
      <c r="U2" s="58"/>
      <c r="V2" s="58"/>
      <c r="W2" s="58"/>
      <c r="X2" s="77"/>
      <c r="Y2" s="28"/>
      <c r="Z2" s="28"/>
      <c r="AA2" s="44" t="s">
        <v>9</v>
      </c>
    </row>
    <row r="3" ht="17.5" spans="1:27">
      <c r="A3" s="73"/>
      <c r="B3" s="78"/>
      <c r="C3" s="74"/>
      <c r="D3" s="74"/>
      <c r="E3" s="74"/>
      <c r="F3" s="74"/>
      <c r="G3" s="75"/>
      <c r="H3" s="74"/>
      <c r="I3" s="79" t="s">
        <v>10</v>
      </c>
      <c r="J3" s="80" t="s">
        <v>11</v>
      </c>
      <c r="K3" s="80" t="s">
        <v>12</v>
      </c>
      <c r="L3" s="79" t="s">
        <v>13</v>
      </c>
      <c r="M3" s="79" t="s">
        <v>14</v>
      </c>
      <c r="N3" s="79" t="s">
        <v>15</v>
      </c>
      <c r="O3" s="79" t="s">
        <v>16</v>
      </c>
      <c r="P3" s="79" t="s">
        <v>17</v>
      </c>
      <c r="Q3" s="79" t="s">
        <v>18</v>
      </c>
      <c r="R3" s="79" t="s">
        <v>19</v>
      </c>
      <c r="S3" s="81" t="s">
        <v>20</v>
      </c>
      <c r="T3" s="80" t="s">
        <v>21</v>
      </c>
      <c r="U3" s="80" t="s">
        <v>22</v>
      </c>
      <c r="V3" s="80" t="s">
        <v>23</v>
      </c>
      <c r="W3" s="80" t="s">
        <v>24</v>
      </c>
      <c r="X3" s="81" t="s">
        <v>25</v>
      </c>
      <c r="Y3" s="46" t="s">
        <v>26</v>
      </c>
      <c r="Z3" s="44" t="s">
        <v>27</v>
      </c>
      <c r="AA3" s="46"/>
    </row>
    <row r="4" ht="30" spans="1:27">
      <c r="B4" s="82" t="s">
        <v>28</v>
      </c>
      <c r="C4" s="44"/>
      <c r="D4" s="44"/>
      <c r="E4" s="44"/>
      <c r="F4" s="44"/>
      <c r="G4" s="83"/>
      <c r="H4" s="44"/>
      <c r="I4" s="79"/>
      <c r="J4" s="80"/>
      <c r="K4" s="80"/>
      <c r="L4" s="79"/>
      <c r="M4" s="79"/>
      <c r="N4" s="79"/>
      <c r="O4" s="79"/>
      <c r="P4" s="79"/>
      <c r="Q4" s="79"/>
      <c r="R4" s="79"/>
      <c r="S4" s="81"/>
      <c r="T4" s="80"/>
      <c r="U4" s="80"/>
      <c r="V4" s="80"/>
      <c r="W4" s="80"/>
      <c r="X4" s="81"/>
      <c r="Y4" s="46"/>
      <c r="Z4" s="44"/>
      <c r="AA4" s="46"/>
    </row>
    <row r="5" spans="1:27">
      <c r="A5" s="37">
        <v>1</v>
      </c>
      <c r="B5" s="28" t="s">
        <v>29</v>
      </c>
      <c r="C5" s="28" t="s">
        <v>30</v>
      </c>
      <c r="D5" s="28">
        <v>1.5</v>
      </c>
      <c r="E5" s="28">
        <v>12</v>
      </c>
      <c r="F5" s="28" t="s">
        <v>31</v>
      </c>
      <c r="G5" s="84" t="s">
        <v>32</v>
      </c>
      <c r="H5" s="28">
        <v>1527</v>
      </c>
      <c r="I5" s="85">
        <v>0.07</v>
      </c>
      <c r="J5" s="86">
        <v>0.15</v>
      </c>
      <c r="K5" s="86">
        <v>0.25</v>
      </c>
      <c r="L5" s="85">
        <v>0.02</v>
      </c>
      <c r="M5" s="85">
        <v>0.015</v>
      </c>
      <c r="N5" s="85"/>
      <c r="O5" s="85"/>
      <c r="P5" s="85">
        <v>0.01</v>
      </c>
      <c r="Q5" s="85">
        <v>0.01</v>
      </c>
      <c r="R5" s="85"/>
      <c r="S5" s="72"/>
      <c r="T5" s="86"/>
      <c r="U5" s="86"/>
      <c r="V5" s="86"/>
      <c r="W5" s="86"/>
      <c r="X5" s="72"/>
      <c r="Y5" s="53"/>
      <c r="Z5" s="28">
        <v>60</v>
      </c>
      <c r="AA5" s="53"/>
    </row>
    <row r="6" spans="1:27">
      <c r="A6" s="37">
        <v>2</v>
      </c>
      <c r="B6" s="28" t="s">
        <v>29</v>
      </c>
      <c r="C6" s="28" t="s">
        <v>33</v>
      </c>
      <c r="D6" s="28">
        <v>12.01</v>
      </c>
      <c r="E6" s="28">
        <v>28</v>
      </c>
      <c r="F6" s="28" t="s">
        <v>34</v>
      </c>
      <c r="G6" s="84" t="s">
        <v>32</v>
      </c>
      <c r="H6" s="28">
        <v>1527</v>
      </c>
      <c r="I6" s="85">
        <v>0.07</v>
      </c>
      <c r="J6" s="86">
        <v>0.15</v>
      </c>
      <c r="K6" s="86">
        <v>0.32</v>
      </c>
      <c r="L6" s="85">
        <v>0.02</v>
      </c>
      <c r="M6" s="85">
        <v>0.015</v>
      </c>
      <c r="N6" s="85"/>
      <c r="O6" s="85" t="s">
        <v>35</v>
      </c>
      <c r="P6" s="85" t="s">
        <v>35</v>
      </c>
      <c r="Q6" s="85">
        <v>0.01</v>
      </c>
      <c r="R6" s="85" t="s">
        <v>35</v>
      </c>
      <c r="S6" s="72"/>
      <c r="T6" s="86"/>
      <c r="U6" s="86"/>
      <c r="V6" s="86"/>
      <c r="W6" s="86" t="s">
        <v>35</v>
      </c>
      <c r="X6" s="72" t="s">
        <v>35</v>
      </c>
      <c r="Y6" s="53" t="s">
        <v>35</v>
      </c>
      <c r="Z6" s="28">
        <v>60</v>
      </c>
      <c r="AA6" s="53"/>
    </row>
    <row r="7" spans="1:27">
      <c r="A7" s="37">
        <v>3</v>
      </c>
      <c r="B7" s="28" t="s">
        <v>36</v>
      </c>
      <c r="C7" s="28" t="s">
        <v>30</v>
      </c>
      <c r="D7" s="28">
        <v>1.45</v>
      </c>
      <c r="E7" s="28">
        <v>12</v>
      </c>
      <c r="F7" s="28" t="s">
        <v>37</v>
      </c>
      <c r="G7" s="84" t="s">
        <v>38</v>
      </c>
      <c r="H7" s="28">
        <v>1519</v>
      </c>
      <c r="I7" s="85">
        <v>0.16</v>
      </c>
      <c r="J7" s="86">
        <v>0.08</v>
      </c>
      <c r="K7" s="86">
        <v>0.23</v>
      </c>
      <c r="L7" s="85">
        <v>0.025</v>
      </c>
      <c r="M7" s="85">
        <v>0.02</v>
      </c>
      <c r="N7" s="85"/>
      <c r="O7" s="85" t="s">
        <v>35</v>
      </c>
      <c r="P7" s="85" t="s">
        <v>35</v>
      </c>
      <c r="Q7" s="85">
        <v>0.01</v>
      </c>
      <c r="R7" s="85" t="s">
        <v>35</v>
      </c>
      <c r="S7" s="72" t="s">
        <v>35</v>
      </c>
      <c r="T7" s="86"/>
      <c r="U7" s="86"/>
      <c r="V7" s="86"/>
      <c r="W7" s="86" t="s">
        <v>35</v>
      </c>
      <c r="X7" s="72" t="s">
        <v>35</v>
      </c>
      <c r="Y7" s="53" t="s">
        <v>35</v>
      </c>
      <c r="Z7" s="28" t="s">
        <v>35</v>
      </c>
      <c r="AA7" s="53"/>
    </row>
    <row r="8" spans="1:27">
      <c r="A8" s="37">
        <v>4</v>
      </c>
      <c r="B8" s="28" t="s">
        <v>36</v>
      </c>
      <c r="C8" s="28" t="s">
        <v>33</v>
      </c>
      <c r="D8" s="28">
        <v>12.01</v>
      </c>
      <c r="E8" s="28">
        <v>28</v>
      </c>
      <c r="F8" s="28" t="s">
        <v>39</v>
      </c>
      <c r="G8" s="84" t="s">
        <v>38</v>
      </c>
      <c r="H8" s="28">
        <v>1519</v>
      </c>
      <c r="I8" s="85">
        <v>0.16</v>
      </c>
      <c r="J8" s="86">
        <v>0.08</v>
      </c>
      <c r="K8" s="86">
        <v>0.38</v>
      </c>
      <c r="L8" s="85">
        <v>0.025</v>
      </c>
      <c r="M8" s="85">
        <v>0.02</v>
      </c>
      <c r="N8" s="85"/>
      <c r="O8" s="85" t="s">
        <v>35</v>
      </c>
      <c r="P8" s="85" t="s">
        <v>35</v>
      </c>
      <c r="Q8" s="85">
        <v>0.01</v>
      </c>
      <c r="R8" s="85" t="s">
        <v>35</v>
      </c>
      <c r="S8" s="72" t="s">
        <v>35</v>
      </c>
      <c r="T8" s="86"/>
      <c r="U8" s="86"/>
      <c r="V8" s="86"/>
      <c r="W8" s="86" t="s">
        <v>35</v>
      </c>
      <c r="X8" s="72" t="s">
        <v>35</v>
      </c>
      <c r="Y8" s="53" t="s">
        <v>35</v>
      </c>
      <c r="Z8" s="28" t="s">
        <v>35</v>
      </c>
      <c r="AA8" s="53"/>
    </row>
    <row r="9" spans="1:27">
      <c r="A9" s="37">
        <v>5</v>
      </c>
      <c r="B9" s="28" t="s">
        <v>40</v>
      </c>
      <c r="C9" s="28" t="s">
        <v>30</v>
      </c>
      <c r="D9" s="28">
        <v>1.6</v>
      </c>
      <c r="E9" s="28">
        <v>12</v>
      </c>
      <c r="F9" s="28" t="s">
        <v>41</v>
      </c>
      <c r="G9" s="84" t="s">
        <v>42</v>
      </c>
      <c r="H9" s="28">
        <v>1519</v>
      </c>
      <c r="I9" s="85">
        <v>0.15</v>
      </c>
      <c r="J9" s="86">
        <v>0.1</v>
      </c>
      <c r="K9" s="86">
        <v>0.35</v>
      </c>
      <c r="L9" s="85">
        <v>0.015</v>
      </c>
      <c r="M9" s="85">
        <v>0.01</v>
      </c>
      <c r="N9" s="85"/>
      <c r="O9" s="85" t="s">
        <v>35</v>
      </c>
      <c r="P9" s="85" t="s">
        <v>35</v>
      </c>
      <c r="Q9" s="85">
        <v>0.025</v>
      </c>
      <c r="R9" s="85" t="s">
        <v>35</v>
      </c>
      <c r="S9" s="72" t="s">
        <v>35</v>
      </c>
      <c r="T9" s="86"/>
      <c r="U9" s="86"/>
      <c r="V9" s="86"/>
      <c r="W9" s="86" t="s">
        <v>35</v>
      </c>
      <c r="X9" s="72" t="s">
        <v>35</v>
      </c>
      <c r="Y9" s="53" t="s">
        <v>35</v>
      </c>
      <c r="Z9" s="28" t="s">
        <v>35</v>
      </c>
      <c r="AA9" s="53"/>
    </row>
    <row r="10" spans="1:27">
      <c r="A10" s="37">
        <v>6</v>
      </c>
      <c r="B10" s="28" t="s">
        <v>40</v>
      </c>
      <c r="C10" s="28" t="s">
        <v>33</v>
      </c>
      <c r="D10" s="28">
        <v>12.01</v>
      </c>
      <c r="E10" s="28">
        <v>25.4</v>
      </c>
      <c r="F10" s="28" t="s">
        <v>43</v>
      </c>
      <c r="G10" s="84" t="s">
        <v>42</v>
      </c>
      <c r="H10" s="28">
        <v>1519</v>
      </c>
      <c r="I10" s="85">
        <v>0.15</v>
      </c>
      <c r="J10" s="86">
        <v>0.1</v>
      </c>
      <c r="K10" s="86">
        <v>0.5</v>
      </c>
      <c r="L10" s="85">
        <v>0.015</v>
      </c>
      <c r="M10" s="85">
        <v>0.01</v>
      </c>
      <c r="N10" s="85"/>
      <c r="O10" s="85" t="s">
        <v>35</v>
      </c>
      <c r="P10" s="85" t="s">
        <v>35</v>
      </c>
      <c r="Q10" s="85">
        <v>0.025</v>
      </c>
      <c r="R10" s="85" t="s">
        <v>35</v>
      </c>
      <c r="S10" s="72" t="s">
        <v>35</v>
      </c>
      <c r="T10" s="86"/>
      <c r="U10" s="86"/>
      <c r="V10" s="86"/>
      <c r="W10" s="86" t="s">
        <v>35</v>
      </c>
      <c r="X10" s="72" t="s">
        <v>35</v>
      </c>
      <c r="Y10" s="53" t="s">
        <v>35</v>
      </c>
      <c r="Z10" s="28" t="s">
        <v>35</v>
      </c>
      <c r="AA10" s="53"/>
    </row>
    <row r="11" spans="1:27">
      <c r="A11" s="37">
        <v>7</v>
      </c>
      <c r="B11" s="28" t="s">
        <v>44</v>
      </c>
      <c r="C11" s="28" t="s">
        <v>30</v>
      </c>
      <c r="D11" s="28">
        <v>1.45</v>
      </c>
      <c r="E11" s="28">
        <v>12</v>
      </c>
      <c r="F11" s="28" t="s">
        <v>37</v>
      </c>
      <c r="G11" s="84" t="s">
        <v>38</v>
      </c>
      <c r="H11" s="28">
        <v>1519</v>
      </c>
      <c r="I11" s="85">
        <v>0.16</v>
      </c>
      <c r="J11" s="86">
        <v>0.08</v>
      </c>
      <c r="K11" s="86">
        <v>0.23</v>
      </c>
      <c r="L11" s="85">
        <v>0.025</v>
      </c>
      <c r="M11" s="85">
        <v>0.02</v>
      </c>
      <c r="N11" s="85"/>
      <c r="O11" s="85" t="s">
        <v>35</v>
      </c>
      <c r="P11" s="85" t="s">
        <v>35</v>
      </c>
      <c r="Q11" s="85">
        <v>0.01</v>
      </c>
      <c r="R11" s="85" t="s">
        <v>35</v>
      </c>
      <c r="S11" s="72" t="s">
        <v>35</v>
      </c>
      <c r="T11" s="86"/>
      <c r="U11" s="86"/>
      <c r="V11" s="86"/>
      <c r="W11" s="86" t="s">
        <v>35</v>
      </c>
      <c r="X11" s="72" t="s">
        <v>35</v>
      </c>
      <c r="Y11" s="53" t="s">
        <v>35</v>
      </c>
      <c r="Z11" s="28" t="s">
        <v>35</v>
      </c>
      <c r="AA11" s="53" t="s">
        <v>35</v>
      </c>
    </row>
    <row r="12" spans="1:27">
      <c r="A12" s="37">
        <v>8</v>
      </c>
      <c r="B12" s="28" t="s">
        <v>44</v>
      </c>
      <c r="C12" s="28" t="s">
        <v>33</v>
      </c>
      <c r="D12" s="28">
        <v>12.01</v>
      </c>
      <c r="E12" s="28">
        <v>28</v>
      </c>
      <c r="F12" s="28" t="s">
        <v>39</v>
      </c>
      <c r="G12" s="84" t="s">
        <v>38</v>
      </c>
      <c r="H12" s="28">
        <v>1519</v>
      </c>
      <c r="I12" s="85">
        <v>0.16</v>
      </c>
      <c r="J12" s="86">
        <v>0.08</v>
      </c>
      <c r="K12" s="86">
        <v>0.38</v>
      </c>
      <c r="L12" s="85">
        <v>0.025</v>
      </c>
      <c r="M12" s="85">
        <v>0.02</v>
      </c>
      <c r="N12" s="85"/>
      <c r="O12" s="85" t="s">
        <v>35</v>
      </c>
      <c r="P12" s="85" t="s">
        <v>35</v>
      </c>
      <c r="Q12" s="85">
        <v>0.01</v>
      </c>
      <c r="R12" s="85" t="s">
        <v>35</v>
      </c>
      <c r="S12" s="72" t="s">
        <v>35</v>
      </c>
      <c r="T12" s="86"/>
      <c r="U12" s="86"/>
      <c r="V12" s="86"/>
      <c r="W12" s="86" t="s">
        <v>35</v>
      </c>
      <c r="X12" s="72" t="s">
        <v>35</v>
      </c>
      <c r="Y12" s="53" t="s">
        <v>35</v>
      </c>
      <c r="Z12" s="28" t="s">
        <v>35</v>
      </c>
      <c r="AA12" s="53" t="s">
        <v>35</v>
      </c>
    </row>
    <row r="13" spans="1:27">
      <c r="A13" s="37">
        <v>9</v>
      </c>
      <c r="B13" s="28" t="s">
        <v>45</v>
      </c>
      <c r="C13" s="28" t="s">
        <v>30</v>
      </c>
      <c r="D13" s="28">
        <v>1.45</v>
      </c>
      <c r="E13" s="28">
        <v>12</v>
      </c>
      <c r="F13" s="28" t="s">
        <v>37</v>
      </c>
      <c r="G13" s="84" t="s">
        <v>38</v>
      </c>
      <c r="H13" s="28">
        <v>1519</v>
      </c>
      <c r="I13" s="85">
        <v>0.16</v>
      </c>
      <c r="J13" s="86">
        <v>0.08</v>
      </c>
      <c r="K13" s="86">
        <v>0.23</v>
      </c>
      <c r="L13" s="85">
        <v>0.025</v>
      </c>
      <c r="M13" s="85">
        <v>0.02</v>
      </c>
      <c r="N13" s="85"/>
      <c r="O13" s="85" t="s">
        <v>35</v>
      </c>
      <c r="P13" s="85" t="s">
        <v>35</v>
      </c>
      <c r="Q13" s="85">
        <v>0.01</v>
      </c>
      <c r="R13" s="85" t="s">
        <v>35</v>
      </c>
      <c r="S13" s="72" t="s">
        <v>35</v>
      </c>
      <c r="T13" s="86"/>
      <c r="U13" s="86"/>
      <c r="V13" s="86"/>
      <c r="W13" s="86" t="s">
        <v>35</v>
      </c>
      <c r="X13" s="72" t="s">
        <v>35</v>
      </c>
      <c r="Y13" s="53" t="s">
        <v>35</v>
      </c>
      <c r="Z13" s="28" t="s">
        <v>35</v>
      </c>
      <c r="AA13" s="53" t="s">
        <v>35</v>
      </c>
    </row>
    <row r="14" spans="1:27">
      <c r="A14" s="37">
        <v>10</v>
      </c>
      <c r="B14" s="28" t="s">
        <v>45</v>
      </c>
      <c r="C14" s="28" t="s">
        <v>33</v>
      </c>
      <c r="D14" s="28">
        <v>12.01</v>
      </c>
      <c r="E14" s="28">
        <v>28</v>
      </c>
      <c r="F14" s="28" t="s">
        <v>39</v>
      </c>
      <c r="G14" s="84" t="s">
        <v>38</v>
      </c>
      <c r="H14" s="28">
        <v>1519</v>
      </c>
      <c r="I14" s="85">
        <v>0.16</v>
      </c>
      <c r="J14" s="86">
        <v>0.08</v>
      </c>
      <c r="K14" s="86">
        <v>0.38</v>
      </c>
      <c r="L14" s="85">
        <v>0.025</v>
      </c>
      <c r="M14" s="85">
        <v>0.02</v>
      </c>
      <c r="N14" s="85"/>
      <c r="O14" s="85" t="s">
        <v>35</v>
      </c>
      <c r="P14" s="85" t="s">
        <v>35</v>
      </c>
      <c r="Q14" s="85">
        <v>0.01</v>
      </c>
      <c r="R14" s="85" t="s">
        <v>35</v>
      </c>
      <c r="S14" s="72" t="s">
        <v>35</v>
      </c>
      <c r="T14" s="86"/>
      <c r="U14" s="86"/>
      <c r="V14" s="86"/>
      <c r="W14" s="86" t="s">
        <v>35</v>
      </c>
      <c r="X14" s="72" t="s">
        <v>35</v>
      </c>
      <c r="Y14" s="53" t="s">
        <v>35</v>
      </c>
      <c r="Z14" s="28" t="s">
        <v>35</v>
      </c>
      <c r="AA14" s="53" t="s">
        <v>35</v>
      </c>
    </row>
    <row r="15" spans="1:27">
      <c r="A15" s="37">
        <v>11</v>
      </c>
      <c r="B15" s="28" t="s">
        <v>46</v>
      </c>
      <c r="C15" s="28" t="s">
        <v>30</v>
      </c>
      <c r="D15" s="28">
        <v>1.45</v>
      </c>
      <c r="E15" s="28">
        <v>12</v>
      </c>
      <c r="F15" s="28" t="s">
        <v>37</v>
      </c>
      <c r="G15" s="84" t="s">
        <v>38</v>
      </c>
      <c r="H15" s="28">
        <v>1519</v>
      </c>
      <c r="I15" s="85">
        <v>0.16</v>
      </c>
      <c r="J15" s="86">
        <v>0.08</v>
      </c>
      <c r="K15" s="86">
        <v>0.23</v>
      </c>
      <c r="L15" s="85">
        <v>0.025</v>
      </c>
      <c r="M15" s="85">
        <v>0.02</v>
      </c>
      <c r="N15" s="85"/>
      <c r="O15" s="85" t="s">
        <v>35</v>
      </c>
      <c r="P15" s="85" t="s">
        <v>35</v>
      </c>
      <c r="Q15" s="85">
        <v>0.01</v>
      </c>
      <c r="R15" s="85" t="s">
        <v>35</v>
      </c>
      <c r="S15" s="72" t="s">
        <v>35</v>
      </c>
      <c r="T15" s="86"/>
      <c r="U15" s="86"/>
      <c r="V15" s="86"/>
      <c r="W15" s="86" t="s">
        <v>35</v>
      </c>
      <c r="X15" s="72" t="s">
        <v>35</v>
      </c>
      <c r="Y15" s="53" t="s">
        <v>35</v>
      </c>
      <c r="Z15" s="28" t="s">
        <v>35</v>
      </c>
      <c r="AA15" s="53" t="s">
        <v>35</v>
      </c>
    </row>
    <row r="16" spans="1:27">
      <c r="A16" s="37">
        <v>12</v>
      </c>
      <c r="B16" s="28" t="s">
        <v>46</v>
      </c>
      <c r="C16" s="28" t="s">
        <v>33</v>
      </c>
      <c r="D16" s="28">
        <v>12.01</v>
      </c>
      <c r="E16" s="28">
        <v>28</v>
      </c>
      <c r="F16" s="28" t="s">
        <v>39</v>
      </c>
      <c r="G16" s="84" t="s">
        <v>38</v>
      </c>
      <c r="H16" s="28">
        <v>1519</v>
      </c>
      <c r="I16" s="85">
        <v>0.16</v>
      </c>
      <c r="J16" s="86">
        <v>0.08</v>
      </c>
      <c r="K16" s="86">
        <v>0.38</v>
      </c>
      <c r="L16" s="85">
        <v>0.025</v>
      </c>
      <c r="M16" s="85">
        <v>0.02</v>
      </c>
      <c r="N16" s="85"/>
      <c r="O16" s="85" t="s">
        <v>35</v>
      </c>
      <c r="P16" s="85" t="s">
        <v>35</v>
      </c>
      <c r="Q16" s="85">
        <v>0.01</v>
      </c>
      <c r="R16" s="85" t="s">
        <v>35</v>
      </c>
      <c r="S16" s="72" t="s">
        <v>35</v>
      </c>
      <c r="T16" s="86"/>
      <c r="U16" s="86"/>
      <c r="V16" s="86"/>
      <c r="W16" s="86" t="s">
        <v>35</v>
      </c>
      <c r="X16" s="72" t="s">
        <v>35</v>
      </c>
      <c r="Y16" s="53" t="s">
        <v>35</v>
      </c>
      <c r="Z16" s="28" t="s">
        <v>35</v>
      </c>
      <c r="AA16" s="53" t="s">
        <v>35</v>
      </c>
    </row>
    <row r="17" spans="1:27">
      <c r="A17" s="37">
        <v>13</v>
      </c>
      <c r="B17" s="28" t="s">
        <v>47</v>
      </c>
      <c r="C17" s="28" t="s">
        <v>30</v>
      </c>
      <c r="D17" s="28">
        <v>1.6</v>
      </c>
      <c r="E17" s="28">
        <v>5</v>
      </c>
      <c r="F17" s="28" t="s">
        <v>48</v>
      </c>
      <c r="G17" s="84" t="s">
        <v>49</v>
      </c>
      <c r="H17" s="28">
        <v>1520</v>
      </c>
      <c r="I17" s="85">
        <v>0.15</v>
      </c>
      <c r="J17" s="86">
        <v>0.12</v>
      </c>
      <c r="K17" s="86">
        <v>0.25</v>
      </c>
      <c r="L17" s="85">
        <v>0.015</v>
      </c>
      <c r="M17" s="85">
        <v>0.005</v>
      </c>
      <c r="N17" s="85"/>
      <c r="O17" s="85" t="s">
        <v>35</v>
      </c>
      <c r="P17" s="85" t="s">
        <v>35</v>
      </c>
      <c r="Q17" s="85">
        <v>0.015</v>
      </c>
      <c r="R17" s="85" t="s">
        <v>35</v>
      </c>
      <c r="S17" s="72"/>
      <c r="T17" s="86"/>
      <c r="U17" s="86"/>
      <c r="V17" s="86"/>
      <c r="W17" s="86" t="s">
        <v>35</v>
      </c>
      <c r="X17" s="72" t="s">
        <v>35</v>
      </c>
      <c r="Y17" s="53" t="s">
        <v>35</v>
      </c>
      <c r="Z17" s="28" t="s">
        <v>35</v>
      </c>
      <c r="AA17" s="53" t="s">
        <v>35</v>
      </c>
    </row>
    <row r="18" spans="1:27">
      <c r="A18" s="37">
        <v>14</v>
      </c>
      <c r="B18" s="28" t="s">
        <v>47</v>
      </c>
      <c r="C18" s="28" t="s">
        <v>33</v>
      </c>
      <c r="D18" s="28">
        <v>5.01</v>
      </c>
      <c r="E18" s="28">
        <v>14</v>
      </c>
      <c r="F18" s="28" t="s">
        <v>50</v>
      </c>
      <c r="G18" s="84" t="s">
        <v>49</v>
      </c>
      <c r="H18" s="28">
        <v>1520</v>
      </c>
      <c r="I18" s="85">
        <v>0.15</v>
      </c>
      <c r="J18" s="86">
        <v>0.12</v>
      </c>
      <c r="K18" s="86">
        <v>0.35</v>
      </c>
      <c r="L18" s="85">
        <v>0.015</v>
      </c>
      <c r="M18" s="85">
        <v>0.005</v>
      </c>
      <c r="N18" s="85"/>
      <c r="O18" s="85" t="s">
        <v>35</v>
      </c>
      <c r="P18" s="85" t="s">
        <v>35</v>
      </c>
      <c r="Q18" s="85">
        <v>0.015</v>
      </c>
      <c r="R18" s="85" t="s">
        <v>35</v>
      </c>
      <c r="S18" s="72"/>
      <c r="T18" s="86"/>
      <c r="U18" s="86"/>
      <c r="V18" s="86"/>
      <c r="W18" s="86" t="s">
        <v>35</v>
      </c>
      <c r="X18" s="72" t="s">
        <v>35</v>
      </c>
      <c r="Y18" s="53" t="s">
        <v>35</v>
      </c>
      <c r="Z18" s="28" t="s">
        <v>35</v>
      </c>
      <c r="AA18" s="53" t="s">
        <v>35</v>
      </c>
    </row>
    <row r="19" spans="1:27">
      <c r="A19" s="37">
        <v>15</v>
      </c>
      <c r="B19" s="28" t="s">
        <v>51</v>
      </c>
      <c r="C19" s="28" t="s">
        <v>30</v>
      </c>
      <c r="D19" s="28">
        <v>3</v>
      </c>
      <c r="E19" s="28">
        <v>12</v>
      </c>
      <c r="F19" s="28" t="s">
        <v>52</v>
      </c>
      <c r="G19" s="84" t="s">
        <v>53</v>
      </c>
      <c r="H19" s="28">
        <v>1519</v>
      </c>
      <c r="I19" s="85">
        <v>0.15</v>
      </c>
      <c r="J19" s="86">
        <v>0.05</v>
      </c>
      <c r="K19" s="86">
        <v>0.25</v>
      </c>
      <c r="L19" s="85">
        <v>0.018</v>
      </c>
      <c r="M19" s="85">
        <v>0.008</v>
      </c>
      <c r="N19" s="85"/>
      <c r="O19" s="85" t="s">
        <v>35</v>
      </c>
      <c r="P19" s="85" t="s">
        <v>35</v>
      </c>
      <c r="Q19" s="85">
        <v>0.01</v>
      </c>
      <c r="R19" s="85" t="s">
        <v>35</v>
      </c>
      <c r="S19" s="72" t="s">
        <v>35</v>
      </c>
      <c r="T19" s="86"/>
      <c r="U19" s="86"/>
      <c r="V19" s="86"/>
      <c r="W19" s="86" t="s">
        <v>35</v>
      </c>
      <c r="X19" s="72" t="s">
        <v>35</v>
      </c>
      <c r="Y19" s="53" t="s">
        <v>35</v>
      </c>
      <c r="Z19" s="28"/>
      <c r="AA19" s="53"/>
    </row>
    <row r="20" spans="1:27">
      <c r="A20" s="37">
        <v>16</v>
      </c>
      <c r="B20" s="28" t="s">
        <v>51</v>
      </c>
      <c r="C20" s="28" t="s">
        <v>33</v>
      </c>
      <c r="D20" s="28">
        <v>12.01</v>
      </c>
      <c r="E20" s="28">
        <v>25.4</v>
      </c>
      <c r="F20" s="28" t="s">
        <v>54</v>
      </c>
      <c r="G20" s="84" t="s">
        <v>53</v>
      </c>
      <c r="H20" s="28">
        <v>1519</v>
      </c>
      <c r="I20" s="85">
        <v>0.15</v>
      </c>
      <c r="J20" s="86">
        <v>0.05</v>
      </c>
      <c r="K20" s="86">
        <v>0.38</v>
      </c>
      <c r="L20" s="85">
        <v>0.018</v>
      </c>
      <c r="M20" s="85">
        <v>0.008</v>
      </c>
      <c r="N20" s="85"/>
      <c r="O20" s="85" t="s">
        <v>35</v>
      </c>
      <c r="P20" s="85" t="s">
        <v>35</v>
      </c>
      <c r="Q20" s="85">
        <v>0.01</v>
      </c>
      <c r="R20" s="85" t="s">
        <v>35</v>
      </c>
      <c r="S20" s="72" t="s">
        <v>35</v>
      </c>
      <c r="T20" s="86"/>
      <c r="U20" s="86"/>
      <c r="V20" s="86"/>
      <c r="W20" s="86" t="s">
        <v>35</v>
      </c>
      <c r="X20" s="72" t="s">
        <v>35</v>
      </c>
      <c r="Y20" s="53" t="s">
        <v>35</v>
      </c>
      <c r="Z20" s="28"/>
      <c r="AA20" s="53"/>
    </row>
    <row r="21" spans="1:27">
      <c r="A21" s="37">
        <v>17</v>
      </c>
      <c r="B21" s="28" t="s">
        <v>55</v>
      </c>
      <c r="C21" s="28" t="s">
        <v>30</v>
      </c>
      <c r="D21" s="28">
        <v>3</v>
      </c>
      <c r="E21" s="28">
        <v>12</v>
      </c>
      <c r="F21" s="28" t="s">
        <v>56</v>
      </c>
      <c r="G21" s="84" t="s">
        <v>57</v>
      </c>
      <c r="H21" s="28">
        <v>1519</v>
      </c>
      <c r="I21" s="85">
        <v>0.15</v>
      </c>
      <c r="J21" s="86">
        <v>0.05</v>
      </c>
      <c r="K21" s="86">
        <v>0.25</v>
      </c>
      <c r="L21" s="85">
        <v>0.018</v>
      </c>
      <c r="M21" s="85">
        <v>0.008</v>
      </c>
      <c r="N21" s="85"/>
      <c r="O21" s="85" t="s">
        <v>35</v>
      </c>
      <c r="P21" s="85" t="s">
        <v>35</v>
      </c>
      <c r="Q21" s="85">
        <v>0.01</v>
      </c>
      <c r="R21" s="85" t="s">
        <v>35</v>
      </c>
      <c r="S21" s="72" t="s">
        <v>35</v>
      </c>
      <c r="T21" s="86"/>
      <c r="U21" s="86"/>
      <c r="V21" s="86"/>
      <c r="W21" s="86" t="s">
        <v>35</v>
      </c>
      <c r="X21" s="72" t="s">
        <v>35</v>
      </c>
      <c r="Y21" s="53" t="s">
        <v>35</v>
      </c>
      <c r="Z21" s="28"/>
      <c r="AA21" s="53"/>
    </row>
    <row r="22" spans="1:27">
      <c r="A22" s="37">
        <v>18</v>
      </c>
      <c r="B22" s="28" t="s">
        <v>55</v>
      </c>
      <c r="C22" s="28" t="s">
        <v>33</v>
      </c>
      <c r="D22" s="28">
        <v>12.01</v>
      </c>
      <c r="E22" s="28">
        <v>25.4</v>
      </c>
      <c r="F22" s="28" t="s">
        <v>58</v>
      </c>
      <c r="G22" s="84" t="s">
        <v>57</v>
      </c>
      <c r="H22" s="28">
        <v>1519</v>
      </c>
      <c r="I22" s="85">
        <v>0.15</v>
      </c>
      <c r="J22" s="86">
        <v>0.05</v>
      </c>
      <c r="K22" s="86">
        <v>0.38</v>
      </c>
      <c r="L22" s="85">
        <v>0.018</v>
      </c>
      <c r="M22" s="85">
        <v>0.008</v>
      </c>
      <c r="N22" s="85" t="s">
        <v>35</v>
      </c>
      <c r="O22" s="85" t="s">
        <v>35</v>
      </c>
      <c r="P22" s="85" t="s">
        <v>35</v>
      </c>
      <c r="Q22" s="85">
        <v>0.01</v>
      </c>
      <c r="R22" s="85" t="s">
        <v>35</v>
      </c>
      <c r="S22" s="72" t="s">
        <v>35</v>
      </c>
      <c r="T22" s="86"/>
      <c r="U22" s="86"/>
      <c r="V22" s="86"/>
      <c r="W22" s="86" t="s">
        <v>35</v>
      </c>
      <c r="X22" s="72" t="s">
        <v>35</v>
      </c>
      <c r="Y22" s="53" t="s">
        <v>35</v>
      </c>
      <c r="Z22" s="28"/>
      <c r="AA22" s="53"/>
    </row>
    <row r="23" spans="1:27">
      <c r="A23" s="37">
        <v>19</v>
      </c>
      <c r="B23" s="28" t="s">
        <v>59</v>
      </c>
      <c r="C23" s="28" t="s">
        <v>30</v>
      </c>
      <c r="D23" s="28">
        <v>1.5</v>
      </c>
      <c r="E23" s="28">
        <v>28</v>
      </c>
      <c r="F23" s="28" t="s">
        <v>59</v>
      </c>
      <c r="G23" s="84" t="s">
        <v>60</v>
      </c>
      <c r="H23" s="28">
        <v>1519</v>
      </c>
      <c r="I23" s="85">
        <v>0.16</v>
      </c>
      <c r="J23" s="86">
        <v>0.1</v>
      </c>
      <c r="K23" s="86">
        <v>0.4</v>
      </c>
      <c r="L23" s="85">
        <v>0.025</v>
      </c>
      <c r="M23" s="85">
        <v>0.02</v>
      </c>
      <c r="N23" s="85" t="s">
        <v>35</v>
      </c>
      <c r="O23" s="85" t="s">
        <v>35</v>
      </c>
      <c r="P23" s="85" t="s">
        <v>35</v>
      </c>
      <c r="Q23" s="85">
        <v>0.01</v>
      </c>
      <c r="R23" s="85" t="s">
        <v>35</v>
      </c>
      <c r="S23" s="72"/>
      <c r="T23" s="86"/>
      <c r="U23" s="86"/>
      <c r="V23" s="86"/>
      <c r="W23" s="86" t="s">
        <v>35</v>
      </c>
      <c r="X23" s="72" t="s">
        <v>35</v>
      </c>
      <c r="Y23" s="53" t="s">
        <v>35</v>
      </c>
      <c r="Z23" s="28" t="s">
        <v>35</v>
      </c>
      <c r="AA23" s="53"/>
    </row>
    <row r="24" spans="1:27">
      <c r="A24" s="37">
        <v>20</v>
      </c>
      <c r="B24" s="28" t="s">
        <v>61</v>
      </c>
      <c r="C24" s="28" t="s">
        <v>30</v>
      </c>
      <c r="D24" s="28">
        <v>1.5</v>
      </c>
      <c r="E24" s="28">
        <v>12</v>
      </c>
      <c r="F24" s="28" t="s">
        <v>62</v>
      </c>
      <c r="G24" s="84" t="s">
        <v>63</v>
      </c>
      <c r="H24" s="28">
        <v>1519</v>
      </c>
      <c r="I24" s="85">
        <v>0.16</v>
      </c>
      <c r="J24" s="86">
        <v>0.08</v>
      </c>
      <c r="K24" s="86">
        <v>0.25</v>
      </c>
      <c r="L24" s="85">
        <v>0.015</v>
      </c>
      <c r="M24" s="85">
        <v>0.01</v>
      </c>
      <c r="N24" s="85" t="s">
        <v>35</v>
      </c>
      <c r="O24" s="85" t="s">
        <v>35</v>
      </c>
      <c r="P24" s="85" t="s">
        <v>35</v>
      </c>
      <c r="Q24" s="85">
        <v>0.02</v>
      </c>
      <c r="R24" s="85" t="s">
        <v>35</v>
      </c>
      <c r="S24" s="72" t="s">
        <v>35</v>
      </c>
      <c r="T24" s="86"/>
      <c r="U24" s="86"/>
      <c r="V24" s="86"/>
      <c r="W24" s="86" t="s">
        <v>35</v>
      </c>
      <c r="X24" s="72" t="s">
        <v>35</v>
      </c>
      <c r="Y24" s="53" t="s">
        <v>35</v>
      </c>
      <c r="Z24" s="28"/>
      <c r="AA24" s="53"/>
    </row>
    <row r="25" spans="1:27">
      <c r="A25" s="37">
        <v>21</v>
      </c>
      <c r="B25" s="28" t="s">
        <v>61</v>
      </c>
      <c r="C25" s="28" t="s">
        <v>33</v>
      </c>
      <c r="D25" s="28">
        <v>12.01</v>
      </c>
      <c r="E25" s="28">
        <v>25</v>
      </c>
      <c r="F25" s="28" t="s">
        <v>64</v>
      </c>
      <c r="G25" s="84" t="s">
        <v>63</v>
      </c>
      <c r="H25" s="28">
        <v>1519</v>
      </c>
      <c r="I25" s="85">
        <v>0.16</v>
      </c>
      <c r="J25" s="86">
        <v>0.08</v>
      </c>
      <c r="K25" s="86">
        <v>0.38</v>
      </c>
      <c r="L25" s="85">
        <v>0.015</v>
      </c>
      <c r="M25" s="85">
        <v>0.01</v>
      </c>
      <c r="N25" s="85" t="s">
        <v>35</v>
      </c>
      <c r="O25" s="85" t="s">
        <v>35</v>
      </c>
      <c r="P25" s="85" t="s">
        <v>35</v>
      </c>
      <c r="Q25" s="85">
        <v>0.02</v>
      </c>
      <c r="R25" s="85" t="s">
        <v>35</v>
      </c>
      <c r="S25" s="72" t="s">
        <v>35</v>
      </c>
      <c r="T25" s="86"/>
      <c r="U25" s="86"/>
      <c r="V25" s="86"/>
      <c r="W25" s="86" t="s">
        <v>35</v>
      </c>
      <c r="X25" s="72" t="s">
        <v>35</v>
      </c>
      <c r="Y25" s="53" t="s">
        <v>35</v>
      </c>
      <c r="Z25" s="28"/>
      <c r="AA25" s="53"/>
    </row>
    <row r="26" spans="1:27">
      <c r="A26" s="37">
        <v>22</v>
      </c>
      <c r="B26" s="28" t="s">
        <v>65</v>
      </c>
      <c r="C26" s="28" t="s">
        <v>30</v>
      </c>
      <c r="D26" s="28">
        <v>1.5</v>
      </c>
      <c r="E26" s="28">
        <v>12</v>
      </c>
      <c r="F26" s="28" t="s">
        <v>66</v>
      </c>
      <c r="G26" s="84" t="s">
        <v>67</v>
      </c>
      <c r="H26" s="28">
        <v>1519</v>
      </c>
      <c r="I26" s="85">
        <v>0.16</v>
      </c>
      <c r="J26" s="86">
        <v>0</v>
      </c>
      <c r="K26" s="86">
        <v>0.3</v>
      </c>
      <c r="L26" s="85">
        <v>0.02</v>
      </c>
      <c r="M26" s="85">
        <v>0.015</v>
      </c>
      <c r="N26" s="85" t="s">
        <v>35</v>
      </c>
      <c r="O26" s="85" t="s">
        <v>35</v>
      </c>
      <c r="P26" s="85" t="s">
        <v>35</v>
      </c>
      <c r="Q26" s="85">
        <v>0.02</v>
      </c>
      <c r="R26" s="85" t="s">
        <v>35</v>
      </c>
      <c r="S26" s="72" t="s">
        <v>35</v>
      </c>
      <c r="T26" s="86"/>
      <c r="U26" s="86"/>
      <c r="V26" s="86"/>
      <c r="W26" s="86" t="s">
        <v>35</v>
      </c>
      <c r="X26" s="72" t="s">
        <v>35</v>
      </c>
      <c r="Y26" s="53" t="s">
        <v>35</v>
      </c>
      <c r="Z26" s="28" t="s">
        <v>35</v>
      </c>
      <c r="AA26" s="53"/>
    </row>
    <row r="27" spans="1:27">
      <c r="A27" s="37">
        <v>23</v>
      </c>
      <c r="B27" s="28" t="s">
        <v>65</v>
      </c>
      <c r="C27" s="28" t="s">
        <v>33</v>
      </c>
      <c r="D27" s="28">
        <v>12.01</v>
      </c>
      <c r="E27" s="28">
        <v>20</v>
      </c>
      <c r="F27" s="28" t="s">
        <v>68</v>
      </c>
      <c r="G27" s="84" t="s">
        <v>67</v>
      </c>
      <c r="H27" s="28">
        <v>1519</v>
      </c>
      <c r="I27" s="85">
        <v>0.16</v>
      </c>
      <c r="J27" s="86">
        <v>0</v>
      </c>
      <c r="K27" s="86">
        <v>0.4</v>
      </c>
      <c r="L27" s="85">
        <v>0.02</v>
      </c>
      <c r="M27" s="85">
        <v>0.015</v>
      </c>
      <c r="N27" s="85" t="s">
        <v>35</v>
      </c>
      <c r="O27" s="85" t="s">
        <v>35</v>
      </c>
      <c r="P27" s="85" t="s">
        <v>35</v>
      </c>
      <c r="Q27" s="85">
        <v>0.02</v>
      </c>
      <c r="R27" s="85" t="s">
        <v>35</v>
      </c>
      <c r="S27" s="72" t="s">
        <v>35</v>
      </c>
      <c r="T27" s="86"/>
      <c r="U27" s="86"/>
      <c r="V27" s="86"/>
      <c r="W27" s="86" t="s">
        <v>35</v>
      </c>
      <c r="X27" s="72" t="s">
        <v>35</v>
      </c>
      <c r="Y27" s="53" t="s">
        <v>35</v>
      </c>
      <c r="Z27" s="28" t="s">
        <v>35</v>
      </c>
      <c r="AA27" s="53"/>
    </row>
    <row r="28" spans="1:27">
      <c r="A28" s="37">
        <v>24</v>
      </c>
      <c r="B28" s="28" t="s">
        <v>69</v>
      </c>
      <c r="C28" s="28" t="s">
        <v>30</v>
      </c>
      <c r="D28" s="28">
        <v>1.6</v>
      </c>
      <c r="E28" s="28">
        <v>12</v>
      </c>
      <c r="F28" s="28" t="s">
        <v>70</v>
      </c>
      <c r="G28" s="84" t="s">
        <v>71</v>
      </c>
      <c r="H28" s="28">
        <v>1519</v>
      </c>
      <c r="I28" s="85">
        <v>0.16</v>
      </c>
      <c r="J28" s="86">
        <v>0.08</v>
      </c>
      <c r="K28" s="86">
        <v>0.35</v>
      </c>
      <c r="L28" s="85">
        <v>0.02</v>
      </c>
      <c r="M28" s="85">
        <v>0.015</v>
      </c>
      <c r="N28" s="85" t="s">
        <v>35</v>
      </c>
      <c r="O28" s="85" t="s">
        <v>35</v>
      </c>
      <c r="P28" s="85" t="s">
        <v>35</v>
      </c>
      <c r="Q28" s="85">
        <v>0.01</v>
      </c>
      <c r="R28" s="85" t="s">
        <v>35</v>
      </c>
      <c r="S28" s="72" t="s">
        <v>35</v>
      </c>
      <c r="T28" s="86"/>
      <c r="U28" s="86"/>
      <c r="V28" s="86"/>
      <c r="W28" s="86" t="s">
        <v>35</v>
      </c>
      <c r="X28" s="72" t="s">
        <v>35</v>
      </c>
      <c r="Y28" s="53" t="s">
        <v>35</v>
      </c>
      <c r="Z28" s="28" t="s">
        <v>35</v>
      </c>
      <c r="AA28" s="53" t="s">
        <v>35</v>
      </c>
    </row>
    <row r="29" spans="1:27">
      <c r="A29" s="37">
        <v>25</v>
      </c>
      <c r="B29" s="28" t="s">
        <v>69</v>
      </c>
      <c r="C29" s="28" t="s">
        <v>33</v>
      </c>
      <c r="D29" s="28">
        <v>12.01</v>
      </c>
      <c r="E29" s="28">
        <v>25.4</v>
      </c>
      <c r="F29" s="28" t="s">
        <v>72</v>
      </c>
      <c r="G29" s="84" t="s">
        <v>71</v>
      </c>
      <c r="H29" s="28">
        <v>1519</v>
      </c>
      <c r="I29" s="85">
        <v>0.16</v>
      </c>
      <c r="J29" s="86">
        <v>0.08</v>
      </c>
      <c r="K29" s="86">
        <v>0.5</v>
      </c>
      <c r="L29" s="85">
        <v>0.02</v>
      </c>
      <c r="M29" s="85">
        <v>0.015</v>
      </c>
      <c r="N29" s="85" t="s">
        <v>35</v>
      </c>
      <c r="O29" s="85" t="s">
        <v>35</v>
      </c>
      <c r="P29" s="85" t="s">
        <v>35</v>
      </c>
      <c r="Q29" s="85">
        <v>0.025</v>
      </c>
      <c r="R29" s="85" t="s">
        <v>35</v>
      </c>
      <c r="S29" s="72" t="s">
        <v>35</v>
      </c>
      <c r="T29" s="86"/>
      <c r="U29" s="86"/>
      <c r="V29" s="86"/>
      <c r="W29" s="86" t="s">
        <v>35</v>
      </c>
      <c r="X29" s="72" t="s">
        <v>35</v>
      </c>
      <c r="Y29" s="53" t="s">
        <v>35</v>
      </c>
      <c r="Z29" s="28" t="s">
        <v>35</v>
      </c>
      <c r="AA29" s="53" t="s">
        <v>35</v>
      </c>
    </row>
    <row r="30" spans="1:27">
      <c r="A30" s="37">
        <v>26</v>
      </c>
      <c r="B30" s="28" t="s">
        <v>73</v>
      </c>
      <c r="C30" s="28" t="s">
        <v>30</v>
      </c>
      <c r="D30" s="28">
        <v>1.5</v>
      </c>
      <c r="E30" s="28">
        <v>12</v>
      </c>
      <c r="F30" s="28" t="s">
        <v>62</v>
      </c>
      <c r="G30" s="84" t="s">
        <v>63</v>
      </c>
      <c r="H30" s="28">
        <v>1519</v>
      </c>
      <c r="I30" s="85">
        <v>0.16</v>
      </c>
      <c r="J30" s="86">
        <v>0.08</v>
      </c>
      <c r="K30" s="86">
        <v>0.25</v>
      </c>
      <c r="L30" s="85">
        <v>0.015</v>
      </c>
      <c r="M30" s="85">
        <v>0.01</v>
      </c>
      <c r="N30" s="85" t="s">
        <v>35</v>
      </c>
      <c r="O30" s="85" t="s">
        <v>35</v>
      </c>
      <c r="P30" s="85" t="s">
        <v>35</v>
      </c>
      <c r="Q30" s="85">
        <v>0.02</v>
      </c>
      <c r="R30" s="85" t="s">
        <v>35</v>
      </c>
      <c r="S30" s="72" t="s">
        <v>35</v>
      </c>
      <c r="T30" s="86"/>
      <c r="U30" s="86"/>
      <c r="V30" s="86"/>
      <c r="W30" s="86" t="s">
        <v>35</v>
      </c>
      <c r="X30" s="72" t="s">
        <v>35</v>
      </c>
      <c r="Y30" s="53" t="s">
        <v>35</v>
      </c>
      <c r="Z30" s="28"/>
      <c r="AA30" s="53"/>
    </row>
    <row r="31" spans="1:27">
      <c r="A31" s="37">
        <v>27</v>
      </c>
      <c r="B31" s="28" t="s">
        <v>74</v>
      </c>
      <c r="C31" s="28" t="s">
        <v>30</v>
      </c>
      <c r="D31" s="28">
        <v>1.5</v>
      </c>
      <c r="E31" s="28">
        <v>16</v>
      </c>
      <c r="F31" s="28" t="s">
        <v>74</v>
      </c>
      <c r="G31" s="84" t="s">
        <v>75</v>
      </c>
      <c r="H31" s="28">
        <v>1519</v>
      </c>
      <c r="I31" s="85">
        <v>0.16</v>
      </c>
      <c r="J31" s="86">
        <v>0.1</v>
      </c>
      <c r="K31" s="86">
        <v>0.25</v>
      </c>
      <c r="L31" s="85">
        <v>0.035</v>
      </c>
      <c r="M31" s="85">
        <v>0.02</v>
      </c>
      <c r="N31" s="85"/>
      <c r="O31" s="85"/>
      <c r="P31" s="85"/>
      <c r="Q31" s="85" t="s">
        <v>35</v>
      </c>
      <c r="R31" s="85" t="s">
        <v>35</v>
      </c>
      <c r="S31" s="72"/>
      <c r="T31" s="86"/>
      <c r="U31" s="86"/>
      <c r="V31" s="86"/>
      <c r="W31" s="86" t="s">
        <v>35</v>
      </c>
      <c r="X31" s="72" t="s">
        <v>35</v>
      </c>
      <c r="Y31" s="53" t="s">
        <v>35</v>
      </c>
      <c r="Z31" s="28" t="s">
        <v>35</v>
      </c>
      <c r="AA31" s="53"/>
    </row>
    <row r="32" spans="1:27">
      <c r="A32" s="37">
        <v>28</v>
      </c>
      <c r="B32" s="28" t="s">
        <v>76</v>
      </c>
      <c r="C32" s="28" t="s">
        <v>30</v>
      </c>
      <c r="D32" s="28">
        <v>3</v>
      </c>
      <c r="E32" s="28">
        <v>6</v>
      </c>
      <c r="F32" s="28" t="s">
        <v>77</v>
      </c>
      <c r="G32" s="84" t="s">
        <v>78</v>
      </c>
      <c r="H32" s="28">
        <v>1518</v>
      </c>
      <c r="I32" s="85">
        <v>0.16</v>
      </c>
      <c r="J32" s="86">
        <v>0.08</v>
      </c>
      <c r="K32" s="86">
        <v>0.35</v>
      </c>
      <c r="L32" s="85">
        <v>0.02</v>
      </c>
      <c r="M32" s="85">
        <v>0.01</v>
      </c>
      <c r="N32" s="85"/>
      <c r="O32" s="85"/>
      <c r="P32" s="85">
        <v>0.04</v>
      </c>
      <c r="Q32" s="85">
        <v>0.02</v>
      </c>
      <c r="R32" s="85" t="s">
        <v>35</v>
      </c>
      <c r="S32" s="72"/>
      <c r="T32" s="86"/>
      <c r="U32" s="86"/>
      <c r="V32" s="86"/>
      <c r="W32" s="86" t="s">
        <v>35</v>
      </c>
      <c r="X32" s="72" t="s">
        <v>35</v>
      </c>
      <c r="Y32" s="53" t="s">
        <v>35</v>
      </c>
      <c r="Z32" s="28" t="s">
        <v>35</v>
      </c>
      <c r="AA32" s="53" t="s">
        <v>79</v>
      </c>
    </row>
    <row r="33" spans="1:27">
      <c r="A33" s="37">
        <v>29</v>
      </c>
      <c r="B33" s="28" t="s">
        <v>76</v>
      </c>
      <c r="C33" s="28" t="s">
        <v>33</v>
      </c>
      <c r="D33" s="28">
        <v>6.01</v>
      </c>
      <c r="E33" s="28">
        <v>10</v>
      </c>
      <c r="F33" s="28" t="s">
        <v>80</v>
      </c>
      <c r="G33" s="84" t="s">
        <v>78</v>
      </c>
      <c r="H33" s="28">
        <v>1517</v>
      </c>
      <c r="I33" s="85">
        <v>0.16</v>
      </c>
      <c r="J33" s="86">
        <v>0.08</v>
      </c>
      <c r="K33" s="86">
        <v>0.5</v>
      </c>
      <c r="L33" s="85">
        <v>0.02</v>
      </c>
      <c r="M33" s="85">
        <v>0.01</v>
      </c>
      <c r="N33" s="85"/>
      <c r="O33" s="85"/>
      <c r="P33" s="85">
        <v>0.04</v>
      </c>
      <c r="Q33" s="85">
        <v>0.02</v>
      </c>
      <c r="R33" s="85" t="s">
        <v>35</v>
      </c>
      <c r="S33" s="72"/>
      <c r="T33" s="86"/>
      <c r="U33" s="86"/>
      <c r="V33" s="86"/>
      <c r="W33" s="86" t="s">
        <v>35</v>
      </c>
      <c r="X33" s="72" t="s">
        <v>35</v>
      </c>
      <c r="Y33" s="53" t="s">
        <v>35</v>
      </c>
      <c r="Z33" s="28" t="s">
        <v>35</v>
      </c>
      <c r="AA33" s="53" t="s">
        <v>79</v>
      </c>
    </row>
    <row r="34" spans="1:27">
      <c r="A34" s="37">
        <v>30</v>
      </c>
      <c r="B34" s="28" t="s">
        <v>81</v>
      </c>
      <c r="C34" s="28" t="s">
        <v>30</v>
      </c>
      <c r="D34" s="28">
        <v>1.6</v>
      </c>
      <c r="E34" s="28">
        <v>8</v>
      </c>
      <c r="F34" s="28" t="s">
        <v>82</v>
      </c>
      <c r="G34" s="84" t="s">
        <v>83</v>
      </c>
      <c r="H34" s="28">
        <v>1531</v>
      </c>
      <c r="I34" s="85">
        <v>0.05</v>
      </c>
      <c r="J34" s="86">
        <v>0.015</v>
      </c>
      <c r="K34" s="86">
        <v>0.23</v>
      </c>
      <c r="L34" s="85">
        <v>0.015</v>
      </c>
      <c r="M34" s="85">
        <v>0.01</v>
      </c>
      <c r="N34" s="85" t="s">
        <v>35</v>
      </c>
      <c r="O34" s="85"/>
      <c r="P34" s="85"/>
      <c r="Q34" s="85">
        <v>0.025</v>
      </c>
      <c r="R34" s="85" t="s">
        <v>35</v>
      </c>
      <c r="S34" s="72"/>
      <c r="T34" s="86"/>
      <c r="U34" s="86"/>
      <c r="V34" s="86"/>
      <c r="W34" s="86" t="s">
        <v>35</v>
      </c>
      <c r="X34" s="72" t="s">
        <v>35</v>
      </c>
      <c r="Y34" s="53" t="s">
        <v>35</v>
      </c>
      <c r="Z34" s="28">
        <v>40</v>
      </c>
      <c r="AA34" s="53" t="s">
        <v>35</v>
      </c>
    </row>
    <row r="35" spans="1:27">
      <c r="A35" s="37">
        <v>31</v>
      </c>
      <c r="B35" s="28" t="s">
        <v>81</v>
      </c>
      <c r="C35" s="28" t="s">
        <v>33</v>
      </c>
      <c r="D35" s="28">
        <v>8.01</v>
      </c>
      <c r="E35" s="28">
        <v>16</v>
      </c>
      <c r="F35" s="28" t="s">
        <v>84</v>
      </c>
      <c r="G35" s="84" t="s">
        <v>83</v>
      </c>
      <c r="H35" s="28">
        <v>1531</v>
      </c>
      <c r="I35" s="85">
        <v>0.05</v>
      </c>
      <c r="J35" s="86">
        <v>0.015</v>
      </c>
      <c r="K35" s="86">
        <v>0.23</v>
      </c>
      <c r="L35" s="85">
        <v>0.015</v>
      </c>
      <c r="M35" s="85">
        <v>0.01</v>
      </c>
      <c r="N35" s="85" t="s">
        <v>35</v>
      </c>
      <c r="O35" s="85"/>
      <c r="P35" s="85"/>
      <c r="Q35" s="85">
        <v>0.025</v>
      </c>
      <c r="R35" s="85" t="s">
        <v>35</v>
      </c>
      <c r="S35" s="72"/>
      <c r="T35" s="86"/>
      <c r="U35" s="86"/>
      <c r="V35" s="86"/>
      <c r="W35" s="86" t="s">
        <v>35</v>
      </c>
      <c r="X35" s="72" t="s">
        <v>35</v>
      </c>
      <c r="Y35" s="53" t="s">
        <v>35</v>
      </c>
      <c r="Z35" s="28">
        <v>40</v>
      </c>
      <c r="AA35" s="53" t="s">
        <v>35</v>
      </c>
    </row>
    <row r="36" spans="1:27">
      <c r="A36" s="37">
        <v>32</v>
      </c>
      <c r="B36" s="28" t="s">
        <v>81</v>
      </c>
      <c r="C36" s="28" t="s">
        <v>30</v>
      </c>
      <c r="D36" s="28">
        <v>8.01</v>
      </c>
      <c r="E36" s="28">
        <v>16</v>
      </c>
      <c r="F36" s="28" t="s">
        <v>84</v>
      </c>
      <c r="G36" s="84" t="s">
        <v>83</v>
      </c>
      <c r="H36" s="28">
        <v>1531</v>
      </c>
      <c r="I36" s="85">
        <v>0.05</v>
      </c>
      <c r="J36" s="86">
        <v>0.015</v>
      </c>
      <c r="K36" s="86">
        <v>0.23</v>
      </c>
      <c r="L36" s="85">
        <v>0.015</v>
      </c>
      <c r="M36" s="85">
        <v>0.01</v>
      </c>
      <c r="N36" s="85" t="s">
        <v>35</v>
      </c>
      <c r="O36" s="85"/>
      <c r="P36" s="85"/>
      <c r="Q36" s="85">
        <v>0.025</v>
      </c>
      <c r="R36" s="85" t="s">
        <v>35</v>
      </c>
      <c r="S36" s="72"/>
      <c r="T36" s="86"/>
      <c r="U36" s="86"/>
      <c r="V36" s="86"/>
      <c r="W36" s="86" t="s">
        <v>35</v>
      </c>
      <c r="X36" s="72" t="s">
        <v>35</v>
      </c>
      <c r="Y36" s="53" t="s">
        <v>35</v>
      </c>
      <c r="Z36" s="28">
        <v>40</v>
      </c>
      <c r="AA36" s="53" t="s">
        <v>84</v>
      </c>
    </row>
    <row r="37" spans="1:27">
      <c r="A37" s="37">
        <v>33</v>
      </c>
      <c r="B37" s="28" t="s">
        <v>85</v>
      </c>
      <c r="C37" s="28" t="s">
        <v>30</v>
      </c>
      <c r="D37" s="28">
        <v>2.5</v>
      </c>
      <c r="E37" s="28">
        <v>5</v>
      </c>
      <c r="F37" s="28" t="s">
        <v>85</v>
      </c>
      <c r="G37" s="84" t="s">
        <v>86</v>
      </c>
      <c r="H37" s="28">
        <v>1531</v>
      </c>
      <c r="I37" s="85">
        <v>0.045</v>
      </c>
      <c r="J37" s="86">
        <v>0.02</v>
      </c>
      <c r="K37" s="86">
        <v>0.25</v>
      </c>
      <c r="L37" s="85">
        <v>0.015</v>
      </c>
      <c r="M37" s="85">
        <v>0.006</v>
      </c>
      <c r="N37" s="85"/>
      <c r="O37" s="85"/>
      <c r="P37" s="85"/>
      <c r="Q37" s="85">
        <v>0.025</v>
      </c>
      <c r="R37" s="85" t="s">
        <v>35</v>
      </c>
      <c r="S37" s="72" t="s">
        <v>35</v>
      </c>
      <c r="T37" s="86"/>
      <c r="U37" s="86"/>
      <c r="V37" s="86"/>
      <c r="W37" s="86"/>
      <c r="X37" s="72" t="s">
        <v>35</v>
      </c>
      <c r="Y37" s="53" t="s">
        <v>35</v>
      </c>
      <c r="Z37" s="28">
        <v>45</v>
      </c>
      <c r="AA37" s="53" t="s">
        <v>35</v>
      </c>
    </row>
    <row r="38" spans="1:27">
      <c r="A38" s="37">
        <v>34</v>
      </c>
      <c r="B38" s="28" t="s">
        <v>87</v>
      </c>
      <c r="C38" s="28" t="s">
        <v>30</v>
      </c>
      <c r="D38" s="28">
        <v>2.5</v>
      </c>
      <c r="E38" s="28">
        <v>6</v>
      </c>
      <c r="F38" s="28" t="s">
        <v>87</v>
      </c>
      <c r="G38" s="84" t="s">
        <v>88</v>
      </c>
      <c r="H38" s="28">
        <v>1531</v>
      </c>
      <c r="I38" s="85">
        <v>0.045</v>
      </c>
      <c r="J38" s="86">
        <v>0.02</v>
      </c>
      <c r="K38" s="86">
        <v>0.25</v>
      </c>
      <c r="L38" s="85">
        <v>0.015</v>
      </c>
      <c r="M38" s="85">
        <v>0.006</v>
      </c>
      <c r="N38" s="85"/>
      <c r="O38" s="85"/>
      <c r="P38" s="85"/>
      <c r="Q38" s="85">
        <v>0.025</v>
      </c>
      <c r="R38" s="85" t="s">
        <v>35</v>
      </c>
      <c r="S38" s="72" t="s">
        <v>35</v>
      </c>
      <c r="T38" s="86"/>
      <c r="U38" s="86"/>
      <c r="V38" s="86"/>
      <c r="W38" s="86"/>
      <c r="X38" s="72">
        <v>0.0014</v>
      </c>
      <c r="Y38" s="53" t="s">
        <v>35</v>
      </c>
      <c r="Z38" s="28"/>
      <c r="AA38" s="53" t="s">
        <v>89</v>
      </c>
    </row>
    <row r="39" spans="1:27">
      <c r="A39" s="37">
        <v>35</v>
      </c>
      <c r="B39" s="28" t="s">
        <v>90</v>
      </c>
      <c r="C39" s="28" t="s">
        <v>30</v>
      </c>
      <c r="D39" s="28">
        <v>2.5</v>
      </c>
      <c r="E39" s="28">
        <v>6</v>
      </c>
      <c r="F39" s="28" t="s">
        <v>90</v>
      </c>
      <c r="G39" s="84" t="s">
        <v>91</v>
      </c>
      <c r="H39" s="28">
        <v>1529</v>
      </c>
      <c r="I39" s="85">
        <v>0.06</v>
      </c>
      <c r="J39" s="86">
        <v>0</v>
      </c>
      <c r="K39" s="86">
        <v>0.28</v>
      </c>
      <c r="L39" s="85">
        <v>0.015</v>
      </c>
      <c r="M39" s="85">
        <v>0.006</v>
      </c>
      <c r="N39" s="85"/>
      <c r="O39" s="85"/>
      <c r="P39" s="85"/>
      <c r="Q39" s="85">
        <v>0.03</v>
      </c>
      <c r="R39" s="85" t="s">
        <v>35</v>
      </c>
      <c r="S39" s="72" t="s">
        <v>35</v>
      </c>
      <c r="T39" s="86"/>
      <c r="U39" s="86"/>
      <c r="V39" s="86"/>
      <c r="W39" s="86"/>
      <c r="X39" s="72"/>
      <c r="Y39" s="53" t="s">
        <v>35</v>
      </c>
      <c r="Z39" s="28"/>
      <c r="AA39" s="53" t="s">
        <v>92</v>
      </c>
    </row>
    <row r="40" spans="1:27">
      <c r="A40" s="37">
        <v>36</v>
      </c>
      <c r="B40" s="28" t="s">
        <v>93</v>
      </c>
      <c r="C40" s="28" t="s">
        <v>30</v>
      </c>
      <c r="D40" s="28">
        <v>2.5</v>
      </c>
      <c r="E40" s="28">
        <v>6</v>
      </c>
      <c r="F40" s="28" t="s">
        <v>93</v>
      </c>
      <c r="G40" s="84" t="s">
        <v>94</v>
      </c>
      <c r="H40" s="28">
        <v>1529</v>
      </c>
      <c r="I40" s="85">
        <v>0.06</v>
      </c>
      <c r="J40" s="86">
        <v>0</v>
      </c>
      <c r="K40" s="86">
        <v>0.28</v>
      </c>
      <c r="L40" s="85">
        <v>0.015</v>
      </c>
      <c r="M40" s="85">
        <v>0.006</v>
      </c>
      <c r="N40" s="85"/>
      <c r="O40" s="85"/>
      <c r="P40" s="85"/>
      <c r="Q40" s="85">
        <v>0.03</v>
      </c>
      <c r="R40" s="85" t="s">
        <v>35</v>
      </c>
      <c r="S40" s="72" t="s">
        <v>35</v>
      </c>
      <c r="T40" s="86"/>
      <c r="U40" s="86"/>
      <c r="V40" s="86"/>
      <c r="W40" s="86"/>
      <c r="X40" s="72"/>
      <c r="Y40" s="53" t="s">
        <v>35</v>
      </c>
      <c r="Z40" s="28"/>
      <c r="AA40" s="53" t="s">
        <v>95</v>
      </c>
    </row>
    <row r="41" spans="1:27">
      <c r="A41" s="37">
        <v>37</v>
      </c>
      <c r="B41" s="28" t="s">
        <v>96</v>
      </c>
      <c r="C41" s="28" t="s">
        <v>30</v>
      </c>
      <c r="D41" s="28">
        <v>2.5</v>
      </c>
      <c r="E41" s="28">
        <v>3.5</v>
      </c>
      <c r="F41" s="28" t="s">
        <v>96</v>
      </c>
      <c r="G41" s="84" t="s">
        <v>97</v>
      </c>
      <c r="H41" s="28">
        <v>1528</v>
      </c>
      <c r="I41" s="85">
        <v>0.07</v>
      </c>
      <c r="J41" s="86">
        <v>0</v>
      </c>
      <c r="K41" s="86">
        <v>0.35</v>
      </c>
      <c r="L41" s="85">
        <v>0.015</v>
      </c>
      <c r="M41" s="85">
        <v>0.006</v>
      </c>
      <c r="N41" s="85"/>
      <c r="O41" s="85"/>
      <c r="P41" s="85"/>
      <c r="Q41" s="85">
        <v>0.03</v>
      </c>
      <c r="R41" s="85" t="s">
        <v>35</v>
      </c>
      <c r="S41" s="72" t="s">
        <v>35</v>
      </c>
      <c r="T41" s="86"/>
      <c r="U41" s="86"/>
      <c r="V41" s="86"/>
      <c r="W41" s="86"/>
      <c r="X41" s="72"/>
      <c r="Y41" s="53" t="s">
        <v>35</v>
      </c>
      <c r="Z41" s="28"/>
      <c r="AA41" s="53" t="s">
        <v>92</v>
      </c>
    </row>
    <row r="42" spans="1:27">
      <c r="A42" s="37">
        <v>38</v>
      </c>
      <c r="B42" s="28" t="s">
        <v>98</v>
      </c>
      <c r="C42" s="28" t="s">
        <v>33</v>
      </c>
      <c r="D42" s="28">
        <v>0.1</v>
      </c>
      <c r="E42" s="28">
        <v>5.99</v>
      </c>
      <c r="F42" s="28" t="s">
        <v>99</v>
      </c>
      <c r="G42" s="84" t="s">
        <v>100</v>
      </c>
      <c r="H42" s="28">
        <v>1518</v>
      </c>
      <c r="I42" s="85">
        <v>0.16</v>
      </c>
      <c r="J42" s="86">
        <v>0.08</v>
      </c>
      <c r="K42" s="86">
        <v>0.35</v>
      </c>
      <c r="L42" s="85">
        <v>0.02</v>
      </c>
      <c r="M42" s="85">
        <v>0.01</v>
      </c>
      <c r="N42" s="85"/>
      <c r="O42" s="85"/>
      <c r="P42" s="85">
        <v>0.04</v>
      </c>
      <c r="Q42" s="85">
        <v>0.02</v>
      </c>
      <c r="R42" s="85" t="s">
        <v>35</v>
      </c>
      <c r="S42" s="72"/>
      <c r="T42" s="86"/>
      <c r="U42" s="86"/>
      <c r="V42" s="86"/>
      <c r="W42" s="86" t="s">
        <v>35</v>
      </c>
      <c r="X42" s="72" t="s">
        <v>35</v>
      </c>
      <c r="Y42" s="53" t="s">
        <v>35</v>
      </c>
      <c r="Z42" s="28" t="s">
        <v>35</v>
      </c>
      <c r="AA42" s="53" t="s">
        <v>35</v>
      </c>
    </row>
    <row r="43" spans="1:27">
      <c r="A43" s="37">
        <v>39</v>
      </c>
      <c r="B43" s="28" t="s">
        <v>98</v>
      </c>
      <c r="C43" s="28" t="s">
        <v>30</v>
      </c>
      <c r="D43" s="28">
        <v>6</v>
      </c>
      <c r="E43" s="28">
        <v>15.99</v>
      </c>
      <c r="F43" s="28" t="s">
        <v>101</v>
      </c>
      <c r="G43" s="84" t="s">
        <v>100</v>
      </c>
      <c r="H43" s="28">
        <v>1517</v>
      </c>
      <c r="I43" s="85">
        <v>0.16</v>
      </c>
      <c r="J43" s="86">
        <v>0.08</v>
      </c>
      <c r="K43" s="86">
        <v>0.5</v>
      </c>
      <c r="L43" s="85">
        <v>0.02</v>
      </c>
      <c r="M43" s="85">
        <v>0.01</v>
      </c>
      <c r="N43" s="85"/>
      <c r="O43" s="85"/>
      <c r="P43" s="85">
        <v>0.04</v>
      </c>
      <c r="Q43" s="85">
        <v>0.02</v>
      </c>
      <c r="R43" s="85" t="s">
        <v>35</v>
      </c>
      <c r="S43" s="72"/>
      <c r="T43" s="86"/>
      <c r="U43" s="86"/>
      <c r="V43" s="86"/>
      <c r="W43" s="86" t="s">
        <v>35</v>
      </c>
      <c r="X43" s="72" t="s">
        <v>35</v>
      </c>
      <c r="Y43" s="53" t="s">
        <v>35</v>
      </c>
      <c r="Z43" s="28" t="s">
        <v>35</v>
      </c>
      <c r="AA43" s="53" t="s">
        <v>35</v>
      </c>
    </row>
    <row r="44" spans="1:27">
      <c r="A44" s="37">
        <v>40</v>
      </c>
      <c r="B44" s="28" t="s">
        <v>98</v>
      </c>
      <c r="C44" s="28" t="s">
        <v>102</v>
      </c>
      <c r="D44" s="28">
        <v>16</v>
      </c>
      <c r="E44" s="28">
        <v>28</v>
      </c>
      <c r="F44" s="28" t="s">
        <v>103</v>
      </c>
      <c r="G44" s="84" t="s">
        <v>104</v>
      </c>
      <c r="H44" s="28">
        <v>1514</v>
      </c>
      <c r="I44" s="85">
        <v>0.16</v>
      </c>
      <c r="J44" s="86">
        <v>0.18</v>
      </c>
      <c r="K44" s="86">
        <v>1.1</v>
      </c>
      <c r="L44" s="85">
        <v>0.02</v>
      </c>
      <c r="M44" s="85">
        <v>0.01</v>
      </c>
      <c r="N44" s="85"/>
      <c r="O44" s="85">
        <v>0.008</v>
      </c>
      <c r="P44" s="85">
        <v>0.025</v>
      </c>
      <c r="Q44" s="85">
        <v>0.02</v>
      </c>
      <c r="R44" s="85" t="s">
        <v>35</v>
      </c>
      <c r="S44" s="72"/>
      <c r="T44" s="86"/>
      <c r="U44" s="86"/>
      <c r="V44" s="86"/>
      <c r="W44" s="86" t="s">
        <v>35</v>
      </c>
      <c r="X44" s="72" t="s">
        <v>35</v>
      </c>
      <c r="Y44" s="53" t="s">
        <v>35</v>
      </c>
      <c r="Z44" s="28" t="s">
        <v>35</v>
      </c>
      <c r="AA44" s="53" t="s">
        <v>35</v>
      </c>
    </row>
    <row r="45" spans="1:27">
      <c r="A45" s="37">
        <v>41</v>
      </c>
      <c r="B45" s="28" t="s">
        <v>105</v>
      </c>
      <c r="C45" s="28" t="s">
        <v>30</v>
      </c>
      <c r="D45" s="28">
        <v>2</v>
      </c>
      <c r="E45" s="28">
        <v>12</v>
      </c>
      <c r="F45" s="28" t="s">
        <v>106</v>
      </c>
      <c r="G45" s="84" t="s">
        <v>107</v>
      </c>
      <c r="H45" s="28">
        <v>1517</v>
      </c>
      <c r="I45" s="85">
        <v>0.16</v>
      </c>
      <c r="J45" s="86">
        <v>0.15</v>
      </c>
      <c r="K45" s="86">
        <v>1</v>
      </c>
      <c r="L45" s="85">
        <v>0.018</v>
      </c>
      <c r="M45" s="85">
        <v>0.01</v>
      </c>
      <c r="N45" s="85" t="s">
        <v>35</v>
      </c>
      <c r="O45" s="85"/>
      <c r="P45" s="85">
        <v>0.03</v>
      </c>
      <c r="Q45" s="85">
        <v>0.025</v>
      </c>
      <c r="R45" s="85" t="s">
        <v>35</v>
      </c>
      <c r="S45" s="72"/>
      <c r="T45" s="86"/>
      <c r="U45" s="86"/>
      <c r="V45" s="86"/>
      <c r="W45" s="86" t="s">
        <v>35</v>
      </c>
      <c r="X45" s="72" t="s">
        <v>35</v>
      </c>
      <c r="Y45" s="53" t="s">
        <v>35</v>
      </c>
      <c r="Z45" s="28">
        <v>40</v>
      </c>
      <c r="AA45" s="53" t="s">
        <v>35</v>
      </c>
    </row>
    <row r="46" spans="1:27">
      <c r="A46" s="37">
        <v>42</v>
      </c>
      <c r="B46" s="28" t="s">
        <v>105</v>
      </c>
      <c r="C46" s="28" t="s">
        <v>33</v>
      </c>
      <c r="D46" s="28">
        <v>12.01</v>
      </c>
      <c r="E46" s="28">
        <v>19</v>
      </c>
      <c r="F46" s="28" t="s">
        <v>108</v>
      </c>
      <c r="G46" s="84" t="s">
        <v>107</v>
      </c>
      <c r="H46" s="28">
        <v>1517</v>
      </c>
      <c r="I46" s="85">
        <v>0.16</v>
      </c>
      <c r="J46" s="86">
        <v>0.15</v>
      </c>
      <c r="K46" s="86">
        <v>1.15</v>
      </c>
      <c r="L46" s="85">
        <v>0.018</v>
      </c>
      <c r="M46" s="85">
        <v>0.01</v>
      </c>
      <c r="N46" s="85" t="s">
        <v>35</v>
      </c>
      <c r="O46" s="85">
        <v>0.012</v>
      </c>
      <c r="P46" s="85">
        <v>0.015</v>
      </c>
      <c r="Q46" s="85">
        <v>0.025</v>
      </c>
      <c r="R46" s="85" t="s">
        <v>35</v>
      </c>
      <c r="S46" s="72"/>
      <c r="T46" s="86"/>
      <c r="U46" s="86"/>
      <c r="V46" s="86"/>
      <c r="W46" s="86" t="s">
        <v>35</v>
      </c>
      <c r="X46" s="72" t="s">
        <v>35</v>
      </c>
      <c r="Y46" s="53" t="s">
        <v>35</v>
      </c>
      <c r="Z46" s="28">
        <v>40</v>
      </c>
      <c r="AA46" s="53" t="s">
        <v>35</v>
      </c>
    </row>
    <row r="47" spans="1:27">
      <c r="A47" s="37">
        <v>43</v>
      </c>
      <c r="B47" s="28" t="s">
        <v>105</v>
      </c>
      <c r="C47" s="28" t="s">
        <v>102</v>
      </c>
      <c r="D47" s="28">
        <v>19.01</v>
      </c>
      <c r="E47" s="28">
        <v>29</v>
      </c>
      <c r="F47" s="28" t="s">
        <v>109</v>
      </c>
      <c r="G47" s="84" t="s">
        <v>107</v>
      </c>
      <c r="H47" s="28">
        <v>1517</v>
      </c>
      <c r="I47" s="85">
        <v>0.16</v>
      </c>
      <c r="J47" s="86">
        <v>0.15</v>
      </c>
      <c r="K47" s="86">
        <v>1.35</v>
      </c>
      <c r="L47" s="85">
        <v>0.018</v>
      </c>
      <c r="M47" s="85">
        <v>0.01</v>
      </c>
      <c r="N47" s="85" t="s">
        <v>35</v>
      </c>
      <c r="O47" s="85">
        <v>0.015</v>
      </c>
      <c r="P47" s="85">
        <v>0.025</v>
      </c>
      <c r="Q47" s="85">
        <v>0.025</v>
      </c>
      <c r="R47" s="85" t="s">
        <v>35</v>
      </c>
      <c r="S47" s="72"/>
      <c r="T47" s="86"/>
      <c r="U47" s="86"/>
      <c r="V47" s="86"/>
      <c r="W47" s="86" t="s">
        <v>35</v>
      </c>
      <c r="X47" s="72" t="s">
        <v>35</v>
      </c>
      <c r="Y47" s="53" t="s">
        <v>35</v>
      </c>
      <c r="Z47" s="28">
        <v>40</v>
      </c>
      <c r="AA47" s="53" t="s">
        <v>35</v>
      </c>
    </row>
    <row r="48" spans="1:27">
      <c r="A48" s="37">
        <v>44</v>
      </c>
      <c r="B48" s="28" t="s">
        <v>110</v>
      </c>
      <c r="C48" s="28" t="s">
        <v>30</v>
      </c>
      <c r="D48" s="28">
        <v>2</v>
      </c>
      <c r="E48" s="28">
        <v>12</v>
      </c>
      <c r="F48" s="28" t="s">
        <v>111</v>
      </c>
      <c r="G48" s="84" t="s">
        <v>112</v>
      </c>
      <c r="H48" s="28">
        <v>1517</v>
      </c>
      <c r="I48" s="85">
        <v>0.16</v>
      </c>
      <c r="J48" s="86">
        <v>0.15</v>
      </c>
      <c r="K48" s="86">
        <v>1</v>
      </c>
      <c r="L48" s="85">
        <v>0.018</v>
      </c>
      <c r="M48" s="85">
        <v>0.008</v>
      </c>
      <c r="N48" s="85"/>
      <c r="O48" s="85"/>
      <c r="P48" s="85">
        <v>0.03</v>
      </c>
      <c r="Q48" s="85">
        <v>0.025</v>
      </c>
      <c r="R48" s="85" t="s">
        <v>35</v>
      </c>
      <c r="S48" s="72"/>
      <c r="T48" s="86"/>
      <c r="U48" s="86"/>
      <c r="V48" s="86"/>
      <c r="W48" s="86" t="s">
        <v>35</v>
      </c>
      <c r="X48" s="72" t="s">
        <v>35</v>
      </c>
      <c r="Y48" s="53" t="s">
        <v>35</v>
      </c>
      <c r="Z48" s="28"/>
      <c r="AA48" s="53"/>
    </row>
    <row r="49" spans="1:27">
      <c r="A49" s="37">
        <v>45</v>
      </c>
      <c r="B49" s="28" t="s">
        <v>110</v>
      </c>
      <c r="C49" s="28" t="s">
        <v>33</v>
      </c>
      <c r="D49" s="28">
        <v>12.01</v>
      </c>
      <c r="E49" s="28">
        <v>19</v>
      </c>
      <c r="F49" s="28" t="s">
        <v>113</v>
      </c>
      <c r="G49" s="84" t="s">
        <v>112</v>
      </c>
      <c r="H49" s="28">
        <v>1521</v>
      </c>
      <c r="I49" s="85">
        <v>0.16</v>
      </c>
      <c r="J49" s="86">
        <v>0.15</v>
      </c>
      <c r="K49" s="86">
        <v>1.15</v>
      </c>
      <c r="L49" s="85">
        <v>0.018</v>
      </c>
      <c r="M49" s="85">
        <v>0.008</v>
      </c>
      <c r="N49" s="85"/>
      <c r="O49" s="85">
        <v>0.012</v>
      </c>
      <c r="P49" s="85">
        <v>0.015</v>
      </c>
      <c r="Q49" s="85">
        <v>0.025</v>
      </c>
      <c r="R49" s="85" t="s">
        <v>35</v>
      </c>
      <c r="S49" s="72"/>
      <c r="T49" s="86"/>
      <c r="U49" s="86"/>
      <c r="V49" s="86"/>
      <c r="W49" s="86" t="s">
        <v>35</v>
      </c>
      <c r="X49" s="72" t="s">
        <v>35</v>
      </c>
      <c r="Y49" s="53" t="s">
        <v>35</v>
      </c>
      <c r="Z49" s="28">
        <v>40</v>
      </c>
      <c r="AA49" s="53"/>
    </row>
    <row r="50" spans="1:27">
      <c r="A50" s="37">
        <v>46</v>
      </c>
      <c r="B50" s="28" t="s">
        <v>110</v>
      </c>
      <c r="C50" s="28" t="s">
        <v>102</v>
      </c>
      <c r="D50" s="28">
        <v>19.01</v>
      </c>
      <c r="E50" s="28">
        <v>29</v>
      </c>
      <c r="F50" s="28" t="s">
        <v>114</v>
      </c>
      <c r="G50" s="84" t="s">
        <v>112</v>
      </c>
      <c r="H50" s="28">
        <v>1521</v>
      </c>
      <c r="I50" s="85">
        <v>0.16</v>
      </c>
      <c r="J50" s="86">
        <v>0.15</v>
      </c>
      <c r="K50" s="86">
        <v>1.3</v>
      </c>
      <c r="L50" s="85">
        <v>0.018</v>
      </c>
      <c r="M50" s="85">
        <v>0.008</v>
      </c>
      <c r="N50" s="85"/>
      <c r="O50" s="85">
        <v>0.015</v>
      </c>
      <c r="P50" s="85">
        <v>0.015</v>
      </c>
      <c r="Q50" s="85">
        <v>0.025</v>
      </c>
      <c r="R50" s="85" t="s">
        <v>35</v>
      </c>
      <c r="S50" s="72"/>
      <c r="T50" s="86"/>
      <c r="U50" s="86"/>
      <c r="V50" s="86"/>
      <c r="W50" s="86" t="s">
        <v>35</v>
      </c>
      <c r="X50" s="72" t="s">
        <v>35</v>
      </c>
      <c r="Y50" s="53" t="s">
        <v>35</v>
      </c>
      <c r="Z50" s="28">
        <v>40</v>
      </c>
      <c r="AA50" s="53"/>
    </row>
    <row r="51" spans="1:27">
      <c r="A51" s="37">
        <v>47</v>
      </c>
      <c r="B51" s="28" t="s">
        <v>115</v>
      </c>
      <c r="C51" s="28" t="s">
        <v>30</v>
      </c>
      <c r="D51" s="28">
        <v>2</v>
      </c>
      <c r="E51" s="28">
        <v>7.55</v>
      </c>
      <c r="F51" s="28" t="s">
        <v>116</v>
      </c>
      <c r="G51" s="84" t="s">
        <v>117</v>
      </c>
      <c r="H51" s="28">
        <v>1514</v>
      </c>
      <c r="I51" s="85">
        <v>0.16</v>
      </c>
      <c r="J51" s="86">
        <v>0.15</v>
      </c>
      <c r="K51" s="86">
        <v>1.1</v>
      </c>
      <c r="L51" s="85">
        <v>0.015</v>
      </c>
      <c r="M51" s="85">
        <v>0.01</v>
      </c>
      <c r="N51" s="85"/>
      <c r="O51" s="85"/>
      <c r="P51" s="85">
        <v>0.025</v>
      </c>
      <c r="Q51" s="85">
        <v>0.02</v>
      </c>
      <c r="R51" s="85" t="s">
        <v>35</v>
      </c>
      <c r="S51" s="72"/>
      <c r="T51" s="86"/>
      <c r="U51" s="86"/>
      <c r="V51" s="86"/>
      <c r="W51" s="86" t="s">
        <v>35</v>
      </c>
      <c r="X51" s="72" t="s">
        <v>35</v>
      </c>
      <c r="Y51" s="53" t="s">
        <v>35</v>
      </c>
      <c r="Z51" s="28" t="s">
        <v>35</v>
      </c>
      <c r="AA51" s="53" t="s">
        <v>35</v>
      </c>
    </row>
    <row r="52" spans="1:27">
      <c r="A52" s="37">
        <v>48</v>
      </c>
      <c r="B52" s="28" t="s">
        <v>115</v>
      </c>
      <c r="C52" s="28" t="s">
        <v>33</v>
      </c>
      <c r="D52" s="28">
        <v>7.56</v>
      </c>
      <c r="E52" s="28">
        <v>16</v>
      </c>
      <c r="F52" s="28" t="s">
        <v>118</v>
      </c>
      <c r="G52" s="84" t="s">
        <v>117</v>
      </c>
      <c r="H52" s="28">
        <v>1514</v>
      </c>
      <c r="I52" s="85">
        <v>0.16</v>
      </c>
      <c r="J52" s="86">
        <v>0.15</v>
      </c>
      <c r="K52" s="86">
        <v>1.1</v>
      </c>
      <c r="L52" s="85">
        <v>0.015</v>
      </c>
      <c r="M52" s="85">
        <v>0.01</v>
      </c>
      <c r="N52" s="85"/>
      <c r="O52" s="85"/>
      <c r="P52" s="85">
        <v>0.035</v>
      </c>
      <c r="Q52" s="85">
        <v>0.02</v>
      </c>
      <c r="R52" s="85" t="s">
        <v>35</v>
      </c>
      <c r="S52" s="72"/>
      <c r="T52" s="86"/>
      <c r="U52" s="86"/>
      <c r="V52" s="86"/>
      <c r="W52" s="86" t="s">
        <v>35</v>
      </c>
      <c r="X52" s="72" t="s">
        <v>35</v>
      </c>
      <c r="Y52" s="53" t="s">
        <v>35</v>
      </c>
      <c r="Z52" s="28" t="s">
        <v>35</v>
      </c>
      <c r="AA52" s="53" t="s">
        <v>35</v>
      </c>
    </row>
    <row r="53" spans="1:27">
      <c r="A53" s="37">
        <v>49</v>
      </c>
      <c r="B53" s="28" t="s">
        <v>115</v>
      </c>
      <c r="C53" s="28" t="s">
        <v>102</v>
      </c>
      <c r="D53" s="28">
        <v>16.01</v>
      </c>
      <c r="E53" s="28">
        <v>28</v>
      </c>
      <c r="F53" s="28" t="s">
        <v>119</v>
      </c>
      <c r="G53" s="84" t="s">
        <v>117</v>
      </c>
      <c r="H53" s="28">
        <v>1514</v>
      </c>
      <c r="I53" s="85">
        <v>0.16</v>
      </c>
      <c r="J53" s="86">
        <v>0.15</v>
      </c>
      <c r="K53" s="86">
        <v>1.15</v>
      </c>
      <c r="L53" s="85">
        <v>0.015</v>
      </c>
      <c r="M53" s="85">
        <v>0.01</v>
      </c>
      <c r="N53" s="85"/>
      <c r="O53" s="85">
        <v>0.015</v>
      </c>
      <c r="P53" s="85">
        <v>0.025</v>
      </c>
      <c r="Q53" s="85">
        <v>0.02</v>
      </c>
      <c r="R53" s="85" t="s">
        <v>35</v>
      </c>
      <c r="S53" s="72"/>
      <c r="T53" s="86"/>
      <c r="U53" s="86"/>
      <c r="V53" s="86"/>
      <c r="W53" s="86" t="s">
        <v>35</v>
      </c>
      <c r="X53" s="72" t="s">
        <v>35</v>
      </c>
      <c r="Y53" s="53" t="s">
        <v>35</v>
      </c>
      <c r="Z53" s="28" t="s">
        <v>35</v>
      </c>
      <c r="AA53" s="53" t="s">
        <v>35</v>
      </c>
    </row>
    <row r="54" spans="1:27">
      <c r="A54" s="37">
        <v>50</v>
      </c>
      <c r="B54" s="28" t="s">
        <v>120</v>
      </c>
      <c r="C54" s="28" t="s">
        <v>33</v>
      </c>
      <c r="D54" s="28">
        <v>2</v>
      </c>
      <c r="E54" s="28">
        <v>5</v>
      </c>
      <c r="F54" s="28" t="s">
        <v>121</v>
      </c>
      <c r="G54" s="84" t="s">
        <v>122</v>
      </c>
      <c r="H54" s="28">
        <v>1522</v>
      </c>
      <c r="I54" s="85">
        <v>0.075</v>
      </c>
      <c r="J54" s="86">
        <v>0.15</v>
      </c>
      <c r="K54" s="86">
        <v>1.1</v>
      </c>
      <c r="L54" s="85">
        <v>0.015</v>
      </c>
      <c r="M54" s="85">
        <v>0.004</v>
      </c>
      <c r="N54" s="85"/>
      <c r="O54" s="85">
        <v>0.01</v>
      </c>
      <c r="P54" s="85">
        <v>0.02</v>
      </c>
      <c r="Q54" s="85">
        <v>0.025</v>
      </c>
      <c r="R54" s="85" t="s">
        <v>35</v>
      </c>
      <c r="S54" s="72"/>
      <c r="T54" s="86"/>
      <c r="U54" s="86"/>
      <c r="V54" s="86"/>
      <c r="W54" s="86"/>
      <c r="X54" s="72"/>
      <c r="Y54" s="53" t="s">
        <v>35</v>
      </c>
      <c r="Z54" s="28">
        <v>45</v>
      </c>
      <c r="AA54" s="53" t="s">
        <v>35</v>
      </c>
    </row>
    <row r="55" spans="1:27">
      <c r="A55" s="37">
        <v>51</v>
      </c>
      <c r="B55" s="28" t="s">
        <v>120</v>
      </c>
      <c r="C55" s="28" t="s">
        <v>30</v>
      </c>
      <c r="D55" s="28">
        <v>5.01</v>
      </c>
      <c r="E55" s="28">
        <v>12</v>
      </c>
      <c r="F55" s="28" t="s">
        <v>123</v>
      </c>
      <c r="G55" s="84" t="s">
        <v>122</v>
      </c>
      <c r="H55" s="28">
        <v>1522</v>
      </c>
      <c r="I55" s="85">
        <v>0.075</v>
      </c>
      <c r="J55" s="86">
        <v>0.15</v>
      </c>
      <c r="K55" s="86">
        <v>1.25</v>
      </c>
      <c r="L55" s="85">
        <v>0.015</v>
      </c>
      <c r="M55" s="85">
        <v>0.004</v>
      </c>
      <c r="N55" s="85"/>
      <c r="O55" s="85">
        <v>0.015</v>
      </c>
      <c r="P55" s="85">
        <v>0.02</v>
      </c>
      <c r="Q55" s="85">
        <v>0.025</v>
      </c>
      <c r="R55" s="85" t="s">
        <v>35</v>
      </c>
      <c r="S55" s="72"/>
      <c r="T55" s="86"/>
      <c r="U55" s="86"/>
      <c r="V55" s="86"/>
      <c r="W55" s="86"/>
      <c r="X55" s="72"/>
      <c r="Y55" s="53" t="s">
        <v>35</v>
      </c>
      <c r="Z55" s="28">
        <v>45</v>
      </c>
      <c r="AA55" s="53" t="s">
        <v>35</v>
      </c>
    </row>
    <row r="56" spans="1:27">
      <c r="A56" s="37">
        <v>52</v>
      </c>
      <c r="B56" s="28" t="s">
        <v>120</v>
      </c>
      <c r="C56" s="28" t="s">
        <v>102</v>
      </c>
      <c r="D56" s="28">
        <v>12.01</v>
      </c>
      <c r="E56" s="28">
        <v>25.4</v>
      </c>
      <c r="F56" s="28" t="s">
        <v>124</v>
      </c>
      <c r="G56" s="84" t="s">
        <v>122</v>
      </c>
      <c r="H56" s="28">
        <v>1522</v>
      </c>
      <c r="I56" s="85">
        <v>0.075</v>
      </c>
      <c r="J56" s="86">
        <v>0.15</v>
      </c>
      <c r="K56" s="86">
        <v>1.35</v>
      </c>
      <c r="L56" s="85">
        <v>0.015</v>
      </c>
      <c r="M56" s="85">
        <v>0.004</v>
      </c>
      <c r="N56" s="85"/>
      <c r="O56" s="85">
        <v>0.015</v>
      </c>
      <c r="P56" s="85">
        <v>0.02</v>
      </c>
      <c r="Q56" s="85">
        <v>0.025</v>
      </c>
      <c r="R56" s="85" t="s">
        <v>35</v>
      </c>
      <c r="S56" s="72"/>
      <c r="T56" s="86"/>
      <c r="U56" s="86"/>
      <c r="V56" s="86"/>
      <c r="W56" s="86"/>
      <c r="X56" s="72"/>
      <c r="Y56" s="53" t="s">
        <v>35</v>
      </c>
      <c r="Z56" s="28">
        <v>45</v>
      </c>
      <c r="AA56" s="53" t="s">
        <v>35</v>
      </c>
    </row>
    <row r="57" spans="1:27">
      <c r="A57" s="37">
        <v>53</v>
      </c>
      <c r="B57" s="28" t="s">
        <v>125</v>
      </c>
      <c r="C57" s="28" t="s">
        <v>30</v>
      </c>
      <c r="D57" s="28">
        <v>1.8</v>
      </c>
      <c r="E57" s="28">
        <v>5.99</v>
      </c>
      <c r="F57" s="28" t="s">
        <v>125</v>
      </c>
      <c r="G57" s="84" t="s">
        <v>126</v>
      </c>
      <c r="H57" s="28">
        <v>1525</v>
      </c>
      <c r="I57" s="85">
        <v>0.07</v>
      </c>
      <c r="J57" s="86">
        <v>0.1</v>
      </c>
      <c r="K57" s="86">
        <v>0.95</v>
      </c>
      <c r="L57" s="85">
        <v>0.02</v>
      </c>
      <c r="M57" s="85">
        <v>0.006</v>
      </c>
      <c r="N57" s="85"/>
      <c r="O57" s="85">
        <v>0.01</v>
      </c>
      <c r="P57" s="85">
        <v>0.03</v>
      </c>
      <c r="Q57" s="85">
        <v>0.025</v>
      </c>
      <c r="R57" s="85" t="s">
        <v>35</v>
      </c>
      <c r="S57" s="72"/>
      <c r="T57" s="86"/>
      <c r="U57" s="86"/>
      <c r="V57" s="86"/>
      <c r="W57" s="86"/>
      <c r="X57" s="72" t="s">
        <v>35</v>
      </c>
      <c r="Y57" s="53" t="s">
        <v>35</v>
      </c>
      <c r="Z57" s="28">
        <v>45</v>
      </c>
      <c r="AA57" s="53" t="s">
        <v>35</v>
      </c>
    </row>
    <row r="58" spans="1:27">
      <c r="A58" s="37">
        <v>54</v>
      </c>
      <c r="B58" s="28" t="s">
        <v>127</v>
      </c>
      <c r="C58" s="28" t="s">
        <v>33</v>
      </c>
      <c r="D58" s="28">
        <v>0.1</v>
      </c>
      <c r="E58" s="28">
        <v>5.99</v>
      </c>
      <c r="F58" s="28" t="s">
        <v>99</v>
      </c>
      <c r="G58" s="84" t="s">
        <v>100</v>
      </c>
      <c r="H58" s="28">
        <v>1518</v>
      </c>
      <c r="I58" s="85">
        <v>0.16</v>
      </c>
      <c r="J58" s="86">
        <v>0.08</v>
      </c>
      <c r="K58" s="86">
        <v>0.35</v>
      </c>
      <c r="L58" s="85">
        <v>0.02</v>
      </c>
      <c r="M58" s="85">
        <v>0.01</v>
      </c>
      <c r="N58" s="85"/>
      <c r="O58" s="85"/>
      <c r="P58" s="85">
        <v>0.04</v>
      </c>
      <c r="Q58" s="85">
        <v>0.02</v>
      </c>
      <c r="R58" s="85" t="s">
        <v>35</v>
      </c>
      <c r="S58" s="72"/>
      <c r="T58" s="86"/>
      <c r="U58" s="86"/>
      <c r="V58" s="86"/>
      <c r="W58" s="86"/>
      <c r="X58" s="72" t="s">
        <v>35</v>
      </c>
      <c r="Y58" s="53" t="s">
        <v>35</v>
      </c>
      <c r="Z58" s="28" t="s">
        <v>35</v>
      </c>
      <c r="AA58" s="53" t="s">
        <v>35</v>
      </c>
    </row>
    <row r="59" spans="1:27">
      <c r="A59" s="37">
        <v>55</v>
      </c>
      <c r="B59" s="28" t="s">
        <v>127</v>
      </c>
      <c r="C59" s="28" t="s">
        <v>30</v>
      </c>
      <c r="D59" s="28">
        <v>6</v>
      </c>
      <c r="E59" s="28">
        <v>15.99</v>
      </c>
      <c r="F59" s="28" t="s">
        <v>101</v>
      </c>
      <c r="G59" s="84" t="s">
        <v>100</v>
      </c>
      <c r="H59" s="28">
        <v>1517</v>
      </c>
      <c r="I59" s="85">
        <v>0.16</v>
      </c>
      <c r="J59" s="86">
        <v>0.08</v>
      </c>
      <c r="K59" s="86">
        <v>0.5</v>
      </c>
      <c r="L59" s="85">
        <v>0.02</v>
      </c>
      <c r="M59" s="85">
        <v>0.01</v>
      </c>
      <c r="N59" s="85"/>
      <c r="O59" s="85"/>
      <c r="P59" s="85">
        <v>0.04</v>
      </c>
      <c r="Q59" s="85">
        <v>0.02</v>
      </c>
      <c r="R59" s="85" t="s">
        <v>35</v>
      </c>
      <c r="S59" s="72"/>
      <c r="T59" s="86"/>
      <c r="U59" s="86"/>
      <c r="V59" s="86"/>
      <c r="W59" s="86"/>
      <c r="X59" s="72" t="s">
        <v>35</v>
      </c>
      <c r="Y59" s="53" t="s">
        <v>35</v>
      </c>
      <c r="Z59" s="28" t="s">
        <v>35</v>
      </c>
      <c r="AA59" s="53" t="s">
        <v>35</v>
      </c>
    </row>
    <row r="60" spans="1:27">
      <c r="A60" s="37">
        <v>56</v>
      </c>
      <c r="B60" s="28" t="s">
        <v>127</v>
      </c>
      <c r="C60" s="28" t="s">
        <v>102</v>
      </c>
      <c r="D60" s="28">
        <v>16</v>
      </c>
      <c r="E60" s="28">
        <v>28</v>
      </c>
      <c r="F60" s="28" t="s">
        <v>103</v>
      </c>
      <c r="G60" s="84" t="s">
        <v>104</v>
      </c>
      <c r="H60" s="28">
        <v>1514</v>
      </c>
      <c r="I60" s="85">
        <v>0.16</v>
      </c>
      <c r="J60" s="86">
        <v>0.18</v>
      </c>
      <c r="K60" s="86">
        <v>1.1</v>
      </c>
      <c r="L60" s="85">
        <v>0.02</v>
      </c>
      <c r="M60" s="85">
        <v>0.01</v>
      </c>
      <c r="N60" s="85"/>
      <c r="O60" s="85">
        <v>0.008</v>
      </c>
      <c r="P60" s="85">
        <v>0.025</v>
      </c>
      <c r="Q60" s="85">
        <v>0.02</v>
      </c>
      <c r="R60" s="85" t="s">
        <v>35</v>
      </c>
      <c r="S60" s="72"/>
      <c r="T60" s="86"/>
      <c r="U60" s="86"/>
      <c r="V60" s="86"/>
      <c r="W60" s="86"/>
      <c r="X60" s="72" t="s">
        <v>35</v>
      </c>
      <c r="Y60" s="53" t="s">
        <v>35</v>
      </c>
      <c r="Z60" s="28" t="s">
        <v>35</v>
      </c>
      <c r="AA60" s="53" t="s">
        <v>35</v>
      </c>
    </row>
    <row r="61" spans="1:27">
      <c r="A61" s="37">
        <v>57</v>
      </c>
      <c r="B61" s="28" t="s">
        <v>128</v>
      </c>
      <c r="C61" s="28" t="s">
        <v>30</v>
      </c>
      <c r="D61" s="28">
        <v>1.5</v>
      </c>
      <c r="E61" s="28">
        <v>5.99</v>
      </c>
      <c r="F61" s="28" t="s">
        <v>129</v>
      </c>
      <c r="G61" s="84" t="s">
        <v>130</v>
      </c>
      <c r="H61" s="28">
        <v>1517</v>
      </c>
      <c r="I61" s="85">
        <v>0.16</v>
      </c>
      <c r="J61" s="86">
        <v>0.07</v>
      </c>
      <c r="K61" s="86">
        <v>0.35</v>
      </c>
      <c r="L61" s="85">
        <v>0.02</v>
      </c>
      <c r="M61" s="85">
        <v>0.01</v>
      </c>
      <c r="N61" s="85"/>
      <c r="O61" s="85"/>
      <c r="P61" s="85">
        <v>0.04</v>
      </c>
      <c r="Q61" s="85">
        <v>0.02</v>
      </c>
      <c r="R61" s="85" t="s">
        <v>35</v>
      </c>
      <c r="S61" s="72"/>
      <c r="T61" s="86"/>
      <c r="U61" s="86"/>
      <c r="V61" s="86"/>
      <c r="W61" s="86"/>
      <c r="X61" s="72" t="s">
        <v>35</v>
      </c>
      <c r="Y61" s="53" t="s">
        <v>35</v>
      </c>
      <c r="Z61" s="28" t="s">
        <v>35</v>
      </c>
      <c r="AA61" s="53"/>
    </row>
    <row r="62" spans="1:27">
      <c r="A62" s="37">
        <v>58</v>
      </c>
      <c r="B62" s="28" t="s">
        <v>128</v>
      </c>
      <c r="C62" s="28" t="s">
        <v>33</v>
      </c>
      <c r="D62" s="28">
        <v>6</v>
      </c>
      <c r="E62" s="28">
        <v>15.99</v>
      </c>
      <c r="F62" s="28" t="s">
        <v>131</v>
      </c>
      <c r="G62" s="84" t="s">
        <v>130</v>
      </c>
      <c r="H62" s="28">
        <v>1517</v>
      </c>
      <c r="I62" s="85">
        <v>0.16</v>
      </c>
      <c r="J62" s="86">
        <v>0.07</v>
      </c>
      <c r="K62" s="86">
        <v>0.5</v>
      </c>
      <c r="L62" s="85">
        <v>0.02</v>
      </c>
      <c r="M62" s="85">
        <v>0.01</v>
      </c>
      <c r="N62" s="85"/>
      <c r="O62" s="85"/>
      <c r="P62" s="85">
        <v>0.04</v>
      </c>
      <c r="Q62" s="85">
        <v>0.02</v>
      </c>
      <c r="R62" s="85" t="s">
        <v>35</v>
      </c>
      <c r="S62" s="72"/>
      <c r="T62" s="86"/>
      <c r="U62" s="86"/>
      <c r="V62" s="86"/>
      <c r="W62" s="86"/>
      <c r="X62" s="72" t="s">
        <v>35</v>
      </c>
      <c r="Y62" s="53" t="s">
        <v>35</v>
      </c>
      <c r="Z62" s="28" t="s">
        <v>35</v>
      </c>
      <c r="AA62" s="53"/>
    </row>
    <row r="63" spans="1:27">
      <c r="A63" s="37">
        <v>59</v>
      </c>
      <c r="B63" s="28" t="s">
        <v>128</v>
      </c>
      <c r="C63" s="28" t="s">
        <v>102</v>
      </c>
      <c r="D63" s="28">
        <v>16</v>
      </c>
      <c r="E63" s="28">
        <v>28</v>
      </c>
      <c r="F63" s="28" t="s">
        <v>132</v>
      </c>
      <c r="G63" s="84" t="s">
        <v>130</v>
      </c>
      <c r="H63" s="28">
        <v>1514</v>
      </c>
      <c r="I63" s="85">
        <v>0.16</v>
      </c>
      <c r="J63" s="86">
        <v>0.07</v>
      </c>
      <c r="K63" s="86">
        <v>1.1</v>
      </c>
      <c r="L63" s="85">
        <v>0.02</v>
      </c>
      <c r="M63" s="85">
        <v>0.01</v>
      </c>
      <c r="N63" s="85"/>
      <c r="O63" s="85">
        <v>0.008</v>
      </c>
      <c r="P63" s="85">
        <v>0.025</v>
      </c>
      <c r="Q63" s="85">
        <v>0.02</v>
      </c>
      <c r="R63" s="85" t="s">
        <v>35</v>
      </c>
      <c r="S63" s="72"/>
      <c r="T63" s="86"/>
      <c r="U63" s="86"/>
      <c r="V63" s="86"/>
      <c r="W63" s="86"/>
      <c r="X63" s="72" t="s">
        <v>35</v>
      </c>
      <c r="Y63" s="53" t="s">
        <v>35</v>
      </c>
      <c r="Z63" s="28" t="s">
        <v>35</v>
      </c>
      <c r="AA63" s="53"/>
    </row>
    <row r="64" spans="1:27">
      <c r="A64" s="37">
        <v>60</v>
      </c>
      <c r="B64" s="28" t="s">
        <v>133</v>
      </c>
      <c r="C64" s="28" t="s">
        <v>30</v>
      </c>
      <c r="D64" s="28">
        <v>1.5</v>
      </c>
      <c r="E64" s="28">
        <v>8</v>
      </c>
      <c r="F64" s="28" t="s">
        <v>134</v>
      </c>
      <c r="G64" s="84" t="s">
        <v>135</v>
      </c>
      <c r="H64" s="28">
        <v>1518</v>
      </c>
      <c r="I64" s="85">
        <v>0.16</v>
      </c>
      <c r="J64" s="86">
        <v>0.02</v>
      </c>
      <c r="K64" s="86">
        <v>0.6</v>
      </c>
      <c r="L64" s="85">
        <v>0.01</v>
      </c>
      <c r="M64" s="85">
        <v>0.008</v>
      </c>
      <c r="N64" s="85"/>
      <c r="O64" s="85"/>
      <c r="P64" s="85">
        <v>0.04</v>
      </c>
      <c r="Q64" s="85">
        <v>0.02</v>
      </c>
      <c r="R64" s="85" t="s">
        <v>35</v>
      </c>
      <c r="S64" s="72"/>
      <c r="T64" s="86"/>
      <c r="U64" s="86"/>
      <c r="V64" s="86"/>
      <c r="W64" s="86"/>
      <c r="X64" s="72" t="s">
        <v>35</v>
      </c>
      <c r="Y64" s="53" t="s">
        <v>35</v>
      </c>
      <c r="Z64" s="28">
        <v>45</v>
      </c>
      <c r="AA64" s="53" t="s">
        <v>35</v>
      </c>
    </row>
    <row r="65" spans="1:27">
      <c r="A65" s="37">
        <v>61</v>
      </c>
      <c r="B65" s="28" t="s">
        <v>136</v>
      </c>
      <c r="C65" s="28" t="s">
        <v>30</v>
      </c>
      <c r="D65" s="28">
        <v>12</v>
      </c>
      <c r="E65" s="28">
        <v>19</v>
      </c>
      <c r="F65" s="28" t="s">
        <v>137</v>
      </c>
      <c r="G65" s="84" t="s">
        <v>138</v>
      </c>
      <c r="H65" s="28">
        <v>1516</v>
      </c>
      <c r="I65" s="85">
        <v>0.15</v>
      </c>
      <c r="J65" s="86">
        <v>0.1</v>
      </c>
      <c r="K65" s="86">
        <v>1</v>
      </c>
      <c r="L65" s="85">
        <v>0.02</v>
      </c>
      <c r="M65" s="85">
        <v>0.01</v>
      </c>
      <c r="N65" s="85"/>
      <c r="O65" s="85">
        <v>0.008</v>
      </c>
      <c r="P65" s="85">
        <v>0.03</v>
      </c>
      <c r="Q65" s="85">
        <v>0.02</v>
      </c>
      <c r="R65" s="85" t="s">
        <v>35</v>
      </c>
      <c r="S65" s="72"/>
      <c r="T65" s="86"/>
      <c r="U65" s="86"/>
      <c r="V65" s="86"/>
      <c r="W65" s="86"/>
      <c r="X65" s="72" t="s">
        <v>35</v>
      </c>
      <c r="Y65" s="53" t="s">
        <v>35</v>
      </c>
      <c r="Z65" s="28">
        <v>45</v>
      </c>
      <c r="AA65" s="53" t="s">
        <v>35</v>
      </c>
    </row>
    <row r="66" spans="1:27">
      <c r="A66" s="37">
        <v>62</v>
      </c>
      <c r="B66" s="28" t="s">
        <v>136</v>
      </c>
      <c r="C66" s="28" t="s">
        <v>33</v>
      </c>
      <c r="D66" s="28">
        <v>19.01</v>
      </c>
      <c r="E66" s="28">
        <v>28</v>
      </c>
      <c r="F66" s="28" t="s">
        <v>139</v>
      </c>
      <c r="G66" s="84" t="s">
        <v>138</v>
      </c>
      <c r="H66" s="28">
        <v>1516</v>
      </c>
      <c r="I66" s="85">
        <v>0.15</v>
      </c>
      <c r="J66" s="86">
        <v>0.1</v>
      </c>
      <c r="K66" s="86">
        <v>1.1</v>
      </c>
      <c r="L66" s="85">
        <v>0.02</v>
      </c>
      <c r="M66" s="85">
        <v>0.01</v>
      </c>
      <c r="N66" s="85"/>
      <c r="O66" s="85">
        <v>0.008</v>
      </c>
      <c r="P66" s="85">
        <v>0.03</v>
      </c>
      <c r="Q66" s="85">
        <v>0.02</v>
      </c>
      <c r="R66" s="85" t="s">
        <v>35</v>
      </c>
      <c r="S66" s="72"/>
      <c r="T66" s="86"/>
      <c r="U66" s="86"/>
      <c r="V66" s="86"/>
      <c r="W66" s="86"/>
      <c r="X66" s="72" t="s">
        <v>35</v>
      </c>
      <c r="Y66" s="53" t="s">
        <v>35</v>
      </c>
      <c r="Z66" s="28">
        <v>45</v>
      </c>
      <c r="AA66" s="53" t="s">
        <v>35</v>
      </c>
    </row>
    <row r="67" spans="1:27">
      <c r="A67" s="37">
        <v>63</v>
      </c>
      <c r="B67" s="28" t="s">
        <v>140</v>
      </c>
      <c r="C67" s="28" t="s">
        <v>102</v>
      </c>
      <c r="D67" s="28">
        <v>0.1</v>
      </c>
      <c r="E67" s="28">
        <v>6</v>
      </c>
      <c r="F67" s="28" t="s">
        <v>99</v>
      </c>
      <c r="G67" s="84" t="s">
        <v>100</v>
      </c>
      <c r="H67" s="28">
        <v>1518</v>
      </c>
      <c r="I67" s="85">
        <v>0.16</v>
      </c>
      <c r="J67" s="86">
        <v>0.08</v>
      </c>
      <c r="K67" s="86">
        <v>0.35</v>
      </c>
      <c r="L67" s="85">
        <v>0.02</v>
      </c>
      <c r="M67" s="85">
        <v>0.01</v>
      </c>
      <c r="N67" s="85"/>
      <c r="O67" s="85"/>
      <c r="P67" s="85">
        <v>0.04</v>
      </c>
      <c r="Q67" s="85">
        <v>0.02</v>
      </c>
      <c r="R67" s="85" t="s">
        <v>35</v>
      </c>
      <c r="S67" s="72"/>
      <c r="T67" s="86"/>
      <c r="U67" s="86"/>
      <c r="V67" s="86"/>
      <c r="W67" s="86"/>
      <c r="X67" s="72" t="s">
        <v>35</v>
      </c>
      <c r="Y67" s="53" t="s">
        <v>35</v>
      </c>
      <c r="Z67" s="28" t="s">
        <v>35</v>
      </c>
      <c r="AA67" s="53" t="s">
        <v>35</v>
      </c>
    </row>
    <row r="68" spans="1:27">
      <c r="A68" s="37">
        <v>64</v>
      </c>
      <c r="B68" s="28" t="s">
        <v>140</v>
      </c>
      <c r="C68" s="28" t="s">
        <v>30</v>
      </c>
      <c r="D68" s="28">
        <v>6.01</v>
      </c>
      <c r="E68" s="28">
        <v>16.44</v>
      </c>
      <c r="F68" s="28" t="s">
        <v>101</v>
      </c>
      <c r="G68" s="84" t="s">
        <v>100</v>
      </c>
      <c r="H68" s="28">
        <v>1517</v>
      </c>
      <c r="I68" s="85">
        <v>0.16</v>
      </c>
      <c r="J68" s="86">
        <v>0.08</v>
      </c>
      <c r="K68" s="86">
        <v>0.5</v>
      </c>
      <c r="L68" s="85">
        <v>0.02</v>
      </c>
      <c r="M68" s="85">
        <v>0.01</v>
      </c>
      <c r="N68" s="85"/>
      <c r="O68" s="85"/>
      <c r="P68" s="85">
        <v>0.04</v>
      </c>
      <c r="Q68" s="85">
        <v>0.02</v>
      </c>
      <c r="R68" s="85" t="s">
        <v>35</v>
      </c>
      <c r="S68" s="72"/>
      <c r="T68" s="86"/>
      <c r="U68" s="86"/>
      <c r="V68" s="86"/>
      <c r="W68" s="86"/>
      <c r="X68" s="72" t="s">
        <v>35</v>
      </c>
      <c r="Y68" s="53" t="s">
        <v>35</v>
      </c>
      <c r="Z68" s="28" t="s">
        <v>35</v>
      </c>
      <c r="AA68" s="53" t="s">
        <v>35</v>
      </c>
    </row>
    <row r="69" spans="1:27">
      <c r="A69" s="37">
        <v>65</v>
      </c>
      <c r="B69" s="28" t="s">
        <v>140</v>
      </c>
      <c r="C69" s="28" t="s">
        <v>33</v>
      </c>
      <c r="D69" s="28">
        <v>16.45</v>
      </c>
      <c r="E69" s="28">
        <v>30</v>
      </c>
      <c r="F69" s="28" t="s">
        <v>141</v>
      </c>
      <c r="G69" s="84" t="s">
        <v>104</v>
      </c>
      <c r="H69" s="28">
        <v>1515</v>
      </c>
      <c r="I69" s="85">
        <v>0.16</v>
      </c>
      <c r="J69" s="86">
        <v>0.18</v>
      </c>
      <c r="K69" s="86">
        <v>0.8</v>
      </c>
      <c r="L69" s="85">
        <v>0.02</v>
      </c>
      <c r="M69" s="85">
        <v>0.01</v>
      </c>
      <c r="N69" s="85"/>
      <c r="O69" s="85"/>
      <c r="P69" s="85">
        <v>0.035</v>
      </c>
      <c r="Q69" s="85">
        <v>0.02</v>
      </c>
      <c r="R69" s="85" t="s">
        <v>35</v>
      </c>
      <c r="S69" s="72"/>
      <c r="T69" s="86"/>
      <c r="U69" s="86"/>
      <c r="V69" s="86"/>
      <c r="W69" s="86"/>
      <c r="X69" s="72" t="s">
        <v>35</v>
      </c>
      <c r="Y69" s="53" t="s">
        <v>35</v>
      </c>
      <c r="Z69" s="28" t="s">
        <v>35</v>
      </c>
      <c r="AA69" s="53" t="s">
        <v>35</v>
      </c>
    </row>
    <row r="70" spans="1:27">
      <c r="A70" s="37">
        <v>66</v>
      </c>
      <c r="B70" s="28" t="s">
        <v>142</v>
      </c>
      <c r="C70" s="28" t="s">
        <v>30</v>
      </c>
      <c r="D70" s="28">
        <v>0.1</v>
      </c>
      <c r="E70" s="28">
        <v>6</v>
      </c>
      <c r="F70" s="28" t="s">
        <v>99</v>
      </c>
      <c r="G70" s="84" t="s">
        <v>100</v>
      </c>
      <c r="H70" s="28">
        <v>1518</v>
      </c>
      <c r="I70" s="85">
        <v>0.16</v>
      </c>
      <c r="J70" s="86">
        <v>0.08</v>
      </c>
      <c r="K70" s="86">
        <v>0.35</v>
      </c>
      <c r="L70" s="85">
        <v>0.02</v>
      </c>
      <c r="M70" s="85">
        <v>0.01</v>
      </c>
      <c r="N70" s="85"/>
      <c r="O70" s="85"/>
      <c r="P70" s="85">
        <v>0.04</v>
      </c>
      <c r="Q70" s="85">
        <v>0.02</v>
      </c>
      <c r="R70" s="85" t="s">
        <v>35</v>
      </c>
      <c r="S70" s="72"/>
      <c r="T70" s="86"/>
      <c r="U70" s="86"/>
      <c r="V70" s="86"/>
      <c r="W70" s="86"/>
      <c r="X70" s="72" t="s">
        <v>35</v>
      </c>
      <c r="Y70" s="53" t="s">
        <v>35</v>
      </c>
      <c r="Z70" s="28" t="s">
        <v>35</v>
      </c>
      <c r="AA70" s="53" t="s">
        <v>35</v>
      </c>
    </row>
    <row r="71" spans="1:27">
      <c r="A71" s="37">
        <v>67</v>
      </c>
      <c r="B71" s="28" t="s">
        <v>142</v>
      </c>
      <c r="C71" s="28" t="s">
        <v>33</v>
      </c>
      <c r="D71" s="28">
        <v>6.01</v>
      </c>
      <c r="E71" s="28">
        <v>16.29</v>
      </c>
      <c r="F71" s="28" t="s">
        <v>101</v>
      </c>
      <c r="G71" s="84" t="s">
        <v>100</v>
      </c>
      <c r="H71" s="28">
        <v>1517</v>
      </c>
      <c r="I71" s="85">
        <v>0.16</v>
      </c>
      <c r="J71" s="86">
        <v>0.08</v>
      </c>
      <c r="K71" s="86">
        <v>0.5</v>
      </c>
      <c r="L71" s="85">
        <v>0.02</v>
      </c>
      <c r="M71" s="85">
        <v>0.01</v>
      </c>
      <c r="N71" s="85"/>
      <c r="O71" s="85"/>
      <c r="P71" s="85">
        <v>0.04</v>
      </c>
      <c r="Q71" s="85">
        <v>0.02</v>
      </c>
      <c r="R71" s="85" t="s">
        <v>35</v>
      </c>
      <c r="S71" s="72"/>
      <c r="T71" s="86"/>
      <c r="U71" s="86"/>
      <c r="V71" s="86"/>
      <c r="W71" s="86"/>
      <c r="X71" s="72" t="s">
        <v>35</v>
      </c>
      <c r="Y71" s="53" t="s">
        <v>35</v>
      </c>
      <c r="Z71" s="28" t="s">
        <v>35</v>
      </c>
      <c r="AA71" s="53" t="s">
        <v>35</v>
      </c>
    </row>
    <row r="72" spans="1:27">
      <c r="A72" s="37">
        <v>68</v>
      </c>
      <c r="B72" s="28" t="s">
        <v>142</v>
      </c>
      <c r="C72" s="28" t="s">
        <v>102</v>
      </c>
      <c r="D72" s="28">
        <v>16.3</v>
      </c>
      <c r="E72" s="28">
        <v>30</v>
      </c>
      <c r="F72" s="28" t="s">
        <v>141</v>
      </c>
      <c r="G72" s="84" t="s">
        <v>104</v>
      </c>
      <c r="H72" s="28">
        <v>1515</v>
      </c>
      <c r="I72" s="85">
        <v>0.16</v>
      </c>
      <c r="J72" s="86">
        <v>0.18</v>
      </c>
      <c r="K72" s="86">
        <v>0.8</v>
      </c>
      <c r="L72" s="85">
        <v>0.02</v>
      </c>
      <c r="M72" s="85">
        <v>0.01</v>
      </c>
      <c r="N72" s="85"/>
      <c r="O72" s="85"/>
      <c r="P72" s="85">
        <v>0.035</v>
      </c>
      <c r="Q72" s="85">
        <v>0.02</v>
      </c>
      <c r="R72" s="85" t="s">
        <v>35</v>
      </c>
      <c r="S72" s="72"/>
      <c r="T72" s="86"/>
      <c r="U72" s="86"/>
      <c r="V72" s="86"/>
      <c r="W72" s="86"/>
      <c r="X72" s="72" t="s">
        <v>35</v>
      </c>
      <c r="Y72" s="53" t="s">
        <v>35</v>
      </c>
      <c r="Z72" s="28" t="s">
        <v>35</v>
      </c>
      <c r="AA72" s="53" t="s">
        <v>35</v>
      </c>
    </row>
    <row r="73" spans="1:27">
      <c r="A73" s="37">
        <v>69</v>
      </c>
      <c r="B73" s="28" t="s">
        <v>143</v>
      </c>
      <c r="C73" s="28" t="s">
        <v>102</v>
      </c>
      <c r="D73" s="28">
        <v>0.1</v>
      </c>
      <c r="E73" s="28">
        <v>6</v>
      </c>
      <c r="F73" s="28" t="s">
        <v>99</v>
      </c>
      <c r="G73" s="84" t="s">
        <v>100</v>
      </c>
      <c r="H73" s="28">
        <v>1518</v>
      </c>
      <c r="I73" s="85">
        <v>0.16</v>
      </c>
      <c r="J73" s="86">
        <v>0.08</v>
      </c>
      <c r="K73" s="86">
        <v>0.35</v>
      </c>
      <c r="L73" s="85">
        <v>0.02</v>
      </c>
      <c r="M73" s="85">
        <v>0.01</v>
      </c>
      <c r="N73" s="85"/>
      <c r="O73" s="85"/>
      <c r="P73" s="85">
        <v>0.04</v>
      </c>
      <c r="Q73" s="85">
        <v>0.02</v>
      </c>
      <c r="R73" s="85" t="s">
        <v>35</v>
      </c>
      <c r="S73" s="72"/>
      <c r="T73" s="86"/>
      <c r="U73" s="86"/>
      <c r="V73" s="86"/>
      <c r="W73" s="86"/>
      <c r="X73" s="72" t="s">
        <v>35</v>
      </c>
      <c r="Y73" s="53" t="s">
        <v>35</v>
      </c>
      <c r="Z73" s="28" t="s">
        <v>35</v>
      </c>
      <c r="AA73" s="53" t="s">
        <v>35</v>
      </c>
    </row>
    <row r="74" spans="1:27">
      <c r="A74" s="37">
        <v>70</v>
      </c>
      <c r="B74" s="28" t="s">
        <v>143</v>
      </c>
      <c r="C74" s="28" t="s">
        <v>33</v>
      </c>
      <c r="D74" s="28">
        <v>6.01</v>
      </c>
      <c r="E74" s="28">
        <v>16.24</v>
      </c>
      <c r="F74" s="28" t="s">
        <v>101</v>
      </c>
      <c r="G74" s="84" t="s">
        <v>100</v>
      </c>
      <c r="H74" s="28">
        <v>1517</v>
      </c>
      <c r="I74" s="85">
        <v>0.16</v>
      </c>
      <c r="J74" s="86">
        <v>0.08</v>
      </c>
      <c r="K74" s="86">
        <v>0.5</v>
      </c>
      <c r="L74" s="85">
        <v>0.02</v>
      </c>
      <c r="M74" s="85">
        <v>0.01</v>
      </c>
      <c r="N74" s="85"/>
      <c r="O74" s="85"/>
      <c r="P74" s="85">
        <v>0.04</v>
      </c>
      <c r="Q74" s="85">
        <v>0.02</v>
      </c>
      <c r="R74" s="85" t="s">
        <v>35</v>
      </c>
      <c r="S74" s="72"/>
      <c r="T74" s="86"/>
      <c r="U74" s="86"/>
      <c r="V74" s="86"/>
      <c r="W74" s="86"/>
      <c r="X74" s="72" t="s">
        <v>35</v>
      </c>
      <c r="Y74" s="53" t="s">
        <v>35</v>
      </c>
      <c r="Z74" s="28" t="s">
        <v>35</v>
      </c>
      <c r="AA74" s="53" t="s">
        <v>35</v>
      </c>
    </row>
    <row r="75" spans="1:27">
      <c r="A75" s="37">
        <v>71</v>
      </c>
      <c r="B75" s="28" t="s">
        <v>143</v>
      </c>
      <c r="C75" s="28" t="s">
        <v>30</v>
      </c>
      <c r="D75" s="28">
        <v>16.25</v>
      </c>
      <c r="E75" s="28">
        <v>30</v>
      </c>
      <c r="F75" s="28" t="s">
        <v>141</v>
      </c>
      <c r="G75" s="84" t="s">
        <v>104</v>
      </c>
      <c r="H75" s="28">
        <v>1515</v>
      </c>
      <c r="I75" s="85">
        <v>0.16</v>
      </c>
      <c r="J75" s="86">
        <v>0.18</v>
      </c>
      <c r="K75" s="86">
        <v>0.8</v>
      </c>
      <c r="L75" s="85">
        <v>0.02</v>
      </c>
      <c r="M75" s="85">
        <v>0.01</v>
      </c>
      <c r="N75" s="85"/>
      <c r="O75" s="85"/>
      <c r="P75" s="85">
        <v>0.035</v>
      </c>
      <c r="Q75" s="85">
        <v>0.02</v>
      </c>
      <c r="R75" s="85" t="s">
        <v>35</v>
      </c>
      <c r="S75" s="72"/>
      <c r="T75" s="86"/>
      <c r="U75" s="86"/>
      <c r="V75" s="86"/>
      <c r="W75" s="86"/>
      <c r="X75" s="72" t="s">
        <v>35</v>
      </c>
      <c r="Y75" s="53" t="s">
        <v>35</v>
      </c>
      <c r="Z75" s="28" t="s">
        <v>35</v>
      </c>
      <c r="AA75" s="53" t="s">
        <v>35</v>
      </c>
    </row>
    <row r="76" spans="1:27">
      <c r="A76" s="37">
        <v>72</v>
      </c>
      <c r="B76" s="28" t="s">
        <v>144</v>
      </c>
      <c r="C76" s="28" t="s">
        <v>30</v>
      </c>
      <c r="D76" s="28">
        <v>0.1</v>
      </c>
      <c r="E76" s="28">
        <v>6</v>
      </c>
      <c r="F76" s="28" t="s">
        <v>99</v>
      </c>
      <c r="G76" s="84" t="s">
        <v>100</v>
      </c>
      <c r="H76" s="28">
        <v>1518</v>
      </c>
      <c r="I76" s="85">
        <v>0.16</v>
      </c>
      <c r="J76" s="86">
        <v>0.08</v>
      </c>
      <c r="K76" s="86">
        <v>0.35</v>
      </c>
      <c r="L76" s="85">
        <v>0.02</v>
      </c>
      <c r="M76" s="85">
        <v>0.01</v>
      </c>
      <c r="N76" s="85"/>
      <c r="O76" s="85"/>
      <c r="P76" s="85">
        <v>0.04</v>
      </c>
      <c r="Q76" s="85">
        <v>0.02</v>
      </c>
      <c r="R76" s="85" t="s">
        <v>35</v>
      </c>
      <c r="S76" s="72"/>
      <c r="T76" s="86"/>
      <c r="U76" s="86"/>
      <c r="V76" s="86"/>
      <c r="W76" s="86"/>
      <c r="X76" s="72" t="s">
        <v>35</v>
      </c>
      <c r="Y76" s="53" t="s">
        <v>35</v>
      </c>
      <c r="Z76" s="28" t="s">
        <v>35</v>
      </c>
      <c r="AA76" s="53" t="s">
        <v>35</v>
      </c>
    </row>
    <row r="77" spans="1:27">
      <c r="A77" s="37">
        <v>73</v>
      </c>
      <c r="B77" s="28" t="s">
        <v>144</v>
      </c>
      <c r="C77" s="28" t="s">
        <v>102</v>
      </c>
      <c r="D77" s="28">
        <v>6.01</v>
      </c>
      <c r="E77" s="28">
        <v>15.99</v>
      </c>
      <c r="F77" s="28" t="s">
        <v>101</v>
      </c>
      <c r="G77" s="84" t="s">
        <v>100</v>
      </c>
      <c r="H77" s="28">
        <v>1517</v>
      </c>
      <c r="I77" s="85">
        <v>0.16</v>
      </c>
      <c r="J77" s="86">
        <v>0.08</v>
      </c>
      <c r="K77" s="86">
        <v>0.5</v>
      </c>
      <c r="L77" s="85">
        <v>0.02</v>
      </c>
      <c r="M77" s="85">
        <v>0.01</v>
      </c>
      <c r="N77" s="85"/>
      <c r="O77" s="85"/>
      <c r="P77" s="85">
        <v>0.04</v>
      </c>
      <c r="Q77" s="85">
        <v>0.02</v>
      </c>
      <c r="R77" s="85" t="s">
        <v>35</v>
      </c>
      <c r="S77" s="72"/>
      <c r="T77" s="86"/>
      <c r="U77" s="86"/>
      <c r="V77" s="86"/>
      <c r="W77" s="86"/>
      <c r="X77" s="72" t="s">
        <v>35</v>
      </c>
      <c r="Y77" s="53" t="s">
        <v>35</v>
      </c>
      <c r="Z77" s="28" t="s">
        <v>35</v>
      </c>
      <c r="AA77" s="53" t="s">
        <v>35</v>
      </c>
    </row>
    <row r="78" spans="1:27">
      <c r="A78" s="37">
        <v>74</v>
      </c>
      <c r="B78" s="28" t="s">
        <v>144</v>
      </c>
      <c r="C78" s="28" t="s">
        <v>33</v>
      </c>
      <c r="D78" s="28">
        <v>16</v>
      </c>
      <c r="E78" s="28">
        <v>30</v>
      </c>
      <c r="F78" s="28" t="s">
        <v>141</v>
      </c>
      <c r="G78" s="84" t="s">
        <v>104</v>
      </c>
      <c r="H78" s="28">
        <v>1515</v>
      </c>
      <c r="I78" s="85">
        <v>0.16</v>
      </c>
      <c r="J78" s="86">
        <v>0.18</v>
      </c>
      <c r="K78" s="86">
        <v>0.8</v>
      </c>
      <c r="L78" s="85">
        <v>0.02</v>
      </c>
      <c r="M78" s="85">
        <v>0.01</v>
      </c>
      <c r="N78" s="85"/>
      <c r="O78" s="85"/>
      <c r="P78" s="85">
        <v>0.035</v>
      </c>
      <c r="Q78" s="85">
        <v>0.02</v>
      </c>
      <c r="R78" s="85" t="s">
        <v>35</v>
      </c>
      <c r="S78" s="72"/>
      <c r="T78" s="86"/>
      <c r="U78" s="86"/>
      <c r="V78" s="86"/>
      <c r="W78" s="86"/>
      <c r="X78" s="72" t="s">
        <v>35</v>
      </c>
      <c r="Y78" s="53" t="s">
        <v>35</v>
      </c>
      <c r="Z78" s="28" t="s">
        <v>35</v>
      </c>
      <c r="AA78" s="53" t="s">
        <v>35</v>
      </c>
    </row>
    <row r="79" spans="1:27">
      <c r="A79" s="37">
        <v>75</v>
      </c>
      <c r="B79" s="28" t="s">
        <v>145</v>
      </c>
      <c r="C79" s="28" t="s">
        <v>30</v>
      </c>
      <c r="D79" s="28">
        <v>2</v>
      </c>
      <c r="E79" s="28">
        <v>12</v>
      </c>
      <c r="F79" s="28" t="s">
        <v>106</v>
      </c>
      <c r="G79" s="84" t="s">
        <v>107</v>
      </c>
      <c r="H79" s="28">
        <v>1517</v>
      </c>
      <c r="I79" s="85">
        <v>0.16</v>
      </c>
      <c r="J79" s="86">
        <v>0.15</v>
      </c>
      <c r="K79" s="86">
        <v>1</v>
      </c>
      <c r="L79" s="85">
        <v>0.018</v>
      </c>
      <c r="M79" s="85">
        <v>0.01</v>
      </c>
      <c r="N79" s="85" t="s">
        <v>35</v>
      </c>
      <c r="O79" s="85"/>
      <c r="P79" s="85">
        <v>0.03</v>
      </c>
      <c r="Q79" s="85">
        <v>0.025</v>
      </c>
      <c r="R79" s="85" t="s">
        <v>35</v>
      </c>
      <c r="S79" s="72"/>
      <c r="T79" s="86"/>
      <c r="U79" s="86"/>
      <c r="V79" s="86"/>
      <c r="W79" s="86"/>
      <c r="X79" s="72" t="s">
        <v>35</v>
      </c>
      <c r="Y79" s="53" t="s">
        <v>35</v>
      </c>
      <c r="Z79" s="28">
        <v>40</v>
      </c>
      <c r="AA79" s="53" t="s">
        <v>35</v>
      </c>
    </row>
    <row r="80" spans="1:27">
      <c r="A80" s="37">
        <v>76</v>
      </c>
      <c r="B80" s="28" t="s">
        <v>145</v>
      </c>
      <c r="C80" s="28" t="s">
        <v>33</v>
      </c>
      <c r="D80" s="28">
        <v>12.01</v>
      </c>
      <c r="E80" s="28">
        <v>19</v>
      </c>
      <c r="F80" s="28" t="s">
        <v>108</v>
      </c>
      <c r="G80" s="84" t="s">
        <v>107</v>
      </c>
      <c r="H80" s="28">
        <v>1517</v>
      </c>
      <c r="I80" s="85">
        <v>0.16</v>
      </c>
      <c r="J80" s="86">
        <v>0.15</v>
      </c>
      <c r="K80" s="86">
        <v>1.15</v>
      </c>
      <c r="L80" s="85">
        <v>0.018</v>
      </c>
      <c r="M80" s="85">
        <v>0.01</v>
      </c>
      <c r="N80" s="85" t="s">
        <v>35</v>
      </c>
      <c r="O80" s="85">
        <v>0.012</v>
      </c>
      <c r="P80" s="85">
        <v>0.015</v>
      </c>
      <c r="Q80" s="85">
        <v>0.025</v>
      </c>
      <c r="R80" s="85" t="s">
        <v>35</v>
      </c>
      <c r="S80" s="72"/>
      <c r="T80" s="86"/>
      <c r="U80" s="86"/>
      <c r="V80" s="86"/>
      <c r="W80" s="86"/>
      <c r="X80" s="72" t="s">
        <v>35</v>
      </c>
      <c r="Y80" s="53" t="s">
        <v>35</v>
      </c>
      <c r="Z80" s="28">
        <v>40</v>
      </c>
      <c r="AA80" s="53" t="s">
        <v>35</v>
      </c>
    </row>
    <row r="81" spans="1:27">
      <c r="A81" s="37">
        <v>77</v>
      </c>
      <c r="B81" s="28" t="s">
        <v>145</v>
      </c>
      <c r="C81" s="28" t="s">
        <v>102</v>
      </c>
      <c r="D81" s="28">
        <v>19.01</v>
      </c>
      <c r="E81" s="28">
        <v>29</v>
      </c>
      <c r="F81" s="28" t="s">
        <v>109</v>
      </c>
      <c r="G81" s="84" t="s">
        <v>107</v>
      </c>
      <c r="H81" s="28">
        <v>1517</v>
      </c>
      <c r="I81" s="85">
        <v>0.16</v>
      </c>
      <c r="J81" s="86">
        <v>0.15</v>
      </c>
      <c r="K81" s="86">
        <v>1.35</v>
      </c>
      <c r="L81" s="85">
        <v>0.018</v>
      </c>
      <c r="M81" s="85">
        <v>0.01</v>
      </c>
      <c r="N81" s="85" t="s">
        <v>35</v>
      </c>
      <c r="O81" s="85">
        <v>0.015</v>
      </c>
      <c r="P81" s="85">
        <v>0.025</v>
      </c>
      <c r="Q81" s="85">
        <v>0.025</v>
      </c>
      <c r="R81" s="85" t="s">
        <v>35</v>
      </c>
      <c r="S81" s="72"/>
      <c r="T81" s="86"/>
      <c r="U81" s="86"/>
      <c r="V81" s="86"/>
      <c r="W81" s="86"/>
      <c r="X81" s="72" t="s">
        <v>35</v>
      </c>
      <c r="Y81" s="53" t="s">
        <v>35</v>
      </c>
      <c r="Z81" s="28">
        <v>40</v>
      </c>
      <c r="AA81" s="53" t="s">
        <v>35</v>
      </c>
    </row>
    <row r="82" spans="1:27">
      <c r="A82" s="37">
        <v>78</v>
      </c>
      <c r="B82" s="28" t="s">
        <v>146</v>
      </c>
      <c r="C82" s="28" t="s">
        <v>33</v>
      </c>
      <c r="D82" s="28">
        <v>3</v>
      </c>
      <c r="E82" s="28">
        <v>10</v>
      </c>
      <c r="F82" s="28" t="s">
        <v>147</v>
      </c>
      <c r="G82" s="84" t="s">
        <v>148</v>
      </c>
      <c r="H82" s="28">
        <v>1515</v>
      </c>
      <c r="I82" s="85">
        <v>0.16</v>
      </c>
      <c r="J82" s="86">
        <v>0.15</v>
      </c>
      <c r="K82" s="86">
        <v>0.9</v>
      </c>
      <c r="L82" s="85">
        <v>0.015</v>
      </c>
      <c r="M82" s="85">
        <v>0.01</v>
      </c>
      <c r="N82" s="85"/>
      <c r="O82" s="85"/>
      <c r="P82" s="85">
        <v>0.045</v>
      </c>
      <c r="Q82" s="85">
        <v>0.02</v>
      </c>
      <c r="R82" s="85" t="s">
        <v>35</v>
      </c>
      <c r="S82" s="72"/>
      <c r="T82" s="86"/>
      <c r="U82" s="86"/>
      <c r="V82" s="86"/>
      <c r="W82" s="86"/>
      <c r="X82" s="72" t="s">
        <v>35</v>
      </c>
      <c r="Y82" s="53" t="s">
        <v>35</v>
      </c>
      <c r="Z82" s="28">
        <v>45</v>
      </c>
      <c r="AA82" s="53" t="s">
        <v>35</v>
      </c>
    </row>
    <row r="83" spans="1:27">
      <c r="A83" s="37">
        <v>79</v>
      </c>
      <c r="B83" s="28" t="s">
        <v>146</v>
      </c>
      <c r="C83" s="28" t="s">
        <v>102</v>
      </c>
      <c r="D83" s="28">
        <v>10.01</v>
      </c>
      <c r="E83" s="28">
        <v>16.5</v>
      </c>
      <c r="F83" s="28" t="s">
        <v>149</v>
      </c>
      <c r="G83" s="84" t="s">
        <v>148</v>
      </c>
      <c r="H83" s="28">
        <v>1515</v>
      </c>
      <c r="I83" s="85">
        <v>0.16</v>
      </c>
      <c r="J83" s="86">
        <v>0.15</v>
      </c>
      <c r="K83" s="86">
        <v>1.05</v>
      </c>
      <c r="L83" s="85">
        <v>0.015</v>
      </c>
      <c r="M83" s="85">
        <v>0.01</v>
      </c>
      <c r="N83" s="85"/>
      <c r="O83" s="85"/>
      <c r="P83" s="85">
        <v>0.045</v>
      </c>
      <c r="Q83" s="85">
        <v>0.02</v>
      </c>
      <c r="R83" s="85" t="s">
        <v>35</v>
      </c>
      <c r="S83" s="72"/>
      <c r="T83" s="86"/>
      <c r="U83" s="86"/>
      <c r="V83" s="86"/>
      <c r="W83" s="86"/>
      <c r="X83" s="72" t="s">
        <v>35</v>
      </c>
      <c r="Y83" s="53" t="s">
        <v>35</v>
      </c>
      <c r="Z83" s="28">
        <v>45</v>
      </c>
      <c r="AA83" s="53" t="s">
        <v>35</v>
      </c>
    </row>
    <row r="84" spans="1:27">
      <c r="A84" s="37">
        <v>80</v>
      </c>
      <c r="B84" s="28" t="s">
        <v>146</v>
      </c>
      <c r="C84" s="28" t="s">
        <v>30</v>
      </c>
      <c r="D84" s="28">
        <v>16.51</v>
      </c>
      <c r="E84" s="28">
        <v>28</v>
      </c>
      <c r="F84" s="28" t="s">
        <v>150</v>
      </c>
      <c r="G84" s="84" t="s">
        <v>148</v>
      </c>
      <c r="H84" s="28">
        <v>1515</v>
      </c>
      <c r="I84" s="85">
        <v>0.16</v>
      </c>
      <c r="J84" s="86">
        <v>0.15</v>
      </c>
      <c r="K84" s="86">
        <v>1.1</v>
      </c>
      <c r="L84" s="85">
        <v>0.015</v>
      </c>
      <c r="M84" s="85">
        <v>0.006</v>
      </c>
      <c r="N84" s="85"/>
      <c r="O84" s="85">
        <v>0.015</v>
      </c>
      <c r="P84" s="85">
        <v>0.04</v>
      </c>
      <c r="Q84" s="85">
        <v>0.02</v>
      </c>
      <c r="R84" s="85" t="s">
        <v>35</v>
      </c>
      <c r="S84" s="72"/>
      <c r="T84" s="86"/>
      <c r="U84" s="86"/>
      <c r="V84" s="86"/>
      <c r="W84" s="86"/>
      <c r="X84" s="72" t="s">
        <v>35</v>
      </c>
      <c r="Y84" s="53" t="s">
        <v>35</v>
      </c>
      <c r="Z84" s="28">
        <v>45</v>
      </c>
      <c r="AA84" s="53" t="s">
        <v>35</v>
      </c>
    </row>
    <row r="85" spans="1:27">
      <c r="A85" s="37">
        <v>81</v>
      </c>
      <c r="B85" s="28" t="s">
        <v>151</v>
      </c>
      <c r="C85" s="28" t="s">
        <v>30</v>
      </c>
      <c r="D85" s="28">
        <v>3</v>
      </c>
      <c r="E85" s="28">
        <v>10</v>
      </c>
      <c r="F85" s="28" t="s">
        <v>152</v>
      </c>
      <c r="G85" s="84" t="s">
        <v>153</v>
      </c>
      <c r="H85" s="28">
        <v>1516</v>
      </c>
      <c r="I85" s="85">
        <v>0.14</v>
      </c>
      <c r="J85" s="86">
        <v>0.15</v>
      </c>
      <c r="K85" s="86">
        <v>1.1</v>
      </c>
      <c r="L85" s="85">
        <v>0.015</v>
      </c>
      <c r="M85" s="85">
        <v>0.01</v>
      </c>
      <c r="N85" s="85"/>
      <c r="O85" s="85">
        <v>0.012</v>
      </c>
      <c r="P85" s="85">
        <v>0.04</v>
      </c>
      <c r="Q85" s="85">
        <v>0.02</v>
      </c>
      <c r="R85" s="85" t="s">
        <v>35</v>
      </c>
      <c r="S85" s="72"/>
      <c r="T85" s="86"/>
      <c r="U85" s="86"/>
      <c r="V85" s="86"/>
      <c r="W85" s="86"/>
      <c r="X85" s="72" t="s">
        <v>35</v>
      </c>
      <c r="Y85" s="53" t="s">
        <v>35</v>
      </c>
      <c r="Z85" s="28">
        <v>45</v>
      </c>
      <c r="AA85" s="53"/>
    </row>
    <row r="86" spans="1:27">
      <c r="A86" s="37">
        <v>82</v>
      </c>
      <c r="B86" s="28" t="s">
        <v>151</v>
      </c>
      <c r="C86" s="28" t="s">
        <v>33</v>
      </c>
      <c r="D86" s="28">
        <v>10.01</v>
      </c>
      <c r="E86" s="28">
        <v>25</v>
      </c>
      <c r="F86" s="28" t="s">
        <v>154</v>
      </c>
      <c r="G86" s="84" t="s">
        <v>153</v>
      </c>
      <c r="H86" s="28">
        <v>1516</v>
      </c>
      <c r="I86" s="85">
        <v>0.14</v>
      </c>
      <c r="J86" s="86">
        <v>0.15</v>
      </c>
      <c r="K86" s="86">
        <v>1.2</v>
      </c>
      <c r="L86" s="85">
        <v>0.015</v>
      </c>
      <c r="M86" s="85">
        <v>0.01</v>
      </c>
      <c r="N86" s="85"/>
      <c r="O86" s="85">
        <v>0.012</v>
      </c>
      <c r="P86" s="85">
        <v>0.04</v>
      </c>
      <c r="Q86" s="85">
        <v>0.02</v>
      </c>
      <c r="R86" s="85" t="s">
        <v>35</v>
      </c>
      <c r="S86" s="72"/>
      <c r="T86" s="86"/>
      <c r="U86" s="86"/>
      <c r="V86" s="86"/>
      <c r="W86" s="86"/>
      <c r="X86" s="72" t="s">
        <v>35</v>
      </c>
      <c r="Y86" s="53" t="s">
        <v>35</v>
      </c>
      <c r="Z86" s="28">
        <v>45</v>
      </c>
      <c r="AA86" s="53"/>
    </row>
    <row r="87" spans="1:27">
      <c r="A87" s="37">
        <v>83</v>
      </c>
      <c r="B87" s="28" t="s">
        <v>155</v>
      </c>
      <c r="C87" s="28" t="s">
        <v>30</v>
      </c>
      <c r="D87" s="28">
        <v>3</v>
      </c>
      <c r="E87" s="28">
        <v>10</v>
      </c>
      <c r="F87" s="28" t="s">
        <v>152</v>
      </c>
      <c r="G87" s="84" t="s">
        <v>153</v>
      </c>
      <c r="H87" s="28">
        <v>1516</v>
      </c>
      <c r="I87" s="85">
        <v>0.14</v>
      </c>
      <c r="J87" s="86">
        <v>0.15</v>
      </c>
      <c r="K87" s="86">
        <v>1.1</v>
      </c>
      <c r="L87" s="85">
        <v>0.015</v>
      </c>
      <c r="M87" s="85">
        <v>0.01</v>
      </c>
      <c r="N87" s="85"/>
      <c r="O87" s="85">
        <v>0.012</v>
      </c>
      <c r="P87" s="85">
        <v>0.04</v>
      </c>
      <c r="Q87" s="85">
        <v>0.02</v>
      </c>
      <c r="R87" s="85" t="s">
        <v>35</v>
      </c>
      <c r="S87" s="72"/>
      <c r="T87" s="86"/>
      <c r="U87" s="86"/>
      <c r="V87" s="86"/>
      <c r="W87" s="86"/>
      <c r="X87" s="72" t="s">
        <v>35</v>
      </c>
      <c r="Y87" s="53" t="s">
        <v>35</v>
      </c>
      <c r="Z87" s="28">
        <v>45</v>
      </c>
      <c r="AA87" s="53"/>
    </row>
    <row r="88" spans="1:27">
      <c r="A88" s="37">
        <v>84</v>
      </c>
      <c r="B88" s="28" t="s">
        <v>155</v>
      </c>
      <c r="C88" s="28" t="s">
        <v>33</v>
      </c>
      <c r="D88" s="28">
        <v>10.01</v>
      </c>
      <c r="E88" s="28">
        <v>25</v>
      </c>
      <c r="F88" s="28" t="s">
        <v>154</v>
      </c>
      <c r="G88" s="84" t="s">
        <v>153</v>
      </c>
      <c r="H88" s="28">
        <v>1516</v>
      </c>
      <c r="I88" s="85">
        <v>0.14</v>
      </c>
      <c r="J88" s="86">
        <v>0.15</v>
      </c>
      <c r="K88" s="86">
        <v>1.2</v>
      </c>
      <c r="L88" s="85">
        <v>0.015</v>
      </c>
      <c r="M88" s="85">
        <v>0.01</v>
      </c>
      <c r="N88" s="85"/>
      <c r="O88" s="85">
        <v>0.012</v>
      </c>
      <c r="P88" s="85">
        <v>0.04</v>
      </c>
      <c r="Q88" s="85">
        <v>0.02</v>
      </c>
      <c r="R88" s="85" t="s">
        <v>35</v>
      </c>
      <c r="S88" s="72"/>
      <c r="T88" s="86"/>
      <c r="U88" s="86"/>
      <c r="V88" s="86"/>
      <c r="W88" s="86"/>
      <c r="X88" s="72" t="s">
        <v>35</v>
      </c>
      <c r="Y88" s="53" t="s">
        <v>35</v>
      </c>
      <c r="Z88" s="28">
        <v>45</v>
      </c>
      <c r="AA88" s="53"/>
    </row>
    <row r="89" spans="1:27">
      <c r="A89" s="37">
        <v>85</v>
      </c>
      <c r="B89" s="28" t="s">
        <v>156</v>
      </c>
      <c r="C89" s="28" t="s">
        <v>30</v>
      </c>
      <c r="D89" s="28">
        <v>3</v>
      </c>
      <c r="E89" s="28">
        <v>10</v>
      </c>
      <c r="F89" s="28" t="s">
        <v>152</v>
      </c>
      <c r="G89" s="84" t="s">
        <v>153</v>
      </c>
      <c r="H89" s="28">
        <v>1516</v>
      </c>
      <c r="I89" s="85">
        <v>0.14</v>
      </c>
      <c r="J89" s="86">
        <v>0.15</v>
      </c>
      <c r="K89" s="86">
        <v>1.1</v>
      </c>
      <c r="L89" s="85">
        <v>0.015</v>
      </c>
      <c r="M89" s="85">
        <v>0.01</v>
      </c>
      <c r="N89" s="85"/>
      <c r="O89" s="85">
        <v>0.012</v>
      </c>
      <c r="P89" s="85">
        <v>0.04</v>
      </c>
      <c r="Q89" s="85">
        <v>0.02</v>
      </c>
      <c r="R89" s="85" t="s">
        <v>35</v>
      </c>
      <c r="S89" s="72"/>
      <c r="T89" s="86"/>
      <c r="U89" s="86"/>
      <c r="V89" s="86"/>
      <c r="W89" s="86"/>
      <c r="X89" s="72" t="s">
        <v>35</v>
      </c>
      <c r="Y89" s="53" t="s">
        <v>35</v>
      </c>
      <c r="Z89" s="28">
        <v>45</v>
      </c>
      <c r="AA89" s="53"/>
    </row>
    <row r="90" spans="1:27">
      <c r="A90" s="37">
        <v>86</v>
      </c>
      <c r="B90" s="28" t="s">
        <v>156</v>
      </c>
      <c r="C90" s="28" t="s">
        <v>33</v>
      </c>
      <c r="D90" s="28">
        <v>10.01</v>
      </c>
      <c r="E90" s="28">
        <v>25</v>
      </c>
      <c r="F90" s="28" t="s">
        <v>154</v>
      </c>
      <c r="G90" s="84" t="s">
        <v>153</v>
      </c>
      <c r="H90" s="28">
        <v>1516</v>
      </c>
      <c r="I90" s="85">
        <v>0.14</v>
      </c>
      <c r="J90" s="86">
        <v>0.15</v>
      </c>
      <c r="K90" s="86">
        <v>1.2</v>
      </c>
      <c r="L90" s="85">
        <v>0.015</v>
      </c>
      <c r="M90" s="85">
        <v>0.01</v>
      </c>
      <c r="N90" s="85"/>
      <c r="O90" s="85">
        <v>0.012</v>
      </c>
      <c r="P90" s="85">
        <v>0.04</v>
      </c>
      <c r="Q90" s="85">
        <v>0.02</v>
      </c>
      <c r="R90" s="85" t="s">
        <v>35</v>
      </c>
      <c r="S90" s="72"/>
      <c r="T90" s="86"/>
      <c r="U90" s="86"/>
      <c r="V90" s="86"/>
      <c r="W90" s="86"/>
      <c r="X90" s="72" t="s">
        <v>35</v>
      </c>
      <c r="Y90" s="53" t="s">
        <v>35</v>
      </c>
      <c r="Z90" s="28">
        <v>45</v>
      </c>
      <c r="AA90" s="53"/>
    </row>
    <row r="91" spans="1:27">
      <c r="A91" s="37">
        <v>87</v>
      </c>
      <c r="B91" s="28" t="s">
        <v>157</v>
      </c>
      <c r="C91" s="28" t="s">
        <v>30</v>
      </c>
      <c r="D91" s="28">
        <v>3</v>
      </c>
      <c r="E91" s="28">
        <v>10</v>
      </c>
      <c r="F91" s="28" t="s">
        <v>152</v>
      </c>
      <c r="G91" s="84" t="s">
        <v>153</v>
      </c>
      <c r="H91" s="28">
        <v>1516</v>
      </c>
      <c r="I91" s="85">
        <v>0.14</v>
      </c>
      <c r="J91" s="86">
        <v>0.15</v>
      </c>
      <c r="K91" s="86">
        <v>1.1</v>
      </c>
      <c r="L91" s="85">
        <v>0.015</v>
      </c>
      <c r="M91" s="85">
        <v>0.01</v>
      </c>
      <c r="N91" s="85"/>
      <c r="O91" s="85">
        <v>0.012</v>
      </c>
      <c r="P91" s="85">
        <v>0.04</v>
      </c>
      <c r="Q91" s="85">
        <v>0.02</v>
      </c>
      <c r="R91" s="85" t="s">
        <v>35</v>
      </c>
      <c r="S91" s="72"/>
      <c r="T91" s="86"/>
      <c r="U91" s="86"/>
      <c r="V91" s="86"/>
      <c r="W91" s="86"/>
      <c r="X91" s="72" t="s">
        <v>35</v>
      </c>
      <c r="Y91" s="53" t="s">
        <v>35</v>
      </c>
      <c r="Z91" s="28">
        <v>45</v>
      </c>
      <c r="AA91" s="53"/>
    </row>
    <row r="92" spans="1:27">
      <c r="A92" s="37">
        <v>88</v>
      </c>
      <c r="B92" s="28" t="s">
        <v>157</v>
      </c>
      <c r="C92" s="28" t="s">
        <v>33</v>
      </c>
      <c r="D92" s="28">
        <v>10.01</v>
      </c>
      <c r="E92" s="28">
        <v>25</v>
      </c>
      <c r="F92" s="28" t="s">
        <v>154</v>
      </c>
      <c r="G92" s="84" t="s">
        <v>153</v>
      </c>
      <c r="H92" s="28">
        <v>1516</v>
      </c>
      <c r="I92" s="85">
        <v>0.14</v>
      </c>
      <c r="J92" s="86">
        <v>0.15</v>
      </c>
      <c r="K92" s="86">
        <v>1.2</v>
      </c>
      <c r="L92" s="85">
        <v>0.015</v>
      </c>
      <c r="M92" s="85">
        <v>0.01</v>
      </c>
      <c r="N92" s="85"/>
      <c r="O92" s="85">
        <v>0.012</v>
      </c>
      <c r="P92" s="85">
        <v>0.04</v>
      </c>
      <c r="Q92" s="85">
        <v>0.02</v>
      </c>
      <c r="R92" s="85" t="s">
        <v>35</v>
      </c>
      <c r="S92" s="72"/>
      <c r="T92" s="86"/>
      <c r="U92" s="86"/>
      <c r="V92" s="86"/>
      <c r="W92" s="86"/>
      <c r="X92" s="72" t="s">
        <v>35</v>
      </c>
      <c r="Y92" s="53" t="s">
        <v>35</v>
      </c>
      <c r="Z92" s="28">
        <v>45</v>
      </c>
      <c r="AA92" s="53"/>
    </row>
    <row r="93" spans="1:27">
      <c r="A93" s="37">
        <v>89</v>
      </c>
      <c r="B93" s="28" t="s">
        <v>158</v>
      </c>
      <c r="C93" s="28" t="s">
        <v>30</v>
      </c>
      <c r="D93" s="28">
        <v>3</v>
      </c>
      <c r="E93" s="28">
        <v>10</v>
      </c>
      <c r="F93" s="28" t="s">
        <v>159</v>
      </c>
      <c r="G93" s="84" t="s">
        <v>160</v>
      </c>
      <c r="H93" s="28">
        <v>1516</v>
      </c>
      <c r="I93" s="85">
        <v>0.14</v>
      </c>
      <c r="J93" s="86">
        <v>0.15</v>
      </c>
      <c r="K93" s="86">
        <v>1.1</v>
      </c>
      <c r="L93" s="85">
        <v>0.015</v>
      </c>
      <c r="M93" s="85">
        <v>0.006</v>
      </c>
      <c r="N93" s="85"/>
      <c r="O93" s="85">
        <v>0.02</v>
      </c>
      <c r="P93" s="85">
        <v>0.035</v>
      </c>
      <c r="Q93" s="85">
        <v>0.02</v>
      </c>
      <c r="R93" s="85" t="s">
        <v>35</v>
      </c>
      <c r="S93" s="72"/>
      <c r="T93" s="86"/>
      <c r="U93" s="86"/>
      <c r="V93" s="86"/>
      <c r="W93" s="86"/>
      <c r="X93" s="72" t="s">
        <v>35</v>
      </c>
      <c r="Y93" s="53" t="s">
        <v>35</v>
      </c>
      <c r="Z93" s="28">
        <v>45</v>
      </c>
      <c r="AA93" s="53"/>
    </row>
    <row r="94" spans="1:27">
      <c r="A94" s="37">
        <v>90</v>
      </c>
      <c r="B94" s="28" t="s">
        <v>158</v>
      </c>
      <c r="C94" s="28" t="s">
        <v>33</v>
      </c>
      <c r="D94" s="28">
        <v>10.01</v>
      </c>
      <c r="E94" s="28">
        <v>24</v>
      </c>
      <c r="F94" s="28" t="s">
        <v>161</v>
      </c>
      <c r="G94" s="84" t="s">
        <v>160</v>
      </c>
      <c r="H94" s="28">
        <v>1516</v>
      </c>
      <c r="I94" s="85">
        <v>0.14</v>
      </c>
      <c r="J94" s="86">
        <v>0.15</v>
      </c>
      <c r="K94" s="86">
        <v>1.2</v>
      </c>
      <c r="L94" s="85">
        <v>0.015</v>
      </c>
      <c r="M94" s="85">
        <v>0.005</v>
      </c>
      <c r="N94" s="85"/>
      <c r="O94" s="85">
        <v>0.02</v>
      </c>
      <c r="P94" s="85">
        <v>0.035</v>
      </c>
      <c r="Q94" s="85">
        <v>0.02</v>
      </c>
      <c r="R94" s="85" t="s">
        <v>35</v>
      </c>
      <c r="S94" s="72"/>
      <c r="T94" s="86"/>
      <c r="U94" s="86"/>
      <c r="V94" s="86"/>
      <c r="W94" s="86"/>
      <c r="X94" s="72" t="s">
        <v>35</v>
      </c>
      <c r="Y94" s="53" t="s">
        <v>35</v>
      </c>
      <c r="Z94" s="28">
        <v>45</v>
      </c>
      <c r="AA94" s="53"/>
    </row>
    <row r="95" spans="1:27">
      <c r="A95" s="37">
        <v>91</v>
      </c>
      <c r="B95" s="28" t="s">
        <v>162</v>
      </c>
      <c r="C95" s="28" t="s">
        <v>30</v>
      </c>
      <c r="D95" s="28">
        <v>3</v>
      </c>
      <c r="E95" s="28">
        <v>10</v>
      </c>
      <c r="F95" s="28" t="s">
        <v>163</v>
      </c>
      <c r="G95" s="84" t="s">
        <v>164</v>
      </c>
      <c r="H95" s="28">
        <v>1516</v>
      </c>
      <c r="I95" s="85">
        <v>0.14</v>
      </c>
      <c r="J95" s="86">
        <v>0.15</v>
      </c>
      <c r="K95" s="86">
        <v>1.1</v>
      </c>
      <c r="L95" s="85">
        <v>0.012</v>
      </c>
      <c r="M95" s="85">
        <v>0.005</v>
      </c>
      <c r="N95" s="85"/>
      <c r="O95" s="85">
        <v>0.02</v>
      </c>
      <c r="P95" s="85">
        <v>0.035</v>
      </c>
      <c r="Q95" s="85">
        <v>0.02</v>
      </c>
      <c r="R95" s="85" t="s">
        <v>35</v>
      </c>
      <c r="S95" s="72"/>
      <c r="T95" s="86"/>
      <c r="U95" s="86"/>
      <c r="V95" s="86"/>
      <c r="W95" s="86"/>
      <c r="X95" s="72" t="s">
        <v>35</v>
      </c>
      <c r="Y95" s="53" t="s">
        <v>35</v>
      </c>
      <c r="Z95" s="28">
        <v>45</v>
      </c>
      <c r="AA95" s="53"/>
    </row>
    <row r="96" spans="1:27">
      <c r="A96" s="37">
        <v>92</v>
      </c>
      <c r="B96" s="28" t="s">
        <v>162</v>
      </c>
      <c r="C96" s="28" t="s">
        <v>33</v>
      </c>
      <c r="D96" s="28">
        <v>10.01</v>
      </c>
      <c r="E96" s="28">
        <v>25</v>
      </c>
      <c r="F96" s="28" t="s">
        <v>165</v>
      </c>
      <c r="G96" s="84" t="s">
        <v>164</v>
      </c>
      <c r="H96" s="28">
        <v>1516</v>
      </c>
      <c r="I96" s="85">
        <v>0.14</v>
      </c>
      <c r="J96" s="86">
        <v>0.15</v>
      </c>
      <c r="K96" s="86">
        <v>1.2</v>
      </c>
      <c r="L96" s="85">
        <v>0.012</v>
      </c>
      <c r="M96" s="85">
        <v>0.005</v>
      </c>
      <c r="N96" s="85"/>
      <c r="O96" s="85">
        <v>0.02</v>
      </c>
      <c r="P96" s="85">
        <v>0.035</v>
      </c>
      <c r="Q96" s="85">
        <v>0.02</v>
      </c>
      <c r="R96" s="85" t="s">
        <v>35</v>
      </c>
      <c r="S96" s="72"/>
      <c r="T96" s="86"/>
      <c r="U96" s="86"/>
      <c r="V96" s="86"/>
      <c r="W96" s="86"/>
      <c r="X96" s="72" t="s">
        <v>35</v>
      </c>
      <c r="Y96" s="53" t="s">
        <v>35</v>
      </c>
      <c r="Z96" s="28">
        <v>45</v>
      </c>
      <c r="AA96" s="53"/>
    </row>
    <row r="97" spans="1:27">
      <c r="A97" s="37">
        <v>93</v>
      </c>
      <c r="B97" s="28" t="s">
        <v>166</v>
      </c>
      <c r="C97" s="28" t="s">
        <v>30</v>
      </c>
      <c r="D97" s="28">
        <v>3</v>
      </c>
      <c r="E97" s="28">
        <v>10</v>
      </c>
      <c r="F97" s="28" t="s">
        <v>163</v>
      </c>
      <c r="G97" s="84" t="s">
        <v>164</v>
      </c>
      <c r="H97" s="28">
        <v>1516</v>
      </c>
      <c r="I97" s="85">
        <v>0.14</v>
      </c>
      <c r="J97" s="86">
        <v>0.15</v>
      </c>
      <c r="K97" s="86">
        <v>1.1</v>
      </c>
      <c r="L97" s="85">
        <v>0.012</v>
      </c>
      <c r="M97" s="85">
        <v>0.005</v>
      </c>
      <c r="N97" s="85"/>
      <c r="O97" s="85">
        <v>0.02</v>
      </c>
      <c r="P97" s="85">
        <v>0.035</v>
      </c>
      <c r="Q97" s="85">
        <v>0.02</v>
      </c>
      <c r="R97" s="85" t="s">
        <v>35</v>
      </c>
      <c r="S97" s="72"/>
      <c r="T97" s="86"/>
      <c r="U97" s="86"/>
      <c r="V97" s="86"/>
      <c r="W97" s="86"/>
      <c r="X97" s="72" t="s">
        <v>35</v>
      </c>
      <c r="Y97" s="53" t="s">
        <v>35</v>
      </c>
      <c r="Z97" s="28">
        <v>45</v>
      </c>
      <c r="AA97" s="53"/>
    </row>
    <row r="98" spans="1:27">
      <c r="A98" s="37">
        <v>94</v>
      </c>
      <c r="B98" s="28" t="s">
        <v>166</v>
      </c>
      <c r="C98" s="28" t="s">
        <v>33</v>
      </c>
      <c r="D98" s="28">
        <v>10.01</v>
      </c>
      <c r="E98" s="28">
        <v>25</v>
      </c>
      <c r="F98" s="28" t="s">
        <v>165</v>
      </c>
      <c r="G98" s="84" t="s">
        <v>164</v>
      </c>
      <c r="H98" s="28">
        <v>1516</v>
      </c>
      <c r="I98" s="85">
        <v>0.14</v>
      </c>
      <c r="J98" s="86">
        <v>0.15</v>
      </c>
      <c r="K98" s="86">
        <v>1.2</v>
      </c>
      <c r="L98" s="85">
        <v>0.012</v>
      </c>
      <c r="M98" s="85">
        <v>0.005</v>
      </c>
      <c r="N98" s="85"/>
      <c r="O98" s="85">
        <v>0.02</v>
      </c>
      <c r="P98" s="85">
        <v>0.035</v>
      </c>
      <c r="Q98" s="85">
        <v>0.02</v>
      </c>
      <c r="R98" s="85" t="s">
        <v>35</v>
      </c>
      <c r="S98" s="72"/>
      <c r="T98" s="86"/>
      <c r="U98" s="86"/>
      <c r="V98" s="86"/>
      <c r="W98" s="86"/>
      <c r="X98" s="72" t="s">
        <v>35</v>
      </c>
      <c r="Y98" s="53" t="s">
        <v>35</v>
      </c>
      <c r="Z98" s="28">
        <v>45</v>
      </c>
      <c r="AA98" s="53"/>
    </row>
    <row r="99" spans="1:27">
      <c r="A99" s="37">
        <v>95</v>
      </c>
      <c r="B99" s="28" t="s">
        <v>167</v>
      </c>
      <c r="C99" s="28" t="s">
        <v>30</v>
      </c>
      <c r="D99" s="28">
        <v>3</v>
      </c>
      <c r="E99" s="28">
        <v>10</v>
      </c>
      <c r="F99" s="28" t="s">
        <v>163</v>
      </c>
      <c r="G99" s="84" t="s">
        <v>164</v>
      </c>
      <c r="H99" s="28">
        <v>1516</v>
      </c>
      <c r="I99" s="85">
        <v>0.14</v>
      </c>
      <c r="J99" s="86">
        <v>0.15</v>
      </c>
      <c r="K99" s="86">
        <v>1.1</v>
      </c>
      <c r="L99" s="85">
        <v>0.012</v>
      </c>
      <c r="M99" s="85">
        <v>0.005</v>
      </c>
      <c r="N99" s="85"/>
      <c r="O99" s="85">
        <v>0.02</v>
      </c>
      <c r="P99" s="85">
        <v>0.035</v>
      </c>
      <c r="Q99" s="85">
        <v>0.02</v>
      </c>
      <c r="R99" s="85" t="s">
        <v>35</v>
      </c>
      <c r="S99" s="72"/>
      <c r="T99" s="86"/>
      <c r="U99" s="86"/>
      <c r="V99" s="86"/>
      <c r="W99" s="86"/>
      <c r="X99" s="72" t="s">
        <v>35</v>
      </c>
      <c r="Y99" s="53" t="s">
        <v>35</v>
      </c>
      <c r="Z99" s="28">
        <v>45</v>
      </c>
      <c r="AA99" s="53"/>
    </row>
    <row r="100" spans="1:27">
      <c r="A100" s="37">
        <v>96</v>
      </c>
      <c r="B100" s="28" t="s">
        <v>167</v>
      </c>
      <c r="C100" s="28" t="s">
        <v>33</v>
      </c>
      <c r="D100" s="28">
        <v>10.01</v>
      </c>
      <c r="E100" s="28">
        <v>25</v>
      </c>
      <c r="F100" s="28" t="s">
        <v>165</v>
      </c>
      <c r="G100" s="84" t="s">
        <v>164</v>
      </c>
      <c r="H100" s="28">
        <v>1516</v>
      </c>
      <c r="I100" s="85">
        <v>0.14</v>
      </c>
      <c r="J100" s="86">
        <v>0.15</v>
      </c>
      <c r="K100" s="86">
        <v>1.2</v>
      </c>
      <c r="L100" s="85">
        <v>0.012</v>
      </c>
      <c r="M100" s="85">
        <v>0.005</v>
      </c>
      <c r="N100" s="85"/>
      <c r="O100" s="85">
        <v>0.02</v>
      </c>
      <c r="P100" s="85">
        <v>0.035</v>
      </c>
      <c r="Q100" s="85">
        <v>0.02</v>
      </c>
      <c r="R100" s="85" t="s">
        <v>35</v>
      </c>
      <c r="S100" s="72"/>
      <c r="T100" s="86"/>
      <c r="U100" s="86"/>
      <c r="V100" s="86"/>
      <c r="W100" s="86"/>
      <c r="X100" s="72" t="s">
        <v>35</v>
      </c>
      <c r="Y100" s="53" t="s">
        <v>35</v>
      </c>
      <c r="Z100" s="28">
        <v>45</v>
      </c>
      <c r="AA100" s="53"/>
    </row>
    <row r="101" spans="1:27">
      <c r="A101" s="37">
        <v>97</v>
      </c>
      <c r="B101" s="28" t="s">
        <v>168</v>
      </c>
      <c r="C101" s="28" t="s">
        <v>30</v>
      </c>
      <c r="D101" s="28">
        <v>3</v>
      </c>
      <c r="E101" s="28">
        <v>10.49</v>
      </c>
      <c r="F101" s="28" t="s">
        <v>169</v>
      </c>
      <c r="G101" s="84" t="s">
        <v>170</v>
      </c>
      <c r="H101" s="28">
        <v>1516</v>
      </c>
      <c r="I101" s="85">
        <v>0.13</v>
      </c>
      <c r="J101" s="86">
        <v>0.15</v>
      </c>
      <c r="K101" s="86">
        <v>1.35</v>
      </c>
      <c r="L101" s="85">
        <v>0.01</v>
      </c>
      <c r="M101" s="85">
        <v>0.004</v>
      </c>
      <c r="N101" s="85"/>
      <c r="O101" s="85">
        <v>0.025</v>
      </c>
      <c r="P101" s="85">
        <v>0.015</v>
      </c>
      <c r="Q101" s="85">
        <v>0.02</v>
      </c>
      <c r="R101" s="85" t="s">
        <v>35</v>
      </c>
      <c r="S101" s="72"/>
      <c r="T101" s="86"/>
      <c r="U101" s="86"/>
      <c r="V101" s="86"/>
      <c r="W101" s="86"/>
      <c r="X101" s="72" t="s">
        <v>35</v>
      </c>
      <c r="Y101" s="53" t="s">
        <v>35</v>
      </c>
      <c r="Z101" s="28">
        <v>45</v>
      </c>
      <c r="AA101" s="53"/>
    </row>
    <row r="102" spans="1:27">
      <c r="A102" s="37">
        <v>98</v>
      </c>
      <c r="B102" s="28" t="s">
        <v>168</v>
      </c>
      <c r="C102" s="28" t="s">
        <v>33</v>
      </c>
      <c r="D102" s="28">
        <v>10.5</v>
      </c>
      <c r="E102" s="28">
        <v>20</v>
      </c>
      <c r="F102" s="28" t="s">
        <v>171</v>
      </c>
      <c r="G102" s="84" t="s">
        <v>170</v>
      </c>
      <c r="H102" s="28">
        <v>1516</v>
      </c>
      <c r="I102" s="85">
        <v>0.13</v>
      </c>
      <c r="J102" s="86">
        <v>0.15</v>
      </c>
      <c r="K102" s="86">
        <v>1.45</v>
      </c>
      <c r="L102" s="85">
        <v>0.01</v>
      </c>
      <c r="M102" s="85">
        <v>0.004</v>
      </c>
      <c r="N102" s="85"/>
      <c r="O102" s="85">
        <v>0.03</v>
      </c>
      <c r="P102" s="85">
        <v>0.015</v>
      </c>
      <c r="Q102" s="85">
        <v>0.02</v>
      </c>
      <c r="R102" s="85" t="s">
        <v>35</v>
      </c>
      <c r="S102" s="72"/>
      <c r="T102" s="86"/>
      <c r="U102" s="86"/>
      <c r="V102" s="86"/>
      <c r="W102" s="86"/>
      <c r="X102" s="72" t="s">
        <v>35</v>
      </c>
      <c r="Y102" s="53" t="s">
        <v>35</v>
      </c>
      <c r="Z102" s="28">
        <v>45</v>
      </c>
      <c r="AA102" s="53"/>
    </row>
    <row r="103" spans="1:27">
      <c r="A103" s="37">
        <v>99</v>
      </c>
      <c r="B103" s="28" t="s">
        <v>172</v>
      </c>
      <c r="C103" s="28" t="s">
        <v>30</v>
      </c>
      <c r="D103" s="28">
        <v>3</v>
      </c>
      <c r="E103" s="28">
        <v>10.3</v>
      </c>
      <c r="F103" s="28" t="s">
        <v>173</v>
      </c>
      <c r="G103" s="84" t="s">
        <v>174</v>
      </c>
      <c r="H103" s="28">
        <v>1520</v>
      </c>
      <c r="I103" s="85">
        <v>0.07</v>
      </c>
      <c r="J103" s="86">
        <v>0.16</v>
      </c>
      <c r="K103" s="86">
        <v>1.15</v>
      </c>
      <c r="L103" s="85">
        <v>0.018</v>
      </c>
      <c r="M103" s="85">
        <v>0.005</v>
      </c>
      <c r="N103" s="85"/>
      <c r="O103" s="85">
        <v>0.015</v>
      </c>
      <c r="P103" s="85">
        <v>0.05</v>
      </c>
      <c r="Q103" s="85">
        <v>0.025</v>
      </c>
      <c r="R103" s="85" t="s">
        <v>35</v>
      </c>
      <c r="S103" s="72"/>
      <c r="T103" s="86"/>
      <c r="U103" s="86"/>
      <c r="V103" s="86"/>
      <c r="W103" s="86"/>
      <c r="X103" s="72" t="s">
        <v>35</v>
      </c>
      <c r="Y103" s="53" t="s">
        <v>35</v>
      </c>
      <c r="Z103" s="28">
        <v>50</v>
      </c>
      <c r="AA103" s="53"/>
    </row>
    <row r="104" spans="1:27">
      <c r="A104" s="37">
        <v>100</v>
      </c>
      <c r="B104" s="28" t="s">
        <v>172</v>
      </c>
      <c r="C104" s="28" t="s">
        <v>33</v>
      </c>
      <c r="D104" s="28">
        <v>10.31</v>
      </c>
      <c r="E104" s="28">
        <v>16.5</v>
      </c>
      <c r="F104" s="28" t="s">
        <v>175</v>
      </c>
      <c r="G104" s="84" t="s">
        <v>174</v>
      </c>
      <c r="H104" s="28">
        <v>1520</v>
      </c>
      <c r="I104" s="85">
        <v>0.07</v>
      </c>
      <c r="J104" s="86">
        <v>0.16</v>
      </c>
      <c r="K104" s="86">
        <v>1.15</v>
      </c>
      <c r="L104" s="85">
        <v>0.018</v>
      </c>
      <c r="M104" s="85">
        <v>0.005</v>
      </c>
      <c r="N104" s="85"/>
      <c r="O104" s="85">
        <v>0.02</v>
      </c>
      <c r="P104" s="85">
        <v>0.055</v>
      </c>
      <c r="Q104" s="85">
        <v>0.025</v>
      </c>
      <c r="R104" s="85" t="s">
        <v>35</v>
      </c>
      <c r="S104" s="72"/>
      <c r="T104" s="86"/>
      <c r="U104" s="86"/>
      <c r="V104" s="86"/>
      <c r="W104" s="86"/>
      <c r="X104" s="72" t="s">
        <v>35</v>
      </c>
      <c r="Y104" s="53" t="s">
        <v>35</v>
      </c>
      <c r="Z104" s="28">
        <v>50</v>
      </c>
      <c r="AA104" s="53"/>
    </row>
    <row r="105" spans="1:27">
      <c r="A105" s="37">
        <v>101</v>
      </c>
      <c r="B105" s="28" t="s">
        <v>176</v>
      </c>
      <c r="C105" s="28" t="s">
        <v>30</v>
      </c>
      <c r="D105" s="28">
        <v>1.5</v>
      </c>
      <c r="E105" s="28">
        <v>10.3</v>
      </c>
      <c r="F105" s="28" t="s">
        <v>177</v>
      </c>
      <c r="G105" s="84" t="s">
        <v>178</v>
      </c>
      <c r="H105" s="28">
        <v>1520</v>
      </c>
      <c r="I105" s="85">
        <v>0.07</v>
      </c>
      <c r="J105" s="86">
        <v>0.16</v>
      </c>
      <c r="K105" s="86">
        <v>1.15</v>
      </c>
      <c r="L105" s="85">
        <v>0.018</v>
      </c>
      <c r="M105" s="85">
        <v>0.005</v>
      </c>
      <c r="N105" s="85"/>
      <c r="O105" s="85">
        <v>0.015</v>
      </c>
      <c r="P105" s="85">
        <v>0.05</v>
      </c>
      <c r="Q105" s="85">
        <v>0.025</v>
      </c>
      <c r="R105" s="85" t="s">
        <v>35</v>
      </c>
      <c r="S105" s="72"/>
      <c r="T105" s="86"/>
      <c r="U105" s="86"/>
      <c r="V105" s="86"/>
      <c r="W105" s="86"/>
      <c r="X105" s="72" t="s">
        <v>35</v>
      </c>
      <c r="Y105" s="53" t="s">
        <v>35</v>
      </c>
      <c r="Z105" s="28">
        <v>50</v>
      </c>
      <c r="AA105" s="53"/>
    </row>
    <row r="106" spans="1:27">
      <c r="A106" s="37">
        <v>102</v>
      </c>
      <c r="B106" s="28" t="s">
        <v>176</v>
      </c>
      <c r="C106" s="28" t="s">
        <v>33</v>
      </c>
      <c r="D106" s="28">
        <v>10.31</v>
      </c>
      <c r="E106" s="28">
        <v>16.5</v>
      </c>
      <c r="F106" s="28" t="s">
        <v>179</v>
      </c>
      <c r="G106" s="84" t="s">
        <v>178</v>
      </c>
      <c r="H106" s="28">
        <v>1520</v>
      </c>
      <c r="I106" s="85">
        <v>0.07</v>
      </c>
      <c r="J106" s="86">
        <v>0.16</v>
      </c>
      <c r="K106" s="86">
        <v>1.15</v>
      </c>
      <c r="L106" s="85">
        <v>0.018</v>
      </c>
      <c r="M106" s="85">
        <v>0.005</v>
      </c>
      <c r="N106" s="85"/>
      <c r="O106" s="85">
        <v>0.02</v>
      </c>
      <c r="P106" s="85">
        <v>0.055</v>
      </c>
      <c r="Q106" s="85">
        <v>0.025</v>
      </c>
      <c r="R106" s="85" t="s">
        <v>35</v>
      </c>
      <c r="S106" s="72"/>
      <c r="T106" s="86"/>
      <c r="U106" s="86"/>
      <c r="V106" s="86"/>
      <c r="W106" s="86"/>
      <c r="X106" s="72" t="s">
        <v>35</v>
      </c>
      <c r="Y106" s="53" t="s">
        <v>35</v>
      </c>
      <c r="Z106" s="28">
        <v>50</v>
      </c>
      <c r="AA106" s="53"/>
    </row>
    <row r="107" spans="1:27">
      <c r="A107" s="37">
        <v>103</v>
      </c>
      <c r="B107" s="28" t="s">
        <v>180</v>
      </c>
      <c r="C107" s="28" t="s">
        <v>30</v>
      </c>
      <c r="D107" s="28">
        <v>16.01</v>
      </c>
      <c r="E107" s="28">
        <v>25.4</v>
      </c>
      <c r="F107" s="28" t="s">
        <v>181</v>
      </c>
      <c r="G107" s="28" t="s">
        <v>182</v>
      </c>
      <c r="H107" s="28">
        <v>1520</v>
      </c>
      <c r="I107" s="28">
        <v>0.14</v>
      </c>
      <c r="J107" s="28">
        <v>0.16</v>
      </c>
      <c r="K107" s="28">
        <v>1.4</v>
      </c>
      <c r="L107" s="28">
        <v>0.015</v>
      </c>
      <c r="M107" s="28">
        <v>0.005</v>
      </c>
      <c r="N107" s="28"/>
      <c r="O107" s="28">
        <v>0.03</v>
      </c>
      <c r="P107" s="28">
        <v>0.03</v>
      </c>
      <c r="Q107" s="28" t="s">
        <v>35</v>
      </c>
      <c r="R107" s="28">
        <v>0.025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/>
      <c r="Y107" s="28" t="s">
        <v>35</v>
      </c>
      <c r="Z107" s="28">
        <v>40</v>
      </c>
      <c r="AA107" s="53"/>
    </row>
    <row r="108" spans="1:27">
      <c r="A108" s="37">
        <v>104</v>
      </c>
      <c r="B108" s="28" t="s">
        <v>183</v>
      </c>
      <c r="C108" s="28" t="s">
        <v>30</v>
      </c>
      <c r="D108" s="28">
        <v>3</v>
      </c>
      <c r="E108" s="28">
        <v>10.3</v>
      </c>
      <c r="F108" s="28" t="s">
        <v>184</v>
      </c>
      <c r="G108" s="84" t="s">
        <v>185</v>
      </c>
      <c r="H108" s="28">
        <v>1520</v>
      </c>
      <c r="I108" s="85">
        <v>0.07</v>
      </c>
      <c r="J108" s="86">
        <v>0.16</v>
      </c>
      <c r="K108" s="86">
        <v>1.3</v>
      </c>
      <c r="L108" s="85">
        <v>0.018</v>
      </c>
      <c r="M108" s="85">
        <v>0.003</v>
      </c>
      <c r="N108" s="85"/>
      <c r="O108" s="85">
        <v>0.015</v>
      </c>
      <c r="P108" s="85">
        <v>0.055</v>
      </c>
      <c r="Q108" s="85">
        <v>0.025</v>
      </c>
      <c r="R108" s="85" t="s">
        <v>35</v>
      </c>
      <c r="S108" s="72"/>
      <c r="T108" s="86"/>
      <c r="U108" s="86"/>
      <c r="V108" s="86"/>
      <c r="W108" s="86"/>
      <c r="X108" s="72" t="s">
        <v>35</v>
      </c>
      <c r="Y108" s="53" t="s">
        <v>35</v>
      </c>
      <c r="Z108" s="28">
        <v>50</v>
      </c>
      <c r="AA108" s="53"/>
    </row>
    <row r="109" spans="1:27">
      <c r="A109" s="37">
        <v>105</v>
      </c>
      <c r="B109" s="28" t="s">
        <v>183</v>
      </c>
      <c r="C109" s="28" t="s">
        <v>33</v>
      </c>
      <c r="D109" s="28">
        <v>10.31</v>
      </c>
      <c r="E109" s="28">
        <v>16.5</v>
      </c>
      <c r="F109" s="28" t="s">
        <v>186</v>
      </c>
      <c r="G109" s="84" t="s">
        <v>185</v>
      </c>
      <c r="H109" s="28">
        <v>1520</v>
      </c>
      <c r="I109" s="85">
        <v>0.07</v>
      </c>
      <c r="J109" s="86">
        <v>0.16</v>
      </c>
      <c r="K109" s="86">
        <v>1.35</v>
      </c>
      <c r="L109" s="85">
        <v>0.018</v>
      </c>
      <c r="M109" s="85">
        <v>0.003</v>
      </c>
      <c r="N109" s="85"/>
      <c r="O109" s="85">
        <v>0.015</v>
      </c>
      <c r="P109" s="85">
        <v>0.065</v>
      </c>
      <c r="Q109" s="85">
        <v>0.025</v>
      </c>
      <c r="R109" s="85" t="s">
        <v>35</v>
      </c>
      <c r="S109" s="72"/>
      <c r="T109" s="86"/>
      <c r="U109" s="86"/>
      <c r="V109" s="86"/>
      <c r="W109" s="86"/>
      <c r="X109" s="72" t="s">
        <v>35</v>
      </c>
      <c r="Y109" s="53" t="s">
        <v>35</v>
      </c>
      <c r="Z109" s="28"/>
      <c r="AA109" s="53"/>
    </row>
    <row r="110" spans="1:27">
      <c r="A110" s="37">
        <v>106</v>
      </c>
      <c r="B110" s="28" t="s">
        <v>187</v>
      </c>
      <c r="C110" s="28" t="s">
        <v>30</v>
      </c>
      <c r="D110" s="28">
        <v>3</v>
      </c>
      <c r="E110" s="28">
        <v>10.3</v>
      </c>
      <c r="F110" s="28" t="s">
        <v>188</v>
      </c>
      <c r="G110" s="84" t="s">
        <v>189</v>
      </c>
      <c r="H110" s="28">
        <v>1521</v>
      </c>
      <c r="I110" s="85">
        <v>0.07</v>
      </c>
      <c r="J110" s="86">
        <v>0.15</v>
      </c>
      <c r="K110" s="86">
        <v>1.4</v>
      </c>
      <c r="L110" s="85">
        <v>0.02</v>
      </c>
      <c r="M110" s="85">
        <v>0.01</v>
      </c>
      <c r="N110" s="85" t="s">
        <v>35</v>
      </c>
      <c r="O110" s="85">
        <v>0.02</v>
      </c>
      <c r="P110" s="85">
        <v>0.055</v>
      </c>
      <c r="Q110" s="85">
        <v>0.025</v>
      </c>
      <c r="R110" s="85" t="s">
        <v>35</v>
      </c>
      <c r="S110" s="72" t="s">
        <v>35</v>
      </c>
      <c r="T110" s="86"/>
      <c r="U110" s="86"/>
      <c r="V110" s="86"/>
      <c r="W110" s="86"/>
      <c r="X110" s="72" t="s">
        <v>35</v>
      </c>
      <c r="Y110" s="53" t="s">
        <v>35</v>
      </c>
      <c r="Z110" s="28"/>
      <c r="AA110" s="53"/>
    </row>
    <row r="111" spans="1:27">
      <c r="A111" s="37">
        <v>107</v>
      </c>
      <c r="B111" s="28" t="s">
        <v>187</v>
      </c>
      <c r="C111" s="28" t="s">
        <v>33</v>
      </c>
      <c r="D111" s="28">
        <v>10.31</v>
      </c>
      <c r="E111" s="28">
        <v>16.5</v>
      </c>
      <c r="F111" s="28" t="s">
        <v>190</v>
      </c>
      <c r="G111" s="84" t="s">
        <v>189</v>
      </c>
      <c r="H111" s="28">
        <v>1521</v>
      </c>
      <c r="I111" s="85">
        <v>0.07</v>
      </c>
      <c r="J111" s="86">
        <v>0.15</v>
      </c>
      <c r="K111" s="86">
        <v>1.5</v>
      </c>
      <c r="L111" s="85">
        <v>0.02</v>
      </c>
      <c r="M111" s="85">
        <v>0.01</v>
      </c>
      <c r="N111" s="85" t="s">
        <v>35</v>
      </c>
      <c r="O111" s="85">
        <v>0.02</v>
      </c>
      <c r="P111" s="85">
        <v>0.055</v>
      </c>
      <c r="Q111" s="85">
        <v>0.025</v>
      </c>
      <c r="R111" s="85" t="s">
        <v>35</v>
      </c>
      <c r="S111" s="72" t="s">
        <v>35</v>
      </c>
      <c r="T111" s="86"/>
      <c r="U111" s="86"/>
      <c r="V111" s="86"/>
      <c r="W111" s="86"/>
      <c r="X111" s="72" t="s">
        <v>35</v>
      </c>
      <c r="Y111" s="53" t="s">
        <v>35</v>
      </c>
      <c r="Z111" s="28"/>
      <c r="AA111" s="53"/>
    </row>
    <row r="112" spans="1:27">
      <c r="A112" s="37">
        <v>108</v>
      </c>
      <c r="B112" s="28" t="s">
        <v>191</v>
      </c>
      <c r="C112" s="28" t="s">
        <v>30</v>
      </c>
      <c r="D112" s="28">
        <v>3</v>
      </c>
      <c r="E112" s="28">
        <v>10.3</v>
      </c>
      <c r="F112" s="28" t="s">
        <v>192</v>
      </c>
      <c r="G112" s="84" t="s">
        <v>193</v>
      </c>
      <c r="H112" s="28">
        <v>1521</v>
      </c>
      <c r="I112" s="85">
        <v>0.07</v>
      </c>
      <c r="J112" s="86">
        <v>0.15</v>
      </c>
      <c r="K112" s="86">
        <v>1.2</v>
      </c>
      <c r="L112" s="85">
        <v>0.015</v>
      </c>
      <c r="M112" s="85">
        <v>0.005</v>
      </c>
      <c r="N112" s="85" t="s">
        <v>35</v>
      </c>
      <c r="O112" s="85">
        <v>0.03</v>
      </c>
      <c r="P112" s="85">
        <v>0.04</v>
      </c>
      <c r="Q112" s="85">
        <v>0.025</v>
      </c>
      <c r="R112" s="85" t="s">
        <v>35</v>
      </c>
      <c r="S112" s="72" t="s">
        <v>35</v>
      </c>
      <c r="T112" s="86"/>
      <c r="U112" s="86"/>
      <c r="V112" s="86"/>
      <c r="W112" s="86"/>
      <c r="X112" s="72" t="s">
        <v>35</v>
      </c>
      <c r="Y112" s="53" t="s">
        <v>35</v>
      </c>
      <c r="Z112" s="28"/>
      <c r="AA112" s="53"/>
    </row>
    <row r="113" spans="1:27">
      <c r="A113" s="37">
        <v>109</v>
      </c>
      <c r="B113" s="28" t="s">
        <v>191</v>
      </c>
      <c r="C113" s="28" t="s">
        <v>33</v>
      </c>
      <c r="D113" s="28">
        <v>10.31</v>
      </c>
      <c r="E113" s="28">
        <v>16.5</v>
      </c>
      <c r="F113" s="28" t="s">
        <v>194</v>
      </c>
      <c r="G113" s="84" t="s">
        <v>193</v>
      </c>
      <c r="H113" s="28">
        <v>1521</v>
      </c>
      <c r="I113" s="85">
        <v>0.07</v>
      </c>
      <c r="J113" s="86">
        <v>0.15</v>
      </c>
      <c r="K113" s="86">
        <v>1.3</v>
      </c>
      <c r="L113" s="85">
        <v>0.015</v>
      </c>
      <c r="M113" s="85">
        <v>0.005</v>
      </c>
      <c r="N113" s="85" t="s">
        <v>35</v>
      </c>
      <c r="O113" s="85">
        <v>0.03</v>
      </c>
      <c r="P113" s="85">
        <v>0.04</v>
      </c>
      <c r="Q113" s="85">
        <v>0.025</v>
      </c>
      <c r="R113" s="85" t="s">
        <v>35</v>
      </c>
      <c r="S113" s="72" t="s">
        <v>35</v>
      </c>
      <c r="T113" s="86"/>
      <c r="U113" s="86"/>
      <c r="V113" s="86"/>
      <c r="W113" s="86"/>
      <c r="X113" s="72" t="s">
        <v>35</v>
      </c>
      <c r="Y113" s="53" t="s">
        <v>35</v>
      </c>
      <c r="Z113" s="28"/>
      <c r="AA113" s="53"/>
    </row>
    <row r="114" spans="1:27">
      <c r="A114" s="37">
        <v>110</v>
      </c>
      <c r="B114" s="28" t="s">
        <v>195</v>
      </c>
      <c r="C114" s="28" t="s">
        <v>30</v>
      </c>
      <c r="D114" s="28">
        <v>3</v>
      </c>
      <c r="E114" s="28">
        <v>12</v>
      </c>
      <c r="F114" s="28" t="s">
        <v>195</v>
      </c>
      <c r="G114" s="84" t="s">
        <v>196</v>
      </c>
      <c r="H114" s="28">
        <v>1520</v>
      </c>
      <c r="I114" s="85">
        <v>0.07</v>
      </c>
      <c r="J114" s="86">
        <v>0.15</v>
      </c>
      <c r="K114" s="86">
        <v>1.45</v>
      </c>
      <c r="L114" s="85">
        <v>0.015</v>
      </c>
      <c r="M114" s="85">
        <v>0.004</v>
      </c>
      <c r="N114" s="85"/>
      <c r="O114" s="85">
        <v>0.02</v>
      </c>
      <c r="P114" s="85">
        <v>0.08</v>
      </c>
      <c r="Q114" s="85">
        <v>0.025</v>
      </c>
      <c r="R114" s="85" t="s">
        <v>35</v>
      </c>
      <c r="S114" s="72"/>
      <c r="T114" s="86"/>
      <c r="U114" s="86"/>
      <c r="V114" s="86"/>
      <c r="W114" s="86"/>
      <c r="X114" s="72" t="s">
        <v>35</v>
      </c>
      <c r="Y114" s="53" t="s">
        <v>35</v>
      </c>
      <c r="Z114" s="28">
        <v>50</v>
      </c>
      <c r="AA114" s="53"/>
    </row>
    <row r="115" spans="1:27">
      <c r="A115" s="37">
        <v>111</v>
      </c>
      <c r="B115" s="28" t="s">
        <v>197</v>
      </c>
      <c r="C115" s="28" t="s">
        <v>30</v>
      </c>
      <c r="D115" s="28">
        <v>3</v>
      </c>
      <c r="E115" s="28">
        <v>10</v>
      </c>
      <c r="F115" s="28" t="s">
        <v>198</v>
      </c>
      <c r="G115" s="84" t="s">
        <v>199</v>
      </c>
      <c r="H115" s="28">
        <v>1514</v>
      </c>
      <c r="I115" s="85">
        <v>0.15</v>
      </c>
      <c r="J115" s="86">
        <v>0.2</v>
      </c>
      <c r="K115" s="86">
        <v>1.35</v>
      </c>
      <c r="L115" s="85">
        <v>0.015</v>
      </c>
      <c r="M115" s="85">
        <v>0.005</v>
      </c>
      <c r="N115" s="85"/>
      <c r="O115" s="85">
        <v>0.015</v>
      </c>
      <c r="P115" s="85">
        <v>0.015</v>
      </c>
      <c r="Q115" s="85">
        <v>0.025</v>
      </c>
      <c r="R115" s="85" t="s">
        <v>35</v>
      </c>
      <c r="S115" s="72"/>
      <c r="T115" s="86"/>
      <c r="U115" s="86"/>
      <c r="V115" s="86"/>
      <c r="W115" s="86"/>
      <c r="X115" s="72" t="s">
        <v>35</v>
      </c>
      <c r="Y115" s="53" t="s">
        <v>35</v>
      </c>
      <c r="Z115" s="28">
        <v>45</v>
      </c>
      <c r="AA115" s="53"/>
    </row>
    <row r="116" spans="1:27">
      <c r="A116" s="37">
        <v>112</v>
      </c>
      <c r="B116" s="28" t="s">
        <v>197</v>
      </c>
      <c r="C116" s="28" t="s">
        <v>33</v>
      </c>
      <c r="D116" s="28">
        <v>10.01</v>
      </c>
      <c r="E116" s="28">
        <v>25.4</v>
      </c>
      <c r="F116" s="28" t="s">
        <v>200</v>
      </c>
      <c r="G116" s="84" t="s">
        <v>199</v>
      </c>
      <c r="H116" s="28">
        <v>1514</v>
      </c>
      <c r="I116" s="85">
        <v>0.15</v>
      </c>
      <c r="J116" s="86">
        <v>0.2</v>
      </c>
      <c r="K116" s="86">
        <v>1.45</v>
      </c>
      <c r="L116" s="85">
        <v>0.015</v>
      </c>
      <c r="M116" s="85">
        <v>0.005</v>
      </c>
      <c r="N116" s="85"/>
      <c r="O116" s="85">
        <v>0.018</v>
      </c>
      <c r="P116" s="85">
        <v>0.015</v>
      </c>
      <c r="Q116" s="85">
        <v>0.025</v>
      </c>
      <c r="R116" s="85" t="s">
        <v>35</v>
      </c>
      <c r="S116" s="72"/>
      <c r="T116" s="86"/>
      <c r="U116" s="86"/>
      <c r="V116" s="86"/>
      <c r="W116" s="86"/>
      <c r="X116" s="72" t="s">
        <v>35</v>
      </c>
      <c r="Y116" s="53" t="s">
        <v>35</v>
      </c>
      <c r="Z116" s="28">
        <v>45</v>
      </c>
      <c r="AA116" s="53"/>
    </row>
    <row r="117" spans="1:27">
      <c r="A117" s="37">
        <v>113</v>
      </c>
      <c r="B117" s="28" t="s">
        <v>201</v>
      </c>
      <c r="C117" s="28" t="s">
        <v>33</v>
      </c>
      <c r="D117" s="28">
        <v>2</v>
      </c>
      <c r="E117" s="28">
        <v>9.99</v>
      </c>
      <c r="F117" s="28" t="s">
        <v>202</v>
      </c>
      <c r="G117" s="84" t="s">
        <v>203</v>
      </c>
      <c r="H117" s="28">
        <v>1517</v>
      </c>
      <c r="I117" s="85">
        <v>0.16</v>
      </c>
      <c r="J117" s="86">
        <v>0.1</v>
      </c>
      <c r="K117" s="86">
        <v>0.7</v>
      </c>
      <c r="L117" s="85">
        <v>0.015</v>
      </c>
      <c r="M117" s="85">
        <v>0.008</v>
      </c>
      <c r="N117" s="85" t="s">
        <v>35</v>
      </c>
      <c r="O117" s="85">
        <v>0.006</v>
      </c>
      <c r="P117" s="85">
        <v>0.03</v>
      </c>
      <c r="Q117" s="85">
        <v>0.02</v>
      </c>
      <c r="R117" s="85" t="s">
        <v>35</v>
      </c>
      <c r="S117" s="72"/>
      <c r="T117" s="86"/>
      <c r="U117" s="86"/>
      <c r="V117" s="86"/>
      <c r="W117" s="86"/>
      <c r="X117" s="72"/>
      <c r="Y117" s="53" t="s">
        <v>35</v>
      </c>
      <c r="Z117" s="28"/>
      <c r="AA117" s="53" t="s">
        <v>35</v>
      </c>
    </row>
    <row r="118" spans="1:27">
      <c r="A118" s="37">
        <v>114</v>
      </c>
      <c r="B118" s="28" t="s">
        <v>201</v>
      </c>
      <c r="C118" s="28" t="s">
        <v>30</v>
      </c>
      <c r="D118" s="28">
        <v>10</v>
      </c>
      <c r="E118" s="28">
        <v>15.99</v>
      </c>
      <c r="F118" s="28" t="s">
        <v>204</v>
      </c>
      <c r="G118" s="84" t="s">
        <v>203</v>
      </c>
      <c r="H118" s="28">
        <v>1516</v>
      </c>
      <c r="I118" s="85">
        <v>0.16</v>
      </c>
      <c r="J118" s="86">
        <v>0.1</v>
      </c>
      <c r="K118" s="86">
        <v>0.85</v>
      </c>
      <c r="L118" s="85">
        <v>0.015</v>
      </c>
      <c r="M118" s="85">
        <v>0.01</v>
      </c>
      <c r="N118" s="85" t="s">
        <v>35</v>
      </c>
      <c r="O118" s="85">
        <v>0.006</v>
      </c>
      <c r="P118" s="85">
        <v>0.03</v>
      </c>
      <c r="Q118" s="85">
        <v>0.02</v>
      </c>
      <c r="R118" s="85" t="s">
        <v>35</v>
      </c>
      <c r="S118" s="72"/>
      <c r="T118" s="86"/>
      <c r="U118" s="86"/>
      <c r="V118" s="86"/>
      <c r="W118" s="86"/>
      <c r="X118" s="72"/>
      <c r="Y118" s="53" t="s">
        <v>35</v>
      </c>
      <c r="Z118" s="28"/>
      <c r="AA118" s="53" t="s">
        <v>35</v>
      </c>
    </row>
    <row r="119" spans="1:27">
      <c r="A119" s="37">
        <v>115</v>
      </c>
      <c r="B119" s="28" t="s">
        <v>201</v>
      </c>
      <c r="C119" s="28" t="s">
        <v>102</v>
      </c>
      <c r="D119" s="28">
        <v>16</v>
      </c>
      <c r="E119" s="28">
        <v>28</v>
      </c>
      <c r="F119" s="28" t="s">
        <v>205</v>
      </c>
      <c r="G119" s="84" t="s">
        <v>203</v>
      </c>
      <c r="H119" s="28">
        <v>1515</v>
      </c>
      <c r="I119" s="85">
        <v>0.16</v>
      </c>
      <c r="J119" s="86">
        <v>0.1</v>
      </c>
      <c r="K119" s="86">
        <v>1.15</v>
      </c>
      <c r="L119" s="85">
        <v>0.015</v>
      </c>
      <c r="M119" s="85">
        <v>0.008</v>
      </c>
      <c r="N119" s="85" t="s">
        <v>35</v>
      </c>
      <c r="O119" s="85">
        <v>0.015</v>
      </c>
      <c r="P119" s="85">
        <v>0.025</v>
      </c>
      <c r="Q119" s="85">
        <v>0.02</v>
      </c>
      <c r="R119" s="85" t="s">
        <v>35</v>
      </c>
      <c r="S119" s="72"/>
      <c r="T119" s="86"/>
      <c r="U119" s="86"/>
      <c r="V119" s="86"/>
      <c r="W119" s="86"/>
      <c r="X119" s="72"/>
      <c r="Y119" s="53" t="s">
        <v>35</v>
      </c>
      <c r="Z119" s="28"/>
      <c r="AA119" s="53" t="s">
        <v>35</v>
      </c>
    </row>
    <row r="120" spans="1:27">
      <c r="A120" s="37">
        <v>116</v>
      </c>
      <c r="B120" s="28" t="s">
        <v>206</v>
      </c>
      <c r="C120" s="28" t="s">
        <v>33</v>
      </c>
      <c r="D120" s="28">
        <v>2</v>
      </c>
      <c r="E120" s="28">
        <v>9.99</v>
      </c>
      <c r="F120" s="28" t="s">
        <v>207</v>
      </c>
      <c r="G120" s="84" t="s">
        <v>208</v>
      </c>
      <c r="H120" s="28">
        <v>1517</v>
      </c>
      <c r="I120" s="85">
        <v>0.16</v>
      </c>
      <c r="J120" s="86">
        <v>0.02</v>
      </c>
      <c r="K120" s="86">
        <v>0.7</v>
      </c>
      <c r="L120" s="85">
        <v>0.015</v>
      </c>
      <c r="M120" s="85">
        <v>0.008</v>
      </c>
      <c r="N120" s="85" t="s">
        <v>35</v>
      </c>
      <c r="O120" s="85">
        <v>0.006</v>
      </c>
      <c r="P120" s="85">
        <v>0.03</v>
      </c>
      <c r="Q120" s="85">
        <v>0.02</v>
      </c>
      <c r="R120" s="85" t="s">
        <v>35</v>
      </c>
      <c r="S120" s="72"/>
      <c r="T120" s="86"/>
      <c r="U120" s="86"/>
      <c r="V120" s="86"/>
      <c r="W120" s="86"/>
      <c r="X120" s="72"/>
      <c r="Y120" s="53" t="s">
        <v>35</v>
      </c>
      <c r="Z120" s="28">
        <v>45</v>
      </c>
      <c r="AA120" s="53" t="s">
        <v>35</v>
      </c>
    </row>
    <row r="121" spans="1:27">
      <c r="A121" s="37">
        <v>117</v>
      </c>
      <c r="B121" s="28" t="s">
        <v>206</v>
      </c>
      <c r="C121" s="28" t="s">
        <v>30</v>
      </c>
      <c r="D121" s="28">
        <v>10</v>
      </c>
      <c r="E121" s="28">
        <v>15.99</v>
      </c>
      <c r="F121" s="28" t="s">
        <v>209</v>
      </c>
      <c r="G121" s="84" t="s">
        <v>208</v>
      </c>
      <c r="H121" s="28">
        <v>1516</v>
      </c>
      <c r="I121" s="85">
        <v>0.16</v>
      </c>
      <c r="J121" s="86">
        <v>0.02</v>
      </c>
      <c r="K121" s="86">
        <v>0.85</v>
      </c>
      <c r="L121" s="85">
        <v>0.015</v>
      </c>
      <c r="M121" s="85">
        <v>0.01</v>
      </c>
      <c r="N121" s="85" t="s">
        <v>35</v>
      </c>
      <c r="O121" s="85">
        <v>0.006</v>
      </c>
      <c r="P121" s="85">
        <v>0.03</v>
      </c>
      <c r="Q121" s="85">
        <v>0.02</v>
      </c>
      <c r="R121" s="85" t="s">
        <v>35</v>
      </c>
      <c r="S121" s="72"/>
      <c r="T121" s="86"/>
      <c r="U121" s="86"/>
      <c r="V121" s="86"/>
      <c r="W121" s="86"/>
      <c r="X121" s="72"/>
      <c r="Y121" s="53" t="s">
        <v>35</v>
      </c>
      <c r="Z121" s="28"/>
      <c r="AA121" s="53" t="s">
        <v>35</v>
      </c>
    </row>
    <row r="122" spans="1:27">
      <c r="A122" s="37">
        <v>118</v>
      </c>
      <c r="B122" s="28" t="s">
        <v>206</v>
      </c>
      <c r="C122" s="28" t="s">
        <v>102</v>
      </c>
      <c r="D122" s="28">
        <v>16</v>
      </c>
      <c r="E122" s="28">
        <v>28</v>
      </c>
      <c r="F122" s="28" t="s">
        <v>210</v>
      </c>
      <c r="G122" s="84" t="s">
        <v>208</v>
      </c>
      <c r="H122" s="28">
        <v>1515</v>
      </c>
      <c r="I122" s="85">
        <v>0.16</v>
      </c>
      <c r="J122" s="86">
        <v>0.02</v>
      </c>
      <c r="K122" s="86">
        <v>1.15</v>
      </c>
      <c r="L122" s="85">
        <v>0.015</v>
      </c>
      <c r="M122" s="85">
        <v>0.008</v>
      </c>
      <c r="N122" s="85" t="s">
        <v>35</v>
      </c>
      <c r="O122" s="85">
        <v>0.015</v>
      </c>
      <c r="P122" s="85">
        <v>0.025</v>
      </c>
      <c r="Q122" s="85">
        <v>0.02</v>
      </c>
      <c r="R122" s="85" t="s">
        <v>35</v>
      </c>
      <c r="S122" s="72"/>
      <c r="T122" s="86"/>
      <c r="U122" s="86"/>
      <c r="V122" s="86"/>
      <c r="W122" s="86"/>
      <c r="X122" s="72"/>
      <c r="Y122" s="53" t="s">
        <v>35</v>
      </c>
      <c r="Z122" s="28"/>
      <c r="AA122" s="53" t="s">
        <v>35</v>
      </c>
    </row>
    <row r="123" spans="1:27">
      <c r="A123" s="37">
        <v>119</v>
      </c>
      <c r="B123" s="28" t="s">
        <v>211</v>
      </c>
      <c r="C123" s="28" t="s">
        <v>30</v>
      </c>
      <c r="D123" s="28">
        <v>2</v>
      </c>
      <c r="E123" s="28">
        <v>9.99</v>
      </c>
      <c r="F123" s="28" t="s">
        <v>212</v>
      </c>
      <c r="G123" s="84" t="s">
        <v>213</v>
      </c>
      <c r="H123" s="28">
        <v>1515</v>
      </c>
      <c r="I123" s="85">
        <v>0.16</v>
      </c>
      <c r="J123" s="86">
        <v>0.1</v>
      </c>
      <c r="K123" s="86">
        <v>0.85</v>
      </c>
      <c r="L123" s="85">
        <v>0.015</v>
      </c>
      <c r="M123" s="85">
        <v>0.008</v>
      </c>
      <c r="N123" s="85" t="s">
        <v>35</v>
      </c>
      <c r="O123" s="85">
        <v>0.015</v>
      </c>
      <c r="P123" s="85">
        <v>0.03</v>
      </c>
      <c r="Q123" s="85">
        <v>0.02</v>
      </c>
      <c r="R123" s="85" t="s">
        <v>35</v>
      </c>
      <c r="S123" s="72" t="s">
        <v>35</v>
      </c>
      <c r="T123" s="86"/>
      <c r="U123" s="86"/>
      <c r="V123" s="86"/>
      <c r="W123" s="86"/>
      <c r="X123" s="72" t="s">
        <v>35</v>
      </c>
      <c r="Y123" s="53" t="s">
        <v>35</v>
      </c>
      <c r="Z123" s="28"/>
      <c r="AA123" s="53"/>
    </row>
    <row r="124" spans="1:27">
      <c r="A124" s="37">
        <v>120</v>
      </c>
      <c r="B124" s="28" t="s">
        <v>211</v>
      </c>
      <c r="C124" s="28" t="s">
        <v>33</v>
      </c>
      <c r="D124" s="28">
        <v>10</v>
      </c>
      <c r="E124" s="28">
        <v>15.99</v>
      </c>
      <c r="F124" s="28" t="s">
        <v>214</v>
      </c>
      <c r="G124" s="84" t="s">
        <v>213</v>
      </c>
      <c r="H124" s="28">
        <v>1515</v>
      </c>
      <c r="I124" s="85">
        <v>0.16</v>
      </c>
      <c r="J124" s="86">
        <v>0.1</v>
      </c>
      <c r="K124" s="86">
        <v>0.95</v>
      </c>
      <c r="L124" s="85">
        <v>0.015</v>
      </c>
      <c r="M124" s="85">
        <v>0.008</v>
      </c>
      <c r="N124" s="85" t="s">
        <v>35</v>
      </c>
      <c r="O124" s="85">
        <v>0.02</v>
      </c>
      <c r="P124" s="85">
        <v>0.03</v>
      </c>
      <c r="Q124" s="85">
        <v>0.02</v>
      </c>
      <c r="R124" s="85" t="s">
        <v>35</v>
      </c>
      <c r="S124" s="72" t="s">
        <v>35</v>
      </c>
      <c r="T124" s="86"/>
      <c r="U124" s="86"/>
      <c r="V124" s="86"/>
      <c r="W124" s="86"/>
      <c r="X124" s="72" t="s">
        <v>35</v>
      </c>
      <c r="Y124" s="53" t="s">
        <v>35</v>
      </c>
      <c r="Z124" s="28"/>
      <c r="AA124" s="53"/>
    </row>
    <row r="125" spans="1:27">
      <c r="A125" s="37">
        <v>121</v>
      </c>
      <c r="B125" s="28" t="s">
        <v>211</v>
      </c>
      <c r="C125" s="28" t="s">
        <v>102</v>
      </c>
      <c r="D125" s="28">
        <v>16</v>
      </c>
      <c r="E125" s="28">
        <v>28</v>
      </c>
      <c r="F125" s="28" t="s">
        <v>215</v>
      </c>
      <c r="G125" s="84" t="s">
        <v>213</v>
      </c>
      <c r="H125" s="28">
        <v>1515</v>
      </c>
      <c r="I125" s="85">
        <v>0.16</v>
      </c>
      <c r="J125" s="86">
        <v>0.1</v>
      </c>
      <c r="K125" s="86">
        <v>1.15</v>
      </c>
      <c r="L125" s="85">
        <v>0.015</v>
      </c>
      <c r="M125" s="85">
        <v>0.008</v>
      </c>
      <c r="N125" s="85" t="s">
        <v>35</v>
      </c>
      <c r="O125" s="85">
        <v>0.02</v>
      </c>
      <c r="P125" s="85">
        <v>0.03</v>
      </c>
      <c r="Q125" s="85">
        <v>0.02</v>
      </c>
      <c r="R125" s="85" t="s">
        <v>35</v>
      </c>
      <c r="S125" s="72" t="s">
        <v>35</v>
      </c>
      <c r="T125" s="86"/>
      <c r="U125" s="86"/>
      <c r="V125" s="86"/>
      <c r="W125" s="86"/>
      <c r="X125" s="72" t="s">
        <v>35</v>
      </c>
      <c r="Y125" s="53" t="s">
        <v>35</v>
      </c>
      <c r="Z125" s="28"/>
      <c r="AA125" s="53"/>
    </row>
    <row r="126" spans="1:27">
      <c r="A126" s="37">
        <v>122</v>
      </c>
      <c r="B126" s="51" t="s">
        <v>216</v>
      </c>
      <c r="C126" s="51" t="s">
        <v>30</v>
      </c>
      <c r="D126" s="51">
        <v>3</v>
      </c>
      <c r="E126" s="51">
        <v>9.99</v>
      </c>
      <c r="F126" s="51" t="s">
        <v>217</v>
      </c>
      <c r="G126" s="52" t="s">
        <v>218</v>
      </c>
      <c r="H126" s="51">
        <v>1516</v>
      </c>
      <c r="I126" s="87">
        <v>0.15</v>
      </c>
      <c r="J126" s="88">
        <v>0.2</v>
      </c>
      <c r="K126" s="88">
        <v>1.25</v>
      </c>
      <c r="L126" s="87">
        <v>0.01</v>
      </c>
      <c r="M126" s="87">
        <v>0.004</v>
      </c>
      <c r="N126" s="87" t="s">
        <v>35</v>
      </c>
      <c r="O126" s="87">
        <v>0.025</v>
      </c>
      <c r="P126" s="87">
        <v>0.025</v>
      </c>
      <c r="Q126" s="87">
        <v>0.02</v>
      </c>
      <c r="R126" s="87" t="s">
        <v>35</v>
      </c>
      <c r="S126" s="89"/>
      <c r="T126" s="88"/>
      <c r="U126" s="88"/>
      <c r="V126" s="88"/>
      <c r="W126" s="88"/>
      <c r="X126" s="89" t="s">
        <v>35</v>
      </c>
      <c r="Y126" s="90" t="s">
        <v>35</v>
      </c>
      <c r="Z126" s="51">
        <v>40</v>
      </c>
      <c r="AA126" s="90" t="s">
        <v>35</v>
      </c>
    </row>
    <row r="127" spans="1:27">
      <c r="A127" s="37">
        <v>123</v>
      </c>
      <c r="B127" s="28" t="s">
        <v>216</v>
      </c>
      <c r="C127" s="28" t="s">
        <v>33</v>
      </c>
      <c r="D127" s="28">
        <v>10</v>
      </c>
      <c r="E127" s="28">
        <v>20</v>
      </c>
      <c r="F127" s="28" t="s">
        <v>219</v>
      </c>
      <c r="G127" s="84" t="s">
        <v>218</v>
      </c>
      <c r="H127" s="28">
        <v>1515</v>
      </c>
      <c r="I127" s="85">
        <v>0.15</v>
      </c>
      <c r="J127" s="86">
        <v>0.2</v>
      </c>
      <c r="K127" s="86">
        <v>1.35</v>
      </c>
      <c r="L127" s="85">
        <v>0.01</v>
      </c>
      <c r="M127" s="85">
        <v>0.004</v>
      </c>
      <c r="N127" s="85" t="s">
        <v>35</v>
      </c>
      <c r="O127" s="85">
        <v>0.03</v>
      </c>
      <c r="P127" s="85">
        <v>0.025</v>
      </c>
      <c r="Q127" s="85">
        <v>0.02</v>
      </c>
      <c r="R127" s="85" t="s">
        <v>35</v>
      </c>
      <c r="S127" s="72"/>
      <c r="T127" s="86"/>
      <c r="U127" s="86"/>
      <c r="V127" s="86"/>
      <c r="W127" s="86"/>
      <c r="X127" s="72" t="s">
        <v>35</v>
      </c>
      <c r="Y127" s="53" t="s">
        <v>35</v>
      </c>
      <c r="Z127" s="28">
        <v>40</v>
      </c>
      <c r="AA127" s="53" t="s">
        <v>35</v>
      </c>
    </row>
    <row r="128" spans="1:27">
      <c r="A128" s="37">
        <v>124</v>
      </c>
      <c r="B128" s="28" t="s">
        <v>220</v>
      </c>
      <c r="C128" s="28" t="s">
        <v>30</v>
      </c>
      <c r="D128" s="28">
        <v>3</v>
      </c>
      <c r="E128" s="28">
        <v>9.99</v>
      </c>
      <c r="F128" s="28" t="s">
        <v>221</v>
      </c>
      <c r="G128" s="84" t="s">
        <v>222</v>
      </c>
      <c r="H128" s="28">
        <v>1516</v>
      </c>
      <c r="I128" s="85">
        <v>0.15</v>
      </c>
      <c r="J128" s="86">
        <v>0.02</v>
      </c>
      <c r="K128" s="86">
        <v>1.25</v>
      </c>
      <c r="L128" s="85">
        <v>0.01</v>
      </c>
      <c r="M128" s="85">
        <v>0.004</v>
      </c>
      <c r="N128" s="85" t="s">
        <v>35</v>
      </c>
      <c r="O128" s="85">
        <v>0.025</v>
      </c>
      <c r="P128" s="85">
        <v>0.025</v>
      </c>
      <c r="Q128" s="85">
        <v>0.02</v>
      </c>
      <c r="R128" s="85" t="s">
        <v>35</v>
      </c>
      <c r="S128" s="72"/>
      <c r="T128" s="86"/>
      <c r="U128" s="86"/>
      <c r="V128" s="86"/>
      <c r="W128" s="86"/>
      <c r="X128" s="72" t="s">
        <v>35</v>
      </c>
      <c r="Y128" s="53" t="s">
        <v>35</v>
      </c>
      <c r="Z128" s="28">
        <v>40</v>
      </c>
      <c r="AA128" s="53" t="s">
        <v>35</v>
      </c>
    </row>
    <row r="129" spans="1:27">
      <c r="A129" s="37">
        <v>125</v>
      </c>
      <c r="B129" s="28" t="s">
        <v>220</v>
      </c>
      <c r="C129" s="28" t="s">
        <v>33</v>
      </c>
      <c r="D129" s="28">
        <v>10</v>
      </c>
      <c r="E129" s="28">
        <v>20</v>
      </c>
      <c r="F129" s="28" t="s">
        <v>223</v>
      </c>
      <c r="G129" s="84" t="s">
        <v>222</v>
      </c>
      <c r="H129" s="28">
        <v>1515</v>
      </c>
      <c r="I129" s="85">
        <v>0.15</v>
      </c>
      <c r="J129" s="86">
        <v>0.02</v>
      </c>
      <c r="K129" s="86">
        <v>1.35</v>
      </c>
      <c r="L129" s="85">
        <v>0.01</v>
      </c>
      <c r="M129" s="85">
        <v>0.004</v>
      </c>
      <c r="N129" s="85" t="s">
        <v>35</v>
      </c>
      <c r="O129" s="85">
        <v>0.03</v>
      </c>
      <c r="P129" s="85">
        <v>0.025</v>
      </c>
      <c r="Q129" s="85">
        <v>0.02</v>
      </c>
      <c r="R129" s="85" t="s">
        <v>35</v>
      </c>
      <c r="S129" s="72"/>
      <c r="T129" s="86"/>
      <c r="U129" s="86"/>
      <c r="V129" s="86"/>
      <c r="W129" s="86"/>
      <c r="X129" s="72" t="s">
        <v>35</v>
      </c>
      <c r="Y129" s="53" t="s">
        <v>35</v>
      </c>
      <c r="Z129" s="28">
        <v>40</v>
      </c>
      <c r="AA129" s="53" t="s">
        <v>35</v>
      </c>
    </row>
    <row r="130" spans="1:27">
      <c r="A130" s="37">
        <v>126</v>
      </c>
      <c r="B130" s="28" t="s">
        <v>224</v>
      </c>
      <c r="C130" s="28" t="s">
        <v>30</v>
      </c>
      <c r="D130" s="28">
        <v>3</v>
      </c>
      <c r="E130" s="28">
        <v>10</v>
      </c>
      <c r="F130" s="28" t="s">
        <v>224</v>
      </c>
      <c r="G130" s="28" t="s">
        <v>225</v>
      </c>
      <c r="H130" s="28">
        <v>1504</v>
      </c>
      <c r="I130" s="28">
        <v>0.26</v>
      </c>
      <c r="J130" s="28">
        <v>0.23</v>
      </c>
      <c r="K130" s="28">
        <v>1.25</v>
      </c>
      <c r="L130" s="28">
        <v>0</v>
      </c>
      <c r="M130" s="28">
        <v>0</v>
      </c>
      <c r="N130" s="28" t="s">
        <v>35</v>
      </c>
      <c r="O130" s="28" t="s">
        <v>35</v>
      </c>
      <c r="P130" s="28">
        <v>0.025</v>
      </c>
      <c r="Q130" s="28" t="s">
        <v>35</v>
      </c>
      <c r="R130" s="28">
        <v>0.03</v>
      </c>
      <c r="S130" s="28" t="s">
        <v>35</v>
      </c>
      <c r="T130" s="28">
        <v>0.16</v>
      </c>
      <c r="U130" s="28">
        <v>0</v>
      </c>
      <c r="V130" s="28">
        <v>0</v>
      </c>
      <c r="W130" s="28" t="s">
        <v>35</v>
      </c>
      <c r="X130" s="28">
        <v>0.0023</v>
      </c>
      <c r="Y130" s="28" t="s">
        <v>35</v>
      </c>
      <c r="Z130" s="28" t="s">
        <v>35</v>
      </c>
      <c r="AA130" s="53"/>
    </row>
    <row r="131" spans="1:27">
      <c r="A131" s="37">
        <v>127</v>
      </c>
      <c r="B131" s="28" t="s">
        <v>226</v>
      </c>
      <c r="C131" s="92" t="s">
        <v>30</v>
      </c>
      <c r="D131" s="28">
        <v>3</v>
      </c>
      <c r="E131" s="28">
        <v>12.5</v>
      </c>
      <c r="F131" s="28" t="s">
        <v>227</v>
      </c>
      <c r="G131" s="84" t="s">
        <v>228</v>
      </c>
      <c r="H131" s="28">
        <v>1514</v>
      </c>
      <c r="I131" s="85">
        <v>0.16</v>
      </c>
      <c r="J131" s="86">
        <v>0.23</v>
      </c>
      <c r="K131" s="86">
        <v>1.15</v>
      </c>
      <c r="L131" s="85">
        <v>0.015</v>
      </c>
      <c r="M131" s="85">
        <v>0.003</v>
      </c>
      <c r="N131" s="85" t="s">
        <v>35</v>
      </c>
      <c r="O131" s="85">
        <v>0.01</v>
      </c>
      <c r="P131" s="85">
        <v>0.015</v>
      </c>
      <c r="Q131" s="85">
        <v>0.03</v>
      </c>
      <c r="R131" s="85" t="s">
        <v>35</v>
      </c>
      <c r="S131" s="72"/>
      <c r="T131" s="86"/>
      <c r="U131" s="86"/>
      <c r="V131" s="86"/>
      <c r="W131" s="86"/>
      <c r="X131" s="72" t="s">
        <v>35</v>
      </c>
      <c r="Y131" s="53" t="s">
        <v>35</v>
      </c>
      <c r="Z131" s="28">
        <v>45</v>
      </c>
      <c r="AA131" s="53" t="s">
        <v>35</v>
      </c>
    </row>
    <row r="132" spans="1:27">
      <c r="A132" s="37">
        <v>128</v>
      </c>
      <c r="B132" s="28" t="s">
        <v>229</v>
      </c>
      <c r="C132" s="28" t="s">
        <v>30</v>
      </c>
      <c r="D132" s="28">
        <v>1.5</v>
      </c>
      <c r="E132" s="28">
        <v>12</v>
      </c>
      <c r="F132" s="28" t="s">
        <v>230</v>
      </c>
      <c r="G132" s="84" t="s">
        <v>231</v>
      </c>
      <c r="H132" s="28">
        <v>1520</v>
      </c>
      <c r="I132" s="85">
        <v>0.15</v>
      </c>
      <c r="J132" s="86">
        <v>0.1</v>
      </c>
      <c r="K132" s="86">
        <v>0.3</v>
      </c>
      <c r="L132" s="85">
        <v>0.02</v>
      </c>
      <c r="M132" s="85">
        <v>0.01</v>
      </c>
      <c r="N132" s="85"/>
      <c r="O132" s="85" t="s">
        <v>35</v>
      </c>
      <c r="P132" s="85" t="s">
        <v>35</v>
      </c>
      <c r="Q132" s="85">
        <v>0.015</v>
      </c>
      <c r="R132" s="85" t="s">
        <v>35</v>
      </c>
      <c r="S132" s="72"/>
      <c r="T132" s="86"/>
      <c r="U132" s="86"/>
      <c r="V132" s="86"/>
      <c r="W132" s="86"/>
      <c r="X132" s="72" t="s">
        <v>35</v>
      </c>
      <c r="Y132" s="53" t="s">
        <v>35</v>
      </c>
      <c r="Z132" s="28">
        <v>50</v>
      </c>
      <c r="AA132" s="53" t="s">
        <v>232</v>
      </c>
    </row>
    <row r="133" spans="1:27">
      <c r="A133" s="37">
        <v>129</v>
      </c>
      <c r="B133" s="28" t="s">
        <v>229</v>
      </c>
      <c r="C133" s="28" t="s">
        <v>33</v>
      </c>
      <c r="D133" s="28">
        <v>12.01</v>
      </c>
      <c r="E133" s="28">
        <v>25.4</v>
      </c>
      <c r="F133" s="28" t="s">
        <v>233</v>
      </c>
      <c r="G133" s="84" t="s">
        <v>231</v>
      </c>
      <c r="H133" s="28">
        <v>1521</v>
      </c>
      <c r="I133" s="85">
        <v>0.15</v>
      </c>
      <c r="J133" s="86">
        <v>0.1</v>
      </c>
      <c r="K133" s="86">
        <v>0.4</v>
      </c>
      <c r="L133" s="85">
        <v>0.02</v>
      </c>
      <c r="M133" s="85">
        <v>0.01</v>
      </c>
      <c r="N133" s="85"/>
      <c r="O133" s="85" t="s">
        <v>35</v>
      </c>
      <c r="P133" s="85" t="s">
        <v>35</v>
      </c>
      <c r="Q133" s="85">
        <v>0.015</v>
      </c>
      <c r="R133" s="85" t="s">
        <v>35</v>
      </c>
      <c r="S133" s="72"/>
      <c r="T133" s="86"/>
      <c r="U133" s="86"/>
      <c r="V133" s="86"/>
      <c r="W133" s="86"/>
      <c r="X133" s="72" t="s">
        <v>35</v>
      </c>
      <c r="Y133" s="53" t="s">
        <v>35</v>
      </c>
      <c r="Z133" s="28">
        <v>50</v>
      </c>
      <c r="AA133" s="53" t="s">
        <v>232</v>
      </c>
    </row>
    <row r="134" spans="1:27">
      <c r="A134" s="37">
        <v>130</v>
      </c>
      <c r="B134" s="28" t="s">
        <v>234</v>
      </c>
      <c r="C134" s="28" t="s">
        <v>30</v>
      </c>
      <c r="D134" s="28">
        <v>1.5</v>
      </c>
      <c r="E134" s="28">
        <v>12</v>
      </c>
      <c r="F134" s="28" t="s">
        <v>235</v>
      </c>
      <c r="G134" s="84" t="s">
        <v>236</v>
      </c>
      <c r="H134" s="28">
        <v>1521</v>
      </c>
      <c r="I134" s="85">
        <v>0.15</v>
      </c>
      <c r="J134" s="86">
        <v>0.02</v>
      </c>
      <c r="K134" s="86">
        <v>0.35</v>
      </c>
      <c r="L134" s="85">
        <v>0.02</v>
      </c>
      <c r="M134" s="85">
        <v>0.01</v>
      </c>
      <c r="N134" s="85"/>
      <c r="O134" s="85" t="s">
        <v>35</v>
      </c>
      <c r="P134" s="85" t="s">
        <v>35</v>
      </c>
      <c r="Q134" s="85">
        <v>0.015</v>
      </c>
      <c r="R134" s="85" t="s">
        <v>35</v>
      </c>
      <c r="S134" s="72"/>
      <c r="T134" s="86"/>
      <c r="U134" s="86"/>
      <c r="V134" s="86"/>
      <c r="W134" s="86"/>
      <c r="X134" s="72" t="s">
        <v>35</v>
      </c>
      <c r="Y134" s="53" t="s">
        <v>35</v>
      </c>
      <c r="Z134" s="28">
        <v>50</v>
      </c>
      <c r="AA134" s="53"/>
    </row>
    <row r="135" spans="1:27">
      <c r="A135" s="37">
        <v>131</v>
      </c>
      <c r="B135" s="28" t="s">
        <v>234</v>
      </c>
      <c r="C135" s="28" t="s">
        <v>33</v>
      </c>
      <c r="D135" s="28">
        <v>12.01</v>
      </c>
      <c r="E135" s="28">
        <v>25.4</v>
      </c>
      <c r="F135" s="28" t="s">
        <v>237</v>
      </c>
      <c r="G135" s="84" t="s">
        <v>236</v>
      </c>
      <c r="H135" s="28">
        <v>1521</v>
      </c>
      <c r="I135" s="85">
        <v>0.15</v>
      </c>
      <c r="J135" s="86">
        <v>0.02</v>
      </c>
      <c r="K135" s="86">
        <v>0.45</v>
      </c>
      <c r="L135" s="85">
        <v>0.02</v>
      </c>
      <c r="M135" s="85">
        <v>0.01</v>
      </c>
      <c r="N135" s="85"/>
      <c r="O135" s="85" t="s">
        <v>35</v>
      </c>
      <c r="P135" s="85" t="s">
        <v>35</v>
      </c>
      <c r="Q135" s="85">
        <v>0.015</v>
      </c>
      <c r="R135" s="85" t="s">
        <v>35</v>
      </c>
      <c r="S135" s="72"/>
      <c r="T135" s="86"/>
      <c r="U135" s="86"/>
      <c r="V135" s="86"/>
      <c r="W135" s="86"/>
      <c r="X135" s="72" t="s">
        <v>35</v>
      </c>
      <c r="Y135" s="53" t="s">
        <v>35</v>
      </c>
      <c r="Z135" s="28">
        <v>50</v>
      </c>
      <c r="AA135" s="53"/>
    </row>
    <row r="136" spans="1:27">
      <c r="A136" s="37">
        <v>132</v>
      </c>
      <c r="B136" s="28" t="s">
        <v>238</v>
      </c>
      <c r="C136" s="28" t="s">
        <v>30</v>
      </c>
      <c r="D136" s="28">
        <v>1.5</v>
      </c>
      <c r="E136" s="28">
        <v>12</v>
      </c>
      <c r="F136" s="28" t="s">
        <v>239</v>
      </c>
      <c r="G136" s="84" t="s">
        <v>240</v>
      </c>
      <c r="H136" s="28">
        <v>1520</v>
      </c>
      <c r="I136" s="85">
        <v>0.15</v>
      </c>
      <c r="J136" s="86">
        <v>0.1</v>
      </c>
      <c r="K136" s="86">
        <v>0.4</v>
      </c>
      <c r="L136" s="85">
        <v>0.015</v>
      </c>
      <c r="M136" s="85">
        <v>0.008</v>
      </c>
      <c r="N136" s="85"/>
      <c r="O136" s="85" t="s">
        <v>35</v>
      </c>
      <c r="P136" s="85" t="s">
        <v>35</v>
      </c>
      <c r="Q136" s="85">
        <v>0.025</v>
      </c>
      <c r="R136" s="85" t="s">
        <v>35</v>
      </c>
      <c r="S136" s="72" t="s">
        <v>35</v>
      </c>
      <c r="T136" s="86"/>
      <c r="U136" s="86"/>
      <c r="V136" s="86"/>
      <c r="W136" s="86"/>
      <c r="X136" s="72" t="s">
        <v>35</v>
      </c>
      <c r="Y136" s="53" t="s">
        <v>35</v>
      </c>
      <c r="Z136" s="28">
        <v>50</v>
      </c>
      <c r="AA136" s="53"/>
    </row>
    <row r="137" spans="1:27">
      <c r="A137" s="37">
        <v>133</v>
      </c>
      <c r="B137" s="28" t="s">
        <v>238</v>
      </c>
      <c r="C137" s="28" t="s">
        <v>33</v>
      </c>
      <c r="D137" s="28">
        <v>12.01</v>
      </c>
      <c r="E137" s="28">
        <v>25.4</v>
      </c>
      <c r="F137" s="28" t="s">
        <v>241</v>
      </c>
      <c r="G137" s="84" t="s">
        <v>240</v>
      </c>
      <c r="H137" s="28">
        <v>1520</v>
      </c>
      <c r="I137" s="85">
        <v>0.15</v>
      </c>
      <c r="J137" s="86">
        <v>0.1</v>
      </c>
      <c r="K137" s="86">
        <v>0.5</v>
      </c>
      <c r="L137" s="85">
        <v>0.015</v>
      </c>
      <c r="M137" s="85">
        <v>0.008</v>
      </c>
      <c r="N137" s="85"/>
      <c r="O137" s="85" t="s">
        <v>35</v>
      </c>
      <c r="P137" s="85" t="s">
        <v>35</v>
      </c>
      <c r="Q137" s="85">
        <v>0.025</v>
      </c>
      <c r="R137" s="85" t="s">
        <v>35</v>
      </c>
      <c r="S137" s="72" t="s">
        <v>35</v>
      </c>
      <c r="T137" s="86"/>
      <c r="U137" s="86"/>
      <c r="V137" s="86"/>
      <c r="W137" s="86"/>
      <c r="X137" s="72" t="s">
        <v>35</v>
      </c>
      <c r="Y137" s="53" t="s">
        <v>35</v>
      </c>
      <c r="Z137" s="28">
        <v>50</v>
      </c>
      <c r="AA137" s="53"/>
    </row>
    <row r="138" spans="1:27">
      <c r="A138" s="37">
        <v>134</v>
      </c>
      <c r="B138" s="28" t="s">
        <v>242</v>
      </c>
      <c r="C138" s="28" t="s">
        <v>30</v>
      </c>
      <c r="D138" s="28">
        <v>1.5</v>
      </c>
      <c r="E138" s="28">
        <v>12</v>
      </c>
      <c r="F138" s="28" t="s">
        <v>243</v>
      </c>
      <c r="G138" s="84" t="s">
        <v>244</v>
      </c>
      <c r="H138" s="28">
        <v>1520</v>
      </c>
      <c r="I138" s="85">
        <v>0.15</v>
      </c>
      <c r="J138" s="86">
        <v>0.1</v>
      </c>
      <c r="K138" s="86">
        <v>0.4</v>
      </c>
      <c r="L138" s="85">
        <v>0.01</v>
      </c>
      <c r="M138" s="85">
        <v>0.005</v>
      </c>
      <c r="N138" s="85"/>
      <c r="O138" s="85" t="s">
        <v>35</v>
      </c>
      <c r="P138" s="85" t="s">
        <v>35</v>
      </c>
      <c r="Q138" s="85">
        <v>0.025</v>
      </c>
      <c r="R138" s="85" t="s">
        <v>35</v>
      </c>
      <c r="S138" s="72" t="s">
        <v>35</v>
      </c>
      <c r="T138" s="86"/>
      <c r="U138" s="86"/>
      <c r="V138" s="86"/>
      <c r="W138" s="86"/>
      <c r="X138" s="72" t="s">
        <v>35</v>
      </c>
      <c r="Y138" s="53" t="s">
        <v>35</v>
      </c>
      <c r="Z138" s="28">
        <v>50</v>
      </c>
      <c r="AA138" s="53"/>
    </row>
    <row r="139" spans="1:27">
      <c r="A139" s="37">
        <v>135</v>
      </c>
      <c r="B139" s="28" t="s">
        <v>242</v>
      </c>
      <c r="C139" s="28" t="s">
        <v>33</v>
      </c>
      <c r="D139" s="28">
        <v>12.01</v>
      </c>
      <c r="E139" s="28">
        <v>25.4</v>
      </c>
      <c r="F139" s="28" t="s">
        <v>245</v>
      </c>
      <c r="G139" s="84" t="s">
        <v>244</v>
      </c>
      <c r="H139" s="28">
        <v>1520</v>
      </c>
      <c r="I139" s="85">
        <v>0.15</v>
      </c>
      <c r="J139" s="86">
        <v>0.1</v>
      </c>
      <c r="K139" s="86">
        <v>0.5</v>
      </c>
      <c r="L139" s="85">
        <v>0.01</v>
      </c>
      <c r="M139" s="85">
        <v>0.005</v>
      </c>
      <c r="N139" s="85"/>
      <c r="O139" s="85" t="s">
        <v>35</v>
      </c>
      <c r="P139" s="85" t="s">
        <v>35</v>
      </c>
      <c r="Q139" s="85">
        <v>0.025</v>
      </c>
      <c r="R139" s="85" t="s">
        <v>35</v>
      </c>
      <c r="S139" s="72" t="s">
        <v>35</v>
      </c>
      <c r="T139" s="86"/>
      <c r="U139" s="86"/>
      <c r="V139" s="86"/>
      <c r="W139" s="86"/>
      <c r="X139" s="72" t="s">
        <v>35</v>
      </c>
      <c r="Y139" s="53" t="s">
        <v>35</v>
      </c>
      <c r="Z139" s="28">
        <v>50</v>
      </c>
      <c r="AA139" s="53"/>
    </row>
    <row r="140" spans="1:27">
      <c r="A140" s="37">
        <v>136</v>
      </c>
      <c r="B140" s="28" t="s">
        <v>246</v>
      </c>
      <c r="C140" s="28" t="s">
        <v>30</v>
      </c>
      <c r="D140" s="28">
        <v>1.5</v>
      </c>
      <c r="E140" s="28">
        <v>12</v>
      </c>
      <c r="F140" s="28" t="s">
        <v>247</v>
      </c>
      <c r="G140" s="84" t="s">
        <v>248</v>
      </c>
      <c r="H140" s="28">
        <v>1519</v>
      </c>
      <c r="I140" s="85">
        <v>0.16</v>
      </c>
      <c r="J140" s="86">
        <v>0.15</v>
      </c>
      <c r="K140" s="86">
        <v>0.4</v>
      </c>
      <c r="L140" s="85">
        <v>0.02</v>
      </c>
      <c r="M140" s="85">
        <v>0.01</v>
      </c>
      <c r="N140" s="85"/>
      <c r="O140" s="85" t="s">
        <v>35</v>
      </c>
      <c r="P140" s="85"/>
      <c r="Q140" s="85">
        <v>0.02</v>
      </c>
      <c r="R140" s="85" t="s">
        <v>35</v>
      </c>
      <c r="S140" s="72"/>
      <c r="T140" s="86"/>
      <c r="U140" s="86"/>
      <c r="V140" s="86"/>
      <c r="W140" s="86"/>
      <c r="X140" s="72" t="s">
        <v>35</v>
      </c>
      <c r="Y140" s="53" t="s">
        <v>35</v>
      </c>
      <c r="Z140" s="28">
        <v>50</v>
      </c>
      <c r="AA140" s="53"/>
    </row>
    <row r="141" spans="1:27">
      <c r="A141" s="37">
        <v>137</v>
      </c>
      <c r="B141" s="28" t="s">
        <v>246</v>
      </c>
      <c r="C141" s="28" t="s">
        <v>33</v>
      </c>
      <c r="D141" s="28">
        <v>12.01</v>
      </c>
      <c r="E141" s="28">
        <v>16</v>
      </c>
      <c r="F141" s="28" t="s">
        <v>249</v>
      </c>
      <c r="G141" s="84" t="s">
        <v>248</v>
      </c>
      <c r="H141" s="28">
        <v>1519</v>
      </c>
      <c r="I141" s="85">
        <v>0.16</v>
      </c>
      <c r="J141" s="86">
        <v>0.15</v>
      </c>
      <c r="K141" s="86">
        <v>0.45</v>
      </c>
      <c r="L141" s="85">
        <v>0.02</v>
      </c>
      <c r="M141" s="85">
        <v>0.01</v>
      </c>
      <c r="N141" s="85"/>
      <c r="O141" s="85" t="s">
        <v>35</v>
      </c>
      <c r="P141" s="85">
        <v>0.01</v>
      </c>
      <c r="Q141" s="85">
        <v>0.02</v>
      </c>
      <c r="R141" s="85" t="s">
        <v>35</v>
      </c>
      <c r="S141" s="72"/>
      <c r="T141" s="86"/>
      <c r="U141" s="86"/>
      <c r="V141" s="86"/>
      <c r="W141" s="86"/>
      <c r="X141" s="72" t="s">
        <v>35</v>
      </c>
      <c r="Y141" s="53" t="s">
        <v>35</v>
      </c>
      <c r="Z141" s="28">
        <v>50</v>
      </c>
      <c r="AA141" s="53"/>
    </row>
    <row r="142" spans="1:27">
      <c r="A142" s="37">
        <v>138</v>
      </c>
      <c r="B142" s="28" t="s">
        <v>246</v>
      </c>
      <c r="C142" s="28" t="s">
        <v>102</v>
      </c>
      <c r="D142" s="28">
        <v>16.01</v>
      </c>
      <c r="E142" s="28">
        <v>25.4</v>
      </c>
      <c r="F142" s="28" t="s">
        <v>250</v>
      </c>
      <c r="G142" s="84" t="s">
        <v>248</v>
      </c>
      <c r="H142" s="28">
        <v>1519</v>
      </c>
      <c r="I142" s="85">
        <v>0.16</v>
      </c>
      <c r="J142" s="86">
        <v>0.15</v>
      </c>
      <c r="K142" s="86">
        <v>0.65</v>
      </c>
      <c r="L142" s="85">
        <v>0.02</v>
      </c>
      <c r="M142" s="85">
        <v>0.01</v>
      </c>
      <c r="N142" s="85"/>
      <c r="O142" s="85" t="s">
        <v>35</v>
      </c>
      <c r="P142" s="85">
        <v>0.01</v>
      </c>
      <c r="Q142" s="85">
        <v>0.02</v>
      </c>
      <c r="R142" s="85" t="s">
        <v>35</v>
      </c>
      <c r="S142" s="72"/>
      <c r="T142" s="86"/>
      <c r="U142" s="86"/>
      <c r="V142" s="86"/>
      <c r="W142" s="86"/>
      <c r="X142" s="72" t="s">
        <v>35</v>
      </c>
      <c r="Y142" s="53" t="s">
        <v>35</v>
      </c>
      <c r="Z142" s="28">
        <v>50</v>
      </c>
      <c r="AA142" s="53"/>
    </row>
    <row r="143" spans="1:27">
      <c r="A143" s="37">
        <v>139</v>
      </c>
      <c r="B143" s="28" t="s">
        <v>251</v>
      </c>
      <c r="C143" s="28" t="s">
        <v>30</v>
      </c>
      <c r="D143" s="28">
        <v>1.5</v>
      </c>
      <c r="E143" s="28">
        <v>12</v>
      </c>
      <c r="F143" s="28" t="s">
        <v>252</v>
      </c>
      <c r="G143" s="84" t="s">
        <v>253</v>
      </c>
      <c r="H143" s="28">
        <v>1519</v>
      </c>
      <c r="I143" s="85">
        <v>0.16</v>
      </c>
      <c r="J143" s="86">
        <v>0.02</v>
      </c>
      <c r="K143" s="86">
        <v>0.45</v>
      </c>
      <c r="L143" s="85">
        <v>0.02</v>
      </c>
      <c r="M143" s="85">
        <v>0.01</v>
      </c>
      <c r="N143" s="85"/>
      <c r="O143" s="85" t="s">
        <v>35</v>
      </c>
      <c r="P143" s="85"/>
      <c r="Q143" s="85">
        <v>0.02</v>
      </c>
      <c r="R143" s="85" t="s">
        <v>35</v>
      </c>
      <c r="S143" s="72"/>
      <c r="T143" s="86"/>
      <c r="U143" s="86"/>
      <c r="V143" s="86"/>
      <c r="W143" s="86"/>
      <c r="X143" s="72" t="s">
        <v>35</v>
      </c>
      <c r="Y143" s="53" t="s">
        <v>35</v>
      </c>
      <c r="Z143" s="28">
        <v>50</v>
      </c>
      <c r="AA143" s="53"/>
    </row>
    <row r="144" spans="1:27">
      <c r="A144" s="37">
        <v>140</v>
      </c>
      <c r="B144" s="28" t="s">
        <v>251</v>
      </c>
      <c r="C144" s="28" t="s">
        <v>33</v>
      </c>
      <c r="D144" s="28">
        <v>12.01</v>
      </c>
      <c r="E144" s="28">
        <v>25.4</v>
      </c>
      <c r="F144" s="28" t="s">
        <v>254</v>
      </c>
      <c r="G144" s="84" t="s">
        <v>253</v>
      </c>
      <c r="H144" s="28">
        <v>1519</v>
      </c>
      <c r="I144" s="85">
        <v>0.16</v>
      </c>
      <c r="J144" s="86">
        <v>0.02</v>
      </c>
      <c r="K144" s="86">
        <v>0.5</v>
      </c>
      <c r="L144" s="85">
        <v>0.02</v>
      </c>
      <c r="M144" s="85">
        <v>0.01</v>
      </c>
      <c r="N144" s="85"/>
      <c r="O144" s="85" t="s">
        <v>35</v>
      </c>
      <c r="P144" s="85">
        <v>0.01</v>
      </c>
      <c r="Q144" s="85">
        <v>0.02</v>
      </c>
      <c r="R144" s="85" t="s">
        <v>35</v>
      </c>
      <c r="S144" s="72"/>
      <c r="T144" s="86"/>
      <c r="U144" s="86"/>
      <c r="V144" s="86"/>
      <c r="W144" s="86"/>
      <c r="X144" s="72" t="s">
        <v>35</v>
      </c>
      <c r="Y144" s="53" t="s">
        <v>35</v>
      </c>
      <c r="Z144" s="28">
        <v>50</v>
      </c>
      <c r="AA144" s="53"/>
    </row>
    <row r="145" spans="1:27">
      <c r="A145" s="37">
        <v>141</v>
      </c>
      <c r="B145" s="28" t="s">
        <v>255</v>
      </c>
      <c r="C145" s="28" t="s">
        <v>30</v>
      </c>
      <c r="D145" s="28">
        <v>2</v>
      </c>
      <c r="E145" s="28">
        <v>12</v>
      </c>
      <c r="F145" s="28" t="s">
        <v>256</v>
      </c>
      <c r="G145" s="84" t="s">
        <v>257</v>
      </c>
      <c r="H145" s="28">
        <v>1520</v>
      </c>
      <c r="I145" s="85">
        <v>0.14</v>
      </c>
      <c r="J145" s="86">
        <v>0.15</v>
      </c>
      <c r="K145" s="86">
        <v>0.4</v>
      </c>
      <c r="L145" s="85">
        <v>0.02</v>
      </c>
      <c r="M145" s="85">
        <v>0.01</v>
      </c>
      <c r="N145" s="85"/>
      <c r="O145" s="85" t="s">
        <v>35</v>
      </c>
      <c r="P145" s="85"/>
      <c r="Q145" s="85">
        <v>0.02</v>
      </c>
      <c r="R145" s="85" t="s">
        <v>35</v>
      </c>
      <c r="S145" s="72"/>
      <c r="T145" s="86"/>
      <c r="U145" s="86"/>
      <c r="V145" s="86"/>
      <c r="W145" s="86"/>
      <c r="X145" s="72" t="s">
        <v>35</v>
      </c>
      <c r="Y145" s="53" t="s">
        <v>35</v>
      </c>
      <c r="Z145" s="28">
        <v>45</v>
      </c>
      <c r="AA145" s="53"/>
    </row>
    <row r="146" spans="1:27">
      <c r="A146" s="37">
        <v>142</v>
      </c>
      <c r="B146" s="28" t="s">
        <v>255</v>
      </c>
      <c r="C146" s="28" t="s">
        <v>33</v>
      </c>
      <c r="D146" s="28">
        <v>12.01</v>
      </c>
      <c r="E146" s="28">
        <v>25.4</v>
      </c>
      <c r="F146" s="28" t="s">
        <v>258</v>
      </c>
      <c r="G146" s="84" t="s">
        <v>257</v>
      </c>
      <c r="H146" s="28">
        <v>1520</v>
      </c>
      <c r="I146" s="85">
        <v>0.14</v>
      </c>
      <c r="J146" s="86">
        <v>0.15</v>
      </c>
      <c r="K146" s="86">
        <v>0.45</v>
      </c>
      <c r="L146" s="85">
        <v>0.02</v>
      </c>
      <c r="M146" s="85">
        <v>0.01</v>
      </c>
      <c r="N146" s="85"/>
      <c r="O146" s="85" t="s">
        <v>35</v>
      </c>
      <c r="P146" s="85">
        <v>0.01</v>
      </c>
      <c r="Q146" s="85">
        <v>0.02</v>
      </c>
      <c r="R146" s="85" t="s">
        <v>35</v>
      </c>
      <c r="S146" s="72"/>
      <c r="T146" s="86"/>
      <c r="U146" s="86"/>
      <c r="V146" s="86"/>
      <c r="W146" s="86"/>
      <c r="X146" s="72" t="s">
        <v>35</v>
      </c>
      <c r="Y146" s="53" t="s">
        <v>35</v>
      </c>
      <c r="Z146" s="28">
        <v>50</v>
      </c>
      <c r="AA146" s="53"/>
    </row>
    <row r="147" spans="1:27">
      <c r="A147" s="37">
        <v>143</v>
      </c>
      <c r="B147" s="28" t="s">
        <v>259</v>
      </c>
      <c r="C147" s="28" t="s">
        <v>30</v>
      </c>
      <c r="D147" s="28">
        <v>1.5</v>
      </c>
      <c r="E147" s="28">
        <v>12</v>
      </c>
      <c r="F147" s="28" t="s">
        <v>260</v>
      </c>
      <c r="G147" s="84" t="s">
        <v>261</v>
      </c>
      <c r="H147" s="28">
        <v>1520</v>
      </c>
      <c r="I147" s="85">
        <v>0.14</v>
      </c>
      <c r="J147" s="86">
        <v>0.15</v>
      </c>
      <c r="K147" s="86">
        <v>0.4</v>
      </c>
      <c r="L147" s="85">
        <v>0.015</v>
      </c>
      <c r="M147" s="85">
        <v>0.01</v>
      </c>
      <c r="N147" s="85"/>
      <c r="O147" s="85" t="s">
        <v>35</v>
      </c>
      <c r="P147" s="85"/>
      <c r="Q147" s="85">
        <v>0.02</v>
      </c>
      <c r="R147" s="85" t="s">
        <v>35</v>
      </c>
      <c r="S147" s="72"/>
      <c r="T147" s="86"/>
      <c r="U147" s="86"/>
      <c r="V147" s="86"/>
      <c r="W147" s="86"/>
      <c r="X147" s="72" t="s">
        <v>35</v>
      </c>
      <c r="Y147" s="53" t="s">
        <v>35</v>
      </c>
      <c r="Z147" s="28">
        <v>45</v>
      </c>
      <c r="AA147" s="53"/>
    </row>
    <row r="148" spans="1:27">
      <c r="A148" s="37">
        <v>144</v>
      </c>
      <c r="B148" s="28" t="s">
        <v>259</v>
      </c>
      <c r="C148" s="28" t="s">
        <v>33</v>
      </c>
      <c r="D148" s="28">
        <v>12.01</v>
      </c>
      <c r="E148" s="28">
        <v>25.4</v>
      </c>
      <c r="F148" s="28" t="s">
        <v>262</v>
      </c>
      <c r="G148" s="84" t="s">
        <v>261</v>
      </c>
      <c r="H148" s="28">
        <v>1520</v>
      </c>
      <c r="I148" s="85">
        <v>0.14</v>
      </c>
      <c r="J148" s="86">
        <v>0.15</v>
      </c>
      <c r="K148" s="86">
        <v>0.45</v>
      </c>
      <c r="L148" s="85">
        <v>0.015</v>
      </c>
      <c r="M148" s="85">
        <v>0.01</v>
      </c>
      <c r="N148" s="85"/>
      <c r="O148" s="85" t="s">
        <v>35</v>
      </c>
      <c r="P148" s="85">
        <v>0.01</v>
      </c>
      <c r="Q148" s="85">
        <v>0.02</v>
      </c>
      <c r="R148" s="85" t="s">
        <v>35</v>
      </c>
      <c r="S148" s="72"/>
      <c r="T148" s="86"/>
      <c r="U148" s="86"/>
      <c r="V148" s="86"/>
      <c r="W148" s="86"/>
      <c r="X148" s="72" t="s">
        <v>35</v>
      </c>
      <c r="Y148" s="53" t="s">
        <v>35</v>
      </c>
      <c r="Z148" s="28">
        <v>45</v>
      </c>
      <c r="AA148" s="53"/>
    </row>
    <row r="149" spans="1:27">
      <c r="A149" s="37">
        <v>145</v>
      </c>
      <c r="B149" s="28" t="s">
        <v>263</v>
      </c>
      <c r="C149" s="28" t="s">
        <v>33</v>
      </c>
      <c r="D149" s="28">
        <v>1.5</v>
      </c>
      <c r="E149" s="28">
        <v>12</v>
      </c>
      <c r="F149" s="28" t="s">
        <v>264</v>
      </c>
      <c r="G149" s="84" t="s">
        <v>265</v>
      </c>
      <c r="H149" s="28">
        <v>1518</v>
      </c>
      <c r="I149" s="85">
        <v>0.145</v>
      </c>
      <c r="J149" s="86">
        <v>0.15</v>
      </c>
      <c r="K149" s="86">
        <v>0.7</v>
      </c>
      <c r="L149" s="85">
        <v>0.015</v>
      </c>
      <c r="M149" s="85">
        <v>0.01</v>
      </c>
      <c r="N149" s="85" t="s">
        <v>35</v>
      </c>
      <c r="O149" s="85">
        <v>0.008</v>
      </c>
      <c r="P149" s="85">
        <v>0.03</v>
      </c>
      <c r="Q149" s="85">
        <v>0.02</v>
      </c>
      <c r="R149" s="85" t="s">
        <v>35</v>
      </c>
      <c r="S149" s="72"/>
      <c r="T149" s="86"/>
      <c r="U149" s="86"/>
      <c r="V149" s="86"/>
      <c r="W149" s="86"/>
      <c r="X149" s="72" t="s">
        <v>35</v>
      </c>
      <c r="Y149" s="53" t="s">
        <v>35</v>
      </c>
      <c r="Z149" s="28">
        <v>45</v>
      </c>
      <c r="AA149" s="53"/>
    </row>
    <row r="150" spans="1:27">
      <c r="A150" s="37">
        <v>146</v>
      </c>
      <c r="B150" s="28" t="s">
        <v>263</v>
      </c>
      <c r="C150" s="28" t="s">
        <v>30</v>
      </c>
      <c r="D150" s="28">
        <v>12.01</v>
      </c>
      <c r="E150" s="28">
        <v>19</v>
      </c>
      <c r="F150" s="28" t="s">
        <v>266</v>
      </c>
      <c r="G150" s="84" t="s">
        <v>265</v>
      </c>
      <c r="H150" s="28">
        <v>1518</v>
      </c>
      <c r="I150" s="85">
        <v>0.145</v>
      </c>
      <c r="J150" s="86">
        <v>0.15</v>
      </c>
      <c r="K150" s="86">
        <v>0.8</v>
      </c>
      <c r="L150" s="85">
        <v>0.015</v>
      </c>
      <c r="M150" s="85">
        <v>0.01</v>
      </c>
      <c r="N150" s="85" t="s">
        <v>35</v>
      </c>
      <c r="O150" s="85">
        <v>0.008</v>
      </c>
      <c r="P150" s="85">
        <v>0.03</v>
      </c>
      <c r="Q150" s="85">
        <v>0.02</v>
      </c>
      <c r="R150" s="85" t="s">
        <v>35</v>
      </c>
      <c r="S150" s="72"/>
      <c r="T150" s="86"/>
      <c r="U150" s="86"/>
      <c r="V150" s="86"/>
      <c r="W150" s="86"/>
      <c r="X150" s="72" t="s">
        <v>35</v>
      </c>
      <c r="Y150" s="53" t="s">
        <v>35</v>
      </c>
      <c r="Z150" s="28">
        <v>45</v>
      </c>
      <c r="AA150" s="53"/>
    </row>
    <row r="151" spans="1:27">
      <c r="A151" s="37">
        <v>147</v>
      </c>
      <c r="B151" s="28" t="s">
        <v>263</v>
      </c>
      <c r="C151" s="28" t="s">
        <v>102</v>
      </c>
      <c r="D151" s="28">
        <v>19.01</v>
      </c>
      <c r="E151" s="28">
        <v>25.4</v>
      </c>
      <c r="F151" s="28" t="s">
        <v>267</v>
      </c>
      <c r="G151" s="84" t="s">
        <v>265</v>
      </c>
      <c r="H151" s="28">
        <v>1518</v>
      </c>
      <c r="I151" s="85">
        <v>0.145</v>
      </c>
      <c r="J151" s="86">
        <v>0.15</v>
      </c>
      <c r="K151" s="86">
        <v>0.8</v>
      </c>
      <c r="L151" s="85">
        <v>0.015</v>
      </c>
      <c r="M151" s="85">
        <v>0.01</v>
      </c>
      <c r="N151" s="85" t="s">
        <v>35</v>
      </c>
      <c r="O151" s="85">
        <v>0.015</v>
      </c>
      <c r="P151" s="85">
        <v>0.025</v>
      </c>
      <c r="Q151" s="85">
        <v>0.02</v>
      </c>
      <c r="R151" s="85" t="s">
        <v>35</v>
      </c>
      <c r="S151" s="72"/>
      <c r="T151" s="86"/>
      <c r="U151" s="86"/>
      <c r="V151" s="86"/>
      <c r="W151" s="86"/>
      <c r="X151" s="72" t="s">
        <v>35</v>
      </c>
      <c r="Y151" s="53" t="s">
        <v>35</v>
      </c>
      <c r="Z151" s="28">
        <v>45</v>
      </c>
      <c r="AA151" s="53"/>
    </row>
    <row r="152" spans="1:27">
      <c r="A152" s="37">
        <v>148</v>
      </c>
      <c r="B152" s="28" t="s">
        <v>268</v>
      </c>
      <c r="C152" s="28" t="s">
        <v>30</v>
      </c>
      <c r="D152" s="28">
        <v>2</v>
      </c>
      <c r="E152" s="28">
        <v>12</v>
      </c>
      <c r="F152" s="28" t="s">
        <v>269</v>
      </c>
      <c r="G152" s="84" t="s">
        <v>270</v>
      </c>
      <c r="H152" s="28">
        <v>1518</v>
      </c>
      <c r="I152" s="85">
        <v>0.15</v>
      </c>
      <c r="J152" s="86">
        <v>0</v>
      </c>
      <c r="K152" s="86">
        <v>0.7</v>
      </c>
      <c r="L152" s="85">
        <v>0.02</v>
      </c>
      <c r="M152" s="85">
        <v>0.015</v>
      </c>
      <c r="N152" s="85" t="s">
        <v>35</v>
      </c>
      <c r="O152" s="85"/>
      <c r="P152" s="85">
        <v>0.035</v>
      </c>
      <c r="Q152" s="85">
        <v>0.02</v>
      </c>
      <c r="R152" s="85" t="s">
        <v>35</v>
      </c>
      <c r="S152" s="72"/>
      <c r="T152" s="86"/>
      <c r="U152" s="86"/>
      <c r="V152" s="86"/>
      <c r="W152" s="86"/>
      <c r="X152" s="72" t="s">
        <v>35</v>
      </c>
      <c r="Y152" s="53" t="s">
        <v>35</v>
      </c>
      <c r="Z152" s="28">
        <v>45</v>
      </c>
      <c r="AA152" s="53"/>
    </row>
    <row r="153" spans="1:27">
      <c r="A153" s="37">
        <v>149</v>
      </c>
      <c r="B153" s="28" t="s">
        <v>268</v>
      </c>
      <c r="C153" s="28" t="s">
        <v>33</v>
      </c>
      <c r="D153" s="28">
        <v>12.01</v>
      </c>
      <c r="E153" s="28">
        <v>25.4</v>
      </c>
      <c r="F153" s="28" t="s">
        <v>271</v>
      </c>
      <c r="G153" s="84" t="s">
        <v>270</v>
      </c>
      <c r="H153" s="28">
        <v>1518</v>
      </c>
      <c r="I153" s="85">
        <v>0.15</v>
      </c>
      <c r="J153" s="86">
        <v>0</v>
      </c>
      <c r="K153" s="86">
        <v>0.8</v>
      </c>
      <c r="L153" s="85">
        <v>0.02</v>
      </c>
      <c r="M153" s="85">
        <v>0.015</v>
      </c>
      <c r="N153" s="85" t="s">
        <v>35</v>
      </c>
      <c r="O153" s="85">
        <v>0.005</v>
      </c>
      <c r="P153" s="85">
        <v>0.035</v>
      </c>
      <c r="Q153" s="85">
        <v>0.02</v>
      </c>
      <c r="R153" s="85" t="s">
        <v>35</v>
      </c>
      <c r="S153" s="72"/>
      <c r="T153" s="86"/>
      <c r="U153" s="86"/>
      <c r="V153" s="86"/>
      <c r="W153" s="86"/>
      <c r="X153" s="72" t="s">
        <v>35</v>
      </c>
      <c r="Y153" s="53" t="s">
        <v>35</v>
      </c>
      <c r="Z153" s="28">
        <v>45</v>
      </c>
      <c r="AA153" s="53"/>
    </row>
    <row r="154" spans="1:27">
      <c r="A154" s="37">
        <v>150</v>
      </c>
      <c r="B154" s="28" t="s">
        <v>272</v>
      </c>
      <c r="C154" s="28" t="s">
        <v>33</v>
      </c>
      <c r="D154" s="28">
        <v>1.5</v>
      </c>
      <c r="E154" s="28">
        <v>12</v>
      </c>
      <c r="F154" s="28" t="s">
        <v>273</v>
      </c>
      <c r="G154" s="84" t="s">
        <v>274</v>
      </c>
      <c r="H154" s="28">
        <v>1518</v>
      </c>
      <c r="I154" s="85">
        <v>0.145</v>
      </c>
      <c r="J154" s="86">
        <v>0.15</v>
      </c>
      <c r="K154" s="86">
        <v>0.85</v>
      </c>
      <c r="L154" s="85">
        <v>0.015</v>
      </c>
      <c r="M154" s="85">
        <v>0.01</v>
      </c>
      <c r="N154" s="85" t="s">
        <v>35</v>
      </c>
      <c r="O154" s="85">
        <v>0.015</v>
      </c>
      <c r="P154" s="85">
        <v>0.025</v>
      </c>
      <c r="Q154" s="85">
        <v>0.02</v>
      </c>
      <c r="R154" s="85" t="s">
        <v>35</v>
      </c>
      <c r="S154" s="72"/>
      <c r="T154" s="86"/>
      <c r="U154" s="86"/>
      <c r="V154" s="86"/>
      <c r="W154" s="86"/>
      <c r="X154" s="72" t="s">
        <v>35</v>
      </c>
      <c r="Y154" s="53" t="s">
        <v>35</v>
      </c>
      <c r="Z154" s="28">
        <v>45</v>
      </c>
      <c r="AA154" s="53"/>
    </row>
    <row r="155" spans="1:27">
      <c r="A155" s="37">
        <v>151</v>
      </c>
      <c r="B155" s="28" t="s">
        <v>272</v>
      </c>
      <c r="C155" s="28" t="s">
        <v>30</v>
      </c>
      <c r="D155" s="28">
        <v>12.01</v>
      </c>
      <c r="E155" s="28">
        <v>19</v>
      </c>
      <c r="F155" s="28" t="s">
        <v>275</v>
      </c>
      <c r="G155" s="84" t="s">
        <v>274</v>
      </c>
      <c r="H155" s="28">
        <v>1518</v>
      </c>
      <c r="I155" s="85">
        <v>0.145</v>
      </c>
      <c r="J155" s="86">
        <v>0.15</v>
      </c>
      <c r="K155" s="86">
        <v>1</v>
      </c>
      <c r="L155" s="85">
        <v>0.015</v>
      </c>
      <c r="M155" s="85">
        <v>0.01</v>
      </c>
      <c r="N155" s="85" t="s">
        <v>35</v>
      </c>
      <c r="O155" s="85">
        <v>0.015</v>
      </c>
      <c r="P155" s="85">
        <v>0.025</v>
      </c>
      <c r="Q155" s="85">
        <v>0.02</v>
      </c>
      <c r="R155" s="85" t="s">
        <v>35</v>
      </c>
      <c r="S155" s="72"/>
      <c r="T155" s="86"/>
      <c r="U155" s="86"/>
      <c r="V155" s="86"/>
      <c r="W155" s="86"/>
      <c r="X155" s="72" t="s">
        <v>35</v>
      </c>
      <c r="Y155" s="53" t="s">
        <v>35</v>
      </c>
      <c r="Z155" s="28">
        <v>45</v>
      </c>
      <c r="AA155" s="53"/>
    </row>
    <row r="156" spans="1:27">
      <c r="A156" s="50">
        <v>152</v>
      </c>
      <c r="B156" s="51" t="s">
        <v>272</v>
      </c>
      <c r="C156" s="51" t="s">
        <v>102</v>
      </c>
      <c r="D156" s="51">
        <v>19.01</v>
      </c>
      <c r="E156" s="51">
        <v>25.4</v>
      </c>
      <c r="F156" s="51" t="s">
        <v>276</v>
      </c>
      <c r="G156" s="52" t="s">
        <v>274</v>
      </c>
      <c r="H156" s="51">
        <v>1518</v>
      </c>
      <c r="I156" s="87">
        <v>0.145</v>
      </c>
      <c r="J156" s="88">
        <v>0.15</v>
      </c>
      <c r="K156" s="88">
        <v>1.2</v>
      </c>
      <c r="L156" s="87">
        <v>0.015</v>
      </c>
      <c r="M156" s="87">
        <v>0.01</v>
      </c>
      <c r="N156" s="87" t="s">
        <v>35</v>
      </c>
      <c r="O156" s="87">
        <v>0.015</v>
      </c>
      <c r="P156" s="87">
        <v>0.025</v>
      </c>
      <c r="Q156" s="87">
        <v>0.02</v>
      </c>
      <c r="R156" s="87" t="s">
        <v>35</v>
      </c>
      <c r="S156" s="89"/>
      <c r="T156" s="88"/>
      <c r="U156" s="88"/>
      <c r="V156" s="88"/>
      <c r="W156" s="88"/>
      <c r="X156" s="89" t="s">
        <v>35</v>
      </c>
      <c r="Y156" s="90" t="s">
        <v>35</v>
      </c>
      <c r="Z156" s="51">
        <v>45</v>
      </c>
      <c r="AA156" s="90"/>
    </row>
    <row r="157" spans="1:27">
      <c r="A157" s="37">
        <v>153</v>
      </c>
      <c r="B157" s="28" t="s">
        <v>277</v>
      </c>
      <c r="C157" s="28" t="s">
        <v>30</v>
      </c>
      <c r="D157" s="28">
        <v>1.2</v>
      </c>
      <c r="E157" s="28">
        <v>12</v>
      </c>
      <c r="F157" s="28" t="s">
        <v>278</v>
      </c>
      <c r="G157" s="84" t="s">
        <v>279</v>
      </c>
      <c r="H157" s="28">
        <v>1518</v>
      </c>
      <c r="I157" s="85">
        <v>0.15</v>
      </c>
      <c r="J157" s="86">
        <v>0</v>
      </c>
      <c r="K157" s="86">
        <v>0.7</v>
      </c>
      <c r="L157" s="85">
        <v>0.015</v>
      </c>
      <c r="M157" s="85">
        <v>0.01</v>
      </c>
      <c r="N157" s="85" t="s">
        <v>35</v>
      </c>
      <c r="O157" s="85">
        <v>0.005</v>
      </c>
      <c r="P157" s="85">
        <v>0.03</v>
      </c>
      <c r="Q157" s="85">
        <v>0.02</v>
      </c>
      <c r="R157" s="85" t="s">
        <v>35</v>
      </c>
      <c r="S157" s="72"/>
      <c r="T157" s="86"/>
      <c r="U157" s="86"/>
      <c r="V157" s="86"/>
      <c r="W157" s="86"/>
      <c r="X157" s="72" t="s">
        <v>35</v>
      </c>
      <c r="Y157" s="53" t="s">
        <v>35</v>
      </c>
      <c r="Z157" s="28">
        <v>45</v>
      </c>
      <c r="AA157" s="53" t="s">
        <v>280</v>
      </c>
    </row>
    <row r="158" spans="1:27">
      <c r="A158" s="37">
        <v>154</v>
      </c>
      <c r="B158" s="28" t="s">
        <v>277</v>
      </c>
      <c r="C158" s="28" t="s">
        <v>33</v>
      </c>
      <c r="D158" s="28">
        <v>12.01</v>
      </c>
      <c r="E158" s="28">
        <v>25.4</v>
      </c>
      <c r="F158" s="28" t="s">
        <v>281</v>
      </c>
      <c r="G158" s="84" t="s">
        <v>279</v>
      </c>
      <c r="H158" s="28">
        <v>1518</v>
      </c>
      <c r="I158" s="85">
        <v>0.15</v>
      </c>
      <c r="J158" s="86">
        <v>0</v>
      </c>
      <c r="K158" s="86">
        <v>0.8</v>
      </c>
      <c r="L158" s="85">
        <v>0.015</v>
      </c>
      <c r="M158" s="85">
        <v>0.01</v>
      </c>
      <c r="N158" s="85" t="s">
        <v>35</v>
      </c>
      <c r="O158" s="85">
        <v>0.005</v>
      </c>
      <c r="P158" s="85">
        <v>0.035</v>
      </c>
      <c r="Q158" s="85">
        <v>0.02</v>
      </c>
      <c r="R158" s="85" t="s">
        <v>35</v>
      </c>
      <c r="S158" s="72"/>
      <c r="T158" s="86"/>
      <c r="U158" s="86"/>
      <c r="V158" s="86"/>
      <c r="W158" s="86"/>
      <c r="X158" s="72" t="s">
        <v>35</v>
      </c>
      <c r="Y158" s="53" t="s">
        <v>35</v>
      </c>
      <c r="Z158" s="28">
        <v>45</v>
      </c>
      <c r="AA158" s="53" t="s">
        <v>280</v>
      </c>
    </row>
    <row r="159" spans="1:27">
      <c r="A159" s="37">
        <v>155</v>
      </c>
      <c r="B159" s="28" t="s">
        <v>282</v>
      </c>
      <c r="C159" s="28" t="s">
        <v>30</v>
      </c>
      <c r="D159" s="28">
        <v>1.5</v>
      </c>
      <c r="E159" s="28">
        <v>12</v>
      </c>
      <c r="F159" s="28" t="s">
        <v>283</v>
      </c>
      <c r="G159" s="84" t="s">
        <v>284</v>
      </c>
      <c r="H159" s="28">
        <v>1513</v>
      </c>
      <c r="I159" s="85">
        <v>0.145</v>
      </c>
      <c r="J159" s="86">
        <v>0.15</v>
      </c>
      <c r="K159" s="86">
        <v>0.9</v>
      </c>
      <c r="L159" s="85">
        <v>0.013</v>
      </c>
      <c r="M159" s="85">
        <v>0.005</v>
      </c>
      <c r="N159" s="85" t="s">
        <v>35</v>
      </c>
      <c r="O159" s="85">
        <v>0.01</v>
      </c>
      <c r="P159" s="85">
        <v>0.025</v>
      </c>
      <c r="Q159" s="85">
        <v>0.02</v>
      </c>
      <c r="R159" s="85" t="s">
        <v>35</v>
      </c>
      <c r="S159" s="72"/>
      <c r="T159" s="86"/>
      <c r="U159" s="86"/>
      <c r="V159" s="86"/>
      <c r="W159" s="86"/>
      <c r="X159" s="72" t="s">
        <v>35</v>
      </c>
      <c r="Y159" s="53" t="s">
        <v>35</v>
      </c>
      <c r="Z159" s="28">
        <v>45</v>
      </c>
      <c r="AA159" s="53"/>
    </row>
    <row r="160" spans="1:27">
      <c r="A160" s="37">
        <v>156</v>
      </c>
      <c r="B160" s="28" t="s">
        <v>282</v>
      </c>
      <c r="C160" s="28" t="s">
        <v>33</v>
      </c>
      <c r="D160" s="28">
        <v>12.01</v>
      </c>
      <c r="E160" s="28">
        <v>19</v>
      </c>
      <c r="F160" s="28" t="s">
        <v>285</v>
      </c>
      <c r="G160" s="84" t="s">
        <v>284</v>
      </c>
      <c r="H160" s="28">
        <v>1518</v>
      </c>
      <c r="I160" s="85">
        <v>0.145</v>
      </c>
      <c r="J160" s="86">
        <v>0.15</v>
      </c>
      <c r="K160" s="86">
        <v>1</v>
      </c>
      <c r="L160" s="85">
        <v>0.013</v>
      </c>
      <c r="M160" s="85">
        <v>0.005</v>
      </c>
      <c r="N160" s="85" t="s">
        <v>35</v>
      </c>
      <c r="O160" s="85">
        <v>0.015</v>
      </c>
      <c r="P160" s="85">
        <v>0.025</v>
      </c>
      <c r="Q160" s="85">
        <v>0.02</v>
      </c>
      <c r="R160" s="85" t="s">
        <v>35</v>
      </c>
      <c r="S160" s="72"/>
      <c r="T160" s="86"/>
      <c r="U160" s="86"/>
      <c r="V160" s="86"/>
      <c r="W160" s="86"/>
      <c r="X160" s="72" t="s">
        <v>35</v>
      </c>
      <c r="Y160" s="53" t="s">
        <v>35</v>
      </c>
      <c r="Z160" s="28">
        <v>45</v>
      </c>
      <c r="AA160" s="53"/>
    </row>
    <row r="161" spans="1:27">
      <c r="A161" s="37">
        <v>157</v>
      </c>
      <c r="B161" s="28" t="s">
        <v>282</v>
      </c>
      <c r="C161" s="28" t="s">
        <v>102</v>
      </c>
      <c r="D161" s="28">
        <v>19.01</v>
      </c>
      <c r="E161" s="28">
        <v>25.4</v>
      </c>
      <c r="F161" s="28" t="s">
        <v>286</v>
      </c>
      <c r="G161" s="84" t="s">
        <v>284</v>
      </c>
      <c r="H161" s="28">
        <v>1518</v>
      </c>
      <c r="I161" s="85">
        <v>0.145</v>
      </c>
      <c r="J161" s="86">
        <v>0.15</v>
      </c>
      <c r="K161" s="86">
        <v>1.2</v>
      </c>
      <c r="L161" s="85">
        <v>0.015</v>
      </c>
      <c r="M161" s="85">
        <v>0.008</v>
      </c>
      <c r="N161" s="85" t="s">
        <v>35</v>
      </c>
      <c r="O161" s="85">
        <v>0.02</v>
      </c>
      <c r="P161" s="85">
        <v>0.02</v>
      </c>
      <c r="Q161" s="85">
        <v>0.02</v>
      </c>
      <c r="R161" s="85" t="s">
        <v>35</v>
      </c>
      <c r="S161" s="72"/>
      <c r="T161" s="86"/>
      <c r="U161" s="86"/>
      <c r="V161" s="86"/>
      <c r="W161" s="86"/>
      <c r="X161" s="72" t="s">
        <v>35</v>
      </c>
      <c r="Y161" s="53" t="s">
        <v>35</v>
      </c>
      <c r="Z161" s="28">
        <v>45</v>
      </c>
      <c r="AA161" s="53"/>
    </row>
    <row r="162" spans="1:27">
      <c r="A162" s="37">
        <v>158</v>
      </c>
      <c r="B162" s="28" t="s">
        <v>287</v>
      </c>
      <c r="C162" s="28" t="s">
        <v>33</v>
      </c>
      <c r="D162" s="28">
        <v>4</v>
      </c>
      <c r="E162" s="28">
        <v>12</v>
      </c>
      <c r="F162" s="28" t="s">
        <v>288</v>
      </c>
      <c r="G162" s="84" t="s">
        <v>289</v>
      </c>
      <c r="H162" s="28">
        <v>1524</v>
      </c>
      <c r="I162" s="85">
        <v>0.07</v>
      </c>
      <c r="J162" s="86">
        <v>0.15</v>
      </c>
      <c r="K162" s="86">
        <v>0.8</v>
      </c>
      <c r="L162" s="85">
        <v>0.015</v>
      </c>
      <c r="M162" s="85">
        <v>0.008</v>
      </c>
      <c r="N162" s="85"/>
      <c r="O162" s="85">
        <v>0.008</v>
      </c>
      <c r="P162" s="85">
        <v>0.035</v>
      </c>
      <c r="Q162" s="85" t="s">
        <v>35</v>
      </c>
      <c r="R162" s="85">
        <v>0.03</v>
      </c>
      <c r="S162" s="72"/>
      <c r="T162" s="86"/>
      <c r="U162" s="86"/>
      <c r="V162" s="86"/>
      <c r="W162" s="86"/>
      <c r="X162" s="72" t="s">
        <v>35</v>
      </c>
      <c r="Y162" s="53" t="s">
        <v>35</v>
      </c>
      <c r="Z162" s="28">
        <v>45</v>
      </c>
      <c r="AA162" s="53"/>
    </row>
    <row r="163" spans="1:27">
      <c r="A163" s="37">
        <v>159</v>
      </c>
      <c r="B163" s="28" t="s">
        <v>287</v>
      </c>
      <c r="C163" s="28" t="s">
        <v>30</v>
      </c>
      <c r="D163" s="28">
        <v>12.01</v>
      </c>
      <c r="E163" s="28">
        <v>19</v>
      </c>
      <c r="F163" s="28" t="s">
        <v>290</v>
      </c>
      <c r="G163" s="84" t="s">
        <v>289</v>
      </c>
      <c r="H163" s="28">
        <v>1524</v>
      </c>
      <c r="I163" s="85">
        <v>0.07</v>
      </c>
      <c r="J163" s="86">
        <v>0.15</v>
      </c>
      <c r="K163" s="86">
        <v>1</v>
      </c>
      <c r="L163" s="85">
        <v>0.015</v>
      </c>
      <c r="M163" s="85">
        <v>0.008</v>
      </c>
      <c r="N163" s="85"/>
      <c r="O163" s="85">
        <v>0.008</v>
      </c>
      <c r="P163" s="85">
        <v>0.035</v>
      </c>
      <c r="Q163" s="85" t="s">
        <v>35</v>
      </c>
      <c r="R163" s="85">
        <v>0.03</v>
      </c>
      <c r="S163" s="72"/>
      <c r="T163" s="86"/>
      <c r="U163" s="86"/>
      <c r="V163" s="86"/>
      <c r="W163" s="86"/>
      <c r="X163" s="72" t="s">
        <v>35</v>
      </c>
      <c r="Y163" s="53" t="s">
        <v>35</v>
      </c>
      <c r="Z163" s="28">
        <v>45</v>
      </c>
      <c r="AA163" s="53"/>
    </row>
    <row r="164" spans="1:27">
      <c r="A164" s="37">
        <v>160</v>
      </c>
      <c r="B164" s="28" t="s">
        <v>291</v>
      </c>
      <c r="C164" s="28" t="s">
        <v>33</v>
      </c>
      <c r="D164" s="28">
        <v>5</v>
      </c>
      <c r="E164" s="28">
        <v>12</v>
      </c>
      <c r="F164" s="28" t="s">
        <v>292</v>
      </c>
      <c r="G164" s="84" t="s">
        <v>293</v>
      </c>
      <c r="H164" s="28">
        <v>1524</v>
      </c>
      <c r="I164" s="85">
        <v>0.07</v>
      </c>
      <c r="J164" s="86">
        <v>0.16</v>
      </c>
      <c r="K164" s="86">
        <v>1.3</v>
      </c>
      <c r="L164" s="85">
        <v>0.015</v>
      </c>
      <c r="M164" s="85">
        <v>0.005</v>
      </c>
      <c r="N164" s="85"/>
      <c r="O164" s="85">
        <v>0.025</v>
      </c>
      <c r="P164" s="85">
        <v>0.03</v>
      </c>
      <c r="Q164" s="85" t="s">
        <v>35</v>
      </c>
      <c r="R164" s="85">
        <v>0.03</v>
      </c>
      <c r="S164" s="72"/>
      <c r="T164" s="86"/>
      <c r="U164" s="86"/>
      <c r="V164" s="86"/>
      <c r="W164" s="86"/>
      <c r="X164" s="72" t="s">
        <v>35</v>
      </c>
      <c r="Y164" s="53" t="s">
        <v>35</v>
      </c>
      <c r="Z164" s="28">
        <v>45</v>
      </c>
      <c r="AA164" s="53"/>
    </row>
    <row r="165" spans="1:27">
      <c r="A165" s="37">
        <v>161</v>
      </c>
      <c r="B165" s="28" t="s">
        <v>291</v>
      </c>
      <c r="C165" s="28" t="s">
        <v>30</v>
      </c>
      <c r="D165" s="28">
        <v>12.01</v>
      </c>
      <c r="E165" s="28">
        <v>20</v>
      </c>
      <c r="F165" s="28" t="s">
        <v>294</v>
      </c>
      <c r="G165" s="84" t="s">
        <v>293</v>
      </c>
      <c r="H165" s="28">
        <v>1524</v>
      </c>
      <c r="I165" s="85">
        <v>0.07</v>
      </c>
      <c r="J165" s="86">
        <v>0.16</v>
      </c>
      <c r="K165" s="86">
        <v>1.45</v>
      </c>
      <c r="L165" s="85">
        <v>0.015</v>
      </c>
      <c r="M165" s="85">
        <v>0.005</v>
      </c>
      <c r="N165" s="85"/>
      <c r="O165" s="85">
        <v>0.03</v>
      </c>
      <c r="P165" s="85">
        <v>0.03</v>
      </c>
      <c r="Q165" s="85" t="s">
        <v>35</v>
      </c>
      <c r="R165" s="85">
        <v>0.03</v>
      </c>
      <c r="S165" s="72"/>
      <c r="T165" s="86"/>
      <c r="U165" s="86"/>
      <c r="V165" s="86"/>
      <c r="W165" s="86"/>
      <c r="X165" s="72" t="s">
        <v>35</v>
      </c>
      <c r="Y165" s="53" t="s">
        <v>35</v>
      </c>
      <c r="Z165" s="28">
        <v>45</v>
      </c>
      <c r="AA165" s="53"/>
    </row>
    <row r="166" spans="1:27">
      <c r="A166" s="37">
        <v>162</v>
      </c>
      <c r="B166" s="28" t="s">
        <v>295</v>
      </c>
      <c r="C166" s="28" t="s">
        <v>30</v>
      </c>
      <c r="D166" s="28">
        <v>2</v>
      </c>
      <c r="E166" s="28">
        <v>5.99</v>
      </c>
      <c r="F166" s="28" t="s">
        <v>296</v>
      </c>
      <c r="G166" s="84" t="s">
        <v>297</v>
      </c>
      <c r="H166" s="28">
        <v>1524</v>
      </c>
      <c r="I166" s="85">
        <v>0.07</v>
      </c>
      <c r="J166" s="86">
        <v>0.08</v>
      </c>
      <c r="K166" s="86">
        <v>0.95</v>
      </c>
      <c r="L166" s="85">
        <v>0.015</v>
      </c>
      <c r="M166" s="85">
        <v>0.004</v>
      </c>
      <c r="N166" s="85"/>
      <c r="O166" s="85">
        <v>0.01</v>
      </c>
      <c r="P166" s="85">
        <v>0.04</v>
      </c>
      <c r="Q166" s="85">
        <v>0.025</v>
      </c>
      <c r="R166" s="85" t="s">
        <v>35</v>
      </c>
      <c r="S166" s="72"/>
      <c r="T166" s="86"/>
      <c r="U166" s="86"/>
      <c r="V166" s="86"/>
      <c r="W166" s="86"/>
      <c r="X166" s="72" t="s">
        <v>35</v>
      </c>
      <c r="Y166" s="53" t="s">
        <v>35</v>
      </c>
      <c r="Z166" s="28">
        <v>45</v>
      </c>
      <c r="AA166" s="53"/>
    </row>
    <row r="167" spans="1:27">
      <c r="A167" s="37">
        <v>163</v>
      </c>
      <c r="B167" s="28" t="s">
        <v>295</v>
      </c>
      <c r="C167" s="28" t="s">
        <v>33</v>
      </c>
      <c r="D167" s="28">
        <v>6</v>
      </c>
      <c r="E167" s="28">
        <v>16</v>
      </c>
      <c r="F167" s="28" t="s">
        <v>298</v>
      </c>
      <c r="G167" s="84" t="s">
        <v>297</v>
      </c>
      <c r="H167" s="28">
        <v>1524</v>
      </c>
      <c r="I167" s="85">
        <v>0.07</v>
      </c>
      <c r="J167" s="86">
        <v>0.08</v>
      </c>
      <c r="K167" s="86">
        <v>1</v>
      </c>
      <c r="L167" s="85">
        <v>0.015</v>
      </c>
      <c r="M167" s="85">
        <v>0.004</v>
      </c>
      <c r="N167" s="85"/>
      <c r="O167" s="85">
        <v>0.015</v>
      </c>
      <c r="P167" s="85">
        <v>0.04</v>
      </c>
      <c r="Q167" s="85">
        <v>0.025</v>
      </c>
      <c r="R167" s="85" t="s">
        <v>35</v>
      </c>
      <c r="S167" s="72"/>
      <c r="T167" s="86"/>
      <c r="U167" s="86"/>
      <c r="V167" s="86"/>
      <c r="W167" s="86"/>
      <c r="X167" s="72" t="s">
        <v>35</v>
      </c>
      <c r="Y167" s="53" t="s">
        <v>35</v>
      </c>
      <c r="Z167" s="28">
        <v>45</v>
      </c>
      <c r="AA167" s="53"/>
    </row>
    <row r="168" spans="1:27">
      <c r="A168" s="37">
        <v>164</v>
      </c>
      <c r="B168" s="28" t="s">
        <v>299</v>
      </c>
      <c r="C168" s="28" t="s">
        <v>30</v>
      </c>
      <c r="D168" s="28">
        <v>2</v>
      </c>
      <c r="E168" s="28">
        <v>5.99</v>
      </c>
      <c r="F168" s="28" t="s">
        <v>300</v>
      </c>
      <c r="G168" s="84" t="s">
        <v>301</v>
      </c>
      <c r="H168" s="28">
        <v>1524</v>
      </c>
      <c r="I168" s="85">
        <v>0.07</v>
      </c>
      <c r="J168" s="86">
        <v>0.08</v>
      </c>
      <c r="K168" s="86">
        <v>1.2</v>
      </c>
      <c r="L168" s="85">
        <v>0.015</v>
      </c>
      <c r="M168" s="85">
        <v>0.003</v>
      </c>
      <c r="N168" s="85"/>
      <c r="O168" s="85">
        <v>0.015</v>
      </c>
      <c r="P168" s="85">
        <v>0.055</v>
      </c>
      <c r="Q168" s="85">
        <v>0.025</v>
      </c>
      <c r="R168" s="85" t="s">
        <v>35</v>
      </c>
      <c r="S168" s="72"/>
      <c r="T168" s="86"/>
      <c r="U168" s="86"/>
      <c r="V168" s="86"/>
      <c r="W168" s="86"/>
      <c r="X168" s="72" t="s">
        <v>35</v>
      </c>
      <c r="Y168" s="53" t="s">
        <v>35</v>
      </c>
      <c r="Z168" s="28">
        <v>45</v>
      </c>
      <c r="AA168" s="53"/>
    </row>
    <row r="169" spans="1:27">
      <c r="A169" s="37">
        <v>165</v>
      </c>
      <c r="B169" s="28" t="s">
        <v>299</v>
      </c>
      <c r="C169" s="28" t="s">
        <v>33</v>
      </c>
      <c r="D169" s="28">
        <v>6</v>
      </c>
      <c r="E169" s="28">
        <v>20</v>
      </c>
      <c r="F169" s="28" t="s">
        <v>302</v>
      </c>
      <c r="G169" s="84" t="s">
        <v>301</v>
      </c>
      <c r="H169" s="28">
        <v>1524</v>
      </c>
      <c r="I169" s="85">
        <v>0.07</v>
      </c>
      <c r="J169" s="86">
        <v>0.08</v>
      </c>
      <c r="K169" s="86">
        <v>1.35</v>
      </c>
      <c r="L169" s="85">
        <v>0.015</v>
      </c>
      <c r="M169" s="85">
        <v>0.003</v>
      </c>
      <c r="N169" s="85"/>
      <c r="O169" s="85">
        <v>0.03</v>
      </c>
      <c r="P169" s="85">
        <v>0.04</v>
      </c>
      <c r="Q169" s="85">
        <v>0.025</v>
      </c>
      <c r="R169" s="85" t="s">
        <v>35</v>
      </c>
      <c r="S169" s="72"/>
      <c r="T169" s="86"/>
      <c r="U169" s="86"/>
      <c r="V169" s="86"/>
      <c r="W169" s="86"/>
      <c r="X169" s="72" t="s">
        <v>35</v>
      </c>
      <c r="Y169" s="53" t="s">
        <v>35</v>
      </c>
      <c r="Z169" s="28">
        <v>45</v>
      </c>
      <c r="AA169" s="53"/>
    </row>
    <row r="170" spans="1:27">
      <c r="A170" s="37">
        <v>166</v>
      </c>
      <c r="B170" s="28" t="s">
        <v>303</v>
      </c>
      <c r="C170" s="28" t="s">
        <v>30</v>
      </c>
      <c r="D170" s="28">
        <v>2</v>
      </c>
      <c r="E170" s="28">
        <v>5.99</v>
      </c>
      <c r="F170" s="28" t="s">
        <v>304</v>
      </c>
      <c r="G170" s="84" t="s">
        <v>305</v>
      </c>
      <c r="H170" s="28">
        <v>1523</v>
      </c>
      <c r="I170" s="85">
        <v>0.075</v>
      </c>
      <c r="J170" s="86">
        <v>0.1</v>
      </c>
      <c r="K170" s="86">
        <v>1</v>
      </c>
      <c r="L170" s="85">
        <v>0.015</v>
      </c>
      <c r="M170" s="85">
        <v>0.005</v>
      </c>
      <c r="N170" s="85"/>
      <c r="O170" s="85">
        <v>0.01</v>
      </c>
      <c r="P170" s="85">
        <v>0.06</v>
      </c>
      <c r="Q170" s="85">
        <v>0.03</v>
      </c>
      <c r="R170" s="85" t="s">
        <v>35</v>
      </c>
      <c r="S170" s="72">
        <v>0.002</v>
      </c>
      <c r="T170" s="86"/>
      <c r="U170" s="86"/>
      <c r="V170" s="86"/>
      <c r="W170" s="86"/>
      <c r="X170" s="72" t="s">
        <v>35</v>
      </c>
      <c r="Y170" s="53" t="s">
        <v>35</v>
      </c>
      <c r="Z170" s="28">
        <v>45</v>
      </c>
      <c r="AA170" s="53"/>
    </row>
    <row r="171" spans="1:27">
      <c r="A171" s="37">
        <v>167</v>
      </c>
      <c r="B171" s="28" t="s">
        <v>303</v>
      </c>
      <c r="C171" s="28" t="s">
        <v>33</v>
      </c>
      <c r="D171" s="28">
        <v>6</v>
      </c>
      <c r="E171" s="28">
        <v>14</v>
      </c>
      <c r="F171" s="28" t="s">
        <v>306</v>
      </c>
      <c r="G171" s="84" t="s">
        <v>305</v>
      </c>
      <c r="H171" s="28">
        <v>1523</v>
      </c>
      <c r="I171" s="85">
        <v>0.075</v>
      </c>
      <c r="J171" s="86">
        <v>0.1</v>
      </c>
      <c r="K171" s="86">
        <v>1.1</v>
      </c>
      <c r="L171" s="85">
        <v>0.015</v>
      </c>
      <c r="M171" s="85">
        <v>0.005</v>
      </c>
      <c r="N171" s="85"/>
      <c r="O171" s="85">
        <v>0.01</v>
      </c>
      <c r="P171" s="85">
        <v>0.07</v>
      </c>
      <c r="Q171" s="85">
        <v>0.03</v>
      </c>
      <c r="R171" s="85" t="s">
        <v>35</v>
      </c>
      <c r="S171" s="72">
        <v>0.002</v>
      </c>
      <c r="T171" s="86"/>
      <c r="U171" s="86"/>
      <c r="V171" s="86"/>
      <c r="W171" s="86"/>
      <c r="X171" s="72" t="s">
        <v>35</v>
      </c>
      <c r="Y171" s="53" t="s">
        <v>35</v>
      </c>
      <c r="Z171" s="28">
        <v>45</v>
      </c>
      <c r="AA171" s="53"/>
    </row>
    <row r="172" spans="1:27">
      <c r="A172" s="37">
        <v>168</v>
      </c>
      <c r="B172" s="28" t="s">
        <v>307</v>
      </c>
      <c r="C172" s="28" t="s">
        <v>30</v>
      </c>
      <c r="D172" s="28">
        <v>2</v>
      </c>
      <c r="E172" s="28">
        <v>5.99</v>
      </c>
      <c r="F172" s="28" t="s">
        <v>308</v>
      </c>
      <c r="G172" s="84" t="s">
        <v>309</v>
      </c>
      <c r="H172" s="28">
        <v>1524</v>
      </c>
      <c r="I172" s="85">
        <v>0.07</v>
      </c>
      <c r="J172" s="86">
        <v>0.08</v>
      </c>
      <c r="K172" s="86">
        <v>0.95</v>
      </c>
      <c r="L172" s="85">
        <v>0.015</v>
      </c>
      <c r="M172" s="85">
        <v>0.004</v>
      </c>
      <c r="N172" s="85"/>
      <c r="O172" s="85">
        <v>0.01</v>
      </c>
      <c r="P172" s="85">
        <v>0.04</v>
      </c>
      <c r="Q172" s="85">
        <v>0.025</v>
      </c>
      <c r="R172" s="85" t="s">
        <v>35</v>
      </c>
      <c r="S172" s="72"/>
      <c r="T172" s="86"/>
      <c r="U172" s="86"/>
      <c r="V172" s="86"/>
      <c r="W172" s="86"/>
      <c r="X172" s="72" t="s">
        <v>35</v>
      </c>
      <c r="Y172" s="53" t="s">
        <v>35</v>
      </c>
      <c r="Z172" s="28">
        <v>45</v>
      </c>
      <c r="AA172" s="53"/>
    </row>
    <row r="173" spans="1:27">
      <c r="A173" s="37">
        <v>169</v>
      </c>
      <c r="B173" s="28" t="s">
        <v>307</v>
      </c>
      <c r="C173" s="28" t="s">
        <v>33</v>
      </c>
      <c r="D173" s="28">
        <v>6</v>
      </c>
      <c r="E173" s="28">
        <v>12</v>
      </c>
      <c r="F173" s="28" t="s">
        <v>310</v>
      </c>
      <c r="G173" s="84" t="s">
        <v>309</v>
      </c>
      <c r="H173" s="28">
        <v>1524</v>
      </c>
      <c r="I173" s="85">
        <v>0.07</v>
      </c>
      <c r="J173" s="86">
        <v>0.08</v>
      </c>
      <c r="K173" s="86">
        <v>1</v>
      </c>
      <c r="L173" s="85">
        <v>0.015</v>
      </c>
      <c r="M173" s="85">
        <v>0.004</v>
      </c>
      <c r="N173" s="85"/>
      <c r="O173" s="85">
        <v>0.015</v>
      </c>
      <c r="P173" s="85">
        <v>0.04</v>
      </c>
      <c r="Q173" s="85">
        <v>0.025</v>
      </c>
      <c r="R173" s="85" t="s">
        <v>35</v>
      </c>
      <c r="S173" s="72"/>
      <c r="T173" s="86"/>
      <c r="U173" s="86"/>
      <c r="V173" s="86"/>
      <c r="W173" s="86"/>
      <c r="X173" s="72" t="s">
        <v>35</v>
      </c>
      <c r="Y173" s="53" t="s">
        <v>35</v>
      </c>
      <c r="Z173" s="28">
        <v>45</v>
      </c>
      <c r="AA173" s="53"/>
    </row>
    <row r="174" spans="1:27">
      <c r="A174" s="37">
        <v>170</v>
      </c>
      <c r="B174" s="28" t="s">
        <v>311</v>
      </c>
      <c r="C174" s="28" t="s">
        <v>30</v>
      </c>
      <c r="D174" s="28">
        <v>2</v>
      </c>
      <c r="E174" s="28">
        <v>5.99</v>
      </c>
      <c r="F174" s="28" t="s">
        <v>312</v>
      </c>
      <c r="G174" s="84" t="s">
        <v>313</v>
      </c>
      <c r="H174" s="28">
        <v>1523</v>
      </c>
      <c r="I174" s="85">
        <v>0.075</v>
      </c>
      <c r="J174" s="86">
        <v>0.1</v>
      </c>
      <c r="K174" s="86">
        <v>1</v>
      </c>
      <c r="L174" s="85">
        <v>0.015</v>
      </c>
      <c r="M174" s="85">
        <v>0.005</v>
      </c>
      <c r="N174" s="85"/>
      <c r="O174" s="85">
        <v>0.01</v>
      </c>
      <c r="P174" s="85">
        <v>0.06</v>
      </c>
      <c r="Q174" s="85">
        <v>0.03</v>
      </c>
      <c r="R174" s="85" t="s">
        <v>35</v>
      </c>
      <c r="S174" s="72">
        <v>0.002</v>
      </c>
      <c r="T174" s="86"/>
      <c r="U174" s="86"/>
      <c r="V174" s="86"/>
      <c r="W174" s="86"/>
      <c r="X174" s="72" t="s">
        <v>35</v>
      </c>
      <c r="Y174" s="53" t="s">
        <v>35</v>
      </c>
      <c r="Z174" s="28">
        <v>45</v>
      </c>
      <c r="AA174" s="53"/>
    </row>
    <row r="175" spans="1:27">
      <c r="A175" s="37">
        <v>171</v>
      </c>
      <c r="B175" s="28" t="s">
        <v>311</v>
      </c>
      <c r="C175" s="28" t="s">
        <v>33</v>
      </c>
      <c r="D175" s="28">
        <v>6</v>
      </c>
      <c r="E175" s="28">
        <v>14</v>
      </c>
      <c r="F175" s="28" t="s">
        <v>314</v>
      </c>
      <c r="G175" s="84" t="s">
        <v>313</v>
      </c>
      <c r="H175" s="28">
        <v>1523</v>
      </c>
      <c r="I175" s="85">
        <v>0.075</v>
      </c>
      <c r="J175" s="86">
        <v>0.1</v>
      </c>
      <c r="K175" s="86">
        <v>1.1</v>
      </c>
      <c r="L175" s="85">
        <v>0.015</v>
      </c>
      <c r="M175" s="85">
        <v>0.005</v>
      </c>
      <c r="N175" s="85"/>
      <c r="O175" s="85">
        <v>0.01</v>
      </c>
      <c r="P175" s="85">
        <v>0.07</v>
      </c>
      <c r="Q175" s="85">
        <v>0.03</v>
      </c>
      <c r="R175" s="85" t="s">
        <v>35</v>
      </c>
      <c r="S175" s="72">
        <v>0.002</v>
      </c>
      <c r="T175" s="86"/>
      <c r="U175" s="86"/>
      <c r="V175" s="86"/>
      <c r="W175" s="86"/>
      <c r="X175" s="72" t="s">
        <v>35</v>
      </c>
      <c r="Y175" s="53" t="s">
        <v>35</v>
      </c>
      <c r="Z175" s="28">
        <v>45</v>
      </c>
      <c r="AA175" s="53"/>
    </row>
    <row r="176" spans="1:27">
      <c r="A176" s="37">
        <v>172</v>
      </c>
      <c r="B176" s="28" t="s">
        <v>315</v>
      </c>
      <c r="C176" s="28" t="s">
        <v>30</v>
      </c>
      <c r="D176" s="28">
        <v>2.5</v>
      </c>
      <c r="E176" s="28">
        <v>5.99</v>
      </c>
      <c r="F176" s="28" t="s">
        <v>316</v>
      </c>
      <c r="G176" s="84" t="s">
        <v>317</v>
      </c>
      <c r="H176" s="28">
        <v>1516</v>
      </c>
      <c r="I176" s="85">
        <v>0.075</v>
      </c>
      <c r="J176" s="86">
        <v>0.2</v>
      </c>
      <c r="K176" s="86">
        <v>1.75</v>
      </c>
      <c r="L176" s="85">
        <v>0.015</v>
      </c>
      <c r="M176" s="85">
        <v>0.005</v>
      </c>
      <c r="N176" s="85"/>
      <c r="O176" s="85">
        <v>0.07</v>
      </c>
      <c r="P176" s="85">
        <v>0.115</v>
      </c>
      <c r="Q176" s="85">
        <v>0.03</v>
      </c>
      <c r="R176" s="85" t="s">
        <v>35</v>
      </c>
      <c r="S176" s="72">
        <v>0.002</v>
      </c>
      <c r="T176" s="86"/>
      <c r="U176" s="86"/>
      <c r="V176" s="86"/>
      <c r="W176" s="86"/>
      <c r="X176" s="72" t="s">
        <v>35</v>
      </c>
      <c r="Y176" s="53" t="s">
        <v>35</v>
      </c>
      <c r="Z176" s="28">
        <v>45</v>
      </c>
      <c r="AA176" s="53"/>
    </row>
    <row r="177" spans="1:27">
      <c r="A177" s="37">
        <v>173</v>
      </c>
      <c r="B177" s="28" t="s">
        <v>315</v>
      </c>
      <c r="C177" s="28" t="s">
        <v>33</v>
      </c>
      <c r="D177" s="28">
        <v>6</v>
      </c>
      <c r="E177" s="28">
        <v>14</v>
      </c>
      <c r="F177" s="28" t="s">
        <v>318</v>
      </c>
      <c r="G177" s="84" t="s">
        <v>317</v>
      </c>
      <c r="H177" s="28">
        <v>1516</v>
      </c>
      <c r="I177" s="85">
        <v>0.075</v>
      </c>
      <c r="J177" s="86">
        <v>0.2</v>
      </c>
      <c r="K177" s="86">
        <v>1.85</v>
      </c>
      <c r="L177" s="85">
        <v>0.015</v>
      </c>
      <c r="M177" s="85">
        <v>0.005</v>
      </c>
      <c r="N177" s="85"/>
      <c r="O177" s="85">
        <v>0.075</v>
      </c>
      <c r="P177" s="85">
        <v>0.115</v>
      </c>
      <c r="Q177" s="85">
        <v>0.03</v>
      </c>
      <c r="R177" s="85" t="s">
        <v>35</v>
      </c>
      <c r="S177" s="72">
        <v>0.002</v>
      </c>
      <c r="T177" s="86"/>
      <c r="U177" s="86"/>
      <c r="V177" s="86"/>
      <c r="W177" s="86"/>
      <c r="X177" s="72" t="s">
        <v>35</v>
      </c>
      <c r="Y177" s="53" t="s">
        <v>35</v>
      </c>
      <c r="Z177" s="28">
        <v>45</v>
      </c>
      <c r="AA177" s="53"/>
    </row>
    <row r="178" spans="1:27">
      <c r="A178" s="37">
        <v>174</v>
      </c>
      <c r="B178" s="28" t="s">
        <v>319</v>
      </c>
      <c r="C178" s="28" t="s">
        <v>30</v>
      </c>
      <c r="D178" s="28">
        <v>8</v>
      </c>
      <c r="E178" s="28">
        <v>14</v>
      </c>
      <c r="F178" s="28" t="s">
        <v>319</v>
      </c>
      <c r="G178" s="84" t="s">
        <v>320</v>
      </c>
      <c r="H178" s="28">
        <v>1516</v>
      </c>
      <c r="I178" s="85">
        <v>0.075</v>
      </c>
      <c r="J178" s="86">
        <v>0.25</v>
      </c>
      <c r="K178" s="86">
        <v>1.8</v>
      </c>
      <c r="L178" s="85">
        <v>0.02</v>
      </c>
      <c r="M178" s="85">
        <v>0.01</v>
      </c>
      <c r="N178" s="85" t="s">
        <v>35</v>
      </c>
      <c r="O178" s="85">
        <v>0.01</v>
      </c>
      <c r="P178" s="85">
        <v>0.095</v>
      </c>
      <c r="Q178" s="85">
        <v>0.03</v>
      </c>
      <c r="R178" s="85" t="s">
        <v>35</v>
      </c>
      <c r="S178" s="72" t="s">
        <v>35</v>
      </c>
      <c r="T178" s="86" t="s">
        <v>35</v>
      </c>
      <c r="U178" s="86" t="s">
        <v>35</v>
      </c>
      <c r="V178" s="86" t="s">
        <v>35</v>
      </c>
      <c r="W178" s="86"/>
      <c r="X178" s="72" t="s">
        <v>35</v>
      </c>
      <c r="Y178" s="53" t="s">
        <v>35</v>
      </c>
      <c r="Z178" s="28">
        <v>45</v>
      </c>
      <c r="AA178" s="53"/>
    </row>
    <row r="179" spans="1:27">
      <c r="A179" s="37">
        <v>175</v>
      </c>
      <c r="B179" s="28" t="s">
        <v>321</v>
      </c>
      <c r="C179" s="28" t="s">
        <v>30</v>
      </c>
      <c r="D179" s="28">
        <v>3</v>
      </c>
      <c r="E179" s="28">
        <v>12</v>
      </c>
      <c r="F179" s="28" t="s">
        <v>321</v>
      </c>
      <c r="G179" s="84" t="s">
        <v>322</v>
      </c>
      <c r="H179" s="28">
        <v>1520</v>
      </c>
      <c r="I179" s="85">
        <v>0.08</v>
      </c>
      <c r="J179" s="86">
        <v>0.25</v>
      </c>
      <c r="K179" s="86">
        <v>1.3</v>
      </c>
      <c r="L179" s="85">
        <v>0.018</v>
      </c>
      <c r="M179" s="85">
        <v>0.01</v>
      </c>
      <c r="N179" s="85" t="s">
        <v>35</v>
      </c>
      <c r="O179" s="85">
        <v>0.01</v>
      </c>
      <c r="P179" s="85">
        <v>0.02</v>
      </c>
      <c r="Q179" s="85">
        <v>0.03</v>
      </c>
      <c r="R179" s="85" t="s">
        <v>35</v>
      </c>
      <c r="S179" s="72"/>
      <c r="T179" s="86"/>
      <c r="U179" s="86"/>
      <c r="V179" s="86"/>
      <c r="W179" s="86"/>
      <c r="X179" s="72" t="s">
        <v>35</v>
      </c>
      <c r="Y179" s="53" t="s">
        <v>35</v>
      </c>
      <c r="Z179" s="28">
        <v>45</v>
      </c>
      <c r="AA179" s="53"/>
    </row>
    <row r="180" spans="1:27">
      <c r="A180" s="37">
        <v>176</v>
      </c>
      <c r="B180" s="28" t="s">
        <v>323</v>
      </c>
      <c r="C180" s="28" t="s">
        <v>30</v>
      </c>
      <c r="D180" s="28">
        <v>2.5</v>
      </c>
      <c r="E180" s="28">
        <v>8</v>
      </c>
      <c r="F180" s="28" t="s">
        <v>323</v>
      </c>
      <c r="G180" s="84" t="s">
        <v>324</v>
      </c>
      <c r="H180" s="28">
        <v>1514</v>
      </c>
      <c r="I180" s="85">
        <v>0.15</v>
      </c>
      <c r="J180" s="86">
        <v>0.15</v>
      </c>
      <c r="K180" s="86">
        <v>1</v>
      </c>
      <c r="L180" s="85">
        <v>0.015</v>
      </c>
      <c r="M180" s="85">
        <v>0.004</v>
      </c>
      <c r="N180" s="85" t="s">
        <v>35</v>
      </c>
      <c r="O180" s="85">
        <v>0.015</v>
      </c>
      <c r="P180" s="85">
        <v>0.105</v>
      </c>
      <c r="Q180" s="85">
        <v>0.03</v>
      </c>
      <c r="R180" s="85" t="s">
        <v>35</v>
      </c>
      <c r="S180" s="72" t="s">
        <v>35</v>
      </c>
      <c r="T180" s="86"/>
      <c r="U180" s="86"/>
      <c r="V180" s="86"/>
      <c r="W180" s="86"/>
      <c r="X180" s="72" t="s">
        <v>35</v>
      </c>
      <c r="Y180" s="53" t="s">
        <v>35</v>
      </c>
      <c r="Z180" s="28">
        <v>40</v>
      </c>
      <c r="AA180" s="53" t="s">
        <v>325</v>
      </c>
    </row>
    <row r="181" spans="1:27">
      <c r="A181" s="37">
        <v>177</v>
      </c>
      <c r="B181" s="28" t="s">
        <v>326</v>
      </c>
      <c r="C181" s="28" t="s">
        <v>30</v>
      </c>
      <c r="D181" s="28">
        <v>3</v>
      </c>
      <c r="E181" s="28">
        <v>14</v>
      </c>
      <c r="F181" s="28" t="s">
        <v>327</v>
      </c>
      <c r="G181" s="84" t="s">
        <v>328</v>
      </c>
      <c r="H181" s="28">
        <v>1518</v>
      </c>
      <c r="I181" s="85">
        <v>0.16</v>
      </c>
      <c r="J181" s="86">
        <v>0.1</v>
      </c>
      <c r="K181" s="86">
        <v>0.65</v>
      </c>
      <c r="L181" s="85">
        <v>0.015</v>
      </c>
      <c r="M181" s="85">
        <v>0.004</v>
      </c>
      <c r="N181" s="85"/>
      <c r="O181" s="85"/>
      <c r="P181" s="85">
        <v>0.01</v>
      </c>
      <c r="Q181" s="85">
        <v>0.02</v>
      </c>
      <c r="R181" s="85" t="s">
        <v>35</v>
      </c>
      <c r="S181" s="72"/>
      <c r="T181" s="86"/>
      <c r="U181" s="86"/>
      <c r="V181" s="86"/>
      <c r="W181" s="86"/>
      <c r="X181" s="72" t="s">
        <v>35</v>
      </c>
      <c r="Y181" s="53" t="s">
        <v>35</v>
      </c>
      <c r="Z181" s="28">
        <v>45</v>
      </c>
      <c r="AA181" s="53" t="s">
        <v>35</v>
      </c>
    </row>
    <row r="182" spans="1:27">
      <c r="A182" s="37">
        <v>178</v>
      </c>
      <c r="B182" s="28" t="s">
        <v>326</v>
      </c>
      <c r="C182" s="28" t="s">
        <v>33</v>
      </c>
      <c r="D182" s="28">
        <v>14.01</v>
      </c>
      <c r="E182" s="28">
        <v>25.4</v>
      </c>
      <c r="F182" s="28" t="s">
        <v>329</v>
      </c>
      <c r="G182" s="84" t="s">
        <v>328</v>
      </c>
      <c r="H182" s="28">
        <v>1518</v>
      </c>
      <c r="I182" s="85">
        <v>0.16</v>
      </c>
      <c r="J182" s="86">
        <v>0.1</v>
      </c>
      <c r="K182" s="86">
        <v>0.65</v>
      </c>
      <c r="L182" s="85">
        <v>0.015</v>
      </c>
      <c r="M182" s="85">
        <v>0.004</v>
      </c>
      <c r="N182" s="85"/>
      <c r="O182" s="85">
        <v>0.006</v>
      </c>
      <c r="P182" s="85">
        <v>0.012</v>
      </c>
      <c r="Q182" s="85">
        <v>0.02</v>
      </c>
      <c r="R182" s="85" t="s">
        <v>35</v>
      </c>
      <c r="S182" s="72"/>
      <c r="T182" s="86"/>
      <c r="U182" s="86"/>
      <c r="V182" s="86"/>
      <c r="W182" s="86"/>
      <c r="X182" s="72" t="s">
        <v>35</v>
      </c>
      <c r="Y182" s="53" t="s">
        <v>35</v>
      </c>
      <c r="Z182" s="28">
        <v>45</v>
      </c>
      <c r="AA182" s="53" t="s">
        <v>35</v>
      </c>
    </row>
    <row r="183" spans="1:27">
      <c r="A183" s="37">
        <v>179</v>
      </c>
      <c r="B183" s="28" t="s">
        <v>330</v>
      </c>
      <c r="C183" s="28" t="s">
        <v>30</v>
      </c>
      <c r="D183" s="28">
        <v>3</v>
      </c>
      <c r="E183" s="28">
        <v>14</v>
      </c>
      <c r="F183" s="28" t="s">
        <v>330</v>
      </c>
      <c r="G183" s="84" t="s">
        <v>331</v>
      </c>
      <c r="H183" s="28">
        <v>1513</v>
      </c>
      <c r="I183" s="85">
        <v>0.15</v>
      </c>
      <c r="J183" s="86">
        <v>0.1</v>
      </c>
      <c r="K183" s="86">
        <v>1.3</v>
      </c>
      <c r="L183" s="85">
        <v>0.015</v>
      </c>
      <c r="M183" s="85">
        <v>0.004</v>
      </c>
      <c r="N183" s="85"/>
      <c r="O183" s="85">
        <v>0.006</v>
      </c>
      <c r="P183" s="85">
        <v>0.025</v>
      </c>
      <c r="Q183" s="85">
        <v>0.025</v>
      </c>
      <c r="R183" s="85" t="s">
        <v>35</v>
      </c>
      <c r="S183" s="72" t="s">
        <v>35</v>
      </c>
      <c r="T183" s="86"/>
      <c r="U183" s="86"/>
      <c r="V183" s="86"/>
      <c r="W183" s="86"/>
      <c r="X183" s="72" t="s">
        <v>35</v>
      </c>
      <c r="Y183" s="53" t="s">
        <v>35</v>
      </c>
      <c r="Z183" s="28"/>
      <c r="AA183" s="53" t="s">
        <v>35</v>
      </c>
    </row>
    <row r="184" spans="1:27">
      <c r="A184" s="37">
        <v>180</v>
      </c>
      <c r="B184" s="28" t="s">
        <v>330</v>
      </c>
      <c r="C184" s="28" t="s">
        <v>33</v>
      </c>
      <c r="D184" s="28">
        <v>14.01</v>
      </c>
      <c r="E184" s="28">
        <v>28</v>
      </c>
      <c r="F184" s="28" t="s">
        <v>332</v>
      </c>
      <c r="G184" s="84" t="s">
        <v>331</v>
      </c>
      <c r="H184" s="28">
        <v>1513</v>
      </c>
      <c r="I184" s="85">
        <v>0.16</v>
      </c>
      <c r="J184" s="86">
        <v>0.1</v>
      </c>
      <c r="K184" s="86">
        <v>1.4</v>
      </c>
      <c r="L184" s="85">
        <v>0.015</v>
      </c>
      <c r="M184" s="85">
        <v>0.004</v>
      </c>
      <c r="N184" s="85"/>
      <c r="O184" s="85">
        <v>0.015</v>
      </c>
      <c r="P184" s="85">
        <v>0.02</v>
      </c>
      <c r="Q184" s="85">
        <v>0.025</v>
      </c>
      <c r="R184" s="85" t="s">
        <v>35</v>
      </c>
      <c r="S184" s="72" t="s">
        <v>35</v>
      </c>
      <c r="T184" s="86"/>
      <c r="U184" s="86"/>
      <c r="V184" s="86"/>
      <c r="W184" s="86"/>
      <c r="X184" s="72" t="s">
        <v>35</v>
      </c>
      <c r="Y184" s="53" t="s">
        <v>35</v>
      </c>
      <c r="Z184" s="28">
        <v>50</v>
      </c>
      <c r="AA184" s="53" t="s">
        <v>35</v>
      </c>
    </row>
    <row r="185" spans="1:27">
      <c r="A185" s="37">
        <v>181</v>
      </c>
      <c r="B185" s="28" t="s">
        <v>333</v>
      </c>
      <c r="C185" s="28" t="s">
        <v>30</v>
      </c>
      <c r="D185" s="28">
        <v>3</v>
      </c>
      <c r="E185" s="28">
        <v>14</v>
      </c>
      <c r="F185" s="28" t="s">
        <v>334</v>
      </c>
      <c r="G185" s="84" t="s">
        <v>335</v>
      </c>
      <c r="H185" s="28">
        <v>1513</v>
      </c>
      <c r="I185" s="28">
        <v>0.15</v>
      </c>
      <c r="J185" s="28">
        <v>0.1</v>
      </c>
      <c r="K185" s="28">
        <v>1.3</v>
      </c>
      <c r="L185" s="28">
        <v>0.012</v>
      </c>
      <c r="M185" s="28">
        <v>0.002</v>
      </c>
      <c r="N185" s="28">
        <v>0</v>
      </c>
      <c r="O185" s="28">
        <v>0.02</v>
      </c>
      <c r="P185" s="28">
        <v>0.015</v>
      </c>
      <c r="Q185" s="28">
        <v>0.025</v>
      </c>
      <c r="R185" s="28" t="s">
        <v>35</v>
      </c>
      <c r="S185" s="28" t="s">
        <v>35</v>
      </c>
      <c r="T185" s="28">
        <v>0</v>
      </c>
      <c r="U185" s="28">
        <v>0</v>
      </c>
      <c r="V185" s="28">
        <v>0</v>
      </c>
      <c r="W185" s="28">
        <v>0</v>
      </c>
      <c r="X185" s="28" t="s">
        <v>35</v>
      </c>
      <c r="Y185" s="28" t="s">
        <v>35</v>
      </c>
      <c r="Z185" s="28">
        <v>40</v>
      </c>
      <c r="AA185" s="53"/>
    </row>
    <row r="186" spans="1:27">
      <c r="A186" s="37">
        <v>182</v>
      </c>
      <c r="B186" s="28" t="s">
        <v>333</v>
      </c>
      <c r="C186" s="28" t="s">
        <v>33</v>
      </c>
      <c r="D186" s="28">
        <v>14.01</v>
      </c>
      <c r="E186" s="28">
        <v>25</v>
      </c>
      <c r="F186" s="28" t="s">
        <v>336</v>
      </c>
      <c r="G186" s="84" t="s">
        <v>335</v>
      </c>
      <c r="H186" s="28">
        <v>1513</v>
      </c>
      <c r="I186" s="28">
        <v>0.15</v>
      </c>
      <c r="J186" s="28">
        <v>0.15</v>
      </c>
      <c r="K186" s="28">
        <v>1.4</v>
      </c>
      <c r="L186" s="28">
        <v>0.012</v>
      </c>
      <c r="M186" s="28">
        <v>0.002</v>
      </c>
      <c r="N186" s="28">
        <v>0</v>
      </c>
      <c r="O186" s="28">
        <v>0.025</v>
      </c>
      <c r="P186" s="28">
        <v>0.015</v>
      </c>
      <c r="Q186" s="28">
        <v>0.025</v>
      </c>
      <c r="R186" s="28" t="s">
        <v>35</v>
      </c>
      <c r="S186" s="28" t="s">
        <v>35</v>
      </c>
      <c r="T186" s="28">
        <v>0</v>
      </c>
      <c r="U186" s="28">
        <v>0</v>
      </c>
      <c r="V186" s="28">
        <v>0</v>
      </c>
      <c r="W186" s="28">
        <v>0</v>
      </c>
      <c r="X186" s="28" t="s">
        <v>35</v>
      </c>
      <c r="Y186" s="28" t="s">
        <v>35</v>
      </c>
      <c r="Z186" s="28">
        <v>40</v>
      </c>
      <c r="AA186" s="53"/>
    </row>
    <row r="187" spans="1:27">
      <c r="A187" s="37">
        <v>183</v>
      </c>
      <c r="B187" s="28" t="s">
        <v>226</v>
      </c>
      <c r="C187" s="28" t="s">
        <v>30</v>
      </c>
      <c r="D187" s="28">
        <v>3</v>
      </c>
      <c r="E187" s="28">
        <v>12.5</v>
      </c>
      <c r="F187" s="28" t="s">
        <v>227</v>
      </c>
      <c r="G187" s="84" t="s">
        <v>228</v>
      </c>
      <c r="H187" s="28">
        <v>1514</v>
      </c>
      <c r="I187" s="28">
        <v>0.16</v>
      </c>
      <c r="J187" s="28">
        <v>0.23</v>
      </c>
      <c r="K187" s="28">
        <v>1.15</v>
      </c>
      <c r="L187" s="28">
        <v>0</v>
      </c>
      <c r="M187" s="28">
        <v>0</v>
      </c>
      <c r="N187" s="28">
        <v>0</v>
      </c>
      <c r="O187" s="28">
        <v>0.01</v>
      </c>
      <c r="P187" s="28">
        <v>0.015</v>
      </c>
      <c r="Q187" s="28">
        <v>0.03</v>
      </c>
      <c r="R187" s="28" t="s">
        <v>35</v>
      </c>
      <c r="S187" s="28" t="s">
        <v>35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 t="s">
        <v>35</v>
      </c>
      <c r="Z187" s="28" t="s">
        <v>35</v>
      </c>
      <c r="AA187" s="28"/>
    </row>
    <row r="188" spans="1:27">
      <c r="A188" s="37">
        <v>184</v>
      </c>
      <c r="B188" s="28" t="s">
        <v>337</v>
      </c>
      <c r="C188" s="28" t="s">
        <v>30</v>
      </c>
      <c r="D188" s="28">
        <v>4</v>
      </c>
      <c r="E188" s="28">
        <v>16</v>
      </c>
      <c r="F188" s="28" t="s">
        <v>337</v>
      </c>
      <c r="G188" s="84" t="s">
        <v>338</v>
      </c>
      <c r="H188" s="28">
        <v>1522</v>
      </c>
      <c r="I188" s="85">
        <v>0.07</v>
      </c>
      <c r="J188" s="86">
        <v>0.2</v>
      </c>
      <c r="K188" s="86">
        <v>1.2</v>
      </c>
      <c r="L188" s="85">
        <v>0.015</v>
      </c>
      <c r="M188" s="85">
        <v>0.01</v>
      </c>
      <c r="N188" s="85" t="s">
        <v>35</v>
      </c>
      <c r="O188" s="85">
        <v>0.015</v>
      </c>
      <c r="P188" s="85">
        <v>0.015</v>
      </c>
      <c r="Q188" s="85">
        <v>0.02</v>
      </c>
      <c r="R188" s="85" t="s">
        <v>35</v>
      </c>
      <c r="S188" s="72"/>
      <c r="T188" s="86"/>
      <c r="U188" s="86"/>
      <c r="V188" s="86"/>
      <c r="W188" s="86"/>
      <c r="X188" s="72"/>
      <c r="Y188" s="53" t="s">
        <v>35</v>
      </c>
      <c r="Z188" s="28">
        <v>50</v>
      </c>
      <c r="AA188" s="53"/>
    </row>
    <row r="189" spans="1:27">
      <c r="A189" s="37">
        <v>185</v>
      </c>
      <c r="B189" s="28" t="s">
        <v>339</v>
      </c>
      <c r="C189" s="28" t="s">
        <v>30</v>
      </c>
      <c r="D189" s="28">
        <v>4</v>
      </c>
      <c r="E189" s="28">
        <v>16</v>
      </c>
      <c r="F189" s="28" t="s">
        <v>339</v>
      </c>
      <c r="G189" s="84" t="s">
        <v>340</v>
      </c>
      <c r="H189" s="28">
        <v>1522</v>
      </c>
      <c r="I189" s="85">
        <v>0.08</v>
      </c>
      <c r="J189" s="86">
        <v>0.2</v>
      </c>
      <c r="K189" s="86">
        <v>1.4</v>
      </c>
      <c r="L189" s="85">
        <v>0.015</v>
      </c>
      <c r="M189" s="85">
        <v>0.005</v>
      </c>
      <c r="N189" s="85" t="s">
        <v>35</v>
      </c>
      <c r="O189" s="85">
        <v>0.02</v>
      </c>
      <c r="P189" s="85">
        <v>0.015</v>
      </c>
      <c r="Q189" s="85">
        <v>0.02</v>
      </c>
      <c r="R189" s="85" t="s">
        <v>35</v>
      </c>
      <c r="S189" s="72"/>
      <c r="T189" s="86"/>
      <c r="U189" s="86"/>
      <c r="V189" s="86"/>
      <c r="W189" s="86"/>
      <c r="X189" s="72"/>
      <c r="Y189" s="53" t="s">
        <v>35</v>
      </c>
      <c r="Z189" s="28">
        <v>45</v>
      </c>
      <c r="AA189" s="53"/>
    </row>
    <row r="190" spans="1:27">
      <c r="A190" s="37">
        <v>186</v>
      </c>
      <c r="B190" s="28" t="s">
        <v>341</v>
      </c>
      <c r="C190" s="28" t="s">
        <v>30</v>
      </c>
      <c r="D190" s="28">
        <v>2</v>
      </c>
      <c r="E190" s="28">
        <v>6</v>
      </c>
      <c r="F190" s="28" t="s">
        <v>341</v>
      </c>
      <c r="G190" s="84" t="s">
        <v>342</v>
      </c>
      <c r="H190" s="28">
        <v>1518</v>
      </c>
      <c r="I190" s="85">
        <v>0.16</v>
      </c>
      <c r="J190" s="86">
        <v>0.04</v>
      </c>
      <c r="K190" s="86">
        <v>0.75</v>
      </c>
      <c r="L190" s="85">
        <v>0.015</v>
      </c>
      <c r="M190" s="85">
        <v>0.005</v>
      </c>
      <c r="N190" s="85"/>
      <c r="O190" s="85"/>
      <c r="P190" s="85">
        <v>0.015</v>
      </c>
      <c r="Q190" s="85">
        <v>0.03</v>
      </c>
      <c r="R190" s="85" t="s">
        <v>35</v>
      </c>
      <c r="S190" s="72" t="s">
        <v>35</v>
      </c>
      <c r="T190" s="86"/>
      <c r="U190" s="86"/>
      <c r="V190" s="86"/>
      <c r="W190" s="86"/>
      <c r="X190" s="72" t="s">
        <v>35</v>
      </c>
      <c r="Y190" s="53" t="s">
        <v>35</v>
      </c>
      <c r="Z190" s="28"/>
      <c r="AA190" s="53"/>
    </row>
    <row r="191" spans="1:27">
      <c r="A191" s="37">
        <v>187</v>
      </c>
      <c r="B191" s="28" t="s">
        <v>343</v>
      </c>
      <c r="C191" s="28" t="s">
        <v>30</v>
      </c>
      <c r="D191" s="28">
        <v>2</v>
      </c>
      <c r="E191" s="28">
        <v>7.55</v>
      </c>
      <c r="F191" s="28" t="s">
        <v>344</v>
      </c>
      <c r="G191" s="84" t="s">
        <v>345</v>
      </c>
      <c r="H191" s="28">
        <v>1519</v>
      </c>
      <c r="I191" s="85">
        <v>0.16</v>
      </c>
      <c r="J191" s="86">
        <v>0.05</v>
      </c>
      <c r="K191" s="86">
        <v>0.35</v>
      </c>
      <c r="L191" s="85">
        <v>0.018</v>
      </c>
      <c r="M191" s="85">
        <v>0.006</v>
      </c>
      <c r="N191" s="85"/>
      <c r="O191" s="85"/>
      <c r="P191" s="85"/>
      <c r="Q191" s="85">
        <v>0.025</v>
      </c>
      <c r="R191" s="85" t="s">
        <v>35</v>
      </c>
      <c r="S191" s="72"/>
      <c r="T191" s="86"/>
      <c r="U191" s="86"/>
      <c r="V191" s="86"/>
      <c r="W191" s="86"/>
      <c r="X191" s="72" t="s">
        <v>35</v>
      </c>
      <c r="Y191" s="53" t="s">
        <v>35</v>
      </c>
      <c r="Z191" s="28"/>
      <c r="AA191" s="53"/>
    </row>
    <row r="192" spans="1:27">
      <c r="A192" s="37">
        <v>188</v>
      </c>
      <c r="B192" s="28" t="s">
        <v>343</v>
      </c>
      <c r="C192" s="28" t="s">
        <v>33</v>
      </c>
      <c r="D192" s="28">
        <v>7.56</v>
      </c>
      <c r="E192" s="28">
        <v>18</v>
      </c>
      <c r="F192" s="28" t="s">
        <v>346</v>
      </c>
      <c r="G192" s="84" t="s">
        <v>345</v>
      </c>
      <c r="H192" s="28">
        <v>1519</v>
      </c>
      <c r="I192" s="85">
        <v>0.16</v>
      </c>
      <c r="J192" s="86">
        <v>0.05</v>
      </c>
      <c r="K192" s="86">
        <v>0.45</v>
      </c>
      <c r="L192" s="85">
        <v>0.018</v>
      </c>
      <c r="M192" s="85">
        <v>0.006</v>
      </c>
      <c r="N192" s="85"/>
      <c r="O192" s="85"/>
      <c r="P192" s="85"/>
      <c r="Q192" s="85">
        <v>0.025</v>
      </c>
      <c r="R192" s="85" t="s">
        <v>35</v>
      </c>
      <c r="S192" s="72"/>
      <c r="T192" s="86"/>
      <c r="U192" s="86"/>
      <c r="V192" s="86"/>
      <c r="W192" s="86"/>
      <c r="X192" s="72" t="s">
        <v>35</v>
      </c>
      <c r="Y192" s="53" t="s">
        <v>35</v>
      </c>
      <c r="Z192" s="28"/>
      <c r="AA192" s="53"/>
    </row>
    <row r="193" spans="1:27">
      <c r="A193" s="37">
        <v>189</v>
      </c>
      <c r="B193" s="28" t="s">
        <v>347</v>
      </c>
      <c r="C193" s="28" t="s">
        <v>30</v>
      </c>
      <c r="D193" s="28">
        <v>2</v>
      </c>
      <c r="E193" s="28">
        <v>10.49</v>
      </c>
      <c r="F193" s="28" t="s">
        <v>348</v>
      </c>
      <c r="G193" s="84" t="s">
        <v>349</v>
      </c>
      <c r="H193" s="28">
        <v>1529</v>
      </c>
      <c r="I193" s="85">
        <v>0.06</v>
      </c>
      <c r="J193" s="86">
        <v>0.02</v>
      </c>
      <c r="K193" s="86">
        <v>0.3</v>
      </c>
      <c r="L193" s="85">
        <v>0.015</v>
      </c>
      <c r="M193" s="85">
        <v>0.005</v>
      </c>
      <c r="N193" s="85" t="s">
        <v>35</v>
      </c>
      <c r="O193" s="85" t="s">
        <v>35</v>
      </c>
      <c r="P193" s="85" t="s">
        <v>35</v>
      </c>
      <c r="Q193" s="85">
        <v>0.025</v>
      </c>
      <c r="R193" s="85" t="s">
        <v>35</v>
      </c>
      <c r="S193" s="72" t="s">
        <v>35</v>
      </c>
      <c r="T193" s="86"/>
      <c r="U193" s="86"/>
      <c r="V193" s="86"/>
      <c r="W193" s="86"/>
      <c r="X193" s="72" t="s">
        <v>35</v>
      </c>
      <c r="Y193" s="53" t="s">
        <v>35</v>
      </c>
      <c r="Z193" s="28">
        <v>35</v>
      </c>
      <c r="AA193" s="53" t="s">
        <v>35</v>
      </c>
    </row>
    <row r="194" spans="1:27">
      <c r="A194" s="37">
        <v>190</v>
      </c>
      <c r="B194" s="28" t="s">
        <v>347</v>
      </c>
      <c r="C194" s="28" t="s">
        <v>33</v>
      </c>
      <c r="D194" s="28">
        <v>10.5</v>
      </c>
      <c r="E194" s="28">
        <v>14</v>
      </c>
      <c r="F194" s="28" t="s">
        <v>350</v>
      </c>
      <c r="G194" s="84" t="s">
        <v>349</v>
      </c>
      <c r="H194" s="28">
        <v>1527</v>
      </c>
      <c r="I194" s="85">
        <v>0.06</v>
      </c>
      <c r="J194" s="86">
        <v>0.02</v>
      </c>
      <c r="K194" s="86">
        <v>0.35</v>
      </c>
      <c r="L194" s="85">
        <v>0.015</v>
      </c>
      <c r="M194" s="85">
        <v>0.005</v>
      </c>
      <c r="N194" s="85" t="s">
        <v>35</v>
      </c>
      <c r="O194" s="85" t="s">
        <v>35</v>
      </c>
      <c r="P194" s="85" t="s">
        <v>35</v>
      </c>
      <c r="Q194" s="85">
        <v>0.025</v>
      </c>
      <c r="R194" s="85" t="s">
        <v>35</v>
      </c>
      <c r="S194" s="72" t="s">
        <v>35</v>
      </c>
      <c r="T194" s="86"/>
      <c r="U194" s="86"/>
      <c r="V194" s="86"/>
      <c r="W194" s="86"/>
      <c r="X194" s="72" t="s">
        <v>35</v>
      </c>
      <c r="Y194" s="53" t="s">
        <v>35</v>
      </c>
      <c r="Z194" s="28">
        <v>35</v>
      </c>
      <c r="AA194" s="53" t="s">
        <v>35</v>
      </c>
    </row>
    <row r="195" spans="1:27">
      <c r="A195" s="37">
        <v>191</v>
      </c>
      <c r="B195" s="28" t="s">
        <v>351</v>
      </c>
      <c r="C195" s="28" t="s">
        <v>30</v>
      </c>
      <c r="D195" s="28">
        <v>2</v>
      </c>
      <c r="E195" s="28">
        <v>4.99</v>
      </c>
      <c r="F195" s="28" t="s">
        <v>352</v>
      </c>
      <c r="G195" s="84" t="s">
        <v>353</v>
      </c>
      <c r="H195" s="28">
        <v>1525</v>
      </c>
      <c r="I195" s="85">
        <v>0.07</v>
      </c>
      <c r="J195" s="86">
        <v>0.03</v>
      </c>
      <c r="K195" s="86">
        <v>0.95</v>
      </c>
      <c r="L195" s="85">
        <v>0.015</v>
      </c>
      <c r="M195" s="85">
        <v>0.005</v>
      </c>
      <c r="N195" s="85" t="s">
        <v>35</v>
      </c>
      <c r="O195" s="85" t="s">
        <v>35</v>
      </c>
      <c r="P195" s="85" t="s">
        <v>35</v>
      </c>
      <c r="Q195" s="85">
        <v>0.025</v>
      </c>
      <c r="R195" s="85" t="s">
        <v>35</v>
      </c>
      <c r="S195" s="72" t="s">
        <v>35</v>
      </c>
      <c r="T195" s="86"/>
      <c r="U195" s="86"/>
      <c r="V195" s="86"/>
      <c r="W195" s="86"/>
      <c r="X195" s="72" t="s">
        <v>35</v>
      </c>
      <c r="Y195" s="53" t="s">
        <v>35</v>
      </c>
      <c r="Z195" s="28">
        <v>40</v>
      </c>
      <c r="AA195" s="53" t="s">
        <v>35</v>
      </c>
    </row>
    <row r="196" spans="1:27">
      <c r="A196" s="37">
        <v>192</v>
      </c>
      <c r="B196" s="28" t="s">
        <v>351</v>
      </c>
      <c r="C196" s="28" t="s">
        <v>33</v>
      </c>
      <c r="D196" s="28">
        <v>5</v>
      </c>
      <c r="E196" s="28">
        <v>18</v>
      </c>
      <c r="F196" s="28" t="s">
        <v>354</v>
      </c>
      <c r="G196" s="84" t="s">
        <v>353</v>
      </c>
      <c r="H196" s="28">
        <v>1524</v>
      </c>
      <c r="I196" s="85">
        <v>0.07</v>
      </c>
      <c r="J196" s="86">
        <v>0.1</v>
      </c>
      <c r="K196" s="86">
        <v>1</v>
      </c>
      <c r="L196" s="85">
        <v>0.015</v>
      </c>
      <c r="M196" s="85">
        <v>0.005</v>
      </c>
      <c r="N196" s="85" t="s">
        <v>35</v>
      </c>
      <c r="O196" s="85" t="s">
        <v>35</v>
      </c>
      <c r="P196" s="85" t="s">
        <v>35</v>
      </c>
      <c r="Q196" s="85">
        <v>0.025</v>
      </c>
      <c r="R196" s="85" t="s">
        <v>35</v>
      </c>
      <c r="S196" s="72" t="s">
        <v>35</v>
      </c>
      <c r="T196" s="86"/>
      <c r="U196" s="86"/>
      <c r="V196" s="86"/>
      <c r="W196" s="86"/>
      <c r="X196" s="72" t="s">
        <v>35</v>
      </c>
      <c r="Y196" s="53" t="s">
        <v>35</v>
      </c>
      <c r="Z196" s="28">
        <v>40</v>
      </c>
      <c r="AA196" s="53" t="s">
        <v>35</v>
      </c>
    </row>
    <row r="197" spans="1:27">
      <c r="A197" s="37">
        <v>193</v>
      </c>
      <c r="B197" s="28" t="s">
        <v>355</v>
      </c>
      <c r="C197" s="28" t="s">
        <v>30</v>
      </c>
      <c r="D197" s="28">
        <v>2</v>
      </c>
      <c r="E197" s="28">
        <v>4.99</v>
      </c>
      <c r="F197" s="28" t="s">
        <v>356</v>
      </c>
      <c r="G197" s="84" t="s">
        <v>357</v>
      </c>
      <c r="H197" s="28">
        <v>1525</v>
      </c>
      <c r="I197" s="85">
        <v>0.07</v>
      </c>
      <c r="J197" s="86">
        <v>0.03</v>
      </c>
      <c r="K197" s="86">
        <v>0.95</v>
      </c>
      <c r="L197" s="85">
        <v>0.015</v>
      </c>
      <c r="M197" s="85">
        <v>0.005</v>
      </c>
      <c r="N197" s="85" t="s">
        <v>35</v>
      </c>
      <c r="O197" s="85" t="s">
        <v>35</v>
      </c>
      <c r="P197" s="85" t="s">
        <v>35</v>
      </c>
      <c r="Q197" s="85" t="s">
        <v>35</v>
      </c>
      <c r="R197" s="85">
        <v>0.03</v>
      </c>
      <c r="S197" s="72" t="s">
        <v>35</v>
      </c>
      <c r="T197" s="86"/>
      <c r="U197" s="86"/>
      <c r="V197" s="86"/>
      <c r="W197" s="86"/>
      <c r="X197" s="72" t="s">
        <v>35</v>
      </c>
      <c r="Y197" s="53" t="s">
        <v>35</v>
      </c>
      <c r="Z197" s="28">
        <v>40</v>
      </c>
      <c r="AA197" s="53" t="s">
        <v>358</v>
      </c>
    </row>
    <row r="198" spans="1:27">
      <c r="A198" s="37">
        <v>194</v>
      </c>
      <c r="B198" s="28" t="s">
        <v>355</v>
      </c>
      <c r="C198" s="28" t="s">
        <v>33</v>
      </c>
      <c r="D198" s="28">
        <v>5</v>
      </c>
      <c r="E198" s="28">
        <v>18</v>
      </c>
      <c r="F198" s="28" t="s">
        <v>359</v>
      </c>
      <c r="G198" s="84" t="s">
        <v>357</v>
      </c>
      <c r="H198" s="28">
        <v>1524</v>
      </c>
      <c r="I198" s="85">
        <v>0.07</v>
      </c>
      <c r="J198" s="86">
        <v>0.1</v>
      </c>
      <c r="K198" s="86">
        <v>1.05</v>
      </c>
      <c r="L198" s="85">
        <v>0.015</v>
      </c>
      <c r="M198" s="85">
        <v>0.005</v>
      </c>
      <c r="N198" s="85" t="s">
        <v>35</v>
      </c>
      <c r="O198" s="85" t="s">
        <v>35</v>
      </c>
      <c r="P198" s="85" t="s">
        <v>35</v>
      </c>
      <c r="Q198" s="85" t="s">
        <v>35</v>
      </c>
      <c r="R198" s="85">
        <v>0.03</v>
      </c>
      <c r="S198" s="72" t="s">
        <v>35</v>
      </c>
      <c r="T198" s="86"/>
      <c r="U198" s="86"/>
      <c r="V198" s="86"/>
      <c r="W198" s="86"/>
      <c r="X198" s="72" t="s">
        <v>35</v>
      </c>
      <c r="Y198" s="53" t="s">
        <v>35</v>
      </c>
      <c r="Z198" s="28">
        <v>40</v>
      </c>
      <c r="AA198" s="53" t="s">
        <v>358</v>
      </c>
    </row>
    <row r="199" spans="1:27">
      <c r="A199" s="37">
        <v>195</v>
      </c>
      <c r="B199" s="28" t="s">
        <v>360</v>
      </c>
      <c r="C199" s="28" t="s">
        <v>30</v>
      </c>
      <c r="D199" s="28">
        <v>4</v>
      </c>
      <c r="E199" s="28">
        <v>6</v>
      </c>
      <c r="F199" s="28" t="s">
        <v>361</v>
      </c>
      <c r="G199" s="28" t="s">
        <v>362</v>
      </c>
      <c r="H199" s="28">
        <v>1523.8</v>
      </c>
      <c r="I199" s="28">
        <v>0.07</v>
      </c>
      <c r="J199" s="28">
        <v>0.03</v>
      </c>
      <c r="K199" s="28">
        <v>1</v>
      </c>
      <c r="L199" s="28">
        <v>0.015</v>
      </c>
      <c r="M199" s="28">
        <v>0.005</v>
      </c>
      <c r="N199" s="28" t="s">
        <v>35</v>
      </c>
      <c r="O199" s="28" t="s">
        <v>35</v>
      </c>
      <c r="P199" s="28"/>
      <c r="Q199" s="28">
        <v>0.025</v>
      </c>
      <c r="R199" s="28" t="s">
        <v>35</v>
      </c>
      <c r="S199" s="28" t="s">
        <v>35</v>
      </c>
      <c r="T199" s="28">
        <v>0</v>
      </c>
      <c r="U199" s="28">
        <v>0</v>
      </c>
      <c r="V199" s="28">
        <v>0</v>
      </c>
      <c r="W199" s="28" t="s">
        <v>35</v>
      </c>
      <c r="X199" s="28" t="s">
        <v>35</v>
      </c>
      <c r="Y199" s="28" t="s">
        <v>35</v>
      </c>
      <c r="Z199" s="28">
        <v>40</v>
      </c>
      <c r="AA199" s="53"/>
    </row>
    <row r="200" spans="1:27">
      <c r="A200" s="37">
        <v>196</v>
      </c>
      <c r="B200" s="28" t="s">
        <v>360</v>
      </c>
      <c r="C200" s="28" t="s">
        <v>33</v>
      </c>
      <c r="D200" s="28">
        <v>6.01</v>
      </c>
      <c r="E200" s="28">
        <v>12</v>
      </c>
      <c r="F200" s="28" t="s">
        <v>363</v>
      </c>
      <c r="G200" s="28" t="s">
        <v>362</v>
      </c>
      <c r="H200" s="28">
        <v>1522.9</v>
      </c>
      <c r="I200" s="28">
        <v>0.07</v>
      </c>
      <c r="J200" s="28">
        <v>0.08</v>
      </c>
      <c r="K200" s="28">
        <v>1.05</v>
      </c>
      <c r="L200" s="28">
        <v>0.015</v>
      </c>
      <c r="M200" s="28">
        <v>0.005</v>
      </c>
      <c r="N200" s="28" t="s">
        <v>35</v>
      </c>
      <c r="O200" s="28" t="s">
        <v>35</v>
      </c>
      <c r="P200" s="28">
        <v>0.016</v>
      </c>
      <c r="Q200" s="28">
        <v>0.025</v>
      </c>
      <c r="R200" s="28" t="s">
        <v>35</v>
      </c>
      <c r="S200" s="28" t="s">
        <v>35</v>
      </c>
      <c r="T200" s="28">
        <v>0</v>
      </c>
      <c r="U200" s="28">
        <v>0</v>
      </c>
      <c r="V200" s="28">
        <v>0</v>
      </c>
      <c r="W200" s="28" t="s">
        <v>35</v>
      </c>
      <c r="X200" s="28" t="s">
        <v>35</v>
      </c>
      <c r="Y200" s="28" t="s">
        <v>35</v>
      </c>
      <c r="Z200" s="28">
        <v>40</v>
      </c>
      <c r="AA200" s="53"/>
    </row>
    <row r="201" spans="1:27">
      <c r="A201" s="37">
        <v>197</v>
      </c>
      <c r="B201" s="28" t="s">
        <v>360</v>
      </c>
      <c r="C201" s="28" t="s">
        <v>102</v>
      </c>
      <c r="D201" s="28">
        <v>12.01</v>
      </c>
      <c r="E201" s="28">
        <v>20</v>
      </c>
      <c r="F201" s="28" t="s">
        <v>364</v>
      </c>
      <c r="G201" s="28" t="s">
        <v>362</v>
      </c>
      <c r="H201" s="28">
        <v>1522.9</v>
      </c>
      <c r="I201" s="28">
        <v>0.07</v>
      </c>
      <c r="J201" s="28">
        <v>0.08</v>
      </c>
      <c r="K201" s="28">
        <v>1.1</v>
      </c>
      <c r="L201" s="28">
        <v>0.015</v>
      </c>
      <c r="M201" s="28">
        <v>0.005</v>
      </c>
      <c r="N201" s="28" t="s">
        <v>35</v>
      </c>
      <c r="O201" s="28" t="s">
        <v>35</v>
      </c>
      <c r="P201" s="28">
        <v>0.016</v>
      </c>
      <c r="Q201" s="28">
        <v>0.025</v>
      </c>
      <c r="R201" s="28" t="s">
        <v>35</v>
      </c>
      <c r="S201" s="28" t="s">
        <v>35</v>
      </c>
      <c r="T201" s="28">
        <v>0</v>
      </c>
      <c r="U201" s="28">
        <v>0</v>
      </c>
      <c r="V201" s="28">
        <v>0</v>
      </c>
      <c r="W201" s="28" t="s">
        <v>35</v>
      </c>
      <c r="X201" s="28" t="s">
        <v>35</v>
      </c>
      <c r="Y201" s="28" t="s">
        <v>35</v>
      </c>
      <c r="Z201" s="28">
        <v>40</v>
      </c>
      <c r="AA201" s="53"/>
    </row>
    <row r="202" spans="1:27">
      <c r="A202" s="37">
        <v>198</v>
      </c>
      <c r="B202" s="28" t="s">
        <v>365</v>
      </c>
      <c r="C202" s="28" t="s">
        <v>30</v>
      </c>
      <c r="D202" s="28">
        <v>2</v>
      </c>
      <c r="E202" s="28">
        <v>5.99</v>
      </c>
      <c r="F202" s="28" t="s">
        <v>366</v>
      </c>
      <c r="G202" s="84" t="s">
        <v>367</v>
      </c>
      <c r="H202" s="28">
        <v>1525</v>
      </c>
      <c r="I202" s="85">
        <v>0.07</v>
      </c>
      <c r="J202" s="86">
        <v>0.08</v>
      </c>
      <c r="K202" s="86">
        <v>0.75</v>
      </c>
      <c r="L202" s="85">
        <v>0.015</v>
      </c>
      <c r="M202" s="85">
        <v>0.005</v>
      </c>
      <c r="N202" s="85" t="s">
        <v>35</v>
      </c>
      <c r="O202" s="85">
        <v>0.01</v>
      </c>
      <c r="P202" s="85">
        <v>0.008</v>
      </c>
      <c r="Q202" s="85">
        <v>0.025</v>
      </c>
      <c r="R202" s="85" t="s">
        <v>35</v>
      </c>
      <c r="S202" s="72" t="s">
        <v>35</v>
      </c>
      <c r="T202" s="86"/>
      <c r="U202" s="86"/>
      <c r="V202" s="86"/>
      <c r="W202" s="86"/>
      <c r="X202" s="72" t="s">
        <v>35</v>
      </c>
      <c r="Y202" s="53" t="s">
        <v>35</v>
      </c>
      <c r="Z202" s="28">
        <v>45</v>
      </c>
      <c r="AA202" s="53"/>
    </row>
    <row r="203" spans="1:27">
      <c r="A203" s="37">
        <v>199</v>
      </c>
      <c r="B203" s="28" t="s">
        <v>365</v>
      </c>
      <c r="C203" s="28" t="s">
        <v>33</v>
      </c>
      <c r="D203" s="28">
        <v>6</v>
      </c>
      <c r="E203" s="28">
        <v>14</v>
      </c>
      <c r="F203" s="28" t="s">
        <v>368</v>
      </c>
      <c r="G203" s="84" t="s">
        <v>367</v>
      </c>
      <c r="H203" s="28">
        <v>1525</v>
      </c>
      <c r="I203" s="85">
        <v>0.07</v>
      </c>
      <c r="J203" s="86">
        <v>0.08</v>
      </c>
      <c r="K203" s="86">
        <v>0.85</v>
      </c>
      <c r="L203" s="85">
        <v>0.015</v>
      </c>
      <c r="M203" s="85">
        <v>0.005</v>
      </c>
      <c r="N203" s="85" t="s">
        <v>35</v>
      </c>
      <c r="O203" s="85">
        <v>0.01</v>
      </c>
      <c r="P203" s="85">
        <v>0.008</v>
      </c>
      <c r="Q203" s="85">
        <v>0.025</v>
      </c>
      <c r="R203" s="85" t="s">
        <v>35</v>
      </c>
      <c r="S203" s="72" t="s">
        <v>35</v>
      </c>
      <c r="T203" s="86"/>
      <c r="U203" s="86"/>
      <c r="V203" s="86"/>
      <c r="W203" s="86"/>
      <c r="X203" s="72" t="s">
        <v>35</v>
      </c>
      <c r="Y203" s="53" t="s">
        <v>35</v>
      </c>
      <c r="Z203" s="28">
        <v>45</v>
      </c>
      <c r="AA203" s="53"/>
    </row>
    <row r="204" spans="1:27">
      <c r="A204" s="37">
        <v>200</v>
      </c>
      <c r="B204" s="28" t="s">
        <v>369</v>
      </c>
      <c r="C204" s="28" t="s">
        <v>30</v>
      </c>
      <c r="D204" s="28">
        <v>20</v>
      </c>
      <c r="E204" s="28">
        <v>26</v>
      </c>
      <c r="F204" s="28" t="s">
        <v>369</v>
      </c>
      <c r="G204" s="84" t="s">
        <v>370</v>
      </c>
      <c r="H204" s="28">
        <v>1522</v>
      </c>
      <c r="I204" s="85">
        <v>0.07</v>
      </c>
      <c r="J204" s="86">
        <v>0.08</v>
      </c>
      <c r="K204" s="86">
        <v>1.25</v>
      </c>
      <c r="L204" s="85">
        <v>0.01</v>
      </c>
      <c r="M204" s="85">
        <v>0.004</v>
      </c>
      <c r="N204" s="85"/>
      <c r="O204" s="85">
        <v>0.015</v>
      </c>
      <c r="P204" s="85">
        <v>0.01</v>
      </c>
      <c r="Q204" s="85">
        <v>0.03</v>
      </c>
      <c r="R204" s="85" t="s">
        <v>35</v>
      </c>
      <c r="S204" s="72" t="s">
        <v>35</v>
      </c>
      <c r="T204" s="86"/>
      <c r="U204" s="86"/>
      <c r="V204" s="86"/>
      <c r="W204" s="86"/>
      <c r="X204" s="72" t="s">
        <v>35</v>
      </c>
      <c r="Y204" s="53" t="s">
        <v>35</v>
      </c>
      <c r="Z204" s="28">
        <v>45</v>
      </c>
      <c r="AA204" s="53"/>
    </row>
    <row r="205" spans="1:27">
      <c r="A205" s="37">
        <v>201</v>
      </c>
      <c r="B205" s="28" t="s">
        <v>371</v>
      </c>
      <c r="C205" s="28" t="s">
        <v>30</v>
      </c>
      <c r="D205" s="28">
        <v>3</v>
      </c>
      <c r="E205" s="28">
        <v>5.99</v>
      </c>
      <c r="F205" s="28" t="s">
        <v>372</v>
      </c>
      <c r="G205" s="84" t="s">
        <v>373</v>
      </c>
      <c r="H205" s="28">
        <v>1520</v>
      </c>
      <c r="I205" s="85">
        <v>0.075</v>
      </c>
      <c r="J205" s="86">
        <v>0.1</v>
      </c>
      <c r="K205" s="86">
        <v>1.5</v>
      </c>
      <c r="L205" s="85">
        <v>0.01</v>
      </c>
      <c r="M205" s="85">
        <v>0.003</v>
      </c>
      <c r="N205" s="85" t="s">
        <v>35</v>
      </c>
      <c r="O205" s="85">
        <v>0.05</v>
      </c>
      <c r="P205" s="85">
        <v>0.015</v>
      </c>
      <c r="Q205" s="85">
        <v>0.03</v>
      </c>
      <c r="R205" s="85" t="s">
        <v>35</v>
      </c>
      <c r="S205" s="72"/>
      <c r="T205" s="86">
        <v>0.2</v>
      </c>
      <c r="U205" s="86"/>
      <c r="V205" s="86"/>
      <c r="W205" s="86"/>
      <c r="X205" s="72" t="s">
        <v>35</v>
      </c>
      <c r="Y205" s="53" t="s">
        <v>35</v>
      </c>
      <c r="Z205" s="28">
        <v>45</v>
      </c>
      <c r="AA205" s="53"/>
    </row>
    <row r="206" spans="1:27">
      <c r="A206" s="37">
        <v>202</v>
      </c>
      <c r="B206" s="28" t="s">
        <v>371</v>
      </c>
      <c r="C206" s="28" t="s">
        <v>33</v>
      </c>
      <c r="D206" s="28">
        <v>6</v>
      </c>
      <c r="E206" s="28">
        <v>12</v>
      </c>
      <c r="F206" s="28" t="s">
        <v>374</v>
      </c>
      <c r="G206" s="84" t="s">
        <v>373</v>
      </c>
      <c r="H206" s="28">
        <v>1520</v>
      </c>
      <c r="I206" s="85">
        <v>0.075</v>
      </c>
      <c r="J206" s="86">
        <v>0.1</v>
      </c>
      <c r="K206" s="86">
        <v>1.55</v>
      </c>
      <c r="L206" s="85">
        <v>0.01</v>
      </c>
      <c r="M206" s="85">
        <v>0.003</v>
      </c>
      <c r="N206" s="85" t="s">
        <v>35</v>
      </c>
      <c r="O206" s="85">
        <v>0.055</v>
      </c>
      <c r="P206" s="85">
        <v>0.02</v>
      </c>
      <c r="Q206" s="85">
        <v>0.03</v>
      </c>
      <c r="R206" s="85" t="s">
        <v>35</v>
      </c>
      <c r="S206" s="72"/>
      <c r="T206" s="86">
        <v>0.2</v>
      </c>
      <c r="U206" s="86"/>
      <c r="V206" s="86"/>
      <c r="W206" s="86"/>
      <c r="X206" s="72" t="s">
        <v>35</v>
      </c>
      <c r="Y206" s="53" t="s">
        <v>35</v>
      </c>
      <c r="Z206" s="28">
        <v>45</v>
      </c>
      <c r="AA206" s="53"/>
    </row>
    <row r="207" spans="1:27">
      <c r="A207" s="37">
        <v>203</v>
      </c>
      <c r="B207" s="28" t="s">
        <v>375</v>
      </c>
      <c r="C207" s="28" t="s">
        <v>30</v>
      </c>
      <c r="D207" s="28">
        <v>3</v>
      </c>
      <c r="E207" s="28">
        <v>5.99</v>
      </c>
      <c r="F207" s="28" t="s">
        <v>375</v>
      </c>
      <c r="G207" s="84" t="s">
        <v>376</v>
      </c>
      <c r="H207" s="28">
        <v>1520</v>
      </c>
      <c r="I207" s="85">
        <v>0.075</v>
      </c>
      <c r="J207" s="86">
        <v>0.1</v>
      </c>
      <c r="K207" s="86">
        <v>1.5</v>
      </c>
      <c r="L207" s="85">
        <v>0.01</v>
      </c>
      <c r="M207" s="85">
        <v>0.003</v>
      </c>
      <c r="N207" s="85" t="s">
        <v>35</v>
      </c>
      <c r="O207" s="85">
        <v>0.05</v>
      </c>
      <c r="P207" s="85">
        <v>0.015</v>
      </c>
      <c r="Q207" s="85">
        <v>0.03</v>
      </c>
      <c r="R207" s="85" t="s">
        <v>35</v>
      </c>
      <c r="S207" s="72"/>
      <c r="T207" s="86">
        <v>0.2</v>
      </c>
      <c r="U207" s="86"/>
      <c r="V207" s="86"/>
      <c r="W207" s="86"/>
      <c r="X207" s="72" t="s">
        <v>35</v>
      </c>
      <c r="Y207" s="53" t="s">
        <v>35</v>
      </c>
      <c r="Z207" s="28">
        <v>45</v>
      </c>
      <c r="AA207" s="53"/>
    </row>
    <row r="208" spans="1:27">
      <c r="A208" s="37">
        <v>204</v>
      </c>
      <c r="B208" s="28" t="s">
        <v>377</v>
      </c>
      <c r="C208" s="28" t="s">
        <v>30</v>
      </c>
      <c r="D208" s="28">
        <v>2</v>
      </c>
      <c r="E208" s="28">
        <v>5.99</v>
      </c>
      <c r="F208" s="28" t="s">
        <v>378</v>
      </c>
      <c r="G208" s="84" t="s">
        <v>379</v>
      </c>
      <c r="H208" s="28">
        <v>1523</v>
      </c>
      <c r="I208" s="85">
        <v>0.07</v>
      </c>
      <c r="J208" s="86">
        <v>0.12</v>
      </c>
      <c r="K208" s="86">
        <v>0.9</v>
      </c>
      <c r="L208" s="85">
        <v>0.015</v>
      </c>
      <c r="M208" s="85">
        <v>0.005</v>
      </c>
      <c r="N208" s="85"/>
      <c r="O208" s="85">
        <v>0.01</v>
      </c>
      <c r="P208" s="85">
        <v>0.032</v>
      </c>
      <c r="Q208" s="85">
        <v>0.025</v>
      </c>
      <c r="R208" s="85" t="s">
        <v>35</v>
      </c>
      <c r="S208" s="72"/>
      <c r="T208" s="86"/>
      <c r="U208" s="86"/>
      <c r="V208" s="86"/>
      <c r="W208" s="86"/>
      <c r="X208" s="72" t="s">
        <v>35</v>
      </c>
      <c r="Y208" s="53" t="s">
        <v>35</v>
      </c>
      <c r="Z208" s="28">
        <v>40</v>
      </c>
      <c r="AA208" s="53" t="s">
        <v>35</v>
      </c>
    </row>
    <row r="209" spans="1:27">
      <c r="A209" s="37">
        <v>205</v>
      </c>
      <c r="B209" s="28" t="s">
        <v>377</v>
      </c>
      <c r="C209" s="28" t="s">
        <v>33</v>
      </c>
      <c r="D209" s="28">
        <v>6</v>
      </c>
      <c r="E209" s="28">
        <v>14</v>
      </c>
      <c r="F209" s="28" t="s">
        <v>380</v>
      </c>
      <c r="G209" s="84" t="s">
        <v>379</v>
      </c>
      <c r="H209" s="28">
        <v>1523</v>
      </c>
      <c r="I209" s="85">
        <v>0.07</v>
      </c>
      <c r="J209" s="86">
        <v>0.12</v>
      </c>
      <c r="K209" s="86">
        <v>1</v>
      </c>
      <c r="L209" s="85">
        <v>0.015</v>
      </c>
      <c r="M209" s="85">
        <v>0.005</v>
      </c>
      <c r="N209" s="85"/>
      <c r="O209" s="85">
        <v>0.012</v>
      </c>
      <c r="P209" s="85">
        <v>0.035</v>
      </c>
      <c r="Q209" s="85">
        <v>0.025</v>
      </c>
      <c r="R209" s="85" t="s">
        <v>35</v>
      </c>
      <c r="S209" s="72"/>
      <c r="T209" s="86"/>
      <c r="U209" s="86"/>
      <c r="V209" s="86"/>
      <c r="W209" s="86"/>
      <c r="X209" s="72" t="s">
        <v>35</v>
      </c>
      <c r="Y209" s="53" t="s">
        <v>35</v>
      </c>
      <c r="Z209" s="28">
        <v>40</v>
      </c>
      <c r="AA209" s="53" t="s">
        <v>35</v>
      </c>
    </row>
    <row r="210" spans="1:27">
      <c r="A210" s="37">
        <v>206</v>
      </c>
      <c r="B210" s="28" t="s">
        <v>381</v>
      </c>
      <c r="C210" s="28" t="s">
        <v>30</v>
      </c>
      <c r="D210" s="28">
        <v>2</v>
      </c>
      <c r="E210" s="28">
        <v>5.99</v>
      </c>
      <c r="F210" s="28" t="s">
        <v>382</v>
      </c>
      <c r="G210" s="84" t="s">
        <v>383</v>
      </c>
      <c r="H210" s="28">
        <v>1521</v>
      </c>
      <c r="I210" s="85">
        <v>0.07</v>
      </c>
      <c r="J210" s="86">
        <v>0.15</v>
      </c>
      <c r="K210" s="86">
        <v>1.3</v>
      </c>
      <c r="L210" s="85">
        <v>0.015</v>
      </c>
      <c r="M210" s="85">
        <v>0.004</v>
      </c>
      <c r="N210" s="85"/>
      <c r="O210" s="85">
        <v>0.015</v>
      </c>
      <c r="P210" s="85">
        <v>0.055</v>
      </c>
      <c r="Q210" s="85">
        <v>0.025</v>
      </c>
      <c r="R210" s="85" t="s">
        <v>35</v>
      </c>
      <c r="S210" s="72">
        <v>0.002</v>
      </c>
      <c r="T210" s="86"/>
      <c r="U210" s="86"/>
      <c r="V210" s="86"/>
      <c r="W210" s="86"/>
      <c r="X210" s="72" t="s">
        <v>35</v>
      </c>
      <c r="Y210" s="53" t="s">
        <v>35</v>
      </c>
      <c r="Z210" s="28">
        <v>40</v>
      </c>
      <c r="AA210" s="53"/>
    </row>
    <row r="211" spans="1:27">
      <c r="A211" s="37">
        <v>207</v>
      </c>
      <c r="B211" s="28" t="s">
        <v>381</v>
      </c>
      <c r="C211" s="28" t="s">
        <v>33</v>
      </c>
      <c r="D211" s="28">
        <v>6</v>
      </c>
      <c r="E211" s="28">
        <v>14</v>
      </c>
      <c r="F211" s="28" t="s">
        <v>384</v>
      </c>
      <c r="G211" s="84" t="s">
        <v>383</v>
      </c>
      <c r="H211" s="28">
        <v>1521</v>
      </c>
      <c r="I211" s="85">
        <v>0.07</v>
      </c>
      <c r="J211" s="86">
        <v>0.15</v>
      </c>
      <c r="K211" s="86">
        <v>1.35</v>
      </c>
      <c r="L211" s="85">
        <v>0.015</v>
      </c>
      <c r="M211" s="85">
        <v>0.004</v>
      </c>
      <c r="N211" s="85"/>
      <c r="O211" s="85">
        <v>0.018</v>
      </c>
      <c r="P211" s="85">
        <v>0.065</v>
      </c>
      <c r="Q211" s="85">
        <v>0.025</v>
      </c>
      <c r="R211" s="85" t="s">
        <v>35</v>
      </c>
      <c r="S211" s="72">
        <v>0.002</v>
      </c>
      <c r="T211" s="86"/>
      <c r="U211" s="86"/>
      <c r="V211" s="86"/>
      <c r="W211" s="86"/>
      <c r="X211" s="72" t="s">
        <v>35</v>
      </c>
      <c r="Y211" s="53" t="s">
        <v>35</v>
      </c>
      <c r="Z211" s="28">
        <v>40</v>
      </c>
      <c r="AA211" s="53"/>
    </row>
    <row r="212" spans="1:27">
      <c r="A212" s="37">
        <v>208</v>
      </c>
      <c r="B212" s="28" t="s">
        <v>385</v>
      </c>
      <c r="C212" s="28" t="s">
        <v>30</v>
      </c>
      <c r="D212" s="28">
        <v>2</v>
      </c>
      <c r="E212" s="28">
        <v>4</v>
      </c>
      <c r="F212" s="28" t="s">
        <v>386</v>
      </c>
      <c r="G212" s="84" t="s">
        <v>387</v>
      </c>
      <c r="H212" s="28">
        <v>1521</v>
      </c>
      <c r="I212" s="85">
        <v>0.07</v>
      </c>
      <c r="J212" s="86">
        <v>0.1</v>
      </c>
      <c r="K212" s="86">
        <v>1.35</v>
      </c>
      <c r="L212" s="85">
        <v>0.015</v>
      </c>
      <c r="M212" s="85">
        <v>0.004</v>
      </c>
      <c r="N212" s="85" t="s">
        <v>35</v>
      </c>
      <c r="O212" s="85">
        <v>0.025</v>
      </c>
      <c r="P212" s="85">
        <v>0.09</v>
      </c>
      <c r="Q212" s="85">
        <v>0.03</v>
      </c>
      <c r="R212" s="85" t="s">
        <v>35</v>
      </c>
      <c r="S212" s="72">
        <v>0.002</v>
      </c>
      <c r="T212" s="86"/>
      <c r="U212" s="86"/>
      <c r="V212" s="86"/>
      <c r="W212" s="86"/>
      <c r="X212" s="72" t="s">
        <v>35</v>
      </c>
      <c r="Y212" s="53" t="s">
        <v>35</v>
      </c>
      <c r="Z212" s="28">
        <v>40</v>
      </c>
      <c r="AA212" s="53" t="s">
        <v>35</v>
      </c>
    </row>
    <row r="213" spans="1:27">
      <c r="A213" s="37">
        <v>209</v>
      </c>
      <c r="B213" s="28" t="s">
        <v>385</v>
      </c>
      <c r="C213" s="28" t="s">
        <v>33</v>
      </c>
      <c r="D213" s="28">
        <v>4.01</v>
      </c>
      <c r="E213" s="28">
        <v>6</v>
      </c>
      <c r="F213" s="28" t="s">
        <v>388</v>
      </c>
      <c r="G213" s="84" t="s">
        <v>387</v>
      </c>
      <c r="H213" s="28">
        <v>1521</v>
      </c>
      <c r="I213" s="85">
        <v>0.07</v>
      </c>
      <c r="J213" s="86">
        <v>0.14</v>
      </c>
      <c r="K213" s="86">
        <v>1.45</v>
      </c>
      <c r="L213" s="85">
        <v>0.015</v>
      </c>
      <c r="M213" s="85">
        <v>0.004</v>
      </c>
      <c r="N213" s="85" t="s">
        <v>35</v>
      </c>
      <c r="O213" s="85">
        <v>0.03</v>
      </c>
      <c r="P213" s="85">
        <v>0.095</v>
      </c>
      <c r="Q213" s="85">
        <v>0.03</v>
      </c>
      <c r="R213" s="85" t="s">
        <v>35</v>
      </c>
      <c r="S213" s="72">
        <v>0.002</v>
      </c>
      <c r="T213" s="86"/>
      <c r="U213" s="86"/>
      <c r="V213" s="86"/>
      <c r="W213" s="86"/>
      <c r="X213" s="72" t="s">
        <v>35</v>
      </c>
      <c r="Y213" s="53" t="s">
        <v>35</v>
      </c>
      <c r="Z213" s="28">
        <v>40</v>
      </c>
      <c r="AA213" s="53" t="s">
        <v>35</v>
      </c>
    </row>
    <row r="214" spans="1:27">
      <c r="A214" s="37">
        <v>210</v>
      </c>
      <c r="B214" s="28" t="s">
        <v>385</v>
      </c>
      <c r="C214" s="28" t="s">
        <v>102</v>
      </c>
      <c r="D214" s="28">
        <v>6.01</v>
      </c>
      <c r="E214" s="28">
        <v>14</v>
      </c>
      <c r="F214" s="28" t="s">
        <v>389</v>
      </c>
      <c r="G214" s="84" t="s">
        <v>387</v>
      </c>
      <c r="H214" s="28">
        <v>1521</v>
      </c>
      <c r="I214" s="85">
        <v>0.07</v>
      </c>
      <c r="J214" s="86">
        <v>0.14</v>
      </c>
      <c r="K214" s="86">
        <v>1.5</v>
      </c>
      <c r="L214" s="85">
        <v>0.015</v>
      </c>
      <c r="M214" s="85">
        <v>0.004</v>
      </c>
      <c r="N214" s="85" t="s">
        <v>35</v>
      </c>
      <c r="O214" s="85">
        <v>0.035</v>
      </c>
      <c r="P214" s="85">
        <v>0.105</v>
      </c>
      <c r="Q214" s="85">
        <v>0.03</v>
      </c>
      <c r="R214" s="85" t="s">
        <v>35</v>
      </c>
      <c r="S214" s="72">
        <v>0.002</v>
      </c>
      <c r="T214" s="86"/>
      <c r="U214" s="86"/>
      <c r="V214" s="86"/>
      <c r="W214" s="86"/>
      <c r="X214" s="72" t="s">
        <v>35</v>
      </c>
      <c r="Y214" s="53" t="s">
        <v>35</v>
      </c>
      <c r="Z214" s="28">
        <v>40</v>
      </c>
      <c r="AA214" s="53" t="s">
        <v>35</v>
      </c>
    </row>
    <row r="215" spans="1:27">
      <c r="A215" s="37">
        <v>211</v>
      </c>
      <c r="B215" s="28" t="s">
        <v>390</v>
      </c>
      <c r="C215" s="61" t="s">
        <v>30</v>
      </c>
      <c r="D215" s="61">
        <v>2</v>
      </c>
      <c r="E215" s="61">
        <v>6</v>
      </c>
      <c r="F215" s="61" t="s">
        <v>391</v>
      </c>
      <c r="G215" s="91" t="s">
        <v>392</v>
      </c>
      <c r="H215" s="61">
        <v>1521</v>
      </c>
      <c r="I215" s="85">
        <v>0.07</v>
      </c>
      <c r="J215" s="86">
        <v>0.12</v>
      </c>
      <c r="K215" s="86">
        <v>1.4</v>
      </c>
      <c r="L215" s="85">
        <v>0.015</v>
      </c>
      <c r="M215" s="85">
        <v>0.003</v>
      </c>
      <c r="N215" s="85"/>
      <c r="O215" s="85">
        <v>0.03</v>
      </c>
      <c r="P215" s="85">
        <v>0.1</v>
      </c>
      <c r="Q215" s="85">
        <v>0.03</v>
      </c>
      <c r="R215" s="85"/>
      <c r="S215" s="72">
        <v>0.002</v>
      </c>
      <c r="T215" s="86"/>
      <c r="U215" s="86"/>
      <c r="V215" s="86"/>
      <c r="W215" s="86"/>
      <c r="X215" s="72" t="s">
        <v>35</v>
      </c>
      <c r="Y215" s="53" t="s">
        <v>35</v>
      </c>
      <c r="Z215" s="28">
        <v>40</v>
      </c>
      <c r="AA215" s="53" t="s">
        <v>35</v>
      </c>
    </row>
    <row r="216" spans="1:27">
      <c r="A216" s="37">
        <v>212</v>
      </c>
      <c r="B216" s="28" t="s">
        <v>390</v>
      </c>
      <c r="C216" s="61" t="s">
        <v>33</v>
      </c>
      <c r="D216" s="61">
        <v>6.01</v>
      </c>
      <c r="E216" s="61">
        <v>10</v>
      </c>
      <c r="F216" s="61" t="s">
        <v>393</v>
      </c>
      <c r="G216" s="91" t="s">
        <v>392</v>
      </c>
      <c r="H216" s="61">
        <v>1521</v>
      </c>
      <c r="I216" s="85">
        <v>0.07</v>
      </c>
      <c r="J216" s="86">
        <v>0.15</v>
      </c>
      <c r="K216" s="86">
        <v>1.5</v>
      </c>
      <c r="L216" s="85">
        <v>0.015</v>
      </c>
      <c r="M216" s="85">
        <v>0.003</v>
      </c>
      <c r="N216" s="85"/>
      <c r="O216" s="85">
        <v>0.038</v>
      </c>
      <c r="P216" s="85">
        <v>0.1</v>
      </c>
      <c r="Q216" s="85">
        <v>0.03</v>
      </c>
      <c r="R216" s="85"/>
      <c r="S216" s="72">
        <v>0.002</v>
      </c>
      <c r="T216" s="86"/>
      <c r="U216" s="86"/>
      <c r="V216" s="86"/>
      <c r="W216" s="86"/>
      <c r="X216" s="72" t="s">
        <v>35</v>
      </c>
      <c r="Y216" s="53" t="s">
        <v>35</v>
      </c>
      <c r="Z216" s="28">
        <v>40</v>
      </c>
      <c r="AA216" s="53" t="s">
        <v>35</v>
      </c>
    </row>
    <row r="217" spans="1:27">
      <c r="A217" s="37">
        <v>213</v>
      </c>
      <c r="B217" s="28" t="s">
        <v>390</v>
      </c>
      <c r="C217" s="61" t="s">
        <v>102</v>
      </c>
      <c r="D217" s="61">
        <v>10.01</v>
      </c>
      <c r="E217" s="61">
        <v>14</v>
      </c>
      <c r="F217" s="61" t="s">
        <v>394</v>
      </c>
      <c r="G217" s="91" t="s">
        <v>392</v>
      </c>
      <c r="H217" s="61">
        <v>1518.7</v>
      </c>
      <c r="I217" s="85">
        <v>0.06</v>
      </c>
      <c r="J217" s="86">
        <v>0.15</v>
      </c>
      <c r="K217" s="86">
        <v>1.7</v>
      </c>
      <c r="L217" s="85">
        <v>0.01</v>
      </c>
      <c r="M217" s="85">
        <v>0.003</v>
      </c>
      <c r="N217" s="85"/>
      <c r="O217" s="85">
        <v>0.041</v>
      </c>
      <c r="P217" s="85">
        <v>0.09</v>
      </c>
      <c r="Q217" s="85">
        <v>0.03</v>
      </c>
      <c r="R217" s="85"/>
      <c r="S217" s="72">
        <v>0.002</v>
      </c>
      <c r="T217" s="86"/>
      <c r="U217" s="86"/>
      <c r="V217" s="86"/>
      <c r="W217" s="86"/>
      <c r="X217" s="72"/>
      <c r="Y217" s="53"/>
      <c r="Z217" s="28">
        <v>40</v>
      </c>
      <c r="AA217" s="53"/>
    </row>
    <row r="218" spans="1:27">
      <c r="A218" s="37">
        <v>214</v>
      </c>
      <c r="B218" s="28" t="s">
        <v>395</v>
      </c>
      <c r="C218" s="28" t="s">
        <v>30</v>
      </c>
      <c r="D218" s="28">
        <v>3</v>
      </c>
      <c r="E218" s="28">
        <v>8</v>
      </c>
      <c r="F218" s="28" t="s">
        <v>396</v>
      </c>
      <c r="G218" s="28" t="s">
        <v>397</v>
      </c>
      <c r="H218" s="28">
        <v>1519.3</v>
      </c>
      <c r="I218" s="28">
        <v>0.07</v>
      </c>
      <c r="J218" s="28">
        <v>0.08</v>
      </c>
      <c r="K218" s="28">
        <v>1.4</v>
      </c>
      <c r="L218" s="28">
        <v>0.015</v>
      </c>
      <c r="M218" s="28">
        <v>0.003</v>
      </c>
      <c r="N218" s="28" t="s">
        <v>35</v>
      </c>
      <c r="O218" s="28">
        <v>0.03</v>
      </c>
      <c r="P218" s="28">
        <v>0.1</v>
      </c>
      <c r="Q218" s="28">
        <v>0.03</v>
      </c>
      <c r="R218" s="28" t="s">
        <v>35</v>
      </c>
      <c r="S218" s="28">
        <v>0.002</v>
      </c>
      <c r="T218" s="28">
        <v>0</v>
      </c>
      <c r="U218" s="28">
        <v>0</v>
      </c>
      <c r="V218" s="28">
        <v>0</v>
      </c>
      <c r="W218" s="28" t="s">
        <v>35</v>
      </c>
      <c r="X218" s="28" t="s">
        <v>35</v>
      </c>
      <c r="Y218" s="28" t="s">
        <v>35</v>
      </c>
      <c r="Z218" s="28">
        <v>40</v>
      </c>
      <c r="AA218" s="53"/>
    </row>
    <row r="219" spans="1:27">
      <c r="A219" s="37">
        <v>215</v>
      </c>
      <c r="B219" s="28" t="s">
        <v>395</v>
      </c>
      <c r="C219" s="28" t="s">
        <v>33</v>
      </c>
      <c r="D219" s="28">
        <v>8.01</v>
      </c>
      <c r="E219" s="28">
        <v>12</v>
      </c>
      <c r="F219" s="28" t="s">
        <v>398</v>
      </c>
      <c r="G219" s="28" t="s">
        <v>397</v>
      </c>
      <c r="H219" s="28">
        <v>1518</v>
      </c>
      <c r="I219" s="28">
        <v>0.07</v>
      </c>
      <c r="J219" s="28">
        <v>0.08</v>
      </c>
      <c r="K219" s="28">
        <v>1.55</v>
      </c>
      <c r="L219" s="28">
        <v>0.015</v>
      </c>
      <c r="M219" s="28">
        <v>0.003</v>
      </c>
      <c r="N219" s="28" t="s">
        <v>35</v>
      </c>
      <c r="O219" s="28">
        <v>0.04</v>
      </c>
      <c r="P219" s="28">
        <v>0.1</v>
      </c>
      <c r="Q219" s="28">
        <v>0.03</v>
      </c>
      <c r="R219" s="28" t="s">
        <v>35</v>
      </c>
      <c r="S219" s="28">
        <v>0.002</v>
      </c>
      <c r="T219" s="28">
        <v>0</v>
      </c>
      <c r="U219" s="28">
        <v>0</v>
      </c>
      <c r="V219" s="28">
        <v>0</v>
      </c>
      <c r="W219" s="28" t="s">
        <v>35</v>
      </c>
      <c r="X219" s="28" t="s">
        <v>35</v>
      </c>
      <c r="Y219" s="28" t="s">
        <v>35</v>
      </c>
      <c r="Z219" s="28">
        <v>40</v>
      </c>
      <c r="AA219" s="53"/>
    </row>
    <row r="220" spans="1:27">
      <c r="A220" s="37">
        <v>216</v>
      </c>
      <c r="B220" s="28" t="s">
        <v>399</v>
      </c>
      <c r="C220" s="28" t="s">
        <v>30</v>
      </c>
      <c r="D220" s="28">
        <v>6</v>
      </c>
      <c r="E220" s="28">
        <v>12</v>
      </c>
      <c r="F220" s="28" t="s">
        <v>399</v>
      </c>
      <c r="G220" s="28" t="s">
        <v>400</v>
      </c>
      <c r="H220" s="28">
        <v>1515</v>
      </c>
      <c r="I220" s="28">
        <v>0.08</v>
      </c>
      <c r="J220" s="28">
        <v>0.2</v>
      </c>
      <c r="K220" s="28">
        <v>1.85</v>
      </c>
      <c r="L220" s="28">
        <v>0.015</v>
      </c>
      <c r="M220" s="28">
        <v>0.003</v>
      </c>
      <c r="N220" s="28" t="s">
        <v>35</v>
      </c>
      <c r="O220" s="28">
        <v>0.045</v>
      </c>
      <c r="P220" s="28">
        <v>0.105</v>
      </c>
      <c r="Q220" s="28">
        <v>0.03</v>
      </c>
      <c r="R220" s="28" t="s">
        <v>35</v>
      </c>
      <c r="S220" s="28">
        <v>0.002</v>
      </c>
      <c r="T220" s="28">
        <v>0</v>
      </c>
      <c r="U220" s="28">
        <v>0</v>
      </c>
      <c r="V220" s="28">
        <v>0</v>
      </c>
      <c r="W220" s="28" t="s">
        <v>35</v>
      </c>
      <c r="X220" s="28" t="s">
        <v>35</v>
      </c>
      <c r="Y220" s="28" t="s">
        <v>35</v>
      </c>
      <c r="Z220" s="28">
        <v>40</v>
      </c>
      <c r="AA220" s="53"/>
    </row>
    <row r="221" spans="1:27">
      <c r="A221" s="37">
        <v>217</v>
      </c>
      <c r="B221" s="28" t="s">
        <v>401</v>
      </c>
      <c r="C221" s="28" t="s">
        <v>30</v>
      </c>
      <c r="D221" s="28">
        <v>4</v>
      </c>
      <c r="E221" s="28">
        <v>5.99</v>
      </c>
      <c r="F221" s="28" t="s">
        <v>402</v>
      </c>
      <c r="G221" s="84" t="s">
        <v>403</v>
      </c>
      <c r="H221" s="28">
        <v>1516</v>
      </c>
      <c r="I221" s="85">
        <v>0.08</v>
      </c>
      <c r="J221" s="86">
        <v>0.2</v>
      </c>
      <c r="K221" s="86">
        <v>1.65</v>
      </c>
      <c r="L221" s="85">
        <v>0.015</v>
      </c>
      <c r="M221" s="85">
        <v>0.004</v>
      </c>
      <c r="N221" s="85" t="s">
        <v>35</v>
      </c>
      <c r="O221" s="85">
        <v>0.045</v>
      </c>
      <c r="P221" s="85">
        <v>0.105</v>
      </c>
      <c r="Q221" s="85">
        <v>0.03</v>
      </c>
      <c r="R221" s="85" t="s">
        <v>35</v>
      </c>
      <c r="S221" s="72" t="s">
        <v>35</v>
      </c>
      <c r="T221" s="86"/>
      <c r="U221" s="86"/>
      <c r="V221" s="86"/>
      <c r="W221" s="86"/>
      <c r="X221" s="72" t="s">
        <v>35</v>
      </c>
      <c r="Y221" s="53" t="s">
        <v>35</v>
      </c>
      <c r="Z221" s="28">
        <v>40</v>
      </c>
      <c r="AA221" s="53"/>
    </row>
    <row r="222" spans="1:27">
      <c r="A222" s="37">
        <v>218</v>
      </c>
      <c r="B222" s="28" t="s">
        <v>401</v>
      </c>
      <c r="C222" s="28" t="s">
        <v>33</v>
      </c>
      <c r="D222" s="28">
        <v>6</v>
      </c>
      <c r="E222" s="28">
        <v>14</v>
      </c>
      <c r="F222" s="28" t="s">
        <v>404</v>
      </c>
      <c r="G222" s="84" t="s">
        <v>403</v>
      </c>
      <c r="H222" s="28">
        <v>1516</v>
      </c>
      <c r="I222" s="85">
        <v>0.08</v>
      </c>
      <c r="J222" s="86">
        <v>0.2</v>
      </c>
      <c r="K222" s="86">
        <v>1.75</v>
      </c>
      <c r="L222" s="85">
        <v>0.015</v>
      </c>
      <c r="M222" s="85">
        <v>0.004</v>
      </c>
      <c r="N222" s="85" t="s">
        <v>35</v>
      </c>
      <c r="O222" s="85">
        <v>0.05</v>
      </c>
      <c r="P222" s="85">
        <v>0.115</v>
      </c>
      <c r="Q222" s="85">
        <v>0.03</v>
      </c>
      <c r="R222" s="85" t="s">
        <v>35</v>
      </c>
      <c r="S222" s="72" t="s">
        <v>35</v>
      </c>
      <c r="T222" s="86"/>
      <c r="U222" s="86"/>
      <c r="V222" s="86"/>
      <c r="W222" s="86"/>
      <c r="X222" s="72" t="s">
        <v>35</v>
      </c>
      <c r="Y222" s="53" t="s">
        <v>35</v>
      </c>
      <c r="Z222" s="28">
        <v>40</v>
      </c>
      <c r="AA222" s="53"/>
    </row>
    <row r="223" spans="1:27">
      <c r="A223" s="37">
        <v>219</v>
      </c>
      <c r="B223" s="28" t="s">
        <v>405</v>
      </c>
      <c r="C223" s="28" t="s">
        <v>30</v>
      </c>
      <c r="D223" s="28">
        <v>3</v>
      </c>
      <c r="E223" s="28">
        <v>10</v>
      </c>
      <c r="F223" s="28" t="s">
        <v>406</v>
      </c>
      <c r="G223" s="84" t="s">
        <v>407</v>
      </c>
      <c r="H223" s="28">
        <v>1518</v>
      </c>
      <c r="I223" s="85">
        <v>0.08</v>
      </c>
      <c r="J223" s="86">
        <v>0.2</v>
      </c>
      <c r="K223" s="86">
        <v>1.85</v>
      </c>
      <c r="L223" s="85">
        <v>0.01</v>
      </c>
      <c r="M223" s="85">
        <v>0.002</v>
      </c>
      <c r="N223" s="85" t="s">
        <v>35</v>
      </c>
      <c r="O223" s="85">
        <v>0.07</v>
      </c>
      <c r="P223" s="85">
        <v>0.125</v>
      </c>
      <c r="Q223" s="85">
        <v>0.03</v>
      </c>
      <c r="R223" s="85" t="s">
        <v>35</v>
      </c>
      <c r="S223" s="72"/>
      <c r="T223" s="86"/>
      <c r="U223" s="86"/>
      <c r="V223" s="86"/>
      <c r="W223" s="86"/>
      <c r="X223" s="72" t="s">
        <v>35</v>
      </c>
      <c r="Y223" s="53" t="s">
        <v>35</v>
      </c>
      <c r="Z223" s="28">
        <v>45</v>
      </c>
      <c r="AA223" s="53" t="s">
        <v>35</v>
      </c>
    </row>
    <row r="224" spans="1:27">
      <c r="A224" s="37">
        <v>220</v>
      </c>
      <c r="B224" s="28" t="s">
        <v>405</v>
      </c>
      <c r="C224" s="28" t="s">
        <v>33</v>
      </c>
      <c r="D224" s="28">
        <v>10.01</v>
      </c>
      <c r="E224" s="28">
        <v>14</v>
      </c>
      <c r="F224" s="28" t="s">
        <v>408</v>
      </c>
      <c r="G224" s="84" t="s">
        <v>407</v>
      </c>
      <c r="H224" s="28">
        <v>1518</v>
      </c>
      <c r="I224" s="85">
        <v>0.08</v>
      </c>
      <c r="J224" s="86">
        <v>0.1</v>
      </c>
      <c r="K224" s="86">
        <v>1.85</v>
      </c>
      <c r="L224" s="85">
        <v>0.01</v>
      </c>
      <c r="M224" s="85">
        <v>0.002</v>
      </c>
      <c r="N224" s="85" t="s">
        <v>35</v>
      </c>
      <c r="O224" s="85">
        <v>0.05</v>
      </c>
      <c r="P224" s="85">
        <v>0.105</v>
      </c>
      <c r="Q224" s="85">
        <v>0.03</v>
      </c>
      <c r="R224" s="85" t="s">
        <v>35</v>
      </c>
      <c r="S224" s="72"/>
      <c r="T224" s="86">
        <v>0.2</v>
      </c>
      <c r="U224" s="86"/>
      <c r="V224" s="86"/>
      <c r="W224" s="86"/>
      <c r="X224" s="72" t="s">
        <v>35</v>
      </c>
      <c r="Y224" s="53" t="s">
        <v>35</v>
      </c>
      <c r="Z224" s="28">
        <v>45</v>
      </c>
      <c r="AA224" s="53" t="s">
        <v>35</v>
      </c>
    </row>
    <row r="225" spans="1:27">
      <c r="A225" s="37">
        <v>221</v>
      </c>
      <c r="B225" s="28" t="s">
        <v>406</v>
      </c>
      <c r="C225" s="28" t="s">
        <v>30</v>
      </c>
      <c r="D225" s="28">
        <v>3</v>
      </c>
      <c r="E225" s="28">
        <v>10</v>
      </c>
      <c r="F225" s="28" t="s">
        <v>406</v>
      </c>
      <c r="G225" s="84" t="s">
        <v>407</v>
      </c>
      <c r="H225" s="28">
        <v>1518</v>
      </c>
      <c r="I225" s="85">
        <v>0.08</v>
      </c>
      <c r="J225" s="86">
        <v>0.2</v>
      </c>
      <c r="K225" s="86">
        <v>1.85</v>
      </c>
      <c r="L225" s="85">
        <v>0.01</v>
      </c>
      <c r="M225" s="85">
        <v>0.002</v>
      </c>
      <c r="N225" s="85" t="s">
        <v>35</v>
      </c>
      <c r="O225" s="85">
        <v>0.07</v>
      </c>
      <c r="P225" s="85">
        <v>0.125</v>
      </c>
      <c r="Q225" s="85">
        <v>0.03</v>
      </c>
      <c r="R225" s="85" t="s">
        <v>35</v>
      </c>
      <c r="S225" s="72"/>
      <c r="T225" s="86"/>
      <c r="U225" s="86"/>
      <c r="V225" s="86"/>
      <c r="W225" s="86"/>
      <c r="X225" s="72" t="s">
        <v>35</v>
      </c>
      <c r="Y225" s="53" t="s">
        <v>35</v>
      </c>
      <c r="Z225" s="28">
        <v>45</v>
      </c>
      <c r="AA225" s="53" t="s">
        <v>35</v>
      </c>
    </row>
    <row r="226" spans="1:27">
      <c r="A226" s="37">
        <v>222</v>
      </c>
      <c r="B226" s="28" t="s">
        <v>406</v>
      </c>
      <c r="C226" s="28" t="s">
        <v>33</v>
      </c>
      <c r="D226" s="28">
        <v>10.01</v>
      </c>
      <c r="E226" s="28">
        <v>14</v>
      </c>
      <c r="F226" s="28" t="s">
        <v>408</v>
      </c>
      <c r="G226" s="84" t="s">
        <v>407</v>
      </c>
      <c r="H226" s="28">
        <v>1518</v>
      </c>
      <c r="I226" s="85">
        <v>0.08</v>
      </c>
      <c r="J226" s="86">
        <v>0.1</v>
      </c>
      <c r="K226" s="86">
        <v>1.85</v>
      </c>
      <c r="L226" s="85">
        <v>0.01</v>
      </c>
      <c r="M226" s="85">
        <v>0.002</v>
      </c>
      <c r="N226" s="85" t="s">
        <v>35</v>
      </c>
      <c r="O226" s="85">
        <v>0.05</v>
      </c>
      <c r="P226" s="85">
        <v>0.105</v>
      </c>
      <c r="Q226" s="85">
        <v>0.03</v>
      </c>
      <c r="R226" s="85" t="s">
        <v>35</v>
      </c>
      <c r="S226" s="72"/>
      <c r="T226" s="86">
        <v>0.2</v>
      </c>
      <c r="U226" s="86"/>
      <c r="V226" s="86"/>
      <c r="W226" s="86"/>
      <c r="X226" s="72" t="s">
        <v>35</v>
      </c>
      <c r="Y226" s="53" t="s">
        <v>35</v>
      </c>
      <c r="Z226" s="28">
        <v>45</v>
      </c>
      <c r="AA226" s="53" t="s">
        <v>35</v>
      </c>
    </row>
    <row r="227" spans="1:27">
      <c r="A227" s="37">
        <v>223</v>
      </c>
      <c r="B227" s="28" t="s">
        <v>409</v>
      </c>
      <c r="C227" s="28" t="s">
        <v>30</v>
      </c>
      <c r="D227" s="28">
        <v>3</v>
      </c>
      <c r="E227" s="28">
        <v>12</v>
      </c>
      <c r="F227" s="28" t="s">
        <v>410</v>
      </c>
      <c r="G227" s="84" t="s">
        <v>411</v>
      </c>
      <c r="H227" s="28">
        <v>1519</v>
      </c>
      <c r="I227" s="85">
        <v>0.15</v>
      </c>
      <c r="J227" s="86">
        <v>0.2</v>
      </c>
      <c r="K227" s="86">
        <v>0.6</v>
      </c>
      <c r="L227" s="85">
        <v>0.015</v>
      </c>
      <c r="M227" s="85">
        <v>0.005</v>
      </c>
      <c r="N227" s="85"/>
      <c r="O227" s="85"/>
      <c r="P227" s="85">
        <v>0.01</v>
      </c>
      <c r="Q227" s="85">
        <v>0.015</v>
      </c>
      <c r="R227" s="85" t="s">
        <v>35</v>
      </c>
      <c r="S227" s="72"/>
      <c r="T227" s="86"/>
      <c r="U227" s="86"/>
      <c r="V227" s="86"/>
      <c r="W227" s="86"/>
      <c r="X227" s="72"/>
      <c r="Y227" s="53" t="s">
        <v>35</v>
      </c>
      <c r="Z227" s="28">
        <v>40</v>
      </c>
      <c r="AA227" s="53" t="s">
        <v>35</v>
      </c>
    </row>
    <row r="228" spans="1:27">
      <c r="A228" s="37">
        <v>224</v>
      </c>
      <c r="B228" s="28" t="s">
        <v>409</v>
      </c>
      <c r="C228" s="28" t="s">
        <v>33</v>
      </c>
      <c r="D228" s="28">
        <v>12.01</v>
      </c>
      <c r="E228" s="28">
        <v>28</v>
      </c>
      <c r="F228" s="28" t="s">
        <v>412</v>
      </c>
      <c r="G228" s="84" t="s">
        <v>411</v>
      </c>
      <c r="H228" s="28">
        <v>1519</v>
      </c>
      <c r="I228" s="85">
        <v>0.15</v>
      </c>
      <c r="J228" s="86">
        <v>0.2</v>
      </c>
      <c r="K228" s="86">
        <v>0.65</v>
      </c>
      <c r="L228" s="85">
        <v>0.015</v>
      </c>
      <c r="M228" s="85">
        <v>0.005</v>
      </c>
      <c r="N228" s="85"/>
      <c r="O228" s="85">
        <v>0.008</v>
      </c>
      <c r="P228" s="85">
        <v>0.01</v>
      </c>
      <c r="Q228" s="85">
        <v>0.015</v>
      </c>
      <c r="R228" s="85" t="s">
        <v>35</v>
      </c>
      <c r="S228" s="72"/>
      <c r="T228" s="86"/>
      <c r="U228" s="86"/>
      <c r="V228" s="86"/>
      <c r="W228" s="86"/>
      <c r="X228" s="72"/>
      <c r="Y228" s="53" t="s">
        <v>35</v>
      </c>
      <c r="Z228" s="28">
        <v>40</v>
      </c>
      <c r="AA228" s="53" t="s">
        <v>35</v>
      </c>
    </row>
    <row r="229" spans="1:27">
      <c r="A229" s="37">
        <v>225</v>
      </c>
      <c r="B229" s="28" t="s">
        <v>413</v>
      </c>
      <c r="C229" s="28" t="s">
        <v>30</v>
      </c>
      <c r="D229" s="28">
        <v>3</v>
      </c>
      <c r="E229" s="28">
        <v>12</v>
      </c>
      <c r="F229" s="28" t="s">
        <v>414</v>
      </c>
      <c r="G229" s="84" t="s">
        <v>415</v>
      </c>
      <c r="H229" s="28">
        <v>1519</v>
      </c>
      <c r="I229" s="85">
        <v>0.15</v>
      </c>
      <c r="J229" s="86">
        <v>0.15</v>
      </c>
      <c r="K229" s="86">
        <v>0.6</v>
      </c>
      <c r="L229" s="85">
        <v>0.015</v>
      </c>
      <c r="M229" s="85">
        <v>0.004</v>
      </c>
      <c r="N229" s="85"/>
      <c r="O229" s="85">
        <v>0.006</v>
      </c>
      <c r="P229" s="85">
        <v>0.01</v>
      </c>
      <c r="Q229" s="85">
        <v>0.015</v>
      </c>
      <c r="R229" s="85" t="s">
        <v>35</v>
      </c>
      <c r="S229" s="72"/>
      <c r="T229" s="86"/>
      <c r="U229" s="86"/>
      <c r="V229" s="86"/>
      <c r="W229" s="86"/>
      <c r="X229" s="72"/>
      <c r="Y229" s="53" t="s">
        <v>35</v>
      </c>
      <c r="Z229" s="28">
        <v>40</v>
      </c>
      <c r="AA229" s="53" t="s">
        <v>35</v>
      </c>
    </row>
    <row r="230" spans="1:27">
      <c r="A230" s="37">
        <v>226</v>
      </c>
      <c r="B230" s="28" t="s">
        <v>413</v>
      </c>
      <c r="C230" s="28" t="s">
        <v>33</v>
      </c>
      <c r="D230" s="28">
        <v>12.01</v>
      </c>
      <c r="E230" s="28">
        <v>28</v>
      </c>
      <c r="F230" s="28" t="s">
        <v>416</v>
      </c>
      <c r="G230" s="84" t="s">
        <v>415</v>
      </c>
      <c r="H230" s="28">
        <v>1519</v>
      </c>
      <c r="I230" s="85">
        <v>0.15</v>
      </c>
      <c r="J230" s="86">
        <v>0.15</v>
      </c>
      <c r="K230" s="86">
        <v>0.7</v>
      </c>
      <c r="L230" s="85">
        <v>0.015</v>
      </c>
      <c r="M230" s="85">
        <v>0.004</v>
      </c>
      <c r="N230" s="85"/>
      <c r="O230" s="85">
        <v>0.008</v>
      </c>
      <c r="P230" s="85">
        <v>0.015</v>
      </c>
      <c r="Q230" s="85">
        <v>0.015</v>
      </c>
      <c r="R230" s="85" t="s">
        <v>35</v>
      </c>
      <c r="S230" s="72"/>
      <c r="T230" s="86"/>
      <c r="U230" s="86"/>
      <c r="V230" s="86"/>
      <c r="W230" s="86"/>
      <c r="X230" s="72"/>
      <c r="Y230" s="53" t="s">
        <v>35</v>
      </c>
      <c r="Z230" s="28">
        <v>40</v>
      </c>
      <c r="AA230" s="53" t="s">
        <v>35</v>
      </c>
    </row>
    <row r="231" spans="1:27">
      <c r="A231" s="37">
        <v>227</v>
      </c>
      <c r="B231" s="28" t="s">
        <v>417</v>
      </c>
      <c r="C231" s="28" t="s">
        <v>30</v>
      </c>
      <c r="D231" s="28">
        <v>3</v>
      </c>
      <c r="E231" s="28">
        <v>12</v>
      </c>
      <c r="F231" s="28" t="s">
        <v>418</v>
      </c>
      <c r="G231" s="84" t="s">
        <v>419</v>
      </c>
      <c r="H231" s="28">
        <v>1517</v>
      </c>
      <c r="I231" s="85">
        <v>0.15</v>
      </c>
      <c r="J231" s="86">
        <v>0.15</v>
      </c>
      <c r="K231" s="86">
        <v>0.75</v>
      </c>
      <c r="L231" s="85">
        <v>0.015</v>
      </c>
      <c r="M231" s="85">
        <v>0.005</v>
      </c>
      <c r="N231" s="85"/>
      <c r="O231" s="85"/>
      <c r="P231" s="85">
        <v>0.025</v>
      </c>
      <c r="Q231" s="85">
        <v>0.025</v>
      </c>
      <c r="R231" s="85"/>
      <c r="S231" s="72"/>
      <c r="T231" s="86"/>
      <c r="U231" s="86"/>
      <c r="V231" s="86"/>
      <c r="W231" s="86"/>
      <c r="X231" s="72"/>
      <c r="Y231" s="53"/>
      <c r="Z231" s="28">
        <v>40</v>
      </c>
      <c r="AA231" s="53"/>
    </row>
    <row r="232" spans="1:27">
      <c r="A232" s="37">
        <v>228</v>
      </c>
      <c r="B232" s="28" t="s">
        <v>417</v>
      </c>
      <c r="C232" s="28" t="s">
        <v>33</v>
      </c>
      <c r="D232" s="28">
        <v>12.01</v>
      </c>
      <c r="E232" s="28">
        <v>28</v>
      </c>
      <c r="F232" s="28" t="s">
        <v>420</v>
      </c>
      <c r="G232" s="84" t="s">
        <v>419</v>
      </c>
      <c r="H232" s="28">
        <v>1517</v>
      </c>
      <c r="I232" s="85">
        <v>0.15</v>
      </c>
      <c r="J232" s="86">
        <v>0.15</v>
      </c>
      <c r="K232" s="86">
        <v>0.85</v>
      </c>
      <c r="L232" s="85">
        <v>0.015</v>
      </c>
      <c r="M232" s="85">
        <v>0.005</v>
      </c>
      <c r="N232" s="85"/>
      <c r="O232" s="85">
        <v>0.008</v>
      </c>
      <c r="P232" s="85">
        <v>0.025</v>
      </c>
      <c r="Q232" s="85">
        <v>0.025</v>
      </c>
      <c r="R232" s="85"/>
      <c r="S232" s="72"/>
      <c r="T232" s="86"/>
      <c r="U232" s="86"/>
      <c r="V232" s="86"/>
      <c r="W232" s="86"/>
      <c r="X232" s="72"/>
      <c r="Y232" s="53"/>
      <c r="Z232" s="28">
        <v>40</v>
      </c>
      <c r="AA232" s="53"/>
    </row>
    <row r="233" spans="1:27">
      <c r="A233" s="37">
        <v>229</v>
      </c>
      <c r="B233" s="28" t="s">
        <v>421</v>
      </c>
      <c r="C233" s="28" t="s">
        <v>30</v>
      </c>
      <c r="D233" s="28">
        <v>4</v>
      </c>
      <c r="E233" s="28">
        <v>25.4</v>
      </c>
      <c r="F233" s="28" t="s">
        <v>421</v>
      </c>
      <c r="G233" s="84" t="s">
        <v>422</v>
      </c>
      <c r="H233" s="28">
        <v>1521</v>
      </c>
      <c r="I233" s="85">
        <v>0.07</v>
      </c>
      <c r="J233" s="86">
        <v>0.2</v>
      </c>
      <c r="K233" s="86">
        <v>1.25</v>
      </c>
      <c r="L233" s="85">
        <v>0.015</v>
      </c>
      <c r="M233" s="85">
        <v>0.005</v>
      </c>
      <c r="N233" s="85" t="s">
        <v>35</v>
      </c>
      <c r="O233" s="85">
        <v>0.03</v>
      </c>
      <c r="P233" s="85">
        <v>0.025</v>
      </c>
      <c r="Q233" s="85">
        <v>0.02</v>
      </c>
      <c r="R233" s="85" t="s">
        <v>35</v>
      </c>
      <c r="S233" s="72"/>
      <c r="T233" s="86"/>
      <c r="U233" s="86"/>
      <c r="V233" s="86"/>
      <c r="W233" s="86"/>
      <c r="X233" s="72"/>
      <c r="Y233" s="53" t="s">
        <v>35</v>
      </c>
      <c r="Z233" s="28">
        <v>50</v>
      </c>
      <c r="AA233" s="53"/>
    </row>
    <row r="234" spans="1:27">
      <c r="A234" s="37">
        <v>230</v>
      </c>
      <c r="B234" s="28" t="s">
        <v>423</v>
      </c>
      <c r="C234" s="28" t="s">
        <v>30</v>
      </c>
      <c r="D234" s="28">
        <v>6</v>
      </c>
      <c r="E234" s="28">
        <v>16</v>
      </c>
      <c r="F234" s="28" t="s">
        <v>424</v>
      </c>
      <c r="G234" s="84" t="s">
        <v>425</v>
      </c>
      <c r="H234" s="28">
        <v>1518</v>
      </c>
      <c r="I234" s="85">
        <v>0.08</v>
      </c>
      <c r="J234" s="86">
        <v>0.23</v>
      </c>
      <c r="K234" s="86">
        <v>1.4</v>
      </c>
      <c r="L234" s="85">
        <v>0.015</v>
      </c>
      <c r="M234" s="85">
        <v>0.005</v>
      </c>
      <c r="N234" s="85" t="s">
        <v>35</v>
      </c>
      <c r="O234" s="85">
        <v>0.025</v>
      </c>
      <c r="P234" s="85">
        <v>0.045</v>
      </c>
      <c r="Q234" s="85">
        <v>0.025</v>
      </c>
      <c r="R234" s="85" t="s">
        <v>35</v>
      </c>
      <c r="S234" s="72" t="s">
        <v>35</v>
      </c>
      <c r="T234" s="86"/>
      <c r="U234" s="86"/>
      <c r="V234" s="86"/>
      <c r="W234" s="86"/>
      <c r="X234" s="72"/>
      <c r="Y234" s="53" t="s">
        <v>35</v>
      </c>
      <c r="Z234" s="28">
        <v>40</v>
      </c>
      <c r="AA234" s="53"/>
    </row>
    <row r="235" spans="1:27">
      <c r="A235" s="37">
        <v>231</v>
      </c>
      <c r="B235" s="28" t="s">
        <v>423</v>
      </c>
      <c r="C235" s="28" t="s">
        <v>33</v>
      </c>
      <c r="D235" s="28">
        <v>16.01</v>
      </c>
      <c r="E235" s="28">
        <v>22</v>
      </c>
      <c r="F235" s="28" t="s">
        <v>426</v>
      </c>
      <c r="G235" s="84" t="s">
        <v>425</v>
      </c>
      <c r="H235" s="28">
        <v>1518</v>
      </c>
      <c r="I235" s="85">
        <v>0.08</v>
      </c>
      <c r="J235" s="86">
        <v>0.23</v>
      </c>
      <c r="K235" s="86">
        <v>1.5</v>
      </c>
      <c r="L235" s="85">
        <v>0.015</v>
      </c>
      <c r="M235" s="85">
        <v>0.005</v>
      </c>
      <c r="N235" s="85" t="s">
        <v>35</v>
      </c>
      <c r="O235" s="85">
        <v>0.025</v>
      </c>
      <c r="P235" s="85">
        <v>0.055</v>
      </c>
      <c r="Q235" s="85">
        <v>0.025</v>
      </c>
      <c r="R235" s="85" t="s">
        <v>35</v>
      </c>
      <c r="S235" s="72" t="s">
        <v>35</v>
      </c>
      <c r="T235" s="86"/>
      <c r="U235" s="86"/>
      <c r="V235" s="86"/>
      <c r="W235" s="86"/>
      <c r="X235" s="72"/>
      <c r="Y235" s="53" t="s">
        <v>35</v>
      </c>
      <c r="Z235" s="28">
        <v>40</v>
      </c>
      <c r="AA235" s="53"/>
    </row>
    <row r="236" spans="1:27">
      <c r="A236" s="37">
        <v>232</v>
      </c>
      <c r="B236" s="28" t="s">
        <v>427</v>
      </c>
      <c r="C236" s="28" t="s">
        <v>30</v>
      </c>
      <c r="D236" s="28">
        <v>3</v>
      </c>
      <c r="E236" s="28">
        <v>12</v>
      </c>
      <c r="F236" s="28" t="s">
        <v>428</v>
      </c>
      <c r="G236" s="84" t="s">
        <v>429</v>
      </c>
      <c r="H236" s="28">
        <v>1517</v>
      </c>
      <c r="I236" s="85">
        <v>0.15</v>
      </c>
      <c r="J236" s="86">
        <v>0.15</v>
      </c>
      <c r="K236" s="86">
        <v>0.75</v>
      </c>
      <c r="L236" s="85">
        <v>0.015</v>
      </c>
      <c r="M236" s="85">
        <v>0.005</v>
      </c>
      <c r="N236" s="85"/>
      <c r="O236" s="85"/>
      <c r="P236" s="85">
        <v>0.025</v>
      </c>
      <c r="Q236" s="85">
        <v>0.025</v>
      </c>
      <c r="R236" s="85" t="s">
        <v>35</v>
      </c>
      <c r="S236" s="72"/>
      <c r="T236" s="86"/>
      <c r="U236" s="86"/>
      <c r="V236" s="86"/>
      <c r="W236" s="86"/>
      <c r="X236" s="72"/>
      <c r="Y236" s="53" t="s">
        <v>35</v>
      </c>
      <c r="Z236" s="28">
        <v>40</v>
      </c>
      <c r="AA236" s="53"/>
    </row>
    <row r="237" spans="1:27">
      <c r="A237" s="37">
        <v>233</v>
      </c>
      <c r="B237" s="28" t="s">
        <v>427</v>
      </c>
      <c r="C237" s="28" t="s">
        <v>33</v>
      </c>
      <c r="D237" s="28">
        <v>12.01</v>
      </c>
      <c r="E237" s="28">
        <v>28</v>
      </c>
      <c r="F237" s="28" t="s">
        <v>430</v>
      </c>
      <c r="G237" s="84" t="s">
        <v>429</v>
      </c>
      <c r="H237" s="28">
        <v>1517</v>
      </c>
      <c r="I237" s="85">
        <v>0.15</v>
      </c>
      <c r="J237" s="86">
        <v>0.15</v>
      </c>
      <c r="K237" s="86">
        <v>0.85</v>
      </c>
      <c r="L237" s="85">
        <v>0.015</v>
      </c>
      <c r="M237" s="85">
        <v>0.005</v>
      </c>
      <c r="N237" s="85"/>
      <c r="O237" s="85">
        <v>0.008</v>
      </c>
      <c r="P237" s="85">
        <v>0.025</v>
      </c>
      <c r="Q237" s="85">
        <v>0.025</v>
      </c>
      <c r="R237" s="85" t="s">
        <v>35</v>
      </c>
      <c r="S237" s="72"/>
      <c r="T237" s="86"/>
      <c r="U237" s="86"/>
      <c r="V237" s="86"/>
      <c r="W237" s="86"/>
      <c r="X237" s="72"/>
      <c r="Y237" s="53" t="s">
        <v>35</v>
      </c>
      <c r="Z237" s="28">
        <v>40</v>
      </c>
      <c r="AA237" s="53"/>
    </row>
    <row r="238" spans="1:27">
      <c r="A238" s="37">
        <v>234</v>
      </c>
      <c r="B238" s="28" t="s">
        <v>431</v>
      </c>
      <c r="C238" s="28" t="s">
        <v>30</v>
      </c>
      <c r="D238" s="28">
        <v>6</v>
      </c>
      <c r="E238" s="28">
        <v>16</v>
      </c>
      <c r="F238" s="28" t="s">
        <v>432</v>
      </c>
      <c r="G238" s="84" t="s">
        <v>433</v>
      </c>
      <c r="H238" s="28">
        <v>1520</v>
      </c>
      <c r="I238" s="85">
        <v>0.06</v>
      </c>
      <c r="J238" s="86">
        <v>0.23</v>
      </c>
      <c r="K238" s="86">
        <v>1.35</v>
      </c>
      <c r="L238" s="85">
        <v>0.01</v>
      </c>
      <c r="M238" s="85">
        <v>0.003</v>
      </c>
      <c r="N238" s="85" t="s">
        <v>35</v>
      </c>
      <c r="O238" s="85">
        <v>0.03</v>
      </c>
      <c r="P238" s="85">
        <v>0.04</v>
      </c>
      <c r="Q238" s="85">
        <v>0.025</v>
      </c>
      <c r="R238" s="85" t="s">
        <v>35</v>
      </c>
      <c r="S238" s="72"/>
      <c r="T238" s="86"/>
      <c r="U238" s="86"/>
      <c r="V238" s="86"/>
      <c r="W238" s="86"/>
      <c r="X238" s="72"/>
      <c r="Y238" s="53" t="s">
        <v>35</v>
      </c>
      <c r="Z238" s="28"/>
      <c r="AA238" s="53"/>
    </row>
    <row r="239" spans="1:27">
      <c r="A239" s="37">
        <v>235</v>
      </c>
      <c r="B239" s="28" t="s">
        <v>431</v>
      </c>
      <c r="C239" s="28" t="s">
        <v>33</v>
      </c>
      <c r="D239" s="28">
        <v>16.01</v>
      </c>
      <c r="E239" s="28">
        <v>25.4</v>
      </c>
      <c r="F239" s="28" t="s">
        <v>434</v>
      </c>
      <c r="G239" s="84" t="s">
        <v>433</v>
      </c>
      <c r="H239" s="28">
        <v>1520</v>
      </c>
      <c r="I239" s="85">
        <v>0.06</v>
      </c>
      <c r="J239" s="86">
        <v>0.23</v>
      </c>
      <c r="K239" s="86">
        <v>1.45</v>
      </c>
      <c r="L239" s="85">
        <v>0.01</v>
      </c>
      <c r="M239" s="85">
        <v>0.003</v>
      </c>
      <c r="N239" s="85" t="s">
        <v>35</v>
      </c>
      <c r="O239" s="85">
        <v>0.035</v>
      </c>
      <c r="P239" s="85">
        <v>0.04</v>
      </c>
      <c r="Q239" s="85">
        <v>0.025</v>
      </c>
      <c r="R239" s="85" t="s">
        <v>35</v>
      </c>
      <c r="S239" s="72"/>
      <c r="T239" s="86"/>
      <c r="U239" s="86"/>
      <c r="V239" s="86"/>
      <c r="W239" s="86"/>
      <c r="X239" s="72"/>
      <c r="Y239" s="53" t="s">
        <v>35</v>
      </c>
      <c r="Z239" s="28"/>
      <c r="AA239" s="53"/>
    </row>
    <row r="240" spans="1:27">
      <c r="A240" s="37">
        <v>236</v>
      </c>
      <c r="B240" s="28" t="s">
        <v>435</v>
      </c>
      <c r="C240" s="28" t="s">
        <v>30</v>
      </c>
      <c r="D240" s="28">
        <v>6</v>
      </c>
      <c r="E240" s="28">
        <v>16</v>
      </c>
      <c r="F240" s="28" t="s">
        <v>436</v>
      </c>
      <c r="G240" s="84" t="s">
        <v>437</v>
      </c>
      <c r="H240" s="28">
        <v>1520</v>
      </c>
      <c r="I240" s="85">
        <v>0.06</v>
      </c>
      <c r="J240" s="86">
        <v>0.23</v>
      </c>
      <c r="K240" s="86">
        <v>1.35</v>
      </c>
      <c r="L240" s="85">
        <v>0.01</v>
      </c>
      <c r="M240" s="85">
        <v>0.003</v>
      </c>
      <c r="N240" s="85" t="s">
        <v>35</v>
      </c>
      <c r="O240" s="85">
        <v>0.035</v>
      </c>
      <c r="P240" s="85">
        <v>0.045</v>
      </c>
      <c r="Q240" s="85">
        <v>0.025</v>
      </c>
      <c r="R240" s="85" t="s">
        <v>35</v>
      </c>
      <c r="S240" s="72"/>
      <c r="T240" s="86"/>
      <c r="U240" s="86"/>
      <c r="V240" s="86"/>
      <c r="W240" s="86"/>
      <c r="X240" s="72"/>
      <c r="Y240" s="53" t="s">
        <v>35</v>
      </c>
      <c r="Z240" s="28">
        <v>40</v>
      </c>
      <c r="AA240" s="53" t="s">
        <v>35</v>
      </c>
    </row>
    <row r="241" spans="1:27">
      <c r="A241" s="37">
        <v>237</v>
      </c>
      <c r="B241" s="28" t="s">
        <v>435</v>
      </c>
      <c r="C241" s="28" t="s">
        <v>33</v>
      </c>
      <c r="D241" s="28">
        <v>16.01</v>
      </c>
      <c r="E241" s="28">
        <v>25</v>
      </c>
      <c r="F241" s="28" t="s">
        <v>438</v>
      </c>
      <c r="G241" s="84" t="s">
        <v>437</v>
      </c>
      <c r="H241" s="28">
        <v>1520</v>
      </c>
      <c r="I241" s="85">
        <v>0.06</v>
      </c>
      <c r="J241" s="86">
        <v>0.23</v>
      </c>
      <c r="K241" s="86">
        <v>1.45</v>
      </c>
      <c r="L241" s="85">
        <v>0.01</v>
      </c>
      <c r="M241" s="85">
        <v>0.003</v>
      </c>
      <c r="N241" s="85" t="s">
        <v>35</v>
      </c>
      <c r="O241" s="85">
        <v>0.04</v>
      </c>
      <c r="P241" s="85">
        <v>0.045</v>
      </c>
      <c r="Q241" s="85">
        <v>0.025</v>
      </c>
      <c r="R241" s="85" t="s">
        <v>35</v>
      </c>
      <c r="S241" s="72"/>
      <c r="T241" s="86"/>
      <c r="U241" s="86"/>
      <c r="V241" s="86"/>
      <c r="W241" s="86"/>
      <c r="X241" s="72"/>
      <c r="Y241" s="53" t="s">
        <v>35</v>
      </c>
      <c r="Z241" s="28">
        <v>40</v>
      </c>
      <c r="AA241" s="53" t="s">
        <v>35</v>
      </c>
    </row>
    <row r="242" spans="1:27">
      <c r="A242" s="37">
        <v>238</v>
      </c>
      <c r="B242" s="28" t="s">
        <v>439</v>
      </c>
      <c r="C242" s="28" t="s">
        <v>30</v>
      </c>
      <c r="D242" s="28">
        <v>6</v>
      </c>
      <c r="E242" s="28">
        <v>14</v>
      </c>
      <c r="F242" s="28" t="s">
        <v>440</v>
      </c>
      <c r="G242" s="84" t="s">
        <v>441</v>
      </c>
      <c r="H242" s="28">
        <v>1520</v>
      </c>
      <c r="I242" s="85">
        <v>0.06</v>
      </c>
      <c r="J242" s="86">
        <v>0.23</v>
      </c>
      <c r="K242" s="86">
        <v>1.6</v>
      </c>
      <c r="L242" s="85">
        <v>0.01</v>
      </c>
      <c r="M242" s="85">
        <v>0.002</v>
      </c>
      <c r="N242" s="85" t="s">
        <v>35</v>
      </c>
      <c r="O242" s="85">
        <v>0.06</v>
      </c>
      <c r="P242" s="85">
        <v>0.015</v>
      </c>
      <c r="Q242" s="85">
        <v>0.025</v>
      </c>
      <c r="R242" s="85" t="s">
        <v>35</v>
      </c>
      <c r="S242" s="72"/>
      <c r="T242" s="86">
        <v>0.25</v>
      </c>
      <c r="U242" s="86"/>
      <c r="V242" s="86"/>
      <c r="W242" s="86"/>
      <c r="X242" s="72"/>
      <c r="Y242" s="53" t="s">
        <v>35</v>
      </c>
      <c r="Z242" s="28">
        <v>40</v>
      </c>
      <c r="AA242" s="53" t="s">
        <v>442</v>
      </c>
    </row>
    <row r="243" spans="1:27">
      <c r="A243" s="37">
        <v>239</v>
      </c>
      <c r="B243" s="28" t="s">
        <v>439</v>
      </c>
      <c r="C243" s="28" t="s">
        <v>33</v>
      </c>
      <c r="D243" s="28">
        <v>14.01</v>
      </c>
      <c r="E243" s="28">
        <v>19</v>
      </c>
      <c r="F243" s="28" t="s">
        <v>443</v>
      </c>
      <c r="G243" s="84" t="s">
        <v>441</v>
      </c>
      <c r="H243" s="28">
        <v>1520</v>
      </c>
      <c r="I243" s="85">
        <v>0.06</v>
      </c>
      <c r="J243" s="86">
        <v>0.23</v>
      </c>
      <c r="K243" s="86">
        <v>1.65</v>
      </c>
      <c r="L243" s="85">
        <v>0.01</v>
      </c>
      <c r="M243" s="85">
        <v>0.002</v>
      </c>
      <c r="N243" s="85" t="s">
        <v>35</v>
      </c>
      <c r="O243" s="85">
        <v>0.065</v>
      </c>
      <c r="P243" s="85">
        <v>0.015</v>
      </c>
      <c r="Q243" s="85">
        <v>0.025</v>
      </c>
      <c r="R243" s="85" t="s">
        <v>35</v>
      </c>
      <c r="S243" s="72"/>
      <c r="T243" s="86">
        <v>0.25</v>
      </c>
      <c r="U243" s="86"/>
      <c r="V243" s="86"/>
      <c r="W243" s="86"/>
      <c r="X243" s="72"/>
      <c r="Y243" s="53" t="s">
        <v>35</v>
      </c>
      <c r="Z243" s="28">
        <v>40</v>
      </c>
      <c r="AA243" s="53" t="s">
        <v>442</v>
      </c>
    </row>
    <row r="244" spans="1:27">
      <c r="A244" s="37">
        <v>240</v>
      </c>
      <c r="B244" s="28" t="s">
        <v>444</v>
      </c>
      <c r="C244" s="28" t="s">
        <v>30</v>
      </c>
      <c r="D244" s="28">
        <v>6</v>
      </c>
      <c r="E244" s="28">
        <v>14</v>
      </c>
      <c r="F244" s="28" t="s">
        <v>445</v>
      </c>
      <c r="G244" s="84" t="s">
        <v>446</v>
      </c>
      <c r="H244" s="28">
        <v>1520</v>
      </c>
      <c r="I244" s="85">
        <v>0.06</v>
      </c>
      <c r="J244" s="86">
        <v>0.23</v>
      </c>
      <c r="K244" s="86">
        <v>1.6</v>
      </c>
      <c r="L244" s="85">
        <v>0.01</v>
      </c>
      <c r="M244" s="85">
        <v>0.002</v>
      </c>
      <c r="N244" s="85" t="s">
        <v>35</v>
      </c>
      <c r="O244" s="85">
        <v>0.06</v>
      </c>
      <c r="P244" s="85">
        <v>0.015</v>
      </c>
      <c r="Q244" s="85">
        <v>0.025</v>
      </c>
      <c r="R244" s="85" t="s">
        <v>35</v>
      </c>
      <c r="S244" s="72"/>
      <c r="T244" s="86">
        <v>0.25</v>
      </c>
      <c r="U244" s="86"/>
      <c r="V244" s="86"/>
      <c r="W244" s="86"/>
      <c r="X244" s="72"/>
      <c r="Y244" s="53" t="s">
        <v>35</v>
      </c>
      <c r="Z244" s="28">
        <v>40</v>
      </c>
      <c r="AA244" s="53" t="s">
        <v>447</v>
      </c>
    </row>
    <row r="245" spans="1:27">
      <c r="A245" s="37">
        <v>241</v>
      </c>
      <c r="B245" s="28" t="s">
        <v>444</v>
      </c>
      <c r="C245" s="28" t="s">
        <v>33</v>
      </c>
      <c r="D245" s="28">
        <v>14.01</v>
      </c>
      <c r="E245" s="28">
        <v>24</v>
      </c>
      <c r="F245" s="28" t="s">
        <v>448</v>
      </c>
      <c r="G245" s="84" t="s">
        <v>446</v>
      </c>
      <c r="H245" s="28">
        <v>1520</v>
      </c>
      <c r="I245" s="85">
        <v>0.06</v>
      </c>
      <c r="J245" s="86">
        <v>0.23</v>
      </c>
      <c r="K245" s="86">
        <v>1.65</v>
      </c>
      <c r="L245" s="85">
        <v>0.01</v>
      </c>
      <c r="M245" s="85">
        <v>0.002</v>
      </c>
      <c r="N245" s="85" t="s">
        <v>35</v>
      </c>
      <c r="O245" s="85">
        <v>0.065</v>
      </c>
      <c r="P245" s="85">
        <v>0.015</v>
      </c>
      <c r="Q245" s="85">
        <v>0.025</v>
      </c>
      <c r="R245" s="85" t="s">
        <v>35</v>
      </c>
      <c r="S245" s="72"/>
      <c r="T245" s="86">
        <v>0.25</v>
      </c>
      <c r="U245" s="86"/>
      <c r="V245" s="86"/>
      <c r="W245" s="86"/>
      <c r="X245" s="72"/>
      <c r="Y245" s="53" t="s">
        <v>35</v>
      </c>
      <c r="Z245" s="28">
        <v>40</v>
      </c>
      <c r="AA245" s="53" t="s">
        <v>447</v>
      </c>
    </row>
    <row r="246" spans="1:27">
      <c r="A246" s="37">
        <v>242</v>
      </c>
      <c r="B246" s="28" t="s">
        <v>449</v>
      </c>
      <c r="C246" s="28" t="s">
        <v>30</v>
      </c>
      <c r="D246" s="28">
        <v>6</v>
      </c>
      <c r="E246" s="28">
        <v>16</v>
      </c>
      <c r="F246" s="28" t="s">
        <v>450</v>
      </c>
      <c r="G246" s="84" t="s">
        <v>451</v>
      </c>
      <c r="H246" s="28">
        <v>1520</v>
      </c>
      <c r="I246" s="85">
        <v>0.04</v>
      </c>
      <c r="J246" s="86">
        <v>0.23</v>
      </c>
      <c r="K246" s="86">
        <v>1.8</v>
      </c>
      <c r="L246" s="85">
        <v>0.01</v>
      </c>
      <c r="M246" s="85">
        <v>0.002</v>
      </c>
      <c r="N246" s="85"/>
      <c r="O246" s="85">
        <v>0.08</v>
      </c>
      <c r="P246" s="85">
        <v>0.012</v>
      </c>
      <c r="Q246" s="85">
        <v>0.025</v>
      </c>
      <c r="R246" s="85" t="s">
        <v>35</v>
      </c>
      <c r="S246" s="72"/>
      <c r="T246" s="86">
        <v>0.25</v>
      </c>
      <c r="U246" s="86"/>
      <c r="V246" s="86"/>
      <c r="W246" s="86">
        <v>0.18</v>
      </c>
      <c r="X246" s="72"/>
      <c r="Y246" s="53" t="s">
        <v>35</v>
      </c>
      <c r="Z246" s="28">
        <v>40</v>
      </c>
      <c r="AA246" s="53" t="s">
        <v>452</v>
      </c>
    </row>
    <row r="247" spans="1:27">
      <c r="A247" s="37">
        <v>243</v>
      </c>
      <c r="B247" s="28" t="s">
        <v>449</v>
      </c>
      <c r="C247" s="28" t="s">
        <v>33</v>
      </c>
      <c r="D247" s="28">
        <v>16.01</v>
      </c>
      <c r="E247" s="28">
        <v>19</v>
      </c>
      <c r="F247" s="28" t="s">
        <v>453</v>
      </c>
      <c r="G247" s="84" t="s">
        <v>451</v>
      </c>
      <c r="H247" s="28">
        <v>1520</v>
      </c>
      <c r="I247" s="85">
        <v>0.045</v>
      </c>
      <c r="J247" s="86">
        <v>0.23</v>
      </c>
      <c r="K247" s="86">
        <v>1.8</v>
      </c>
      <c r="L247" s="85">
        <v>0.01</v>
      </c>
      <c r="M247" s="85">
        <v>0.002</v>
      </c>
      <c r="N247" s="85">
        <v>0.04</v>
      </c>
      <c r="O247" s="85">
        <v>0.08</v>
      </c>
      <c r="P247" s="85">
        <v>0.012</v>
      </c>
      <c r="Q247" s="85">
        <v>0.025</v>
      </c>
      <c r="R247" s="85" t="s">
        <v>35</v>
      </c>
      <c r="S247" s="72"/>
      <c r="T247" s="86">
        <v>0.35</v>
      </c>
      <c r="U247" s="86"/>
      <c r="V247" s="86"/>
      <c r="W247" s="86">
        <v>0.18</v>
      </c>
      <c r="X247" s="72"/>
      <c r="Y247" s="53" t="s">
        <v>35</v>
      </c>
      <c r="Z247" s="28">
        <v>40</v>
      </c>
      <c r="AA247" s="53" t="s">
        <v>452</v>
      </c>
    </row>
    <row r="248" spans="1:27">
      <c r="A248" s="37">
        <v>244</v>
      </c>
      <c r="B248" s="28" t="s">
        <v>454</v>
      </c>
      <c r="C248" s="28" t="s">
        <v>30</v>
      </c>
      <c r="D248" s="28">
        <v>2.5</v>
      </c>
      <c r="E248" s="28">
        <v>10</v>
      </c>
      <c r="F248" s="28" t="s">
        <v>454</v>
      </c>
      <c r="G248" s="84" t="s">
        <v>455</v>
      </c>
      <c r="H248" s="28">
        <v>1512</v>
      </c>
      <c r="I248" s="85">
        <v>0.18</v>
      </c>
      <c r="J248" s="86">
        <v>0.1</v>
      </c>
      <c r="K248" s="86">
        <v>1.25</v>
      </c>
      <c r="L248" s="85">
        <v>0.02</v>
      </c>
      <c r="M248" s="85">
        <v>0.01</v>
      </c>
      <c r="N248" s="85"/>
      <c r="O248" s="85"/>
      <c r="P248" s="85">
        <v>0.025</v>
      </c>
      <c r="Q248" s="85">
        <v>0.02</v>
      </c>
      <c r="R248" s="85" t="s">
        <v>35</v>
      </c>
      <c r="S248" s="72"/>
      <c r="T248" s="86"/>
      <c r="U248" s="86"/>
      <c r="V248" s="86"/>
      <c r="W248" s="86" t="s">
        <v>35</v>
      </c>
      <c r="X248" s="72" t="s">
        <v>35</v>
      </c>
      <c r="Y248" s="53" t="s">
        <v>35</v>
      </c>
      <c r="Z248" s="28">
        <v>45</v>
      </c>
      <c r="AA248" s="53"/>
    </row>
    <row r="249" spans="1:27">
      <c r="A249" s="37">
        <v>245</v>
      </c>
      <c r="B249" s="28" t="s">
        <v>456</v>
      </c>
      <c r="C249" s="28" t="s">
        <v>30</v>
      </c>
      <c r="D249" s="28">
        <v>3</v>
      </c>
      <c r="E249" s="28">
        <v>10</v>
      </c>
      <c r="F249" s="28" t="s">
        <v>456</v>
      </c>
      <c r="G249" s="84" t="s">
        <v>457</v>
      </c>
      <c r="H249" s="28">
        <v>1512</v>
      </c>
      <c r="I249" s="85">
        <v>0.16</v>
      </c>
      <c r="J249" s="86">
        <v>0.18</v>
      </c>
      <c r="K249" s="86">
        <v>1.4</v>
      </c>
      <c r="L249" s="85">
        <v>0.015</v>
      </c>
      <c r="M249" s="85">
        <v>0.005</v>
      </c>
      <c r="N249" s="85"/>
      <c r="O249" s="85" t="s">
        <v>35</v>
      </c>
      <c r="P249" s="85">
        <v>0.03</v>
      </c>
      <c r="Q249" s="85">
        <v>0.03</v>
      </c>
      <c r="R249" s="85" t="s">
        <v>35</v>
      </c>
      <c r="S249" s="72"/>
      <c r="T249" s="86"/>
      <c r="U249" s="86"/>
      <c r="V249" s="86">
        <v>0.25</v>
      </c>
      <c r="W249" s="86" t="s">
        <v>35</v>
      </c>
      <c r="X249" s="72" t="s">
        <v>35</v>
      </c>
      <c r="Y249" s="53" t="s">
        <v>35</v>
      </c>
      <c r="Z249" s="28">
        <v>45</v>
      </c>
      <c r="AA249" s="53" t="s">
        <v>35</v>
      </c>
    </row>
    <row r="250" spans="1:27">
      <c r="A250" s="37">
        <v>246</v>
      </c>
      <c r="B250" s="28" t="s">
        <v>458</v>
      </c>
      <c r="C250" s="28" t="s">
        <v>30</v>
      </c>
      <c r="D250" s="28">
        <v>3</v>
      </c>
      <c r="E250" s="28">
        <v>10</v>
      </c>
      <c r="F250" s="28" t="s">
        <v>458</v>
      </c>
      <c r="G250" s="84" t="s">
        <v>459</v>
      </c>
      <c r="H250" s="28">
        <v>1523</v>
      </c>
      <c r="I250" s="85">
        <v>0.07</v>
      </c>
      <c r="J250" s="86">
        <v>0.25</v>
      </c>
      <c r="K250" s="86">
        <v>0.5</v>
      </c>
      <c r="L250" s="85">
        <v>0.015</v>
      </c>
      <c r="M250" s="85">
        <v>0.005</v>
      </c>
      <c r="N250" s="85" t="s">
        <v>35</v>
      </c>
      <c r="O250" s="85"/>
      <c r="P250" s="85"/>
      <c r="Q250" s="85">
        <v>0.02</v>
      </c>
      <c r="R250" s="85" t="s">
        <v>35</v>
      </c>
      <c r="S250" s="72"/>
      <c r="T250" s="86">
        <v>0.75</v>
      </c>
      <c r="U250" s="86">
        <v>0.08</v>
      </c>
      <c r="V250" s="86">
        <v>0.27</v>
      </c>
      <c r="W250" s="86"/>
      <c r="X250" s="72" t="s">
        <v>35</v>
      </c>
      <c r="Y250" s="53">
        <v>0.05</v>
      </c>
      <c r="Z250" s="28">
        <v>45</v>
      </c>
      <c r="AA250" s="53"/>
    </row>
    <row r="251" spans="1:27">
      <c r="A251" s="37">
        <v>247</v>
      </c>
      <c r="B251" s="28" t="s">
        <v>460</v>
      </c>
      <c r="C251" s="28" t="s">
        <v>30</v>
      </c>
      <c r="D251" s="28">
        <v>3</v>
      </c>
      <c r="E251" s="28">
        <v>9.99</v>
      </c>
      <c r="F251" s="28" t="s">
        <v>461</v>
      </c>
      <c r="G251" s="84" t="s">
        <v>462</v>
      </c>
      <c r="H251" s="28">
        <v>1522</v>
      </c>
      <c r="I251" s="85">
        <v>0.08</v>
      </c>
      <c r="J251" s="86">
        <v>0.25</v>
      </c>
      <c r="K251" s="86">
        <v>0.3</v>
      </c>
      <c r="L251" s="85">
        <v>0.02</v>
      </c>
      <c r="M251" s="85">
        <v>0.004</v>
      </c>
      <c r="N251" s="85" t="s">
        <v>35</v>
      </c>
      <c r="O251" s="85" t="s">
        <v>35</v>
      </c>
      <c r="P251" s="85" t="s">
        <v>35</v>
      </c>
      <c r="Q251" s="85" t="s">
        <v>35</v>
      </c>
      <c r="R251" s="85">
        <v>0.03</v>
      </c>
      <c r="S251" s="72"/>
      <c r="T251" s="86">
        <v>0.45</v>
      </c>
      <c r="U251" s="86">
        <v>0.07</v>
      </c>
      <c r="V251" s="86">
        <v>0.28</v>
      </c>
      <c r="W251" s="86"/>
      <c r="X251" s="72" t="s">
        <v>35</v>
      </c>
      <c r="Y251" s="53" t="s">
        <v>35</v>
      </c>
      <c r="Z251" s="28">
        <v>45</v>
      </c>
      <c r="AA251" s="53"/>
    </row>
    <row r="252" spans="1:27">
      <c r="A252" s="37">
        <v>248</v>
      </c>
      <c r="B252" s="28" t="s">
        <v>460</v>
      </c>
      <c r="C252" s="28" t="s">
        <v>33</v>
      </c>
      <c r="D252" s="28">
        <v>10</v>
      </c>
      <c r="E252" s="28">
        <v>20</v>
      </c>
      <c r="F252" s="28" t="s">
        <v>463</v>
      </c>
      <c r="G252" s="84" t="s">
        <v>462</v>
      </c>
      <c r="H252" s="28">
        <v>1522</v>
      </c>
      <c r="I252" s="85">
        <v>0.08</v>
      </c>
      <c r="J252" s="86">
        <v>0.25</v>
      </c>
      <c r="K252" s="86">
        <v>0.4</v>
      </c>
      <c r="L252" s="85">
        <v>0.02</v>
      </c>
      <c r="M252" s="85">
        <v>0.004</v>
      </c>
      <c r="N252" s="85" t="s">
        <v>35</v>
      </c>
      <c r="O252" s="85" t="s">
        <v>35</v>
      </c>
      <c r="P252" s="85" t="s">
        <v>35</v>
      </c>
      <c r="Q252" s="85" t="s">
        <v>35</v>
      </c>
      <c r="R252" s="85">
        <v>0.03</v>
      </c>
      <c r="S252" s="72"/>
      <c r="T252" s="86">
        <v>0.5</v>
      </c>
      <c r="U252" s="86">
        <v>0.07</v>
      </c>
      <c r="V252" s="86">
        <v>0.28</v>
      </c>
      <c r="W252" s="86"/>
      <c r="X252" s="72" t="s">
        <v>35</v>
      </c>
      <c r="Y252" s="53" t="s">
        <v>35</v>
      </c>
      <c r="Z252" s="28">
        <v>45</v>
      </c>
      <c r="AA252" s="53"/>
    </row>
    <row r="253" spans="1:27">
      <c r="A253" s="37">
        <v>249</v>
      </c>
      <c r="B253" s="28" t="s">
        <v>464</v>
      </c>
      <c r="C253" s="28" t="s">
        <v>30</v>
      </c>
      <c r="D253" s="28">
        <v>3</v>
      </c>
      <c r="E253" s="28">
        <v>10</v>
      </c>
      <c r="F253" s="28" t="s">
        <v>465</v>
      </c>
      <c r="G253" s="84" t="s">
        <v>466</v>
      </c>
      <c r="H253" s="28">
        <v>1518</v>
      </c>
      <c r="I253" s="85">
        <v>0.075</v>
      </c>
      <c r="J253" s="86">
        <v>0.25</v>
      </c>
      <c r="K253" s="86">
        <v>1.1</v>
      </c>
      <c r="L253" s="85">
        <v>0.02</v>
      </c>
      <c r="M253" s="85">
        <v>0.005</v>
      </c>
      <c r="N253" s="85">
        <v>0.035</v>
      </c>
      <c r="O253" s="85" t="s">
        <v>35</v>
      </c>
      <c r="P253" s="85" t="s">
        <v>35</v>
      </c>
      <c r="Q253" s="85">
        <v>0.02</v>
      </c>
      <c r="R253" s="85" t="s">
        <v>35</v>
      </c>
      <c r="S253" s="72"/>
      <c r="T253" s="86">
        <v>0.55</v>
      </c>
      <c r="U253" s="86">
        <v>0.15</v>
      </c>
      <c r="V253" s="86">
        <v>0.28</v>
      </c>
      <c r="W253" s="86"/>
      <c r="X253" s="72" t="s">
        <v>35</v>
      </c>
      <c r="Y253" s="53" t="s">
        <v>35</v>
      </c>
      <c r="Z253" s="28">
        <v>40</v>
      </c>
      <c r="AA253" s="53"/>
    </row>
    <row r="254" spans="1:27">
      <c r="A254" s="37">
        <v>250</v>
      </c>
      <c r="B254" s="28" t="s">
        <v>464</v>
      </c>
      <c r="C254" s="28" t="s">
        <v>33</v>
      </c>
      <c r="D254" s="28">
        <v>10.01</v>
      </c>
      <c r="E254" s="28">
        <v>20</v>
      </c>
      <c r="F254" s="28" t="s">
        <v>467</v>
      </c>
      <c r="G254" s="84" t="s">
        <v>466</v>
      </c>
      <c r="H254" s="28">
        <v>1518</v>
      </c>
      <c r="I254" s="85">
        <v>0.075</v>
      </c>
      <c r="J254" s="86">
        <v>0.25</v>
      </c>
      <c r="K254" s="86">
        <v>1.2</v>
      </c>
      <c r="L254" s="85">
        <v>0.02</v>
      </c>
      <c r="M254" s="85">
        <v>0.005</v>
      </c>
      <c r="N254" s="85">
        <v>0.045</v>
      </c>
      <c r="O254" s="85" t="s">
        <v>35</v>
      </c>
      <c r="P254" s="85" t="s">
        <v>35</v>
      </c>
      <c r="Q254" s="85">
        <v>0.02</v>
      </c>
      <c r="R254" s="85" t="s">
        <v>35</v>
      </c>
      <c r="S254" s="72"/>
      <c r="T254" s="86">
        <v>0.55</v>
      </c>
      <c r="U254" s="86">
        <v>0.15</v>
      </c>
      <c r="V254" s="86">
        <v>0.28</v>
      </c>
      <c r="W254" s="86"/>
      <c r="X254" s="72" t="s">
        <v>35</v>
      </c>
      <c r="Y254" s="53" t="s">
        <v>35</v>
      </c>
      <c r="Z254" s="28">
        <v>40</v>
      </c>
      <c r="AA254" s="53"/>
    </row>
    <row r="255" spans="1:27">
      <c r="A255" s="37">
        <v>251</v>
      </c>
      <c r="B255" s="28" t="s">
        <v>468</v>
      </c>
      <c r="C255" s="28" t="s">
        <v>30</v>
      </c>
      <c r="D255" s="28">
        <v>3</v>
      </c>
      <c r="E255" s="28">
        <v>9.99</v>
      </c>
      <c r="F255" s="28" t="s">
        <v>469</v>
      </c>
      <c r="G255" s="84" t="s">
        <v>470</v>
      </c>
      <c r="H255" s="28">
        <v>1518</v>
      </c>
      <c r="I255" s="85">
        <v>0.08</v>
      </c>
      <c r="J255" s="86">
        <v>0.4</v>
      </c>
      <c r="K255" s="86">
        <v>1</v>
      </c>
      <c r="L255" s="85">
        <v>0.02</v>
      </c>
      <c r="M255" s="85">
        <v>0.006</v>
      </c>
      <c r="N255" s="85">
        <v>0.035</v>
      </c>
      <c r="O255" s="85">
        <v>0.01</v>
      </c>
      <c r="P255" s="85" t="s">
        <v>35</v>
      </c>
      <c r="Q255" s="85">
        <v>0.02</v>
      </c>
      <c r="R255" s="85" t="s">
        <v>35</v>
      </c>
      <c r="S255" s="72"/>
      <c r="T255" s="86">
        <v>0.55</v>
      </c>
      <c r="U255" s="86"/>
      <c r="V255" s="86">
        <v>0.28</v>
      </c>
      <c r="W255" s="86"/>
      <c r="X255" s="72" t="s">
        <v>35</v>
      </c>
      <c r="Y255" s="53" t="s">
        <v>35</v>
      </c>
      <c r="Z255" s="28" t="s">
        <v>35</v>
      </c>
      <c r="AA255" s="53" t="s">
        <v>35</v>
      </c>
    </row>
    <row r="256" spans="1:27">
      <c r="A256" s="37">
        <v>252</v>
      </c>
      <c r="B256" s="28" t="s">
        <v>468</v>
      </c>
      <c r="C256" s="28" t="s">
        <v>33</v>
      </c>
      <c r="D256" s="28">
        <v>10</v>
      </c>
      <c r="E256" s="28">
        <v>20</v>
      </c>
      <c r="F256" s="28" t="s">
        <v>471</v>
      </c>
      <c r="G256" s="84" t="s">
        <v>470</v>
      </c>
      <c r="H256" s="28">
        <v>1518</v>
      </c>
      <c r="I256" s="85">
        <v>0.08</v>
      </c>
      <c r="J256" s="86">
        <v>0.4</v>
      </c>
      <c r="K256" s="86">
        <v>1.15</v>
      </c>
      <c r="L256" s="85">
        <v>0.02</v>
      </c>
      <c r="M256" s="85">
        <v>0.006</v>
      </c>
      <c r="N256" s="85">
        <v>0.04</v>
      </c>
      <c r="O256" s="85">
        <v>0.015</v>
      </c>
      <c r="P256" s="85" t="s">
        <v>35</v>
      </c>
      <c r="Q256" s="85">
        <v>0.02</v>
      </c>
      <c r="R256" s="85" t="s">
        <v>35</v>
      </c>
      <c r="S256" s="72"/>
      <c r="T256" s="86">
        <v>0.55</v>
      </c>
      <c r="U256" s="86"/>
      <c r="V256" s="86">
        <v>0.28</v>
      </c>
      <c r="W256" s="86"/>
      <c r="X256" s="72" t="s">
        <v>35</v>
      </c>
      <c r="Y256" s="53" t="s">
        <v>35</v>
      </c>
      <c r="Z256" s="28" t="s">
        <v>35</v>
      </c>
      <c r="AA256" s="53" t="s">
        <v>35</v>
      </c>
    </row>
    <row r="257" spans="1:27">
      <c r="A257" s="37">
        <v>253</v>
      </c>
      <c r="B257" s="28" t="s">
        <v>472</v>
      </c>
      <c r="C257" s="28" t="s">
        <v>30</v>
      </c>
      <c r="D257" s="28">
        <v>4</v>
      </c>
      <c r="E257" s="28">
        <v>14</v>
      </c>
      <c r="F257" s="28" t="s">
        <v>472</v>
      </c>
      <c r="G257" s="84" t="s">
        <v>473</v>
      </c>
      <c r="H257" s="28">
        <v>1519</v>
      </c>
      <c r="I257" s="85">
        <v>0.075</v>
      </c>
      <c r="J257" s="86">
        <v>0.2</v>
      </c>
      <c r="K257" s="86">
        <v>1.1</v>
      </c>
      <c r="L257" s="85">
        <v>0.015</v>
      </c>
      <c r="M257" s="85">
        <v>0.003</v>
      </c>
      <c r="N257" s="85" t="s">
        <v>35</v>
      </c>
      <c r="O257" s="85">
        <v>0.02</v>
      </c>
      <c r="P257" s="85">
        <v>0.03</v>
      </c>
      <c r="Q257" s="85">
        <v>0.025</v>
      </c>
      <c r="R257" s="85" t="s">
        <v>35</v>
      </c>
      <c r="S257" s="72"/>
      <c r="T257" s="86">
        <v>0.45</v>
      </c>
      <c r="U257" s="86">
        <v>0.15</v>
      </c>
      <c r="V257" s="86">
        <v>0.28</v>
      </c>
      <c r="W257" s="86"/>
      <c r="X257" s="72" t="s">
        <v>35</v>
      </c>
      <c r="Y257" s="53" t="s">
        <v>35</v>
      </c>
      <c r="Z257" s="28">
        <v>45</v>
      </c>
      <c r="AA257" s="53"/>
    </row>
    <row r="258" spans="1:27">
      <c r="A258" s="37">
        <v>254</v>
      </c>
      <c r="B258" s="28" t="s">
        <v>474</v>
      </c>
      <c r="C258" s="28" t="s">
        <v>30</v>
      </c>
      <c r="D258" s="28">
        <v>2</v>
      </c>
      <c r="E258" s="28">
        <v>9.99</v>
      </c>
      <c r="F258" s="28" t="s">
        <v>475</v>
      </c>
      <c r="G258" s="84" t="s">
        <v>476</v>
      </c>
      <c r="H258" s="28">
        <v>1502</v>
      </c>
      <c r="I258" s="85">
        <v>0.19</v>
      </c>
      <c r="J258" s="86">
        <v>0.9</v>
      </c>
      <c r="K258" s="86">
        <v>1.6</v>
      </c>
      <c r="L258" s="85">
        <v>0.01</v>
      </c>
      <c r="M258" s="85">
        <v>0.002</v>
      </c>
      <c r="N258" s="85" t="s">
        <v>35</v>
      </c>
      <c r="O258" s="85" t="s">
        <v>35</v>
      </c>
      <c r="P258" s="85">
        <v>0.03</v>
      </c>
      <c r="Q258" s="85">
        <v>0.025</v>
      </c>
      <c r="R258" s="85" t="s">
        <v>35</v>
      </c>
      <c r="S258" s="72"/>
      <c r="T258" s="86"/>
      <c r="U258" s="86"/>
      <c r="V258" s="86"/>
      <c r="W258" s="86"/>
      <c r="X258" s="72">
        <v>0.001</v>
      </c>
      <c r="Y258" s="53" t="s">
        <v>35</v>
      </c>
      <c r="Z258" s="28">
        <v>45</v>
      </c>
      <c r="AA258" s="53" t="s">
        <v>35</v>
      </c>
    </row>
    <row r="259" spans="1:27">
      <c r="A259" s="37">
        <v>255</v>
      </c>
      <c r="B259" s="28" t="s">
        <v>474</v>
      </c>
      <c r="C259" s="28" t="s">
        <v>33</v>
      </c>
      <c r="D259" s="28">
        <v>10</v>
      </c>
      <c r="E259" s="28">
        <v>20</v>
      </c>
      <c r="F259" s="28" t="s">
        <v>477</v>
      </c>
      <c r="G259" s="84" t="s">
        <v>476</v>
      </c>
      <c r="H259" s="28">
        <v>1502</v>
      </c>
      <c r="I259" s="85">
        <v>0.19</v>
      </c>
      <c r="J259" s="86">
        <v>0.9</v>
      </c>
      <c r="K259" s="86">
        <v>1.7</v>
      </c>
      <c r="L259" s="85">
        <v>0.01</v>
      </c>
      <c r="M259" s="85">
        <v>0.002</v>
      </c>
      <c r="N259" s="85" t="s">
        <v>35</v>
      </c>
      <c r="O259" s="85" t="s">
        <v>35</v>
      </c>
      <c r="P259" s="85">
        <v>0.035</v>
      </c>
      <c r="Q259" s="85">
        <v>0.025</v>
      </c>
      <c r="R259" s="85" t="s">
        <v>35</v>
      </c>
      <c r="S259" s="72"/>
      <c r="T259" s="86"/>
      <c r="U259" s="86"/>
      <c r="V259" s="86"/>
      <c r="W259" s="86"/>
      <c r="X259" s="72">
        <v>0.001</v>
      </c>
      <c r="Y259" s="53" t="s">
        <v>35</v>
      </c>
      <c r="Z259" s="28">
        <v>45</v>
      </c>
      <c r="AA259" s="53" t="s">
        <v>35</v>
      </c>
    </row>
    <row r="260" spans="1:27">
      <c r="A260" s="37">
        <v>256</v>
      </c>
      <c r="B260" s="51" t="s">
        <v>478</v>
      </c>
      <c r="C260" s="51" t="s">
        <v>30</v>
      </c>
      <c r="D260" s="51">
        <v>3</v>
      </c>
      <c r="E260" s="51">
        <v>16</v>
      </c>
      <c r="F260" s="51" t="s">
        <v>478</v>
      </c>
      <c r="G260" s="52" t="s">
        <v>479</v>
      </c>
      <c r="H260" s="51">
        <v>1511</v>
      </c>
      <c r="I260" s="87">
        <v>0.17</v>
      </c>
      <c r="J260" s="88">
        <v>0.5</v>
      </c>
      <c r="K260" s="88">
        <v>1.45</v>
      </c>
      <c r="L260" s="87">
        <v>0.012</v>
      </c>
      <c r="M260" s="87">
        <v>0.003</v>
      </c>
      <c r="N260" s="87">
        <v>0.03</v>
      </c>
      <c r="O260" s="87" t="s">
        <v>35</v>
      </c>
      <c r="P260" s="87">
        <v>0.03</v>
      </c>
      <c r="Q260" s="87">
        <v>0.02</v>
      </c>
      <c r="R260" s="87" t="s">
        <v>35</v>
      </c>
      <c r="S260" s="89"/>
      <c r="T260" s="88">
        <v>0.55</v>
      </c>
      <c r="U260" s="88"/>
      <c r="V260" s="88"/>
      <c r="W260" s="88"/>
      <c r="X260" s="89">
        <v>0.0015</v>
      </c>
      <c r="Y260" s="90" t="s">
        <v>35</v>
      </c>
      <c r="Z260" s="51">
        <v>45</v>
      </c>
      <c r="AA260" s="90"/>
    </row>
    <row r="261" spans="1:27">
      <c r="A261" s="37">
        <v>257</v>
      </c>
      <c r="B261" s="51" t="s">
        <v>480</v>
      </c>
      <c r="C261" s="51" t="s">
        <v>30</v>
      </c>
      <c r="D261" s="51">
        <v>3</v>
      </c>
      <c r="E261" s="51">
        <v>5.99</v>
      </c>
      <c r="F261" s="51" t="s">
        <v>481</v>
      </c>
      <c r="G261" s="52" t="s">
        <v>482</v>
      </c>
      <c r="H261" s="51">
        <v>1516</v>
      </c>
      <c r="I261" s="87">
        <v>0.075</v>
      </c>
      <c r="J261" s="88">
        <v>0.3</v>
      </c>
      <c r="K261" s="88">
        <v>1.65</v>
      </c>
      <c r="L261" s="87">
        <v>0.01</v>
      </c>
      <c r="M261" s="87">
        <v>0.002</v>
      </c>
      <c r="N261" s="87"/>
      <c r="O261" s="87">
        <v>0.055</v>
      </c>
      <c r="P261" s="87">
        <v>0.11</v>
      </c>
      <c r="Q261" s="87">
        <v>0.03</v>
      </c>
      <c r="R261" s="87" t="s">
        <v>35</v>
      </c>
      <c r="S261" s="89"/>
      <c r="T261" s="88">
        <v>0.25</v>
      </c>
      <c r="U261" s="86" t="s">
        <v>35</v>
      </c>
      <c r="V261" s="86" t="s">
        <v>35</v>
      </c>
      <c r="W261" s="86"/>
      <c r="X261" s="72" t="s">
        <v>35</v>
      </c>
      <c r="Y261" s="53" t="s">
        <v>35</v>
      </c>
      <c r="Z261" s="28">
        <v>45</v>
      </c>
      <c r="AA261" s="53" t="s">
        <v>35</v>
      </c>
    </row>
    <row r="262" spans="1:27">
      <c r="A262" s="37">
        <v>258</v>
      </c>
      <c r="B262" s="51" t="s">
        <v>480</v>
      </c>
      <c r="C262" s="51" t="s">
        <v>33</v>
      </c>
      <c r="D262" s="51">
        <v>6</v>
      </c>
      <c r="E262" s="51">
        <v>12</v>
      </c>
      <c r="F262" s="51" t="s">
        <v>483</v>
      </c>
      <c r="G262" s="52" t="s">
        <v>482</v>
      </c>
      <c r="H262" s="51">
        <v>1516</v>
      </c>
      <c r="I262" s="87">
        <v>0.075</v>
      </c>
      <c r="J262" s="88">
        <v>0.3</v>
      </c>
      <c r="K262" s="88">
        <v>1.75</v>
      </c>
      <c r="L262" s="87">
        <v>0.01</v>
      </c>
      <c r="M262" s="87">
        <v>0.003</v>
      </c>
      <c r="N262" s="87"/>
      <c r="O262" s="87">
        <v>0.06</v>
      </c>
      <c r="P262" s="87">
        <v>0.12</v>
      </c>
      <c r="Q262" s="87">
        <v>0.03</v>
      </c>
      <c r="R262" s="87" t="s">
        <v>35</v>
      </c>
      <c r="S262" s="89"/>
      <c r="T262" s="88">
        <v>0.25</v>
      </c>
      <c r="U262" s="86" t="s">
        <v>35</v>
      </c>
      <c r="V262" s="86" t="s">
        <v>35</v>
      </c>
      <c r="W262" s="86"/>
      <c r="X262" s="72" t="s">
        <v>35</v>
      </c>
      <c r="Y262" s="53" t="s">
        <v>35</v>
      </c>
      <c r="Z262" s="28">
        <v>45</v>
      </c>
      <c r="AA262" s="53" t="s">
        <v>35</v>
      </c>
    </row>
    <row r="263" spans="1:27">
      <c r="A263" s="37">
        <v>259</v>
      </c>
      <c r="B263" s="28" t="s">
        <v>484</v>
      </c>
      <c r="C263" s="28" t="s">
        <v>30</v>
      </c>
      <c r="D263" s="28">
        <v>6</v>
      </c>
      <c r="E263" s="28">
        <v>15.99</v>
      </c>
      <c r="F263" s="28" t="s">
        <v>485</v>
      </c>
      <c r="G263" s="84" t="s">
        <v>486</v>
      </c>
      <c r="H263" s="28">
        <v>1513</v>
      </c>
      <c r="I263" s="85">
        <v>0.16</v>
      </c>
      <c r="J263" s="86">
        <v>0.2</v>
      </c>
      <c r="K263" s="86">
        <v>1.3</v>
      </c>
      <c r="L263" s="85">
        <v>0.012</v>
      </c>
      <c r="M263" s="85">
        <v>0.003</v>
      </c>
      <c r="N263" s="85" t="s">
        <v>35</v>
      </c>
      <c r="O263" s="85">
        <v>0.02</v>
      </c>
      <c r="P263" s="85">
        <v>0.02</v>
      </c>
      <c r="Q263" s="85">
        <v>0.03</v>
      </c>
      <c r="R263" s="85" t="s">
        <v>35</v>
      </c>
      <c r="S263" s="72"/>
      <c r="T263" s="86">
        <v>0.35</v>
      </c>
      <c r="U263" s="86"/>
      <c r="V263" s="86"/>
      <c r="W263" s="86"/>
      <c r="X263" s="72">
        <v>0.0015</v>
      </c>
      <c r="Y263" s="53"/>
      <c r="Z263" s="28">
        <v>45</v>
      </c>
      <c r="AA263" s="53" t="s">
        <v>35</v>
      </c>
    </row>
    <row r="264" spans="1:27">
      <c r="A264" s="37">
        <v>260</v>
      </c>
      <c r="B264" s="28" t="s">
        <v>484</v>
      </c>
      <c r="C264" s="28" t="s">
        <v>33</v>
      </c>
      <c r="D264" s="28">
        <v>16</v>
      </c>
      <c r="E264" s="28">
        <v>28</v>
      </c>
      <c r="F264" s="28" t="s">
        <v>487</v>
      </c>
      <c r="G264" s="84" t="s">
        <v>486</v>
      </c>
      <c r="H264" s="28">
        <v>1513</v>
      </c>
      <c r="I264" s="85">
        <v>0.16</v>
      </c>
      <c r="J264" s="86">
        <v>0.2</v>
      </c>
      <c r="K264" s="86">
        <v>1.3</v>
      </c>
      <c r="L264" s="85">
        <v>0.012</v>
      </c>
      <c r="M264" s="85">
        <v>0.003</v>
      </c>
      <c r="N264" s="85" t="s">
        <v>35</v>
      </c>
      <c r="O264" s="85">
        <v>0.02</v>
      </c>
      <c r="P264" s="85">
        <v>0.02</v>
      </c>
      <c r="Q264" s="85">
        <v>0.03</v>
      </c>
      <c r="R264" s="85" t="s">
        <v>35</v>
      </c>
      <c r="S264" s="72"/>
      <c r="T264" s="86">
        <v>0.5</v>
      </c>
      <c r="U264" s="86"/>
      <c r="V264" s="86"/>
      <c r="W264" s="86"/>
      <c r="X264" s="72">
        <v>0.0015</v>
      </c>
      <c r="Y264" s="53"/>
      <c r="Z264" s="28">
        <v>45</v>
      </c>
      <c r="AA264" s="53" t="s">
        <v>35</v>
      </c>
    </row>
    <row r="265" spans="1:27">
      <c r="A265" s="37">
        <v>261</v>
      </c>
      <c r="B265" s="28" t="s">
        <v>488</v>
      </c>
      <c r="C265" s="28" t="s">
        <v>30</v>
      </c>
      <c r="D265" s="28">
        <v>6</v>
      </c>
      <c r="E265" s="28">
        <v>15.99</v>
      </c>
      <c r="F265" s="28" t="s">
        <v>489</v>
      </c>
      <c r="G265" s="84" t="s">
        <v>490</v>
      </c>
      <c r="H265" s="28">
        <v>1508</v>
      </c>
      <c r="I265" s="85">
        <v>0.2</v>
      </c>
      <c r="J265" s="86">
        <v>0.2</v>
      </c>
      <c r="K265" s="86">
        <v>1.3</v>
      </c>
      <c r="L265" s="85">
        <v>0.012</v>
      </c>
      <c r="M265" s="85">
        <v>0.003</v>
      </c>
      <c r="N265" s="85" t="s">
        <v>35</v>
      </c>
      <c r="O265" s="85">
        <v>0.02</v>
      </c>
      <c r="P265" s="85">
        <v>0.025</v>
      </c>
      <c r="Q265" s="85">
        <v>0.03</v>
      </c>
      <c r="R265" s="85" t="s">
        <v>35</v>
      </c>
      <c r="S265" s="72"/>
      <c r="T265" s="86">
        <v>0.35</v>
      </c>
      <c r="U265" s="86"/>
      <c r="V265" s="86"/>
      <c r="W265" s="86"/>
      <c r="X265" s="72">
        <v>0.0015</v>
      </c>
      <c r="Y265" s="53"/>
      <c r="Z265" s="28">
        <v>45</v>
      </c>
      <c r="AA265" s="53" t="s">
        <v>35</v>
      </c>
    </row>
    <row r="266" spans="1:27">
      <c r="A266" s="37">
        <v>262</v>
      </c>
      <c r="B266" s="28" t="s">
        <v>488</v>
      </c>
      <c r="C266" s="28" t="s">
        <v>33</v>
      </c>
      <c r="D266" s="28">
        <v>16</v>
      </c>
      <c r="E266" s="28">
        <v>28</v>
      </c>
      <c r="F266" s="28" t="s">
        <v>491</v>
      </c>
      <c r="G266" s="84" t="s">
        <v>490</v>
      </c>
      <c r="H266" s="28">
        <v>1508</v>
      </c>
      <c r="I266" s="85">
        <v>0.2</v>
      </c>
      <c r="J266" s="86">
        <v>0.2</v>
      </c>
      <c r="K266" s="86">
        <v>1.3</v>
      </c>
      <c r="L266" s="85">
        <v>0.012</v>
      </c>
      <c r="M266" s="85">
        <v>0.003</v>
      </c>
      <c r="N266" s="85" t="s">
        <v>35</v>
      </c>
      <c r="O266" s="85">
        <v>0.02</v>
      </c>
      <c r="P266" s="85">
        <v>0.025</v>
      </c>
      <c r="Q266" s="85">
        <v>0.03</v>
      </c>
      <c r="R266" s="85" t="s">
        <v>35</v>
      </c>
      <c r="S266" s="72"/>
      <c r="T266" s="86">
        <v>0.5</v>
      </c>
      <c r="U266" s="86"/>
      <c r="V266" s="86"/>
      <c r="W266" s="86"/>
      <c r="X266" s="72">
        <v>0.0015</v>
      </c>
      <c r="Y266" s="53"/>
      <c r="Z266" s="28">
        <v>45</v>
      </c>
      <c r="AA266" s="53" t="s">
        <v>35</v>
      </c>
    </row>
    <row r="267" spans="1:27">
      <c r="A267" s="37">
        <v>263</v>
      </c>
      <c r="B267" s="28" t="s">
        <v>492</v>
      </c>
      <c r="C267" s="61" t="s">
        <v>30</v>
      </c>
      <c r="D267" s="61">
        <v>6</v>
      </c>
      <c r="E267" s="61">
        <v>15.99</v>
      </c>
      <c r="F267" s="61" t="s">
        <v>493</v>
      </c>
      <c r="G267" s="91" t="s">
        <v>494</v>
      </c>
      <c r="H267" s="61">
        <v>1504</v>
      </c>
      <c r="I267" s="85">
        <v>0.26</v>
      </c>
      <c r="J267" s="86">
        <v>0.15</v>
      </c>
      <c r="K267" s="86">
        <v>1</v>
      </c>
      <c r="L267" s="85">
        <v>0.01</v>
      </c>
      <c r="M267" s="85">
        <v>0.002</v>
      </c>
      <c r="N267" s="85"/>
      <c r="O267" s="85">
        <v>0.025</v>
      </c>
      <c r="P267" s="85">
        <v>0.02</v>
      </c>
      <c r="Q267" s="85">
        <v>0.04</v>
      </c>
      <c r="R267" s="85"/>
      <c r="S267" s="72"/>
      <c r="T267" s="86">
        <v>0.35</v>
      </c>
      <c r="U267" s="86"/>
      <c r="V267" s="86"/>
      <c r="W267" s="86"/>
      <c r="X267" s="72">
        <v>0.0015</v>
      </c>
      <c r="Y267" s="53"/>
      <c r="Z267" s="28">
        <v>45</v>
      </c>
      <c r="AA267" s="53"/>
    </row>
    <row r="268" spans="1:27">
      <c r="A268" s="37">
        <v>264</v>
      </c>
      <c r="B268" s="28" t="s">
        <v>492</v>
      </c>
      <c r="C268" s="61" t="s">
        <v>33</v>
      </c>
      <c r="D268" s="61">
        <v>16</v>
      </c>
      <c r="E268" s="61">
        <v>28</v>
      </c>
      <c r="F268" s="61" t="s">
        <v>495</v>
      </c>
      <c r="G268" s="91" t="s">
        <v>494</v>
      </c>
      <c r="H268" s="61">
        <v>1504</v>
      </c>
      <c r="I268" s="85">
        <v>0.275</v>
      </c>
      <c r="J268" s="86">
        <v>0.15</v>
      </c>
      <c r="K268" s="86">
        <v>1</v>
      </c>
      <c r="L268" s="85">
        <v>0.01</v>
      </c>
      <c r="M268" s="85">
        <v>0.002</v>
      </c>
      <c r="N268" s="85"/>
      <c r="O268" s="85">
        <v>0.025</v>
      </c>
      <c r="P268" s="85">
        <v>0.02</v>
      </c>
      <c r="Q268" s="85">
        <v>0.04</v>
      </c>
      <c r="R268" s="85"/>
      <c r="S268" s="72"/>
      <c r="T268" s="86">
        <v>0.5</v>
      </c>
      <c r="U268" s="86"/>
      <c r="V268" s="86"/>
      <c r="W268" s="86"/>
      <c r="X268" s="72">
        <v>0.0015</v>
      </c>
      <c r="Y268" s="53"/>
      <c r="Z268" s="28">
        <v>45</v>
      </c>
      <c r="AA268" s="53"/>
    </row>
    <row r="269" spans="1:27">
      <c r="A269" s="37">
        <v>265</v>
      </c>
      <c r="B269" s="28" t="s">
        <v>496</v>
      </c>
      <c r="C269" s="28" t="s">
        <v>30</v>
      </c>
      <c r="D269" s="28">
        <v>6</v>
      </c>
      <c r="E269" s="28">
        <v>15.99</v>
      </c>
      <c r="F269" s="28" t="s">
        <v>497</v>
      </c>
      <c r="G269" s="84" t="s">
        <v>498</v>
      </c>
      <c r="H269" s="28">
        <v>1495</v>
      </c>
      <c r="I269" s="28">
        <v>0.395</v>
      </c>
      <c r="J269" s="28">
        <v>0.25</v>
      </c>
      <c r="K269" s="28">
        <v>0.7</v>
      </c>
      <c r="L269" s="28">
        <v>0.01</v>
      </c>
      <c r="M269" s="28">
        <v>0.002</v>
      </c>
      <c r="N269" s="28">
        <v>0.04</v>
      </c>
      <c r="O269" s="28" t="s">
        <v>35</v>
      </c>
      <c r="P269" s="28">
        <v>0.02</v>
      </c>
      <c r="Q269" s="28">
        <v>0.04</v>
      </c>
      <c r="R269" s="28" t="s">
        <v>35</v>
      </c>
      <c r="S269" s="28" t="s">
        <v>35</v>
      </c>
      <c r="T269" s="28">
        <v>0.35</v>
      </c>
      <c r="U269" s="28">
        <v>0.5</v>
      </c>
      <c r="V269" s="28">
        <v>0</v>
      </c>
      <c r="W269" s="28">
        <v>0</v>
      </c>
      <c r="X269" s="28">
        <v>0.0017</v>
      </c>
      <c r="Y269" s="28" t="s">
        <v>35</v>
      </c>
      <c r="Z269" s="28">
        <v>0</v>
      </c>
      <c r="AA269" s="53"/>
    </row>
    <row r="270" spans="1:27">
      <c r="A270" s="37">
        <v>266</v>
      </c>
      <c r="B270" s="28" t="s">
        <v>496</v>
      </c>
      <c r="C270" s="28" t="s">
        <v>33</v>
      </c>
      <c r="D270" s="28">
        <v>16</v>
      </c>
      <c r="E270" s="28">
        <v>25.4</v>
      </c>
      <c r="F270" s="28" t="s">
        <v>499</v>
      </c>
      <c r="G270" s="84" t="s">
        <v>498</v>
      </c>
      <c r="H270" s="28">
        <v>1495</v>
      </c>
      <c r="I270" s="28">
        <v>0.395</v>
      </c>
      <c r="J270" s="28">
        <v>0.25</v>
      </c>
      <c r="K270" s="28">
        <v>0.8</v>
      </c>
      <c r="L270" s="28">
        <v>0.01</v>
      </c>
      <c r="M270" s="28">
        <v>0.002</v>
      </c>
      <c r="N270" s="28">
        <v>0.04</v>
      </c>
      <c r="O270" s="28" t="s">
        <v>35</v>
      </c>
      <c r="P270" s="28">
        <v>0.02</v>
      </c>
      <c r="Q270" s="28">
        <v>0.04</v>
      </c>
      <c r="R270" s="28" t="s">
        <v>35</v>
      </c>
      <c r="S270" s="28" t="s">
        <v>35</v>
      </c>
      <c r="T270" s="28">
        <v>0.5</v>
      </c>
      <c r="U270" s="28">
        <v>0.5</v>
      </c>
      <c r="V270" s="28">
        <v>0</v>
      </c>
      <c r="W270" s="28">
        <v>0</v>
      </c>
      <c r="X270" s="28">
        <v>0.0017</v>
      </c>
      <c r="Y270" s="28" t="s">
        <v>35</v>
      </c>
      <c r="Z270" s="28">
        <v>0</v>
      </c>
      <c r="AA270" s="53"/>
    </row>
    <row r="271" spans="1:27">
      <c r="A271" s="37">
        <v>267</v>
      </c>
      <c r="B271" s="28" t="s">
        <v>500</v>
      </c>
      <c r="C271" s="28" t="s">
        <v>30</v>
      </c>
      <c r="D271" s="28">
        <v>3.5</v>
      </c>
      <c r="E271" s="28">
        <v>25.4</v>
      </c>
      <c r="F271" s="28" t="s">
        <v>500</v>
      </c>
      <c r="G271" s="84" t="s">
        <v>501</v>
      </c>
      <c r="H271" s="28">
        <v>1519</v>
      </c>
      <c r="I271" s="85">
        <v>0.16</v>
      </c>
      <c r="J271" s="86">
        <v>0.1</v>
      </c>
      <c r="K271" s="86">
        <v>0.6</v>
      </c>
      <c r="L271" s="85">
        <v>0.02</v>
      </c>
      <c r="M271" s="85">
        <v>0.015</v>
      </c>
      <c r="N271" s="85" t="s">
        <v>35</v>
      </c>
      <c r="O271" s="85" t="s">
        <v>35</v>
      </c>
      <c r="P271" s="85" t="s">
        <v>35</v>
      </c>
      <c r="Q271" s="85">
        <v>0.025</v>
      </c>
      <c r="R271" s="85" t="s">
        <v>35</v>
      </c>
      <c r="S271" s="72" t="s">
        <v>35</v>
      </c>
      <c r="T271" s="86"/>
      <c r="U271" s="86"/>
      <c r="V271" s="86"/>
      <c r="W271" s="86"/>
      <c r="X271" s="72" t="s">
        <v>35</v>
      </c>
      <c r="Y271" s="53" t="s">
        <v>35</v>
      </c>
      <c r="Z271" s="28"/>
      <c r="AA271" s="53"/>
    </row>
    <row r="272" spans="1:27">
      <c r="A272" s="37">
        <v>268</v>
      </c>
      <c r="B272" s="28" t="s">
        <v>25</v>
      </c>
      <c r="C272" s="28" t="s">
        <v>30</v>
      </c>
      <c r="D272" s="28">
        <v>4</v>
      </c>
      <c r="E272" s="28">
        <v>25.4</v>
      </c>
      <c r="F272" s="28" t="s">
        <v>25</v>
      </c>
      <c r="G272" s="84" t="s">
        <v>501</v>
      </c>
      <c r="H272" s="28">
        <v>1519</v>
      </c>
      <c r="I272" s="85">
        <v>0.16</v>
      </c>
      <c r="J272" s="86">
        <v>0.12</v>
      </c>
      <c r="K272" s="86">
        <v>0.75</v>
      </c>
      <c r="L272" s="85">
        <v>0.015</v>
      </c>
      <c r="M272" s="85">
        <v>0.006</v>
      </c>
      <c r="N272" s="85" t="s">
        <v>35</v>
      </c>
      <c r="O272" s="85" t="s">
        <v>35</v>
      </c>
      <c r="P272" s="85" t="s">
        <v>35</v>
      </c>
      <c r="Q272" s="85">
        <v>0.025</v>
      </c>
      <c r="R272" s="85" t="s">
        <v>35</v>
      </c>
      <c r="S272" s="72" t="s">
        <v>35</v>
      </c>
      <c r="T272" s="86"/>
      <c r="U272" s="86"/>
      <c r="V272" s="86"/>
      <c r="W272" s="86"/>
      <c r="X272" s="72" t="s">
        <v>35</v>
      </c>
      <c r="Y272" s="53" t="s">
        <v>35</v>
      </c>
      <c r="Z272" s="28">
        <v>45</v>
      </c>
      <c r="AA272" s="53" t="s">
        <v>35</v>
      </c>
    </row>
    <row r="273" spans="1:27">
      <c r="A273" s="37">
        <v>269</v>
      </c>
      <c r="B273" s="28" t="s">
        <v>502</v>
      </c>
      <c r="C273" s="28" t="s">
        <v>30</v>
      </c>
      <c r="D273" s="28">
        <v>4</v>
      </c>
      <c r="E273" s="28">
        <v>12.5</v>
      </c>
      <c r="F273" s="28" t="s">
        <v>503</v>
      </c>
      <c r="G273" s="84" t="s">
        <v>501</v>
      </c>
      <c r="H273" s="28">
        <v>1521</v>
      </c>
      <c r="I273" s="85">
        <v>0.07</v>
      </c>
      <c r="J273" s="86">
        <v>0.2</v>
      </c>
      <c r="K273" s="86">
        <v>1.2</v>
      </c>
      <c r="L273" s="85">
        <v>0.015</v>
      </c>
      <c r="M273" s="85">
        <v>0.006</v>
      </c>
      <c r="N273" s="85"/>
      <c r="O273" s="85"/>
      <c r="P273" s="85"/>
      <c r="Q273" s="85">
        <v>0.03</v>
      </c>
      <c r="R273" s="85"/>
      <c r="S273" s="72">
        <v>0.01</v>
      </c>
      <c r="T273" s="86"/>
      <c r="U273" s="86"/>
      <c r="V273" s="86" t="s">
        <v>35</v>
      </c>
      <c r="W273" s="86"/>
      <c r="X273" s="72" t="s">
        <v>35</v>
      </c>
      <c r="Y273" s="53" t="s">
        <v>35</v>
      </c>
      <c r="Z273" s="28" t="s">
        <v>35</v>
      </c>
      <c r="AA273" s="53"/>
    </row>
    <row r="274" spans="1:27">
      <c r="A274" s="37">
        <v>270</v>
      </c>
      <c r="B274" s="28" t="s">
        <v>502</v>
      </c>
      <c r="C274" s="28" t="s">
        <v>33</v>
      </c>
      <c r="D274" s="28">
        <v>12.51</v>
      </c>
      <c r="E274" s="28">
        <v>25</v>
      </c>
      <c r="F274" s="28" t="s">
        <v>504</v>
      </c>
      <c r="G274" s="84" t="s">
        <v>501</v>
      </c>
      <c r="H274" s="28">
        <v>1521</v>
      </c>
      <c r="I274" s="85">
        <v>0.07</v>
      </c>
      <c r="J274" s="86">
        <v>0.2</v>
      </c>
      <c r="K274" s="86">
        <v>1.3</v>
      </c>
      <c r="L274" s="85">
        <v>0.015</v>
      </c>
      <c r="M274" s="85">
        <v>0.006</v>
      </c>
      <c r="N274" s="85"/>
      <c r="O274" s="85"/>
      <c r="P274" s="85"/>
      <c r="Q274" s="85">
        <v>0.03</v>
      </c>
      <c r="R274" s="85"/>
      <c r="S274" s="72">
        <v>0.01</v>
      </c>
      <c r="T274" s="86"/>
      <c r="U274" s="86"/>
      <c r="V274" s="86" t="s">
        <v>35</v>
      </c>
      <c r="W274" s="86"/>
      <c r="X274" s="72" t="s">
        <v>35</v>
      </c>
      <c r="Y274" s="53" t="s">
        <v>35</v>
      </c>
      <c r="Z274" s="28" t="s">
        <v>35</v>
      </c>
      <c r="AA274" s="53"/>
    </row>
    <row r="275" spans="1:27">
      <c r="A275" s="37">
        <v>271</v>
      </c>
      <c r="B275" s="28" t="s">
        <v>505</v>
      </c>
      <c r="C275" s="28" t="s">
        <v>30</v>
      </c>
      <c r="D275" s="28">
        <v>4</v>
      </c>
      <c r="E275" s="28">
        <v>12.5</v>
      </c>
      <c r="F275" s="28" t="s">
        <v>506</v>
      </c>
      <c r="G275" s="84" t="s">
        <v>501</v>
      </c>
      <c r="H275" s="28">
        <v>1521</v>
      </c>
      <c r="I275" s="85">
        <v>0.07</v>
      </c>
      <c r="J275" s="86">
        <v>0.12</v>
      </c>
      <c r="K275" s="86">
        <v>1.3</v>
      </c>
      <c r="L275" s="85">
        <v>0.015</v>
      </c>
      <c r="M275" s="85">
        <v>0.006</v>
      </c>
      <c r="N275" s="85"/>
      <c r="O275" s="85">
        <v>0.035</v>
      </c>
      <c r="P275" s="85">
        <v>0.01</v>
      </c>
      <c r="Q275" s="85">
        <v>0.03</v>
      </c>
      <c r="R275" s="85" t="s">
        <v>35</v>
      </c>
      <c r="S275" s="72"/>
      <c r="T275" s="86"/>
      <c r="U275" s="86"/>
      <c r="V275" s="86"/>
      <c r="W275" s="86"/>
      <c r="X275" s="72"/>
      <c r="Y275" s="53" t="s">
        <v>35</v>
      </c>
      <c r="Z275" s="28">
        <v>50</v>
      </c>
      <c r="AA275" s="53"/>
    </row>
    <row r="276" spans="1:27">
      <c r="A276" s="37">
        <v>272</v>
      </c>
      <c r="B276" s="28" t="s">
        <v>505</v>
      </c>
      <c r="C276" s="28" t="s">
        <v>33</v>
      </c>
      <c r="D276" s="28">
        <v>12.51</v>
      </c>
      <c r="E276" s="28">
        <v>25</v>
      </c>
      <c r="F276" s="28" t="s">
        <v>507</v>
      </c>
      <c r="G276" s="84" t="s">
        <v>501</v>
      </c>
      <c r="H276" s="28">
        <v>1522</v>
      </c>
      <c r="I276" s="85">
        <v>0.07</v>
      </c>
      <c r="J276" s="86">
        <v>0.15</v>
      </c>
      <c r="K276" s="86">
        <v>1.4</v>
      </c>
      <c r="L276" s="85">
        <v>0.015</v>
      </c>
      <c r="M276" s="85">
        <v>0.006</v>
      </c>
      <c r="N276" s="85"/>
      <c r="O276" s="85">
        <v>0.035</v>
      </c>
      <c r="P276" s="85">
        <v>0.01</v>
      </c>
      <c r="Q276" s="85">
        <v>0.03</v>
      </c>
      <c r="R276" s="85" t="s">
        <v>35</v>
      </c>
      <c r="S276" s="72"/>
      <c r="T276" s="86"/>
      <c r="U276" s="86"/>
      <c r="V276" s="86"/>
      <c r="W276" s="86"/>
      <c r="X276" s="72"/>
      <c r="Y276" s="53" t="s">
        <v>35</v>
      </c>
      <c r="Z276" s="28">
        <v>50</v>
      </c>
      <c r="AA276" s="53"/>
    </row>
    <row r="277" spans="1:27">
      <c r="A277" s="37">
        <v>273</v>
      </c>
      <c r="B277" s="28" t="s">
        <v>508</v>
      </c>
      <c r="C277" s="28" t="s">
        <v>30</v>
      </c>
      <c r="D277" s="28">
        <v>3.5</v>
      </c>
      <c r="E277" s="28">
        <v>25.4</v>
      </c>
      <c r="F277" s="28" t="s">
        <v>508</v>
      </c>
      <c r="G277" s="84" t="s">
        <v>501</v>
      </c>
      <c r="H277" s="28">
        <v>1519</v>
      </c>
      <c r="I277" s="85">
        <v>0.16</v>
      </c>
      <c r="J277" s="86">
        <v>0.1</v>
      </c>
      <c r="K277" s="86">
        <v>0.6</v>
      </c>
      <c r="L277" s="85">
        <v>0.02</v>
      </c>
      <c r="M277" s="85">
        <v>0.015</v>
      </c>
      <c r="N277" s="85" t="s">
        <v>35</v>
      </c>
      <c r="O277" s="85" t="s">
        <v>35</v>
      </c>
      <c r="P277" s="85" t="s">
        <v>35</v>
      </c>
      <c r="Q277" s="85">
        <v>0.025</v>
      </c>
      <c r="R277" s="85" t="s">
        <v>35</v>
      </c>
      <c r="S277" s="72" t="s">
        <v>35</v>
      </c>
      <c r="T277" s="86"/>
      <c r="U277" s="86"/>
      <c r="V277" s="86"/>
      <c r="W277" s="86"/>
      <c r="X277" s="72" t="s">
        <v>35</v>
      </c>
      <c r="Y277" s="53" t="s">
        <v>35</v>
      </c>
      <c r="Z277" s="28"/>
      <c r="AA277" s="53"/>
    </row>
    <row r="278" spans="1:27">
      <c r="A278" s="37">
        <v>274</v>
      </c>
      <c r="B278" s="28" t="s">
        <v>509</v>
      </c>
      <c r="C278" s="28" t="s">
        <v>30</v>
      </c>
      <c r="D278" s="28">
        <v>4</v>
      </c>
      <c r="E278" s="28">
        <v>25.4</v>
      </c>
      <c r="F278" s="28" t="s">
        <v>509</v>
      </c>
      <c r="G278" s="84" t="s">
        <v>501</v>
      </c>
      <c r="H278" s="28">
        <v>1519</v>
      </c>
      <c r="I278" s="85">
        <v>0.16</v>
      </c>
      <c r="J278" s="86">
        <v>0.12</v>
      </c>
      <c r="K278" s="86">
        <v>0.75</v>
      </c>
      <c r="L278" s="85">
        <v>0.015</v>
      </c>
      <c r="M278" s="85">
        <v>0.006</v>
      </c>
      <c r="N278" s="85" t="s">
        <v>35</v>
      </c>
      <c r="O278" s="85" t="s">
        <v>35</v>
      </c>
      <c r="P278" s="85" t="s">
        <v>35</v>
      </c>
      <c r="Q278" s="85">
        <v>0.025</v>
      </c>
      <c r="R278" s="85" t="s">
        <v>35</v>
      </c>
      <c r="S278" s="72" t="s">
        <v>35</v>
      </c>
      <c r="T278" s="86"/>
      <c r="U278" s="86"/>
      <c r="V278" s="86"/>
      <c r="W278" s="86"/>
      <c r="X278" s="72" t="s">
        <v>35</v>
      </c>
      <c r="Y278" s="53" t="s">
        <v>35</v>
      </c>
      <c r="Z278" s="28">
        <v>45</v>
      </c>
      <c r="AA278" s="53" t="s">
        <v>35</v>
      </c>
    </row>
    <row r="279" spans="1:27">
      <c r="A279" s="37">
        <v>275</v>
      </c>
      <c r="B279" s="28" t="s">
        <v>510</v>
      </c>
      <c r="C279" s="28" t="s">
        <v>30</v>
      </c>
      <c r="D279" s="28">
        <v>4</v>
      </c>
      <c r="E279" s="28">
        <v>12.5</v>
      </c>
      <c r="F279" s="28" t="s">
        <v>511</v>
      </c>
      <c r="G279" s="84" t="s">
        <v>501</v>
      </c>
      <c r="H279" s="28">
        <v>1521</v>
      </c>
      <c r="I279" s="85">
        <v>0.07</v>
      </c>
      <c r="J279" s="86">
        <v>0.2</v>
      </c>
      <c r="K279" s="86">
        <v>1.2</v>
      </c>
      <c r="L279" s="85">
        <v>0.015</v>
      </c>
      <c r="M279" s="85">
        <v>0.006</v>
      </c>
      <c r="N279" s="85"/>
      <c r="O279" s="85"/>
      <c r="P279" s="85"/>
      <c r="Q279" s="85">
        <v>0.03</v>
      </c>
      <c r="R279" s="85"/>
      <c r="S279" s="72">
        <v>0.01</v>
      </c>
      <c r="T279" s="86"/>
      <c r="U279" s="86"/>
      <c r="V279" s="86" t="s">
        <v>35</v>
      </c>
      <c r="W279" s="86"/>
      <c r="X279" s="72" t="s">
        <v>35</v>
      </c>
      <c r="Y279" s="53" t="s">
        <v>35</v>
      </c>
      <c r="Z279" s="28" t="s">
        <v>35</v>
      </c>
      <c r="AA279" s="53"/>
    </row>
    <row r="280" spans="1:27">
      <c r="A280" s="37">
        <v>276</v>
      </c>
      <c r="B280" s="28" t="s">
        <v>510</v>
      </c>
      <c r="C280" s="28" t="s">
        <v>33</v>
      </c>
      <c r="D280" s="28">
        <v>12.51</v>
      </c>
      <c r="E280" s="28">
        <v>25</v>
      </c>
      <c r="F280" s="28" t="s">
        <v>512</v>
      </c>
      <c r="G280" s="84" t="s">
        <v>501</v>
      </c>
      <c r="H280" s="28">
        <v>1521</v>
      </c>
      <c r="I280" s="85">
        <v>0.07</v>
      </c>
      <c r="J280" s="86">
        <v>0.2</v>
      </c>
      <c r="K280" s="86">
        <v>1.3</v>
      </c>
      <c r="L280" s="85">
        <v>0.015</v>
      </c>
      <c r="M280" s="85">
        <v>0.006</v>
      </c>
      <c r="N280" s="85"/>
      <c r="O280" s="85"/>
      <c r="P280" s="85"/>
      <c r="Q280" s="85">
        <v>0.03</v>
      </c>
      <c r="R280" s="85"/>
      <c r="S280" s="72">
        <v>0.01</v>
      </c>
      <c r="T280" s="86"/>
      <c r="U280" s="86"/>
      <c r="V280" s="86" t="s">
        <v>35</v>
      </c>
      <c r="W280" s="86"/>
      <c r="X280" s="72" t="s">
        <v>35</v>
      </c>
      <c r="Y280" s="53" t="s">
        <v>35</v>
      </c>
      <c r="Z280" s="28" t="s">
        <v>35</v>
      </c>
      <c r="AA280" s="53"/>
    </row>
    <row r="281" spans="1:27">
      <c r="A281" s="37">
        <v>277</v>
      </c>
      <c r="B281" s="28" t="s">
        <v>513</v>
      </c>
      <c r="C281" s="28" t="s">
        <v>30</v>
      </c>
      <c r="D281" s="28">
        <v>4</v>
      </c>
      <c r="E281" s="28">
        <v>12.5</v>
      </c>
      <c r="F281" s="28" t="s">
        <v>514</v>
      </c>
      <c r="G281" s="84" t="s">
        <v>501</v>
      </c>
      <c r="H281" s="28">
        <v>1521</v>
      </c>
      <c r="I281" s="85">
        <v>0.07</v>
      </c>
      <c r="J281" s="86">
        <v>0.12</v>
      </c>
      <c r="K281" s="86">
        <v>1.3</v>
      </c>
      <c r="L281" s="85">
        <v>0.015</v>
      </c>
      <c r="M281" s="85">
        <v>0.006</v>
      </c>
      <c r="N281" s="85"/>
      <c r="O281" s="85">
        <v>0.035</v>
      </c>
      <c r="P281" s="85">
        <v>0.01</v>
      </c>
      <c r="Q281" s="85">
        <v>0.03</v>
      </c>
      <c r="R281" s="85" t="s">
        <v>35</v>
      </c>
      <c r="S281" s="72"/>
      <c r="T281" s="86"/>
      <c r="U281" s="86"/>
      <c r="V281" s="86"/>
      <c r="W281" s="86"/>
      <c r="X281" s="72"/>
      <c r="Y281" s="53" t="s">
        <v>35</v>
      </c>
      <c r="Z281" s="28">
        <v>50</v>
      </c>
      <c r="AA281" s="53"/>
    </row>
    <row r="282" spans="1:27">
      <c r="A282" s="37">
        <v>278</v>
      </c>
      <c r="B282" s="28" t="s">
        <v>513</v>
      </c>
      <c r="C282" s="28" t="s">
        <v>33</v>
      </c>
      <c r="D282" s="28">
        <v>12.51</v>
      </c>
      <c r="E282" s="28">
        <v>25</v>
      </c>
      <c r="F282" s="28" t="s">
        <v>515</v>
      </c>
      <c r="G282" s="84" t="s">
        <v>501</v>
      </c>
      <c r="H282" s="28">
        <v>1522</v>
      </c>
      <c r="I282" s="85">
        <v>0.07</v>
      </c>
      <c r="J282" s="86">
        <v>0.15</v>
      </c>
      <c r="K282" s="86">
        <v>1.4</v>
      </c>
      <c r="L282" s="85">
        <v>0.015</v>
      </c>
      <c r="M282" s="85">
        <v>0.006</v>
      </c>
      <c r="N282" s="85"/>
      <c r="O282" s="85">
        <v>0.035</v>
      </c>
      <c r="P282" s="85">
        <v>0.01</v>
      </c>
      <c r="Q282" s="85">
        <v>0.03</v>
      </c>
      <c r="R282" s="85" t="s">
        <v>35</v>
      </c>
      <c r="S282" s="72"/>
      <c r="T282" s="86"/>
      <c r="U282" s="86"/>
      <c r="V282" s="86"/>
      <c r="W282" s="86"/>
      <c r="X282" s="72"/>
      <c r="Y282" s="53" t="s">
        <v>35</v>
      </c>
      <c r="Z282" s="28">
        <v>50</v>
      </c>
      <c r="AA282" s="53"/>
    </row>
    <row r="283" spans="1:27">
      <c r="A283" s="37">
        <v>279</v>
      </c>
      <c r="B283" s="28" t="s">
        <v>516</v>
      </c>
      <c r="C283" s="28" t="s">
        <v>30</v>
      </c>
      <c r="D283" s="28">
        <v>3.5</v>
      </c>
      <c r="E283" s="28">
        <v>25.4</v>
      </c>
      <c r="F283" s="28" t="s">
        <v>516</v>
      </c>
      <c r="G283" s="84" t="s">
        <v>501</v>
      </c>
      <c r="H283" s="28">
        <v>1519</v>
      </c>
      <c r="I283" s="85">
        <v>0.16</v>
      </c>
      <c r="J283" s="86">
        <v>0.1</v>
      </c>
      <c r="K283" s="86">
        <v>0.6</v>
      </c>
      <c r="L283" s="85">
        <v>0.02</v>
      </c>
      <c r="M283" s="85">
        <v>0.015</v>
      </c>
      <c r="N283" s="85" t="s">
        <v>35</v>
      </c>
      <c r="O283" s="85" t="s">
        <v>35</v>
      </c>
      <c r="P283" s="85" t="s">
        <v>35</v>
      </c>
      <c r="Q283" s="85">
        <v>0.025</v>
      </c>
      <c r="R283" s="85" t="s">
        <v>35</v>
      </c>
      <c r="S283" s="72" t="s">
        <v>35</v>
      </c>
      <c r="T283" s="86"/>
      <c r="U283" s="86"/>
      <c r="V283" s="86"/>
      <c r="W283" s="86"/>
      <c r="X283" s="72" t="s">
        <v>35</v>
      </c>
      <c r="Y283" s="53" t="s">
        <v>35</v>
      </c>
      <c r="Z283" s="28"/>
      <c r="AA283" s="53"/>
    </row>
    <row r="284" spans="1:27">
      <c r="A284" s="37">
        <v>280</v>
      </c>
      <c r="B284" s="28" t="s">
        <v>517</v>
      </c>
      <c r="C284" s="28" t="s">
        <v>30</v>
      </c>
      <c r="D284" s="28">
        <v>4</v>
      </c>
      <c r="E284" s="28">
        <v>25.4</v>
      </c>
      <c r="F284" s="28" t="s">
        <v>517</v>
      </c>
      <c r="G284" s="84" t="s">
        <v>501</v>
      </c>
      <c r="H284" s="28">
        <v>1519</v>
      </c>
      <c r="I284" s="85">
        <v>0.16</v>
      </c>
      <c r="J284" s="86">
        <v>0.12</v>
      </c>
      <c r="K284" s="86">
        <v>0.75</v>
      </c>
      <c r="L284" s="85">
        <v>0.015</v>
      </c>
      <c r="M284" s="85">
        <v>0.006</v>
      </c>
      <c r="N284" s="85" t="s">
        <v>35</v>
      </c>
      <c r="O284" s="85" t="s">
        <v>35</v>
      </c>
      <c r="P284" s="85" t="s">
        <v>35</v>
      </c>
      <c r="Q284" s="85">
        <v>0.025</v>
      </c>
      <c r="R284" s="85" t="s">
        <v>35</v>
      </c>
      <c r="S284" s="72" t="s">
        <v>35</v>
      </c>
      <c r="T284" s="86"/>
      <c r="U284" s="86"/>
      <c r="V284" s="86"/>
      <c r="W284" s="86"/>
      <c r="X284" s="72" t="s">
        <v>35</v>
      </c>
      <c r="Y284" s="53" t="s">
        <v>35</v>
      </c>
      <c r="Z284" s="28">
        <v>45</v>
      </c>
      <c r="AA284" s="53" t="s">
        <v>35</v>
      </c>
    </row>
    <row r="285" spans="1:27">
      <c r="A285" s="37">
        <v>281</v>
      </c>
      <c r="B285" s="28" t="s">
        <v>518</v>
      </c>
      <c r="C285" s="28" t="s">
        <v>30</v>
      </c>
      <c r="D285" s="28">
        <v>4</v>
      </c>
      <c r="E285" s="28">
        <v>12.5</v>
      </c>
      <c r="F285" s="28" t="s">
        <v>519</v>
      </c>
      <c r="G285" s="84" t="s">
        <v>501</v>
      </c>
      <c r="H285" s="28">
        <v>1521</v>
      </c>
      <c r="I285" s="85">
        <v>0.07</v>
      </c>
      <c r="J285" s="86">
        <v>0.2</v>
      </c>
      <c r="K285" s="86">
        <v>1.2</v>
      </c>
      <c r="L285" s="85">
        <v>0.015</v>
      </c>
      <c r="M285" s="85">
        <v>0.006</v>
      </c>
      <c r="N285" s="85"/>
      <c r="O285" s="85"/>
      <c r="P285" s="85"/>
      <c r="Q285" s="85">
        <v>0.03</v>
      </c>
      <c r="R285" s="85"/>
      <c r="S285" s="72">
        <v>0.01</v>
      </c>
      <c r="T285" s="86"/>
      <c r="U285" s="86"/>
      <c r="V285" s="86" t="s">
        <v>35</v>
      </c>
      <c r="W285" s="86"/>
      <c r="X285" s="72" t="s">
        <v>35</v>
      </c>
      <c r="Y285" s="53" t="s">
        <v>35</v>
      </c>
      <c r="Z285" s="28" t="s">
        <v>35</v>
      </c>
      <c r="AA285" s="53"/>
    </row>
    <row r="286" spans="1:27">
      <c r="A286" s="37">
        <v>282</v>
      </c>
      <c r="B286" s="28" t="s">
        <v>518</v>
      </c>
      <c r="C286" s="28" t="s">
        <v>33</v>
      </c>
      <c r="D286" s="28">
        <v>12.51</v>
      </c>
      <c r="E286" s="28">
        <v>25</v>
      </c>
      <c r="F286" s="28" t="s">
        <v>520</v>
      </c>
      <c r="G286" s="84" t="s">
        <v>501</v>
      </c>
      <c r="H286" s="28">
        <v>1521</v>
      </c>
      <c r="I286" s="85">
        <v>0.07</v>
      </c>
      <c r="J286" s="86">
        <v>0.2</v>
      </c>
      <c r="K286" s="86">
        <v>1.3</v>
      </c>
      <c r="L286" s="85">
        <v>0.015</v>
      </c>
      <c r="M286" s="85">
        <v>0.006</v>
      </c>
      <c r="N286" s="85"/>
      <c r="O286" s="85"/>
      <c r="P286" s="85"/>
      <c r="Q286" s="85">
        <v>0.03</v>
      </c>
      <c r="R286" s="85"/>
      <c r="S286" s="72">
        <v>0.01</v>
      </c>
      <c r="T286" s="86"/>
      <c r="U286" s="86"/>
      <c r="V286" s="86" t="s">
        <v>35</v>
      </c>
      <c r="W286" s="86"/>
      <c r="X286" s="72" t="s">
        <v>35</v>
      </c>
      <c r="Y286" s="53" t="s">
        <v>35</v>
      </c>
      <c r="Z286" s="28" t="s">
        <v>35</v>
      </c>
      <c r="AA286" s="53"/>
    </row>
    <row r="287" spans="1:27">
      <c r="A287" s="37">
        <v>283</v>
      </c>
      <c r="B287" s="28" t="s">
        <v>521</v>
      </c>
      <c r="C287" s="28" t="s">
        <v>30</v>
      </c>
      <c r="D287" s="28">
        <v>4</v>
      </c>
      <c r="E287" s="28">
        <v>12.5</v>
      </c>
      <c r="F287" s="28" t="s">
        <v>522</v>
      </c>
      <c r="G287" s="84" t="s">
        <v>501</v>
      </c>
      <c r="H287" s="28">
        <v>1521</v>
      </c>
      <c r="I287" s="85">
        <v>0.07</v>
      </c>
      <c r="J287" s="86">
        <v>0.12</v>
      </c>
      <c r="K287" s="86">
        <v>1.3</v>
      </c>
      <c r="L287" s="85">
        <v>0.015</v>
      </c>
      <c r="M287" s="85">
        <v>0.006</v>
      </c>
      <c r="N287" s="85"/>
      <c r="O287" s="85">
        <v>0.035</v>
      </c>
      <c r="P287" s="85">
        <v>0.01</v>
      </c>
      <c r="Q287" s="85">
        <v>0.03</v>
      </c>
      <c r="R287" s="85" t="s">
        <v>35</v>
      </c>
      <c r="S287" s="72"/>
      <c r="T287" s="86"/>
      <c r="U287" s="86"/>
      <c r="V287" s="86"/>
      <c r="W287" s="86"/>
      <c r="X287" s="72"/>
      <c r="Y287" s="53" t="s">
        <v>35</v>
      </c>
      <c r="Z287" s="28">
        <v>50</v>
      </c>
      <c r="AA287" s="53"/>
    </row>
    <row r="288" spans="1:27">
      <c r="A288" s="37">
        <v>284</v>
      </c>
      <c r="B288" s="28" t="s">
        <v>521</v>
      </c>
      <c r="C288" s="28" t="s">
        <v>33</v>
      </c>
      <c r="D288" s="28">
        <v>12.51</v>
      </c>
      <c r="E288" s="28">
        <v>25</v>
      </c>
      <c r="F288" s="28" t="s">
        <v>523</v>
      </c>
      <c r="G288" s="84" t="s">
        <v>501</v>
      </c>
      <c r="H288" s="28">
        <v>1522</v>
      </c>
      <c r="I288" s="85">
        <v>0.07</v>
      </c>
      <c r="J288" s="86">
        <v>0.15</v>
      </c>
      <c r="K288" s="86">
        <v>1.4</v>
      </c>
      <c r="L288" s="85">
        <v>0.015</v>
      </c>
      <c r="M288" s="85">
        <v>0.006</v>
      </c>
      <c r="N288" s="85"/>
      <c r="O288" s="85">
        <v>0.035</v>
      </c>
      <c r="P288" s="85">
        <v>0.01</v>
      </c>
      <c r="Q288" s="85">
        <v>0.03</v>
      </c>
      <c r="R288" s="85" t="s">
        <v>35</v>
      </c>
      <c r="S288" s="72"/>
      <c r="T288" s="86"/>
      <c r="U288" s="86"/>
      <c r="V288" s="86"/>
      <c r="W288" s="86"/>
      <c r="X288" s="72"/>
      <c r="Y288" s="53" t="s">
        <v>35</v>
      </c>
      <c r="Z288" s="28">
        <v>50</v>
      </c>
      <c r="AA288" s="53"/>
    </row>
    <row r="289" spans="1:27">
      <c r="A289" s="37">
        <v>285</v>
      </c>
      <c r="B289" s="28" t="s">
        <v>524</v>
      </c>
      <c r="C289" s="28" t="s">
        <v>30</v>
      </c>
      <c r="D289" s="28">
        <v>3.5</v>
      </c>
      <c r="E289" s="28">
        <v>25.4</v>
      </c>
      <c r="F289" s="28" t="s">
        <v>524</v>
      </c>
      <c r="G289" s="84" t="s">
        <v>501</v>
      </c>
      <c r="H289" s="28">
        <v>1519</v>
      </c>
      <c r="I289" s="85">
        <v>0.16</v>
      </c>
      <c r="J289" s="86">
        <v>0.1</v>
      </c>
      <c r="K289" s="86">
        <v>0.6</v>
      </c>
      <c r="L289" s="85">
        <v>0.02</v>
      </c>
      <c r="M289" s="85">
        <v>0.015</v>
      </c>
      <c r="N289" s="85" t="s">
        <v>35</v>
      </c>
      <c r="O289" s="85" t="s">
        <v>35</v>
      </c>
      <c r="P289" s="85" t="s">
        <v>35</v>
      </c>
      <c r="Q289" s="85">
        <v>0.025</v>
      </c>
      <c r="R289" s="85" t="s">
        <v>35</v>
      </c>
      <c r="S289" s="72" t="s">
        <v>35</v>
      </c>
      <c r="T289" s="86"/>
      <c r="U289" s="86"/>
      <c r="V289" s="86"/>
      <c r="W289" s="86"/>
      <c r="X289" s="72" t="s">
        <v>35</v>
      </c>
      <c r="Y289" s="53" t="s">
        <v>35</v>
      </c>
      <c r="Z289" s="28"/>
      <c r="AA289" s="53"/>
    </row>
    <row r="290" spans="1:27">
      <c r="A290" s="37">
        <v>286</v>
      </c>
      <c r="B290" s="28" t="s">
        <v>525</v>
      </c>
      <c r="C290" s="28" t="s">
        <v>30</v>
      </c>
      <c r="D290" s="28">
        <v>4</v>
      </c>
      <c r="E290" s="28">
        <v>25.4</v>
      </c>
      <c r="F290" s="28" t="s">
        <v>525</v>
      </c>
      <c r="G290" s="84" t="s">
        <v>501</v>
      </c>
      <c r="H290" s="28">
        <v>1519</v>
      </c>
      <c r="I290" s="85">
        <v>0.16</v>
      </c>
      <c r="J290" s="86">
        <v>0.12</v>
      </c>
      <c r="K290" s="86">
        <v>0.75</v>
      </c>
      <c r="L290" s="85">
        <v>0.015</v>
      </c>
      <c r="M290" s="85">
        <v>0.006</v>
      </c>
      <c r="N290" s="85" t="s">
        <v>35</v>
      </c>
      <c r="O290" s="85" t="s">
        <v>35</v>
      </c>
      <c r="P290" s="85" t="s">
        <v>35</v>
      </c>
      <c r="Q290" s="85">
        <v>0.025</v>
      </c>
      <c r="R290" s="85" t="s">
        <v>35</v>
      </c>
      <c r="S290" s="72" t="s">
        <v>35</v>
      </c>
      <c r="T290" s="86"/>
      <c r="U290" s="86"/>
      <c r="V290" s="86"/>
      <c r="W290" s="86"/>
      <c r="X290" s="72" t="s">
        <v>35</v>
      </c>
      <c r="Y290" s="53" t="s">
        <v>35</v>
      </c>
      <c r="Z290" s="28">
        <v>45</v>
      </c>
      <c r="AA290" s="53" t="s">
        <v>35</v>
      </c>
    </row>
    <row r="291" spans="1:27">
      <c r="A291" s="37">
        <v>287</v>
      </c>
      <c r="B291" s="28" t="s">
        <v>526</v>
      </c>
      <c r="C291" s="28" t="s">
        <v>30</v>
      </c>
      <c r="D291" s="28">
        <v>4</v>
      </c>
      <c r="E291" s="28">
        <v>12.5</v>
      </c>
      <c r="F291" s="28" t="s">
        <v>527</v>
      </c>
      <c r="G291" s="84" t="s">
        <v>501</v>
      </c>
      <c r="H291" s="28">
        <v>1521</v>
      </c>
      <c r="I291" s="85">
        <v>0.07</v>
      </c>
      <c r="J291" s="86">
        <v>0.2</v>
      </c>
      <c r="K291" s="86">
        <v>1.2</v>
      </c>
      <c r="L291" s="85">
        <v>0.015</v>
      </c>
      <c r="M291" s="85">
        <v>0.006</v>
      </c>
      <c r="N291" s="85"/>
      <c r="O291" s="85"/>
      <c r="P291" s="85"/>
      <c r="Q291" s="85">
        <v>0.03</v>
      </c>
      <c r="R291" s="85"/>
      <c r="S291" s="72">
        <v>0.01</v>
      </c>
      <c r="T291" s="86"/>
      <c r="U291" s="86"/>
      <c r="V291" s="86" t="s">
        <v>35</v>
      </c>
      <c r="W291" s="86"/>
      <c r="X291" s="72" t="s">
        <v>35</v>
      </c>
      <c r="Y291" s="53" t="s">
        <v>35</v>
      </c>
      <c r="Z291" s="28" t="s">
        <v>35</v>
      </c>
      <c r="AA291" s="53"/>
    </row>
    <row r="292" spans="1:27">
      <c r="A292" s="37">
        <v>288</v>
      </c>
      <c r="B292" s="28" t="s">
        <v>526</v>
      </c>
      <c r="C292" s="28" t="s">
        <v>33</v>
      </c>
      <c r="D292" s="28">
        <v>12.51</v>
      </c>
      <c r="E292" s="28">
        <v>25</v>
      </c>
      <c r="F292" s="28" t="s">
        <v>528</v>
      </c>
      <c r="G292" s="84" t="s">
        <v>501</v>
      </c>
      <c r="H292" s="28">
        <v>1521</v>
      </c>
      <c r="I292" s="85">
        <v>0.07</v>
      </c>
      <c r="J292" s="86">
        <v>0.2</v>
      </c>
      <c r="K292" s="86">
        <v>1.3</v>
      </c>
      <c r="L292" s="85">
        <v>0.015</v>
      </c>
      <c r="M292" s="85">
        <v>0.006</v>
      </c>
      <c r="N292" s="85"/>
      <c r="O292" s="85"/>
      <c r="P292" s="85"/>
      <c r="Q292" s="85">
        <v>0.03</v>
      </c>
      <c r="R292" s="85"/>
      <c r="S292" s="72">
        <v>0.01</v>
      </c>
      <c r="T292" s="86"/>
      <c r="U292" s="86"/>
      <c r="V292" s="86" t="s">
        <v>35</v>
      </c>
      <c r="W292" s="86"/>
      <c r="X292" s="72" t="s">
        <v>35</v>
      </c>
      <c r="Y292" s="53" t="s">
        <v>35</v>
      </c>
      <c r="Z292" s="28" t="s">
        <v>35</v>
      </c>
      <c r="AA292" s="53"/>
    </row>
    <row r="293" spans="1:27">
      <c r="A293" s="37">
        <v>289</v>
      </c>
      <c r="B293" s="28" t="s">
        <v>529</v>
      </c>
      <c r="C293" s="28" t="s">
        <v>30</v>
      </c>
      <c r="D293" s="28">
        <v>4</v>
      </c>
      <c r="E293" s="28">
        <v>12.5</v>
      </c>
      <c r="F293" s="28" t="s">
        <v>530</v>
      </c>
      <c r="G293" s="84" t="s">
        <v>501</v>
      </c>
      <c r="H293" s="28">
        <v>1521</v>
      </c>
      <c r="I293" s="85">
        <v>0.07</v>
      </c>
      <c r="J293" s="86">
        <v>0.12</v>
      </c>
      <c r="K293" s="86">
        <v>1.3</v>
      </c>
      <c r="L293" s="85">
        <v>0.015</v>
      </c>
      <c r="M293" s="85">
        <v>0.006</v>
      </c>
      <c r="N293" s="85"/>
      <c r="O293" s="85">
        <v>0.035</v>
      </c>
      <c r="P293" s="85">
        <v>0.01</v>
      </c>
      <c r="Q293" s="85">
        <v>0.03</v>
      </c>
      <c r="R293" s="85" t="s">
        <v>35</v>
      </c>
      <c r="S293" s="72"/>
      <c r="T293" s="86"/>
      <c r="U293" s="86"/>
      <c r="V293" s="86"/>
      <c r="W293" s="86"/>
      <c r="X293" s="72"/>
      <c r="Y293" s="53" t="s">
        <v>35</v>
      </c>
      <c r="Z293" s="28">
        <v>50</v>
      </c>
      <c r="AA293" s="53"/>
    </row>
    <row r="294" spans="1:27">
      <c r="A294" s="37">
        <v>290</v>
      </c>
      <c r="B294" s="28" t="s">
        <v>529</v>
      </c>
      <c r="C294" s="28" t="s">
        <v>33</v>
      </c>
      <c r="D294" s="28">
        <v>12.51</v>
      </c>
      <c r="E294" s="28">
        <v>25</v>
      </c>
      <c r="F294" s="28" t="s">
        <v>531</v>
      </c>
      <c r="G294" s="84" t="s">
        <v>501</v>
      </c>
      <c r="H294" s="28">
        <v>1522</v>
      </c>
      <c r="I294" s="85">
        <v>0.07</v>
      </c>
      <c r="J294" s="86">
        <v>0.15</v>
      </c>
      <c r="K294" s="86">
        <v>1.4</v>
      </c>
      <c r="L294" s="85">
        <v>0.015</v>
      </c>
      <c r="M294" s="85">
        <v>0.006</v>
      </c>
      <c r="N294" s="85"/>
      <c r="O294" s="85">
        <v>0.035</v>
      </c>
      <c r="P294" s="85">
        <v>0.01</v>
      </c>
      <c r="Q294" s="85">
        <v>0.03</v>
      </c>
      <c r="R294" s="85" t="s">
        <v>35</v>
      </c>
      <c r="S294" s="72"/>
      <c r="T294" s="86"/>
      <c r="U294" s="86"/>
      <c r="V294" s="86"/>
      <c r="W294" s="86"/>
      <c r="X294" s="72"/>
      <c r="Y294" s="53" t="s">
        <v>35</v>
      </c>
      <c r="Z294" s="28">
        <v>50</v>
      </c>
      <c r="AA294" s="53"/>
    </row>
    <row r="295" spans="1:27">
      <c r="A295" s="37">
        <v>291</v>
      </c>
      <c r="B295" s="28" t="s">
        <v>532</v>
      </c>
      <c r="C295" s="28" t="s">
        <v>30</v>
      </c>
      <c r="D295" s="28">
        <v>3.5</v>
      </c>
      <c r="E295" s="28">
        <v>25.4</v>
      </c>
      <c r="F295" s="28" t="s">
        <v>532</v>
      </c>
      <c r="G295" s="84" t="s">
        <v>501</v>
      </c>
      <c r="H295" s="28">
        <v>1519</v>
      </c>
      <c r="I295" s="85">
        <v>0.16</v>
      </c>
      <c r="J295" s="86">
        <v>0.1</v>
      </c>
      <c r="K295" s="86">
        <v>0.6</v>
      </c>
      <c r="L295" s="85">
        <v>0.02</v>
      </c>
      <c r="M295" s="85">
        <v>0.015</v>
      </c>
      <c r="N295" s="85" t="s">
        <v>35</v>
      </c>
      <c r="O295" s="85" t="s">
        <v>35</v>
      </c>
      <c r="P295" s="85" t="s">
        <v>35</v>
      </c>
      <c r="Q295" s="85">
        <v>0.025</v>
      </c>
      <c r="R295" s="85" t="s">
        <v>35</v>
      </c>
      <c r="S295" s="72" t="s">
        <v>35</v>
      </c>
      <c r="T295" s="86"/>
      <c r="U295" s="86"/>
      <c r="V295" s="86"/>
      <c r="W295" s="86"/>
      <c r="X295" s="72" t="s">
        <v>35</v>
      </c>
      <c r="Y295" s="53" t="s">
        <v>35</v>
      </c>
      <c r="Z295" s="28"/>
      <c r="AA295" s="53"/>
    </row>
    <row r="296" spans="1:27">
      <c r="A296" s="37">
        <v>292</v>
      </c>
      <c r="B296" s="28" t="s">
        <v>533</v>
      </c>
      <c r="C296" s="28" t="s">
        <v>30</v>
      </c>
      <c r="D296" s="28">
        <v>4</v>
      </c>
      <c r="E296" s="28">
        <v>25.4</v>
      </c>
      <c r="F296" s="28" t="s">
        <v>533</v>
      </c>
      <c r="G296" s="84" t="s">
        <v>501</v>
      </c>
      <c r="H296" s="28">
        <v>1519</v>
      </c>
      <c r="I296" s="85">
        <v>0.16</v>
      </c>
      <c r="J296" s="86">
        <v>0.12</v>
      </c>
      <c r="K296" s="86">
        <v>0.75</v>
      </c>
      <c r="L296" s="85">
        <v>0.015</v>
      </c>
      <c r="M296" s="85">
        <v>0.006</v>
      </c>
      <c r="N296" s="85" t="s">
        <v>35</v>
      </c>
      <c r="O296" s="85" t="s">
        <v>35</v>
      </c>
      <c r="P296" s="85" t="s">
        <v>35</v>
      </c>
      <c r="Q296" s="85">
        <v>0.025</v>
      </c>
      <c r="R296" s="85" t="s">
        <v>35</v>
      </c>
      <c r="S296" s="72" t="s">
        <v>35</v>
      </c>
      <c r="T296" s="86"/>
      <c r="U296" s="86"/>
      <c r="V296" s="86"/>
      <c r="W296" s="86"/>
      <c r="X296" s="72" t="s">
        <v>35</v>
      </c>
      <c r="Y296" s="53" t="s">
        <v>35</v>
      </c>
      <c r="Z296" s="28">
        <v>45</v>
      </c>
      <c r="AA296" s="53" t="s">
        <v>35</v>
      </c>
    </row>
    <row r="297" spans="1:27">
      <c r="A297" s="37">
        <v>293</v>
      </c>
      <c r="B297" s="28" t="s">
        <v>534</v>
      </c>
      <c r="C297" s="28" t="s">
        <v>30</v>
      </c>
      <c r="D297" s="28">
        <v>4</v>
      </c>
      <c r="E297" s="28">
        <v>12.5</v>
      </c>
      <c r="F297" s="28" t="s">
        <v>535</v>
      </c>
      <c r="G297" s="84" t="s">
        <v>501</v>
      </c>
      <c r="H297" s="28">
        <v>1521</v>
      </c>
      <c r="I297" s="85">
        <v>0.07</v>
      </c>
      <c r="J297" s="86">
        <v>0.2</v>
      </c>
      <c r="K297" s="86">
        <v>1.2</v>
      </c>
      <c r="L297" s="85">
        <v>0.015</v>
      </c>
      <c r="M297" s="85">
        <v>0.006</v>
      </c>
      <c r="N297" s="85"/>
      <c r="O297" s="85"/>
      <c r="P297" s="85"/>
      <c r="Q297" s="85">
        <v>0.03</v>
      </c>
      <c r="R297" s="85"/>
      <c r="S297" s="72">
        <v>0.01</v>
      </c>
      <c r="T297" s="86"/>
      <c r="U297" s="86"/>
      <c r="V297" s="86" t="s">
        <v>35</v>
      </c>
      <c r="W297" s="86"/>
      <c r="X297" s="72" t="s">
        <v>35</v>
      </c>
      <c r="Y297" s="53" t="s">
        <v>35</v>
      </c>
      <c r="Z297" s="28" t="s">
        <v>35</v>
      </c>
      <c r="AA297" s="53"/>
    </row>
    <row r="298" spans="1:27">
      <c r="A298" s="37">
        <v>294</v>
      </c>
      <c r="B298" s="28" t="s">
        <v>534</v>
      </c>
      <c r="C298" s="28" t="s">
        <v>33</v>
      </c>
      <c r="D298" s="28">
        <v>12.51</v>
      </c>
      <c r="E298" s="28">
        <v>25</v>
      </c>
      <c r="F298" s="28" t="s">
        <v>536</v>
      </c>
      <c r="G298" s="84" t="s">
        <v>501</v>
      </c>
      <c r="H298" s="28">
        <v>1521</v>
      </c>
      <c r="I298" s="85">
        <v>0.07</v>
      </c>
      <c r="J298" s="86">
        <v>0.2</v>
      </c>
      <c r="K298" s="86">
        <v>1.3</v>
      </c>
      <c r="L298" s="85">
        <v>0.015</v>
      </c>
      <c r="M298" s="85">
        <v>0.006</v>
      </c>
      <c r="N298" s="85"/>
      <c r="O298" s="85"/>
      <c r="P298" s="85"/>
      <c r="Q298" s="85">
        <v>0.03</v>
      </c>
      <c r="R298" s="85"/>
      <c r="S298" s="72">
        <v>0.01</v>
      </c>
      <c r="T298" s="86"/>
      <c r="U298" s="86"/>
      <c r="V298" s="86" t="s">
        <v>35</v>
      </c>
      <c r="W298" s="86"/>
      <c r="X298" s="72" t="s">
        <v>35</v>
      </c>
      <c r="Y298" s="53" t="s">
        <v>35</v>
      </c>
      <c r="Z298" s="28" t="s">
        <v>35</v>
      </c>
      <c r="AA298" s="53"/>
    </row>
    <row r="299" spans="1:27">
      <c r="A299" s="37">
        <v>295</v>
      </c>
      <c r="B299" s="28" t="s">
        <v>537</v>
      </c>
      <c r="C299" s="28" t="s">
        <v>30</v>
      </c>
      <c r="D299" s="28">
        <v>4</v>
      </c>
      <c r="E299" s="28">
        <v>12.5</v>
      </c>
      <c r="F299" s="28" t="s">
        <v>538</v>
      </c>
      <c r="G299" s="84" t="s">
        <v>501</v>
      </c>
      <c r="H299" s="28">
        <v>1521</v>
      </c>
      <c r="I299" s="85">
        <v>0.07</v>
      </c>
      <c r="J299" s="86">
        <v>0.12</v>
      </c>
      <c r="K299" s="86">
        <v>1.3</v>
      </c>
      <c r="L299" s="85">
        <v>0.015</v>
      </c>
      <c r="M299" s="85">
        <v>0.006</v>
      </c>
      <c r="N299" s="85"/>
      <c r="O299" s="85">
        <v>0.035</v>
      </c>
      <c r="P299" s="85">
        <v>0.01</v>
      </c>
      <c r="Q299" s="85">
        <v>0.03</v>
      </c>
      <c r="R299" s="85" t="s">
        <v>35</v>
      </c>
      <c r="S299" s="72"/>
      <c r="T299" s="86"/>
      <c r="U299" s="86"/>
      <c r="V299" s="86"/>
      <c r="W299" s="86"/>
      <c r="X299" s="72"/>
      <c r="Y299" s="53" t="s">
        <v>35</v>
      </c>
      <c r="Z299" s="28">
        <v>50</v>
      </c>
      <c r="AA299" s="53"/>
    </row>
    <row r="300" spans="1:27">
      <c r="A300" s="37">
        <v>296</v>
      </c>
      <c r="B300" s="28" t="s">
        <v>537</v>
      </c>
      <c r="C300" s="28" t="s">
        <v>33</v>
      </c>
      <c r="D300" s="28">
        <v>12.51</v>
      </c>
      <c r="E300" s="28">
        <v>25</v>
      </c>
      <c r="F300" s="28" t="s">
        <v>539</v>
      </c>
      <c r="G300" s="84" t="s">
        <v>501</v>
      </c>
      <c r="H300" s="28">
        <v>1522</v>
      </c>
      <c r="I300" s="85">
        <v>0.07</v>
      </c>
      <c r="J300" s="86">
        <v>0.15</v>
      </c>
      <c r="K300" s="86">
        <v>1.4</v>
      </c>
      <c r="L300" s="85">
        <v>0.015</v>
      </c>
      <c r="M300" s="85">
        <v>0.006</v>
      </c>
      <c r="N300" s="85"/>
      <c r="O300" s="85">
        <v>0.035</v>
      </c>
      <c r="P300" s="85">
        <v>0.01</v>
      </c>
      <c r="Q300" s="85">
        <v>0.03</v>
      </c>
      <c r="R300" s="85" t="s">
        <v>35</v>
      </c>
      <c r="S300" s="72"/>
      <c r="T300" s="86"/>
      <c r="U300" s="86"/>
      <c r="V300" s="86"/>
      <c r="W300" s="86"/>
      <c r="X300" s="72"/>
      <c r="Y300" s="53" t="s">
        <v>35</v>
      </c>
      <c r="Z300" s="28">
        <v>50</v>
      </c>
      <c r="AA300" s="53"/>
    </row>
    <row r="301" spans="1:27">
      <c r="A301" s="37">
        <v>297</v>
      </c>
      <c r="B301" s="28" t="s">
        <v>540</v>
      </c>
      <c r="C301" s="28" t="s">
        <v>30</v>
      </c>
      <c r="D301" s="28">
        <v>3.5</v>
      </c>
      <c r="E301" s="28">
        <v>25.4</v>
      </c>
      <c r="F301" s="28" t="s">
        <v>540</v>
      </c>
      <c r="G301" s="84" t="s">
        <v>501</v>
      </c>
      <c r="H301" s="28">
        <v>1519</v>
      </c>
      <c r="I301" s="85">
        <v>0.16</v>
      </c>
      <c r="J301" s="86">
        <v>0.1</v>
      </c>
      <c r="K301" s="86">
        <v>0.6</v>
      </c>
      <c r="L301" s="85">
        <v>0.02</v>
      </c>
      <c r="M301" s="85">
        <v>0.015</v>
      </c>
      <c r="N301" s="85" t="s">
        <v>35</v>
      </c>
      <c r="O301" s="85" t="s">
        <v>35</v>
      </c>
      <c r="P301" s="85" t="s">
        <v>35</v>
      </c>
      <c r="Q301" s="85">
        <v>0.025</v>
      </c>
      <c r="R301" s="85" t="s">
        <v>35</v>
      </c>
      <c r="S301" s="72" t="s">
        <v>35</v>
      </c>
      <c r="T301" s="86"/>
      <c r="U301" s="86"/>
      <c r="V301" s="86"/>
      <c r="W301" s="86"/>
      <c r="X301" s="72" t="s">
        <v>35</v>
      </c>
      <c r="Y301" s="53" t="s">
        <v>35</v>
      </c>
      <c r="Z301" s="28"/>
      <c r="AA301" s="53"/>
    </row>
    <row r="302" spans="1:27">
      <c r="A302" s="37">
        <v>298</v>
      </c>
      <c r="B302" s="28" t="s">
        <v>541</v>
      </c>
      <c r="C302" s="28" t="s">
        <v>30</v>
      </c>
      <c r="D302" s="28">
        <v>4</v>
      </c>
      <c r="E302" s="28">
        <v>25.4</v>
      </c>
      <c r="F302" s="28" t="s">
        <v>541</v>
      </c>
      <c r="G302" s="84" t="s">
        <v>501</v>
      </c>
      <c r="H302" s="28">
        <v>1519</v>
      </c>
      <c r="I302" s="85">
        <v>0.16</v>
      </c>
      <c r="J302" s="86">
        <v>0.12</v>
      </c>
      <c r="K302" s="86">
        <v>0.75</v>
      </c>
      <c r="L302" s="85">
        <v>0.015</v>
      </c>
      <c r="M302" s="85">
        <v>0.006</v>
      </c>
      <c r="N302" s="85" t="s">
        <v>35</v>
      </c>
      <c r="O302" s="85" t="s">
        <v>35</v>
      </c>
      <c r="P302" s="85" t="s">
        <v>35</v>
      </c>
      <c r="Q302" s="85">
        <v>0.025</v>
      </c>
      <c r="R302" s="85" t="s">
        <v>35</v>
      </c>
      <c r="S302" s="72" t="s">
        <v>35</v>
      </c>
      <c r="T302" s="86"/>
      <c r="U302" s="86"/>
      <c r="V302" s="86"/>
      <c r="W302" s="86"/>
      <c r="X302" s="72" t="s">
        <v>35</v>
      </c>
      <c r="Y302" s="53" t="s">
        <v>35</v>
      </c>
      <c r="Z302" s="28">
        <v>45</v>
      </c>
      <c r="AA302" s="53" t="s">
        <v>35</v>
      </c>
    </row>
    <row r="303" spans="1:27">
      <c r="A303" s="37">
        <v>299</v>
      </c>
      <c r="B303" s="28" t="s">
        <v>542</v>
      </c>
      <c r="C303" s="28" t="s">
        <v>30</v>
      </c>
      <c r="D303" s="28">
        <v>4</v>
      </c>
      <c r="E303" s="28">
        <v>12.5</v>
      </c>
      <c r="F303" s="28" t="s">
        <v>543</v>
      </c>
      <c r="G303" s="84" t="s">
        <v>501</v>
      </c>
      <c r="H303" s="28">
        <v>1521</v>
      </c>
      <c r="I303" s="85">
        <v>0.07</v>
      </c>
      <c r="J303" s="86">
        <v>0.2</v>
      </c>
      <c r="K303" s="86">
        <v>1.2</v>
      </c>
      <c r="L303" s="85">
        <v>0.015</v>
      </c>
      <c r="M303" s="85">
        <v>0.006</v>
      </c>
      <c r="N303" s="85"/>
      <c r="O303" s="85"/>
      <c r="P303" s="85"/>
      <c r="Q303" s="85">
        <v>0.03</v>
      </c>
      <c r="R303" s="85"/>
      <c r="S303" s="72">
        <v>0.01</v>
      </c>
      <c r="T303" s="86"/>
      <c r="U303" s="86"/>
      <c r="V303" s="86" t="s">
        <v>35</v>
      </c>
      <c r="W303" s="86"/>
      <c r="X303" s="72" t="s">
        <v>35</v>
      </c>
      <c r="Y303" s="53" t="s">
        <v>35</v>
      </c>
      <c r="Z303" s="28" t="s">
        <v>35</v>
      </c>
      <c r="AA303" s="53"/>
    </row>
    <row r="304" spans="1:27">
      <c r="A304" s="37">
        <v>300</v>
      </c>
      <c r="B304" s="28" t="s">
        <v>542</v>
      </c>
      <c r="C304" s="28" t="s">
        <v>33</v>
      </c>
      <c r="D304" s="28">
        <v>12.51</v>
      </c>
      <c r="E304" s="28">
        <v>25</v>
      </c>
      <c r="F304" s="28" t="s">
        <v>544</v>
      </c>
      <c r="G304" s="84" t="s">
        <v>501</v>
      </c>
      <c r="H304" s="28">
        <v>1521</v>
      </c>
      <c r="I304" s="85">
        <v>0.07</v>
      </c>
      <c r="J304" s="86">
        <v>0.2</v>
      </c>
      <c r="K304" s="86">
        <v>1.3</v>
      </c>
      <c r="L304" s="85">
        <v>0.015</v>
      </c>
      <c r="M304" s="85">
        <v>0.006</v>
      </c>
      <c r="N304" s="85"/>
      <c r="O304" s="85"/>
      <c r="P304" s="85"/>
      <c r="Q304" s="85">
        <v>0.03</v>
      </c>
      <c r="R304" s="85"/>
      <c r="S304" s="72">
        <v>0.01</v>
      </c>
      <c r="T304" s="86"/>
      <c r="U304" s="86"/>
      <c r="V304" s="86" t="s">
        <v>35</v>
      </c>
      <c r="W304" s="86"/>
      <c r="X304" s="72" t="s">
        <v>35</v>
      </c>
      <c r="Y304" s="53" t="s">
        <v>35</v>
      </c>
      <c r="Z304" s="28" t="s">
        <v>35</v>
      </c>
      <c r="AA304" s="53"/>
    </row>
    <row r="305" spans="1:27">
      <c r="A305" s="37">
        <v>301</v>
      </c>
      <c r="B305" s="28" t="s">
        <v>545</v>
      </c>
      <c r="C305" s="28" t="s">
        <v>30</v>
      </c>
      <c r="D305" s="28">
        <v>4</v>
      </c>
      <c r="E305" s="28">
        <v>12.5</v>
      </c>
      <c r="F305" s="28" t="s">
        <v>546</v>
      </c>
      <c r="G305" s="84" t="s">
        <v>501</v>
      </c>
      <c r="H305" s="28">
        <v>1521</v>
      </c>
      <c r="I305" s="85">
        <v>0.07</v>
      </c>
      <c r="J305" s="86">
        <v>0.12</v>
      </c>
      <c r="K305" s="86">
        <v>1.3</v>
      </c>
      <c r="L305" s="85">
        <v>0.015</v>
      </c>
      <c r="M305" s="85">
        <v>0.006</v>
      </c>
      <c r="N305" s="85"/>
      <c r="O305" s="85">
        <v>0.035</v>
      </c>
      <c r="P305" s="85">
        <v>0.01</v>
      </c>
      <c r="Q305" s="85">
        <v>0.03</v>
      </c>
      <c r="R305" s="85" t="s">
        <v>35</v>
      </c>
      <c r="S305" s="72"/>
      <c r="T305" s="86"/>
      <c r="U305" s="86"/>
      <c r="V305" s="86"/>
      <c r="W305" s="86"/>
      <c r="X305" s="72"/>
      <c r="Y305" s="53" t="s">
        <v>35</v>
      </c>
      <c r="Z305" s="28">
        <v>50</v>
      </c>
      <c r="AA305" s="53"/>
    </row>
    <row r="306" spans="1:27">
      <c r="A306" s="37">
        <v>302</v>
      </c>
      <c r="B306" s="28" t="s">
        <v>545</v>
      </c>
      <c r="C306" s="28" t="s">
        <v>33</v>
      </c>
      <c r="D306" s="28">
        <v>12.51</v>
      </c>
      <c r="E306" s="28">
        <v>25</v>
      </c>
      <c r="F306" s="28" t="s">
        <v>547</v>
      </c>
      <c r="G306" s="84" t="s">
        <v>501</v>
      </c>
      <c r="H306" s="28">
        <v>1522</v>
      </c>
      <c r="I306" s="85">
        <v>0.07</v>
      </c>
      <c r="J306" s="86">
        <v>0.15</v>
      </c>
      <c r="K306" s="86">
        <v>1.4</v>
      </c>
      <c r="L306" s="85">
        <v>0.015</v>
      </c>
      <c r="M306" s="85">
        <v>0.006</v>
      </c>
      <c r="N306" s="85"/>
      <c r="O306" s="85">
        <v>0.035</v>
      </c>
      <c r="P306" s="85">
        <v>0.01</v>
      </c>
      <c r="Q306" s="85">
        <v>0.03</v>
      </c>
      <c r="R306" s="85" t="s">
        <v>35</v>
      </c>
      <c r="S306" s="72"/>
      <c r="T306" s="86"/>
      <c r="U306" s="86"/>
      <c r="V306" s="86"/>
      <c r="W306" s="86"/>
      <c r="X306" s="72"/>
      <c r="Y306" s="53" t="s">
        <v>35</v>
      </c>
      <c r="Z306" s="28">
        <v>50</v>
      </c>
      <c r="AA306" s="53"/>
    </row>
    <row r="307" spans="1:27">
      <c r="A307" s="37">
        <v>303</v>
      </c>
      <c r="B307" s="28" t="s">
        <v>548</v>
      </c>
      <c r="C307" s="28" t="s">
        <v>30</v>
      </c>
      <c r="D307" s="28">
        <v>3.5</v>
      </c>
      <c r="E307" s="28">
        <v>25.4</v>
      </c>
      <c r="F307" s="28" t="s">
        <v>548</v>
      </c>
      <c r="G307" s="84" t="s">
        <v>501</v>
      </c>
      <c r="H307" s="28">
        <v>1519</v>
      </c>
      <c r="I307" s="85">
        <v>0.16</v>
      </c>
      <c r="J307" s="86">
        <v>0.1</v>
      </c>
      <c r="K307" s="86">
        <v>0.6</v>
      </c>
      <c r="L307" s="85">
        <v>0.02</v>
      </c>
      <c r="M307" s="85">
        <v>0.015</v>
      </c>
      <c r="N307" s="85" t="s">
        <v>35</v>
      </c>
      <c r="O307" s="85" t="s">
        <v>35</v>
      </c>
      <c r="P307" s="85" t="s">
        <v>35</v>
      </c>
      <c r="Q307" s="85">
        <v>0.025</v>
      </c>
      <c r="R307" s="85" t="s">
        <v>35</v>
      </c>
      <c r="S307" s="72" t="s">
        <v>35</v>
      </c>
      <c r="T307" s="86"/>
      <c r="U307" s="86"/>
      <c r="V307" s="86"/>
      <c r="W307" s="86"/>
      <c r="X307" s="72" t="s">
        <v>35</v>
      </c>
      <c r="Y307" s="53" t="s">
        <v>35</v>
      </c>
      <c r="Z307" s="28"/>
      <c r="AA307" s="53"/>
    </row>
    <row r="308" spans="1:27">
      <c r="A308" s="37">
        <v>304</v>
      </c>
      <c r="B308" s="28" t="s">
        <v>549</v>
      </c>
      <c r="C308" s="28" t="s">
        <v>30</v>
      </c>
      <c r="D308" s="28">
        <v>4</v>
      </c>
      <c r="E308" s="28">
        <v>25.4</v>
      </c>
      <c r="F308" s="28" t="s">
        <v>549</v>
      </c>
      <c r="G308" s="84" t="s">
        <v>501</v>
      </c>
      <c r="H308" s="28">
        <v>1519</v>
      </c>
      <c r="I308" s="85">
        <v>0.16</v>
      </c>
      <c r="J308" s="86">
        <v>0.12</v>
      </c>
      <c r="K308" s="86">
        <v>0.75</v>
      </c>
      <c r="L308" s="85">
        <v>0.015</v>
      </c>
      <c r="M308" s="85">
        <v>0.006</v>
      </c>
      <c r="N308" s="85" t="s">
        <v>35</v>
      </c>
      <c r="O308" s="85" t="s">
        <v>35</v>
      </c>
      <c r="P308" s="85" t="s">
        <v>35</v>
      </c>
      <c r="Q308" s="85">
        <v>0.025</v>
      </c>
      <c r="R308" s="85" t="s">
        <v>35</v>
      </c>
      <c r="S308" s="72" t="s">
        <v>35</v>
      </c>
      <c r="T308" s="86"/>
      <c r="U308" s="86"/>
      <c r="V308" s="86"/>
      <c r="W308" s="86"/>
      <c r="X308" s="72" t="s">
        <v>35</v>
      </c>
      <c r="Y308" s="53" t="s">
        <v>35</v>
      </c>
      <c r="Z308" s="28">
        <v>45</v>
      </c>
      <c r="AA308" s="53" t="s">
        <v>35</v>
      </c>
    </row>
    <row r="309" spans="1:27">
      <c r="A309" s="37">
        <v>305</v>
      </c>
      <c r="B309" s="28" t="s">
        <v>550</v>
      </c>
      <c r="C309" s="28" t="s">
        <v>30</v>
      </c>
      <c r="D309" s="28">
        <v>4</v>
      </c>
      <c r="E309" s="28">
        <v>12.5</v>
      </c>
      <c r="F309" s="28" t="s">
        <v>551</v>
      </c>
      <c r="G309" s="84" t="s">
        <v>501</v>
      </c>
      <c r="H309" s="28">
        <v>1521</v>
      </c>
      <c r="I309" s="85">
        <v>0.07</v>
      </c>
      <c r="J309" s="86">
        <v>0.2</v>
      </c>
      <c r="K309" s="86">
        <v>1.2</v>
      </c>
      <c r="L309" s="85">
        <v>0.015</v>
      </c>
      <c r="M309" s="85">
        <v>0.006</v>
      </c>
      <c r="N309" s="85"/>
      <c r="O309" s="85"/>
      <c r="P309" s="85"/>
      <c r="Q309" s="85">
        <v>0.03</v>
      </c>
      <c r="R309" s="85"/>
      <c r="S309" s="72">
        <v>0.01</v>
      </c>
      <c r="T309" s="86"/>
      <c r="U309" s="86"/>
      <c r="V309" s="86" t="s">
        <v>35</v>
      </c>
      <c r="W309" s="86"/>
      <c r="X309" s="72" t="s">
        <v>35</v>
      </c>
      <c r="Y309" s="53" t="s">
        <v>35</v>
      </c>
      <c r="Z309" s="28" t="s">
        <v>35</v>
      </c>
      <c r="AA309" s="53"/>
    </row>
    <row r="310" spans="1:27">
      <c r="A310" s="37">
        <v>306</v>
      </c>
      <c r="B310" s="28" t="s">
        <v>550</v>
      </c>
      <c r="C310" s="28" t="s">
        <v>33</v>
      </c>
      <c r="D310" s="28">
        <v>12.51</v>
      </c>
      <c r="E310" s="28">
        <v>25</v>
      </c>
      <c r="F310" s="28" t="s">
        <v>552</v>
      </c>
      <c r="G310" s="84" t="s">
        <v>501</v>
      </c>
      <c r="H310" s="28">
        <v>1521</v>
      </c>
      <c r="I310" s="85">
        <v>0.07</v>
      </c>
      <c r="J310" s="86">
        <v>0.2</v>
      </c>
      <c r="K310" s="86">
        <v>1.3</v>
      </c>
      <c r="L310" s="85">
        <v>0.015</v>
      </c>
      <c r="M310" s="85">
        <v>0.006</v>
      </c>
      <c r="N310" s="85"/>
      <c r="O310" s="85"/>
      <c r="P310" s="85"/>
      <c r="Q310" s="85">
        <v>0.03</v>
      </c>
      <c r="R310" s="85"/>
      <c r="S310" s="72">
        <v>0.01</v>
      </c>
      <c r="T310" s="86"/>
      <c r="U310" s="86"/>
      <c r="V310" s="86" t="s">
        <v>35</v>
      </c>
      <c r="W310" s="86"/>
      <c r="X310" s="72" t="s">
        <v>35</v>
      </c>
      <c r="Y310" s="53" t="s">
        <v>35</v>
      </c>
      <c r="Z310" s="28" t="s">
        <v>35</v>
      </c>
      <c r="AA310" s="53"/>
    </row>
    <row r="311" spans="1:27">
      <c r="A311" s="37">
        <v>307</v>
      </c>
      <c r="B311" s="28" t="s">
        <v>553</v>
      </c>
      <c r="C311" s="28" t="s">
        <v>30</v>
      </c>
      <c r="D311" s="28">
        <v>4</v>
      </c>
      <c r="E311" s="28">
        <v>12.5</v>
      </c>
      <c r="F311" s="28" t="s">
        <v>554</v>
      </c>
      <c r="G311" s="84" t="s">
        <v>501</v>
      </c>
      <c r="H311" s="28">
        <v>1521</v>
      </c>
      <c r="I311" s="85">
        <v>0.07</v>
      </c>
      <c r="J311" s="86">
        <v>0.12</v>
      </c>
      <c r="K311" s="86">
        <v>1.3</v>
      </c>
      <c r="L311" s="85">
        <v>0.015</v>
      </c>
      <c r="M311" s="85">
        <v>0.006</v>
      </c>
      <c r="N311" s="85"/>
      <c r="O311" s="85">
        <v>0.035</v>
      </c>
      <c r="P311" s="85">
        <v>0.01</v>
      </c>
      <c r="Q311" s="85">
        <v>0.03</v>
      </c>
      <c r="R311" s="85" t="s">
        <v>35</v>
      </c>
      <c r="S311" s="72"/>
      <c r="T311" s="86"/>
      <c r="U311" s="86"/>
      <c r="V311" s="86"/>
      <c r="W311" s="86"/>
      <c r="X311" s="72"/>
      <c r="Y311" s="53" t="s">
        <v>35</v>
      </c>
      <c r="Z311" s="28">
        <v>50</v>
      </c>
      <c r="AA311" s="53"/>
    </row>
    <row r="312" spans="1:27">
      <c r="A312" s="37">
        <v>308</v>
      </c>
      <c r="B312" s="28" t="s">
        <v>553</v>
      </c>
      <c r="C312" s="28" t="s">
        <v>33</v>
      </c>
      <c r="D312" s="28">
        <v>12.51</v>
      </c>
      <c r="E312" s="28">
        <v>25</v>
      </c>
      <c r="F312" s="28" t="s">
        <v>555</v>
      </c>
      <c r="G312" s="84" t="s">
        <v>501</v>
      </c>
      <c r="H312" s="28">
        <v>1522</v>
      </c>
      <c r="I312" s="85">
        <v>0.07</v>
      </c>
      <c r="J312" s="86">
        <v>0.15</v>
      </c>
      <c r="K312" s="86">
        <v>1.4</v>
      </c>
      <c r="L312" s="85">
        <v>0.015</v>
      </c>
      <c r="M312" s="85">
        <v>0.006</v>
      </c>
      <c r="N312" s="85"/>
      <c r="O312" s="85">
        <v>0.035</v>
      </c>
      <c r="P312" s="85">
        <v>0.01</v>
      </c>
      <c r="Q312" s="85">
        <v>0.03</v>
      </c>
      <c r="R312" s="85" t="s">
        <v>35</v>
      </c>
      <c r="S312" s="72"/>
      <c r="T312" s="86"/>
      <c r="U312" s="86"/>
      <c r="V312" s="86"/>
      <c r="W312" s="86"/>
      <c r="X312" s="72"/>
      <c r="Y312" s="53" t="s">
        <v>35</v>
      </c>
      <c r="Z312" s="28">
        <v>50</v>
      </c>
      <c r="AA312" s="53"/>
    </row>
    <row r="313" spans="1:27">
      <c r="A313" s="37">
        <v>309</v>
      </c>
      <c r="B313" s="28" t="s">
        <v>556</v>
      </c>
      <c r="C313" s="28" t="s">
        <v>30</v>
      </c>
      <c r="D313" s="28">
        <v>3.5</v>
      </c>
      <c r="E313" s="28">
        <v>25.4</v>
      </c>
      <c r="F313" s="28" t="s">
        <v>556</v>
      </c>
      <c r="G313" s="84" t="s">
        <v>501</v>
      </c>
      <c r="H313" s="28">
        <v>1519</v>
      </c>
      <c r="I313" s="85">
        <v>0.16</v>
      </c>
      <c r="J313" s="86">
        <v>0.1</v>
      </c>
      <c r="K313" s="86">
        <v>0.6</v>
      </c>
      <c r="L313" s="85">
        <v>0.02</v>
      </c>
      <c r="M313" s="85">
        <v>0.015</v>
      </c>
      <c r="N313" s="85" t="s">
        <v>35</v>
      </c>
      <c r="O313" s="85" t="s">
        <v>35</v>
      </c>
      <c r="P313" s="85" t="s">
        <v>35</v>
      </c>
      <c r="Q313" s="85">
        <v>0.025</v>
      </c>
      <c r="R313" s="85" t="s">
        <v>35</v>
      </c>
      <c r="S313" s="72" t="s">
        <v>35</v>
      </c>
      <c r="T313" s="86"/>
      <c r="U313" s="86"/>
      <c r="V313" s="86"/>
      <c r="W313" s="86"/>
      <c r="X313" s="72" t="s">
        <v>35</v>
      </c>
      <c r="Y313" s="53" t="s">
        <v>35</v>
      </c>
      <c r="Z313" s="28"/>
      <c r="AA313" s="53"/>
    </row>
    <row r="314" spans="1:27">
      <c r="A314" s="37">
        <v>310</v>
      </c>
      <c r="B314" s="28" t="s">
        <v>557</v>
      </c>
      <c r="C314" s="28" t="s">
        <v>30</v>
      </c>
      <c r="D314" s="28">
        <v>4</v>
      </c>
      <c r="E314" s="28">
        <v>25.4</v>
      </c>
      <c r="F314" s="28" t="s">
        <v>557</v>
      </c>
      <c r="G314" s="84" t="s">
        <v>501</v>
      </c>
      <c r="H314" s="28">
        <v>1519</v>
      </c>
      <c r="I314" s="85">
        <v>0.16</v>
      </c>
      <c r="J314" s="86">
        <v>0.12</v>
      </c>
      <c r="K314" s="86">
        <v>0.75</v>
      </c>
      <c r="L314" s="85">
        <v>0.015</v>
      </c>
      <c r="M314" s="85">
        <v>0.006</v>
      </c>
      <c r="N314" s="85" t="s">
        <v>35</v>
      </c>
      <c r="O314" s="85" t="s">
        <v>35</v>
      </c>
      <c r="P314" s="85" t="s">
        <v>35</v>
      </c>
      <c r="Q314" s="85">
        <v>0.025</v>
      </c>
      <c r="R314" s="85" t="s">
        <v>35</v>
      </c>
      <c r="S314" s="72" t="s">
        <v>35</v>
      </c>
      <c r="T314" s="86"/>
      <c r="U314" s="86"/>
      <c r="V314" s="86"/>
      <c r="W314" s="86"/>
      <c r="X314" s="72" t="s">
        <v>35</v>
      </c>
      <c r="Y314" s="53" t="s">
        <v>35</v>
      </c>
      <c r="Z314" s="28">
        <v>45</v>
      </c>
      <c r="AA314" s="53" t="s">
        <v>35</v>
      </c>
    </row>
    <row r="315" spans="1:27">
      <c r="A315" s="37">
        <v>311</v>
      </c>
      <c r="B315" s="28" t="s">
        <v>558</v>
      </c>
      <c r="C315" s="28" t="s">
        <v>30</v>
      </c>
      <c r="D315" s="28">
        <v>4</v>
      </c>
      <c r="E315" s="28">
        <v>12.5</v>
      </c>
      <c r="F315" s="28" t="s">
        <v>559</v>
      </c>
      <c r="G315" s="84" t="s">
        <v>501</v>
      </c>
      <c r="H315" s="28">
        <v>1521</v>
      </c>
      <c r="I315" s="85">
        <v>0.07</v>
      </c>
      <c r="J315" s="86">
        <v>0.2</v>
      </c>
      <c r="K315" s="86">
        <v>1.2</v>
      </c>
      <c r="L315" s="85">
        <v>0.015</v>
      </c>
      <c r="M315" s="85">
        <v>0.006</v>
      </c>
      <c r="N315" s="85"/>
      <c r="O315" s="85"/>
      <c r="P315" s="85"/>
      <c r="Q315" s="85">
        <v>0.03</v>
      </c>
      <c r="R315" s="85"/>
      <c r="S315" s="72">
        <v>0.01</v>
      </c>
      <c r="T315" s="86"/>
      <c r="U315" s="86"/>
      <c r="V315" s="86" t="s">
        <v>35</v>
      </c>
      <c r="W315" s="86"/>
      <c r="X315" s="72" t="s">
        <v>35</v>
      </c>
      <c r="Y315" s="53" t="s">
        <v>35</v>
      </c>
      <c r="Z315" s="28" t="s">
        <v>35</v>
      </c>
      <c r="AA315" s="53"/>
    </row>
    <row r="316" spans="1:27">
      <c r="A316" s="37">
        <v>312</v>
      </c>
      <c r="B316" s="28" t="s">
        <v>558</v>
      </c>
      <c r="C316" s="28" t="s">
        <v>33</v>
      </c>
      <c r="D316" s="28">
        <v>12.51</v>
      </c>
      <c r="E316" s="28">
        <v>25</v>
      </c>
      <c r="F316" s="28" t="s">
        <v>560</v>
      </c>
      <c r="G316" s="84" t="s">
        <v>501</v>
      </c>
      <c r="H316" s="28">
        <v>1521</v>
      </c>
      <c r="I316" s="85">
        <v>0.07</v>
      </c>
      <c r="J316" s="86">
        <v>0.2</v>
      </c>
      <c r="K316" s="86">
        <v>1.3</v>
      </c>
      <c r="L316" s="85">
        <v>0.015</v>
      </c>
      <c r="M316" s="85">
        <v>0.006</v>
      </c>
      <c r="N316" s="85"/>
      <c r="O316" s="85"/>
      <c r="P316" s="85"/>
      <c r="Q316" s="85">
        <v>0.03</v>
      </c>
      <c r="R316" s="85"/>
      <c r="S316" s="72">
        <v>0.01</v>
      </c>
      <c r="T316" s="86"/>
      <c r="U316" s="86"/>
      <c r="V316" s="86" t="s">
        <v>35</v>
      </c>
      <c r="W316" s="86"/>
      <c r="X316" s="72" t="s">
        <v>35</v>
      </c>
      <c r="Y316" s="53" t="s">
        <v>35</v>
      </c>
      <c r="Z316" s="28" t="s">
        <v>35</v>
      </c>
      <c r="AA316" s="53"/>
    </row>
    <row r="317" spans="1:27">
      <c r="A317" s="37">
        <v>313</v>
      </c>
      <c r="B317" s="28" t="s">
        <v>561</v>
      </c>
      <c r="C317" s="28" t="s">
        <v>30</v>
      </c>
      <c r="D317" s="28">
        <v>4</v>
      </c>
      <c r="E317" s="28">
        <v>12.5</v>
      </c>
      <c r="F317" s="28" t="s">
        <v>562</v>
      </c>
      <c r="G317" s="84" t="s">
        <v>501</v>
      </c>
      <c r="H317" s="28">
        <v>1521</v>
      </c>
      <c r="I317" s="85">
        <v>0.07</v>
      </c>
      <c r="J317" s="86">
        <v>0.12</v>
      </c>
      <c r="K317" s="86">
        <v>1.3</v>
      </c>
      <c r="L317" s="85">
        <v>0.015</v>
      </c>
      <c r="M317" s="85">
        <v>0.006</v>
      </c>
      <c r="N317" s="85"/>
      <c r="O317" s="85">
        <v>0.035</v>
      </c>
      <c r="P317" s="85">
        <v>0.01</v>
      </c>
      <c r="Q317" s="85">
        <v>0.03</v>
      </c>
      <c r="R317" s="85" t="s">
        <v>35</v>
      </c>
      <c r="S317" s="72"/>
      <c r="T317" s="86"/>
      <c r="U317" s="86"/>
      <c r="V317" s="86"/>
      <c r="W317" s="86"/>
      <c r="X317" s="72"/>
      <c r="Y317" s="53" t="s">
        <v>35</v>
      </c>
      <c r="Z317" s="28">
        <v>50</v>
      </c>
      <c r="AA317" s="53"/>
    </row>
    <row r="318" spans="1:27">
      <c r="A318" s="37">
        <v>314</v>
      </c>
      <c r="B318" s="28" t="s">
        <v>561</v>
      </c>
      <c r="C318" s="28" t="s">
        <v>33</v>
      </c>
      <c r="D318" s="28">
        <v>12.51</v>
      </c>
      <c r="E318" s="28">
        <v>25</v>
      </c>
      <c r="F318" s="28" t="s">
        <v>563</v>
      </c>
      <c r="G318" s="84" t="s">
        <v>501</v>
      </c>
      <c r="H318" s="28">
        <v>1522</v>
      </c>
      <c r="I318" s="85">
        <v>0.07</v>
      </c>
      <c r="J318" s="86">
        <v>0.15</v>
      </c>
      <c r="K318" s="86">
        <v>1.4</v>
      </c>
      <c r="L318" s="85">
        <v>0.015</v>
      </c>
      <c r="M318" s="85">
        <v>0.006</v>
      </c>
      <c r="N318" s="85"/>
      <c r="O318" s="85">
        <v>0.035</v>
      </c>
      <c r="P318" s="85">
        <v>0.01</v>
      </c>
      <c r="Q318" s="85">
        <v>0.03</v>
      </c>
      <c r="R318" s="85" t="s">
        <v>35</v>
      </c>
      <c r="S318" s="72"/>
      <c r="T318" s="86"/>
      <c r="U318" s="86"/>
      <c r="V318" s="86"/>
      <c r="W318" s="86"/>
      <c r="X318" s="72"/>
      <c r="Y318" s="53" t="s">
        <v>35</v>
      </c>
      <c r="Z318" s="28">
        <v>50</v>
      </c>
      <c r="AA318" s="53"/>
    </row>
    <row r="321" spans="20:20">
      <c r="T321" s="68">
        <f>0.08/0.002</f>
        <v>40</v>
      </c>
    </row>
  </sheetData>
  <mergeCells count="18">
    <mergeCell ref="I2:Z2"/>
    <mergeCell ref="A2:A3"/>
    <mergeCell ref="B2:B3"/>
    <mergeCell ref="C2:C3"/>
    <mergeCell ref="D2:D3"/>
    <mergeCell ref="E2:E3"/>
    <mergeCell ref="F2:F3"/>
    <mergeCell ref="G2:G3"/>
    <mergeCell ref="H2:H3"/>
    <mergeCell ref="AA2:AA3"/>
    <mergeCell ref="AA273:AA274"/>
    <mergeCell ref="AA279:AA280"/>
    <mergeCell ref="AA285:AA286"/>
    <mergeCell ref="AA291:AA292"/>
    <mergeCell ref="AA297:AA298"/>
    <mergeCell ref="AA303:AA304"/>
    <mergeCell ref="AA309:AA310"/>
    <mergeCell ref="AA315:AA3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8"/>
  <sheetViews>
    <sheetView workbookViewId="0">
      <selection activeCell="K5" sqref="K5:K318"/>
    </sheetView>
  </sheetViews>
  <sheetFormatPr defaultColWidth="9" defaultRowHeight="14"/>
  <cols>
    <col min="1" max="1" width="7.4" style="36" customWidth="1"/>
    <col min="2" max="2" width="12.1818181818182" style="36" customWidth="1"/>
    <col min="3" max="4" width="8.72727272727273" style="37" customWidth="1"/>
    <col min="5" max="5" width="7.01818181818182" style="37" customWidth="1"/>
    <col min="6" max="6" width="13.5454545454545" style="37" customWidth="1"/>
    <col min="7" max="7" width="34.5363636363636" style="36" customWidth="1"/>
    <col min="8" max="8" width="8.72727272727273" style="37" customWidth="1"/>
    <col min="9" max="17" width="7.66363636363636" style="36" customWidth="1"/>
  </cols>
  <sheetData>
    <row r="1" ht="15" spans="1:17">
      <c r="B1" s="38"/>
      <c r="C1" s="39"/>
      <c r="D1" s="40"/>
      <c r="E1" s="40"/>
      <c r="F1" s="41"/>
      <c r="G1" s="42"/>
      <c r="H1" s="37"/>
      <c r="I1" s="43"/>
      <c r="J1" s="43"/>
      <c r="K1" s="43"/>
      <c r="L1" s="43"/>
      <c r="M1" s="43"/>
      <c r="N1" s="43"/>
      <c r="O1" s="43"/>
      <c r="P1" s="43"/>
      <c r="Q1" s="43"/>
    </row>
    <row r="2" spans="1:17">
      <c r="A2" s="28" t="s">
        <v>0</v>
      </c>
      <c r="B2" s="44" t="s">
        <v>564</v>
      </c>
      <c r="C2" s="44" t="s">
        <v>565</v>
      </c>
      <c r="D2" s="44" t="s">
        <v>565</v>
      </c>
      <c r="E2" s="44" t="s">
        <v>565</v>
      </c>
      <c r="F2" s="44" t="s">
        <v>566</v>
      </c>
      <c r="G2" s="44" t="s">
        <v>6</v>
      </c>
      <c r="H2" s="44" t="s">
        <v>7</v>
      </c>
      <c r="I2" s="45" t="s">
        <v>567</v>
      </c>
      <c r="J2" s="45" t="s">
        <v>568</v>
      </c>
      <c r="K2" s="45" t="s">
        <v>569</v>
      </c>
      <c r="L2" s="45" t="s">
        <v>570</v>
      </c>
      <c r="M2" s="45" t="s">
        <v>571</v>
      </c>
      <c r="N2" s="45" t="s">
        <v>572</v>
      </c>
      <c r="O2" s="45" t="s">
        <v>573</v>
      </c>
      <c r="P2" s="45" t="s">
        <v>574</v>
      </c>
      <c r="Q2" s="45" t="s">
        <v>575</v>
      </c>
    </row>
    <row r="3" ht="36" customHeight="1" spans="1:17">
      <c r="A3" s="28"/>
      <c r="B3" s="46"/>
      <c r="C3" s="44"/>
      <c r="D3" s="44"/>
      <c r="E3" s="44"/>
      <c r="F3" s="44"/>
      <c r="G3" s="46"/>
      <c r="H3" s="44"/>
      <c r="I3" s="47"/>
      <c r="J3" s="47"/>
      <c r="K3" s="47"/>
      <c r="L3" s="47"/>
      <c r="M3" s="47"/>
      <c r="N3" s="47"/>
      <c r="O3" s="47"/>
      <c r="P3" s="47"/>
      <c r="Q3" s="47"/>
    </row>
    <row r="4" ht="17.5" spans="1:17">
      <c r="B4" s="48"/>
      <c r="C4" s="45"/>
      <c r="D4" s="45"/>
      <c r="E4" s="45"/>
      <c r="F4" s="45"/>
      <c r="G4" s="49"/>
      <c r="H4" s="44"/>
      <c r="I4" s="49"/>
      <c r="J4" s="49"/>
      <c r="K4" s="49"/>
      <c r="L4" s="49"/>
      <c r="M4" s="49"/>
      <c r="N4" s="49"/>
      <c r="O4" s="49"/>
      <c r="P4" s="49"/>
      <c r="Q4" s="49"/>
    </row>
    <row r="5" spans="1:17">
      <c r="A5" s="50">
        <v>1</v>
      </c>
      <c r="B5" s="51" t="s">
        <v>29</v>
      </c>
      <c r="C5" s="51" t="s">
        <v>30</v>
      </c>
      <c r="D5" s="51">
        <v>1.5</v>
      </c>
      <c r="E5" s="51">
        <v>12</v>
      </c>
      <c r="F5" s="51" t="s">
        <v>31</v>
      </c>
      <c r="G5" s="52" t="s">
        <v>32</v>
      </c>
      <c r="H5" s="28">
        <v>1527</v>
      </c>
      <c r="I5" s="53">
        <f>VLOOKUP(F5,[1]终点成分!$A$5:$C$1000,2,0)</f>
        <v>0.0416666666666667</v>
      </c>
      <c r="J5" s="53">
        <f>VLOOKUP(F5,[1]终点成分!$A$5:$C$1000,3,0)</f>
        <v>0.103</v>
      </c>
      <c r="K5" s="28">
        <v>0</v>
      </c>
      <c r="L5" s="53">
        <v>0.75</v>
      </c>
      <c r="M5" s="31">
        <v>0.98</v>
      </c>
      <c r="N5" s="31">
        <v>0.98</v>
      </c>
      <c r="O5" s="31">
        <v>0.98</v>
      </c>
      <c r="P5" s="31">
        <v>0.7</v>
      </c>
      <c r="Q5" s="31">
        <v>0.96</v>
      </c>
    </row>
    <row r="6" spans="1:17">
      <c r="A6" s="50">
        <v>2</v>
      </c>
      <c r="B6" s="51" t="s">
        <v>29</v>
      </c>
      <c r="C6" s="51" t="s">
        <v>33</v>
      </c>
      <c r="D6" s="51">
        <v>12.01</v>
      </c>
      <c r="E6" s="51">
        <v>28</v>
      </c>
      <c r="F6" s="51" t="s">
        <v>34</v>
      </c>
      <c r="G6" s="52" t="s">
        <v>32</v>
      </c>
      <c r="H6" s="28">
        <v>1527</v>
      </c>
      <c r="I6" s="54">
        <v>0.0416666666666667</v>
      </c>
      <c r="J6" s="54">
        <v>0.103</v>
      </c>
      <c r="K6" s="28">
        <v>0</v>
      </c>
      <c r="L6" s="53">
        <v>0.75</v>
      </c>
      <c r="M6" s="31">
        <v>0.98</v>
      </c>
      <c r="N6" s="31">
        <v>0.98</v>
      </c>
      <c r="O6" s="31">
        <v>0.98</v>
      </c>
      <c r="P6" s="31">
        <v>0.7</v>
      </c>
      <c r="Q6" s="31">
        <v>0.96</v>
      </c>
    </row>
    <row r="7" spans="1:17">
      <c r="A7" s="50">
        <v>3</v>
      </c>
      <c r="B7" s="51" t="s">
        <v>36</v>
      </c>
      <c r="C7" s="51" t="s">
        <v>30</v>
      </c>
      <c r="D7" s="51">
        <v>1.45</v>
      </c>
      <c r="E7" s="51">
        <v>12</v>
      </c>
      <c r="F7" s="51" t="s">
        <v>37</v>
      </c>
      <c r="G7" s="52" t="s">
        <v>38</v>
      </c>
      <c r="H7" s="28">
        <v>1519</v>
      </c>
      <c r="I7" s="53">
        <f>VLOOKUP(F7,[1]终点成分!$A$5:$C$1000,2,0)</f>
        <v>0.0729366696191319</v>
      </c>
      <c r="J7" s="53">
        <f>VLOOKUP(F7,[1]终点成分!$A$5:$C$1000,3,0)</f>
        <v>0.122292294065545</v>
      </c>
      <c r="K7" s="28">
        <v>0</v>
      </c>
      <c r="L7" s="53">
        <v>0.75</v>
      </c>
      <c r="M7" s="31">
        <v>0.98</v>
      </c>
      <c r="N7" s="31">
        <v>0.98</v>
      </c>
      <c r="O7" s="31">
        <v>0.98</v>
      </c>
      <c r="P7" s="31">
        <v>0.7</v>
      </c>
      <c r="Q7" s="31">
        <v>0.96</v>
      </c>
    </row>
    <row r="8" spans="1:17">
      <c r="A8" s="50">
        <v>4</v>
      </c>
      <c r="B8" s="51" t="s">
        <v>36</v>
      </c>
      <c r="C8" s="51" t="s">
        <v>33</v>
      </c>
      <c r="D8" s="51">
        <v>12.01</v>
      </c>
      <c r="E8" s="51">
        <v>28</v>
      </c>
      <c r="F8" s="51" t="s">
        <v>39</v>
      </c>
      <c r="G8" s="52" t="s">
        <v>38</v>
      </c>
      <c r="H8" s="28">
        <v>1519</v>
      </c>
      <c r="I8" s="53">
        <f>VLOOKUP(F8,[1]终点成分!$A$5:$C$1000,2,0)</f>
        <v>0.0744058577405859</v>
      </c>
      <c r="J8" s="53">
        <f>VLOOKUP(F8,[1]终点成分!$A$5:$C$1000,3,0)</f>
        <v>0.122644351464435</v>
      </c>
      <c r="K8" s="28">
        <v>0</v>
      </c>
      <c r="L8" s="53">
        <v>0.75</v>
      </c>
      <c r="M8" s="31">
        <v>0.98</v>
      </c>
      <c r="N8" s="31">
        <v>0.98</v>
      </c>
      <c r="O8" s="31">
        <v>0.98</v>
      </c>
      <c r="P8" s="31">
        <v>0.7</v>
      </c>
      <c r="Q8" s="31">
        <v>0.96</v>
      </c>
    </row>
    <row r="9" spans="1:17">
      <c r="A9" s="50">
        <v>5</v>
      </c>
      <c r="B9" s="51" t="s">
        <v>40</v>
      </c>
      <c r="C9" s="51" t="s">
        <v>30</v>
      </c>
      <c r="D9" s="51">
        <v>1.6</v>
      </c>
      <c r="E9" s="51">
        <v>12</v>
      </c>
      <c r="F9" s="51" t="s">
        <v>41</v>
      </c>
      <c r="G9" s="52" t="s">
        <v>42</v>
      </c>
      <c r="H9" s="28">
        <v>1519</v>
      </c>
      <c r="I9" s="53">
        <f>VLOOKUP(F9,[1]终点成分!$A$5:$C$1000,2,0)</f>
        <v>0.068953488372093</v>
      </c>
      <c r="J9" s="53">
        <f>VLOOKUP(F9,[1]终点成分!$A$5:$C$1000,3,0)</f>
        <v>0.119093023255814</v>
      </c>
      <c r="K9" s="28">
        <v>0</v>
      </c>
      <c r="L9" s="53">
        <v>0.8</v>
      </c>
      <c r="M9" s="31">
        <v>0.98</v>
      </c>
      <c r="N9" s="31">
        <v>0.98</v>
      </c>
      <c r="O9" s="31">
        <v>0.98</v>
      </c>
      <c r="P9" s="31">
        <v>0.7</v>
      </c>
      <c r="Q9" s="31">
        <v>0.96</v>
      </c>
    </row>
    <row r="10" spans="1:17">
      <c r="A10" s="50">
        <v>6</v>
      </c>
      <c r="B10" s="51" t="s">
        <v>40</v>
      </c>
      <c r="C10" s="51" t="s">
        <v>33</v>
      </c>
      <c r="D10" s="51">
        <v>12.01</v>
      </c>
      <c r="E10" s="51">
        <v>25.4</v>
      </c>
      <c r="F10" s="51" t="s">
        <v>43</v>
      </c>
      <c r="G10" s="52" t="s">
        <v>42</v>
      </c>
      <c r="H10" s="28">
        <v>1519</v>
      </c>
      <c r="I10" s="53">
        <f>VLOOKUP(F10,[1]终点成分!$A$5:$C$1000,2,0)</f>
        <v>0.0625</v>
      </c>
      <c r="J10" s="53">
        <f>VLOOKUP(F10,[1]终点成分!$A$5:$C$1000,3,0)</f>
        <v>0.1289</v>
      </c>
      <c r="K10" s="28">
        <v>0</v>
      </c>
      <c r="L10" s="53">
        <v>0.8</v>
      </c>
      <c r="M10" s="31">
        <v>0.98</v>
      </c>
      <c r="N10" s="31">
        <v>0.98</v>
      </c>
      <c r="O10" s="31">
        <v>0.98</v>
      </c>
      <c r="P10" s="31">
        <v>0.7</v>
      </c>
      <c r="Q10" s="31">
        <v>0.96</v>
      </c>
    </row>
    <row r="11" spans="1:17">
      <c r="A11" s="50">
        <v>7</v>
      </c>
      <c r="B11" s="51" t="s">
        <v>44</v>
      </c>
      <c r="C11" s="51" t="s">
        <v>30</v>
      </c>
      <c r="D11" s="51">
        <v>1.45</v>
      </c>
      <c r="E11" s="51">
        <v>12</v>
      </c>
      <c r="F11" s="51" t="s">
        <v>37</v>
      </c>
      <c r="G11" s="52" t="s">
        <v>38</v>
      </c>
      <c r="H11" s="28">
        <v>1519</v>
      </c>
      <c r="I11" s="53">
        <f>VLOOKUP(F11,[1]终点成分!$A$5:$C$1000,2,0)</f>
        <v>0.0729366696191319</v>
      </c>
      <c r="J11" s="53">
        <f>VLOOKUP(F11,[1]终点成分!$A$5:$C$1000,3,0)</f>
        <v>0.122292294065545</v>
      </c>
      <c r="K11" s="28">
        <v>0</v>
      </c>
      <c r="L11" s="53">
        <v>0.75</v>
      </c>
      <c r="M11" s="31">
        <v>0.98</v>
      </c>
      <c r="N11" s="31">
        <v>0.98</v>
      </c>
      <c r="O11" s="31">
        <v>0.98</v>
      </c>
      <c r="P11" s="31">
        <v>0.7</v>
      </c>
      <c r="Q11" s="31">
        <v>0.96</v>
      </c>
    </row>
    <row r="12" spans="1:17">
      <c r="A12" s="50">
        <v>8</v>
      </c>
      <c r="B12" s="51" t="s">
        <v>44</v>
      </c>
      <c r="C12" s="51" t="s">
        <v>33</v>
      </c>
      <c r="D12" s="51">
        <v>12.01</v>
      </c>
      <c r="E12" s="51">
        <v>28</v>
      </c>
      <c r="F12" s="51" t="s">
        <v>39</v>
      </c>
      <c r="G12" s="52" t="s">
        <v>38</v>
      </c>
      <c r="H12" s="28">
        <v>1519</v>
      </c>
      <c r="I12" s="53">
        <f>VLOOKUP(F12,[1]终点成分!$A$5:$C$1000,2,0)</f>
        <v>0.0744058577405859</v>
      </c>
      <c r="J12" s="53">
        <f>VLOOKUP(F12,[1]终点成分!$A$5:$C$1000,3,0)</f>
        <v>0.122644351464435</v>
      </c>
      <c r="K12" s="28">
        <v>0</v>
      </c>
      <c r="L12" s="53">
        <v>0.75</v>
      </c>
      <c r="M12" s="31">
        <v>0.98</v>
      </c>
      <c r="N12" s="31">
        <v>0.98</v>
      </c>
      <c r="O12" s="31">
        <v>0.98</v>
      </c>
      <c r="P12" s="31">
        <v>0.7</v>
      </c>
      <c r="Q12" s="31">
        <v>0.96</v>
      </c>
    </row>
    <row r="13" spans="1:17">
      <c r="A13" s="50">
        <v>9</v>
      </c>
      <c r="B13" s="51" t="s">
        <v>45</v>
      </c>
      <c r="C13" s="51" t="s">
        <v>30</v>
      </c>
      <c r="D13" s="51">
        <v>1.45</v>
      </c>
      <c r="E13" s="51">
        <v>12</v>
      </c>
      <c r="F13" s="51" t="s">
        <v>37</v>
      </c>
      <c r="G13" s="52" t="s">
        <v>38</v>
      </c>
      <c r="H13" s="28">
        <v>1519</v>
      </c>
      <c r="I13" s="53">
        <f>VLOOKUP(F13,[1]终点成分!$A$5:$C$1000,2,0)</f>
        <v>0.0729366696191319</v>
      </c>
      <c r="J13" s="53">
        <f>VLOOKUP(F13,[1]终点成分!$A$5:$C$1000,3,0)</f>
        <v>0.122292294065545</v>
      </c>
      <c r="K13" s="28">
        <v>0</v>
      </c>
      <c r="L13" s="53">
        <v>0.75</v>
      </c>
      <c r="M13" s="31">
        <v>0.98</v>
      </c>
      <c r="N13" s="31">
        <v>0.98</v>
      </c>
      <c r="O13" s="31">
        <v>0.98</v>
      </c>
      <c r="P13" s="31">
        <v>0.7</v>
      </c>
      <c r="Q13" s="31">
        <v>0.96</v>
      </c>
    </row>
    <row r="14" spans="1:17">
      <c r="A14" s="50">
        <v>10</v>
      </c>
      <c r="B14" s="51" t="s">
        <v>45</v>
      </c>
      <c r="C14" s="51" t="s">
        <v>33</v>
      </c>
      <c r="D14" s="51">
        <v>12.01</v>
      </c>
      <c r="E14" s="51">
        <v>28</v>
      </c>
      <c r="F14" s="51" t="s">
        <v>39</v>
      </c>
      <c r="G14" s="52" t="s">
        <v>38</v>
      </c>
      <c r="H14" s="28">
        <v>1519</v>
      </c>
      <c r="I14" s="53">
        <f>VLOOKUP(F14,[1]终点成分!$A$5:$C$1000,2,0)</f>
        <v>0.0744058577405859</v>
      </c>
      <c r="J14" s="53">
        <f>VLOOKUP(F14,[1]终点成分!$A$5:$C$1000,3,0)</f>
        <v>0.122644351464435</v>
      </c>
      <c r="K14" s="28">
        <v>0</v>
      </c>
      <c r="L14" s="53">
        <v>0.75</v>
      </c>
      <c r="M14" s="31">
        <v>0.98</v>
      </c>
      <c r="N14" s="31">
        <v>0.98</v>
      </c>
      <c r="O14" s="31">
        <v>0.98</v>
      </c>
      <c r="P14" s="31">
        <v>0.7</v>
      </c>
      <c r="Q14" s="31">
        <v>0.96</v>
      </c>
    </row>
    <row r="15" spans="1:17">
      <c r="A15" s="50">
        <v>11</v>
      </c>
      <c r="B15" s="51" t="s">
        <v>46</v>
      </c>
      <c r="C15" s="51" t="s">
        <v>30</v>
      </c>
      <c r="D15" s="51">
        <v>1.45</v>
      </c>
      <c r="E15" s="51">
        <v>12</v>
      </c>
      <c r="F15" s="51" t="s">
        <v>37</v>
      </c>
      <c r="G15" s="52" t="s">
        <v>38</v>
      </c>
      <c r="H15" s="28">
        <v>1519</v>
      </c>
      <c r="I15" s="53">
        <f>VLOOKUP(F15,[1]终点成分!$A$5:$C$1000,2,0)</f>
        <v>0.0729366696191319</v>
      </c>
      <c r="J15" s="53">
        <f>VLOOKUP(F15,[1]终点成分!$A$5:$C$1000,3,0)</f>
        <v>0.122292294065545</v>
      </c>
      <c r="K15" s="28">
        <v>0</v>
      </c>
      <c r="L15" s="53">
        <v>0.75</v>
      </c>
      <c r="M15" s="31">
        <v>0.98</v>
      </c>
      <c r="N15" s="31">
        <v>0.98</v>
      </c>
      <c r="O15" s="31">
        <v>0.98</v>
      </c>
      <c r="P15" s="31">
        <v>0.7</v>
      </c>
      <c r="Q15" s="31">
        <v>0.96</v>
      </c>
    </row>
    <row r="16" spans="1:17">
      <c r="A16" s="50">
        <v>12</v>
      </c>
      <c r="B16" s="51" t="s">
        <v>46</v>
      </c>
      <c r="C16" s="51" t="s">
        <v>33</v>
      </c>
      <c r="D16" s="51">
        <v>12.01</v>
      </c>
      <c r="E16" s="51">
        <v>28</v>
      </c>
      <c r="F16" s="51" t="s">
        <v>39</v>
      </c>
      <c r="G16" s="52" t="s">
        <v>38</v>
      </c>
      <c r="H16" s="28">
        <v>1519</v>
      </c>
      <c r="I16" s="53">
        <f>VLOOKUP(F16,[1]终点成分!$A$5:$C$1000,2,0)</f>
        <v>0.0744058577405859</v>
      </c>
      <c r="J16" s="53">
        <f>VLOOKUP(F16,[1]终点成分!$A$5:$C$1000,3,0)</f>
        <v>0.122644351464435</v>
      </c>
      <c r="K16" s="28">
        <v>0</v>
      </c>
      <c r="L16" s="53">
        <v>0.75</v>
      </c>
      <c r="M16" s="31">
        <v>0.98</v>
      </c>
      <c r="N16" s="31">
        <v>0.98</v>
      </c>
      <c r="O16" s="31">
        <v>0.98</v>
      </c>
      <c r="P16" s="31">
        <v>0.7</v>
      </c>
      <c r="Q16" s="31">
        <v>0.96</v>
      </c>
    </row>
    <row r="17" spans="1:17">
      <c r="A17" s="50">
        <v>13</v>
      </c>
      <c r="B17" s="51" t="s">
        <v>47</v>
      </c>
      <c r="C17" s="51" t="s">
        <v>30</v>
      </c>
      <c r="D17" s="51">
        <v>1.6</v>
      </c>
      <c r="E17" s="51">
        <v>5</v>
      </c>
      <c r="F17" s="51" t="s">
        <v>48</v>
      </c>
      <c r="G17" s="52" t="s">
        <v>49</v>
      </c>
      <c r="H17" s="28">
        <v>1520</v>
      </c>
      <c r="I17" s="54">
        <v>0.0744058577405859</v>
      </c>
      <c r="J17" s="54">
        <v>0.122644351464435</v>
      </c>
      <c r="K17" s="28">
        <v>0</v>
      </c>
      <c r="L17" s="53">
        <v>0.8</v>
      </c>
      <c r="M17" s="31">
        <v>0.98</v>
      </c>
      <c r="N17" s="31">
        <v>0.98</v>
      </c>
      <c r="O17" s="31">
        <v>0.98</v>
      </c>
      <c r="P17" s="31">
        <v>0.7</v>
      </c>
      <c r="Q17" s="31">
        <v>0.96</v>
      </c>
    </row>
    <row r="18" spans="1:17">
      <c r="A18" s="50">
        <v>14</v>
      </c>
      <c r="B18" s="51" t="s">
        <v>47</v>
      </c>
      <c r="C18" s="51" t="s">
        <v>33</v>
      </c>
      <c r="D18" s="51">
        <v>5.01</v>
      </c>
      <c r="E18" s="51">
        <v>14</v>
      </c>
      <c r="F18" s="51" t="s">
        <v>50</v>
      </c>
      <c r="G18" s="52" t="s">
        <v>49</v>
      </c>
      <c r="H18" s="28">
        <v>1520</v>
      </c>
      <c r="I18" s="54">
        <v>0.0744058577405859</v>
      </c>
      <c r="J18" s="54">
        <v>0.122644351464435</v>
      </c>
      <c r="K18" s="28">
        <v>0</v>
      </c>
      <c r="L18" s="53">
        <v>0.8</v>
      </c>
      <c r="M18" s="31">
        <v>0.98</v>
      </c>
      <c r="N18" s="31">
        <v>0.98</v>
      </c>
      <c r="O18" s="31">
        <v>0.98</v>
      </c>
      <c r="P18" s="31">
        <v>0.7</v>
      </c>
      <c r="Q18" s="31">
        <v>0.96</v>
      </c>
    </row>
    <row r="19" spans="1:17">
      <c r="A19" s="50">
        <v>15</v>
      </c>
      <c r="B19" s="51" t="s">
        <v>51</v>
      </c>
      <c r="C19" s="51" t="s">
        <v>30</v>
      </c>
      <c r="D19" s="51">
        <v>3</v>
      </c>
      <c r="E19" s="51">
        <v>12</v>
      </c>
      <c r="F19" s="51" t="s">
        <v>52</v>
      </c>
      <c r="G19" s="52" t="s">
        <v>53</v>
      </c>
      <c r="H19" s="28">
        <v>1519</v>
      </c>
      <c r="I19" s="53">
        <f>VLOOKUP(F19,[1]终点成分!$A$5:$C$1000,2,0)</f>
        <v>0.073875</v>
      </c>
      <c r="J19" s="53">
        <f>VLOOKUP(F19,[1]终点成分!$A$5:$C$1000,3,0)</f>
        <v>0.0935</v>
      </c>
      <c r="K19" s="28">
        <v>0</v>
      </c>
      <c r="L19" s="53">
        <v>0.75</v>
      </c>
      <c r="M19" s="31">
        <v>0.98</v>
      </c>
      <c r="N19" s="31">
        <v>0.98</v>
      </c>
      <c r="O19" s="31">
        <v>0.98</v>
      </c>
      <c r="P19" s="31">
        <v>0.7</v>
      </c>
      <c r="Q19" s="31">
        <v>0.96</v>
      </c>
    </row>
    <row r="20" spans="1:17">
      <c r="A20" s="50">
        <v>16</v>
      </c>
      <c r="B20" s="51" t="s">
        <v>51</v>
      </c>
      <c r="C20" s="51" t="s">
        <v>33</v>
      </c>
      <c r="D20" s="51">
        <v>12.01</v>
      </c>
      <c r="E20" s="51">
        <v>25.4</v>
      </c>
      <c r="F20" s="51" t="s">
        <v>54</v>
      </c>
      <c r="G20" s="52" t="s">
        <v>53</v>
      </c>
      <c r="H20" s="28">
        <v>1519</v>
      </c>
      <c r="I20" s="54">
        <v>0.073875</v>
      </c>
      <c r="J20" s="54">
        <v>0.0935</v>
      </c>
      <c r="K20" s="28">
        <v>0</v>
      </c>
      <c r="L20" s="53">
        <v>0.75</v>
      </c>
      <c r="M20" s="31">
        <v>0.98</v>
      </c>
      <c r="N20" s="31">
        <v>0.98</v>
      </c>
      <c r="O20" s="31">
        <v>0.98</v>
      </c>
      <c r="P20" s="31">
        <v>0.7</v>
      </c>
      <c r="Q20" s="31">
        <v>0.96</v>
      </c>
    </row>
    <row r="21" spans="1:17">
      <c r="A21" s="50">
        <v>17</v>
      </c>
      <c r="B21" s="51" t="s">
        <v>55</v>
      </c>
      <c r="C21" s="51" t="s">
        <v>30</v>
      </c>
      <c r="D21" s="51">
        <v>3</v>
      </c>
      <c r="E21" s="51">
        <v>12</v>
      </c>
      <c r="F21" s="51" t="s">
        <v>56</v>
      </c>
      <c r="G21" s="52" t="s">
        <v>57</v>
      </c>
      <c r="H21" s="28">
        <v>1519</v>
      </c>
      <c r="I21" s="53">
        <f>VLOOKUP(F21,[1]终点成分!$A$5:$C$1000,2,0)</f>
        <v>0.0733050847457627</v>
      </c>
      <c r="J21" s="53">
        <f>VLOOKUP(F21,[1]终点成分!$A$5:$C$1000,3,0)</f>
        <v>0.122593220338983</v>
      </c>
      <c r="K21" s="28">
        <v>0</v>
      </c>
      <c r="L21" s="53">
        <v>0.75</v>
      </c>
      <c r="M21" s="31">
        <v>0.98</v>
      </c>
      <c r="N21" s="31">
        <v>0.98</v>
      </c>
      <c r="O21" s="31">
        <v>0.98</v>
      </c>
      <c r="P21" s="31">
        <v>0.7</v>
      </c>
      <c r="Q21" s="31">
        <v>0.96</v>
      </c>
    </row>
    <row r="22" spans="1:17">
      <c r="A22" s="50">
        <v>18</v>
      </c>
      <c r="B22" s="51" t="s">
        <v>55</v>
      </c>
      <c r="C22" s="51" t="s">
        <v>33</v>
      </c>
      <c r="D22" s="51">
        <v>12.01</v>
      </c>
      <c r="E22" s="51">
        <v>25.4</v>
      </c>
      <c r="F22" s="51" t="s">
        <v>58</v>
      </c>
      <c r="G22" s="52" t="s">
        <v>57</v>
      </c>
      <c r="H22" s="28">
        <v>1519</v>
      </c>
      <c r="I22" s="53">
        <f>VLOOKUP(F22,[1]终点成分!$A$5:$C$1000,2,0)</f>
        <v>0.0732727272727273</v>
      </c>
      <c r="J22" s="53">
        <f>VLOOKUP(F22,[1]终点成分!$A$5:$C$1000,3,0)</f>
        <v>0.124636363636364</v>
      </c>
      <c r="K22" s="28">
        <v>0</v>
      </c>
      <c r="L22" s="53">
        <v>0.75</v>
      </c>
      <c r="M22" s="31">
        <v>0.98</v>
      </c>
      <c r="N22" s="31">
        <v>0.98</v>
      </c>
      <c r="O22" s="31">
        <v>0.98</v>
      </c>
      <c r="P22" s="31">
        <v>0.7</v>
      </c>
      <c r="Q22" s="31">
        <v>0.96</v>
      </c>
    </row>
    <row r="23" spans="1:17">
      <c r="A23" s="50">
        <v>19</v>
      </c>
      <c r="B23" s="51" t="s">
        <v>59</v>
      </c>
      <c r="C23" s="51" t="s">
        <v>30</v>
      </c>
      <c r="D23" s="51">
        <v>1.5</v>
      </c>
      <c r="E23" s="51">
        <v>28</v>
      </c>
      <c r="F23" s="51" t="s">
        <v>59</v>
      </c>
      <c r="G23" s="52" t="s">
        <v>60</v>
      </c>
      <c r="H23" s="28">
        <v>1519</v>
      </c>
      <c r="I23" s="53">
        <f>VLOOKUP(F23,[1]终点成分!$A$5:$C$1000,2,0)</f>
        <v>0.0757938517179025</v>
      </c>
      <c r="J23" s="53">
        <f>VLOOKUP(F23,[1]终点成分!$A$5:$C$1000,3,0)</f>
        <v>0.130618444846293</v>
      </c>
      <c r="K23" s="28">
        <v>0</v>
      </c>
      <c r="L23" s="53">
        <v>0.8</v>
      </c>
      <c r="M23" s="31">
        <v>0.98</v>
      </c>
      <c r="N23" s="31">
        <v>0.98</v>
      </c>
      <c r="O23" s="31">
        <v>0.98</v>
      </c>
      <c r="P23" s="31">
        <v>0.7</v>
      </c>
      <c r="Q23" s="31">
        <v>0.96</v>
      </c>
    </row>
    <row r="24" spans="1:17">
      <c r="A24" s="50">
        <v>20</v>
      </c>
      <c r="B24" s="51" t="s">
        <v>61</v>
      </c>
      <c r="C24" s="51" t="s">
        <v>30</v>
      </c>
      <c r="D24" s="51">
        <v>1.5</v>
      </c>
      <c r="E24" s="51">
        <v>12</v>
      </c>
      <c r="F24" s="51" t="s">
        <v>62</v>
      </c>
      <c r="G24" s="52" t="s">
        <v>63</v>
      </c>
      <c r="H24" s="28">
        <v>1519</v>
      </c>
      <c r="I24" s="53">
        <f>VLOOKUP(F24,[1]终点成分!$A$5:$C$1000,2,0)</f>
        <v>0.0703009259259259</v>
      </c>
      <c r="J24" s="53">
        <f>VLOOKUP(F24,[1]终点成分!$A$5:$C$1000,3,0)</f>
        <v>0.111680555555556</v>
      </c>
      <c r="K24" s="28">
        <v>0</v>
      </c>
      <c r="L24" s="53">
        <v>0.75</v>
      </c>
      <c r="M24" s="31">
        <v>0.98</v>
      </c>
      <c r="N24" s="31">
        <v>0.98</v>
      </c>
      <c r="O24" s="31">
        <v>0.98</v>
      </c>
      <c r="P24" s="31">
        <v>0.7</v>
      </c>
      <c r="Q24" s="31">
        <v>0.96</v>
      </c>
    </row>
    <row r="25" spans="1:17">
      <c r="A25" s="50">
        <v>21</v>
      </c>
      <c r="B25" s="51" t="s">
        <v>61</v>
      </c>
      <c r="C25" s="51" t="s">
        <v>33</v>
      </c>
      <c r="D25" s="51">
        <v>12.01</v>
      </c>
      <c r="E25" s="51">
        <v>25</v>
      </c>
      <c r="F25" s="51" t="s">
        <v>64</v>
      </c>
      <c r="G25" s="52" t="s">
        <v>63</v>
      </c>
      <c r="H25" s="28">
        <v>1519</v>
      </c>
      <c r="I25" s="53">
        <f>VLOOKUP(F25,[1]终点成分!$A$5:$C$1000,2,0)</f>
        <v>0.0686111111111111</v>
      </c>
      <c r="J25" s="53">
        <f>VLOOKUP(F25,[1]终点成分!$A$5:$C$1000,3,0)</f>
        <v>0.11275</v>
      </c>
      <c r="K25" s="28">
        <v>0</v>
      </c>
      <c r="L25" s="53">
        <v>0.75</v>
      </c>
      <c r="M25" s="31">
        <v>0.98</v>
      </c>
      <c r="N25" s="31">
        <v>0.98</v>
      </c>
      <c r="O25" s="31">
        <v>0.98</v>
      </c>
      <c r="P25" s="31">
        <v>0.7</v>
      </c>
      <c r="Q25" s="31">
        <v>0.96</v>
      </c>
    </row>
    <row r="26" spans="1:17">
      <c r="A26" s="50">
        <v>22</v>
      </c>
      <c r="B26" s="51" t="s">
        <v>65</v>
      </c>
      <c r="C26" s="51" t="s">
        <v>30</v>
      </c>
      <c r="D26" s="51">
        <v>1.5</v>
      </c>
      <c r="E26" s="51">
        <v>12</v>
      </c>
      <c r="F26" s="51" t="s">
        <v>66</v>
      </c>
      <c r="G26" s="52" t="s">
        <v>67</v>
      </c>
      <c r="H26" s="28">
        <v>1519</v>
      </c>
      <c r="I26" s="53">
        <f>VLOOKUP(F26,[1]终点成分!$A$5:$C$1000,2,0)</f>
        <v>0.07025</v>
      </c>
      <c r="J26" s="53">
        <f>VLOOKUP(F26,[1]终点成分!$A$5:$C$1000,3,0)</f>
        <v>0.120916666666667</v>
      </c>
      <c r="K26" s="28">
        <v>0</v>
      </c>
      <c r="L26" s="53">
        <v>0</v>
      </c>
      <c r="M26" s="31">
        <v>0.98</v>
      </c>
      <c r="N26" s="31">
        <v>0.98</v>
      </c>
      <c r="O26" s="31">
        <v>0.98</v>
      </c>
      <c r="P26" s="31">
        <v>0.7</v>
      </c>
      <c r="Q26" s="31">
        <v>0.96</v>
      </c>
    </row>
    <row r="27" spans="1:17">
      <c r="A27" s="50">
        <v>23</v>
      </c>
      <c r="B27" s="51" t="s">
        <v>65</v>
      </c>
      <c r="C27" s="51" t="s">
        <v>33</v>
      </c>
      <c r="D27" s="51">
        <v>12.01</v>
      </c>
      <c r="E27" s="51">
        <v>20</v>
      </c>
      <c r="F27" s="51" t="s">
        <v>68</v>
      </c>
      <c r="G27" s="52" t="s">
        <v>67</v>
      </c>
      <c r="H27" s="28">
        <v>1519</v>
      </c>
      <c r="I27" s="53">
        <f>VLOOKUP(F27,[1]终点成分!$A$5:$C$1000,2,0)</f>
        <v>0.079</v>
      </c>
      <c r="J27" s="53">
        <f>VLOOKUP(F27,[1]终点成分!$A$5:$C$1000,3,0)</f>
        <v>0.1325</v>
      </c>
      <c r="K27" s="28">
        <v>0</v>
      </c>
      <c r="L27" s="53">
        <v>0</v>
      </c>
      <c r="M27" s="31">
        <v>0.98</v>
      </c>
      <c r="N27" s="31">
        <v>0.98</v>
      </c>
      <c r="O27" s="31">
        <v>0.98</v>
      </c>
      <c r="P27" s="31">
        <v>0.7</v>
      </c>
      <c r="Q27" s="31">
        <v>0.96</v>
      </c>
    </row>
    <row r="28" spans="1:17">
      <c r="A28" s="50">
        <v>24</v>
      </c>
      <c r="B28" s="51" t="s">
        <v>69</v>
      </c>
      <c r="C28" s="51" t="s">
        <v>30</v>
      </c>
      <c r="D28" s="51">
        <v>1.6</v>
      </c>
      <c r="E28" s="51">
        <v>12</v>
      </c>
      <c r="F28" s="51" t="s">
        <v>70</v>
      </c>
      <c r="G28" s="52" t="s">
        <v>71</v>
      </c>
      <c r="H28" s="28">
        <v>1519</v>
      </c>
      <c r="I28" s="53">
        <f>VLOOKUP(F28,[1]终点成分!$A$5:$C$1000,2,0)</f>
        <v>0.070962962962963</v>
      </c>
      <c r="J28" s="53">
        <f>VLOOKUP(F28,[1]终点成分!$A$5:$C$1000,3,0)</f>
        <v>0.116777777777778</v>
      </c>
      <c r="K28" s="28">
        <v>0</v>
      </c>
      <c r="L28" s="53">
        <v>0.75</v>
      </c>
      <c r="M28" s="31">
        <v>0.98</v>
      </c>
      <c r="N28" s="31">
        <v>0.98</v>
      </c>
      <c r="O28" s="31">
        <v>0.98</v>
      </c>
      <c r="P28" s="31">
        <v>0.7</v>
      </c>
      <c r="Q28" s="31">
        <v>0.96</v>
      </c>
    </row>
    <row r="29" spans="1:17">
      <c r="A29" s="50">
        <v>25</v>
      </c>
      <c r="B29" s="51" t="s">
        <v>69</v>
      </c>
      <c r="C29" s="51" t="s">
        <v>33</v>
      </c>
      <c r="D29" s="51">
        <v>12.01</v>
      </c>
      <c r="E29" s="51">
        <v>25.4</v>
      </c>
      <c r="F29" s="51" t="s">
        <v>72</v>
      </c>
      <c r="G29" s="52" t="s">
        <v>71</v>
      </c>
      <c r="H29" s="28">
        <v>1519</v>
      </c>
      <c r="I29" s="53">
        <f>VLOOKUP(F29,[1]终点成分!$A$5:$C$1000,2,0)</f>
        <v>0.0798333333333333</v>
      </c>
      <c r="J29" s="53">
        <f>VLOOKUP(F29,[1]终点成分!$A$5:$C$1000,3,0)</f>
        <v>0.115833333333333</v>
      </c>
      <c r="K29" s="28">
        <v>0</v>
      </c>
      <c r="L29" s="53">
        <v>0.75</v>
      </c>
      <c r="M29" s="31">
        <v>0.98</v>
      </c>
      <c r="N29" s="31">
        <v>0.98</v>
      </c>
      <c r="O29" s="31">
        <v>0.98</v>
      </c>
      <c r="P29" s="31">
        <v>0.7</v>
      </c>
      <c r="Q29" s="31">
        <v>0.96</v>
      </c>
    </row>
    <row r="30" spans="1:17">
      <c r="A30" s="50">
        <v>26</v>
      </c>
      <c r="B30" s="51" t="s">
        <v>73</v>
      </c>
      <c r="C30" s="51" t="s">
        <v>30</v>
      </c>
      <c r="D30" s="51">
        <v>1.5</v>
      </c>
      <c r="E30" s="51">
        <v>12</v>
      </c>
      <c r="F30" s="51" t="s">
        <v>62</v>
      </c>
      <c r="G30" s="52" t="s">
        <v>63</v>
      </c>
      <c r="H30" s="28">
        <v>1519</v>
      </c>
      <c r="I30" s="53">
        <f>VLOOKUP(F30,[1]终点成分!$A$5:$C$1000,2,0)</f>
        <v>0.0703009259259259</v>
      </c>
      <c r="J30" s="53">
        <f>VLOOKUP(F30,[1]终点成分!$A$5:$C$1000,3,0)</f>
        <v>0.111680555555556</v>
      </c>
      <c r="K30" s="28">
        <v>0</v>
      </c>
      <c r="L30" s="53">
        <v>0.75</v>
      </c>
      <c r="M30" s="31">
        <v>0.98</v>
      </c>
      <c r="N30" s="31">
        <v>0.98</v>
      </c>
      <c r="O30" s="31">
        <v>0.98</v>
      </c>
      <c r="P30" s="31">
        <v>0.7</v>
      </c>
      <c r="Q30" s="31">
        <v>0.96</v>
      </c>
    </row>
    <row r="31" spans="1:17">
      <c r="A31" s="50">
        <v>27</v>
      </c>
      <c r="B31" s="51" t="s">
        <v>74</v>
      </c>
      <c r="C31" s="51" t="s">
        <v>30</v>
      </c>
      <c r="D31" s="51">
        <v>1.5</v>
      </c>
      <c r="E31" s="51">
        <v>16</v>
      </c>
      <c r="F31" s="51" t="s">
        <v>74</v>
      </c>
      <c r="G31" s="52" t="s">
        <v>75</v>
      </c>
      <c r="H31" s="28">
        <v>1519</v>
      </c>
      <c r="I31" s="53">
        <f>VLOOKUP(F31,[1]终点成分!$A$5:$C$1000,2,0)</f>
        <v>0.0728013698630138</v>
      </c>
      <c r="J31" s="53">
        <f>VLOOKUP(F31,[1]终点成分!$A$5:$C$1000,3,0)</f>
        <v>0.129873287671233</v>
      </c>
      <c r="K31" s="28">
        <v>0</v>
      </c>
      <c r="L31" s="53">
        <v>0.55</v>
      </c>
      <c r="M31" s="31">
        <v>0.98</v>
      </c>
      <c r="N31" s="31">
        <v>0.98</v>
      </c>
      <c r="O31" s="31">
        <v>0.98</v>
      </c>
      <c r="P31" s="31">
        <v>0.7</v>
      </c>
      <c r="Q31" s="31">
        <v>0.96</v>
      </c>
    </row>
    <row r="32" spans="1:17">
      <c r="A32" s="50">
        <v>28</v>
      </c>
      <c r="B32" s="51" t="s">
        <v>76</v>
      </c>
      <c r="C32" s="51" t="s">
        <v>30</v>
      </c>
      <c r="D32" s="51">
        <v>3</v>
      </c>
      <c r="E32" s="51">
        <v>6</v>
      </c>
      <c r="F32" s="51" t="s">
        <v>77</v>
      </c>
      <c r="G32" s="52" t="s">
        <v>78</v>
      </c>
      <c r="H32" s="28">
        <v>1518</v>
      </c>
      <c r="I32" s="53">
        <v>0.0708175675675676</v>
      </c>
      <c r="J32" s="53">
        <v>0.122477027027027</v>
      </c>
      <c r="K32" s="28">
        <v>0</v>
      </c>
      <c r="L32" s="53">
        <v>0.75</v>
      </c>
      <c r="M32" s="31">
        <v>0.98</v>
      </c>
      <c r="N32" s="31">
        <v>0.98</v>
      </c>
      <c r="O32" s="31">
        <v>0.98</v>
      </c>
      <c r="P32" s="31">
        <v>0.7</v>
      </c>
      <c r="Q32" s="31">
        <v>0.96</v>
      </c>
    </row>
    <row r="33" spans="1:17">
      <c r="A33" s="50">
        <v>29</v>
      </c>
      <c r="B33" s="51" t="s">
        <v>76</v>
      </c>
      <c r="C33" s="51" t="s">
        <v>33</v>
      </c>
      <c r="D33" s="51">
        <v>6.01</v>
      </c>
      <c r="E33" s="51">
        <v>10</v>
      </c>
      <c r="F33" s="51" t="s">
        <v>80</v>
      </c>
      <c r="G33" s="52" t="s">
        <v>78</v>
      </c>
      <c r="H33" s="28">
        <v>1517</v>
      </c>
      <c r="I33" s="53">
        <v>0.0708175675675676</v>
      </c>
      <c r="J33" s="53">
        <v>0.122477027027027</v>
      </c>
      <c r="K33" s="28">
        <v>0</v>
      </c>
      <c r="L33" s="53">
        <v>0.75</v>
      </c>
      <c r="M33" s="31">
        <v>0.98</v>
      </c>
      <c r="N33" s="31">
        <v>0.98</v>
      </c>
      <c r="O33" s="31">
        <v>0.98</v>
      </c>
      <c r="P33" s="31">
        <v>0.7</v>
      </c>
      <c r="Q33" s="31">
        <v>0.96</v>
      </c>
    </row>
    <row r="34" spans="1:17">
      <c r="A34" s="50">
        <v>30</v>
      </c>
      <c r="B34" s="51" t="s">
        <v>81</v>
      </c>
      <c r="C34" s="51" t="s">
        <v>30</v>
      </c>
      <c r="D34" s="51">
        <v>1.6</v>
      </c>
      <c r="E34" s="51">
        <v>8</v>
      </c>
      <c r="F34" s="51" t="s">
        <v>82</v>
      </c>
      <c r="G34" s="52" t="s">
        <v>83</v>
      </c>
      <c r="H34" s="28">
        <v>1531</v>
      </c>
      <c r="I34" s="54">
        <v>0.04</v>
      </c>
      <c r="J34" s="54">
        <v>0.09024</v>
      </c>
      <c r="K34" s="28">
        <v>0</v>
      </c>
      <c r="L34" s="53">
        <v>0</v>
      </c>
      <c r="M34" s="31">
        <v>0.98</v>
      </c>
      <c r="N34" s="31">
        <v>0.98</v>
      </c>
      <c r="O34" s="31">
        <v>0.98</v>
      </c>
      <c r="P34" s="31">
        <v>0.7</v>
      </c>
      <c r="Q34" s="31">
        <v>0.96</v>
      </c>
    </row>
    <row r="35" spans="1:17">
      <c r="A35" s="50">
        <v>31</v>
      </c>
      <c r="B35" s="51" t="s">
        <v>81</v>
      </c>
      <c r="C35" s="51" t="s">
        <v>33</v>
      </c>
      <c r="D35" s="51">
        <v>8.01</v>
      </c>
      <c r="E35" s="51">
        <v>16</v>
      </c>
      <c r="F35" s="51" t="s">
        <v>84</v>
      </c>
      <c r="G35" s="52" t="s">
        <v>83</v>
      </c>
      <c r="H35" s="28">
        <v>1531</v>
      </c>
      <c r="I35" s="54">
        <v>0.04</v>
      </c>
      <c r="J35" s="53">
        <f>VLOOKUP(F35,[1]终点成分!$A$5:$C$1000,3,0)</f>
        <v>0.09024</v>
      </c>
      <c r="K35" s="28">
        <v>0</v>
      </c>
      <c r="L35" s="53">
        <v>0</v>
      </c>
      <c r="M35" s="31">
        <v>0.98</v>
      </c>
      <c r="N35" s="31">
        <v>0.98</v>
      </c>
      <c r="O35" s="31">
        <v>0.98</v>
      </c>
      <c r="P35" s="31">
        <v>0.7</v>
      </c>
      <c r="Q35" s="31">
        <v>0.96</v>
      </c>
    </row>
    <row r="36" spans="1:17">
      <c r="A36" s="50">
        <v>32</v>
      </c>
      <c r="B36" s="51" t="s">
        <v>81</v>
      </c>
      <c r="C36" s="51" t="s">
        <v>30</v>
      </c>
      <c r="D36" s="51">
        <v>8.01</v>
      </c>
      <c r="E36" s="51">
        <v>16</v>
      </c>
      <c r="F36" s="51" t="s">
        <v>84</v>
      </c>
      <c r="G36" s="52" t="s">
        <v>83</v>
      </c>
      <c r="H36" s="28">
        <v>1531</v>
      </c>
      <c r="I36" s="54">
        <v>0.04</v>
      </c>
      <c r="J36" s="53">
        <f>VLOOKUP(F36,[1]终点成分!$A$5:$C$1000,3,0)</f>
        <v>0.09024</v>
      </c>
      <c r="K36" s="28">
        <v>0</v>
      </c>
      <c r="L36" s="53">
        <v>0</v>
      </c>
      <c r="M36" s="31">
        <v>0.98</v>
      </c>
      <c r="N36" s="31">
        <v>0.98</v>
      </c>
      <c r="O36" s="31">
        <v>0.98</v>
      </c>
      <c r="P36" s="31">
        <v>0.7</v>
      </c>
      <c r="Q36" s="31">
        <v>0.96</v>
      </c>
    </row>
    <row r="37" spans="1:17">
      <c r="A37" s="50">
        <v>33</v>
      </c>
      <c r="B37" s="51" t="s">
        <v>85</v>
      </c>
      <c r="C37" s="51" t="s">
        <v>30</v>
      </c>
      <c r="D37" s="51">
        <v>2.5</v>
      </c>
      <c r="E37" s="51">
        <v>5</v>
      </c>
      <c r="F37" s="51" t="s">
        <v>85</v>
      </c>
      <c r="G37" s="52" t="s">
        <v>86</v>
      </c>
      <c r="H37" s="28">
        <v>1531</v>
      </c>
      <c r="I37" s="54">
        <v>0.04</v>
      </c>
      <c r="J37" s="53">
        <f>VLOOKUP(F37,[1]终点成分!$A$5:$C$1000,3,0)</f>
        <v>0.09024</v>
      </c>
      <c r="K37" s="28">
        <v>0</v>
      </c>
      <c r="L37" s="53">
        <v>0</v>
      </c>
      <c r="M37" s="31">
        <v>0.98</v>
      </c>
      <c r="N37" s="31">
        <v>0.98</v>
      </c>
      <c r="O37" s="31">
        <v>0.98</v>
      </c>
      <c r="P37" s="31">
        <v>0.7</v>
      </c>
      <c r="Q37" s="31">
        <v>0.96</v>
      </c>
    </row>
    <row r="38" spans="1:17">
      <c r="A38" s="50">
        <v>34</v>
      </c>
      <c r="B38" s="51" t="s">
        <v>87</v>
      </c>
      <c r="C38" s="51" t="s">
        <v>30</v>
      </c>
      <c r="D38" s="51">
        <v>2.5</v>
      </c>
      <c r="E38" s="51">
        <v>6</v>
      </c>
      <c r="F38" s="51" t="s">
        <v>87</v>
      </c>
      <c r="G38" s="52" t="s">
        <v>88</v>
      </c>
      <c r="H38" s="28">
        <v>1531</v>
      </c>
      <c r="I38" s="54">
        <v>0.04</v>
      </c>
      <c r="J38" s="53">
        <f>VLOOKUP(F38,[1]终点成分!$A$5:$C$1000,3,0)</f>
        <v>0.10625</v>
      </c>
      <c r="K38" s="28">
        <v>0</v>
      </c>
      <c r="L38" s="53">
        <v>0</v>
      </c>
      <c r="M38" s="31">
        <v>0.98</v>
      </c>
      <c r="N38" s="31">
        <v>0.98</v>
      </c>
      <c r="O38" s="31">
        <v>0.98</v>
      </c>
      <c r="P38" s="31">
        <v>0.7</v>
      </c>
      <c r="Q38" s="31">
        <v>0.96</v>
      </c>
    </row>
    <row r="39" spans="1:17">
      <c r="A39" s="50">
        <v>35</v>
      </c>
      <c r="B39" s="51" t="s">
        <v>90</v>
      </c>
      <c r="C39" s="51" t="s">
        <v>30</v>
      </c>
      <c r="D39" s="51">
        <v>2.5</v>
      </c>
      <c r="E39" s="51">
        <v>6</v>
      </c>
      <c r="F39" s="51" t="s">
        <v>90</v>
      </c>
      <c r="G39" s="52" t="s">
        <v>91</v>
      </c>
      <c r="H39" s="28">
        <v>1529</v>
      </c>
      <c r="I39" s="55">
        <v>0.04</v>
      </c>
      <c r="J39" s="28">
        <f>VLOOKUP(F39,[1]终点成分!$A$5:$C$1000,3,0)</f>
        <v>0.112990783410138</v>
      </c>
      <c r="K39" s="28">
        <v>0</v>
      </c>
      <c r="L39" s="53">
        <v>0</v>
      </c>
      <c r="M39" s="31">
        <v>0.98</v>
      </c>
      <c r="N39" s="31">
        <v>0.98</v>
      </c>
      <c r="O39" s="31">
        <v>0.98</v>
      </c>
      <c r="P39" s="31">
        <v>0.7</v>
      </c>
      <c r="Q39" s="31">
        <v>0.96</v>
      </c>
    </row>
    <row r="40" spans="1:17">
      <c r="A40" s="50">
        <v>36</v>
      </c>
      <c r="B40" s="51" t="s">
        <v>93</v>
      </c>
      <c r="C40" s="51" t="s">
        <v>30</v>
      </c>
      <c r="D40" s="51">
        <v>2.5</v>
      </c>
      <c r="E40" s="51">
        <v>6</v>
      </c>
      <c r="F40" s="51" t="s">
        <v>93</v>
      </c>
      <c r="G40" s="52" t="s">
        <v>94</v>
      </c>
      <c r="H40" s="28">
        <v>1529</v>
      </c>
      <c r="I40" s="54">
        <v>0.04</v>
      </c>
      <c r="J40" s="53">
        <f>VLOOKUP(F40,[1]终点成分!$A$5:$C$1000,3,0)</f>
        <v>0.0985</v>
      </c>
      <c r="K40" s="28">
        <v>0</v>
      </c>
      <c r="L40" s="53">
        <v>0</v>
      </c>
      <c r="M40" s="31">
        <v>0.98</v>
      </c>
      <c r="N40" s="31">
        <v>0.98</v>
      </c>
      <c r="O40" s="31">
        <v>0.98</v>
      </c>
      <c r="P40" s="31">
        <v>0.7</v>
      </c>
      <c r="Q40" s="31">
        <v>0.96</v>
      </c>
    </row>
    <row r="41" spans="1:17">
      <c r="A41" s="50">
        <v>37</v>
      </c>
      <c r="B41" s="51" t="s">
        <v>96</v>
      </c>
      <c r="C41" s="51" t="s">
        <v>30</v>
      </c>
      <c r="D41" s="51">
        <v>2.5</v>
      </c>
      <c r="E41" s="51">
        <v>3.5</v>
      </c>
      <c r="F41" s="51" t="s">
        <v>96</v>
      </c>
      <c r="G41" s="52" t="s">
        <v>97</v>
      </c>
      <c r="H41" s="28">
        <v>1528</v>
      </c>
      <c r="I41" s="54">
        <v>0.04</v>
      </c>
      <c r="J41" s="53">
        <v>0.0985</v>
      </c>
      <c r="K41" s="28">
        <v>0</v>
      </c>
      <c r="L41" s="53">
        <v>0</v>
      </c>
      <c r="M41" s="31">
        <v>0.98</v>
      </c>
      <c r="N41" s="31">
        <v>0.98</v>
      </c>
      <c r="O41" s="31">
        <v>0.98</v>
      </c>
      <c r="P41" s="31">
        <v>0.7</v>
      </c>
      <c r="Q41" s="31">
        <v>0.96</v>
      </c>
    </row>
    <row r="42" spans="1:17">
      <c r="A42" s="50">
        <v>38</v>
      </c>
      <c r="B42" s="51" t="s">
        <v>98</v>
      </c>
      <c r="C42" s="51" t="s">
        <v>33</v>
      </c>
      <c r="D42" s="51">
        <v>0.1</v>
      </c>
      <c r="E42" s="51">
        <v>5.99</v>
      </c>
      <c r="F42" s="51" t="s">
        <v>99</v>
      </c>
      <c r="G42" s="52" t="s">
        <v>100</v>
      </c>
      <c r="H42" s="28">
        <v>1518</v>
      </c>
      <c r="I42" s="53">
        <f>VLOOKUP(F42,[1]终点成分!$A$5:$C$1000,2,0)</f>
        <v>0.0708175675675676</v>
      </c>
      <c r="J42" s="53">
        <f>VLOOKUP(F42,[1]终点成分!$A$5:$C$1000,3,0)</f>
        <v>0.122477027027027</v>
      </c>
      <c r="K42" s="28">
        <v>0</v>
      </c>
      <c r="L42" s="53">
        <v>0.8</v>
      </c>
      <c r="M42" s="31">
        <v>0.98</v>
      </c>
      <c r="N42" s="31">
        <v>0.98</v>
      </c>
      <c r="O42" s="31">
        <v>0.98</v>
      </c>
      <c r="P42" s="31">
        <v>0.7</v>
      </c>
      <c r="Q42" s="31">
        <v>0.96</v>
      </c>
    </row>
    <row r="43" spans="1:17">
      <c r="A43" s="50">
        <v>39</v>
      </c>
      <c r="B43" s="51" t="s">
        <v>98</v>
      </c>
      <c r="C43" s="51" t="s">
        <v>30</v>
      </c>
      <c r="D43" s="51">
        <v>6</v>
      </c>
      <c r="E43" s="51">
        <v>15.99</v>
      </c>
      <c r="F43" s="51" t="s">
        <v>101</v>
      </c>
      <c r="G43" s="52" t="s">
        <v>100</v>
      </c>
      <c r="H43" s="28">
        <v>1517</v>
      </c>
      <c r="I43" s="53">
        <f>VLOOKUP(F43,[1]终点成分!$A$5:$C$1000,2,0)</f>
        <v>0.0740043183220236</v>
      </c>
      <c r="J43" s="53">
        <f>VLOOKUP(F43,[1]终点成分!$A$5:$C$1000,3,0)</f>
        <v>0.121203886489821</v>
      </c>
      <c r="K43" s="28">
        <v>0</v>
      </c>
      <c r="L43" s="53">
        <v>0.8</v>
      </c>
      <c r="M43" s="31">
        <v>0.98</v>
      </c>
      <c r="N43" s="31">
        <v>0.98</v>
      </c>
      <c r="O43" s="31">
        <v>0.98</v>
      </c>
      <c r="P43" s="31">
        <v>0.7</v>
      </c>
      <c r="Q43" s="31">
        <v>0.96</v>
      </c>
    </row>
    <row r="44" spans="1:17">
      <c r="A44" s="50">
        <v>40</v>
      </c>
      <c r="B44" s="51" t="s">
        <v>98</v>
      </c>
      <c r="C44" s="51" t="s">
        <v>102</v>
      </c>
      <c r="D44" s="51">
        <v>16</v>
      </c>
      <c r="E44" s="51">
        <v>28</v>
      </c>
      <c r="F44" s="51" t="s">
        <v>103</v>
      </c>
      <c r="G44" s="52" t="s">
        <v>104</v>
      </c>
      <c r="H44" s="28">
        <v>1514</v>
      </c>
      <c r="I44" s="53">
        <f>VLOOKUP(F44,[1]终点成分!$A$5:$C$1000,2,0)</f>
        <v>0.0741244444444444</v>
      </c>
      <c r="J44" s="53">
        <f>VLOOKUP(F44,[1]终点成分!$A$5:$C$1000,3,0)</f>
        <v>0.113951111111111</v>
      </c>
      <c r="K44" s="28">
        <v>0</v>
      </c>
      <c r="L44" s="53">
        <v>0.8</v>
      </c>
      <c r="M44" s="31">
        <v>0.98</v>
      </c>
      <c r="N44" s="31">
        <v>0.98</v>
      </c>
      <c r="O44" s="31">
        <v>0.98</v>
      </c>
      <c r="P44" s="31">
        <v>0.7</v>
      </c>
      <c r="Q44" s="31">
        <v>0.96</v>
      </c>
    </row>
    <row r="45" spans="1:17">
      <c r="A45" s="50">
        <v>41</v>
      </c>
      <c r="B45" s="51" t="s">
        <v>105</v>
      </c>
      <c r="C45" s="51" t="s">
        <v>30</v>
      </c>
      <c r="D45" s="51">
        <v>2</v>
      </c>
      <c r="E45" s="51">
        <v>12</v>
      </c>
      <c r="F45" s="51" t="s">
        <v>106</v>
      </c>
      <c r="G45" s="52" t="s">
        <v>107</v>
      </c>
      <c r="H45" s="28">
        <v>1517</v>
      </c>
      <c r="I45" s="53">
        <f>VLOOKUP(F45,[1]终点成分!$A$5:$C$1000,2,0)</f>
        <v>0.071</v>
      </c>
      <c r="J45" s="53">
        <f>VLOOKUP(F45,[1]终点成分!$A$5:$C$1000,3,0)</f>
        <v>0.112</v>
      </c>
      <c r="K45" s="28">
        <v>0</v>
      </c>
      <c r="L45" s="53">
        <v>0.8</v>
      </c>
      <c r="M45" s="31">
        <v>0.98</v>
      </c>
      <c r="N45" s="31">
        <v>0.98</v>
      </c>
      <c r="O45" s="31">
        <v>0.98</v>
      </c>
      <c r="P45" s="31">
        <v>0.7</v>
      </c>
      <c r="Q45" s="31">
        <v>0.96</v>
      </c>
    </row>
    <row r="46" spans="1:17">
      <c r="A46" s="50">
        <v>42</v>
      </c>
      <c r="B46" s="51" t="s">
        <v>105</v>
      </c>
      <c r="C46" s="51" t="s">
        <v>33</v>
      </c>
      <c r="D46" s="51">
        <v>12.01</v>
      </c>
      <c r="E46" s="51">
        <v>19</v>
      </c>
      <c r="F46" s="51" t="s">
        <v>108</v>
      </c>
      <c r="G46" s="52" t="s">
        <v>107</v>
      </c>
      <c r="H46" s="28">
        <v>1517</v>
      </c>
      <c r="I46" s="53">
        <f>VLOOKUP(F46,[1]终点成分!$A$5:$C$1000,2,0)</f>
        <v>0.0620652173913044</v>
      </c>
      <c r="J46" s="53">
        <f>VLOOKUP(F46,[1]终点成分!$A$5:$C$1000,3,0)</f>
        <v>0.113173913043478</v>
      </c>
      <c r="K46" s="28">
        <v>0</v>
      </c>
      <c r="L46" s="53">
        <v>0.8</v>
      </c>
      <c r="M46" s="31">
        <v>0.98</v>
      </c>
      <c r="N46" s="31">
        <v>0.98</v>
      </c>
      <c r="O46" s="31">
        <v>0.98</v>
      </c>
      <c r="P46" s="31">
        <v>0.7</v>
      </c>
      <c r="Q46" s="31">
        <v>0.96</v>
      </c>
    </row>
    <row r="47" spans="1:17">
      <c r="A47" s="50">
        <v>43</v>
      </c>
      <c r="B47" s="51" t="s">
        <v>105</v>
      </c>
      <c r="C47" s="51" t="s">
        <v>102</v>
      </c>
      <c r="D47" s="51">
        <v>19.01</v>
      </c>
      <c r="E47" s="51">
        <v>29</v>
      </c>
      <c r="F47" s="51" t="s">
        <v>109</v>
      </c>
      <c r="G47" s="52" t="s">
        <v>107</v>
      </c>
      <c r="H47" s="28">
        <v>1517</v>
      </c>
      <c r="I47" s="53">
        <f>VLOOKUP(F47,[1]终点成分!$A$5:$C$1000,2,0)</f>
        <v>0.067671052631579</v>
      </c>
      <c r="J47" s="53">
        <f>VLOOKUP(F47,[1]终点成分!$A$5:$C$1000,3,0)</f>
        <v>0.109171052631579</v>
      </c>
      <c r="K47" s="28">
        <v>0</v>
      </c>
      <c r="L47" s="53">
        <v>0.8</v>
      </c>
      <c r="M47" s="31">
        <v>0.98</v>
      </c>
      <c r="N47" s="31">
        <v>0.98</v>
      </c>
      <c r="O47" s="31">
        <v>0.98</v>
      </c>
      <c r="P47" s="31">
        <v>0.7</v>
      </c>
      <c r="Q47" s="31">
        <v>0.96</v>
      </c>
    </row>
    <row r="48" spans="1:17">
      <c r="A48" s="50">
        <v>44</v>
      </c>
      <c r="B48" s="51" t="s">
        <v>110</v>
      </c>
      <c r="C48" s="51" t="s">
        <v>30</v>
      </c>
      <c r="D48" s="51">
        <v>2</v>
      </c>
      <c r="E48" s="51">
        <v>12</v>
      </c>
      <c r="F48" s="51" t="s">
        <v>111</v>
      </c>
      <c r="G48" s="52" t="s">
        <v>112</v>
      </c>
      <c r="H48" s="28">
        <v>1517</v>
      </c>
      <c r="I48" s="53">
        <f>VLOOKUP(F48,[1]终点成分!$A$5:$C$1000,2,0)</f>
        <v>0.0702586206896552</v>
      </c>
      <c r="J48" s="53">
        <f>VLOOKUP(F48,[1]终点成分!$A$5:$C$1000,3,0)</f>
        <v>0.116155172413793</v>
      </c>
      <c r="K48" s="28">
        <v>0</v>
      </c>
      <c r="L48" s="53">
        <v>0.8</v>
      </c>
      <c r="M48" s="31">
        <v>0.98</v>
      </c>
      <c r="N48" s="31">
        <v>0.98</v>
      </c>
      <c r="O48" s="31">
        <v>0.98</v>
      </c>
      <c r="P48" s="31">
        <v>0.7</v>
      </c>
      <c r="Q48" s="31">
        <v>0.96</v>
      </c>
    </row>
    <row r="49" spans="1:17">
      <c r="A49" s="50">
        <v>45</v>
      </c>
      <c r="B49" s="51" t="s">
        <v>110</v>
      </c>
      <c r="C49" s="51" t="s">
        <v>33</v>
      </c>
      <c r="D49" s="51">
        <v>12.01</v>
      </c>
      <c r="E49" s="51">
        <v>19</v>
      </c>
      <c r="F49" s="51" t="s">
        <v>113</v>
      </c>
      <c r="G49" s="52" t="s">
        <v>112</v>
      </c>
      <c r="H49" s="28">
        <v>1521</v>
      </c>
      <c r="I49" s="53">
        <f>VLOOKUP(F49,[1]终点成分!$A$5:$C$1000,2,0)</f>
        <v>0.056923076923077</v>
      </c>
      <c r="J49" s="53">
        <f>VLOOKUP(F49,[1]终点成分!$A$5:$C$1000,3,0)</f>
        <v>0.0992307692307692</v>
      </c>
      <c r="K49" s="28">
        <v>0</v>
      </c>
      <c r="L49" s="53">
        <v>0.8</v>
      </c>
      <c r="M49" s="31">
        <v>0.98</v>
      </c>
      <c r="N49" s="31">
        <v>0.98</v>
      </c>
      <c r="O49" s="31">
        <v>0.98</v>
      </c>
      <c r="P49" s="31">
        <v>0.7</v>
      </c>
      <c r="Q49" s="31">
        <v>0.96</v>
      </c>
    </row>
    <row r="50" spans="1:17">
      <c r="A50" s="50">
        <v>46</v>
      </c>
      <c r="B50" s="51" t="s">
        <v>110</v>
      </c>
      <c r="C50" s="51" t="s">
        <v>102</v>
      </c>
      <c r="D50" s="51">
        <v>19.01</v>
      </c>
      <c r="E50" s="51">
        <v>29</v>
      </c>
      <c r="F50" s="51" t="s">
        <v>114</v>
      </c>
      <c r="G50" s="52" t="s">
        <v>112</v>
      </c>
      <c r="H50" s="28">
        <v>1521</v>
      </c>
      <c r="I50" s="53">
        <f>VLOOKUP(F50,[1]终点成分!$A$5:$C$1000,2,0)</f>
        <v>0.067</v>
      </c>
      <c r="J50" s="53">
        <f>VLOOKUP(F50,[1]终点成分!$A$5:$C$1000,3,0)</f>
        <v>0.1105</v>
      </c>
      <c r="K50" s="28">
        <v>0</v>
      </c>
      <c r="L50" s="53">
        <v>0.8</v>
      </c>
      <c r="M50" s="31">
        <v>0.98</v>
      </c>
      <c r="N50" s="31">
        <v>0.98</v>
      </c>
      <c r="O50" s="31">
        <v>0.98</v>
      </c>
      <c r="P50" s="31">
        <v>0.7</v>
      </c>
      <c r="Q50" s="31">
        <v>0.96</v>
      </c>
    </row>
    <row r="51" spans="1:17">
      <c r="A51" s="50">
        <v>47</v>
      </c>
      <c r="B51" s="51" t="s">
        <v>115</v>
      </c>
      <c r="C51" s="51" t="s">
        <v>30</v>
      </c>
      <c r="D51" s="51">
        <v>2</v>
      </c>
      <c r="E51" s="51">
        <v>7.55</v>
      </c>
      <c r="F51" s="51" t="s">
        <v>116</v>
      </c>
      <c r="G51" s="52" t="s">
        <v>117</v>
      </c>
      <c r="H51" s="28">
        <v>1514</v>
      </c>
      <c r="I51" s="53">
        <f>VLOOKUP(F51,[1]终点成分!$A$5:$C$1000,2,0)</f>
        <v>0.0628571428571429</v>
      </c>
      <c r="J51" s="53">
        <f>VLOOKUP(F51,[1]终点成分!$A$5:$C$1000,3,0)</f>
        <v>0.114285714285714</v>
      </c>
      <c r="K51" s="28">
        <v>0</v>
      </c>
      <c r="L51" s="53">
        <v>0.8</v>
      </c>
      <c r="M51" s="31">
        <v>0.98</v>
      </c>
      <c r="N51" s="31">
        <v>0.98</v>
      </c>
      <c r="O51" s="31">
        <v>0.98</v>
      </c>
      <c r="P51" s="31">
        <v>0.7</v>
      </c>
      <c r="Q51" s="31">
        <v>0.96</v>
      </c>
    </row>
    <row r="52" spans="1:17">
      <c r="A52" s="50">
        <v>48</v>
      </c>
      <c r="B52" s="51" t="s">
        <v>115</v>
      </c>
      <c r="C52" s="51" t="s">
        <v>33</v>
      </c>
      <c r="D52" s="51">
        <v>7.56</v>
      </c>
      <c r="E52" s="51">
        <v>16</v>
      </c>
      <c r="F52" s="51" t="s">
        <v>118</v>
      </c>
      <c r="G52" s="52" t="s">
        <v>117</v>
      </c>
      <c r="H52" s="28">
        <v>1514</v>
      </c>
      <c r="I52" s="53">
        <f>VLOOKUP(F52,[1]终点成分!$A$5:$C$1000,2,0)</f>
        <v>0.068264705882353</v>
      </c>
      <c r="J52" s="53">
        <f>VLOOKUP(F52,[1]终点成分!$A$5:$C$1000,3,0)</f>
        <v>0.120852941176471</v>
      </c>
      <c r="K52" s="28">
        <v>0</v>
      </c>
      <c r="L52" s="53">
        <v>0.8</v>
      </c>
      <c r="M52" s="31">
        <v>0.98</v>
      </c>
      <c r="N52" s="31">
        <v>0.98</v>
      </c>
      <c r="O52" s="31">
        <v>0.98</v>
      </c>
      <c r="P52" s="31">
        <v>0.7</v>
      </c>
      <c r="Q52" s="31">
        <v>0.96</v>
      </c>
    </row>
    <row r="53" spans="1:17">
      <c r="A53" s="50">
        <v>49</v>
      </c>
      <c r="B53" s="51" t="s">
        <v>115</v>
      </c>
      <c r="C53" s="51" t="s">
        <v>102</v>
      </c>
      <c r="D53" s="51">
        <v>16.01</v>
      </c>
      <c r="E53" s="51">
        <v>28</v>
      </c>
      <c r="F53" s="51" t="s">
        <v>119</v>
      </c>
      <c r="G53" s="52" t="s">
        <v>117</v>
      </c>
      <c r="H53" s="28">
        <v>1514</v>
      </c>
      <c r="I53" s="53">
        <f>VLOOKUP(F53,[1]终点成分!$A$5:$C$1000,2,0)</f>
        <v>0.0758</v>
      </c>
      <c r="J53" s="53">
        <f>VLOOKUP(F53,[1]终点成分!$A$5:$C$1000,3,0)</f>
        <v>0.1214</v>
      </c>
      <c r="K53" s="28">
        <v>0</v>
      </c>
      <c r="L53" s="53">
        <v>0.8</v>
      </c>
      <c r="M53" s="31">
        <v>0.98</v>
      </c>
      <c r="N53" s="31">
        <v>0.98</v>
      </c>
      <c r="O53" s="31">
        <v>0.98</v>
      </c>
      <c r="P53" s="31">
        <v>0.7</v>
      </c>
      <c r="Q53" s="31">
        <v>0.96</v>
      </c>
    </row>
    <row r="54" spans="1:17">
      <c r="A54" s="50">
        <v>50</v>
      </c>
      <c r="B54" s="51" t="s">
        <v>120</v>
      </c>
      <c r="C54" s="51" t="s">
        <v>33</v>
      </c>
      <c r="D54" s="51">
        <v>2</v>
      </c>
      <c r="E54" s="51">
        <v>5</v>
      </c>
      <c r="F54" s="51" t="s">
        <v>121</v>
      </c>
      <c r="G54" s="52" t="s">
        <v>122</v>
      </c>
      <c r="H54" s="28">
        <v>1522</v>
      </c>
      <c r="I54" s="54">
        <v>0.0427333333333333</v>
      </c>
      <c r="J54" s="54">
        <v>0.102066666666667</v>
      </c>
      <c r="K54" s="28">
        <v>0</v>
      </c>
      <c r="L54" s="53">
        <v>0.8</v>
      </c>
      <c r="M54" s="31">
        <v>0.98</v>
      </c>
      <c r="N54" s="31">
        <v>0.98</v>
      </c>
      <c r="O54" s="31">
        <v>0.98</v>
      </c>
      <c r="P54" s="31">
        <v>0.7</v>
      </c>
      <c r="Q54" s="31">
        <v>0.96</v>
      </c>
    </row>
    <row r="55" spans="1:17">
      <c r="A55" s="50">
        <v>51</v>
      </c>
      <c r="B55" s="51" t="s">
        <v>120</v>
      </c>
      <c r="C55" s="51" t="s">
        <v>30</v>
      </c>
      <c r="D55" s="51">
        <v>5.01</v>
      </c>
      <c r="E55" s="51">
        <v>12</v>
      </c>
      <c r="F55" s="51" t="s">
        <v>123</v>
      </c>
      <c r="G55" s="52" t="s">
        <v>122</v>
      </c>
      <c r="H55" s="28">
        <v>1522</v>
      </c>
      <c r="I55" s="54">
        <v>0.0427333333333333</v>
      </c>
      <c r="J55" s="54">
        <v>0.102066666666667</v>
      </c>
      <c r="K55" s="28">
        <v>0</v>
      </c>
      <c r="L55" s="53">
        <v>0.8</v>
      </c>
      <c r="M55" s="31">
        <v>0.98</v>
      </c>
      <c r="N55" s="31">
        <v>0.98</v>
      </c>
      <c r="O55" s="31">
        <v>0.98</v>
      </c>
      <c r="P55" s="31">
        <v>0.7</v>
      </c>
      <c r="Q55" s="31">
        <v>0.96</v>
      </c>
    </row>
    <row r="56" spans="1:17">
      <c r="A56" s="50">
        <v>52</v>
      </c>
      <c r="B56" s="51" t="s">
        <v>120</v>
      </c>
      <c r="C56" s="51" t="s">
        <v>102</v>
      </c>
      <c r="D56" s="51">
        <v>12.01</v>
      </c>
      <c r="E56" s="51">
        <v>25.4</v>
      </c>
      <c r="F56" s="51" t="s">
        <v>124</v>
      </c>
      <c r="G56" s="52" t="s">
        <v>122</v>
      </c>
      <c r="H56" s="28">
        <v>1522</v>
      </c>
      <c r="I56" s="53">
        <f>VLOOKUP(F56,[1]终点成分!$A$5:$C$1000,2,0)</f>
        <v>0.0427333333333333</v>
      </c>
      <c r="J56" s="53">
        <f>VLOOKUP(F56,[1]终点成分!$A$5:$C$1000,3,0)</f>
        <v>0.102066666666667</v>
      </c>
      <c r="K56" s="28">
        <v>0</v>
      </c>
      <c r="L56" s="53">
        <v>0.8</v>
      </c>
      <c r="M56" s="31">
        <v>0.98</v>
      </c>
      <c r="N56" s="31">
        <v>0.98</v>
      </c>
      <c r="O56" s="31">
        <v>0.98</v>
      </c>
      <c r="P56" s="31">
        <v>0.7</v>
      </c>
      <c r="Q56" s="31">
        <v>0.96</v>
      </c>
    </row>
    <row r="57" spans="1:17">
      <c r="A57" s="50">
        <v>53</v>
      </c>
      <c r="B57" s="51" t="s">
        <v>125</v>
      </c>
      <c r="C57" s="51" t="s">
        <v>30</v>
      </c>
      <c r="D57" s="51">
        <v>1.8</v>
      </c>
      <c r="E57" s="51">
        <v>5.99</v>
      </c>
      <c r="F57" s="51" t="s">
        <v>125</v>
      </c>
      <c r="G57" s="52" t="s">
        <v>126</v>
      </c>
      <c r="H57" s="28">
        <v>1525</v>
      </c>
      <c r="I57" s="53">
        <f>VLOOKUP(F57,[1]终点成分!$A$5:$C$1000,2,0)</f>
        <v>0.044</v>
      </c>
      <c r="J57" s="53">
        <f>VLOOKUP(F57,[1]终点成分!$A$5:$C$1000,3,0)</f>
        <v>0.105333333333333</v>
      </c>
      <c r="K57" s="28">
        <v>0</v>
      </c>
      <c r="L57" s="53">
        <v>0.8</v>
      </c>
      <c r="M57" s="31">
        <v>0.98</v>
      </c>
      <c r="N57" s="31">
        <v>0.98</v>
      </c>
      <c r="O57" s="31">
        <v>0.98</v>
      </c>
      <c r="P57" s="31">
        <v>0.7</v>
      </c>
      <c r="Q57" s="31">
        <v>0.96</v>
      </c>
    </row>
    <row r="58" spans="1:17">
      <c r="A58" s="50">
        <v>54</v>
      </c>
      <c r="B58" s="51" t="s">
        <v>127</v>
      </c>
      <c r="C58" s="51" t="s">
        <v>33</v>
      </c>
      <c r="D58" s="51">
        <v>0.1</v>
      </c>
      <c r="E58" s="51">
        <v>5.99</v>
      </c>
      <c r="F58" s="51" t="s">
        <v>99</v>
      </c>
      <c r="G58" s="52" t="s">
        <v>100</v>
      </c>
      <c r="H58" s="28">
        <v>1518</v>
      </c>
      <c r="I58" s="53">
        <f>VLOOKUP(F58,[1]终点成分!$A$5:$C$1000,2,0)</f>
        <v>0.0708175675675676</v>
      </c>
      <c r="J58" s="53">
        <f>VLOOKUP(F58,[1]终点成分!$A$5:$C$1000,3,0)</f>
        <v>0.122477027027027</v>
      </c>
      <c r="K58" s="28">
        <v>0</v>
      </c>
      <c r="L58" s="53">
        <v>0.8</v>
      </c>
      <c r="M58" s="31">
        <v>0.98</v>
      </c>
      <c r="N58" s="31">
        <v>0.98</v>
      </c>
      <c r="O58" s="31">
        <v>0.98</v>
      </c>
      <c r="P58" s="31">
        <v>0.7</v>
      </c>
      <c r="Q58" s="31">
        <v>0.96</v>
      </c>
    </row>
    <row r="59" spans="1:17">
      <c r="A59" s="50">
        <v>55</v>
      </c>
      <c r="B59" s="51" t="s">
        <v>127</v>
      </c>
      <c r="C59" s="51" t="s">
        <v>30</v>
      </c>
      <c r="D59" s="51">
        <v>6</v>
      </c>
      <c r="E59" s="51">
        <v>15.99</v>
      </c>
      <c r="F59" s="51" t="s">
        <v>101</v>
      </c>
      <c r="G59" s="52" t="s">
        <v>100</v>
      </c>
      <c r="H59" s="28">
        <v>1517</v>
      </c>
      <c r="I59" s="53">
        <f>VLOOKUP(F59,[1]终点成分!$A$5:$C$1000,2,0)</f>
        <v>0.0740043183220236</v>
      </c>
      <c r="J59" s="53">
        <f>VLOOKUP(F59,[1]终点成分!$A$5:$C$1000,3,0)</f>
        <v>0.121203886489821</v>
      </c>
      <c r="K59" s="28">
        <v>0</v>
      </c>
      <c r="L59" s="53">
        <v>0.8</v>
      </c>
      <c r="M59" s="31">
        <v>0.98</v>
      </c>
      <c r="N59" s="31">
        <v>0.98</v>
      </c>
      <c r="O59" s="31">
        <v>0.98</v>
      </c>
      <c r="P59" s="31">
        <v>0.7</v>
      </c>
      <c r="Q59" s="31">
        <v>0.96</v>
      </c>
    </row>
    <row r="60" spans="1:17">
      <c r="A60" s="50">
        <v>56</v>
      </c>
      <c r="B60" s="51" t="s">
        <v>127</v>
      </c>
      <c r="C60" s="51" t="s">
        <v>102</v>
      </c>
      <c r="D60" s="51">
        <v>16</v>
      </c>
      <c r="E60" s="51">
        <v>28</v>
      </c>
      <c r="F60" s="51" t="s">
        <v>103</v>
      </c>
      <c r="G60" s="52" t="s">
        <v>104</v>
      </c>
      <c r="H60" s="28">
        <v>1514</v>
      </c>
      <c r="I60" s="53">
        <f>VLOOKUP(F60,[1]终点成分!$A$5:$C$1000,2,0)</f>
        <v>0.0741244444444444</v>
      </c>
      <c r="J60" s="53">
        <f>VLOOKUP(F60,[1]终点成分!$A$5:$C$1000,3,0)</f>
        <v>0.113951111111111</v>
      </c>
      <c r="K60" s="28">
        <v>0</v>
      </c>
      <c r="L60" s="53">
        <v>0.8</v>
      </c>
      <c r="M60" s="31">
        <v>0.98</v>
      </c>
      <c r="N60" s="31">
        <v>0.98</v>
      </c>
      <c r="O60" s="31">
        <v>0.98</v>
      </c>
      <c r="P60" s="31">
        <v>0.7</v>
      </c>
      <c r="Q60" s="31">
        <v>0.96</v>
      </c>
    </row>
    <row r="61" spans="1:17">
      <c r="A61" s="50">
        <v>57</v>
      </c>
      <c r="B61" s="51" t="s">
        <v>128</v>
      </c>
      <c r="C61" s="51" t="s">
        <v>30</v>
      </c>
      <c r="D61" s="51">
        <v>1.5</v>
      </c>
      <c r="E61" s="51">
        <v>5.99</v>
      </c>
      <c r="F61" s="51" t="s">
        <v>129</v>
      </c>
      <c r="G61" s="52" t="s">
        <v>130</v>
      </c>
      <c r="H61" s="28">
        <v>1517</v>
      </c>
      <c r="I61" s="54">
        <v>0.0646666666666667</v>
      </c>
      <c r="J61" s="54">
        <v>0.0946666666666667</v>
      </c>
      <c r="K61" s="28">
        <v>0</v>
      </c>
      <c r="L61" s="53">
        <v>0.8</v>
      </c>
      <c r="M61" s="31">
        <v>0.98</v>
      </c>
      <c r="N61" s="31">
        <v>0.98</v>
      </c>
      <c r="O61" s="31">
        <v>0.98</v>
      </c>
      <c r="P61" s="31">
        <v>0.7</v>
      </c>
      <c r="Q61" s="31">
        <v>0.96</v>
      </c>
    </row>
    <row r="62" spans="1:17">
      <c r="A62" s="50">
        <v>58</v>
      </c>
      <c r="B62" s="51" t="s">
        <v>128</v>
      </c>
      <c r="C62" s="51" t="s">
        <v>33</v>
      </c>
      <c r="D62" s="51">
        <v>6</v>
      </c>
      <c r="E62" s="51">
        <v>15.99</v>
      </c>
      <c r="F62" s="51" t="s">
        <v>131</v>
      </c>
      <c r="G62" s="52" t="s">
        <v>130</v>
      </c>
      <c r="H62" s="28">
        <v>1517</v>
      </c>
      <c r="I62" s="53">
        <f>VLOOKUP(F62,[1]终点成分!$A$5:$C$1000,2,0)</f>
        <v>0.0646666666666667</v>
      </c>
      <c r="J62" s="53">
        <f>VLOOKUP(F62,[1]终点成分!$A$5:$C$1000,3,0)</f>
        <v>0.0946666666666667</v>
      </c>
      <c r="K62" s="28">
        <v>0</v>
      </c>
      <c r="L62" s="53">
        <v>0.8</v>
      </c>
      <c r="M62" s="31">
        <v>0.98</v>
      </c>
      <c r="N62" s="31">
        <v>0.98</v>
      </c>
      <c r="O62" s="31">
        <v>0.98</v>
      </c>
      <c r="P62" s="31">
        <v>0.7</v>
      </c>
      <c r="Q62" s="31">
        <v>0.96</v>
      </c>
    </row>
    <row r="63" spans="1:17">
      <c r="A63" s="50">
        <v>59</v>
      </c>
      <c r="B63" s="51" t="s">
        <v>128</v>
      </c>
      <c r="C63" s="51" t="s">
        <v>102</v>
      </c>
      <c r="D63" s="51">
        <v>16</v>
      </c>
      <c r="E63" s="51">
        <v>28</v>
      </c>
      <c r="F63" s="51" t="s">
        <v>132</v>
      </c>
      <c r="G63" s="52" t="s">
        <v>130</v>
      </c>
      <c r="H63" s="28">
        <v>1514</v>
      </c>
      <c r="I63" s="54">
        <v>0.0646666666666667</v>
      </c>
      <c r="J63" s="54">
        <v>0.0946666666666667</v>
      </c>
      <c r="K63" s="28">
        <v>0</v>
      </c>
      <c r="L63" s="53">
        <v>0.8</v>
      </c>
      <c r="M63" s="31">
        <v>0.98</v>
      </c>
      <c r="N63" s="31">
        <v>0.98</v>
      </c>
      <c r="O63" s="31">
        <v>0.98</v>
      </c>
      <c r="P63" s="31">
        <v>0.7</v>
      </c>
      <c r="Q63" s="31">
        <v>0.96</v>
      </c>
    </row>
    <row r="64" spans="1:17">
      <c r="A64" s="50">
        <v>60</v>
      </c>
      <c r="B64" s="51" t="s">
        <v>133</v>
      </c>
      <c r="C64" s="51" t="s">
        <v>30</v>
      </c>
      <c r="D64" s="51">
        <v>1.5</v>
      </c>
      <c r="E64" s="51">
        <v>8</v>
      </c>
      <c r="F64" s="51" t="s">
        <v>134</v>
      </c>
      <c r="G64" s="52" t="s">
        <v>135</v>
      </c>
      <c r="H64" s="28">
        <v>1518</v>
      </c>
      <c r="I64" s="53">
        <f>VLOOKUP(F64,[1]终点成分!$A$5:$C$1000,2,0)</f>
        <v>0.0551</v>
      </c>
      <c r="J64" s="53">
        <f>VLOOKUP(F64,[1]终点成分!$A$5:$C$1000,3,0)</f>
        <v>0.0817</v>
      </c>
      <c r="K64" s="28">
        <v>0</v>
      </c>
      <c r="L64" s="53">
        <v>0</v>
      </c>
      <c r="M64" s="31">
        <v>0.98</v>
      </c>
      <c r="N64" s="31">
        <v>0.98</v>
      </c>
      <c r="O64" s="31">
        <v>0.98</v>
      </c>
      <c r="P64" s="31">
        <v>0.7</v>
      </c>
      <c r="Q64" s="31">
        <v>0.96</v>
      </c>
    </row>
    <row r="65" spans="1:17">
      <c r="A65" s="50">
        <v>61</v>
      </c>
      <c r="B65" s="51" t="s">
        <v>136</v>
      </c>
      <c r="C65" s="51" t="s">
        <v>30</v>
      </c>
      <c r="D65" s="51">
        <v>12</v>
      </c>
      <c r="E65" s="51">
        <v>19</v>
      </c>
      <c r="F65" s="51" t="s">
        <v>137</v>
      </c>
      <c r="G65" s="52" t="s">
        <v>138</v>
      </c>
      <c r="H65" s="28">
        <v>1516</v>
      </c>
      <c r="I65" s="56">
        <v>0.0551</v>
      </c>
      <c r="J65" s="56">
        <v>0.0817</v>
      </c>
      <c r="K65" s="28">
        <v>0</v>
      </c>
      <c r="L65" s="53">
        <v>0.8</v>
      </c>
      <c r="M65" s="31">
        <v>0.98</v>
      </c>
      <c r="N65" s="31">
        <v>0.98</v>
      </c>
      <c r="O65" s="31">
        <v>0.98</v>
      </c>
      <c r="P65" s="31">
        <v>0.7</v>
      </c>
      <c r="Q65" s="31">
        <v>0.96</v>
      </c>
    </row>
    <row r="66" spans="1:17">
      <c r="A66" s="50">
        <v>62</v>
      </c>
      <c r="B66" s="51" t="s">
        <v>136</v>
      </c>
      <c r="C66" s="51" t="s">
        <v>33</v>
      </c>
      <c r="D66" s="51">
        <v>19.01</v>
      </c>
      <c r="E66" s="51">
        <v>28</v>
      </c>
      <c r="F66" s="51" t="s">
        <v>139</v>
      </c>
      <c r="G66" s="52" t="s">
        <v>138</v>
      </c>
      <c r="H66" s="28">
        <v>1516</v>
      </c>
      <c r="I66" s="56">
        <v>0.0551</v>
      </c>
      <c r="J66" s="56">
        <v>0.0817</v>
      </c>
      <c r="K66" s="28">
        <v>0</v>
      </c>
      <c r="L66" s="53">
        <v>0.8</v>
      </c>
      <c r="M66" s="31">
        <v>0.98</v>
      </c>
      <c r="N66" s="31">
        <v>0.98</v>
      </c>
      <c r="O66" s="31">
        <v>0.98</v>
      </c>
      <c r="P66" s="31">
        <v>0.7</v>
      </c>
      <c r="Q66" s="31">
        <v>0.96</v>
      </c>
    </row>
    <row r="67" spans="1:17">
      <c r="A67" s="50">
        <v>63</v>
      </c>
      <c r="B67" s="51" t="s">
        <v>140</v>
      </c>
      <c r="C67" s="51" t="s">
        <v>102</v>
      </c>
      <c r="D67" s="51">
        <v>0.1</v>
      </c>
      <c r="E67" s="51">
        <v>6</v>
      </c>
      <c r="F67" s="51" t="s">
        <v>99</v>
      </c>
      <c r="G67" s="52" t="s">
        <v>100</v>
      </c>
      <c r="H67" s="28">
        <v>1518</v>
      </c>
      <c r="I67" s="53">
        <f>VLOOKUP(F67,[1]终点成分!$A$5:$C$1000,2,0)</f>
        <v>0.0708175675675676</v>
      </c>
      <c r="J67" s="53">
        <f>VLOOKUP(F67,[1]终点成分!$A$5:$C$1000,3,0)</f>
        <v>0.122477027027027</v>
      </c>
      <c r="K67" s="28">
        <v>0</v>
      </c>
      <c r="L67" s="53">
        <v>0.8</v>
      </c>
      <c r="M67" s="31">
        <v>0.98</v>
      </c>
      <c r="N67" s="31">
        <v>0.98</v>
      </c>
      <c r="O67" s="31">
        <v>0.98</v>
      </c>
      <c r="P67" s="31">
        <v>0.7</v>
      </c>
      <c r="Q67" s="31">
        <v>0.96</v>
      </c>
    </row>
    <row r="68" spans="1:17">
      <c r="A68" s="50">
        <v>64</v>
      </c>
      <c r="B68" s="51" t="s">
        <v>140</v>
      </c>
      <c r="C68" s="51" t="s">
        <v>30</v>
      </c>
      <c r="D68" s="51">
        <v>6.01</v>
      </c>
      <c r="E68" s="51">
        <v>16.44</v>
      </c>
      <c r="F68" s="51" t="s">
        <v>101</v>
      </c>
      <c r="G68" s="52" t="s">
        <v>100</v>
      </c>
      <c r="H68" s="28">
        <v>1517</v>
      </c>
      <c r="I68" s="53">
        <f>VLOOKUP(F68,[1]终点成分!$A$5:$C$1000,2,0)</f>
        <v>0.0740043183220236</v>
      </c>
      <c r="J68" s="53">
        <f>VLOOKUP(F68,[1]终点成分!$A$5:$C$1000,3,0)</f>
        <v>0.121203886489821</v>
      </c>
      <c r="K68" s="28">
        <v>0</v>
      </c>
      <c r="L68" s="53">
        <v>0.8</v>
      </c>
      <c r="M68" s="31">
        <v>0.98</v>
      </c>
      <c r="N68" s="31">
        <v>0.98</v>
      </c>
      <c r="O68" s="31">
        <v>0.98</v>
      </c>
      <c r="P68" s="31">
        <v>0.7</v>
      </c>
      <c r="Q68" s="31">
        <v>0.96</v>
      </c>
    </row>
    <row r="69" spans="1:17">
      <c r="A69" s="50">
        <v>65</v>
      </c>
      <c r="B69" s="51" t="s">
        <v>140</v>
      </c>
      <c r="C69" s="51" t="s">
        <v>33</v>
      </c>
      <c r="D69" s="51">
        <v>16.45</v>
      </c>
      <c r="E69" s="51">
        <v>30</v>
      </c>
      <c r="F69" s="51" t="s">
        <v>141</v>
      </c>
      <c r="G69" s="52" t="s">
        <v>104</v>
      </c>
      <c r="H69" s="28">
        <v>1515</v>
      </c>
      <c r="I69" s="53">
        <f>VLOOKUP(F69,[1]终点成分!$A$5:$C$1000,2,0)</f>
        <v>0.0720489510489511</v>
      </c>
      <c r="J69" s="53">
        <f>VLOOKUP(F69,[1]终点成分!$A$5:$C$1000,3,0)</f>
        <v>0.122745920745921</v>
      </c>
      <c r="K69" s="28">
        <v>0</v>
      </c>
      <c r="L69" s="53">
        <v>0.8</v>
      </c>
      <c r="M69" s="31">
        <v>0.98</v>
      </c>
      <c r="N69" s="31">
        <v>0.98</v>
      </c>
      <c r="O69" s="31">
        <v>0.98</v>
      </c>
      <c r="P69" s="31">
        <v>0.7</v>
      </c>
      <c r="Q69" s="31">
        <v>0.96</v>
      </c>
    </row>
    <row r="70" spans="1:17">
      <c r="A70" s="50">
        <v>66</v>
      </c>
      <c r="B70" s="51" t="s">
        <v>142</v>
      </c>
      <c r="C70" s="51" t="s">
        <v>30</v>
      </c>
      <c r="D70" s="51">
        <v>0.1</v>
      </c>
      <c r="E70" s="51">
        <v>6</v>
      </c>
      <c r="F70" s="51" t="s">
        <v>99</v>
      </c>
      <c r="G70" s="52" t="s">
        <v>100</v>
      </c>
      <c r="H70" s="28">
        <v>1518</v>
      </c>
      <c r="I70" s="53">
        <f>VLOOKUP(F70,[1]终点成分!$A$5:$C$1000,2,0)</f>
        <v>0.0708175675675676</v>
      </c>
      <c r="J70" s="53">
        <f>VLOOKUP(F70,[1]终点成分!$A$5:$C$1000,3,0)</f>
        <v>0.122477027027027</v>
      </c>
      <c r="K70" s="28">
        <v>0</v>
      </c>
      <c r="L70" s="53">
        <v>0.8</v>
      </c>
      <c r="M70" s="31">
        <v>0.98</v>
      </c>
      <c r="N70" s="31">
        <v>0.98</v>
      </c>
      <c r="O70" s="31">
        <v>0.98</v>
      </c>
      <c r="P70" s="31">
        <v>0.7</v>
      </c>
      <c r="Q70" s="31">
        <v>0.96</v>
      </c>
    </row>
    <row r="71" spans="1:17">
      <c r="A71" s="50">
        <v>67</v>
      </c>
      <c r="B71" s="51" t="s">
        <v>142</v>
      </c>
      <c r="C71" s="51" t="s">
        <v>33</v>
      </c>
      <c r="D71" s="51">
        <v>6.01</v>
      </c>
      <c r="E71" s="51">
        <v>16.29</v>
      </c>
      <c r="F71" s="51" t="s">
        <v>101</v>
      </c>
      <c r="G71" s="52" t="s">
        <v>100</v>
      </c>
      <c r="H71" s="28">
        <v>1517</v>
      </c>
      <c r="I71" s="53">
        <f>VLOOKUP(F71,[1]终点成分!$A$5:$C$1000,2,0)</f>
        <v>0.0740043183220236</v>
      </c>
      <c r="J71" s="53">
        <f>VLOOKUP(F71,[1]终点成分!$A$5:$C$1000,3,0)</f>
        <v>0.121203886489821</v>
      </c>
      <c r="K71" s="28">
        <v>0</v>
      </c>
      <c r="L71" s="53">
        <v>0.8</v>
      </c>
      <c r="M71" s="31">
        <v>0.98</v>
      </c>
      <c r="N71" s="31">
        <v>0.98</v>
      </c>
      <c r="O71" s="31">
        <v>0.98</v>
      </c>
      <c r="P71" s="31">
        <v>0.7</v>
      </c>
      <c r="Q71" s="31">
        <v>0.96</v>
      </c>
    </row>
    <row r="72" spans="1:17">
      <c r="A72" s="50">
        <v>68</v>
      </c>
      <c r="B72" s="51" t="s">
        <v>142</v>
      </c>
      <c r="C72" s="51" t="s">
        <v>102</v>
      </c>
      <c r="D72" s="51">
        <v>16.3</v>
      </c>
      <c r="E72" s="51">
        <v>30</v>
      </c>
      <c r="F72" s="51" t="s">
        <v>141</v>
      </c>
      <c r="G72" s="52" t="s">
        <v>104</v>
      </c>
      <c r="H72" s="28">
        <v>1515</v>
      </c>
      <c r="I72" s="53">
        <f>VLOOKUP(F72,[1]终点成分!$A$5:$C$1000,2,0)</f>
        <v>0.0720489510489511</v>
      </c>
      <c r="J72" s="53">
        <f>VLOOKUP(F72,[1]终点成分!$A$5:$C$1000,3,0)</f>
        <v>0.122745920745921</v>
      </c>
      <c r="K72" s="28">
        <v>0</v>
      </c>
      <c r="L72" s="53">
        <v>0.8</v>
      </c>
      <c r="M72" s="31">
        <v>0.98</v>
      </c>
      <c r="N72" s="31">
        <v>0.98</v>
      </c>
      <c r="O72" s="31">
        <v>0.98</v>
      </c>
      <c r="P72" s="31">
        <v>0.7</v>
      </c>
      <c r="Q72" s="31">
        <v>0.96</v>
      </c>
    </row>
    <row r="73" spans="1:17">
      <c r="A73" s="50">
        <v>69</v>
      </c>
      <c r="B73" s="51" t="s">
        <v>143</v>
      </c>
      <c r="C73" s="51" t="s">
        <v>102</v>
      </c>
      <c r="D73" s="51">
        <v>0.1</v>
      </c>
      <c r="E73" s="51">
        <v>6</v>
      </c>
      <c r="F73" s="51" t="s">
        <v>99</v>
      </c>
      <c r="G73" s="52" t="s">
        <v>100</v>
      </c>
      <c r="H73" s="28">
        <v>1518</v>
      </c>
      <c r="I73" s="53">
        <f>VLOOKUP(F73,[1]终点成分!$A$5:$C$1000,2,0)</f>
        <v>0.0708175675675676</v>
      </c>
      <c r="J73" s="53">
        <f>VLOOKUP(F73,[1]终点成分!$A$5:$C$1000,3,0)</f>
        <v>0.122477027027027</v>
      </c>
      <c r="K73" s="28">
        <v>0</v>
      </c>
      <c r="L73" s="53">
        <v>0.8</v>
      </c>
      <c r="M73" s="31">
        <v>0.98</v>
      </c>
      <c r="N73" s="31">
        <v>0.98</v>
      </c>
      <c r="O73" s="31">
        <v>0.98</v>
      </c>
      <c r="P73" s="31">
        <v>0.7</v>
      </c>
      <c r="Q73" s="31">
        <v>0.96</v>
      </c>
    </row>
    <row r="74" spans="1:17">
      <c r="A74" s="50">
        <v>70</v>
      </c>
      <c r="B74" s="51" t="s">
        <v>143</v>
      </c>
      <c r="C74" s="51" t="s">
        <v>33</v>
      </c>
      <c r="D74" s="51">
        <v>6.01</v>
      </c>
      <c r="E74" s="51">
        <v>16.24</v>
      </c>
      <c r="F74" s="51" t="s">
        <v>101</v>
      </c>
      <c r="G74" s="52" t="s">
        <v>100</v>
      </c>
      <c r="H74" s="28">
        <v>1517</v>
      </c>
      <c r="I74" s="53">
        <f>VLOOKUP(F74,[1]终点成分!$A$5:$C$1000,2,0)</f>
        <v>0.0740043183220236</v>
      </c>
      <c r="J74" s="53">
        <f>VLOOKUP(F74,[1]终点成分!$A$5:$C$1000,3,0)</f>
        <v>0.121203886489821</v>
      </c>
      <c r="K74" s="28">
        <v>0</v>
      </c>
      <c r="L74" s="53">
        <v>0.8</v>
      </c>
      <c r="M74" s="31">
        <v>0.98</v>
      </c>
      <c r="N74" s="31">
        <v>0.98</v>
      </c>
      <c r="O74" s="31">
        <v>0.98</v>
      </c>
      <c r="P74" s="31">
        <v>0.7</v>
      </c>
      <c r="Q74" s="31">
        <v>0.96</v>
      </c>
    </row>
    <row r="75" spans="1:17">
      <c r="A75" s="50">
        <v>71</v>
      </c>
      <c r="B75" s="51" t="s">
        <v>143</v>
      </c>
      <c r="C75" s="51" t="s">
        <v>30</v>
      </c>
      <c r="D75" s="51">
        <v>16.25</v>
      </c>
      <c r="E75" s="51">
        <v>30</v>
      </c>
      <c r="F75" s="51" t="s">
        <v>141</v>
      </c>
      <c r="G75" s="52" t="s">
        <v>104</v>
      </c>
      <c r="H75" s="28">
        <v>1515</v>
      </c>
      <c r="I75" s="53">
        <f>VLOOKUP(F75,[1]终点成分!$A$5:$C$1000,2,0)</f>
        <v>0.0720489510489511</v>
      </c>
      <c r="J75" s="53">
        <f>VLOOKUP(F75,[1]终点成分!$A$5:$C$1000,3,0)</f>
        <v>0.122745920745921</v>
      </c>
      <c r="K75" s="28">
        <v>0</v>
      </c>
      <c r="L75" s="53">
        <v>0.8</v>
      </c>
      <c r="M75" s="31">
        <v>0.98</v>
      </c>
      <c r="N75" s="31">
        <v>0.98</v>
      </c>
      <c r="O75" s="31">
        <v>0.98</v>
      </c>
      <c r="P75" s="31">
        <v>0.7</v>
      </c>
      <c r="Q75" s="31">
        <v>0.96</v>
      </c>
    </row>
    <row r="76" spans="1:17">
      <c r="A76" s="50">
        <v>72</v>
      </c>
      <c r="B76" s="51" t="s">
        <v>144</v>
      </c>
      <c r="C76" s="51" t="s">
        <v>30</v>
      </c>
      <c r="D76" s="51">
        <v>0.1</v>
      </c>
      <c r="E76" s="51">
        <v>6</v>
      </c>
      <c r="F76" s="51" t="s">
        <v>99</v>
      </c>
      <c r="G76" s="52" t="s">
        <v>100</v>
      </c>
      <c r="H76" s="28">
        <v>1518</v>
      </c>
      <c r="I76" s="53">
        <f>VLOOKUP(F76,[1]终点成分!$A$5:$C$1000,2,0)</f>
        <v>0.0708175675675676</v>
      </c>
      <c r="J76" s="53">
        <f>VLOOKUP(F76,[1]终点成分!$A$5:$C$1000,3,0)</f>
        <v>0.122477027027027</v>
      </c>
      <c r="K76" s="28">
        <v>0</v>
      </c>
      <c r="L76" s="53">
        <v>0.8</v>
      </c>
      <c r="M76" s="31">
        <v>0.98</v>
      </c>
      <c r="N76" s="31">
        <v>0.98</v>
      </c>
      <c r="O76" s="31">
        <v>0.98</v>
      </c>
      <c r="P76" s="31">
        <v>0.7</v>
      </c>
      <c r="Q76" s="31">
        <v>0.96</v>
      </c>
    </row>
    <row r="77" spans="1:17">
      <c r="A77" s="50">
        <v>73</v>
      </c>
      <c r="B77" s="51" t="s">
        <v>144</v>
      </c>
      <c r="C77" s="51" t="s">
        <v>102</v>
      </c>
      <c r="D77" s="51">
        <v>6.01</v>
      </c>
      <c r="E77" s="51">
        <v>15.99</v>
      </c>
      <c r="F77" s="51" t="s">
        <v>101</v>
      </c>
      <c r="G77" s="52" t="s">
        <v>100</v>
      </c>
      <c r="H77" s="28">
        <v>1517</v>
      </c>
      <c r="I77" s="53">
        <f>VLOOKUP(F77,[1]终点成分!$A$5:$C$1000,2,0)</f>
        <v>0.0740043183220236</v>
      </c>
      <c r="J77" s="53">
        <f>VLOOKUP(F77,[1]终点成分!$A$5:$C$1000,3,0)</f>
        <v>0.121203886489821</v>
      </c>
      <c r="K77" s="28">
        <v>0</v>
      </c>
      <c r="L77" s="53">
        <v>0.8</v>
      </c>
      <c r="M77" s="31">
        <v>0.98</v>
      </c>
      <c r="N77" s="31">
        <v>0.98</v>
      </c>
      <c r="O77" s="31">
        <v>0.98</v>
      </c>
      <c r="P77" s="31">
        <v>0.7</v>
      </c>
      <c r="Q77" s="31">
        <v>0.96</v>
      </c>
    </row>
    <row r="78" spans="1:17">
      <c r="A78" s="50">
        <v>74</v>
      </c>
      <c r="B78" s="51" t="s">
        <v>144</v>
      </c>
      <c r="C78" s="51" t="s">
        <v>33</v>
      </c>
      <c r="D78" s="51">
        <v>16</v>
      </c>
      <c r="E78" s="51">
        <v>30</v>
      </c>
      <c r="F78" s="51" t="s">
        <v>141</v>
      </c>
      <c r="G78" s="52" t="s">
        <v>104</v>
      </c>
      <c r="H78" s="28">
        <v>1515</v>
      </c>
      <c r="I78" s="53">
        <f>VLOOKUP(F78,[1]终点成分!$A$5:$C$1000,2,0)</f>
        <v>0.0720489510489511</v>
      </c>
      <c r="J78" s="53">
        <f>VLOOKUP(F78,[1]终点成分!$A$5:$C$1000,3,0)</f>
        <v>0.122745920745921</v>
      </c>
      <c r="K78" s="28">
        <v>0</v>
      </c>
      <c r="L78" s="53">
        <v>0.8</v>
      </c>
      <c r="M78" s="31">
        <v>0.98</v>
      </c>
      <c r="N78" s="31">
        <v>0.98</v>
      </c>
      <c r="O78" s="31">
        <v>0.98</v>
      </c>
      <c r="P78" s="31">
        <v>0.7</v>
      </c>
      <c r="Q78" s="31">
        <v>0.96</v>
      </c>
    </row>
    <row r="79" spans="1:17">
      <c r="A79" s="50">
        <v>75</v>
      </c>
      <c r="B79" s="51" t="s">
        <v>145</v>
      </c>
      <c r="C79" s="51" t="s">
        <v>30</v>
      </c>
      <c r="D79" s="51">
        <v>2</v>
      </c>
      <c r="E79" s="51">
        <v>12</v>
      </c>
      <c r="F79" s="51" t="s">
        <v>106</v>
      </c>
      <c r="G79" s="52" t="s">
        <v>107</v>
      </c>
      <c r="H79" s="28">
        <v>1517</v>
      </c>
      <c r="I79" s="53">
        <f>VLOOKUP(F79,[1]终点成分!$A$5:$C$1000,2,0)</f>
        <v>0.071</v>
      </c>
      <c r="J79" s="53">
        <f>VLOOKUP(F79,[1]终点成分!$A$5:$C$1000,3,0)</f>
        <v>0.112</v>
      </c>
      <c r="K79" s="28">
        <v>0</v>
      </c>
      <c r="L79" s="53">
        <v>0.8</v>
      </c>
      <c r="M79" s="31">
        <v>0.98</v>
      </c>
      <c r="N79" s="31">
        <v>0.98</v>
      </c>
      <c r="O79" s="31">
        <v>0.98</v>
      </c>
      <c r="P79" s="31">
        <v>0.7</v>
      </c>
      <c r="Q79" s="31">
        <v>0.96</v>
      </c>
    </row>
    <row r="80" spans="1:17">
      <c r="A80" s="50">
        <v>76</v>
      </c>
      <c r="B80" s="51" t="s">
        <v>145</v>
      </c>
      <c r="C80" s="51" t="s">
        <v>33</v>
      </c>
      <c r="D80" s="51">
        <v>12.01</v>
      </c>
      <c r="E80" s="51">
        <v>19</v>
      </c>
      <c r="F80" s="51" t="s">
        <v>108</v>
      </c>
      <c r="G80" s="52" t="s">
        <v>107</v>
      </c>
      <c r="H80" s="28">
        <v>1517</v>
      </c>
      <c r="I80" s="53">
        <f>VLOOKUP(F80,[1]终点成分!$A$5:$C$1000,2,0)</f>
        <v>0.0620652173913044</v>
      </c>
      <c r="J80" s="53">
        <f>VLOOKUP(F80,[1]终点成分!$A$5:$C$1000,3,0)</f>
        <v>0.113173913043478</v>
      </c>
      <c r="K80" s="28">
        <v>0</v>
      </c>
      <c r="L80" s="53">
        <v>0.8</v>
      </c>
      <c r="M80" s="31">
        <v>0.98</v>
      </c>
      <c r="N80" s="31">
        <v>0.98</v>
      </c>
      <c r="O80" s="31">
        <v>0.98</v>
      </c>
      <c r="P80" s="31">
        <v>0.7</v>
      </c>
      <c r="Q80" s="31">
        <v>0.96</v>
      </c>
    </row>
    <row r="81" spans="1:17">
      <c r="A81" s="50">
        <v>77</v>
      </c>
      <c r="B81" s="51" t="s">
        <v>145</v>
      </c>
      <c r="C81" s="51" t="s">
        <v>102</v>
      </c>
      <c r="D81" s="51">
        <v>19.01</v>
      </c>
      <c r="E81" s="51">
        <v>29</v>
      </c>
      <c r="F81" s="51" t="s">
        <v>109</v>
      </c>
      <c r="G81" s="52" t="s">
        <v>107</v>
      </c>
      <c r="H81" s="28">
        <v>1517</v>
      </c>
      <c r="I81" s="53">
        <f>VLOOKUP(F81,[1]终点成分!$A$5:$C$1000,2,0)</f>
        <v>0.067671052631579</v>
      </c>
      <c r="J81" s="53">
        <f>VLOOKUP(F81,[1]终点成分!$A$5:$C$1000,3,0)</f>
        <v>0.109171052631579</v>
      </c>
      <c r="K81" s="28">
        <v>0</v>
      </c>
      <c r="L81" s="53">
        <v>0.8</v>
      </c>
      <c r="M81" s="31">
        <v>0.98</v>
      </c>
      <c r="N81" s="31">
        <v>0.98</v>
      </c>
      <c r="O81" s="31">
        <v>0.98</v>
      </c>
      <c r="P81" s="31">
        <v>0.7</v>
      </c>
      <c r="Q81" s="31">
        <v>0.96</v>
      </c>
    </row>
    <row r="82" spans="1:17">
      <c r="A82" s="50">
        <v>78</v>
      </c>
      <c r="B82" s="51" t="s">
        <v>146</v>
      </c>
      <c r="C82" s="51" t="s">
        <v>33</v>
      </c>
      <c r="D82" s="51">
        <v>3</v>
      </c>
      <c r="E82" s="51">
        <v>10</v>
      </c>
      <c r="F82" s="51" t="s">
        <v>147</v>
      </c>
      <c r="G82" s="52" t="s">
        <v>148</v>
      </c>
      <c r="H82" s="28">
        <v>1515</v>
      </c>
      <c r="I82" s="53">
        <f>VLOOKUP(F82,[1]终点成分!$A$5:$C$1000,2,0)</f>
        <v>0.0606666666666667</v>
      </c>
      <c r="J82" s="53">
        <f>VLOOKUP(F82,[1]终点成分!$A$5:$C$1000,3,0)</f>
        <v>0.109666666666667</v>
      </c>
      <c r="K82" s="28">
        <v>0</v>
      </c>
      <c r="L82" s="53">
        <v>0.8</v>
      </c>
      <c r="M82" s="31">
        <v>0.98</v>
      </c>
      <c r="N82" s="31">
        <v>0.98</v>
      </c>
      <c r="O82" s="31">
        <v>0.98</v>
      </c>
      <c r="P82" s="31">
        <v>0.7</v>
      </c>
      <c r="Q82" s="31">
        <v>0.96</v>
      </c>
    </row>
    <row r="83" spans="1:17">
      <c r="A83" s="50">
        <v>79</v>
      </c>
      <c r="B83" s="51" t="s">
        <v>146</v>
      </c>
      <c r="C83" s="51" t="s">
        <v>102</v>
      </c>
      <c r="D83" s="51">
        <v>10.01</v>
      </c>
      <c r="E83" s="51">
        <v>16.5</v>
      </c>
      <c r="F83" s="51" t="s">
        <v>149</v>
      </c>
      <c r="G83" s="52" t="s">
        <v>148</v>
      </c>
      <c r="H83" s="28">
        <v>1515</v>
      </c>
      <c r="I83" s="53">
        <f>VLOOKUP(F83,[1]终点成分!$A$5:$C$1000,2,0)</f>
        <v>0.0648235294117647</v>
      </c>
      <c r="J83" s="53">
        <f>VLOOKUP(F83,[1]终点成分!$A$5:$C$1000,3,0)</f>
        <v>0.113882352941176</v>
      </c>
      <c r="K83" s="28">
        <v>0</v>
      </c>
      <c r="L83" s="53">
        <v>0.8</v>
      </c>
      <c r="M83" s="31">
        <v>0.98</v>
      </c>
      <c r="N83" s="31">
        <v>0.98</v>
      </c>
      <c r="O83" s="31">
        <v>0.98</v>
      </c>
      <c r="P83" s="31">
        <v>0.7</v>
      </c>
      <c r="Q83" s="31">
        <v>0.96</v>
      </c>
    </row>
    <row r="84" spans="1:17">
      <c r="A84" s="50">
        <v>80</v>
      </c>
      <c r="B84" s="51" t="s">
        <v>146</v>
      </c>
      <c r="C84" s="51" t="s">
        <v>30</v>
      </c>
      <c r="D84" s="51">
        <v>16.51</v>
      </c>
      <c r="E84" s="51">
        <v>28</v>
      </c>
      <c r="F84" s="51" t="s">
        <v>150</v>
      </c>
      <c r="G84" s="52" t="s">
        <v>148</v>
      </c>
      <c r="H84" s="28">
        <v>1515</v>
      </c>
      <c r="I84" s="53">
        <f>VLOOKUP(F84,[1]终点成分!$A$5:$C$1000,2,0)</f>
        <v>0.0701935483870968</v>
      </c>
      <c r="J84" s="53">
        <f>VLOOKUP(F84,[1]终点成分!$A$5:$C$1000,3,0)</f>
        <v>0.120806451612903</v>
      </c>
      <c r="K84" s="28">
        <v>0</v>
      </c>
      <c r="L84" s="53">
        <v>0.8</v>
      </c>
      <c r="M84" s="31">
        <v>0.98</v>
      </c>
      <c r="N84" s="31">
        <v>0.98</v>
      </c>
      <c r="O84" s="31">
        <v>0.98</v>
      </c>
      <c r="P84" s="31">
        <v>0.7</v>
      </c>
      <c r="Q84" s="31">
        <v>0.96</v>
      </c>
    </row>
    <row r="85" spans="1:17">
      <c r="A85" s="50">
        <v>81</v>
      </c>
      <c r="B85" s="51" t="s">
        <v>151</v>
      </c>
      <c r="C85" s="51" t="s">
        <v>30</v>
      </c>
      <c r="D85" s="51">
        <v>3</v>
      </c>
      <c r="E85" s="51">
        <v>10</v>
      </c>
      <c r="F85" s="51" t="s">
        <v>152</v>
      </c>
      <c r="G85" s="52" t="s">
        <v>153</v>
      </c>
      <c r="H85" s="28">
        <v>1516</v>
      </c>
      <c r="I85" s="53">
        <f>VLOOKUP(F85,[1]终点成分!$A$5:$C$1000,2,0)</f>
        <v>0.0638461538461539</v>
      </c>
      <c r="J85" s="53">
        <f>VLOOKUP(F85,[1]终点成分!$A$5:$C$1000,3,0)</f>
        <v>0.111538461538462</v>
      </c>
      <c r="K85" s="28">
        <v>0</v>
      </c>
      <c r="L85" s="53">
        <v>0.8</v>
      </c>
      <c r="M85" s="31">
        <v>0.98</v>
      </c>
      <c r="N85" s="31">
        <v>0.98</v>
      </c>
      <c r="O85" s="31">
        <v>0.98</v>
      </c>
      <c r="P85" s="31">
        <v>0.7</v>
      </c>
      <c r="Q85" s="31">
        <v>0.96</v>
      </c>
    </row>
    <row r="86" spans="1:17">
      <c r="A86" s="50">
        <v>82</v>
      </c>
      <c r="B86" s="51" t="s">
        <v>151</v>
      </c>
      <c r="C86" s="51" t="s">
        <v>33</v>
      </c>
      <c r="D86" s="51">
        <v>10.01</v>
      </c>
      <c r="E86" s="51">
        <v>25</v>
      </c>
      <c r="F86" s="51" t="s">
        <v>154</v>
      </c>
      <c r="G86" s="52" t="s">
        <v>153</v>
      </c>
      <c r="H86" s="28">
        <v>1516</v>
      </c>
      <c r="I86" s="53">
        <f>VLOOKUP(F86,[1]终点成分!$A$5:$C$1000,2,0)</f>
        <v>0.0591847826086956</v>
      </c>
      <c r="J86" s="53">
        <f>VLOOKUP(F86,[1]终点成分!$A$5:$C$1000,3,0)</f>
        <v>0.112532608695652</v>
      </c>
      <c r="K86" s="28">
        <v>0</v>
      </c>
      <c r="L86" s="53">
        <v>0.8</v>
      </c>
      <c r="M86" s="31">
        <v>0.98</v>
      </c>
      <c r="N86" s="31">
        <v>0.98</v>
      </c>
      <c r="O86" s="31">
        <v>0.98</v>
      </c>
      <c r="P86" s="31">
        <v>0.7</v>
      </c>
      <c r="Q86" s="31">
        <v>0.96</v>
      </c>
    </row>
    <row r="87" spans="1:17">
      <c r="A87" s="50">
        <v>83</v>
      </c>
      <c r="B87" s="51" t="s">
        <v>155</v>
      </c>
      <c r="C87" s="51" t="s">
        <v>30</v>
      </c>
      <c r="D87" s="51">
        <v>3</v>
      </c>
      <c r="E87" s="51">
        <v>10</v>
      </c>
      <c r="F87" s="51" t="s">
        <v>152</v>
      </c>
      <c r="G87" s="52" t="s">
        <v>153</v>
      </c>
      <c r="H87" s="28">
        <v>1516</v>
      </c>
      <c r="I87" s="53">
        <f>VLOOKUP(F87,[1]终点成分!$A$5:$C$1000,2,0)</f>
        <v>0.0638461538461539</v>
      </c>
      <c r="J87" s="53">
        <f>VLOOKUP(F87,[1]终点成分!$A$5:$C$1000,3,0)</f>
        <v>0.111538461538462</v>
      </c>
      <c r="K87" s="28">
        <v>0</v>
      </c>
      <c r="L87" s="53">
        <v>0.8</v>
      </c>
      <c r="M87" s="31">
        <v>0.98</v>
      </c>
      <c r="N87" s="31">
        <v>0.98</v>
      </c>
      <c r="O87" s="31">
        <v>0.98</v>
      </c>
      <c r="P87" s="31">
        <v>0.7</v>
      </c>
      <c r="Q87" s="31">
        <v>0.96</v>
      </c>
    </row>
    <row r="88" spans="1:17">
      <c r="A88" s="50">
        <v>84</v>
      </c>
      <c r="B88" s="51" t="s">
        <v>155</v>
      </c>
      <c r="C88" s="51" t="s">
        <v>33</v>
      </c>
      <c r="D88" s="51">
        <v>10.01</v>
      </c>
      <c r="E88" s="51">
        <v>25</v>
      </c>
      <c r="F88" s="51" t="s">
        <v>154</v>
      </c>
      <c r="G88" s="52" t="s">
        <v>153</v>
      </c>
      <c r="H88" s="28">
        <v>1516</v>
      </c>
      <c r="I88" s="53">
        <f>VLOOKUP(F88,[1]终点成分!$A$5:$C$1000,2,0)</f>
        <v>0.0591847826086956</v>
      </c>
      <c r="J88" s="53">
        <f>VLOOKUP(F88,[1]终点成分!$A$5:$C$1000,3,0)</f>
        <v>0.112532608695652</v>
      </c>
      <c r="K88" s="28">
        <v>0</v>
      </c>
      <c r="L88" s="53">
        <v>0.8</v>
      </c>
      <c r="M88" s="31">
        <v>0.98</v>
      </c>
      <c r="N88" s="31">
        <v>0.98</v>
      </c>
      <c r="O88" s="31">
        <v>0.98</v>
      </c>
      <c r="P88" s="31">
        <v>0.7</v>
      </c>
      <c r="Q88" s="31">
        <v>0.96</v>
      </c>
    </row>
    <row r="89" spans="1:17">
      <c r="A89" s="50">
        <v>85</v>
      </c>
      <c r="B89" s="51" t="s">
        <v>156</v>
      </c>
      <c r="C89" s="51" t="s">
        <v>30</v>
      </c>
      <c r="D89" s="51">
        <v>3</v>
      </c>
      <c r="E89" s="51">
        <v>10</v>
      </c>
      <c r="F89" s="51" t="s">
        <v>152</v>
      </c>
      <c r="G89" s="52" t="s">
        <v>153</v>
      </c>
      <c r="H89" s="28">
        <v>1516</v>
      </c>
      <c r="I89" s="53">
        <f>VLOOKUP(F89,[1]终点成分!$A$5:$C$1000,2,0)</f>
        <v>0.0638461538461539</v>
      </c>
      <c r="J89" s="53">
        <f>VLOOKUP(F89,[1]终点成分!$A$5:$C$1000,3,0)</f>
        <v>0.111538461538462</v>
      </c>
      <c r="K89" s="28">
        <v>0</v>
      </c>
      <c r="L89" s="53">
        <v>0.8</v>
      </c>
      <c r="M89" s="31">
        <v>0.98</v>
      </c>
      <c r="N89" s="31">
        <v>0.98</v>
      </c>
      <c r="O89" s="31">
        <v>0.98</v>
      </c>
      <c r="P89" s="31">
        <v>0.7</v>
      </c>
      <c r="Q89" s="31">
        <v>0.96</v>
      </c>
    </row>
    <row r="90" spans="1:17">
      <c r="A90" s="50">
        <v>86</v>
      </c>
      <c r="B90" s="51" t="s">
        <v>156</v>
      </c>
      <c r="C90" s="51" t="s">
        <v>33</v>
      </c>
      <c r="D90" s="51">
        <v>10.01</v>
      </c>
      <c r="E90" s="51">
        <v>25</v>
      </c>
      <c r="F90" s="51" t="s">
        <v>154</v>
      </c>
      <c r="G90" s="52" t="s">
        <v>153</v>
      </c>
      <c r="H90" s="28">
        <v>1516</v>
      </c>
      <c r="I90" s="53">
        <f>VLOOKUP(F90,[1]终点成分!$A$5:$C$1000,2,0)</f>
        <v>0.0591847826086956</v>
      </c>
      <c r="J90" s="53">
        <f>VLOOKUP(F90,[1]终点成分!$A$5:$C$1000,3,0)</f>
        <v>0.112532608695652</v>
      </c>
      <c r="K90" s="28">
        <v>0</v>
      </c>
      <c r="L90" s="53">
        <v>0.8</v>
      </c>
      <c r="M90" s="31">
        <v>0.98</v>
      </c>
      <c r="N90" s="31">
        <v>0.98</v>
      </c>
      <c r="O90" s="31">
        <v>0.98</v>
      </c>
      <c r="P90" s="31">
        <v>0.7</v>
      </c>
      <c r="Q90" s="31">
        <v>0.96</v>
      </c>
    </row>
    <row r="91" spans="1:17">
      <c r="A91" s="50">
        <v>87</v>
      </c>
      <c r="B91" s="51" t="s">
        <v>157</v>
      </c>
      <c r="C91" s="51" t="s">
        <v>30</v>
      </c>
      <c r="D91" s="51">
        <v>3</v>
      </c>
      <c r="E91" s="51">
        <v>10</v>
      </c>
      <c r="F91" s="51" t="s">
        <v>152</v>
      </c>
      <c r="G91" s="52" t="s">
        <v>153</v>
      </c>
      <c r="H91" s="28">
        <v>1516</v>
      </c>
      <c r="I91" s="53">
        <f>VLOOKUP(F91,[1]终点成分!$A$5:$C$1000,2,0)</f>
        <v>0.0638461538461539</v>
      </c>
      <c r="J91" s="53">
        <f>VLOOKUP(F91,[1]终点成分!$A$5:$C$1000,3,0)</f>
        <v>0.111538461538462</v>
      </c>
      <c r="K91" s="28">
        <v>0</v>
      </c>
      <c r="L91" s="53">
        <v>0.8</v>
      </c>
      <c r="M91" s="31">
        <v>0.98</v>
      </c>
      <c r="N91" s="31">
        <v>0.98</v>
      </c>
      <c r="O91" s="31">
        <v>0.98</v>
      </c>
      <c r="P91" s="31">
        <v>0.7</v>
      </c>
      <c r="Q91" s="31">
        <v>0.96</v>
      </c>
    </row>
    <row r="92" spans="1:17">
      <c r="A92" s="50">
        <v>88</v>
      </c>
      <c r="B92" s="51" t="s">
        <v>157</v>
      </c>
      <c r="C92" s="51" t="s">
        <v>33</v>
      </c>
      <c r="D92" s="51">
        <v>10.01</v>
      </c>
      <c r="E92" s="51">
        <v>25</v>
      </c>
      <c r="F92" s="51" t="s">
        <v>154</v>
      </c>
      <c r="G92" s="52" t="s">
        <v>153</v>
      </c>
      <c r="H92" s="28">
        <v>1516</v>
      </c>
      <c r="I92" s="53">
        <f>VLOOKUP(F92,[1]终点成分!$A$5:$C$1000,2,0)</f>
        <v>0.0591847826086956</v>
      </c>
      <c r="J92" s="53">
        <f>VLOOKUP(F92,[1]终点成分!$A$5:$C$1000,3,0)</f>
        <v>0.112532608695652</v>
      </c>
      <c r="K92" s="28">
        <v>0</v>
      </c>
      <c r="L92" s="53">
        <v>0.8</v>
      </c>
      <c r="M92" s="31">
        <v>0.98</v>
      </c>
      <c r="N92" s="31">
        <v>0.98</v>
      </c>
      <c r="O92" s="31">
        <v>0.98</v>
      </c>
      <c r="P92" s="31">
        <v>0.7</v>
      </c>
      <c r="Q92" s="31">
        <v>0.96</v>
      </c>
    </row>
    <row r="93" spans="1:17">
      <c r="A93" s="50">
        <v>89</v>
      </c>
      <c r="B93" s="51" t="s">
        <v>158</v>
      </c>
      <c r="C93" s="51" t="s">
        <v>30</v>
      </c>
      <c r="D93" s="51">
        <v>3</v>
      </c>
      <c r="E93" s="51">
        <v>10</v>
      </c>
      <c r="F93" s="51" t="s">
        <v>159</v>
      </c>
      <c r="G93" s="52" t="s">
        <v>160</v>
      </c>
      <c r="H93" s="28">
        <v>1516</v>
      </c>
      <c r="I93" s="53">
        <f>VLOOKUP(F93,[1]终点成分!$A$5:$C$1000,2,0)</f>
        <v>0.071</v>
      </c>
      <c r="J93" s="53">
        <f>VLOOKUP(F93,[1]终点成分!$A$5:$C$1000,3,0)</f>
        <v>0.129</v>
      </c>
      <c r="K93" s="28">
        <v>0</v>
      </c>
      <c r="L93" s="53">
        <v>0.8</v>
      </c>
      <c r="M93" s="31">
        <v>0.98</v>
      </c>
      <c r="N93" s="31">
        <v>0.98</v>
      </c>
      <c r="O93" s="31">
        <v>0.98</v>
      </c>
      <c r="P93" s="31">
        <v>0.7</v>
      </c>
      <c r="Q93" s="31">
        <v>0.96</v>
      </c>
    </row>
    <row r="94" spans="1:17">
      <c r="A94" s="50">
        <v>90</v>
      </c>
      <c r="B94" s="51" t="s">
        <v>158</v>
      </c>
      <c r="C94" s="51" t="s">
        <v>33</v>
      </c>
      <c r="D94" s="51">
        <v>10.01</v>
      </c>
      <c r="E94" s="51">
        <v>24</v>
      </c>
      <c r="F94" s="51" t="s">
        <v>161</v>
      </c>
      <c r="G94" s="52" t="s">
        <v>160</v>
      </c>
      <c r="H94" s="28">
        <v>1516</v>
      </c>
      <c r="I94" s="53">
        <f>VLOOKUP(F94,[1]终点成分!$A$5:$C$1000,2,0)</f>
        <v>0.0796666666666667</v>
      </c>
      <c r="J94" s="53">
        <f>VLOOKUP(F94,[1]终点成分!$A$5:$C$1000,3,0)</f>
        <v>0.132333333333333</v>
      </c>
      <c r="K94" s="28">
        <v>0</v>
      </c>
      <c r="L94" s="53">
        <v>0.8</v>
      </c>
      <c r="M94" s="31">
        <v>0.98</v>
      </c>
      <c r="N94" s="31">
        <v>0.98</v>
      </c>
      <c r="O94" s="31">
        <v>0.98</v>
      </c>
      <c r="P94" s="31">
        <v>0.7</v>
      </c>
      <c r="Q94" s="31">
        <v>0.96</v>
      </c>
    </row>
    <row r="95" spans="1:17">
      <c r="A95" s="50">
        <v>91</v>
      </c>
      <c r="B95" s="51" t="s">
        <v>162</v>
      </c>
      <c r="C95" s="51" t="s">
        <v>30</v>
      </c>
      <c r="D95" s="51">
        <v>3</v>
      </c>
      <c r="E95" s="51">
        <v>10</v>
      </c>
      <c r="F95" s="51" t="s">
        <v>163</v>
      </c>
      <c r="G95" s="52" t="s">
        <v>164</v>
      </c>
      <c r="H95" s="28">
        <v>1516</v>
      </c>
      <c r="I95" s="53">
        <f>VLOOKUP(F95,[1]终点成分!$A$5:$C$1000,2,0)</f>
        <v>0.0485</v>
      </c>
      <c r="J95" s="53">
        <f>VLOOKUP(F95,[1]终点成分!$A$5:$C$1000,3,0)</f>
        <v>0.0875</v>
      </c>
      <c r="K95" s="28">
        <v>0</v>
      </c>
      <c r="L95" s="53">
        <v>0.8</v>
      </c>
      <c r="M95" s="31">
        <v>0.98</v>
      </c>
      <c r="N95" s="31">
        <v>0.98</v>
      </c>
      <c r="O95" s="31">
        <v>0.98</v>
      </c>
      <c r="P95" s="31">
        <v>0.7</v>
      </c>
      <c r="Q95" s="31">
        <v>0.96</v>
      </c>
    </row>
    <row r="96" spans="1:17">
      <c r="A96" s="50">
        <v>92</v>
      </c>
      <c r="B96" s="51" t="s">
        <v>162</v>
      </c>
      <c r="C96" s="51" t="s">
        <v>33</v>
      </c>
      <c r="D96" s="51">
        <v>10.01</v>
      </c>
      <c r="E96" s="51">
        <v>25</v>
      </c>
      <c r="F96" s="51" t="s">
        <v>165</v>
      </c>
      <c r="G96" s="52" t="s">
        <v>164</v>
      </c>
      <c r="H96" s="28">
        <v>1516</v>
      </c>
      <c r="I96" s="53">
        <f>VLOOKUP(F96,[1]终点成分!$A$5:$C$1000,2,0)</f>
        <v>0.057</v>
      </c>
      <c r="J96" s="53">
        <f>VLOOKUP(F96,[1]终点成分!$A$5:$C$1000,3,0)</f>
        <v>0.0965</v>
      </c>
      <c r="K96" s="28">
        <v>0</v>
      </c>
      <c r="L96" s="53">
        <v>0.8</v>
      </c>
      <c r="M96" s="31">
        <v>0.98</v>
      </c>
      <c r="N96" s="31">
        <v>0.98</v>
      </c>
      <c r="O96" s="31">
        <v>0.98</v>
      </c>
      <c r="P96" s="31">
        <v>0.7</v>
      </c>
      <c r="Q96" s="31">
        <v>0.96</v>
      </c>
    </row>
    <row r="97" spans="1:17">
      <c r="A97" s="50">
        <v>93</v>
      </c>
      <c r="B97" s="51" t="s">
        <v>166</v>
      </c>
      <c r="C97" s="51" t="s">
        <v>30</v>
      </c>
      <c r="D97" s="51">
        <v>3</v>
      </c>
      <c r="E97" s="51">
        <v>10</v>
      </c>
      <c r="F97" s="51" t="s">
        <v>163</v>
      </c>
      <c r="G97" s="52" t="s">
        <v>164</v>
      </c>
      <c r="H97" s="28">
        <v>1516</v>
      </c>
      <c r="I97" s="53">
        <f>VLOOKUP(F97,[1]终点成分!$A$5:$C$1000,2,0)</f>
        <v>0.0485</v>
      </c>
      <c r="J97" s="53">
        <f>VLOOKUP(F97,[1]终点成分!$A$5:$C$1000,3,0)</f>
        <v>0.0875</v>
      </c>
      <c r="K97" s="28">
        <v>0</v>
      </c>
      <c r="L97" s="53">
        <v>0.8</v>
      </c>
      <c r="M97" s="31">
        <v>0.98</v>
      </c>
      <c r="N97" s="31">
        <v>0.98</v>
      </c>
      <c r="O97" s="31">
        <v>0.98</v>
      </c>
      <c r="P97" s="31">
        <v>0.7</v>
      </c>
      <c r="Q97" s="31">
        <v>0.96</v>
      </c>
    </row>
    <row r="98" spans="1:17">
      <c r="A98" s="50">
        <v>94</v>
      </c>
      <c r="B98" s="51" t="s">
        <v>166</v>
      </c>
      <c r="C98" s="51" t="s">
        <v>33</v>
      </c>
      <c r="D98" s="51">
        <v>10.01</v>
      </c>
      <c r="E98" s="51">
        <v>25</v>
      </c>
      <c r="F98" s="51" t="s">
        <v>165</v>
      </c>
      <c r="G98" s="52" t="s">
        <v>164</v>
      </c>
      <c r="H98" s="28">
        <v>1516</v>
      </c>
      <c r="I98" s="53">
        <f>VLOOKUP(F98,[1]终点成分!$A$5:$C$1000,2,0)</f>
        <v>0.057</v>
      </c>
      <c r="J98" s="53">
        <f>VLOOKUP(F98,[1]终点成分!$A$5:$C$1000,3,0)</f>
        <v>0.0965</v>
      </c>
      <c r="K98" s="28">
        <v>0</v>
      </c>
      <c r="L98" s="53">
        <v>0.8</v>
      </c>
      <c r="M98" s="31">
        <v>0.98</v>
      </c>
      <c r="N98" s="31">
        <v>0.98</v>
      </c>
      <c r="O98" s="31">
        <v>0.98</v>
      </c>
      <c r="P98" s="31">
        <v>0.7</v>
      </c>
      <c r="Q98" s="31">
        <v>0.96</v>
      </c>
    </row>
    <row r="99" spans="1:17">
      <c r="A99" s="50">
        <v>95</v>
      </c>
      <c r="B99" s="51" t="s">
        <v>167</v>
      </c>
      <c r="C99" s="51" t="s">
        <v>30</v>
      </c>
      <c r="D99" s="51">
        <v>3</v>
      </c>
      <c r="E99" s="51">
        <v>10</v>
      </c>
      <c r="F99" s="51" t="s">
        <v>163</v>
      </c>
      <c r="G99" s="52" t="s">
        <v>164</v>
      </c>
      <c r="H99" s="28">
        <v>1516</v>
      </c>
      <c r="I99" s="53">
        <f>VLOOKUP(F99,[1]终点成分!$A$5:$C$1000,2,0)</f>
        <v>0.0485</v>
      </c>
      <c r="J99" s="53">
        <f>VLOOKUP(F99,[1]终点成分!$A$5:$C$1000,3,0)</f>
        <v>0.0875</v>
      </c>
      <c r="K99" s="28">
        <v>0</v>
      </c>
      <c r="L99" s="53">
        <v>0.8</v>
      </c>
      <c r="M99" s="31">
        <v>0.98</v>
      </c>
      <c r="N99" s="31">
        <v>0.98</v>
      </c>
      <c r="O99" s="31">
        <v>0.98</v>
      </c>
      <c r="P99" s="31">
        <v>0.7</v>
      </c>
      <c r="Q99" s="31">
        <v>0.96</v>
      </c>
    </row>
    <row r="100" spans="1:17">
      <c r="A100" s="50">
        <v>96</v>
      </c>
      <c r="B100" s="51" t="s">
        <v>167</v>
      </c>
      <c r="C100" s="51" t="s">
        <v>33</v>
      </c>
      <c r="D100" s="51">
        <v>10.01</v>
      </c>
      <c r="E100" s="51">
        <v>25</v>
      </c>
      <c r="F100" s="51" t="s">
        <v>165</v>
      </c>
      <c r="G100" s="52" t="s">
        <v>164</v>
      </c>
      <c r="H100" s="28">
        <v>1516</v>
      </c>
      <c r="I100" s="53">
        <f>VLOOKUP(F100,[1]终点成分!$A$5:$C$1000,2,0)</f>
        <v>0.057</v>
      </c>
      <c r="J100" s="53">
        <f>VLOOKUP(F100,[1]终点成分!$A$5:$C$1000,3,0)</f>
        <v>0.0965</v>
      </c>
      <c r="K100" s="28">
        <v>0</v>
      </c>
      <c r="L100" s="53">
        <v>0.8</v>
      </c>
      <c r="M100" s="31">
        <v>0.98</v>
      </c>
      <c r="N100" s="31">
        <v>0.98</v>
      </c>
      <c r="O100" s="31">
        <v>0.98</v>
      </c>
      <c r="P100" s="31">
        <v>0.7</v>
      </c>
      <c r="Q100" s="31">
        <v>0.96</v>
      </c>
    </row>
    <row r="101" spans="1:17">
      <c r="A101" s="50">
        <v>97</v>
      </c>
      <c r="B101" s="51" t="s">
        <v>168</v>
      </c>
      <c r="C101" s="51" t="s">
        <v>30</v>
      </c>
      <c r="D101" s="51">
        <v>3</v>
      </c>
      <c r="E101" s="51">
        <v>10.49</v>
      </c>
      <c r="F101" s="51" t="s">
        <v>169</v>
      </c>
      <c r="G101" s="52" t="s">
        <v>170</v>
      </c>
      <c r="H101" s="28">
        <v>1516</v>
      </c>
      <c r="I101" s="53">
        <f>VLOOKUP(F101,[1]终点成分!$A$5:$C$1000,2,0)</f>
        <v>0.065</v>
      </c>
      <c r="J101" s="53">
        <f>VLOOKUP(F101,[1]终点成分!$A$5:$C$1000,3,0)</f>
        <v>0.093</v>
      </c>
      <c r="K101" s="28">
        <v>0</v>
      </c>
      <c r="L101" s="53">
        <v>0.8</v>
      </c>
      <c r="M101" s="31">
        <v>0.98</v>
      </c>
      <c r="N101" s="31">
        <v>0.98</v>
      </c>
      <c r="O101" s="31">
        <v>0.98</v>
      </c>
      <c r="P101" s="31">
        <v>0.7</v>
      </c>
      <c r="Q101" s="31">
        <v>0.96</v>
      </c>
    </row>
    <row r="102" spans="1:17">
      <c r="A102" s="50">
        <v>98</v>
      </c>
      <c r="B102" s="51" t="s">
        <v>168</v>
      </c>
      <c r="C102" s="51" t="s">
        <v>33</v>
      </c>
      <c r="D102" s="51">
        <v>10.5</v>
      </c>
      <c r="E102" s="51">
        <v>20</v>
      </c>
      <c r="F102" s="51" t="s">
        <v>171</v>
      </c>
      <c r="G102" s="52" t="s">
        <v>170</v>
      </c>
      <c r="H102" s="28">
        <v>1516</v>
      </c>
      <c r="I102" s="54">
        <v>0.065</v>
      </c>
      <c r="J102" s="54">
        <v>0.093</v>
      </c>
      <c r="K102" s="28">
        <v>0</v>
      </c>
      <c r="L102" s="53">
        <v>0.8</v>
      </c>
      <c r="M102" s="31">
        <v>0.98</v>
      </c>
      <c r="N102" s="31">
        <v>0.98</v>
      </c>
      <c r="O102" s="31">
        <v>0.98</v>
      </c>
      <c r="P102" s="31">
        <v>0.7</v>
      </c>
      <c r="Q102" s="31">
        <v>0.96</v>
      </c>
    </row>
    <row r="103" spans="1:17">
      <c r="A103" s="50">
        <v>99</v>
      </c>
      <c r="B103" s="51" t="s">
        <v>172</v>
      </c>
      <c r="C103" s="51" t="s">
        <v>30</v>
      </c>
      <c r="D103" s="51">
        <v>3</v>
      </c>
      <c r="E103" s="51">
        <v>10.3</v>
      </c>
      <c r="F103" s="51" t="s">
        <v>173</v>
      </c>
      <c r="G103" s="52" t="s">
        <v>174</v>
      </c>
      <c r="H103" s="28">
        <v>1520</v>
      </c>
      <c r="I103" s="54">
        <v>0.051</v>
      </c>
      <c r="J103" s="54">
        <v>0.103333333333333</v>
      </c>
      <c r="K103" s="28">
        <v>0</v>
      </c>
      <c r="L103" s="53">
        <v>0.8</v>
      </c>
      <c r="M103" s="31">
        <v>0.98</v>
      </c>
      <c r="N103" s="31">
        <v>0.98</v>
      </c>
      <c r="O103" s="31">
        <v>0.98</v>
      </c>
      <c r="P103" s="31">
        <v>0.7</v>
      </c>
      <c r="Q103" s="31">
        <v>0.96</v>
      </c>
    </row>
    <row r="104" spans="1:17">
      <c r="A104" s="50">
        <v>100</v>
      </c>
      <c r="B104" s="51" t="s">
        <v>172</v>
      </c>
      <c r="C104" s="51" t="s">
        <v>33</v>
      </c>
      <c r="D104" s="51">
        <v>10.31</v>
      </c>
      <c r="E104" s="51">
        <v>16.5</v>
      </c>
      <c r="F104" s="51" t="s">
        <v>175</v>
      </c>
      <c r="G104" s="52" t="s">
        <v>174</v>
      </c>
      <c r="H104" s="28">
        <v>1520</v>
      </c>
      <c r="I104" s="53">
        <f>VLOOKUP(F104,[1]终点成分!$A$5:$C$1000,2,0)</f>
        <v>0.051</v>
      </c>
      <c r="J104" s="53">
        <f>VLOOKUP(F104,[1]终点成分!$A$5:$C$1000,3,0)</f>
        <v>0.103333333333333</v>
      </c>
      <c r="K104" s="28">
        <v>0</v>
      </c>
      <c r="L104" s="53">
        <v>0.8</v>
      </c>
      <c r="M104" s="31">
        <v>0.98</v>
      </c>
      <c r="N104" s="31">
        <v>0.98</v>
      </c>
      <c r="O104" s="31">
        <v>0.98</v>
      </c>
      <c r="P104" s="31">
        <v>0.7</v>
      </c>
      <c r="Q104" s="31">
        <v>0.96</v>
      </c>
    </row>
    <row r="105" spans="1:17">
      <c r="A105" s="50">
        <v>101</v>
      </c>
      <c r="B105" s="51" t="s">
        <v>176</v>
      </c>
      <c r="C105" s="51" t="s">
        <v>30</v>
      </c>
      <c r="D105" s="51">
        <v>1.5</v>
      </c>
      <c r="E105" s="51">
        <v>10.3</v>
      </c>
      <c r="F105" s="51" t="s">
        <v>177</v>
      </c>
      <c r="G105" s="52" t="s">
        <v>178</v>
      </c>
      <c r="H105" s="28">
        <v>1520</v>
      </c>
      <c r="I105" s="54">
        <v>0.051</v>
      </c>
      <c r="J105" s="54">
        <v>0.103333333333333</v>
      </c>
      <c r="K105" s="28">
        <v>0</v>
      </c>
      <c r="L105" s="53">
        <v>0.8</v>
      </c>
      <c r="M105" s="31">
        <v>0.98</v>
      </c>
      <c r="N105" s="31">
        <v>0.98</v>
      </c>
      <c r="O105" s="31">
        <v>0.98</v>
      </c>
      <c r="P105" s="31">
        <v>0.7</v>
      </c>
      <c r="Q105" s="31">
        <v>0.96</v>
      </c>
    </row>
    <row r="106" spans="1:17">
      <c r="A106" s="50">
        <v>102</v>
      </c>
      <c r="B106" s="51" t="s">
        <v>176</v>
      </c>
      <c r="C106" s="51" t="s">
        <v>33</v>
      </c>
      <c r="D106" s="51">
        <v>10.31</v>
      </c>
      <c r="E106" s="51">
        <v>16.5</v>
      </c>
      <c r="F106" s="51" t="s">
        <v>179</v>
      </c>
      <c r="G106" s="52" t="s">
        <v>178</v>
      </c>
      <c r="H106" s="28">
        <v>1520</v>
      </c>
      <c r="I106" s="54">
        <v>0.051</v>
      </c>
      <c r="J106" s="54">
        <v>0.103333333333333</v>
      </c>
      <c r="K106" s="28">
        <v>0</v>
      </c>
      <c r="L106" s="53">
        <v>0.8</v>
      </c>
      <c r="M106" s="31">
        <v>0.98</v>
      </c>
      <c r="N106" s="31">
        <v>0.98</v>
      </c>
      <c r="O106" s="31">
        <v>0.98</v>
      </c>
      <c r="P106" s="31">
        <v>0.7</v>
      </c>
      <c r="Q106" s="31">
        <v>0.96</v>
      </c>
    </row>
    <row r="107" spans="1:17">
      <c r="A107" s="50">
        <v>103</v>
      </c>
      <c r="B107" s="51" t="s">
        <v>180</v>
      </c>
      <c r="C107" s="51" t="s">
        <v>30</v>
      </c>
      <c r="D107" s="51">
        <v>16.01</v>
      </c>
      <c r="E107" s="51">
        <v>25.4</v>
      </c>
      <c r="F107" s="51" t="s">
        <v>181</v>
      </c>
      <c r="G107" s="51" t="s">
        <v>182</v>
      </c>
      <c r="H107" s="28"/>
      <c r="I107" s="54"/>
      <c r="J107" s="54"/>
      <c r="K107" s="28">
        <v>0</v>
      </c>
      <c r="L107" s="53">
        <v>0.8</v>
      </c>
      <c r="M107" s="31">
        <v>0.98</v>
      </c>
      <c r="N107" s="31">
        <v>0.98</v>
      </c>
      <c r="O107" s="31">
        <v>0.98</v>
      </c>
      <c r="P107" s="31">
        <v>0.7</v>
      </c>
      <c r="Q107" s="31">
        <v>0.96</v>
      </c>
    </row>
    <row r="108" spans="1:17">
      <c r="A108" s="50">
        <v>104</v>
      </c>
      <c r="B108" s="51" t="s">
        <v>183</v>
      </c>
      <c r="C108" s="51" t="s">
        <v>30</v>
      </c>
      <c r="D108" s="51">
        <v>3</v>
      </c>
      <c r="E108" s="51">
        <v>10.3</v>
      </c>
      <c r="F108" s="51" t="s">
        <v>184</v>
      </c>
      <c r="G108" s="52" t="s">
        <v>185</v>
      </c>
      <c r="H108" s="28">
        <v>1520</v>
      </c>
      <c r="I108" s="54">
        <v>0.051</v>
      </c>
      <c r="J108" s="54">
        <v>0.103333333333333</v>
      </c>
      <c r="K108" s="28">
        <v>0</v>
      </c>
      <c r="L108" s="53">
        <v>0.8</v>
      </c>
      <c r="M108" s="31">
        <v>0.98</v>
      </c>
      <c r="N108" s="31">
        <v>0.98</v>
      </c>
      <c r="O108" s="31">
        <v>0.98</v>
      </c>
      <c r="P108" s="31">
        <v>0.7</v>
      </c>
      <c r="Q108" s="31">
        <v>0.96</v>
      </c>
    </row>
    <row r="109" spans="1:17">
      <c r="A109" s="50">
        <v>105</v>
      </c>
      <c r="B109" s="51" t="s">
        <v>183</v>
      </c>
      <c r="C109" s="51" t="s">
        <v>33</v>
      </c>
      <c r="D109" s="51">
        <v>10.31</v>
      </c>
      <c r="E109" s="51">
        <v>16.5</v>
      </c>
      <c r="F109" s="51" t="s">
        <v>186</v>
      </c>
      <c r="G109" s="52" t="s">
        <v>185</v>
      </c>
      <c r="H109" s="28">
        <v>1520</v>
      </c>
      <c r="I109" s="54">
        <v>0.051</v>
      </c>
      <c r="J109" s="54">
        <v>0.103333333333333</v>
      </c>
      <c r="K109" s="28">
        <v>0</v>
      </c>
      <c r="L109" s="53">
        <v>0.8</v>
      </c>
      <c r="M109" s="31">
        <v>0.98</v>
      </c>
      <c r="N109" s="31">
        <v>0.98</v>
      </c>
      <c r="O109" s="31">
        <v>0.98</v>
      </c>
      <c r="P109" s="31">
        <v>0.7</v>
      </c>
      <c r="Q109" s="31">
        <v>0.96</v>
      </c>
    </row>
    <row r="110" spans="1:17">
      <c r="A110" s="50">
        <v>106</v>
      </c>
      <c r="B110" s="51" t="s">
        <v>187</v>
      </c>
      <c r="C110" s="51" t="s">
        <v>30</v>
      </c>
      <c r="D110" s="51">
        <v>3</v>
      </c>
      <c r="E110" s="51">
        <v>10.3</v>
      </c>
      <c r="F110" s="51" t="s">
        <v>188</v>
      </c>
      <c r="G110" s="52" t="s">
        <v>189</v>
      </c>
      <c r="H110" s="28">
        <v>1521</v>
      </c>
      <c r="I110" s="54">
        <v>0.035</v>
      </c>
      <c r="J110" s="54">
        <v>0.0905</v>
      </c>
      <c r="K110" s="28">
        <v>0</v>
      </c>
      <c r="L110" s="53">
        <v>0.8</v>
      </c>
      <c r="M110" s="31">
        <v>0.98</v>
      </c>
      <c r="N110" s="31">
        <v>0.98</v>
      </c>
      <c r="O110" s="31">
        <v>0.98</v>
      </c>
      <c r="P110" s="31">
        <v>0.7</v>
      </c>
      <c r="Q110" s="31">
        <v>0.96</v>
      </c>
    </row>
    <row r="111" spans="1:17">
      <c r="A111" s="50">
        <v>107</v>
      </c>
      <c r="B111" s="51" t="s">
        <v>187</v>
      </c>
      <c r="C111" s="51" t="s">
        <v>33</v>
      </c>
      <c r="D111" s="51">
        <v>10.31</v>
      </c>
      <c r="E111" s="51">
        <v>16.5</v>
      </c>
      <c r="F111" s="51" t="s">
        <v>190</v>
      </c>
      <c r="G111" s="52" t="s">
        <v>189</v>
      </c>
      <c r="H111" s="28">
        <v>1521</v>
      </c>
      <c r="I111" s="53">
        <f>VLOOKUP(F111,[1]终点成分!$A$5:$C$1000,2,0)</f>
        <v>0.035</v>
      </c>
      <c r="J111" s="53">
        <f>VLOOKUP(F111,[1]终点成分!$A$5:$C$1000,3,0)</f>
        <v>0.0905</v>
      </c>
      <c r="K111" s="28">
        <v>0</v>
      </c>
      <c r="L111" s="53">
        <v>0.8</v>
      </c>
      <c r="M111" s="31">
        <v>0.98</v>
      </c>
      <c r="N111" s="31">
        <v>0.98</v>
      </c>
      <c r="O111" s="31">
        <v>0.98</v>
      </c>
      <c r="P111" s="31">
        <v>0.7</v>
      </c>
      <c r="Q111" s="31">
        <v>0.96</v>
      </c>
    </row>
    <row r="112" spans="1:17">
      <c r="A112" s="50">
        <v>108</v>
      </c>
      <c r="B112" s="51" t="s">
        <v>191</v>
      </c>
      <c r="C112" s="51" t="s">
        <v>30</v>
      </c>
      <c r="D112" s="51">
        <v>3</v>
      </c>
      <c r="E112" s="51">
        <v>10.3</v>
      </c>
      <c r="F112" s="51" t="s">
        <v>192</v>
      </c>
      <c r="G112" s="52" t="s">
        <v>193</v>
      </c>
      <c r="H112" s="28">
        <v>1521</v>
      </c>
      <c r="I112" s="54">
        <v>0.035</v>
      </c>
      <c r="J112" s="54">
        <v>0.0905</v>
      </c>
      <c r="K112" s="28">
        <v>0</v>
      </c>
      <c r="L112" s="53">
        <v>0.8</v>
      </c>
      <c r="M112" s="31">
        <v>0.98</v>
      </c>
      <c r="N112" s="31">
        <v>0.98</v>
      </c>
      <c r="O112" s="31">
        <v>0.98</v>
      </c>
      <c r="P112" s="31">
        <v>0.7</v>
      </c>
      <c r="Q112" s="31">
        <v>0.96</v>
      </c>
    </row>
    <row r="113" spans="1:17">
      <c r="A113" s="50">
        <v>109</v>
      </c>
      <c r="B113" s="51" t="s">
        <v>191</v>
      </c>
      <c r="C113" s="51" t="s">
        <v>33</v>
      </c>
      <c r="D113" s="51">
        <v>10.31</v>
      </c>
      <c r="E113" s="51">
        <v>16.5</v>
      </c>
      <c r="F113" s="51" t="s">
        <v>194</v>
      </c>
      <c r="G113" s="52" t="s">
        <v>193</v>
      </c>
      <c r="H113" s="28">
        <v>1521</v>
      </c>
      <c r="I113" s="54">
        <v>0.035</v>
      </c>
      <c r="J113" s="54">
        <v>0.0905</v>
      </c>
      <c r="K113" s="28">
        <v>0</v>
      </c>
      <c r="L113" s="53">
        <v>0.8</v>
      </c>
      <c r="M113" s="31">
        <v>0.98</v>
      </c>
      <c r="N113" s="31">
        <v>0.98</v>
      </c>
      <c r="O113" s="31">
        <v>0.98</v>
      </c>
      <c r="P113" s="31">
        <v>0.7</v>
      </c>
      <c r="Q113" s="31">
        <v>0.96</v>
      </c>
    </row>
    <row r="114" spans="1:17">
      <c r="A114" s="50">
        <v>110</v>
      </c>
      <c r="B114" s="51" t="s">
        <v>195</v>
      </c>
      <c r="C114" s="51" t="s">
        <v>30</v>
      </c>
      <c r="D114" s="51">
        <v>3</v>
      </c>
      <c r="E114" s="51">
        <v>12</v>
      </c>
      <c r="F114" s="51" t="s">
        <v>195</v>
      </c>
      <c r="G114" s="52" t="s">
        <v>196</v>
      </c>
      <c r="H114" s="28">
        <v>1520</v>
      </c>
      <c r="I114" s="54">
        <v>0.035</v>
      </c>
      <c r="J114" s="54">
        <v>0.0905</v>
      </c>
      <c r="K114" s="28">
        <v>0</v>
      </c>
      <c r="L114" s="53">
        <v>0.8</v>
      </c>
      <c r="M114" s="31">
        <v>0.98</v>
      </c>
      <c r="N114" s="31">
        <v>0.98</v>
      </c>
      <c r="O114" s="31">
        <v>0.98</v>
      </c>
      <c r="P114" s="31">
        <v>0.7</v>
      </c>
      <c r="Q114" s="31">
        <v>0.96</v>
      </c>
    </row>
    <row r="115" spans="1:17">
      <c r="A115" s="50">
        <v>111</v>
      </c>
      <c r="B115" s="51" t="s">
        <v>197</v>
      </c>
      <c r="C115" s="51" t="s">
        <v>30</v>
      </c>
      <c r="D115" s="51">
        <v>3</v>
      </c>
      <c r="E115" s="51">
        <v>10</v>
      </c>
      <c r="F115" s="51" t="s">
        <v>198</v>
      </c>
      <c r="G115" s="52" t="s">
        <v>199</v>
      </c>
      <c r="H115" s="28">
        <v>1514</v>
      </c>
      <c r="I115" s="53">
        <f>VLOOKUP(F115,[1]终点成分!$A$5:$C$1000,2,0)</f>
        <v>0.055</v>
      </c>
      <c r="J115" s="53">
        <f>VLOOKUP(F115,[1]终点成分!$A$5:$C$1000,3,0)</f>
        <v>0.1055</v>
      </c>
      <c r="K115" s="28">
        <v>0</v>
      </c>
      <c r="L115" s="53">
        <v>0.8</v>
      </c>
      <c r="M115" s="31">
        <v>0.98</v>
      </c>
      <c r="N115" s="31">
        <v>0.98</v>
      </c>
      <c r="O115" s="31">
        <v>0.98</v>
      </c>
      <c r="P115" s="31">
        <v>0.7</v>
      </c>
      <c r="Q115" s="31">
        <v>0.96</v>
      </c>
    </row>
    <row r="116" spans="1:17">
      <c r="A116" s="50">
        <v>112</v>
      </c>
      <c r="B116" s="51" t="s">
        <v>197</v>
      </c>
      <c r="C116" s="51" t="s">
        <v>33</v>
      </c>
      <c r="D116" s="51">
        <v>10.01</v>
      </c>
      <c r="E116" s="51">
        <v>25.4</v>
      </c>
      <c r="F116" s="51" t="s">
        <v>200</v>
      </c>
      <c r="G116" s="52" t="s">
        <v>199</v>
      </c>
      <c r="H116" s="28">
        <v>1514</v>
      </c>
      <c r="I116" s="53">
        <f>VLOOKUP(F116,[1]终点成分!$A$5:$C$1000,2,0)</f>
        <v>0.0554571428571429</v>
      </c>
      <c r="J116" s="53">
        <f>VLOOKUP(F116,[1]终点成分!$A$5:$C$1000,3,0)</f>
        <v>0.100057142857143</v>
      </c>
      <c r="K116" s="28">
        <v>0</v>
      </c>
      <c r="L116" s="53">
        <v>0.8</v>
      </c>
      <c r="M116" s="31">
        <v>0.98</v>
      </c>
      <c r="N116" s="31">
        <v>0.98</v>
      </c>
      <c r="O116" s="31">
        <v>0.98</v>
      </c>
      <c r="P116" s="31">
        <v>0.7</v>
      </c>
      <c r="Q116" s="31">
        <v>0.96</v>
      </c>
    </row>
    <row r="117" spans="1:17">
      <c r="A117" s="50">
        <v>113</v>
      </c>
      <c r="B117" s="51" t="s">
        <v>201</v>
      </c>
      <c r="C117" s="51" t="s">
        <v>33</v>
      </c>
      <c r="D117" s="51">
        <v>2</v>
      </c>
      <c r="E117" s="51">
        <v>9.99</v>
      </c>
      <c r="F117" s="51" t="s">
        <v>202</v>
      </c>
      <c r="G117" s="52" t="s">
        <v>203</v>
      </c>
      <c r="H117" s="28">
        <v>1517</v>
      </c>
      <c r="I117" s="53">
        <f>VLOOKUP(F117,[1]终点成分!$A$5:$C$1000,2,0)</f>
        <v>0.0722197802197802</v>
      </c>
      <c r="J117" s="53">
        <f>VLOOKUP(F117,[1]终点成分!$A$5:$C$1000,3,0)</f>
        <v>0.115824175824176</v>
      </c>
      <c r="K117" s="28">
        <v>0</v>
      </c>
      <c r="L117" s="53">
        <v>0.8</v>
      </c>
      <c r="M117" s="31">
        <v>0.98</v>
      </c>
      <c r="N117" s="31">
        <v>0.98</v>
      </c>
      <c r="O117" s="31">
        <v>0.98</v>
      </c>
      <c r="P117" s="31">
        <v>0.7</v>
      </c>
      <c r="Q117" s="31">
        <v>0.96</v>
      </c>
    </row>
    <row r="118" spans="1:17">
      <c r="A118" s="50">
        <v>114</v>
      </c>
      <c r="B118" s="51" t="s">
        <v>201</v>
      </c>
      <c r="C118" s="51" t="s">
        <v>30</v>
      </c>
      <c r="D118" s="51">
        <v>10</v>
      </c>
      <c r="E118" s="51">
        <v>15.99</v>
      </c>
      <c r="F118" s="51" t="s">
        <v>204</v>
      </c>
      <c r="G118" s="52" t="s">
        <v>203</v>
      </c>
      <c r="H118" s="28">
        <v>1516</v>
      </c>
      <c r="I118" s="53">
        <f>VLOOKUP(F118,[1]终点成分!$A$5:$C$1000,2,0)</f>
        <v>0.0687462686567164</v>
      </c>
      <c r="J118" s="53">
        <f>VLOOKUP(F118,[1]终点成分!$A$5:$C$1000,3,0)</f>
        <v>0.117044776119403</v>
      </c>
      <c r="K118" s="28">
        <v>0</v>
      </c>
      <c r="L118" s="53">
        <v>0.8</v>
      </c>
      <c r="M118" s="31">
        <v>0.98</v>
      </c>
      <c r="N118" s="31">
        <v>0.98</v>
      </c>
      <c r="O118" s="31">
        <v>0.98</v>
      </c>
      <c r="P118" s="31">
        <v>0.7</v>
      </c>
      <c r="Q118" s="31">
        <v>0.96</v>
      </c>
    </row>
    <row r="119" spans="1:17">
      <c r="A119" s="50">
        <v>115</v>
      </c>
      <c r="B119" s="51" t="s">
        <v>201</v>
      </c>
      <c r="C119" s="51" t="s">
        <v>102</v>
      </c>
      <c r="D119" s="51">
        <v>16</v>
      </c>
      <c r="E119" s="51">
        <v>28</v>
      </c>
      <c r="F119" s="51" t="s">
        <v>205</v>
      </c>
      <c r="G119" s="52" t="s">
        <v>203</v>
      </c>
      <c r="H119" s="28">
        <v>1515</v>
      </c>
      <c r="I119" s="53">
        <f>VLOOKUP(F119,[1]终点成分!$A$5:$C$1000,2,0)</f>
        <v>0.0769130434782609</v>
      </c>
      <c r="J119" s="53">
        <f>VLOOKUP(F119,[1]终点成分!$A$5:$C$1000,3,0)</f>
        <v>0.128826086956522</v>
      </c>
      <c r="K119" s="28">
        <v>0</v>
      </c>
      <c r="L119" s="53">
        <v>0.8</v>
      </c>
      <c r="M119" s="31">
        <v>0.98</v>
      </c>
      <c r="N119" s="31">
        <v>0.98</v>
      </c>
      <c r="O119" s="31">
        <v>0.98</v>
      </c>
      <c r="P119" s="31">
        <v>0.7</v>
      </c>
      <c r="Q119" s="31">
        <v>0.96</v>
      </c>
    </row>
    <row r="120" spans="1:17">
      <c r="A120" s="50">
        <v>116</v>
      </c>
      <c r="B120" s="51" t="s">
        <v>206</v>
      </c>
      <c r="C120" s="51" t="s">
        <v>33</v>
      </c>
      <c r="D120" s="51">
        <v>2</v>
      </c>
      <c r="E120" s="51">
        <v>9.99</v>
      </c>
      <c r="F120" s="51" t="s">
        <v>207</v>
      </c>
      <c r="G120" s="52" t="s">
        <v>208</v>
      </c>
      <c r="H120" s="28">
        <v>1517</v>
      </c>
      <c r="I120" s="53">
        <f>VLOOKUP(F120,[1]终点成分!$A$5:$C$1000,2,0)</f>
        <v>0.0693333333333334</v>
      </c>
      <c r="J120" s="53">
        <f>VLOOKUP(F120,[1]终点成分!$A$5:$C$1000,3,0)</f>
        <v>0.106666666666667</v>
      </c>
      <c r="K120" s="28">
        <v>0</v>
      </c>
      <c r="L120" s="57">
        <v>0</v>
      </c>
      <c r="M120" s="31">
        <v>0.98</v>
      </c>
      <c r="N120" s="31">
        <v>0.98</v>
      </c>
      <c r="O120" s="31">
        <v>0.98</v>
      </c>
      <c r="P120" s="31">
        <v>0.7</v>
      </c>
      <c r="Q120" s="31">
        <v>0.96</v>
      </c>
    </row>
    <row r="121" spans="1:17">
      <c r="A121" s="50">
        <v>117</v>
      </c>
      <c r="B121" s="51" t="s">
        <v>206</v>
      </c>
      <c r="C121" s="51" t="s">
        <v>30</v>
      </c>
      <c r="D121" s="51">
        <v>10</v>
      </c>
      <c r="E121" s="51">
        <v>15.99</v>
      </c>
      <c r="F121" s="51" t="s">
        <v>209</v>
      </c>
      <c r="G121" s="52" t="s">
        <v>208</v>
      </c>
      <c r="H121" s="28">
        <v>1516</v>
      </c>
      <c r="I121" s="54">
        <v>0.0693333333333334</v>
      </c>
      <c r="J121" s="54">
        <v>0.106666666666667</v>
      </c>
      <c r="K121" s="28">
        <v>0</v>
      </c>
      <c r="L121" s="57">
        <v>0</v>
      </c>
      <c r="M121" s="31">
        <v>0.98</v>
      </c>
      <c r="N121" s="31">
        <v>0.98</v>
      </c>
      <c r="O121" s="31">
        <v>0.98</v>
      </c>
      <c r="P121" s="31">
        <v>0.7</v>
      </c>
      <c r="Q121" s="31">
        <v>0.96</v>
      </c>
    </row>
    <row r="122" spans="1:17">
      <c r="A122" s="50">
        <v>118</v>
      </c>
      <c r="B122" s="51" t="s">
        <v>206</v>
      </c>
      <c r="C122" s="51" t="s">
        <v>102</v>
      </c>
      <c r="D122" s="51">
        <v>16</v>
      </c>
      <c r="E122" s="51">
        <v>28</v>
      </c>
      <c r="F122" s="51" t="s">
        <v>210</v>
      </c>
      <c r="G122" s="52" t="s">
        <v>208</v>
      </c>
      <c r="H122" s="28">
        <v>1515</v>
      </c>
      <c r="I122" s="54">
        <v>0.0693333333333334</v>
      </c>
      <c r="J122" s="54">
        <v>0.106666666666667</v>
      </c>
      <c r="K122" s="28">
        <v>0</v>
      </c>
      <c r="L122" s="57">
        <v>0</v>
      </c>
      <c r="M122" s="31">
        <v>0.98</v>
      </c>
      <c r="N122" s="31">
        <v>0.98</v>
      </c>
      <c r="O122" s="31">
        <v>0.98</v>
      </c>
      <c r="P122" s="31">
        <v>0.7</v>
      </c>
      <c r="Q122" s="31">
        <v>0.96</v>
      </c>
    </row>
    <row r="123" spans="1:17">
      <c r="A123" s="50">
        <v>119</v>
      </c>
      <c r="B123" s="51" t="s">
        <v>211</v>
      </c>
      <c r="C123" s="51" t="s">
        <v>30</v>
      </c>
      <c r="D123" s="51">
        <v>2</v>
      </c>
      <c r="E123" s="51">
        <v>9.99</v>
      </c>
      <c r="F123" s="51" t="s">
        <v>212</v>
      </c>
      <c r="G123" s="52" t="s">
        <v>213</v>
      </c>
      <c r="H123" s="28">
        <v>1515</v>
      </c>
      <c r="I123" s="54">
        <v>0.0693333333333334</v>
      </c>
      <c r="J123" s="54">
        <v>0.106666666666667</v>
      </c>
      <c r="K123" s="28">
        <v>0</v>
      </c>
      <c r="L123" s="57">
        <v>0.8</v>
      </c>
      <c r="M123" s="31">
        <v>0.98</v>
      </c>
      <c r="N123" s="31">
        <v>0.98</v>
      </c>
      <c r="O123" s="31">
        <v>0.98</v>
      </c>
      <c r="P123" s="31">
        <v>0.7</v>
      </c>
      <c r="Q123" s="31">
        <v>0.96</v>
      </c>
    </row>
    <row r="124" spans="1:17">
      <c r="A124" s="50">
        <v>120</v>
      </c>
      <c r="B124" s="51" t="s">
        <v>211</v>
      </c>
      <c r="C124" s="51" t="s">
        <v>33</v>
      </c>
      <c r="D124" s="51">
        <v>10</v>
      </c>
      <c r="E124" s="51">
        <v>15.99</v>
      </c>
      <c r="F124" s="51" t="s">
        <v>214</v>
      </c>
      <c r="G124" s="52" t="s">
        <v>213</v>
      </c>
      <c r="H124" s="28">
        <v>1515</v>
      </c>
      <c r="I124" s="53">
        <f>VLOOKUP(F124,[1]终点成分!$A$5:$C$1000,2,0)</f>
        <v>0.042</v>
      </c>
      <c r="J124" s="53">
        <f>VLOOKUP(F124,[1]终点成分!$A$5:$C$1000,3,0)</f>
        <v>0.107</v>
      </c>
      <c r="K124" s="28">
        <v>0</v>
      </c>
      <c r="L124" s="57">
        <v>0.8</v>
      </c>
      <c r="M124" s="31">
        <v>0.98</v>
      </c>
      <c r="N124" s="31">
        <v>0.98</v>
      </c>
      <c r="O124" s="31">
        <v>0.98</v>
      </c>
      <c r="P124" s="31">
        <v>0.7</v>
      </c>
      <c r="Q124" s="31">
        <v>0.96</v>
      </c>
    </row>
    <row r="125" spans="1:17">
      <c r="A125" s="50">
        <v>121</v>
      </c>
      <c r="B125" s="51" t="s">
        <v>211</v>
      </c>
      <c r="C125" s="51" t="s">
        <v>102</v>
      </c>
      <c r="D125" s="51">
        <v>16</v>
      </c>
      <c r="E125" s="51">
        <v>28</v>
      </c>
      <c r="F125" s="51" t="s">
        <v>215</v>
      </c>
      <c r="G125" s="52" t="s">
        <v>213</v>
      </c>
      <c r="H125" s="28">
        <v>1515</v>
      </c>
      <c r="I125" s="53">
        <v>0.042</v>
      </c>
      <c r="J125" s="53">
        <v>0.107</v>
      </c>
      <c r="K125" s="28">
        <v>0</v>
      </c>
      <c r="L125" s="57">
        <v>0.8</v>
      </c>
      <c r="M125" s="31">
        <v>0.98</v>
      </c>
      <c r="N125" s="31">
        <v>0.98</v>
      </c>
      <c r="O125" s="31">
        <v>0.98</v>
      </c>
      <c r="P125" s="31">
        <v>0.7</v>
      </c>
      <c r="Q125" s="31">
        <v>0.96</v>
      </c>
    </row>
    <row r="126" spans="1:17">
      <c r="A126" s="50">
        <v>122</v>
      </c>
      <c r="B126" s="51" t="s">
        <v>216</v>
      </c>
      <c r="C126" s="51" t="s">
        <v>30</v>
      </c>
      <c r="D126" s="51">
        <v>3</v>
      </c>
      <c r="E126" s="51">
        <v>9.99</v>
      </c>
      <c r="F126" s="51" t="s">
        <v>217</v>
      </c>
      <c r="G126" s="52" t="s">
        <v>218</v>
      </c>
      <c r="H126" s="28">
        <v>1516</v>
      </c>
      <c r="I126" s="53">
        <f>VLOOKUP(F126,[1]终点成分!$A$5:$C$1000,2,0)</f>
        <v>0.07025</v>
      </c>
      <c r="J126" s="53">
        <f>VLOOKUP(F126,[1]终点成分!$A$5:$C$1000,3,0)</f>
        <v>0.09275</v>
      </c>
      <c r="K126" s="28">
        <v>0</v>
      </c>
      <c r="L126" s="53">
        <v>0.8</v>
      </c>
      <c r="M126" s="31">
        <v>0.98</v>
      </c>
      <c r="N126" s="31">
        <v>0.98</v>
      </c>
      <c r="O126" s="31">
        <v>0.98</v>
      </c>
      <c r="P126" s="31">
        <v>0.7</v>
      </c>
      <c r="Q126" s="31">
        <v>0.96</v>
      </c>
    </row>
    <row r="127" spans="1:17">
      <c r="A127" s="50">
        <v>123</v>
      </c>
      <c r="B127" s="51" t="s">
        <v>216</v>
      </c>
      <c r="C127" s="51" t="s">
        <v>33</v>
      </c>
      <c r="D127" s="51">
        <v>10</v>
      </c>
      <c r="E127" s="51">
        <v>20</v>
      </c>
      <c r="F127" s="51" t="s">
        <v>219</v>
      </c>
      <c r="G127" s="52" t="s">
        <v>218</v>
      </c>
      <c r="H127" s="28">
        <v>1515</v>
      </c>
      <c r="I127" s="53">
        <f>VLOOKUP(F127,[1]终点成分!$A$5:$C$1000,2,0)</f>
        <v>0.0716190476190476</v>
      </c>
      <c r="J127" s="53">
        <f>VLOOKUP(F127,[1]终点成分!$A$5:$C$1000,3,0)</f>
        <v>0.104571428571429</v>
      </c>
      <c r="K127" s="28">
        <v>0</v>
      </c>
      <c r="L127" s="53">
        <v>0.8</v>
      </c>
      <c r="M127" s="31">
        <v>0.98</v>
      </c>
      <c r="N127" s="31">
        <v>0.98</v>
      </c>
      <c r="O127" s="31">
        <v>0.98</v>
      </c>
      <c r="P127" s="31">
        <v>0.7</v>
      </c>
      <c r="Q127" s="31">
        <v>0.96</v>
      </c>
    </row>
    <row r="128" spans="1:17">
      <c r="A128" s="50">
        <v>124</v>
      </c>
      <c r="B128" s="51" t="s">
        <v>220</v>
      </c>
      <c r="C128" s="51" t="s">
        <v>30</v>
      </c>
      <c r="D128" s="51">
        <v>3</v>
      </c>
      <c r="E128" s="51">
        <v>9.99</v>
      </c>
      <c r="F128" s="51" t="s">
        <v>221</v>
      </c>
      <c r="G128" s="52" t="s">
        <v>222</v>
      </c>
      <c r="H128" s="28">
        <v>1516</v>
      </c>
      <c r="I128" s="53">
        <f>VLOOKUP(F128,[1]终点成分!$A$5:$C$1000,2,0)</f>
        <v>0.052</v>
      </c>
      <c r="J128" s="53">
        <f>VLOOKUP(F128,[1]终点成分!$A$5:$C$1000,3,0)</f>
        <v>0.1185</v>
      </c>
      <c r="K128" s="28">
        <v>0</v>
      </c>
      <c r="L128" s="53">
        <v>0</v>
      </c>
      <c r="M128" s="31">
        <v>0.98</v>
      </c>
      <c r="N128" s="31">
        <v>0.98</v>
      </c>
      <c r="O128" s="31">
        <v>0.98</v>
      </c>
      <c r="P128" s="31">
        <v>0.7</v>
      </c>
      <c r="Q128" s="31">
        <v>0.96</v>
      </c>
    </row>
    <row r="129" spans="1:17">
      <c r="A129" s="50">
        <v>125</v>
      </c>
      <c r="B129" s="51" t="s">
        <v>220</v>
      </c>
      <c r="C129" s="51" t="s">
        <v>33</v>
      </c>
      <c r="D129" s="51">
        <v>10</v>
      </c>
      <c r="E129" s="51">
        <v>20</v>
      </c>
      <c r="F129" s="51" t="s">
        <v>223</v>
      </c>
      <c r="G129" s="52" t="s">
        <v>222</v>
      </c>
      <c r="H129" s="28">
        <v>1515</v>
      </c>
      <c r="I129" s="53">
        <f>VLOOKUP(F129,[1]终点成分!$A$5:$C$1000,2,0)</f>
        <v>0.0595</v>
      </c>
      <c r="J129" s="53">
        <f>VLOOKUP(F129,[1]终点成分!$A$5:$C$1000,3,0)</f>
        <v>0.143</v>
      </c>
      <c r="K129" s="28">
        <v>0</v>
      </c>
      <c r="L129" s="53">
        <v>0</v>
      </c>
      <c r="M129" s="31">
        <v>0.98</v>
      </c>
      <c r="N129" s="31">
        <v>0.98</v>
      </c>
      <c r="O129" s="31">
        <v>0.98</v>
      </c>
      <c r="P129" s="31">
        <v>0.7</v>
      </c>
      <c r="Q129" s="31">
        <v>0.96</v>
      </c>
    </row>
    <row r="130" spans="1:17">
      <c r="A130" s="50">
        <v>126</v>
      </c>
      <c r="B130" s="51" t="s">
        <v>224</v>
      </c>
      <c r="C130" s="51" t="s">
        <v>30</v>
      </c>
      <c r="D130" s="51">
        <v>3</v>
      </c>
      <c r="E130" s="51">
        <v>10</v>
      </c>
      <c r="F130" s="51" t="s">
        <v>224</v>
      </c>
      <c r="G130" s="51" t="s">
        <v>225</v>
      </c>
      <c r="H130" s="28">
        <v>1504</v>
      </c>
      <c r="I130" s="58">
        <v>0.1</v>
      </c>
      <c r="J130" s="28"/>
      <c r="K130" s="28">
        <v>0</v>
      </c>
      <c r="L130" s="53">
        <v>0</v>
      </c>
      <c r="M130" s="31">
        <v>0.98</v>
      </c>
      <c r="N130" s="31">
        <v>0.98</v>
      </c>
      <c r="O130" s="31">
        <v>0.98</v>
      </c>
      <c r="P130" s="31">
        <v>0.7</v>
      </c>
      <c r="Q130" s="31">
        <v>0.96</v>
      </c>
    </row>
    <row r="131" spans="1:17">
      <c r="A131" s="50">
        <v>127</v>
      </c>
      <c r="B131" s="51" t="s">
        <v>226</v>
      </c>
      <c r="C131" s="93" t="s">
        <v>30</v>
      </c>
      <c r="D131" s="51">
        <v>3</v>
      </c>
      <c r="E131" s="51">
        <v>12.5</v>
      </c>
      <c r="F131" s="51" t="s">
        <v>227</v>
      </c>
      <c r="G131" s="52" t="s">
        <v>228</v>
      </c>
      <c r="H131" s="28">
        <v>1514</v>
      </c>
      <c r="I131" s="53">
        <v>0.052</v>
      </c>
      <c r="J131" s="53">
        <v>0.1185</v>
      </c>
      <c r="K131" s="28">
        <v>0</v>
      </c>
      <c r="L131" s="57">
        <v>0.8</v>
      </c>
      <c r="M131" s="31">
        <v>0.98</v>
      </c>
      <c r="N131" s="31">
        <v>0.98</v>
      </c>
      <c r="O131" s="31">
        <v>0.98</v>
      </c>
      <c r="P131" s="31">
        <v>0.7</v>
      </c>
      <c r="Q131" s="31">
        <v>0.96</v>
      </c>
    </row>
    <row r="132" spans="1:17">
      <c r="A132" s="50">
        <v>128</v>
      </c>
      <c r="B132" s="51" t="s">
        <v>229</v>
      </c>
      <c r="C132" s="51" t="s">
        <v>30</v>
      </c>
      <c r="D132" s="51">
        <v>1.5</v>
      </c>
      <c r="E132" s="51">
        <v>12</v>
      </c>
      <c r="F132" s="51" t="s">
        <v>230</v>
      </c>
      <c r="G132" s="52" t="s">
        <v>231</v>
      </c>
      <c r="H132" s="28">
        <v>1520</v>
      </c>
      <c r="I132" s="53">
        <f>VLOOKUP(F132,[1]终点成分!$A$5:$C$1000,2,0)</f>
        <v>0.0720421052631579</v>
      </c>
      <c r="J132" s="53">
        <f>VLOOKUP(F132,[1]终点成分!$A$5:$C$1000,3,0)</f>
        <v>0.123989473684211</v>
      </c>
      <c r="K132" s="28">
        <v>0</v>
      </c>
      <c r="L132" s="53">
        <v>0.8</v>
      </c>
      <c r="M132" s="31">
        <v>0.98</v>
      </c>
      <c r="N132" s="31">
        <v>0.98</v>
      </c>
      <c r="O132" s="31">
        <v>0.98</v>
      </c>
      <c r="P132" s="31">
        <v>0.7</v>
      </c>
      <c r="Q132" s="31">
        <v>0.96</v>
      </c>
    </row>
    <row r="133" spans="1:17">
      <c r="A133" s="50">
        <v>129</v>
      </c>
      <c r="B133" s="51" t="s">
        <v>229</v>
      </c>
      <c r="C133" s="51" t="s">
        <v>33</v>
      </c>
      <c r="D133" s="51">
        <v>12.01</v>
      </c>
      <c r="E133" s="51">
        <v>25.4</v>
      </c>
      <c r="F133" s="51" t="s">
        <v>233</v>
      </c>
      <c r="G133" s="52" t="s">
        <v>231</v>
      </c>
      <c r="H133" s="28">
        <v>1521</v>
      </c>
      <c r="I133" s="53">
        <f>VLOOKUP(F133,[1]终点成分!$A$5:$C$1000,2,0)</f>
        <v>0.07625</v>
      </c>
      <c r="J133" s="53">
        <f>VLOOKUP(F133,[1]终点成分!$A$5:$C$1000,3,0)</f>
        <v>0.14803125</v>
      </c>
      <c r="K133" s="28">
        <v>0</v>
      </c>
      <c r="L133" s="53">
        <v>0.8</v>
      </c>
      <c r="M133" s="31">
        <v>0.98</v>
      </c>
      <c r="N133" s="31">
        <v>0.98</v>
      </c>
      <c r="O133" s="31">
        <v>0.98</v>
      </c>
      <c r="P133" s="31">
        <v>0.7</v>
      </c>
      <c r="Q133" s="31">
        <v>0.96</v>
      </c>
    </row>
    <row r="134" spans="1:17">
      <c r="A134" s="50">
        <v>130</v>
      </c>
      <c r="B134" s="51" t="s">
        <v>234</v>
      </c>
      <c r="C134" s="51" t="s">
        <v>30</v>
      </c>
      <c r="D134" s="51">
        <v>1.5</v>
      </c>
      <c r="E134" s="51">
        <v>12</v>
      </c>
      <c r="F134" s="51" t="s">
        <v>235</v>
      </c>
      <c r="G134" s="52" t="s">
        <v>236</v>
      </c>
      <c r="H134" s="28">
        <v>1521</v>
      </c>
      <c r="I134" s="53">
        <f>VLOOKUP(F134,[1]终点成分!$A$5:$C$1000,2,0)</f>
        <v>0.098</v>
      </c>
      <c r="J134" s="53">
        <f>VLOOKUP(F134,[1]终点成分!$A$5:$C$1000,3,0)</f>
        <v>0.13775</v>
      </c>
      <c r="K134" s="28">
        <v>0</v>
      </c>
      <c r="L134" s="53">
        <v>0</v>
      </c>
      <c r="M134" s="31">
        <v>0.98</v>
      </c>
      <c r="N134" s="31">
        <v>0.98</v>
      </c>
      <c r="O134" s="31">
        <v>0.98</v>
      </c>
      <c r="P134" s="31">
        <v>0.7</v>
      </c>
      <c r="Q134" s="31">
        <v>0.96</v>
      </c>
    </row>
    <row r="135" spans="1:17">
      <c r="A135" s="50">
        <v>131</v>
      </c>
      <c r="B135" s="51" t="s">
        <v>234</v>
      </c>
      <c r="C135" s="51" t="s">
        <v>33</v>
      </c>
      <c r="D135" s="51">
        <v>12.01</v>
      </c>
      <c r="E135" s="51">
        <v>25.4</v>
      </c>
      <c r="F135" s="51" t="s">
        <v>237</v>
      </c>
      <c r="G135" s="52" t="s">
        <v>236</v>
      </c>
      <c r="H135" s="28">
        <v>1521</v>
      </c>
      <c r="I135" s="54">
        <v>0.098</v>
      </c>
      <c r="J135" s="54">
        <v>0.13775</v>
      </c>
      <c r="K135" s="28">
        <v>0</v>
      </c>
      <c r="L135" s="53">
        <v>0</v>
      </c>
      <c r="M135" s="31">
        <v>0.98</v>
      </c>
      <c r="N135" s="31">
        <v>0.98</v>
      </c>
      <c r="O135" s="31">
        <v>0.98</v>
      </c>
      <c r="P135" s="31">
        <v>0.7</v>
      </c>
      <c r="Q135" s="31">
        <v>0.96</v>
      </c>
    </row>
    <row r="136" spans="1:17">
      <c r="A136" s="50">
        <v>132</v>
      </c>
      <c r="B136" s="51" t="s">
        <v>238</v>
      </c>
      <c r="C136" s="51" t="s">
        <v>30</v>
      </c>
      <c r="D136" s="51">
        <v>1.5</v>
      </c>
      <c r="E136" s="51">
        <v>12</v>
      </c>
      <c r="F136" s="51" t="s">
        <v>239</v>
      </c>
      <c r="G136" s="52" t="s">
        <v>240</v>
      </c>
      <c r="H136" s="28">
        <v>1520</v>
      </c>
      <c r="I136" s="54">
        <v>0.098</v>
      </c>
      <c r="J136" s="54">
        <v>0.13775</v>
      </c>
      <c r="K136" s="28">
        <v>0</v>
      </c>
      <c r="L136" s="53">
        <v>0.8</v>
      </c>
      <c r="M136" s="31">
        <v>0.98</v>
      </c>
      <c r="N136" s="31">
        <v>0.98</v>
      </c>
      <c r="O136" s="31">
        <v>0.98</v>
      </c>
      <c r="P136" s="31">
        <v>0.7</v>
      </c>
      <c r="Q136" s="31">
        <v>0.96</v>
      </c>
    </row>
    <row r="137" spans="1:17">
      <c r="A137" s="50">
        <v>133</v>
      </c>
      <c r="B137" s="51" t="s">
        <v>238</v>
      </c>
      <c r="C137" s="51" t="s">
        <v>33</v>
      </c>
      <c r="D137" s="51">
        <v>12.01</v>
      </c>
      <c r="E137" s="51">
        <v>25.4</v>
      </c>
      <c r="F137" s="51" t="s">
        <v>241</v>
      </c>
      <c r="G137" s="52" t="s">
        <v>240</v>
      </c>
      <c r="H137" s="28">
        <v>1520</v>
      </c>
      <c r="I137" s="54">
        <v>0.098</v>
      </c>
      <c r="J137" s="54">
        <v>0.13775</v>
      </c>
      <c r="K137" s="28">
        <v>0</v>
      </c>
      <c r="L137" s="53">
        <v>0.8</v>
      </c>
      <c r="M137" s="31">
        <v>0.98</v>
      </c>
      <c r="N137" s="31">
        <v>0.98</v>
      </c>
      <c r="O137" s="31">
        <v>0.98</v>
      </c>
      <c r="P137" s="31">
        <v>0.7</v>
      </c>
      <c r="Q137" s="31">
        <v>0.96</v>
      </c>
    </row>
    <row r="138" spans="1:17">
      <c r="A138" s="50">
        <v>134</v>
      </c>
      <c r="B138" s="51" t="s">
        <v>242</v>
      </c>
      <c r="C138" s="51" t="s">
        <v>30</v>
      </c>
      <c r="D138" s="51">
        <v>1.5</v>
      </c>
      <c r="E138" s="51">
        <v>12</v>
      </c>
      <c r="F138" s="51" t="s">
        <v>243</v>
      </c>
      <c r="G138" s="52" t="s">
        <v>244</v>
      </c>
      <c r="H138" s="28">
        <v>1520</v>
      </c>
      <c r="I138" s="54">
        <v>0.098</v>
      </c>
      <c r="J138" s="54">
        <v>0.13775</v>
      </c>
      <c r="K138" s="28">
        <v>0</v>
      </c>
      <c r="L138" s="53">
        <v>0.8</v>
      </c>
      <c r="M138" s="31">
        <v>0.98</v>
      </c>
      <c r="N138" s="31">
        <v>0.98</v>
      </c>
      <c r="O138" s="31">
        <v>0.98</v>
      </c>
      <c r="P138" s="31">
        <v>0.7</v>
      </c>
      <c r="Q138" s="31">
        <v>0.96</v>
      </c>
    </row>
    <row r="139" spans="1:17">
      <c r="A139" s="50">
        <v>135</v>
      </c>
      <c r="B139" s="51" t="s">
        <v>242</v>
      </c>
      <c r="C139" s="51" t="s">
        <v>33</v>
      </c>
      <c r="D139" s="51">
        <v>12.01</v>
      </c>
      <c r="E139" s="51">
        <v>25.4</v>
      </c>
      <c r="F139" s="51" t="s">
        <v>245</v>
      </c>
      <c r="G139" s="52" t="s">
        <v>244</v>
      </c>
      <c r="H139" s="28">
        <v>1520</v>
      </c>
      <c r="I139" s="54">
        <v>0.098</v>
      </c>
      <c r="J139" s="54">
        <v>0.13775</v>
      </c>
      <c r="K139" s="28">
        <v>0</v>
      </c>
      <c r="L139" s="53">
        <v>0.8</v>
      </c>
      <c r="M139" s="31">
        <v>0.98</v>
      </c>
      <c r="N139" s="31">
        <v>0.98</v>
      </c>
      <c r="O139" s="31">
        <v>0.98</v>
      </c>
      <c r="P139" s="31">
        <v>0.7</v>
      </c>
      <c r="Q139" s="31">
        <v>0.96</v>
      </c>
    </row>
    <row r="140" spans="1:17">
      <c r="A140" s="50">
        <v>136</v>
      </c>
      <c r="B140" s="51" t="s">
        <v>246</v>
      </c>
      <c r="C140" s="51" t="s">
        <v>30</v>
      </c>
      <c r="D140" s="51">
        <v>1.5</v>
      </c>
      <c r="E140" s="51">
        <v>12</v>
      </c>
      <c r="F140" s="51" t="s">
        <v>247</v>
      </c>
      <c r="G140" s="52" t="s">
        <v>248</v>
      </c>
      <c r="H140" s="28">
        <v>1519</v>
      </c>
      <c r="I140" s="53">
        <f>VLOOKUP(F140,[1]终点成分!$A$5:$C$1000,2,0)</f>
        <v>0.09228</v>
      </c>
      <c r="J140" s="53">
        <f>VLOOKUP(F140,[1]终点成分!$A$5:$C$1000,3,0)</f>
        <v>0.12296</v>
      </c>
      <c r="K140" s="28">
        <v>0</v>
      </c>
      <c r="L140" s="53">
        <v>0.8</v>
      </c>
      <c r="M140" s="31">
        <v>0.98</v>
      </c>
      <c r="N140" s="31">
        <v>0.98</v>
      </c>
      <c r="O140" s="31">
        <v>0.98</v>
      </c>
      <c r="P140" s="31">
        <v>0.7</v>
      </c>
      <c r="Q140" s="31">
        <v>0.96</v>
      </c>
    </row>
    <row r="141" spans="1:17">
      <c r="A141" s="50">
        <v>137</v>
      </c>
      <c r="B141" s="51" t="s">
        <v>246</v>
      </c>
      <c r="C141" s="51" t="s">
        <v>33</v>
      </c>
      <c r="D141" s="51">
        <v>12.01</v>
      </c>
      <c r="E141" s="51">
        <v>16</v>
      </c>
      <c r="F141" s="51" t="s">
        <v>249</v>
      </c>
      <c r="G141" s="52" t="s">
        <v>248</v>
      </c>
      <c r="H141" s="28">
        <v>1519</v>
      </c>
      <c r="I141" s="53">
        <f>VLOOKUP(F141,[1]终点成分!$A$5:$C$1000,2,0)</f>
        <v>0.0762857142857143</v>
      </c>
      <c r="J141" s="53">
        <f>VLOOKUP(F141,[1]终点成分!$A$5:$C$1000,3,0)</f>
        <v>0.121</v>
      </c>
      <c r="K141" s="28">
        <v>0</v>
      </c>
      <c r="L141" s="53">
        <v>0.8</v>
      </c>
      <c r="M141" s="31">
        <v>0.98</v>
      </c>
      <c r="N141" s="31">
        <v>0.98</v>
      </c>
      <c r="O141" s="31">
        <v>0.98</v>
      </c>
      <c r="P141" s="31">
        <v>0.7</v>
      </c>
      <c r="Q141" s="31">
        <v>0.96</v>
      </c>
    </row>
    <row r="142" spans="1:17">
      <c r="A142" s="50">
        <v>138</v>
      </c>
      <c r="B142" s="51" t="s">
        <v>246</v>
      </c>
      <c r="C142" s="51" t="s">
        <v>102</v>
      </c>
      <c r="D142" s="51">
        <v>16.01</v>
      </c>
      <c r="E142" s="51">
        <v>25.4</v>
      </c>
      <c r="F142" s="51" t="s">
        <v>250</v>
      </c>
      <c r="G142" s="52" t="s">
        <v>248</v>
      </c>
      <c r="H142" s="28">
        <v>1519</v>
      </c>
      <c r="I142" s="53">
        <f>VLOOKUP(F142,[1]终点成分!$A$5:$C$1000,2,0)</f>
        <v>0.0663333333333333</v>
      </c>
      <c r="J142" s="53">
        <f>VLOOKUP(F142,[1]终点成分!$A$5:$C$1000,3,0)</f>
        <v>0.111666666666667</v>
      </c>
      <c r="K142" s="28">
        <v>0</v>
      </c>
      <c r="L142" s="57">
        <v>0.8</v>
      </c>
      <c r="M142" s="31">
        <v>0.98</v>
      </c>
      <c r="N142" s="31">
        <v>0.98</v>
      </c>
      <c r="O142" s="31">
        <v>0.98</v>
      </c>
      <c r="P142" s="31">
        <v>0.7</v>
      </c>
      <c r="Q142" s="31">
        <v>0.96</v>
      </c>
    </row>
    <row r="143" spans="1:17">
      <c r="A143" s="50">
        <v>139</v>
      </c>
      <c r="B143" s="51" t="s">
        <v>251</v>
      </c>
      <c r="C143" s="51" t="s">
        <v>30</v>
      </c>
      <c r="D143" s="51">
        <v>1.5</v>
      </c>
      <c r="E143" s="51">
        <v>12</v>
      </c>
      <c r="F143" s="51" t="s">
        <v>252</v>
      </c>
      <c r="G143" s="52" t="s">
        <v>253</v>
      </c>
      <c r="H143" s="28">
        <v>1519</v>
      </c>
      <c r="I143" s="53">
        <f>VLOOKUP(F143,[1]终点成分!$A$5:$C$1000,2,0)</f>
        <v>0.0726666666666667</v>
      </c>
      <c r="J143" s="53">
        <f>VLOOKUP(F143,[1]终点成分!$A$5:$C$1000,3,0)</f>
        <v>0.118333333333333</v>
      </c>
      <c r="K143" s="28">
        <v>0</v>
      </c>
      <c r="L143" s="53">
        <v>0</v>
      </c>
      <c r="M143" s="31">
        <v>0.98</v>
      </c>
      <c r="N143" s="31">
        <v>0.98</v>
      </c>
      <c r="O143" s="31">
        <v>0.98</v>
      </c>
      <c r="P143" s="31">
        <v>0.7</v>
      </c>
      <c r="Q143" s="31">
        <v>0.96</v>
      </c>
    </row>
    <row r="144" spans="1:17">
      <c r="A144" s="50">
        <v>140</v>
      </c>
      <c r="B144" s="51" t="s">
        <v>251</v>
      </c>
      <c r="C144" s="51" t="s">
        <v>33</v>
      </c>
      <c r="D144" s="51">
        <v>12.01</v>
      </c>
      <c r="E144" s="51">
        <v>25.4</v>
      </c>
      <c r="F144" s="51" t="s">
        <v>254</v>
      </c>
      <c r="G144" s="52" t="s">
        <v>253</v>
      </c>
      <c r="H144" s="28">
        <v>1519</v>
      </c>
      <c r="I144" s="53">
        <v>0.0726666666666667</v>
      </c>
      <c r="J144" s="53">
        <v>0.118333333333333</v>
      </c>
      <c r="K144" s="28">
        <v>0</v>
      </c>
      <c r="L144" s="53">
        <v>0</v>
      </c>
      <c r="M144" s="31">
        <v>0.98</v>
      </c>
      <c r="N144" s="31">
        <v>0.98</v>
      </c>
      <c r="O144" s="31">
        <v>0.98</v>
      </c>
      <c r="P144" s="31">
        <v>0.7</v>
      </c>
      <c r="Q144" s="31">
        <v>0.96</v>
      </c>
    </row>
    <row r="145" spans="1:17">
      <c r="A145" s="50">
        <v>141</v>
      </c>
      <c r="B145" s="51" t="s">
        <v>255</v>
      </c>
      <c r="C145" s="51" t="s">
        <v>30</v>
      </c>
      <c r="D145" s="51">
        <v>2</v>
      </c>
      <c r="E145" s="51">
        <v>12</v>
      </c>
      <c r="F145" s="51" t="s">
        <v>256</v>
      </c>
      <c r="G145" s="52" t="s">
        <v>257</v>
      </c>
      <c r="H145" s="28">
        <v>1520</v>
      </c>
      <c r="I145" s="53">
        <v>0.0726666666666667</v>
      </c>
      <c r="J145" s="53">
        <v>0.118333333333333</v>
      </c>
      <c r="K145" s="28">
        <v>0</v>
      </c>
      <c r="L145" s="53">
        <v>0.8</v>
      </c>
      <c r="M145" s="31">
        <v>0.98</v>
      </c>
      <c r="N145" s="31">
        <v>0.98</v>
      </c>
      <c r="O145" s="31">
        <v>0.98</v>
      </c>
      <c r="P145" s="31">
        <v>0.7</v>
      </c>
      <c r="Q145" s="31">
        <v>0.96</v>
      </c>
    </row>
    <row r="146" spans="1:17">
      <c r="A146" s="50">
        <v>142</v>
      </c>
      <c r="B146" s="51" t="s">
        <v>255</v>
      </c>
      <c r="C146" s="51" t="s">
        <v>33</v>
      </c>
      <c r="D146" s="51">
        <v>12.01</v>
      </c>
      <c r="E146" s="51">
        <v>25.4</v>
      </c>
      <c r="F146" s="51" t="s">
        <v>258</v>
      </c>
      <c r="G146" s="52" t="s">
        <v>257</v>
      </c>
      <c r="H146" s="28">
        <v>1520</v>
      </c>
      <c r="I146" s="53">
        <v>0.0726666666666667</v>
      </c>
      <c r="J146" s="53">
        <v>0.118333333333333</v>
      </c>
      <c r="K146" s="28">
        <v>0</v>
      </c>
      <c r="L146" s="53">
        <v>0.8</v>
      </c>
      <c r="M146" s="31">
        <v>0.98</v>
      </c>
      <c r="N146" s="31">
        <v>0.98</v>
      </c>
      <c r="O146" s="31">
        <v>0.98</v>
      </c>
      <c r="P146" s="31">
        <v>0.7</v>
      </c>
      <c r="Q146" s="31">
        <v>0.96</v>
      </c>
    </row>
    <row r="147" spans="1:17">
      <c r="A147" s="50">
        <v>143</v>
      </c>
      <c r="B147" s="51" t="s">
        <v>259</v>
      </c>
      <c r="C147" s="51" t="s">
        <v>30</v>
      </c>
      <c r="D147" s="51">
        <v>1.5</v>
      </c>
      <c r="E147" s="51">
        <v>12</v>
      </c>
      <c r="F147" s="51" t="s">
        <v>260</v>
      </c>
      <c r="G147" s="52" t="s">
        <v>261</v>
      </c>
      <c r="H147" s="28">
        <v>1520</v>
      </c>
      <c r="I147" s="53">
        <v>0.0726666666666667</v>
      </c>
      <c r="J147" s="53">
        <v>0.118333333333333</v>
      </c>
      <c r="K147" s="28">
        <v>0</v>
      </c>
      <c r="L147" s="53">
        <v>0.8</v>
      </c>
      <c r="M147" s="31">
        <v>0.98</v>
      </c>
      <c r="N147" s="31">
        <v>0.98</v>
      </c>
      <c r="O147" s="31">
        <v>0.98</v>
      </c>
      <c r="P147" s="31">
        <v>0.7</v>
      </c>
      <c r="Q147" s="31">
        <v>0.96</v>
      </c>
    </row>
    <row r="148" spans="1:17">
      <c r="A148" s="50">
        <v>144</v>
      </c>
      <c r="B148" s="51" t="s">
        <v>259</v>
      </c>
      <c r="C148" s="51" t="s">
        <v>33</v>
      </c>
      <c r="D148" s="51">
        <v>12.01</v>
      </c>
      <c r="E148" s="51">
        <v>25.4</v>
      </c>
      <c r="F148" s="51" t="s">
        <v>262</v>
      </c>
      <c r="G148" s="52" t="s">
        <v>261</v>
      </c>
      <c r="H148" s="28">
        <v>1520</v>
      </c>
      <c r="I148" s="53">
        <v>0.0726666666666667</v>
      </c>
      <c r="J148" s="53">
        <v>0.118333333333333</v>
      </c>
      <c r="K148" s="28">
        <v>0</v>
      </c>
      <c r="L148" s="53">
        <v>0.8</v>
      </c>
      <c r="M148" s="31">
        <v>0.98</v>
      </c>
      <c r="N148" s="31">
        <v>0.98</v>
      </c>
      <c r="O148" s="31">
        <v>0.98</v>
      </c>
      <c r="P148" s="31">
        <v>0.7</v>
      </c>
      <c r="Q148" s="31">
        <v>0.96</v>
      </c>
    </row>
    <row r="149" spans="1:17">
      <c r="A149" s="50">
        <v>145</v>
      </c>
      <c r="B149" s="51" t="s">
        <v>263</v>
      </c>
      <c r="C149" s="51" t="s">
        <v>33</v>
      </c>
      <c r="D149" s="51">
        <v>1.5</v>
      </c>
      <c r="E149" s="51">
        <v>12</v>
      </c>
      <c r="F149" s="51" t="s">
        <v>264</v>
      </c>
      <c r="G149" s="52" t="s">
        <v>265</v>
      </c>
      <c r="H149" s="28">
        <v>1518</v>
      </c>
      <c r="I149" s="53">
        <f>VLOOKUP(F149,[1]终点成分!$A$5:$C$1000,2,0)</f>
        <v>0.0693575129533679</v>
      </c>
      <c r="J149" s="53">
        <f>VLOOKUP(F149,[1]终点成分!$A$5:$C$1000,3,0)</f>
        <v>0.114424870466321</v>
      </c>
      <c r="K149" s="28">
        <v>0</v>
      </c>
      <c r="L149" s="53">
        <v>0.8</v>
      </c>
      <c r="M149" s="31">
        <v>0.98</v>
      </c>
      <c r="N149" s="31">
        <v>0.98</v>
      </c>
      <c r="O149" s="31">
        <v>0.98</v>
      </c>
      <c r="P149" s="31">
        <v>0.7</v>
      </c>
      <c r="Q149" s="31">
        <v>0.96</v>
      </c>
    </row>
    <row r="150" spans="1:17">
      <c r="A150" s="50">
        <v>146</v>
      </c>
      <c r="B150" s="51" t="s">
        <v>263</v>
      </c>
      <c r="C150" s="51" t="s">
        <v>30</v>
      </c>
      <c r="D150" s="51">
        <v>12.01</v>
      </c>
      <c r="E150" s="51">
        <v>19</v>
      </c>
      <c r="F150" s="51" t="s">
        <v>266</v>
      </c>
      <c r="G150" s="52" t="s">
        <v>265</v>
      </c>
      <c r="H150" s="28">
        <v>1518</v>
      </c>
      <c r="I150" s="53">
        <f>VLOOKUP(F150,[1]终点成分!$A$5:$C$1000,2,0)</f>
        <v>0.0721346153846154</v>
      </c>
      <c r="J150" s="53">
        <f>VLOOKUP(F150,[1]终点成分!$A$5:$C$1000,3,0)</f>
        <v>0.126442307692308</v>
      </c>
      <c r="K150" s="28">
        <v>0</v>
      </c>
      <c r="L150" s="53">
        <v>0.8</v>
      </c>
      <c r="M150" s="31">
        <v>0.98</v>
      </c>
      <c r="N150" s="31">
        <v>0.98</v>
      </c>
      <c r="O150" s="31">
        <v>0.98</v>
      </c>
      <c r="P150" s="31">
        <v>0.7</v>
      </c>
      <c r="Q150" s="31">
        <v>0.96</v>
      </c>
    </row>
    <row r="151" spans="1:17">
      <c r="A151" s="50">
        <v>147</v>
      </c>
      <c r="B151" s="51" t="s">
        <v>263</v>
      </c>
      <c r="C151" s="51" t="s">
        <v>102</v>
      </c>
      <c r="D151" s="51">
        <v>19.01</v>
      </c>
      <c r="E151" s="51">
        <v>25.4</v>
      </c>
      <c r="F151" s="51" t="s">
        <v>267</v>
      </c>
      <c r="G151" s="52" t="s">
        <v>265</v>
      </c>
      <c r="H151" s="28">
        <v>1518</v>
      </c>
      <c r="I151" s="53">
        <f>VLOOKUP(F151,[1]终点成分!$A$5:$C$1000,2,0)</f>
        <v>0.0821666666666667</v>
      </c>
      <c r="J151" s="53">
        <f>VLOOKUP(F151,[1]终点成分!$A$5:$C$1000,3,0)</f>
        <v>0.107833333333333</v>
      </c>
      <c r="K151" s="28">
        <v>0</v>
      </c>
      <c r="L151" s="57">
        <v>0.8</v>
      </c>
      <c r="M151" s="31">
        <v>0.98</v>
      </c>
      <c r="N151" s="31">
        <v>0.98</v>
      </c>
      <c r="O151" s="31">
        <v>0.98</v>
      </c>
      <c r="P151" s="31">
        <v>0.7</v>
      </c>
      <c r="Q151" s="31">
        <v>0.96</v>
      </c>
    </row>
    <row r="152" spans="1:17">
      <c r="A152" s="50">
        <v>148</v>
      </c>
      <c r="B152" s="51" t="s">
        <v>268</v>
      </c>
      <c r="C152" s="51" t="s">
        <v>30</v>
      </c>
      <c r="D152" s="51">
        <v>2</v>
      </c>
      <c r="E152" s="51">
        <v>12</v>
      </c>
      <c r="F152" s="51" t="s">
        <v>269</v>
      </c>
      <c r="G152" s="52" t="s">
        <v>270</v>
      </c>
      <c r="H152" s="28">
        <v>1518</v>
      </c>
      <c r="I152" s="53">
        <f>VLOOKUP(F152,[1]终点成分!$A$5:$C$1000,2,0)</f>
        <v>0.0716428571428572</v>
      </c>
      <c r="J152" s="53">
        <f>VLOOKUP(F152,[1]终点成分!$A$5:$C$1000,3,0)</f>
        <v>0.103</v>
      </c>
      <c r="K152" s="28">
        <v>0</v>
      </c>
      <c r="L152" s="53">
        <v>0</v>
      </c>
      <c r="M152" s="31">
        <v>0.98</v>
      </c>
      <c r="N152" s="31">
        <v>0.98</v>
      </c>
      <c r="O152" s="31">
        <v>0.98</v>
      </c>
      <c r="P152" s="31">
        <v>0.7</v>
      </c>
      <c r="Q152" s="31">
        <v>0.96</v>
      </c>
    </row>
    <row r="153" spans="1:17">
      <c r="A153" s="50">
        <v>149</v>
      </c>
      <c r="B153" s="51" t="s">
        <v>268</v>
      </c>
      <c r="C153" s="51" t="s">
        <v>33</v>
      </c>
      <c r="D153" s="51">
        <v>12.01</v>
      </c>
      <c r="E153" s="51">
        <v>25.4</v>
      </c>
      <c r="F153" s="51" t="s">
        <v>271</v>
      </c>
      <c r="G153" s="52" t="s">
        <v>270</v>
      </c>
      <c r="H153" s="28">
        <v>1518</v>
      </c>
      <c r="I153" s="54">
        <v>0.0716428571428572</v>
      </c>
      <c r="J153" s="54">
        <v>0.103</v>
      </c>
      <c r="K153" s="28">
        <v>0</v>
      </c>
      <c r="L153" s="53">
        <v>0</v>
      </c>
      <c r="M153" s="31">
        <v>0.98</v>
      </c>
      <c r="N153" s="31">
        <v>0.98</v>
      </c>
      <c r="O153" s="31">
        <v>0.98</v>
      </c>
      <c r="P153" s="31">
        <v>0.7</v>
      </c>
      <c r="Q153" s="31">
        <v>0.96</v>
      </c>
    </row>
    <row r="154" spans="1:17">
      <c r="A154" s="50">
        <v>150</v>
      </c>
      <c r="B154" s="51" t="s">
        <v>272</v>
      </c>
      <c r="C154" s="51" t="s">
        <v>33</v>
      </c>
      <c r="D154" s="51">
        <v>1.5</v>
      </c>
      <c r="E154" s="51">
        <v>12</v>
      </c>
      <c r="F154" s="51" t="s">
        <v>273</v>
      </c>
      <c r="G154" s="52" t="s">
        <v>274</v>
      </c>
      <c r="H154" s="28">
        <v>1518</v>
      </c>
      <c r="I154" s="53">
        <f>VLOOKUP(F154,[1]终点成分!$A$5:$C$1000,2,0)</f>
        <v>0.0835</v>
      </c>
      <c r="J154" s="53">
        <f>VLOOKUP(F154,[1]终点成分!$A$5:$C$1000,3,0)</f>
        <v>0.147</v>
      </c>
      <c r="K154" s="28">
        <v>0</v>
      </c>
      <c r="L154" s="53">
        <v>0.8</v>
      </c>
      <c r="M154" s="31">
        <v>0.98</v>
      </c>
      <c r="N154" s="31">
        <v>0.98</v>
      </c>
      <c r="O154" s="31">
        <v>0.98</v>
      </c>
      <c r="P154" s="31">
        <v>0.7</v>
      </c>
      <c r="Q154" s="31">
        <v>0.96</v>
      </c>
    </row>
    <row r="155" spans="1:17">
      <c r="A155" s="50">
        <v>151</v>
      </c>
      <c r="B155" s="51" t="s">
        <v>272</v>
      </c>
      <c r="C155" s="51" t="s">
        <v>30</v>
      </c>
      <c r="D155" s="51">
        <v>12.01</v>
      </c>
      <c r="E155" s="51">
        <v>19</v>
      </c>
      <c r="F155" s="51" t="s">
        <v>275</v>
      </c>
      <c r="G155" s="52" t="s">
        <v>274</v>
      </c>
      <c r="H155" s="28">
        <v>1518</v>
      </c>
      <c r="I155" s="53">
        <f>VLOOKUP(F155,[1]终点成分!$A$5:$C$1000,2,0)</f>
        <v>0.0808275862068966</v>
      </c>
      <c r="J155" s="53">
        <f>VLOOKUP(F155,[1]终点成分!$A$5:$C$1000,3,0)</f>
        <v>0.107862068965517</v>
      </c>
      <c r="K155" s="28">
        <v>0</v>
      </c>
      <c r="L155" s="53">
        <v>0.8</v>
      </c>
      <c r="M155" s="31">
        <v>0.98</v>
      </c>
      <c r="N155" s="31">
        <v>0.98</v>
      </c>
      <c r="O155" s="31">
        <v>0.98</v>
      </c>
      <c r="P155" s="31">
        <v>0.7</v>
      </c>
      <c r="Q155" s="31">
        <v>0.96</v>
      </c>
    </row>
    <row r="156" spans="1:17">
      <c r="A156" s="50">
        <v>152</v>
      </c>
      <c r="B156" s="51" t="s">
        <v>272</v>
      </c>
      <c r="C156" s="51" t="s">
        <v>102</v>
      </c>
      <c r="D156" s="51">
        <v>19.01</v>
      </c>
      <c r="E156" s="51">
        <v>25.4</v>
      </c>
      <c r="F156" s="51" t="s">
        <v>276</v>
      </c>
      <c r="G156" s="52" t="s">
        <v>274</v>
      </c>
      <c r="H156" s="28">
        <v>1518</v>
      </c>
      <c r="I156" s="53">
        <f>VLOOKUP(F156,[1]终点成分!$A$5:$C$1000,2,0)</f>
        <v>0.072</v>
      </c>
      <c r="J156" s="53">
        <f>VLOOKUP(F156,[1]终点成分!$A$5:$C$1000,3,0)</f>
        <v>0.1137</v>
      </c>
      <c r="K156" s="28">
        <v>0</v>
      </c>
      <c r="L156" s="57">
        <v>0.8</v>
      </c>
      <c r="M156" s="31">
        <v>0.98</v>
      </c>
      <c r="N156" s="31">
        <v>0.98</v>
      </c>
      <c r="O156" s="31">
        <v>0.98</v>
      </c>
      <c r="P156" s="31">
        <v>0.7</v>
      </c>
      <c r="Q156" s="31">
        <v>0.96</v>
      </c>
    </row>
    <row r="157" spans="1:17">
      <c r="A157" s="50">
        <v>153</v>
      </c>
      <c r="B157" s="51" t="s">
        <v>277</v>
      </c>
      <c r="C157" s="51" t="s">
        <v>30</v>
      </c>
      <c r="D157" s="51">
        <v>1.2</v>
      </c>
      <c r="E157" s="51">
        <v>12</v>
      </c>
      <c r="F157" s="51" t="s">
        <v>278</v>
      </c>
      <c r="G157" s="52" t="s">
        <v>279</v>
      </c>
      <c r="H157" s="28">
        <v>1518</v>
      </c>
      <c r="I157" s="54">
        <v>0.072</v>
      </c>
      <c r="J157" s="54">
        <v>0.1137</v>
      </c>
      <c r="K157" s="28">
        <v>0</v>
      </c>
      <c r="L157" s="53">
        <v>0</v>
      </c>
      <c r="M157" s="31">
        <v>0.98</v>
      </c>
      <c r="N157" s="31">
        <v>0.98</v>
      </c>
      <c r="O157" s="31">
        <v>0.98</v>
      </c>
      <c r="P157" s="31">
        <v>0.7</v>
      </c>
      <c r="Q157" s="31">
        <v>0.96</v>
      </c>
    </row>
    <row r="158" spans="1:17">
      <c r="A158" s="50">
        <v>154</v>
      </c>
      <c r="B158" s="51" t="s">
        <v>277</v>
      </c>
      <c r="C158" s="51" t="s">
        <v>33</v>
      </c>
      <c r="D158" s="51">
        <v>12.01</v>
      </c>
      <c r="E158" s="51">
        <v>25.4</v>
      </c>
      <c r="F158" s="51" t="s">
        <v>281</v>
      </c>
      <c r="G158" s="52" t="s">
        <v>279</v>
      </c>
      <c r="H158" s="28">
        <v>1518</v>
      </c>
      <c r="I158" s="54">
        <v>0.072</v>
      </c>
      <c r="J158" s="54">
        <v>0.1137</v>
      </c>
      <c r="K158" s="28">
        <v>0</v>
      </c>
      <c r="L158" s="53">
        <v>0</v>
      </c>
      <c r="M158" s="31">
        <v>0.98</v>
      </c>
      <c r="N158" s="31">
        <v>0.98</v>
      </c>
      <c r="O158" s="31">
        <v>0.98</v>
      </c>
      <c r="P158" s="31">
        <v>0.7</v>
      </c>
      <c r="Q158" s="31">
        <v>0.96</v>
      </c>
    </row>
    <row r="159" spans="1:17">
      <c r="A159" s="50">
        <v>155</v>
      </c>
      <c r="B159" s="51" t="s">
        <v>282</v>
      </c>
      <c r="C159" s="51" t="s">
        <v>30</v>
      </c>
      <c r="D159" s="51">
        <v>1.5</v>
      </c>
      <c r="E159" s="51">
        <v>12</v>
      </c>
      <c r="F159" s="51" t="s">
        <v>283</v>
      </c>
      <c r="G159" s="52" t="s">
        <v>284</v>
      </c>
      <c r="H159" s="28">
        <v>1513</v>
      </c>
      <c r="I159" s="53">
        <f>VLOOKUP(F159,[1]终点成分!$A$5:$C$1000,2,0)</f>
        <v>0.0667142857142857</v>
      </c>
      <c r="J159" s="53">
        <f>VLOOKUP(F159,[1]终点成分!$A$5:$C$1000,3,0)</f>
        <v>0.112</v>
      </c>
      <c r="K159" s="28">
        <v>0</v>
      </c>
      <c r="L159" s="53">
        <v>0.8</v>
      </c>
      <c r="M159" s="31">
        <v>0.98</v>
      </c>
      <c r="N159" s="31">
        <v>0.98</v>
      </c>
      <c r="O159" s="31">
        <v>0.98</v>
      </c>
      <c r="P159" s="31">
        <v>0.7</v>
      </c>
      <c r="Q159" s="31">
        <v>0.96</v>
      </c>
    </row>
    <row r="160" spans="1:17">
      <c r="A160" s="50">
        <v>156</v>
      </c>
      <c r="B160" s="51" t="s">
        <v>282</v>
      </c>
      <c r="C160" s="51" t="s">
        <v>33</v>
      </c>
      <c r="D160" s="51">
        <v>12.01</v>
      </c>
      <c r="E160" s="51">
        <v>19</v>
      </c>
      <c r="F160" s="51" t="s">
        <v>285</v>
      </c>
      <c r="G160" s="52" t="s">
        <v>284</v>
      </c>
      <c r="H160" s="28">
        <v>1518</v>
      </c>
      <c r="I160" s="53">
        <f>VLOOKUP(F160,[1]终点成分!$A$5:$C$1000,2,0)</f>
        <v>0.065</v>
      </c>
      <c r="J160" s="53">
        <f>VLOOKUP(F160,[1]终点成分!$A$5:$C$1000,3,0)</f>
        <v>0.092</v>
      </c>
      <c r="K160" s="28">
        <v>0</v>
      </c>
      <c r="L160" s="53">
        <v>0.8</v>
      </c>
      <c r="M160" s="31">
        <v>0.98</v>
      </c>
      <c r="N160" s="31">
        <v>0.98</v>
      </c>
      <c r="O160" s="31">
        <v>0.98</v>
      </c>
      <c r="P160" s="31">
        <v>0.7</v>
      </c>
      <c r="Q160" s="31">
        <v>0.96</v>
      </c>
    </row>
    <row r="161" spans="1:17">
      <c r="A161" s="50">
        <v>157</v>
      </c>
      <c r="B161" s="51" t="s">
        <v>282</v>
      </c>
      <c r="C161" s="51" t="s">
        <v>102</v>
      </c>
      <c r="D161" s="51">
        <v>19.01</v>
      </c>
      <c r="E161" s="51">
        <v>25.4</v>
      </c>
      <c r="F161" s="51" t="s">
        <v>286</v>
      </c>
      <c r="G161" s="52" t="s">
        <v>284</v>
      </c>
      <c r="H161" s="28">
        <v>1518</v>
      </c>
      <c r="I161" s="53">
        <f>VLOOKUP(F161,[1]终点成分!$A$5:$C$1000,2,0)</f>
        <v>0.073</v>
      </c>
      <c r="J161" s="53">
        <f>VLOOKUP(F161,[1]终点成分!$A$5:$C$1000,3,0)</f>
        <v>0.115</v>
      </c>
      <c r="K161" s="28">
        <v>0</v>
      </c>
      <c r="L161" s="53">
        <v>0.8</v>
      </c>
      <c r="M161" s="31">
        <v>0.98</v>
      </c>
      <c r="N161" s="31">
        <v>0.98</v>
      </c>
      <c r="O161" s="31">
        <v>0.98</v>
      </c>
      <c r="P161" s="31">
        <v>0.7</v>
      </c>
      <c r="Q161" s="31">
        <v>0.96</v>
      </c>
    </row>
    <row r="162" spans="1:17">
      <c r="A162" s="50">
        <v>158</v>
      </c>
      <c r="B162" s="51" t="s">
        <v>287</v>
      </c>
      <c r="C162" s="51" t="s">
        <v>33</v>
      </c>
      <c r="D162" s="51">
        <v>4</v>
      </c>
      <c r="E162" s="51">
        <v>12</v>
      </c>
      <c r="F162" s="51" t="s">
        <v>288</v>
      </c>
      <c r="G162" s="52" t="s">
        <v>289</v>
      </c>
      <c r="H162" s="28">
        <v>1524</v>
      </c>
      <c r="I162" s="54">
        <v>0.05</v>
      </c>
      <c r="J162" s="54">
        <v>0.08</v>
      </c>
      <c r="K162" s="28">
        <v>0</v>
      </c>
      <c r="L162" s="53">
        <v>0.8</v>
      </c>
      <c r="M162" s="31">
        <v>0.98</v>
      </c>
      <c r="N162" s="31">
        <v>0.98</v>
      </c>
      <c r="O162" s="31">
        <v>0.98</v>
      </c>
      <c r="P162" s="31">
        <v>0.7</v>
      </c>
      <c r="Q162" s="31">
        <v>0.96</v>
      </c>
    </row>
    <row r="163" spans="1:17">
      <c r="A163" s="50">
        <v>159</v>
      </c>
      <c r="B163" s="51" t="s">
        <v>287</v>
      </c>
      <c r="C163" s="51" t="s">
        <v>30</v>
      </c>
      <c r="D163" s="51">
        <v>12.01</v>
      </c>
      <c r="E163" s="51">
        <v>19</v>
      </c>
      <c r="F163" s="51" t="s">
        <v>290</v>
      </c>
      <c r="G163" s="52" t="s">
        <v>289</v>
      </c>
      <c r="H163" s="28">
        <v>1524</v>
      </c>
      <c r="I163" s="54">
        <v>0.05</v>
      </c>
      <c r="J163" s="54">
        <v>0.08</v>
      </c>
      <c r="K163" s="28">
        <v>0</v>
      </c>
      <c r="L163" s="53">
        <v>0.8</v>
      </c>
      <c r="M163" s="31">
        <v>0.98</v>
      </c>
      <c r="N163" s="31">
        <v>0.98</v>
      </c>
      <c r="O163" s="31">
        <v>0.98</v>
      </c>
      <c r="P163" s="31">
        <v>0.7</v>
      </c>
      <c r="Q163" s="31">
        <v>0.96</v>
      </c>
    </row>
    <row r="164" spans="1:17">
      <c r="A164" s="50">
        <v>160</v>
      </c>
      <c r="B164" s="51" t="s">
        <v>291</v>
      </c>
      <c r="C164" s="51" t="s">
        <v>33</v>
      </c>
      <c r="D164" s="51">
        <v>5</v>
      </c>
      <c r="E164" s="51">
        <v>12</v>
      </c>
      <c r="F164" s="51" t="s">
        <v>292</v>
      </c>
      <c r="G164" s="52" t="s">
        <v>293</v>
      </c>
      <c r="H164" s="28">
        <v>1524</v>
      </c>
      <c r="I164" s="54">
        <v>0.05</v>
      </c>
      <c r="J164" s="54">
        <v>0.08</v>
      </c>
      <c r="K164" s="28">
        <v>0</v>
      </c>
      <c r="L164" s="53">
        <v>0.8</v>
      </c>
      <c r="M164" s="31">
        <v>0.98</v>
      </c>
      <c r="N164" s="31">
        <v>0.98</v>
      </c>
      <c r="O164" s="31">
        <v>0.98</v>
      </c>
      <c r="P164" s="31">
        <v>0.7</v>
      </c>
      <c r="Q164" s="31">
        <v>0.96</v>
      </c>
    </row>
    <row r="165" spans="1:17">
      <c r="A165" s="50">
        <v>161</v>
      </c>
      <c r="B165" s="51" t="s">
        <v>291</v>
      </c>
      <c r="C165" s="51" t="s">
        <v>30</v>
      </c>
      <c r="D165" s="51">
        <v>12.01</v>
      </c>
      <c r="E165" s="51">
        <v>20</v>
      </c>
      <c r="F165" s="51" t="s">
        <v>294</v>
      </c>
      <c r="G165" s="52" t="s">
        <v>293</v>
      </c>
      <c r="H165" s="28">
        <v>1524</v>
      </c>
      <c r="I165" s="54">
        <v>0.05</v>
      </c>
      <c r="J165" s="54">
        <v>0.08</v>
      </c>
      <c r="K165" s="28">
        <v>0</v>
      </c>
      <c r="L165" s="53">
        <v>0.8</v>
      </c>
      <c r="M165" s="31">
        <v>0.98</v>
      </c>
      <c r="N165" s="31">
        <v>0.98</v>
      </c>
      <c r="O165" s="31">
        <v>0.98</v>
      </c>
      <c r="P165" s="31">
        <v>0.7</v>
      </c>
      <c r="Q165" s="31">
        <v>0.96</v>
      </c>
    </row>
    <row r="166" spans="1:17">
      <c r="A166" s="50">
        <v>162</v>
      </c>
      <c r="B166" s="51" t="s">
        <v>295</v>
      </c>
      <c r="C166" s="51" t="s">
        <v>30</v>
      </c>
      <c r="D166" s="51">
        <v>2</v>
      </c>
      <c r="E166" s="51">
        <v>5.99</v>
      </c>
      <c r="F166" s="51" t="s">
        <v>296</v>
      </c>
      <c r="G166" s="52" t="s">
        <v>297</v>
      </c>
      <c r="H166" s="28">
        <v>1524</v>
      </c>
      <c r="I166" s="53">
        <v>0.0354285714285714</v>
      </c>
      <c r="J166" s="53">
        <v>0.0714285714285714</v>
      </c>
      <c r="K166" s="28">
        <v>0</v>
      </c>
      <c r="L166" s="53">
        <v>0.8</v>
      </c>
      <c r="M166" s="31">
        <v>0.98</v>
      </c>
      <c r="N166" s="31">
        <v>0.98</v>
      </c>
      <c r="O166" s="31">
        <v>0.98</v>
      </c>
      <c r="P166" s="31">
        <v>0.7</v>
      </c>
      <c r="Q166" s="31">
        <v>0.96</v>
      </c>
    </row>
    <row r="167" spans="1:17">
      <c r="A167" s="50">
        <v>163</v>
      </c>
      <c r="B167" s="51" t="s">
        <v>295</v>
      </c>
      <c r="C167" s="51" t="s">
        <v>33</v>
      </c>
      <c r="D167" s="51">
        <v>6</v>
      </c>
      <c r="E167" s="51">
        <v>16</v>
      </c>
      <c r="F167" s="51" t="s">
        <v>298</v>
      </c>
      <c r="G167" s="52" t="s">
        <v>297</v>
      </c>
      <c r="H167" s="28">
        <v>1524</v>
      </c>
      <c r="I167" s="53">
        <f>VLOOKUP(F167,[1]终点成分!$A$5:$C$1000,2,0)</f>
        <v>0.0354285714285714</v>
      </c>
      <c r="J167" s="53">
        <f>VLOOKUP(F167,[1]终点成分!$A$5:$C$1000,3,0)</f>
        <v>0.0714285714285714</v>
      </c>
      <c r="K167" s="28">
        <v>0</v>
      </c>
      <c r="L167" s="53">
        <v>0.8</v>
      </c>
      <c r="M167" s="31">
        <v>0.98</v>
      </c>
      <c r="N167" s="31">
        <v>0.98</v>
      </c>
      <c r="O167" s="31">
        <v>0.98</v>
      </c>
      <c r="P167" s="31">
        <v>0.7</v>
      </c>
      <c r="Q167" s="31">
        <v>0.96</v>
      </c>
    </row>
    <row r="168" spans="1:17">
      <c r="A168" s="50">
        <v>164</v>
      </c>
      <c r="B168" s="51" t="s">
        <v>299</v>
      </c>
      <c r="C168" s="51" t="s">
        <v>30</v>
      </c>
      <c r="D168" s="51">
        <v>2</v>
      </c>
      <c r="E168" s="51">
        <v>5.99</v>
      </c>
      <c r="F168" s="51" t="s">
        <v>300</v>
      </c>
      <c r="G168" s="52" t="s">
        <v>301</v>
      </c>
      <c r="H168" s="28">
        <v>1524</v>
      </c>
      <c r="I168" s="54">
        <v>0.04725</v>
      </c>
      <c r="J168" s="54">
        <v>0.07575</v>
      </c>
      <c r="K168" s="28">
        <v>0</v>
      </c>
      <c r="L168" s="53">
        <v>0.8</v>
      </c>
      <c r="M168" s="31">
        <v>0.98</v>
      </c>
      <c r="N168" s="31">
        <v>0.98</v>
      </c>
      <c r="O168" s="31">
        <v>0.98</v>
      </c>
      <c r="P168" s="31">
        <v>0.7</v>
      </c>
      <c r="Q168" s="31">
        <v>0.96</v>
      </c>
    </row>
    <row r="169" spans="1:17">
      <c r="A169" s="50">
        <v>165</v>
      </c>
      <c r="B169" s="51" t="s">
        <v>299</v>
      </c>
      <c r="C169" s="51" t="s">
        <v>33</v>
      </c>
      <c r="D169" s="51">
        <v>6</v>
      </c>
      <c r="E169" s="51">
        <v>20</v>
      </c>
      <c r="F169" s="51" t="s">
        <v>302</v>
      </c>
      <c r="G169" s="52" t="s">
        <v>301</v>
      </c>
      <c r="H169" s="28">
        <v>1524</v>
      </c>
      <c r="I169" s="53">
        <f>VLOOKUP(F169,[1]终点成分!$A$5:$C$1000,2,0)</f>
        <v>0.04725</v>
      </c>
      <c r="J169" s="53">
        <f>VLOOKUP(F169,[1]终点成分!$A$5:$C$1000,3,0)</f>
        <v>0.07575</v>
      </c>
      <c r="K169" s="28">
        <v>0</v>
      </c>
      <c r="L169" s="53">
        <v>0.8</v>
      </c>
      <c r="M169" s="31">
        <v>0.98</v>
      </c>
      <c r="N169" s="31">
        <v>0.98</v>
      </c>
      <c r="O169" s="31">
        <v>0.98</v>
      </c>
      <c r="P169" s="31">
        <v>0.7</v>
      </c>
      <c r="Q169" s="31">
        <v>0.96</v>
      </c>
    </row>
    <row r="170" spans="1:17">
      <c r="A170" s="50">
        <v>166</v>
      </c>
      <c r="B170" s="51" t="s">
        <v>303</v>
      </c>
      <c r="C170" s="51" t="s">
        <v>30</v>
      </c>
      <c r="D170" s="51">
        <v>2</v>
      </c>
      <c r="E170" s="51">
        <v>5.99</v>
      </c>
      <c r="F170" s="51" t="s">
        <v>304</v>
      </c>
      <c r="G170" s="52" t="s">
        <v>305</v>
      </c>
      <c r="H170" s="28">
        <v>1523</v>
      </c>
      <c r="I170" s="54">
        <v>0.0420952380952381</v>
      </c>
      <c r="J170" s="54">
        <v>0.0812857142857143</v>
      </c>
      <c r="K170" s="28">
        <v>0</v>
      </c>
      <c r="L170" s="53">
        <v>0.8</v>
      </c>
      <c r="M170" s="31">
        <v>0.98</v>
      </c>
      <c r="N170" s="31">
        <v>0.98</v>
      </c>
      <c r="O170" s="31">
        <v>0.98</v>
      </c>
      <c r="P170" s="31">
        <v>0.7</v>
      </c>
      <c r="Q170" s="31">
        <v>0.96</v>
      </c>
    </row>
    <row r="171" spans="1:17">
      <c r="A171" s="50">
        <v>167</v>
      </c>
      <c r="B171" s="51" t="s">
        <v>303</v>
      </c>
      <c r="C171" s="51" t="s">
        <v>33</v>
      </c>
      <c r="D171" s="51">
        <v>6</v>
      </c>
      <c r="E171" s="51">
        <v>14</v>
      </c>
      <c r="F171" s="51" t="s">
        <v>306</v>
      </c>
      <c r="G171" s="52" t="s">
        <v>305</v>
      </c>
      <c r="H171" s="28">
        <v>1523</v>
      </c>
      <c r="I171" s="56">
        <v>0.0420952380952381</v>
      </c>
      <c r="J171" s="56">
        <v>0.0812857142857143</v>
      </c>
      <c r="K171" s="28">
        <v>0</v>
      </c>
      <c r="L171" s="53">
        <v>0.8</v>
      </c>
      <c r="M171" s="31">
        <v>0.98</v>
      </c>
      <c r="N171" s="31">
        <v>0.98</v>
      </c>
      <c r="O171" s="31">
        <v>0.98</v>
      </c>
      <c r="P171" s="31">
        <v>0.7</v>
      </c>
      <c r="Q171" s="31">
        <v>0.96</v>
      </c>
    </row>
    <row r="172" spans="1:17">
      <c r="A172" s="50">
        <v>168</v>
      </c>
      <c r="B172" s="51" t="s">
        <v>307</v>
      </c>
      <c r="C172" s="51" t="s">
        <v>30</v>
      </c>
      <c r="D172" s="51">
        <v>2</v>
      </c>
      <c r="E172" s="51">
        <v>5.99</v>
      </c>
      <c r="F172" s="51" t="s">
        <v>308</v>
      </c>
      <c r="G172" s="52" t="s">
        <v>309</v>
      </c>
      <c r="H172" s="28">
        <v>1524</v>
      </c>
      <c r="I172" s="54">
        <v>0.048</v>
      </c>
      <c r="J172" s="54">
        <v>0.072</v>
      </c>
      <c r="K172" s="28">
        <v>0</v>
      </c>
      <c r="L172" s="53">
        <v>0.8</v>
      </c>
      <c r="M172" s="31">
        <v>0.98</v>
      </c>
      <c r="N172" s="31">
        <v>0.98</v>
      </c>
      <c r="O172" s="31">
        <v>0.98</v>
      </c>
      <c r="P172" s="31">
        <v>0.7</v>
      </c>
      <c r="Q172" s="31">
        <v>0.96</v>
      </c>
    </row>
    <row r="173" spans="1:17">
      <c r="A173" s="50">
        <v>169</v>
      </c>
      <c r="B173" s="51" t="s">
        <v>307</v>
      </c>
      <c r="C173" s="51" t="s">
        <v>33</v>
      </c>
      <c r="D173" s="51">
        <v>6</v>
      </c>
      <c r="E173" s="51">
        <v>12</v>
      </c>
      <c r="F173" s="51" t="s">
        <v>310</v>
      </c>
      <c r="G173" s="52" t="s">
        <v>309</v>
      </c>
      <c r="H173" s="28">
        <v>1524</v>
      </c>
      <c r="I173" s="53">
        <f>VLOOKUP(F173,[1]终点成分!$A$5:$C$1000,2,0)</f>
        <v>0.048</v>
      </c>
      <c r="J173" s="53">
        <f>VLOOKUP(F173,[1]终点成分!$A$5:$C$1000,3,0)</f>
        <v>0.072</v>
      </c>
      <c r="K173" s="28">
        <v>0</v>
      </c>
      <c r="L173" s="53">
        <v>0.8</v>
      </c>
      <c r="M173" s="31">
        <v>0.98</v>
      </c>
      <c r="N173" s="31">
        <v>0.98</v>
      </c>
      <c r="O173" s="31">
        <v>0.98</v>
      </c>
      <c r="P173" s="31">
        <v>0.7</v>
      </c>
      <c r="Q173" s="31">
        <v>0.96</v>
      </c>
    </row>
    <row r="174" spans="1:17">
      <c r="A174" s="50">
        <v>170</v>
      </c>
      <c r="B174" s="51" t="s">
        <v>311</v>
      </c>
      <c r="C174" s="51" t="s">
        <v>30</v>
      </c>
      <c r="D174" s="51">
        <v>2</v>
      </c>
      <c r="E174" s="51">
        <v>5.99</v>
      </c>
      <c r="F174" s="51" t="s">
        <v>312</v>
      </c>
      <c r="G174" s="52" t="s">
        <v>313</v>
      </c>
      <c r="H174" s="28">
        <v>1523</v>
      </c>
      <c r="I174" s="53">
        <f>VLOOKUP(F174,[1]终点成分!$A$5:$C$1000,2,0)</f>
        <v>0.0420952380952381</v>
      </c>
      <c r="J174" s="53">
        <f>VLOOKUP(F174,[1]终点成分!$A$5:$C$1000,3,0)</f>
        <v>0.0812857142857143</v>
      </c>
      <c r="K174" s="28">
        <v>0</v>
      </c>
      <c r="L174" s="53">
        <v>0.8</v>
      </c>
      <c r="M174" s="31">
        <v>0.98</v>
      </c>
      <c r="N174" s="31">
        <v>0.98</v>
      </c>
      <c r="O174" s="31">
        <v>0.98</v>
      </c>
      <c r="P174" s="31">
        <v>0.7</v>
      </c>
      <c r="Q174" s="31">
        <v>0.96</v>
      </c>
    </row>
    <row r="175" spans="1:17">
      <c r="A175" s="50">
        <v>171</v>
      </c>
      <c r="B175" s="51" t="s">
        <v>311</v>
      </c>
      <c r="C175" s="51" t="s">
        <v>33</v>
      </c>
      <c r="D175" s="51">
        <v>6</v>
      </c>
      <c r="E175" s="51">
        <v>14</v>
      </c>
      <c r="F175" s="51" t="s">
        <v>314</v>
      </c>
      <c r="G175" s="52" t="s">
        <v>313</v>
      </c>
      <c r="H175" s="28">
        <v>1523</v>
      </c>
      <c r="I175" s="54">
        <v>0.0420952380952381</v>
      </c>
      <c r="J175" s="54">
        <v>0.0812857142857143</v>
      </c>
      <c r="K175" s="28">
        <v>0</v>
      </c>
      <c r="L175" s="53">
        <v>0.8</v>
      </c>
      <c r="M175" s="31">
        <v>0.98</v>
      </c>
      <c r="N175" s="31">
        <v>0.98</v>
      </c>
      <c r="O175" s="31">
        <v>0.98</v>
      </c>
      <c r="P175" s="31">
        <v>0.7</v>
      </c>
      <c r="Q175" s="31">
        <v>0.96</v>
      </c>
    </row>
    <row r="176" spans="1:17">
      <c r="A176" s="50">
        <v>172</v>
      </c>
      <c r="B176" s="51" t="s">
        <v>315</v>
      </c>
      <c r="C176" s="51" t="s">
        <v>30</v>
      </c>
      <c r="D176" s="51">
        <v>2.5</v>
      </c>
      <c r="E176" s="51">
        <v>5.99</v>
      </c>
      <c r="F176" s="51" t="s">
        <v>316</v>
      </c>
      <c r="G176" s="52" t="s">
        <v>317</v>
      </c>
      <c r="H176" s="28">
        <v>1516</v>
      </c>
      <c r="I176" s="53">
        <f>VLOOKUP(F176,[1]终点成分!$A$5:$C$1000,2,0)</f>
        <v>0.0421111111111111</v>
      </c>
      <c r="J176" s="53">
        <f>VLOOKUP(F176,[1]终点成分!$A$5:$C$1000,3,0)</f>
        <v>0.0936666666666667</v>
      </c>
      <c r="K176" s="28">
        <v>0</v>
      </c>
      <c r="L176" s="53">
        <v>0.8</v>
      </c>
      <c r="M176" s="31">
        <v>0.98</v>
      </c>
      <c r="N176" s="31">
        <v>0.98</v>
      </c>
      <c r="O176" s="31">
        <v>0.98</v>
      </c>
      <c r="P176" s="31">
        <v>0.7</v>
      </c>
      <c r="Q176" s="31">
        <v>0.96</v>
      </c>
    </row>
    <row r="177" spans="1:17">
      <c r="A177" s="50">
        <v>173</v>
      </c>
      <c r="B177" s="51" t="s">
        <v>315</v>
      </c>
      <c r="C177" s="51" t="s">
        <v>33</v>
      </c>
      <c r="D177" s="51">
        <v>6</v>
      </c>
      <c r="E177" s="51">
        <v>14</v>
      </c>
      <c r="F177" s="51" t="s">
        <v>318</v>
      </c>
      <c r="G177" s="52" t="s">
        <v>317</v>
      </c>
      <c r="H177" s="28">
        <v>1516</v>
      </c>
      <c r="I177" s="53">
        <f>VLOOKUP(F177,[1]终点成分!$A$5:$C$1000,2,0)</f>
        <v>0.0425</v>
      </c>
      <c r="J177" s="53">
        <f>VLOOKUP(F177,[1]终点成分!$A$5:$C$1000,3,0)</f>
        <v>0.08575</v>
      </c>
      <c r="K177" s="28">
        <v>0</v>
      </c>
      <c r="L177" s="53">
        <v>0.8</v>
      </c>
      <c r="M177" s="31">
        <v>0.98</v>
      </c>
      <c r="N177" s="31">
        <v>0.98</v>
      </c>
      <c r="O177" s="31">
        <v>0.98</v>
      </c>
      <c r="P177" s="31">
        <v>0.7</v>
      </c>
      <c r="Q177" s="31">
        <v>0.96</v>
      </c>
    </row>
    <row r="178" spans="1:17">
      <c r="A178" s="50">
        <v>174</v>
      </c>
      <c r="B178" s="51" t="s">
        <v>319</v>
      </c>
      <c r="C178" s="51" t="s">
        <v>30</v>
      </c>
      <c r="D178" s="51">
        <v>8</v>
      </c>
      <c r="E178" s="51">
        <v>14</v>
      </c>
      <c r="F178" s="51" t="s">
        <v>319</v>
      </c>
      <c r="G178" s="52" t="s">
        <v>320</v>
      </c>
      <c r="H178" s="28">
        <v>1516</v>
      </c>
      <c r="I178" s="53">
        <f>VLOOKUP(F178,[1]终点成分!$A$5:$C$1000,2,0)</f>
        <v>0.0375</v>
      </c>
      <c r="J178" s="53">
        <f>VLOOKUP(F178,[1]终点成分!$A$5:$C$1000,3,0)</f>
        <v>0.09</v>
      </c>
      <c r="K178" s="28">
        <v>0</v>
      </c>
      <c r="L178" s="53">
        <v>0.8</v>
      </c>
      <c r="M178" s="31">
        <v>0.98</v>
      </c>
      <c r="N178" s="31">
        <v>0.98</v>
      </c>
      <c r="O178" s="31">
        <v>0.98</v>
      </c>
      <c r="P178" s="31">
        <v>0.7</v>
      </c>
      <c r="Q178" s="31">
        <v>0.96</v>
      </c>
    </row>
    <row r="179" spans="1:17">
      <c r="A179" s="50">
        <v>175</v>
      </c>
      <c r="B179" s="51" t="s">
        <v>321</v>
      </c>
      <c r="C179" s="51" t="s">
        <v>30</v>
      </c>
      <c r="D179" s="51">
        <v>3</v>
      </c>
      <c r="E179" s="51">
        <v>12</v>
      </c>
      <c r="F179" s="51" t="s">
        <v>321</v>
      </c>
      <c r="G179" s="52" t="s">
        <v>322</v>
      </c>
      <c r="H179" s="28">
        <v>1520</v>
      </c>
      <c r="I179" s="53">
        <f>VLOOKUP(F179,[1]终点成分!$A$5:$C$1000,2,0)</f>
        <v>0.0553333333333333</v>
      </c>
      <c r="J179" s="53">
        <f>VLOOKUP(F179,[1]终点成分!$A$5:$C$1000,3,0)</f>
        <v>0.118333333333333</v>
      </c>
      <c r="K179" s="28">
        <v>0</v>
      </c>
      <c r="L179" s="53">
        <v>0.8</v>
      </c>
      <c r="M179" s="31">
        <v>0.98</v>
      </c>
      <c r="N179" s="31">
        <v>0.98</v>
      </c>
      <c r="O179" s="31">
        <v>0.98</v>
      </c>
      <c r="P179" s="31">
        <v>0.7</v>
      </c>
      <c r="Q179" s="31">
        <v>0.96</v>
      </c>
    </row>
    <row r="180" spans="1:17">
      <c r="A180" s="50">
        <v>176</v>
      </c>
      <c r="B180" s="51" t="s">
        <v>323</v>
      </c>
      <c r="C180" s="51" t="s">
        <v>30</v>
      </c>
      <c r="D180" s="51">
        <v>2.5</v>
      </c>
      <c r="E180" s="51">
        <v>8</v>
      </c>
      <c r="F180" s="51" t="s">
        <v>323</v>
      </c>
      <c r="G180" s="52" t="s">
        <v>324</v>
      </c>
      <c r="H180" s="28">
        <v>1514</v>
      </c>
      <c r="I180" s="54">
        <v>0.0553333333333333</v>
      </c>
      <c r="J180" s="54">
        <v>0.118333333333333</v>
      </c>
      <c r="K180" s="28">
        <v>0</v>
      </c>
      <c r="L180" s="53">
        <v>0.8</v>
      </c>
      <c r="M180" s="31">
        <v>0.98</v>
      </c>
      <c r="N180" s="31">
        <v>0.98</v>
      </c>
      <c r="O180" s="31">
        <v>0.98</v>
      </c>
      <c r="P180" s="31">
        <v>0.7</v>
      </c>
      <c r="Q180" s="31">
        <v>0.96</v>
      </c>
    </row>
    <row r="181" spans="1:17">
      <c r="A181" s="50">
        <v>177</v>
      </c>
      <c r="B181" s="51" t="s">
        <v>326</v>
      </c>
      <c r="C181" s="51" t="s">
        <v>30</v>
      </c>
      <c r="D181" s="51">
        <v>3</v>
      </c>
      <c r="E181" s="51">
        <v>14</v>
      </c>
      <c r="F181" s="51" t="s">
        <v>327</v>
      </c>
      <c r="G181" s="52" t="s">
        <v>328</v>
      </c>
      <c r="H181" s="28">
        <v>1518</v>
      </c>
      <c r="I181" s="53">
        <f>VLOOKUP(F181,[1]终点成分!$A$5:$C$1000,2,0)</f>
        <v>0.0676363636363636</v>
      </c>
      <c r="J181" s="53">
        <f>VLOOKUP(F181,[1]终点成分!$A$5:$C$1000,3,0)</f>
        <v>0.111704545454545</v>
      </c>
      <c r="K181" s="28">
        <v>0</v>
      </c>
      <c r="L181" s="53">
        <v>0.8</v>
      </c>
      <c r="M181" s="31">
        <v>0.98</v>
      </c>
      <c r="N181" s="31">
        <v>0.98</v>
      </c>
      <c r="O181" s="31">
        <v>0.98</v>
      </c>
      <c r="P181" s="31">
        <v>0.7</v>
      </c>
      <c r="Q181" s="31">
        <v>0.96</v>
      </c>
    </row>
    <row r="182" spans="1:17">
      <c r="A182" s="50">
        <v>178</v>
      </c>
      <c r="B182" s="51" t="s">
        <v>326</v>
      </c>
      <c r="C182" s="51" t="s">
        <v>33</v>
      </c>
      <c r="D182" s="51">
        <v>14.01</v>
      </c>
      <c r="E182" s="51">
        <v>25.4</v>
      </c>
      <c r="F182" s="51" t="s">
        <v>329</v>
      </c>
      <c r="G182" s="52" t="s">
        <v>328</v>
      </c>
      <c r="H182" s="28">
        <v>1518</v>
      </c>
      <c r="I182" s="53">
        <f>VLOOKUP(F182,[1]终点成分!$A$5:$C$1000,2,0)</f>
        <v>0.0557777777777778</v>
      </c>
      <c r="J182" s="53">
        <f>VLOOKUP(F182,[1]终点成分!$A$5:$C$1000,3,0)</f>
        <v>0.0945555555555556</v>
      </c>
      <c r="K182" s="28">
        <v>0</v>
      </c>
      <c r="L182" s="53">
        <v>0.8</v>
      </c>
      <c r="M182" s="31">
        <v>0.98</v>
      </c>
      <c r="N182" s="31">
        <v>0.98</v>
      </c>
      <c r="O182" s="31">
        <v>0.98</v>
      </c>
      <c r="P182" s="31">
        <v>0.7</v>
      </c>
      <c r="Q182" s="31">
        <v>0.96</v>
      </c>
    </row>
    <row r="183" spans="1:17">
      <c r="A183" s="50">
        <v>179</v>
      </c>
      <c r="B183" s="51" t="s">
        <v>330</v>
      </c>
      <c r="C183" s="51" t="s">
        <v>30</v>
      </c>
      <c r="D183" s="51">
        <v>3</v>
      </c>
      <c r="E183" s="51">
        <v>14</v>
      </c>
      <c r="F183" s="51" t="s">
        <v>330</v>
      </c>
      <c r="G183" s="52" t="s">
        <v>331</v>
      </c>
      <c r="H183" s="28">
        <v>1513</v>
      </c>
      <c r="I183" s="53">
        <f>VLOOKUP(F183,[1]终点成分!$A$5:$C$1000,2,0)</f>
        <v>0.0622470119521912</v>
      </c>
      <c r="J183" s="53">
        <f>VLOOKUP(F183,[1]终点成分!$A$5:$C$1000,3,0)</f>
        <v>0.104494023904382</v>
      </c>
      <c r="K183" s="28">
        <v>0</v>
      </c>
      <c r="L183" s="53">
        <v>0.8</v>
      </c>
      <c r="M183" s="31">
        <v>0.98</v>
      </c>
      <c r="N183" s="31">
        <v>0.98</v>
      </c>
      <c r="O183" s="31">
        <v>0.98</v>
      </c>
      <c r="P183" s="31">
        <v>0.7</v>
      </c>
      <c r="Q183" s="31">
        <v>0.96</v>
      </c>
    </row>
    <row r="184" spans="1:17">
      <c r="A184" s="50">
        <v>180</v>
      </c>
      <c r="B184" s="51" t="s">
        <v>330</v>
      </c>
      <c r="C184" s="51" t="s">
        <v>33</v>
      </c>
      <c r="D184" s="51">
        <v>14.01</v>
      </c>
      <c r="E184" s="51">
        <v>28</v>
      </c>
      <c r="F184" s="51" t="s">
        <v>332</v>
      </c>
      <c r="G184" s="52" t="s">
        <v>331</v>
      </c>
      <c r="H184" s="28">
        <v>1513</v>
      </c>
      <c r="I184" s="53">
        <f>VLOOKUP(F184,[1]终点成分!$A$5:$C$1000,2,0)</f>
        <v>0.06265625</v>
      </c>
      <c r="J184" s="53">
        <f>VLOOKUP(F184,[1]终点成分!$A$5:$C$1000,3,0)</f>
        <v>0.10896875</v>
      </c>
      <c r="K184" s="28">
        <v>0</v>
      </c>
      <c r="L184" s="53">
        <v>0.8</v>
      </c>
      <c r="M184" s="31">
        <v>0.98</v>
      </c>
      <c r="N184" s="31">
        <v>0.98</v>
      </c>
      <c r="O184" s="31">
        <v>0.98</v>
      </c>
      <c r="P184" s="31">
        <v>0.7</v>
      </c>
      <c r="Q184" s="31">
        <v>0.96</v>
      </c>
    </row>
    <row r="185" spans="1:17">
      <c r="A185" s="50">
        <v>181</v>
      </c>
      <c r="B185" s="51" t="s">
        <v>333</v>
      </c>
      <c r="C185" s="51" t="s">
        <v>30</v>
      </c>
      <c r="D185" s="51">
        <v>3</v>
      </c>
      <c r="E185" s="51">
        <v>14</v>
      </c>
      <c r="F185" s="51" t="s">
        <v>334</v>
      </c>
      <c r="G185" s="52" t="s">
        <v>335</v>
      </c>
      <c r="H185" s="55">
        <v>1513</v>
      </c>
      <c r="I185" s="28">
        <v>0.06265625</v>
      </c>
      <c r="J185" s="28">
        <v>0.10896875</v>
      </c>
      <c r="K185" s="28">
        <v>0</v>
      </c>
      <c r="L185" s="53">
        <v>0.8</v>
      </c>
      <c r="M185" s="31">
        <v>0.98</v>
      </c>
      <c r="N185" s="31">
        <v>0.98</v>
      </c>
      <c r="O185" s="31">
        <v>0.98</v>
      </c>
      <c r="P185" s="31">
        <v>0.7</v>
      </c>
      <c r="Q185" s="31">
        <v>0.96</v>
      </c>
    </row>
    <row r="186" spans="1:17">
      <c r="A186" s="50">
        <v>182</v>
      </c>
      <c r="B186" s="51" t="s">
        <v>333</v>
      </c>
      <c r="C186" s="51" t="s">
        <v>33</v>
      </c>
      <c r="D186" s="51">
        <v>14.01</v>
      </c>
      <c r="E186" s="51">
        <v>25</v>
      </c>
      <c r="F186" s="51" t="s">
        <v>336</v>
      </c>
      <c r="G186" s="52" t="s">
        <v>335</v>
      </c>
      <c r="H186" s="55">
        <v>1513</v>
      </c>
      <c r="I186" s="28">
        <v>0.06265625</v>
      </c>
      <c r="J186" s="28">
        <v>0.10896875</v>
      </c>
      <c r="K186" s="28">
        <v>0</v>
      </c>
      <c r="L186" s="53">
        <v>0.8</v>
      </c>
      <c r="M186" s="31">
        <v>0.98</v>
      </c>
      <c r="N186" s="31">
        <v>0.98</v>
      </c>
      <c r="O186" s="31">
        <v>0.98</v>
      </c>
      <c r="P186" s="31">
        <v>0.7</v>
      </c>
      <c r="Q186" s="31">
        <v>0.96</v>
      </c>
    </row>
    <row r="187" spans="1:17">
      <c r="A187" s="50">
        <v>183</v>
      </c>
      <c r="B187" s="51" t="s">
        <v>226</v>
      </c>
      <c r="C187" s="51" t="s">
        <v>30</v>
      </c>
      <c r="D187" s="51">
        <v>3</v>
      </c>
      <c r="E187" s="51">
        <v>12.5</v>
      </c>
      <c r="F187" s="51" t="s">
        <v>227</v>
      </c>
      <c r="G187" s="52" t="s">
        <v>228</v>
      </c>
      <c r="H187" s="55">
        <v>1514</v>
      </c>
      <c r="I187" s="53">
        <v>0.06265625</v>
      </c>
      <c r="J187" s="53">
        <v>0.10896875</v>
      </c>
      <c r="K187" s="28">
        <v>0</v>
      </c>
      <c r="L187" s="53">
        <v>0.8</v>
      </c>
      <c r="M187" s="31">
        <v>0.98</v>
      </c>
      <c r="N187" s="31">
        <v>0.98</v>
      </c>
      <c r="O187" s="31">
        <v>0.98</v>
      </c>
      <c r="P187" s="31">
        <v>0.7</v>
      </c>
      <c r="Q187" s="31">
        <v>0.96</v>
      </c>
    </row>
    <row r="188" spans="1:17">
      <c r="A188" s="50">
        <v>184</v>
      </c>
      <c r="B188" s="51" t="s">
        <v>337</v>
      </c>
      <c r="C188" s="51" t="s">
        <v>30</v>
      </c>
      <c r="D188" s="51">
        <v>4</v>
      </c>
      <c r="E188" s="51">
        <v>16</v>
      </c>
      <c r="F188" s="51" t="s">
        <v>337</v>
      </c>
      <c r="G188" s="52" t="s">
        <v>338</v>
      </c>
      <c r="H188" s="28">
        <v>1522</v>
      </c>
      <c r="I188" s="54">
        <v>0.0480833333333333</v>
      </c>
      <c r="J188" s="54">
        <v>0.111</v>
      </c>
      <c r="K188" s="28">
        <v>0</v>
      </c>
      <c r="L188" s="53">
        <v>0.8</v>
      </c>
      <c r="M188" s="31">
        <v>0.98</v>
      </c>
      <c r="N188" s="31">
        <v>0.98</v>
      </c>
      <c r="O188" s="31">
        <v>0.98</v>
      </c>
      <c r="P188" s="31">
        <v>0.7</v>
      </c>
      <c r="Q188" s="31">
        <v>0.96</v>
      </c>
    </row>
    <row r="189" spans="1:17">
      <c r="A189" s="50">
        <v>185</v>
      </c>
      <c r="B189" s="51" t="s">
        <v>339</v>
      </c>
      <c r="C189" s="51" t="s">
        <v>30</v>
      </c>
      <c r="D189" s="51">
        <v>4</v>
      </c>
      <c r="E189" s="51">
        <v>16</v>
      </c>
      <c r="F189" s="51" t="s">
        <v>339</v>
      </c>
      <c r="G189" s="52" t="s">
        <v>340</v>
      </c>
      <c r="H189" s="28">
        <v>1522</v>
      </c>
      <c r="I189" s="53">
        <f>VLOOKUP(F189,[1]终点成分!$A$5:$C$1000,2,0)</f>
        <v>0.0480833333333333</v>
      </c>
      <c r="J189" s="53">
        <f>VLOOKUP(F189,[1]终点成分!$A$5:$C$1000,3,0)</f>
        <v>0.111</v>
      </c>
      <c r="K189" s="28">
        <v>0</v>
      </c>
      <c r="L189" s="53">
        <v>0.8</v>
      </c>
      <c r="M189" s="31">
        <v>0.98</v>
      </c>
      <c r="N189" s="31">
        <v>0.98</v>
      </c>
      <c r="O189" s="31">
        <v>0.98</v>
      </c>
      <c r="P189" s="31">
        <v>0.7</v>
      </c>
      <c r="Q189" s="31">
        <v>0.96</v>
      </c>
    </row>
    <row r="190" spans="1:17">
      <c r="A190" s="50">
        <v>186</v>
      </c>
      <c r="B190" s="51" t="s">
        <v>341</v>
      </c>
      <c r="C190" s="51" t="s">
        <v>30</v>
      </c>
      <c r="D190" s="51">
        <v>2</v>
      </c>
      <c r="E190" s="51">
        <v>6</v>
      </c>
      <c r="F190" s="51" t="s">
        <v>341</v>
      </c>
      <c r="G190" s="52" t="s">
        <v>342</v>
      </c>
      <c r="H190" s="28">
        <v>1518</v>
      </c>
      <c r="I190" s="53">
        <f>VLOOKUP(F190,[1]终点成分!$A$5:$C$1000,2,0)</f>
        <v>0.0653928571428572</v>
      </c>
      <c r="J190" s="53">
        <f>VLOOKUP(F190,[1]终点成分!$A$5:$C$1000,3,0)</f>
        <v>0.105428571428571</v>
      </c>
      <c r="K190" s="28">
        <v>0</v>
      </c>
      <c r="L190" s="53">
        <v>0</v>
      </c>
      <c r="M190" s="31">
        <v>0.98</v>
      </c>
      <c r="N190" s="31">
        <v>0.98</v>
      </c>
      <c r="O190" s="31">
        <v>0.98</v>
      </c>
      <c r="P190" s="31">
        <v>0.7</v>
      </c>
      <c r="Q190" s="31">
        <v>0.96</v>
      </c>
    </row>
    <row r="191" spans="1:17">
      <c r="A191" s="50">
        <v>187</v>
      </c>
      <c r="B191" s="51" t="s">
        <v>343</v>
      </c>
      <c r="C191" s="51" t="s">
        <v>30</v>
      </c>
      <c r="D191" s="51">
        <v>2</v>
      </c>
      <c r="E191" s="51">
        <v>7.55</v>
      </c>
      <c r="F191" s="51" t="s">
        <v>344</v>
      </c>
      <c r="G191" s="52" t="s">
        <v>345</v>
      </c>
      <c r="H191" s="28">
        <v>1519</v>
      </c>
      <c r="I191" s="53">
        <f>VLOOKUP(F191,[1]终点成分!$A$5:$C$1000,2,0)</f>
        <v>0.0733178294573643</v>
      </c>
      <c r="J191" s="53">
        <f>VLOOKUP(F191,[1]终点成分!$A$5:$C$1000,3,0)</f>
        <v>0.123240310077519</v>
      </c>
      <c r="K191" s="28">
        <v>0</v>
      </c>
      <c r="L191" s="53">
        <v>0.75</v>
      </c>
      <c r="M191" s="31">
        <v>0.98</v>
      </c>
      <c r="N191" s="31">
        <v>0.98</v>
      </c>
      <c r="O191" s="31">
        <v>0.98</v>
      </c>
      <c r="P191" s="31">
        <v>0.7</v>
      </c>
      <c r="Q191" s="31">
        <v>0.96</v>
      </c>
    </row>
    <row r="192" spans="1:17">
      <c r="A192" s="50">
        <v>188</v>
      </c>
      <c r="B192" s="51" t="s">
        <v>343</v>
      </c>
      <c r="C192" s="51" t="s">
        <v>33</v>
      </c>
      <c r="D192" s="51">
        <v>7.56</v>
      </c>
      <c r="E192" s="51">
        <v>18</v>
      </c>
      <c r="F192" s="51" t="s">
        <v>346</v>
      </c>
      <c r="G192" s="52" t="s">
        <v>345</v>
      </c>
      <c r="H192" s="28">
        <v>1519</v>
      </c>
      <c r="I192" s="53">
        <f>VLOOKUP(F192,[1]终点成分!$A$5:$C$1000,2,0)</f>
        <v>0.0760578947368421</v>
      </c>
      <c r="J192" s="53">
        <f>VLOOKUP(F192,[1]终点成分!$A$5:$C$1000,3,0)</f>
        <v>0.123889473684211</v>
      </c>
      <c r="K192" s="28">
        <v>0</v>
      </c>
      <c r="L192" s="53">
        <v>0.75</v>
      </c>
      <c r="M192" s="31">
        <v>0.98</v>
      </c>
      <c r="N192" s="31">
        <v>0.98</v>
      </c>
      <c r="O192" s="31">
        <v>0.98</v>
      </c>
      <c r="P192" s="31">
        <v>0.7</v>
      </c>
      <c r="Q192" s="31">
        <v>0.96</v>
      </c>
    </row>
    <row r="193" spans="1:17">
      <c r="A193" s="50">
        <v>189</v>
      </c>
      <c r="B193" s="51" t="s">
        <v>347</v>
      </c>
      <c r="C193" s="51" t="s">
        <v>30</v>
      </c>
      <c r="D193" s="51">
        <v>2</v>
      </c>
      <c r="E193" s="51">
        <v>10.49</v>
      </c>
      <c r="F193" s="51" t="s">
        <v>348</v>
      </c>
      <c r="G193" s="52" t="s">
        <v>349</v>
      </c>
      <c r="H193" s="28">
        <v>1529</v>
      </c>
      <c r="I193" s="53">
        <f>VLOOKUP(F193,[1]终点成分!$A$5:$C$1000,2,0)</f>
        <v>0.054</v>
      </c>
      <c r="J193" s="53">
        <f>VLOOKUP(F193,[1]终点成分!$A$5:$C$1000,3,0)</f>
        <v>0.0953333333333333</v>
      </c>
      <c r="K193" s="28">
        <v>0</v>
      </c>
      <c r="L193" s="53">
        <v>0</v>
      </c>
      <c r="M193" s="31">
        <v>0.98</v>
      </c>
      <c r="N193" s="31">
        <v>0.98</v>
      </c>
      <c r="O193" s="31">
        <v>0.98</v>
      </c>
      <c r="P193" s="31">
        <v>0.7</v>
      </c>
      <c r="Q193" s="31">
        <v>0.96</v>
      </c>
    </row>
    <row r="194" spans="1:17">
      <c r="A194" s="50">
        <v>190</v>
      </c>
      <c r="B194" s="51" t="s">
        <v>347</v>
      </c>
      <c r="C194" s="51" t="s">
        <v>33</v>
      </c>
      <c r="D194" s="51">
        <v>10.5</v>
      </c>
      <c r="E194" s="51">
        <v>14</v>
      </c>
      <c r="F194" s="51" t="s">
        <v>350</v>
      </c>
      <c r="G194" s="52" t="s">
        <v>349</v>
      </c>
      <c r="H194" s="28">
        <v>1527</v>
      </c>
      <c r="I194" s="53">
        <f>VLOOKUP(F194,[1]终点成分!$A$5:$C$1000,2,0)</f>
        <v>0.053</v>
      </c>
      <c r="J194" s="53">
        <f>VLOOKUP(F194,[1]终点成分!$A$5:$C$1000,3,0)</f>
        <v>0.119166666666667</v>
      </c>
      <c r="K194" s="28">
        <v>0</v>
      </c>
      <c r="L194" s="53">
        <v>0</v>
      </c>
      <c r="M194" s="31">
        <v>0.98</v>
      </c>
      <c r="N194" s="31">
        <v>0.98</v>
      </c>
      <c r="O194" s="31">
        <v>0.98</v>
      </c>
      <c r="P194" s="31">
        <v>0.7</v>
      </c>
      <c r="Q194" s="31">
        <v>0.96</v>
      </c>
    </row>
    <row r="195" spans="1:17">
      <c r="A195" s="50">
        <v>191</v>
      </c>
      <c r="B195" s="51" t="s">
        <v>351</v>
      </c>
      <c r="C195" s="51" t="s">
        <v>30</v>
      </c>
      <c r="D195" s="51">
        <v>2</v>
      </c>
      <c r="E195" s="51">
        <v>4.99</v>
      </c>
      <c r="F195" s="51" t="s">
        <v>352</v>
      </c>
      <c r="G195" s="52" t="s">
        <v>353</v>
      </c>
      <c r="H195" s="28">
        <v>1525</v>
      </c>
      <c r="I195" s="54">
        <v>0.0448</v>
      </c>
      <c r="J195" s="54">
        <v>0.1058</v>
      </c>
      <c r="K195" s="28">
        <v>0</v>
      </c>
      <c r="L195" s="53">
        <v>0</v>
      </c>
      <c r="M195" s="31">
        <v>0.98</v>
      </c>
      <c r="N195" s="31">
        <v>0.98</v>
      </c>
      <c r="O195" s="31">
        <v>0.98</v>
      </c>
      <c r="P195" s="31">
        <v>0.7</v>
      </c>
      <c r="Q195" s="31">
        <v>0.96</v>
      </c>
    </row>
    <row r="196" spans="1:17">
      <c r="A196" s="50">
        <v>192</v>
      </c>
      <c r="B196" s="51" t="s">
        <v>351</v>
      </c>
      <c r="C196" s="51" t="s">
        <v>33</v>
      </c>
      <c r="D196" s="51">
        <v>5</v>
      </c>
      <c r="E196" s="51">
        <v>18</v>
      </c>
      <c r="F196" s="51" t="s">
        <v>354</v>
      </c>
      <c r="G196" s="52" t="s">
        <v>353</v>
      </c>
      <c r="H196" s="28">
        <v>1524</v>
      </c>
      <c r="I196" s="53">
        <f>VLOOKUP(F196,[1]终点成分!$A$5:$C$1000,2,0)</f>
        <v>0.0448</v>
      </c>
      <c r="J196" s="53">
        <f>VLOOKUP(F196,[1]终点成分!$A$5:$C$1000,3,0)</f>
        <v>0.1058</v>
      </c>
      <c r="K196" s="28">
        <v>0</v>
      </c>
      <c r="L196" s="53">
        <v>0.8</v>
      </c>
      <c r="M196" s="31">
        <v>0.98</v>
      </c>
      <c r="N196" s="31">
        <v>0.98</v>
      </c>
      <c r="O196" s="31">
        <v>0.98</v>
      </c>
      <c r="P196" s="31">
        <v>0.7</v>
      </c>
      <c r="Q196" s="31">
        <v>0.96</v>
      </c>
    </row>
    <row r="197" spans="1:17">
      <c r="A197" s="50">
        <v>193</v>
      </c>
      <c r="B197" s="51" t="s">
        <v>355</v>
      </c>
      <c r="C197" s="51" t="s">
        <v>30</v>
      </c>
      <c r="D197" s="51">
        <v>2</v>
      </c>
      <c r="E197" s="51">
        <v>4.99</v>
      </c>
      <c r="F197" s="51" t="s">
        <v>356</v>
      </c>
      <c r="G197" s="52" t="s">
        <v>357</v>
      </c>
      <c r="H197" s="28">
        <v>1525</v>
      </c>
      <c r="I197" s="54">
        <v>0.041125</v>
      </c>
      <c r="J197" s="54">
        <v>0.09225</v>
      </c>
      <c r="K197" s="28">
        <v>0</v>
      </c>
      <c r="L197" s="53">
        <v>0</v>
      </c>
      <c r="M197" s="31">
        <v>0.98</v>
      </c>
      <c r="N197" s="31">
        <v>0.98</v>
      </c>
      <c r="O197" s="31">
        <v>0.98</v>
      </c>
      <c r="P197" s="31">
        <v>0.7</v>
      </c>
      <c r="Q197" s="31">
        <v>0.96</v>
      </c>
    </row>
    <row r="198" spans="1:17">
      <c r="A198" s="50">
        <v>194</v>
      </c>
      <c r="B198" s="51" t="s">
        <v>355</v>
      </c>
      <c r="C198" s="51" t="s">
        <v>33</v>
      </c>
      <c r="D198" s="51">
        <v>5</v>
      </c>
      <c r="E198" s="51">
        <v>18</v>
      </c>
      <c r="F198" s="51" t="s">
        <v>359</v>
      </c>
      <c r="G198" s="52" t="s">
        <v>357</v>
      </c>
      <c r="H198" s="28">
        <v>1524</v>
      </c>
      <c r="I198" s="53">
        <f>VLOOKUP(F198,[1]终点成分!$A$5:$C$1000,2,0)</f>
        <v>0.041125</v>
      </c>
      <c r="J198" s="53">
        <f>VLOOKUP(F198,[1]终点成分!$A$5:$C$1000,3,0)</f>
        <v>0.09225</v>
      </c>
      <c r="K198" s="28">
        <v>0</v>
      </c>
      <c r="L198" s="53">
        <v>0.8</v>
      </c>
      <c r="M198" s="31">
        <v>0.98</v>
      </c>
      <c r="N198" s="31">
        <v>0.98</v>
      </c>
      <c r="O198" s="31">
        <v>0.98</v>
      </c>
      <c r="P198" s="31">
        <v>0.7</v>
      </c>
      <c r="Q198" s="31">
        <v>0.96</v>
      </c>
    </row>
    <row r="199" spans="1:17">
      <c r="A199" s="50">
        <v>195</v>
      </c>
      <c r="B199" s="51" t="s">
        <v>360</v>
      </c>
      <c r="C199" s="51" t="s">
        <v>30</v>
      </c>
      <c r="D199" s="51">
        <v>4</v>
      </c>
      <c r="E199" s="51">
        <v>6</v>
      </c>
      <c r="F199" s="51" t="s">
        <v>361</v>
      </c>
      <c r="G199" s="51" t="s">
        <v>362</v>
      </c>
      <c r="H199" s="54">
        <v>1523.8</v>
      </c>
      <c r="I199" s="54">
        <v>0.041125</v>
      </c>
      <c r="J199" s="54">
        <v>0.09225</v>
      </c>
      <c r="K199" s="28">
        <v>0</v>
      </c>
      <c r="L199" s="53">
        <v>0.8</v>
      </c>
      <c r="M199" s="31">
        <v>0.98</v>
      </c>
      <c r="N199" s="31">
        <v>0.98</v>
      </c>
      <c r="O199" s="31">
        <v>0.98</v>
      </c>
      <c r="P199" s="31">
        <v>0.7</v>
      </c>
      <c r="Q199" s="31">
        <v>0.96</v>
      </c>
    </row>
    <row r="200" spans="1:17">
      <c r="A200" s="50">
        <v>196</v>
      </c>
      <c r="B200" s="51" t="s">
        <v>360</v>
      </c>
      <c r="C200" s="51" t="s">
        <v>33</v>
      </c>
      <c r="D200" s="51">
        <v>6.01</v>
      </c>
      <c r="E200" s="51">
        <v>12</v>
      </c>
      <c r="F200" s="51" t="s">
        <v>363</v>
      </c>
      <c r="G200" s="51" t="s">
        <v>362</v>
      </c>
      <c r="H200" s="54">
        <v>1522.9</v>
      </c>
      <c r="I200" s="54">
        <v>0.041125</v>
      </c>
      <c r="J200" s="54">
        <v>0.09225</v>
      </c>
      <c r="K200" s="28">
        <v>0</v>
      </c>
      <c r="L200" s="53">
        <v>0.8</v>
      </c>
      <c r="M200" s="31">
        <v>0.98</v>
      </c>
      <c r="N200" s="31">
        <v>0.98</v>
      </c>
      <c r="O200" s="31">
        <v>0.98</v>
      </c>
      <c r="P200" s="31">
        <v>0.7</v>
      </c>
      <c r="Q200" s="31">
        <v>0.96</v>
      </c>
    </row>
    <row r="201" spans="1:17">
      <c r="A201" s="50">
        <v>197</v>
      </c>
      <c r="B201" s="51" t="s">
        <v>360</v>
      </c>
      <c r="C201" s="51" t="s">
        <v>102</v>
      </c>
      <c r="D201" s="51">
        <v>12.01</v>
      </c>
      <c r="E201" s="51">
        <v>20</v>
      </c>
      <c r="F201" s="51" t="s">
        <v>364</v>
      </c>
      <c r="G201" s="51" t="s">
        <v>362</v>
      </c>
      <c r="H201" s="54">
        <v>1522.9</v>
      </c>
      <c r="I201" s="54">
        <v>0.041125</v>
      </c>
      <c r="J201" s="54">
        <v>0.09225</v>
      </c>
      <c r="K201" s="28">
        <v>0</v>
      </c>
      <c r="L201" s="53">
        <v>0.8</v>
      </c>
      <c r="M201" s="31">
        <v>0.98</v>
      </c>
      <c r="N201" s="31">
        <v>0.98</v>
      </c>
      <c r="O201" s="31">
        <v>0.98</v>
      </c>
      <c r="P201" s="31">
        <v>0.7</v>
      </c>
      <c r="Q201" s="31">
        <v>0.96</v>
      </c>
    </row>
    <row r="202" spans="1:17">
      <c r="A202" s="50">
        <v>198</v>
      </c>
      <c r="B202" s="51" t="s">
        <v>365</v>
      </c>
      <c r="C202" s="51" t="s">
        <v>30</v>
      </c>
      <c r="D202" s="51">
        <v>2</v>
      </c>
      <c r="E202" s="51">
        <v>5.99</v>
      </c>
      <c r="F202" s="51" t="s">
        <v>366</v>
      </c>
      <c r="G202" s="52" t="s">
        <v>367</v>
      </c>
      <c r="H202" s="28">
        <v>1525</v>
      </c>
      <c r="I202" s="53">
        <f>VLOOKUP(F202,[1]终点成分!$A$5:$C$1000,2,0)</f>
        <v>0.043</v>
      </c>
      <c r="J202" s="53">
        <f>VLOOKUP(F202,[1]终点成分!$A$5:$C$1000,3,0)</f>
        <v>0.0808333333333333</v>
      </c>
      <c r="K202" s="28">
        <v>0</v>
      </c>
      <c r="L202" s="53">
        <v>0.8</v>
      </c>
      <c r="M202" s="31">
        <v>0.98</v>
      </c>
      <c r="N202" s="31">
        <v>0.98</v>
      </c>
      <c r="O202" s="31">
        <v>0.98</v>
      </c>
      <c r="P202" s="31">
        <v>0.7</v>
      </c>
      <c r="Q202" s="31">
        <v>0.96</v>
      </c>
    </row>
    <row r="203" spans="1:17">
      <c r="A203" s="50">
        <v>199</v>
      </c>
      <c r="B203" s="51" t="s">
        <v>365</v>
      </c>
      <c r="C203" s="51" t="s">
        <v>33</v>
      </c>
      <c r="D203" s="51">
        <v>6</v>
      </c>
      <c r="E203" s="51">
        <v>14</v>
      </c>
      <c r="F203" s="51" t="s">
        <v>368</v>
      </c>
      <c r="G203" s="52" t="s">
        <v>367</v>
      </c>
      <c r="H203" s="28">
        <v>1525</v>
      </c>
      <c r="I203" s="54">
        <v>0.043</v>
      </c>
      <c r="J203" s="54">
        <v>0.0808333333333333</v>
      </c>
      <c r="K203" s="28">
        <v>0</v>
      </c>
      <c r="L203" s="53">
        <v>0.8</v>
      </c>
      <c r="M203" s="31">
        <v>0.98</v>
      </c>
      <c r="N203" s="31">
        <v>0.98</v>
      </c>
      <c r="O203" s="31">
        <v>0.98</v>
      </c>
      <c r="P203" s="31">
        <v>0.7</v>
      </c>
      <c r="Q203" s="31">
        <v>0.96</v>
      </c>
    </row>
    <row r="204" spans="1:17">
      <c r="A204" s="50">
        <v>200</v>
      </c>
      <c r="B204" s="51" t="s">
        <v>369</v>
      </c>
      <c r="C204" s="51" t="s">
        <v>30</v>
      </c>
      <c r="D204" s="51">
        <v>20</v>
      </c>
      <c r="E204" s="51">
        <v>26</v>
      </c>
      <c r="F204" s="51" t="s">
        <v>369</v>
      </c>
      <c r="G204" s="52" t="s">
        <v>370</v>
      </c>
      <c r="H204" s="28">
        <v>1522</v>
      </c>
      <c r="I204" s="53">
        <f>VLOOKUP(F204,[1]终点成分!$A$5:$C$1000,2,0)</f>
        <v>0.0483333333333333</v>
      </c>
      <c r="J204" s="53">
        <f>VLOOKUP(F204,[1]终点成分!$A$5:$C$1000,3,0)</f>
        <v>0.082</v>
      </c>
      <c r="K204" s="28">
        <v>0</v>
      </c>
      <c r="L204" s="53">
        <v>0.8</v>
      </c>
      <c r="M204" s="31">
        <v>0.98</v>
      </c>
      <c r="N204" s="31">
        <v>0.98</v>
      </c>
      <c r="O204" s="31">
        <v>0.98</v>
      </c>
      <c r="P204" s="31">
        <v>0.7</v>
      </c>
      <c r="Q204" s="31">
        <v>0.96</v>
      </c>
    </row>
    <row r="205" spans="1:17">
      <c r="A205" s="50">
        <v>201</v>
      </c>
      <c r="B205" s="51" t="s">
        <v>371</v>
      </c>
      <c r="C205" s="51" t="s">
        <v>30</v>
      </c>
      <c r="D205" s="51">
        <v>3</v>
      </c>
      <c r="E205" s="51">
        <v>5.99</v>
      </c>
      <c r="F205" s="51" t="s">
        <v>372</v>
      </c>
      <c r="G205" s="52" t="s">
        <v>373</v>
      </c>
      <c r="H205" s="28">
        <v>1520</v>
      </c>
      <c r="I205" s="53">
        <f>VLOOKUP(F205,[1]终点成分!$A$5:$C$1000,2,0)</f>
        <v>0.0495</v>
      </c>
      <c r="J205" s="53">
        <f>VLOOKUP(F205,[1]终点成分!$A$5:$C$1000,3,0)</f>
        <v>0.102</v>
      </c>
      <c r="K205" s="28">
        <v>0</v>
      </c>
      <c r="L205" s="53">
        <v>0.8</v>
      </c>
      <c r="M205" s="31">
        <v>0.98</v>
      </c>
      <c r="N205" s="31">
        <v>0.98</v>
      </c>
      <c r="O205" s="31">
        <v>0.98</v>
      </c>
      <c r="P205" s="31">
        <v>0.7</v>
      </c>
      <c r="Q205" s="31">
        <v>0.96</v>
      </c>
    </row>
    <row r="206" spans="1:17">
      <c r="A206" s="50">
        <v>202</v>
      </c>
      <c r="B206" s="51" t="s">
        <v>371</v>
      </c>
      <c r="C206" s="51" t="s">
        <v>33</v>
      </c>
      <c r="D206" s="51">
        <v>6</v>
      </c>
      <c r="E206" s="51">
        <v>12</v>
      </c>
      <c r="F206" s="51" t="s">
        <v>374</v>
      </c>
      <c r="G206" s="52" t="s">
        <v>373</v>
      </c>
      <c r="H206" s="28">
        <v>1520</v>
      </c>
      <c r="I206" s="53">
        <v>0.0495</v>
      </c>
      <c r="J206" s="53">
        <v>0.102</v>
      </c>
      <c r="K206" s="28">
        <v>0</v>
      </c>
      <c r="L206" s="53">
        <v>0.8</v>
      </c>
      <c r="M206" s="31">
        <v>0.98</v>
      </c>
      <c r="N206" s="31">
        <v>0.98</v>
      </c>
      <c r="O206" s="31">
        <v>0.98</v>
      </c>
      <c r="P206" s="31">
        <v>0.7</v>
      </c>
      <c r="Q206" s="31">
        <v>0.96</v>
      </c>
    </row>
    <row r="207" spans="1:17">
      <c r="A207" s="50">
        <v>203</v>
      </c>
      <c r="B207" s="51" t="s">
        <v>375</v>
      </c>
      <c r="C207" s="51" t="s">
        <v>30</v>
      </c>
      <c r="D207" s="51">
        <v>3</v>
      </c>
      <c r="E207" s="51">
        <v>5.99</v>
      </c>
      <c r="F207" s="51" t="s">
        <v>375</v>
      </c>
      <c r="G207" s="52" t="s">
        <v>376</v>
      </c>
      <c r="H207" s="28">
        <v>1520</v>
      </c>
      <c r="I207" s="53">
        <v>0.0495</v>
      </c>
      <c r="J207" s="53">
        <v>0.102</v>
      </c>
      <c r="K207" s="28">
        <v>0</v>
      </c>
      <c r="L207" s="53">
        <v>0.8</v>
      </c>
      <c r="M207" s="31">
        <v>0.98</v>
      </c>
      <c r="N207" s="31">
        <v>0.98</v>
      </c>
      <c r="O207" s="31">
        <v>0.98</v>
      </c>
      <c r="P207" s="31">
        <v>0.7</v>
      </c>
      <c r="Q207" s="31">
        <v>0.96</v>
      </c>
    </row>
    <row r="208" spans="1:17">
      <c r="A208" s="50">
        <v>204</v>
      </c>
      <c r="B208" s="51" t="s">
        <v>377</v>
      </c>
      <c r="C208" s="51" t="s">
        <v>30</v>
      </c>
      <c r="D208" s="51">
        <v>2</v>
      </c>
      <c r="E208" s="51">
        <v>5.99</v>
      </c>
      <c r="F208" s="51" t="s">
        <v>378</v>
      </c>
      <c r="G208" s="52" t="s">
        <v>379</v>
      </c>
      <c r="H208" s="28">
        <v>1523</v>
      </c>
      <c r="I208" s="53">
        <f>VLOOKUP(F208,[1]终点成分!$A$5:$C$1000,2,0)</f>
        <v>0.0431937984496124</v>
      </c>
      <c r="J208" s="53">
        <f>VLOOKUP(F208,[1]终点成分!$A$5:$C$1000,3,0)</f>
        <v>0.0922558139534884</v>
      </c>
      <c r="K208" s="28">
        <v>0</v>
      </c>
      <c r="L208" s="53">
        <v>0.8</v>
      </c>
      <c r="M208" s="31">
        <v>0.98</v>
      </c>
      <c r="N208" s="31">
        <v>0.98</v>
      </c>
      <c r="O208" s="31">
        <v>0.98</v>
      </c>
      <c r="P208" s="31">
        <v>0.7</v>
      </c>
      <c r="Q208" s="31">
        <v>0.96</v>
      </c>
    </row>
    <row r="209" spans="1:17">
      <c r="A209" s="50">
        <v>205</v>
      </c>
      <c r="B209" s="51" t="s">
        <v>377</v>
      </c>
      <c r="C209" s="51" t="s">
        <v>33</v>
      </c>
      <c r="D209" s="51">
        <v>6</v>
      </c>
      <c r="E209" s="51">
        <v>14</v>
      </c>
      <c r="F209" s="51" t="s">
        <v>380</v>
      </c>
      <c r="G209" s="52" t="s">
        <v>379</v>
      </c>
      <c r="H209" s="28">
        <v>1523</v>
      </c>
      <c r="I209" s="53">
        <f>VLOOKUP(F209,[1]终点成分!$A$5:$C$1000,2,0)</f>
        <v>0.0440363636363636</v>
      </c>
      <c r="J209" s="53">
        <f>VLOOKUP(F209,[1]终点成分!$A$5:$C$1000,3,0)</f>
        <v>0.0936181818181818</v>
      </c>
      <c r="K209" s="28">
        <v>0</v>
      </c>
      <c r="L209" s="53">
        <v>0.8</v>
      </c>
      <c r="M209" s="31">
        <v>0.98</v>
      </c>
      <c r="N209" s="31">
        <v>0.98</v>
      </c>
      <c r="O209" s="31">
        <v>0.98</v>
      </c>
      <c r="P209" s="31">
        <v>0.7</v>
      </c>
      <c r="Q209" s="31">
        <v>0.96</v>
      </c>
    </row>
    <row r="210" spans="1:17">
      <c r="A210" s="50">
        <v>206</v>
      </c>
      <c r="B210" s="51" t="s">
        <v>381</v>
      </c>
      <c r="C210" s="51" t="s">
        <v>30</v>
      </c>
      <c r="D210" s="51">
        <v>2</v>
      </c>
      <c r="E210" s="51">
        <v>5.99</v>
      </c>
      <c r="F210" s="51" t="s">
        <v>382</v>
      </c>
      <c r="G210" s="52" t="s">
        <v>383</v>
      </c>
      <c r="H210" s="28">
        <v>1521</v>
      </c>
      <c r="I210" s="53">
        <f>VLOOKUP(F210,[1]终点成分!$A$5:$C$1000,2,0)</f>
        <v>0.0461549295774648</v>
      </c>
      <c r="J210" s="53">
        <f>VLOOKUP(F210,[1]终点成分!$A$5:$C$1000,3,0)</f>
        <v>0.0922535211267606</v>
      </c>
      <c r="K210" s="28">
        <v>0</v>
      </c>
      <c r="L210" s="53">
        <v>0.8</v>
      </c>
      <c r="M210" s="31">
        <v>0.98</v>
      </c>
      <c r="N210" s="31">
        <v>0.98</v>
      </c>
      <c r="O210" s="31">
        <v>0.98</v>
      </c>
      <c r="P210" s="31">
        <v>0.7</v>
      </c>
      <c r="Q210" s="31">
        <v>0.96</v>
      </c>
    </row>
    <row r="211" spans="1:17">
      <c r="A211" s="50">
        <v>207</v>
      </c>
      <c r="B211" s="51" t="s">
        <v>381</v>
      </c>
      <c r="C211" s="51" t="s">
        <v>33</v>
      </c>
      <c r="D211" s="51">
        <v>6</v>
      </c>
      <c r="E211" s="51">
        <v>14</v>
      </c>
      <c r="F211" s="51" t="s">
        <v>384</v>
      </c>
      <c r="G211" s="52" t="s">
        <v>383</v>
      </c>
      <c r="H211" s="28">
        <v>1521</v>
      </c>
      <c r="I211" s="53">
        <f>VLOOKUP(F211,[1]终点成分!$A$5:$C$1000,2,0)</f>
        <v>0.0451627906976744</v>
      </c>
      <c r="J211" s="53">
        <f>VLOOKUP(F211,[1]终点成分!$A$5:$C$1000,3,0)</f>
        <v>0.0963720930232558</v>
      </c>
      <c r="K211" s="28">
        <v>0</v>
      </c>
      <c r="L211" s="53">
        <v>0.8</v>
      </c>
      <c r="M211" s="31">
        <v>0.98</v>
      </c>
      <c r="N211" s="31">
        <v>0.98</v>
      </c>
      <c r="O211" s="31">
        <v>0.98</v>
      </c>
      <c r="P211" s="31">
        <v>0.7</v>
      </c>
      <c r="Q211" s="31">
        <v>0.96</v>
      </c>
    </row>
    <row r="212" spans="1:17">
      <c r="A212" s="50">
        <v>208</v>
      </c>
      <c r="B212" s="51" t="s">
        <v>385</v>
      </c>
      <c r="C212" s="51" t="s">
        <v>30</v>
      </c>
      <c r="D212" s="51">
        <v>2</v>
      </c>
      <c r="E212" s="51">
        <v>4</v>
      </c>
      <c r="F212" s="51" t="s">
        <v>386</v>
      </c>
      <c r="G212" s="52" t="s">
        <v>387</v>
      </c>
      <c r="H212" s="28">
        <v>1521</v>
      </c>
      <c r="I212" s="53">
        <f>VLOOKUP(F212,[1]终点成分!$A$5:$C$1000,2,0)</f>
        <v>0.0366086956521739</v>
      </c>
      <c r="J212" s="53">
        <f>VLOOKUP(F212,[1]终点成分!$A$5:$C$1000,3,0)</f>
        <v>0.086304347826087</v>
      </c>
      <c r="K212" s="28">
        <v>0</v>
      </c>
      <c r="L212" s="53">
        <v>0.8</v>
      </c>
      <c r="M212" s="31">
        <v>0.98</v>
      </c>
      <c r="N212" s="31">
        <v>0.98</v>
      </c>
      <c r="O212" s="31">
        <v>0.98</v>
      </c>
      <c r="P212" s="31">
        <v>0.7</v>
      </c>
      <c r="Q212" s="31">
        <v>0.96</v>
      </c>
    </row>
    <row r="213" spans="1:17">
      <c r="A213" s="50">
        <v>209</v>
      </c>
      <c r="B213" s="51" t="s">
        <v>385</v>
      </c>
      <c r="C213" s="51" t="s">
        <v>33</v>
      </c>
      <c r="D213" s="51">
        <v>4.01</v>
      </c>
      <c r="E213" s="51">
        <v>6</v>
      </c>
      <c r="F213" s="51" t="s">
        <v>388</v>
      </c>
      <c r="G213" s="52" t="s">
        <v>387</v>
      </c>
      <c r="H213" s="28">
        <v>1521</v>
      </c>
      <c r="I213" s="53">
        <f>VLOOKUP(F213,[1]终点成分!$A$5:$C$1000,2,0)</f>
        <v>0.0389444444444445</v>
      </c>
      <c r="J213" s="53">
        <f>VLOOKUP(F213,[1]终点成分!$A$5:$C$1000,3,0)</f>
        <v>0.09275</v>
      </c>
      <c r="K213" s="28">
        <v>0</v>
      </c>
      <c r="L213" s="53">
        <v>0.8</v>
      </c>
      <c r="M213" s="31">
        <v>0.98</v>
      </c>
      <c r="N213" s="31">
        <v>0.98</v>
      </c>
      <c r="O213" s="31">
        <v>0.98</v>
      </c>
      <c r="P213" s="31">
        <v>0.7</v>
      </c>
      <c r="Q213" s="31">
        <v>0.96</v>
      </c>
    </row>
    <row r="214" spans="1:17">
      <c r="A214" s="50">
        <v>210</v>
      </c>
      <c r="B214" s="51" t="s">
        <v>385</v>
      </c>
      <c r="C214" s="51" t="s">
        <v>102</v>
      </c>
      <c r="D214" s="51">
        <v>6.01</v>
      </c>
      <c r="E214" s="51">
        <v>14</v>
      </c>
      <c r="F214" s="51" t="s">
        <v>389</v>
      </c>
      <c r="G214" s="52" t="s">
        <v>387</v>
      </c>
      <c r="H214" s="28">
        <v>1521</v>
      </c>
      <c r="I214" s="53">
        <f>VLOOKUP(F214,[1]终点成分!$A$5:$C$1000,2,0)</f>
        <v>0.0398333333333333</v>
      </c>
      <c r="J214" s="53">
        <f>VLOOKUP(F214,[1]终点成分!$A$5:$C$1000,3,0)</f>
        <v>0.0851666666666667</v>
      </c>
      <c r="K214" s="28">
        <v>0</v>
      </c>
      <c r="L214" s="53">
        <v>0.8</v>
      </c>
      <c r="M214" s="31">
        <v>0.98</v>
      </c>
      <c r="N214" s="31">
        <v>0.98</v>
      </c>
      <c r="O214" s="31">
        <v>0.98</v>
      </c>
      <c r="P214" s="31">
        <v>0.7</v>
      </c>
      <c r="Q214" s="31">
        <v>0.96</v>
      </c>
    </row>
    <row r="215" spans="1:17">
      <c r="A215" s="50">
        <v>211</v>
      </c>
      <c r="B215" s="51" t="s">
        <v>390</v>
      </c>
      <c r="C215" s="59" t="s">
        <v>30</v>
      </c>
      <c r="D215" s="59">
        <v>2</v>
      </c>
      <c r="E215" s="59">
        <v>6</v>
      </c>
      <c r="F215" s="59" t="s">
        <v>391</v>
      </c>
      <c r="G215" s="60" t="s">
        <v>392</v>
      </c>
      <c r="H215" s="28">
        <v>1521</v>
      </c>
      <c r="I215" s="53">
        <f>VLOOKUP(F215,[1]终点成分!$A$5:$C$1000,2,0)</f>
        <v>0.0437058823529412</v>
      </c>
      <c r="J215" s="53">
        <f>VLOOKUP(F215,[1]终点成分!$A$5:$C$1000,3,0)</f>
        <v>0.100813725490196</v>
      </c>
      <c r="K215" s="28">
        <v>0</v>
      </c>
      <c r="L215" s="53">
        <v>0.8</v>
      </c>
      <c r="M215" s="31">
        <v>0.98</v>
      </c>
      <c r="N215" s="31">
        <v>0.98</v>
      </c>
      <c r="O215" s="31">
        <v>0.98</v>
      </c>
      <c r="P215" s="31">
        <v>0.7</v>
      </c>
      <c r="Q215" s="31">
        <v>0.96</v>
      </c>
    </row>
    <row r="216" spans="1:17">
      <c r="A216" s="50">
        <v>212</v>
      </c>
      <c r="B216" s="51" t="s">
        <v>390</v>
      </c>
      <c r="C216" s="59" t="s">
        <v>33</v>
      </c>
      <c r="D216" s="59">
        <v>6.01</v>
      </c>
      <c r="E216" s="59">
        <v>10</v>
      </c>
      <c r="F216" s="59" t="s">
        <v>393</v>
      </c>
      <c r="G216" s="60" t="s">
        <v>392</v>
      </c>
      <c r="H216" s="28">
        <v>1521</v>
      </c>
      <c r="I216" s="53">
        <f>VLOOKUP(F216,[1]终点成分!$A$5:$C$1000,2,0)</f>
        <v>0.0434954954954955</v>
      </c>
      <c r="J216" s="53">
        <f>VLOOKUP(F216,[1]终点成分!$A$5:$C$1000,3,0)</f>
        <v>0.0998918918918919</v>
      </c>
      <c r="K216" s="28">
        <v>0</v>
      </c>
      <c r="L216" s="53">
        <v>0.8</v>
      </c>
      <c r="M216" s="31">
        <v>0.98</v>
      </c>
      <c r="N216" s="31">
        <v>0.98</v>
      </c>
      <c r="O216" s="31">
        <v>0.98</v>
      </c>
      <c r="P216" s="31">
        <v>0.7</v>
      </c>
      <c r="Q216" s="31">
        <v>0.96</v>
      </c>
    </row>
    <row r="217" spans="1:17">
      <c r="A217" s="50">
        <v>213</v>
      </c>
      <c r="B217" s="51" t="s">
        <v>390</v>
      </c>
      <c r="C217" s="59" t="s">
        <v>102</v>
      </c>
      <c r="D217" s="59">
        <v>10.01</v>
      </c>
      <c r="E217" s="59">
        <v>14</v>
      </c>
      <c r="F217" s="59" t="s">
        <v>394</v>
      </c>
      <c r="G217" s="60" t="s">
        <v>392</v>
      </c>
      <c r="H217" s="61">
        <v>1518.7</v>
      </c>
      <c r="I217" s="54">
        <v>0.04</v>
      </c>
      <c r="J217" s="54">
        <v>0.08</v>
      </c>
      <c r="K217" s="28">
        <v>0</v>
      </c>
      <c r="L217" s="53">
        <v>0.8</v>
      </c>
      <c r="M217" s="31">
        <v>0.98</v>
      </c>
      <c r="N217" s="31">
        <v>0.98</v>
      </c>
      <c r="O217" s="31">
        <v>0.98</v>
      </c>
      <c r="P217" s="31">
        <v>0.7</v>
      </c>
      <c r="Q217" s="31">
        <v>0.96</v>
      </c>
    </row>
    <row r="218" spans="1:17">
      <c r="A218" s="50">
        <v>214</v>
      </c>
      <c r="B218" s="51" t="s">
        <v>395</v>
      </c>
      <c r="C218" s="51" t="s">
        <v>30</v>
      </c>
      <c r="D218" s="51">
        <v>3</v>
      </c>
      <c r="E218" s="51">
        <v>8</v>
      </c>
      <c r="F218" s="51" t="s">
        <v>396</v>
      </c>
      <c r="G218" s="51" t="s">
        <v>397</v>
      </c>
      <c r="H218" s="62">
        <v>1519.3</v>
      </c>
      <c r="I218" s="55">
        <v>0.04</v>
      </c>
      <c r="J218" s="55">
        <v>0.08</v>
      </c>
      <c r="K218" s="28">
        <v>0</v>
      </c>
      <c r="L218" s="53">
        <v>0.8</v>
      </c>
      <c r="M218" s="31">
        <v>0.98</v>
      </c>
      <c r="N218" s="31">
        <v>0.98</v>
      </c>
      <c r="O218" s="31">
        <v>0.98</v>
      </c>
      <c r="P218" s="31">
        <v>0.7</v>
      </c>
      <c r="Q218" s="31">
        <v>0.96</v>
      </c>
    </row>
    <row r="219" spans="1:17">
      <c r="A219" s="50">
        <v>215</v>
      </c>
      <c r="B219" s="51" t="s">
        <v>395</v>
      </c>
      <c r="C219" s="51" t="s">
        <v>33</v>
      </c>
      <c r="D219" s="51">
        <v>8.01</v>
      </c>
      <c r="E219" s="51">
        <v>12</v>
      </c>
      <c r="F219" s="51" t="s">
        <v>398</v>
      </c>
      <c r="G219" s="51" t="s">
        <v>397</v>
      </c>
      <c r="H219" s="62">
        <v>1518</v>
      </c>
      <c r="I219" s="55">
        <v>0.04</v>
      </c>
      <c r="J219" s="55">
        <v>0.08</v>
      </c>
      <c r="K219" s="28">
        <v>0</v>
      </c>
      <c r="L219" s="53">
        <v>0.8</v>
      </c>
      <c r="M219" s="31">
        <v>0.98</v>
      </c>
      <c r="N219" s="31">
        <v>0.98</v>
      </c>
      <c r="O219" s="31">
        <v>0.98</v>
      </c>
      <c r="P219" s="31">
        <v>0.7</v>
      </c>
      <c r="Q219" s="31">
        <v>0.96</v>
      </c>
    </row>
    <row r="220" spans="1:17">
      <c r="A220" s="50">
        <v>216</v>
      </c>
      <c r="B220" s="51" t="s">
        <v>399</v>
      </c>
      <c r="C220" s="51" t="s">
        <v>30</v>
      </c>
      <c r="D220" s="51">
        <v>6</v>
      </c>
      <c r="E220" s="51">
        <v>12</v>
      </c>
      <c r="F220" s="51" t="s">
        <v>399</v>
      </c>
      <c r="G220" s="51" t="s">
        <v>400</v>
      </c>
      <c r="H220" s="63">
        <v>1515</v>
      </c>
      <c r="I220" s="64">
        <v>0.05</v>
      </c>
      <c r="J220" s="64">
        <v>0.08</v>
      </c>
      <c r="K220" s="28">
        <v>0</v>
      </c>
      <c r="L220" s="53">
        <v>0.8</v>
      </c>
      <c r="M220" s="31">
        <v>0.98</v>
      </c>
      <c r="N220" s="31">
        <v>0.98</v>
      </c>
      <c r="O220" s="31">
        <v>0.98</v>
      </c>
      <c r="P220" s="31">
        <v>0.7</v>
      </c>
      <c r="Q220" s="31">
        <v>0.96</v>
      </c>
    </row>
    <row r="221" spans="1:17">
      <c r="A221" s="50">
        <v>217</v>
      </c>
      <c r="B221" s="51" t="s">
        <v>401</v>
      </c>
      <c r="C221" s="51" t="s">
        <v>30</v>
      </c>
      <c r="D221" s="51">
        <v>4</v>
      </c>
      <c r="E221" s="51">
        <v>5.99</v>
      </c>
      <c r="F221" s="51" t="s">
        <v>402</v>
      </c>
      <c r="G221" s="52" t="s">
        <v>403</v>
      </c>
      <c r="H221" s="28">
        <v>1516</v>
      </c>
      <c r="I221" s="54">
        <v>0.0434954954954955</v>
      </c>
      <c r="J221" s="54">
        <v>0.0998918918918919</v>
      </c>
      <c r="K221" s="28">
        <v>0</v>
      </c>
      <c r="L221" s="53">
        <v>0.8</v>
      </c>
      <c r="M221" s="31">
        <v>0.98</v>
      </c>
      <c r="N221" s="31">
        <v>0.98</v>
      </c>
      <c r="O221" s="31">
        <v>0.98</v>
      </c>
      <c r="P221" s="31">
        <v>0.7</v>
      </c>
      <c r="Q221" s="31">
        <v>0.96</v>
      </c>
    </row>
    <row r="222" spans="1:17">
      <c r="A222" s="50">
        <v>218</v>
      </c>
      <c r="B222" s="51" t="s">
        <v>401</v>
      </c>
      <c r="C222" s="51" t="s">
        <v>33</v>
      </c>
      <c r="D222" s="51">
        <v>6</v>
      </c>
      <c r="E222" s="51">
        <v>14</v>
      </c>
      <c r="F222" s="51" t="s">
        <v>404</v>
      </c>
      <c r="G222" s="52" t="s">
        <v>403</v>
      </c>
      <c r="H222" s="28">
        <v>1516</v>
      </c>
      <c r="I222" s="53">
        <f>VLOOKUP(F222,[1]终点成分!$A$5:$C$1000,2,0)</f>
        <v>0.0486666666666667</v>
      </c>
      <c r="J222" s="53">
        <f>VLOOKUP(F222,[1]终点成分!$A$5:$C$1000,3,0)</f>
        <v>0.114</v>
      </c>
      <c r="K222" s="28">
        <v>0</v>
      </c>
      <c r="L222" s="53">
        <v>0.8</v>
      </c>
      <c r="M222" s="31">
        <v>0.98</v>
      </c>
      <c r="N222" s="31">
        <v>0.98</v>
      </c>
      <c r="O222" s="31">
        <v>0.98</v>
      </c>
      <c r="P222" s="31">
        <v>0.7</v>
      </c>
      <c r="Q222" s="31">
        <v>0.96</v>
      </c>
    </row>
    <row r="223" spans="1:17">
      <c r="A223" s="50">
        <v>219</v>
      </c>
      <c r="B223" s="51" t="s">
        <v>405</v>
      </c>
      <c r="C223" s="51" t="s">
        <v>30</v>
      </c>
      <c r="D223" s="51">
        <v>3</v>
      </c>
      <c r="E223" s="51">
        <v>10</v>
      </c>
      <c r="F223" s="51" t="s">
        <v>406</v>
      </c>
      <c r="G223" s="52" t="s">
        <v>407</v>
      </c>
      <c r="H223" s="28">
        <v>1518</v>
      </c>
      <c r="I223" s="53">
        <f>VLOOKUP(F223,[1]终点成分!$A$5:$C$1000,2,0)</f>
        <v>0.0413684210526316</v>
      </c>
      <c r="J223" s="53">
        <f>VLOOKUP(F223,[1]终点成分!$A$5:$C$1000,3,0)</f>
        <v>0.0862631578947368</v>
      </c>
      <c r="K223" s="28">
        <v>0</v>
      </c>
      <c r="L223" s="53">
        <v>0.8</v>
      </c>
      <c r="M223" s="31">
        <v>0.98</v>
      </c>
      <c r="N223" s="31">
        <v>0.98</v>
      </c>
      <c r="O223" s="31">
        <v>0.98</v>
      </c>
      <c r="P223" s="31">
        <v>0.7</v>
      </c>
      <c r="Q223" s="31">
        <v>0.96</v>
      </c>
    </row>
    <row r="224" spans="1:17">
      <c r="A224" s="50">
        <v>220</v>
      </c>
      <c r="B224" s="51" t="s">
        <v>405</v>
      </c>
      <c r="C224" s="51" t="s">
        <v>33</v>
      </c>
      <c r="D224" s="51">
        <v>10.01</v>
      </c>
      <c r="E224" s="51">
        <v>14</v>
      </c>
      <c r="F224" s="51" t="s">
        <v>408</v>
      </c>
      <c r="G224" s="52" t="s">
        <v>407</v>
      </c>
      <c r="H224" s="28">
        <v>1518</v>
      </c>
      <c r="I224" s="53">
        <f>VLOOKUP(F224,[1]终点成分!$A$5:$C$1000,2,0)</f>
        <v>0.0394</v>
      </c>
      <c r="J224" s="53">
        <f>VLOOKUP(F224,[1]终点成分!$A$5:$C$1000,3,0)</f>
        <v>0.0834</v>
      </c>
      <c r="K224" s="28">
        <v>0</v>
      </c>
      <c r="L224" s="53">
        <v>0.8</v>
      </c>
      <c r="M224" s="31">
        <v>0.98</v>
      </c>
      <c r="N224" s="31">
        <v>0.98</v>
      </c>
      <c r="O224" s="31">
        <v>0.98</v>
      </c>
      <c r="P224" s="31">
        <v>0.7</v>
      </c>
      <c r="Q224" s="31">
        <v>0.96</v>
      </c>
    </row>
    <row r="225" spans="1:17">
      <c r="A225" s="50">
        <v>221</v>
      </c>
      <c r="B225" s="51" t="s">
        <v>406</v>
      </c>
      <c r="C225" s="51" t="s">
        <v>30</v>
      </c>
      <c r="D225" s="51">
        <v>3</v>
      </c>
      <c r="E225" s="51">
        <v>10</v>
      </c>
      <c r="F225" s="51" t="s">
        <v>406</v>
      </c>
      <c r="G225" s="52" t="s">
        <v>407</v>
      </c>
      <c r="H225" s="28">
        <v>1518</v>
      </c>
      <c r="I225" s="53">
        <f>VLOOKUP(F225,[1]终点成分!$A$5:$C$1000,2,0)</f>
        <v>0.0413684210526316</v>
      </c>
      <c r="J225" s="53">
        <f>VLOOKUP(F225,[1]终点成分!$A$5:$C$1000,3,0)</f>
        <v>0.0862631578947368</v>
      </c>
      <c r="K225" s="28">
        <v>0</v>
      </c>
      <c r="L225" s="53">
        <v>0.8</v>
      </c>
      <c r="M225" s="31">
        <v>0.98</v>
      </c>
      <c r="N225" s="31">
        <v>0.98</v>
      </c>
      <c r="O225" s="31">
        <v>0.98</v>
      </c>
      <c r="P225" s="31">
        <v>0.7</v>
      </c>
      <c r="Q225" s="31">
        <v>0.96</v>
      </c>
    </row>
    <row r="226" spans="1:17">
      <c r="A226" s="50">
        <v>222</v>
      </c>
      <c r="B226" s="51" t="s">
        <v>406</v>
      </c>
      <c r="C226" s="51" t="s">
        <v>33</v>
      </c>
      <c r="D226" s="51">
        <v>10.01</v>
      </c>
      <c r="E226" s="51">
        <v>14</v>
      </c>
      <c r="F226" s="51" t="s">
        <v>408</v>
      </c>
      <c r="G226" s="52" t="s">
        <v>407</v>
      </c>
      <c r="H226" s="28">
        <v>1518</v>
      </c>
      <c r="I226" s="53">
        <f>VLOOKUP(F226,[1]终点成分!$A$5:$C$1000,2,0)</f>
        <v>0.0394</v>
      </c>
      <c r="J226" s="53">
        <f>VLOOKUP(F226,[1]终点成分!$A$5:$C$1000,3,0)</f>
        <v>0.0834</v>
      </c>
      <c r="K226" s="28">
        <v>0</v>
      </c>
      <c r="L226" s="53">
        <v>0.8</v>
      </c>
      <c r="M226" s="31">
        <v>0.98</v>
      </c>
      <c r="N226" s="31">
        <v>0.98</v>
      </c>
      <c r="O226" s="31">
        <v>0.98</v>
      </c>
      <c r="P226" s="31">
        <v>0.7</v>
      </c>
      <c r="Q226" s="31">
        <v>0.96</v>
      </c>
    </row>
    <row r="227" spans="1:17">
      <c r="A227" s="50">
        <v>223</v>
      </c>
      <c r="B227" s="51" t="s">
        <v>409</v>
      </c>
      <c r="C227" s="51" t="s">
        <v>30</v>
      </c>
      <c r="D227" s="51">
        <v>3</v>
      </c>
      <c r="E227" s="51">
        <v>12</v>
      </c>
      <c r="F227" s="51" t="s">
        <v>410</v>
      </c>
      <c r="G227" s="52" t="s">
        <v>411</v>
      </c>
      <c r="H227" s="28">
        <v>1519</v>
      </c>
      <c r="I227" s="53">
        <f>VLOOKUP(F227,[1]终点成分!$A$5:$C$1000,2,0)</f>
        <v>0.0676470588235294</v>
      </c>
      <c r="J227" s="53">
        <f>VLOOKUP(F227,[1]终点成分!$A$5:$C$1000,3,0)</f>
        <v>0.114823529411765</v>
      </c>
      <c r="K227" s="28">
        <v>0</v>
      </c>
      <c r="L227" s="53">
        <v>0.8</v>
      </c>
      <c r="M227" s="31">
        <v>0.98</v>
      </c>
      <c r="N227" s="31">
        <v>0.98</v>
      </c>
      <c r="O227" s="31">
        <v>0.98</v>
      </c>
      <c r="P227" s="31">
        <v>0.7</v>
      </c>
      <c r="Q227" s="31">
        <v>0.96</v>
      </c>
    </row>
    <row r="228" spans="1:17">
      <c r="A228" s="50">
        <v>224</v>
      </c>
      <c r="B228" s="51" t="s">
        <v>409</v>
      </c>
      <c r="C228" s="51" t="s">
        <v>33</v>
      </c>
      <c r="D228" s="51">
        <v>12.01</v>
      </c>
      <c r="E228" s="51">
        <v>28</v>
      </c>
      <c r="F228" s="51" t="s">
        <v>412</v>
      </c>
      <c r="G228" s="52" t="s">
        <v>411</v>
      </c>
      <c r="H228" s="28">
        <v>1519</v>
      </c>
      <c r="I228" s="53">
        <f>VLOOKUP(F228,[1]终点成分!$A$5:$C$1000,2,0)</f>
        <v>0.0709</v>
      </c>
      <c r="J228" s="53">
        <f>VLOOKUP(F228,[1]终点成分!$A$5:$C$1000,3,0)</f>
        <v>0.1058</v>
      </c>
      <c r="K228" s="28">
        <v>0</v>
      </c>
      <c r="L228" s="53">
        <v>0.8</v>
      </c>
      <c r="M228" s="31">
        <v>0.98</v>
      </c>
      <c r="N228" s="31">
        <v>0.98</v>
      </c>
      <c r="O228" s="31">
        <v>0.98</v>
      </c>
      <c r="P228" s="31">
        <v>0.7</v>
      </c>
      <c r="Q228" s="31">
        <v>0.96</v>
      </c>
    </row>
    <row r="229" spans="1:17">
      <c r="A229" s="50">
        <v>225</v>
      </c>
      <c r="B229" s="51" t="s">
        <v>413</v>
      </c>
      <c r="C229" s="51" t="s">
        <v>30</v>
      </c>
      <c r="D229" s="51">
        <v>3</v>
      </c>
      <c r="E229" s="51">
        <v>12</v>
      </c>
      <c r="F229" s="51" t="s">
        <v>414</v>
      </c>
      <c r="G229" s="52" t="s">
        <v>415</v>
      </c>
      <c r="H229" s="28">
        <v>1519</v>
      </c>
      <c r="I229" s="53">
        <f>VLOOKUP(F229,[1]终点成分!$A$5:$C$1000,2,0)</f>
        <v>0.062</v>
      </c>
      <c r="J229" s="53">
        <f>VLOOKUP(F229,[1]终点成分!$A$5:$C$1000,3,0)</f>
        <v>0.0965</v>
      </c>
      <c r="K229" s="28">
        <v>0</v>
      </c>
      <c r="L229" s="53">
        <v>0.8</v>
      </c>
      <c r="M229" s="31">
        <v>0.98</v>
      </c>
      <c r="N229" s="31">
        <v>0.98</v>
      </c>
      <c r="O229" s="31">
        <v>0.98</v>
      </c>
      <c r="P229" s="31">
        <v>0.7</v>
      </c>
      <c r="Q229" s="31">
        <v>0.96</v>
      </c>
    </row>
    <row r="230" spans="1:17">
      <c r="A230" s="50">
        <v>226</v>
      </c>
      <c r="B230" s="51" t="s">
        <v>413</v>
      </c>
      <c r="C230" s="51" t="s">
        <v>33</v>
      </c>
      <c r="D230" s="51">
        <v>12.01</v>
      </c>
      <c r="E230" s="51">
        <v>28</v>
      </c>
      <c r="F230" s="51" t="s">
        <v>416</v>
      </c>
      <c r="G230" s="52" t="s">
        <v>415</v>
      </c>
      <c r="H230" s="28">
        <v>1519</v>
      </c>
      <c r="I230" s="53">
        <f>VLOOKUP(F230,[1]终点成分!$A$5:$C$1000,2,0)</f>
        <v>0.07075</v>
      </c>
      <c r="J230" s="53">
        <f>VLOOKUP(F230,[1]终点成分!$A$5:$C$1000,3,0)</f>
        <v>0.1045</v>
      </c>
      <c r="K230" s="28">
        <v>0</v>
      </c>
      <c r="L230" s="53">
        <v>0.8</v>
      </c>
      <c r="M230" s="31">
        <v>0.98</v>
      </c>
      <c r="N230" s="31">
        <v>0.98</v>
      </c>
      <c r="O230" s="31">
        <v>0.98</v>
      </c>
      <c r="P230" s="31">
        <v>0.7</v>
      </c>
      <c r="Q230" s="31">
        <v>0.96</v>
      </c>
    </row>
    <row r="231" spans="1:17">
      <c r="A231" s="50">
        <v>227</v>
      </c>
      <c r="B231" s="51" t="s">
        <v>417</v>
      </c>
      <c r="C231" s="51" t="s">
        <v>30</v>
      </c>
      <c r="D231" s="51">
        <v>3</v>
      </c>
      <c r="E231" s="51">
        <v>12</v>
      </c>
      <c r="F231" s="51" t="s">
        <v>418</v>
      </c>
      <c r="G231" s="52" t="s">
        <v>419</v>
      </c>
      <c r="H231" s="28">
        <v>1517</v>
      </c>
      <c r="I231" s="54">
        <v>0.0705</v>
      </c>
      <c r="J231" s="54">
        <v>0.116</v>
      </c>
      <c r="K231" s="28">
        <v>0</v>
      </c>
      <c r="L231" s="53">
        <v>0.8</v>
      </c>
      <c r="M231" s="31">
        <v>0.98</v>
      </c>
      <c r="N231" s="31">
        <v>0.98</v>
      </c>
      <c r="O231" s="31">
        <v>0.98</v>
      </c>
      <c r="P231" s="31">
        <v>0.7</v>
      </c>
      <c r="Q231" s="31">
        <v>0.96</v>
      </c>
    </row>
    <row r="232" spans="1:17">
      <c r="A232" s="50">
        <v>228</v>
      </c>
      <c r="B232" s="51" t="s">
        <v>417</v>
      </c>
      <c r="C232" s="51" t="s">
        <v>33</v>
      </c>
      <c r="D232" s="51">
        <v>12.01</v>
      </c>
      <c r="E232" s="51">
        <v>28</v>
      </c>
      <c r="F232" s="51" t="s">
        <v>420</v>
      </c>
      <c r="G232" s="52" t="s">
        <v>419</v>
      </c>
      <c r="H232" s="28">
        <v>1517</v>
      </c>
      <c r="I232" s="54">
        <v>0.0705</v>
      </c>
      <c r="J232" s="54">
        <v>0.116</v>
      </c>
      <c r="K232" s="28">
        <v>0</v>
      </c>
      <c r="L232" s="53">
        <v>0.8</v>
      </c>
      <c r="M232" s="31">
        <v>0.98</v>
      </c>
      <c r="N232" s="31">
        <v>0.98</v>
      </c>
      <c r="O232" s="31">
        <v>0.98</v>
      </c>
      <c r="P232" s="31">
        <v>0.7</v>
      </c>
      <c r="Q232" s="31">
        <v>0.96</v>
      </c>
    </row>
    <row r="233" spans="1:17">
      <c r="A233" s="50">
        <v>229</v>
      </c>
      <c r="B233" s="51" t="s">
        <v>421</v>
      </c>
      <c r="C233" s="51" t="s">
        <v>30</v>
      </c>
      <c r="D233" s="51">
        <v>4</v>
      </c>
      <c r="E233" s="51">
        <v>25.4</v>
      </c>
      <c r="F233" s="51" t="s">
        <v>421</v>
      </c>
      <c r="G233" s="52" t="s">
        <v>422</v>
      </c>
      <c r="H233" s="28">
        <v>1521</v>
      </c>
      <c r="I233" s="53">
        <f>VLOOKUP(F233,[1]终点成分!$A$5:$C$1000,2,0)</f>
        <v>0.0422302405498282</v>
      </c>
      <c r="J233" s="53">
        <f>VLOOKUP(F233,[1]终点成分!$A$5:$C$1000,3,0)</f>
        <v>0.104893470790378</v>
      </c>
      <c r="K233" s="28">
        <v>0</v>
      </c>
      <c r="L233" s="53">
        <v>0.8</v>
      </c>
      <c r="M233" s="31">
        <v>0.98</v>
      </c>
      <c r="N233" s="31">
        <v>0.98</v>
      </c>
      <c r="O233" s="31">
        <v>0.98</v>
      </c>
      <c r="P233" s="31">
        <v>0.7</v>
      </c>
      <c r="Q233" s="31">
        <v>0.96</v>
      </c>
    </row>
    <row r="234" spans="1:17">
      <c r="A234" s="50">
        <v>230</v>
      </c>
      <c r="B234" s="51" t="s">
        <v>423</v>
      </c>
      <c r="C234" s="51" t="s">
        <v>30</v>
      </c>
      <c r="D234" s="51">
        <v>6</v>
      </c>
      <c r="E234" s="51">
        <v>16</v>
      </c>
      <c r="F234" s="51" t="s">
        <v>424</v>
      </c>
      <c r="G234" s="52" t="s">
        <v>425</v>
      </c>
      <c r="H234" s="28">
        <v>1518</v>
      </c>
      <c r="I234" s="54">
        <v>0.038</v>
      </c>
      <c r="J234" s="54">
        <v>0.0935</v>
      </c>
      <c r="K234" s="28">
        <v>0</v>
      </c>
      <c r="L234" s="53">
        <v>0.8</v>
      </c>
      <c r="M234" s="31">
        <v>0.98</v>
      </c>
      <c r="N234" s="31">
        <v>0.98</v>
      </c>
      <c r="O234" s="31">
        <v>0.98</v>
      </c>
      <c r="P234" s="31">
        <v>0.7</v>
      </c>
      <c r="Q234" s="31">
        <v>0.96</v>
      </c>
    </row>
    <row r="235" spans="1:17">
      <c r="A235" s="50">
        <v>231</v>
      </c>
      <c r="B235" s="51" t="s">
        <v>423</v>
      </c>
      <c r="C235" s="51" t="s">
        <v>33</v>
      </c>
      <c r="D235" s="51">
        <v>16.01</v>
      </c>
      <c r="E235" s="51">
        <v>22</v>
      </c>
      <c r="F235" s="51" t="s">
        <v>426</v>
      </c>
      <c r="G235" s="52" t="s">
        <v>425</v>
      </c>
      <c r="H235" s="28">
        <v>1518</v>
      </c>
      <c r="I235" s="53">
        <f>VLOOKUP(F235,[1]终点成分!$A$5:$C$1000,2,0)</f>
        <v>0.038</v>
      </c>
      <c r="J235" s="53">
        <f>VLOOKUP(F235,[1]终点成分!$A$5:$C$1000,3,0)</f>
        <v>0.0935</v>
      </c>
      <c r="K235" s="28">
        <v>0</v>
      </c>
      <c r="L235" s="53">
        <v>0.8</v>
      </c>
      <c r="M235" s="31">
        <v>0.98</v>
      </c>
      <c r="N235" s="31">
        <v>0.98</v>
      </c>
      <c r="O235" s="31">
        <v>0.98</v>
      </c>
      <c r="P235" s="31">
        <v>0.7</v>
      </c>
      <c r="Q235" s="31">
        <v>0.96</v>
      </c>
    </row>
    <row r="236" spans="1:17">
      <c r="A236" s="50">
        <v>232</v>
      </c>
      <c r="B236" s="51" t="s">
        <v>427</v>
      </c>
      <c r="C236" s="51" t="s">
        <v>30</v>
      </c>
      <c r="D236" s="51">
        <v>3</v>
      </c>
      <c r="E236" s="51">
        <v>12</v>
      </c>
      <c r="F236" s="51" t="s">
        <v>428</v>
      </c>
      <c r="G236" s="52" t="s">
        <v>429</v>
      </c>
      <c r="H236" s="28">
        <v>1517</v>
      </c>
      <c r="I236" s="53">
        <f>VLOOKUP(F236,[1]终点成分!$A$5:$C$1000,2,0)</f>
        <v>0.0705</v>
      </c>
      <c r="J236" s="53">
        <f>VLOOKUP(F236,[1]终点成分!$A$5:$C$1000,3,0)</f>
        <v>0.116</v>
      </c>
      <c r="K236" s="28">
        <v>0</v>
      </c>
      <c r="L236" s="53">
        <v>0.8</v>
      </c>
      <c r="M236" s="31">
        <v>0.98</v>
      </c>
      <c r="N236" s="31">
        <v>0.98</v>
      </c>
      <c r="O236" s="31">
        <v>0.98</v>
      </c>
      <c r="P236" s="31">
        <v>0.7</v>
      </c>
      <c r="Q236" s="31">
        <v>0.96</v>
      </c>
    </row>
    <row r="237" spans="1:17">
      <c r="A237" s="50">
        <v>233</v>
      </c>
      <c r="B237" s="51" t="s">
        <v>427</v>
      </c>
      <c r="C237" s="51" t="s">
        <v>33</v>
      </c>
      <c r="D237" s="51">
        <v>12.01</v>
      </c>
      <c r="E237" s="51">
        <v>28</v>
      </c>
      <c r="F237" s="51" t="s">
        <v>430</v>
      </c>
      <c r="G237" s="52" t="s">
        <v>429</v>
      </c>
      <c r="H237" s="28">
        <v>1517</v>
      </c>
      <c r="I237" s="54">
        <v>0.0705</v>
      </c>
      <c r="J237" s="54">
        <v>0.116</v>
      </c>
      <c r="K237" s="28">
        <v>0</v>
      </c>
      <c r="L237" s="53">
        <v>0.8</v>
      </c>
      <c r="M237" s="31">
        <v>0.98</v>
      </c>
      <c r="N237" s="31">
        <v>0.98</v>
      </c>
      <c r="O237" s="31">
        <v>0.98</v>
      </c>
      <c r="P237" s="31">
        <v>0.7</v>
      </c>
      <c r="Q237" s="31">
        <v>0.96</v>
      </c>
    </row>
    <row r="238" spans="1:17">
      <c r="A238" s="50">
        <v>234</v>
      </c>
      <c r="B238" s="51" t="s">
        <v>431</v>
      </c>
      <c r="C238" s="51" t="s">
        <v>30</v>
      </c>
      <c r="D238" s="51">
        <v>6</v>
      </c>
      <c r="E238" s="51">
        <v>16</v>
      </c>
      <c r="F238" s="51" t="s">
        <v>432</v>
      </c>
      <c r="G238" s="52" t="s">
        <v>433</v>
      </c>
      <c r="H238" s="28">
        <v>1520</v>
      </c>
      <c r="I238" s="54">
        <v>0.04725</v>
      </c>
      <c r="J238" s="54">
        <v>0.07875</v>
      </c>
      <c r="K238" s="28">
        <v>0</v>
      </c>
      <c r="L238" s="53">
        <v>0.8</v>
      </c>
      <c r="M238" s="31">
        <v>0.98</v>
      </c>
      <c r="N238" s="31">
        <v>0.98</v>
      </c>
      <c r="O238" s="31">
        <v>0.98</v>
      </c>
      <c r="P238" s="31">
        <v>0.7</v>
      </c>
      <c r="Q238" s="31">
        <v>0.96</v>
      </c>
    </row>
    <row r="239" spans="1:17">
      <c r="A239" s="50">
        <v>235</v>
      </c>
      <c r="B239" s="51" t="s">
        <v>431</v>
      </c>
      <c r="C239" s="51" t="s">
        <v>33</v>
      </c>
      <c r="D239" s="51">
        <v>16.01</v>
      </c>
      <c r="E239" s="51">
        <v>25.4</v>
      </c>
      <c r="F239" s="51" t="s">
        <v>434</v>
      </c>
      <c r="G239" s="52" t="s">
        <v>433</v>
      </c>
      <c r="H239" s="28">
        <v>1520</v>
      </c>
      <c r="I239" s="53">
        <f>VLOOKUP(F239,[1]终点成分!$A$5:$C$1000,2,0)</f>
        <v>0.04725</v>
      </c>
      <c r="J239" s="53">
        <f>VLOOKUP(F239,[1]终点成分!$A$5:$C$1000,3,0)</f>
        <v>0.07875</v>
      </c>
      <c r="K239" s="28">
        <v>0</v>
      </c>
      <c r="L239" s="53">
        <v>0.8</v>
      </c>
      <c r="M239" s="31">
        <v>0.98</v>
      </c>
      <c r="N239" s="31">
        <v>0.98</v>
      </c>
      <c r="O239" s="31">
        <v>0.98</v>
      </c>
      <c r="P239" s="31">
        <v>0.7</v>
      </c>
      <c r="Q239" s="31">
        <v>0.96</v>
      </c>
    </row>
    <row r="240" spans="1:17">
      <c r="A240" s="50">
        <v>236</v>
      </c>
      <c r="B240" s="51" t="s">
        <v>435</v>
      </c>
      <c r="C240" s="51" t="s">
        <v>30</v>
      </c>
      <c r="D240" s="51">
        <v>6</v>
      </c>
      <c r="E240" s="51">
        <v>16</v>
      </c>
      <c r="F240" s="51" t="s">
        <v>436</v>
      </c>
      <c r="G240" s="52" t="s">
        <v>437</v>
      </c>
      <c r="H240" s="28">
        <v>1520</v>
      </c>
      <c r="I240" s="54">
        <v>0.04725</v>
      </c>
      <c r="J240" s="54">
        <v>0.07875</v>
      </c>
      <c r="K240" s="28">
        <v>0</v>
      </c>
      <c r="L240" s="53">
        <v>0.8</v>
      </c>
      <c r="M240" s="31">
        <v>0.98</v>
      </c>
      <c r="N240" s="31">
        <v>0.98</v>
      </c>
      <c r="O240" s="31">
        <v>0.98</v>
      </c>
      <c r="P240" s="31">
        <v>0.7</v>
      </c>
      <c r="Q240" s="31">
        <v>0.96</v>
      </c>
    </row>
    <row r="241" spans="1:17">
      <c r="A241" s="50">
        <v>237</v>
      </c>
      <c r="B241" s="51" t="s">
        <v>435</v>
      </c>
      <c r="C241" s="51" t="s">
        <v>33</v>
      </c>
      <c r="D241" s="51">
        <v>16.01</v>
      </c>
      <c r="E241" s="51">
        <v>25</v>
      </c>
      <c r="F241" s="51" t="s">
        <v>438</v>
      </c>
      <c r="G241" s="52" t="s">
        <v>437</v>
      </c>
      <c r="H241" s="28">
        <v>1520</v>
      </c>
      <c r="I241" s="53">
        <f>VLOOKUP(F241,[1]终点成分!$A$5:$C$1000,2,0)</f>
        <v>0.0465833333333333</v>
      </c>
      <c r="J241" s="53">
        <f>VLOOKUP(F241,[1]终点成分!$A$5:$C$1000,3,0)</f>
        <v>0.0946666666666667</v>
      </c>
      <c r="K241" s="28">
        <v>0</v>
      </c>
      <c r="L241" s="53">
        <v>0.8</v>
      </c>
      <c r="M241" s="31">
        <v>0.98</v>
      </c>
      <c r="N241" s="31">
        <v>0.98</v>
      </c>
      <c r="O241" s="31">
        <v>0.98</v>
      </c>
      <c r="P241" s="31">
        <v>0.7</v>
      </c>
      <c r="Q241" s="31">
        <v>0.96</v>
      </c>
    </row>
    <row r="242" spans="1:17">
      <c r="A242" s="50">
        <v>238</v>
      </c>
      <c r="B242" s="51" t="s">
        <v>439</v>
      </c>
      <c r="C242" s="51" t="s">
        <v>30</v>
      </c>
      <c r="D242" s="51">
        <v>6</v>
      </c>
      <c r="E242" s="51">
        <v>14</v>
      </c>
      <c r="F242" s="51" t="s">
        <v>440</v>
      </c>
      <c r="G242" s="52" t="s">
        <v>441</v>
      </c>
      <c r="H242" s="28">
        <v>1520</v>
      </c>
      <c r="I242" s="53">
        <f>VLOOKUP(F242,[1]终点成分!$A$5:$C$1000,2,0)</f>
        <v>0.0405</v>
      </c>
      <c r="J242" s="53">
        <f>VLOOKUP(F242,[1]终点成分!$A$5:$C$1000,3,0)</f>
        <v>0.065</v>
      </c>
      <c r="K242" s="28">
        <v>0</v>
      </c>
      <c r="L242" s="53">
        <v>0.8</v>
      </c>
      <c r="M242" s="31">
        <v>0.98</v>
      </c>
      <c r="N242" s="31">
        <v>0.98</v>
      </c>
      <c r="O242" s="31">
        <v>0.98</v>
      </c>
      <c r="P242" s="31">
        <v>0.7</v>
      </c>
      <c r="Q242" s="31">
        <v>0.96</v>
      </c>
    </row>
    <row r="243" spans="1:17">
      <c r="A243" s="50">
        <v>239</v>
      </c>
      <c r="B243" s="51" t="s">
        <v>439</v>
      </c>
      <c r="C243" s="51" t="s">
        <v>33</v>
      </c>
      <c r="D243" s="51">
        <v>14.01</v>
      </c>
      <c r="E243" s="51">
        <v>19</v>
      </c>
      <c r="F243" s="51" t="s">
        <v>443</v>
      </c>
      <c r="G243" s="52" t="s">
        <v>441</v>
      </c>
      <c r="H243" s="28">
        <v>1520</v>
      </c>
      <c r="I243" s="54">
        <v>0.0405</v>
      </c>
      <c r="J243" s="54">
        <v>0.065</v>
      </c>
      <c r="K243" s="28">
        <v>0</v>
      </c>
      <c r="L243" s="53">
        <v>0.8</v>
      </c>
      <c r="M243" s="31">
        <v>0.98</v>
      </c>
      <c r="N243" s="31">
        <v>0.98</v>
      </c>
      <c r="O243" s="31">
        <v>0.98</v>
      </c>
      <c r="P243" s="31">
        <v>0.7</v>
      </c>
      <c r="Q243" s="31">
        <v>0.96</v>
      </c>
    </row>
    <row r="244" spans="1:17">
      <c r="A244" s="50">
        <v>240</v>
      </c>
      <c r="B244" s="51" t="s">
        <v>444</v>
      </c>
      <c r="C244" s="51" t="s">
        <v>30</v>
      </c>
      <c r="D244" s="51">
        <v>6</v>
      </c>
      <c r="E244" s="51">
        <v>14</v>
      </c>
      <c r="F244" s="51" t="s">
        <v>445</v>
      </c>
      <c r="G244" s="52" t="s">
        <v>446</v>
      </c>
      <c r="H244" s="28">
        <v>1520</v>
      </c>
      <c r="I244" s="54">
        <v>0.0405</v>
      </c>
      <c r="J244" s="54">
        <v>0.065</v>
      </c>
      <c r="K244" s="28">
        <v>0</v>
      </c>
      <c r="L244" s="53">
        <v>0.8</v>
      </c>
      <c r="M244" s="31">
        <v>0.98</v>
      </c>
      <c r="N244" s="31">
        <v>0.98</v>
      </c>
      <c r="O244" s="31">
        <v>0.98</v>
      </c>
      <c r="P244" s="31">
        <v>0.7</v>
      </c>
      <c r="Q244" s="31">
        <v>0.96</v>
      </c>
    </row>
    <row r="245" spans="1:17">
      <c r="A245" s="50">
        <v>241</v>
      </c>
      <c r="B245" s="51" t="s">
        <v>444</v>
      </c>
      <c r="C245" s="51" t="s">
        <v>33</v>
      </c>
      <c r="D245" s="51">
        <v>14.01</v>
      </c>
      <c r="E245" s="51">
        <v>24</v>
      </c>
      <c r="F245" s="51" t="s">
        <v>448</v>
      </c>
      <c r="G245" s="52" t="s">
        <v>446</v>
      </c>
      <c r="H245" s="28">
        <v>1520</v>
      </c>
      <c r="I245" s="54">
        <v>0.0405</v>
      </c>
      <c r="J245" s="54">
        <v>0.065</v>
      </c>
      <c r="K245" s="28">
        <v>0</v>
      </c>
      <c r="L245" s="53">
        <v>0.8</v>
      </c>
      <c r="M245" s="31">
        <v>0.98</v>
      </c>
      <c r="N245" s="31">
        <v>0.98</v>
      </c>
      <c r="O245" s="31">
        <v>0.98</v>
      </c>
      <c r="P245" s="31">
        <v>0.7</v>
      </c>
      <c r="Q245" s="31">
        <v>0.96</v>
      </c>
    </row>
    <row r="246" spans="1:17">
      <c r="A246" s="50">
        <v>242</v>
      </c>
      <c r="B246" s="51" t="s">
        <v>449</v>
      </c>
      <c r="C246" s="51" t="s">
        <v>30</v>
      </c>
      <c r="D246" s="51">
        <v>6</v>
      </c>
      <c r="E246" s="51">
        <v>16</v>
      </c>
      <c r="F246" s="51" t="s">
        <v>450</v>
      </c>
      <c r="G246" s="52" t="s">
        <v>451</v>
      </c>
      <c r="H246" s="28">
        <v>1520</v>
      </c>
      <c r="I246" s="53">
        <v>0.03</v>
      </c>
      <c r="J246" s="53">
        <f>VLOOKUP(F246,[1]终点成分!$A$5:$C$1000,3,0)</f>
        <v>0.043</v>
      </c>
      <c r="K246" s="28">
        <v>0</v>
      </c>
      <c r="L246" s="53">
        <v>0.8</v>
      </c>
      <c r="M246" s="31">
        <v>0.98</v>
      </c>
      <c r="N246" s="31">
        <v>0.98</v>
      </c>
      <c r="O246" s="31">
        <v>0.98</v>
      </c>
      <c r="P246" s="31">
        <v>0.7</v>
      </c>
      <c r="Q246" s="31">
        <v>0.96</v>
      </c>
    </row>
    <row r="247" spans="1:17">
      <c r="A247" s="50">
        <v>243</v>
      </c>
      <c r="B247" s="51" t="s">
        <v>449</v>
      </c>
      <c r="C247" s="51" t="s">
        <v>33</v>
      </c>
      <c r="D247" s="51">
        <v>16.01</v>
      </c>
      <c r="E247" s="51">
        <v>19</v>
      </c>
      <c r="F247" s="51" t="s">
        <v>453</v>
      </c>
      <c r="G247" s="52" t="s">
        <v>451</v>
      </c>
      <c r="H247" s="28">
        <v>1520</v>
      </c>
      <c r="I247" s="54">
        <v>0.03</v>
      </c>
      <c r="J247" s="54">
        <v>0.043</v>
      </c>
      <c r="K247" s="28">
        <v>0</v>
      </c>
      <c r="L247" s="53">
        <v>0.8</v>
      </c>
      <c r="M247" s="31">
        <v>0.98</v>
      </c>
      <c r="N247" s="31">
        <v>0.98</v>
      </c>
      <c r="O247" s="31">
        <v>0.98</v>
      </c>
      <c r="P247" s="31">
        <v>0.7</v>
      </c>
      <c r="Q247" s="31">
        <v>0.96</v>
      </c>
    </row>
    <row r="248" spans="1:17">
      <c r="A248" s="50">
        <v>244</v>
      </c>
      <c r="B248" s="51" t="s">
        <v>454</v>
      </c>
      <c r="C248" s="51" t="s">
        <v>30</v>
      </c>
      <c r="D248" s="51">
        <v>2.5</v>
      </c>
      <c r="E248" s="51">
        <v>10</v>
      </c>
      <c r="F248" s="51" t="s">
        <v>454</v>
      </c>
      <c r="G248" s="52" t="s">
        <v>455</v>
      </c>
      <c r="H248" s="28">
        <v>1512</v>
      </c>
      <c r="I248" s="54">
        <v>0.059</v>
      </c>
      <c r="J248" s="54">
        <v>0.1022</v>
      </c>
      <c r="K248" s="28">
        <v>0</v>
      </c>
      <c r="L248" s="53">
        <v>0.8</v>
      </c>
      <c r="M248" s="31">
        <v>0.98</v>
      </c>
      <c r="N248" s="31">
        <v>0.98</v>
      </c>
      <c r="O248" s="31">
        <v>0.98</v>
      </c>
      <c r="P248" s="31">
        <v>0.7</v>
      </c>
      <c r="Q248" s="31">
        <v>0.96</v>
      </c>
    </row>
    <row r="249" spans="1:17">
      <c r="A249" s="50">
        <v>245</v>
      </c>
      <c r="B249" s="51" t="s">
        <v>456</v>
      </c>
      <c r="C249" s="51" t="s">
        <v>30</v>
      </c>
      <c r="D249" s="51">
        <v>3</v>
      </c>
      <c r="E249" s="51">
        <v>10</v>
      </c>
      <c r="F249" s="51" t="s">
        <v>456</v>
      </c>
      <c r="G249" s="52" t="s">
        <v>457</v>
      </c>
      <c r="H249" s="28">
        <v>1512</v>
      </c>
      <c r="I249" s="53">
        <f>VLOOKUP(F249,[1]终点成分!$A$5:$C$1000,2,0)</f>
        <v>0.059</v>
      </c>
      <c r="J249" s="53">
        <f>VLOOKUP(F249,[1]终点成分!$A$5:$C$1000,3,0)</f>
        <v>0.1022</v>
      </c>
      <c r="K249" s="28">
        <v>0</v>
      </c>
      <c r="L249" s="53">
        <v>0.8</v>
      </c>
      <c r="M249" s="31">
        <v>0.98</v>
      </c>
      <c r="N249" s="31">
        <v>0.98</v>
      </c>
      <c r="O249" s="31">
        <v>0.98</v>
      </c>
      <c r="P249" s="31">
        <v>0.7</v>
      </c>
      <c r="Q249" s="31">
        <v>0.96</v>
      </c>
    </row>
    <row r="250" spans="1:17">
      <c r="A250" s="50">
        <v>246</v>
      </c>
      <c r="B250" s="51" t="s">
        <v>458</v>
      </c>
      <c r="C250" s="51" t="s">
        <v>30</v>
      </c>
      <c r="D250" s="51">
        <v>3</v>
      </c>
      <c r="E250" s="51">
        <v>10</v>
      </c>
      <c r="F250" s="51" t="s">
        <v>458</v>
      </c>
      <c r="G250" s="52" t="s">
        <v>459</v>
      </c>
      <c r="H250" s="28">
        <v>1523</v>
      </c>
      <c r="I250" s="53">
        <f>VLOOKUP(F250,[1]终点成分!$A$5:$C$1000,2,0)</f>
        <v>0.031</v>
      </c>
      <c r="J250" s="53">
        <f>VLOOKUP(F250,[1]终点成分!$A$5:$C$1000,3,0)</f>
        <v>0.072</v>
      </c>
      <c r="K250" s="28">
        <v>0</v>
      </c>
      <c r="L250" s="53">
        <v>0.8</v>
      </c>
      <c r="M250" s="31">
        <v>0.98</v>
      </c>
      <c r="N250" s="31">
        <v>0.98</v>
      </c>
      <c r="O250" s="31">
        <v>0.98</v>
      </c>
      <c r="P250" s="31">
        <v>0.7</v>
      </c>
      <c r="Q250" s="31">
        <v>0.96</v>
      </c>
    </row>
    <row r="251" spans="1:17">
      <c r="A251" s="50">
        <v>247</v>
      </c>
      <c r="B251" s="51" t="s">
        <v>460</v>
      </c>
      <c r="C251" s="51" t="s">
        <v>30</v>
      </c>
      <c r="D251" s="51">
        <v>3</v>
      </c>
      <c r="E251" s="51">
        <v>9.99</v>
      </c>
      <c r="F251" s="51" t="s">
        <v>461</v>
      </c>
      <c r="G251" s="52" t="s">
        <v>462</v>
      </c>
      <c r="H251" s="28">
        <v>1522</v>
      </c>
      <c r="I251" s="54">
        <v>0.037</v>
      </c>
      <c r="J251" s="54">
        <v>0.077</v>
      </c>
      <c r="K251" s="28">
        <v>0</v>
      </c>
      <c r="L251" s="53">
        <v>0.8</v>
      </c>
      <c r="M251" s="31">
        <v>0.98</v>
      </c>
      <c r="N251" s="31">
        <v>0.98</v>
      </c>
      <c r="O251" s="31">
        <v>0.98</v>
      </c>
      <c r="P251" s="31">
        <v>0.7</v>
      </c>
      <c r="Q251" s="31">
        <v>0.96</v>
      </c>
    </row>
    <row r="252" spans="1:17">
      <c r="A252" s="50">
        <v>248</v>
      </c>
      <c r="B252" s="51" t="s">
        <v>460</v>
      </c>
      <c r="C252" s="51" t="s">
        <v>33</v>
      </c>
      <c r="D252" s="51">
        <v>10</v>
      </c>
      <c r="E252" s="51">
        <v>20</v>
      </c>
      <c r="F252" s="51" t="s">
        <v>463</v>
      </c>
      <c r="G252" s="52" t="s">
        <v>462</v>
      </c>
      <c r="H252" s="28">
        <v>1522</v>
      </c>
      <c r="I252" s="54">
        <v>0.037</v>
      </c>
      <c r="J252" s="54">
        <v>0.077</v>
      </c>
      <c r="K252" s="28">
        <v>0</v>
      </c>
      <c r="L252" s="53">
        <v>0.8</v>
      </c>
      <c r="M252" s="31">
        <v>0.98</v>
      </c>
      <c r="N252" s="31">
        <v>0.98</v>
      </c>
      <c r="O252" s="31">
        <v>0.98</v>
      </c>
      <c r="P252" s="31">
        <v>0.7</v>
      </c>
      <c r="Q252" s="31">
        <v>0.96</v>
      </c>
    </row>
    <row r="253" spans="1:17">
      <c r="A253" s="50">
        <v>249</v>
      </c>
      <c r="B253" s="51" t="s">
        <v>464</v>
      </c>
      <c r="C253" s="51" t="s">
        <v>30</v>
      </c>
      <c r="D253" s="51">
        <v>3</v>
      </c>
      <c r="E253" s="51">
        <v>10</v>
      </c>
      <c r="F253" s="51" t="s">
        <v>465</v>
      </c>
      <c r="G253" s="52" t="s">
        <v>466</v>
      </c>
      <c r="H253" s="28">
        <v>1518</v>
      </c>
      <c r="I253" s="53">
        <f>VLOOKUP(F253,[1]终点成分!$A$5:$C$1000,2,0)</f>
        <v>0.037</v>
      </c>
      <c r="J253" s="53">
        <f>VLOOKUP(F253,[1]终点成分!$A$5:$C$1000,3,0)</f>
        <v>0.077</v>
      </c>
      <c r="K253" s="28">
        <v>0</v>
      </c>
      <c r="L253" s="53">
        <v>0.8</v>
      </c>
      <c r="M253" s="31">
        <v>0.98</v>
      </c>
      <c r="N253" s="31">
        <v>0.98</v>
      </c>
      <c r="O253" s="31">
        <v>0.98</v>
      </c>
      <c r="P253" s="31">
        <v>0.7</v>
      </c>
      <c r="Q253" s="31">
        <v>0.96</v>
      </c>
    </row>
    <row r="254" spans="1:17">
      <c r="A254" s="50">
        <v>250</v>
      </c>
      <c r="B254" s="51" t="s">
        <v>464</v>
      </c>
      <c r="C254" s="51" t="s">
        <v>33</v>
      </c>
      <c r="D254" s="51">
        <v>10.01</v>
      </c>
      <c r="E254" s="51">
        <v>20</v>
      </c>
      <c r="F254" s="51" t="s">
        <v>467</v>
      </c>
      <c r="G254" s="52" t="s">
        <v>466</v>
      </c>
      <c r="H254" s="28">
        <v>1518</v>
      </c>
      <c r="I254" s="54">
        <v>0.037</v>
      </c>
      <c r="J254" s="54">
        <v>0.077</v>
      </c>
      <c r="K254" s="28">
        <v>0</v>
      </c>
      <c r="L254" s="53">
        <v>0.8</v>
      </c>
      <c r="M254" s="31">
        <v>0.98</v>
      </c>
      <c r="N254" s="31">
        <v>0.98</v>
      </c>
      <c r="O254" s="31">
        <v>0.98</v>
      </c>
      <c r="P254" s="31">
        <v>0.7</v>
      </c>
      <c r="Q254" s="31">
        <v>0.96</v>
      </c>
    </row>
    <row r="255" spans="1:17">
      <c r="A255" s="50">
        <v>251</v>
      </c>
      <c r="B255" s="51" t="s">
        <v>468</v>
      </c>
      <c r="C255" s="51" t="s">
        <v>30</v>
      </c>
      <c r="D255" s="51">
        <v>3</v>
      </c>
      <c r="E255" s="51">
        <v>9.99</v>
      </c>
      <c r="F255" s="51" t="s">
        <v>469</v>
      </c>
      <c r="G255" s="52" t="s">
        <v>470</v>
      </c>
      <c r="H255" s="28">
        <v>1518</v>
      </c>
      <c r="I255" s="54">
        <v>0.037</v>
      </c>
      <c r="J255" s="54">
        <v>0.077</v>
      </c>
      <c r="K255" s="28">
        <v>0</v>
      </c>
      <c r="L255" s="53">
        <v>0.8</v>
      </c>
      <c r="M255" s="31">
        <v>0.98</v>
      </c>
      <c r="N255" s="31">
        <v>0.98</v>
      </c>
      <c r="O255" s="31">
        <v>0.98</v>
      </c>
      <c r="P255" s="31">
        <v>0.7</v>
      </c>
      <c r="Q255" s="31">
        <v>0.96</v>
      </c>
    </row>
    <row r="256" spans="1:17">
      <c r="A256" s="50">
        <v>252</v>
      </c>
      <c r="B256" s="51" t="s">
        <v>468</v>
      </c>
      <c r="C256" s="51" t="s">
        <v>33</v>
      </c>
      <c r="D256" s="51">
        <v>10</v>
      </c>
      <c r="E256" s="51">
        <v>20</v>
      </c>
      <c r="F256" s="51" t="s">
        <v>471</v>
      </c>
      <c r="G256" s="52" t="s">
        <v>470</v>
      </c>
      <c r="H256" s="28">
        <v>1518</v>
      </c>
      <c r="I256" s="54">
        <v>0.037</v>
      </c>
      <c r="J256" s="54">
        <v>0.077</v>
      </c>
      <c r="K256" s="28">
        <v>0</v>
      </c>
      <c r="L256" s="53">
        <v>0.8</v>
      </c>
      <c r="M256" s="31">
        <v>0.98</v>
      </c>
      <c r="N256" s="31">
        <v>0.98</v>
      </c>
      <c r="O256" s="31">
        <v>0.98</v>
      </c>
      <c r="P256" s="31">
        <v>0.7</v>
      </c>
      <c r="Q256" s="31">
        <v>0.96</v>
      </c>
    </row>
    <row r="257" spans="1:17">
      <c r="A257" s="50">
        <v>253</v>
      </c>
      <c r="B257" s="51" t="s">
        <v>472</v>
      </c>
      <c r="C257" s="51" t="s">
        <v>30</v>
      </c>
      <c r="D257" s="51">
        <v>4</v>
      </c>
      <c r="E257" s="51">
        <v>14</v>
      </c>
      <c r="F257" s="51" t="s">
        <v>472</v>
      </c>
      <c r="G257" s="52" t="s">
        <v>473</v>
      </c>
      <c r="H257" s="28">
        <v>1519</v>
      </c>
      <c r="I257" s="53">
        <f>VLOOKUP(F257,[1]终点成分!$A$5:$C$1000,2,0)</f>
        <v>0.044</v>
      </c>
      <c r="J257" s="53">
        <f>VLOOKUP(F257,[1]终点成分!$A$5:$C$1000,3,0)</f>
        <v>0.084</v>
      </c>
      <c r="K257" s="28">
        <v>0</v>
      </c>
      <c r="L257" s="53">
        <v>0.8</v>
      </c>
      <c r="M257" s="31">
        <v>0.98</v>
      </c>
      <c r="N257" s="31">
        <v>0.98</v>
      </c>
      <c r="O257" s="31">
        <v>0.98</v>
      </c>
      <c r="P257" s="31">
        <v>0.7</v>
      </c>
      <c r="Q257" s="31">
        <v>0.96</v>
      </c>
    </row>
    <row r="258" spans="1:17">
      <c r="A258" s="50">
        <v>254</v>
      </c>
      <c r="B258" s="51" t="s">
        <v>474</v>
      </c>
      <c r="C258" s="51" t="s">
        <v>30</v>
      </c>
      <c r="D258" s="51">
        <v>2</v>
      </c>
      <c r="E258" s="51">
        <v>9.99</v>
      </c>
      <c r="F258" s="51" t="s">
        <v>475</v>
      </c>
      <c r="G258" s="52" t="s">
        <v>476</v>
      </c>
      <c r="H258" s="28">
        <v>1502</v>
      </c>
      <c r="I258" s="65">
        <v>0.057625</v>
      </c>
      <c r="J258" s="65">
        <v>0.10975</v>
      </c>
      <c r="K258" s="28">
        <v>0</v>
      </c>
      <c r="L258" s="53">
        <v>0.8</v>
      </c>
      <c r="M258" s="31">
        <v>0.98</v>
      </c>
      <c r="N258" s="31">
        <v>0.98</v>
      </c>
      <c r="O258" s="31">
        <v>0.98</v>
      </c>
      <c r="P258" s="31">
        <v>0.7</v>
      </c>
      <c r="Q258" s="31">
        <v>0.96</v>
      </c>
    </row>
    <row r="259" spans="1:17">
      <c r="A259" s="50">
        <v>255</v>
      </c>
      <c r="B259" s="51" t="s">
        <v>474</v>
      </c>
      <c r="C259" s="51" t="s">
        <v>33</v>
      </c>
      <c r="D259" s="51">
        <v>10</v>
      </c>
      <c r="E259" s="51">
        <v>20</v>
      </c>
      <c r="F259" s="51" t="s">
        <v>477</v>
      </c>
      <c r="G259" s="52" t="s">
        <v>476</v>
      </c>
      <c r="H259" s="28">
        <v>1502</v>
      </c>
      <c r="I259" s="53">
        <f>VLOOKUP(F259,[1]终点成分!$A$5:$C$1000,2,0)</f>
        <v>0.057625</v>
      </c>
      <c r="J259" s="53">
        <f>VLOOKUP(F259,[1]终点成分!$A$5:$C$1000,3,0)</f>
        <v>0.10975</v>
      </c>
      <c r="K259" s="28">
        <v>0</v>
      </c>
      <c r="L259" s="53">
        <v>0.8</v>
      </c>
      <c r="M259" s="31">
        <v>0.98</v>
      </c>
      <c r="N259" s="31">
        <v>0.98</v>
      </c>
      <c r="O259" s="31">
        <v>0.98</v>
      </c>
      <c r="P259" s="31">
        <v>0.7</v>
      </c>
      <c r="Q259" s="31">
        <v>0.96</v>
      </c>
    </row>
    <row r="260" spans="1:17">
      <c r="A260" s="50">
        <v>256</v>
      </c>
      <c r="B260" s="51" t="s">
        <v>478</v>
      </c>
      <c r="C260" s="51" t="s">
        <v>30</v>
      </c>
      <c r="D260" s="51">
        <v>3</v>
      </c>
      <c r="E260" s="51">
        <v>16</v>
      </c>
      <c r="F260" s="51" t="s">
        <v>478</v>
      </c>
      <c r="G260" s="52" t="s">
        <v>479</v>
      </c>
      <c r="H260" s="28">
        <v>1511</v>
      </c>
      <c r="I260" s="53">
        <f>VLOOKUP(F260,[1]终点成分!$A$5:$C$1000,2,0)</f>
        <v>0.0425</v>
      </c>
      <c r="J260" s="53">
        <f>VLOOKUP(F260,[1]终点成分!$A$5:$C$1000,3,0)</f>
        <v>0.101</v>
      </c>
      <c r="K260" s="28">
        <v>0</v>
      </c>
      <c r="L260" s="53">
        <v>0.8</v>
      </c>
      <c r="M260" s="31">
        <v>0.98</v>
      </c>
      <c r="N260" s="31">
        <v>0.98</v>
      </c>
      <c r="O260" s="31">
        <v>0.98</v>
      </c>
      <c r="P260" s="31">
        <v>0.7</v>
      </c>
      <c r="Q260" s="31">
        <v>0.96</v>
      </c>
    </row>
    <row r="261" spans="1:17">
      <c r="A261" s="50">
        <v>257</v>
      </c>
      <c r="B261" s="51" t="s">
        <v>480</v>
      </c>
      <c r="C261" s="51" t="s">
        <v>30</v>
      </c>
      <c r="D261" s="51">
        <v>3</v>
      </c>
      <c r="E261" s="51">
        <v>5.99</v>
      </c>
      <c r="F261" s="51" t="s">
        <v>481</v>
      </c>
      <c r="G261" s="52" t="s">
        <v>482</v>
      </c>
      <c r="H261" s="28">
        <v>1516</v>
      </c>
      <c r="I261" s="53">
        <f>VLOOKUP(F261,[1]终点成分!$A$5:$C$1000,2,0)</f>
        <v>0.043</v>
      </c>
      <c r="J261" s="53">
        <f>VLOOKUP(F261,[1]终点成分!$A$5:$C$1000,3,0)</f>
        <v>0.0865</v>
      </c>
      <c r="K261" s="28">
        <v>0</v>
      </c>
      <c r="L261" s="53">
        <v>0.8</v>
      </c>
      <c r="M261" s="31">
        <v>0.98</v>
      </c>
      <c r="N261" s="31">
        <v>0.98</v>
      </c>
      <c r="O261" s="31">
        <v>0.98</v>
      </c>
      <c r="P261" s="31">
        <v>0.7</v>
      </c>
      <c r="Q261" s="31">
        <v>0.96</v>
      </c>
    </row>
    <row r="262" spans="1:17">
      <c r="A262" s="50">
        <v>258</v>
      </c>
      <c r="B262" s="51" t="s">
        <v>480</v>
      </c>
      <c r="C262" s="51" t="s">
        <v>33</v>
      </c>
      <c r="D262" s="51">
        <v>6</v>
      </c>
      <c r="E262" s="51">
        <v>12</v>
      </c>
      <c r="F262" s="51" t="s">
        <v>483</v>
      </c>
      <c r="G262" s="52" t="s">
        <v>482</v>
      </c>
      <c r="H262" s="28">
        <v>1516</v>
      </c>
      <c r="I262" s="53">
        <v>0.043</v>
      </c>
      <c r="J262" s="53">
        <v>0.0865</v>
      </c>
      <c r="K262" s="28">
        <v>0</v>
      </c>
      <c r="L262" s="53">
        <v>0.8</v>
      </c>
      <c r="M262" s="31">
        <v>0.98</v>
      </c>
      <c r="N262" s="31">
        <v>0.98</v>
      </c>
      <c r="O262" s="31">
        <v>0.98</v>
      </c>
      <c r="P262" s="31">
        <v>0.7</v>
      </c>
      <c r="Q262" s="31">
        <v>0.96</v>
      </c>
    </row>
    <row r="263" spans="1:17">
      <c r="A263" s="50">
        <v>259</v>
      </c>
      <c r="B263" s="51" t="s">
        <v>484</v>
      </c>
      <c r="C263" s="51" t="s">
        <v>30</v>
      </c>
      <c r="D263" s="51">
        <v>6</v>
      </c>
      <c r="E263" s="51">
        <v>15.99</v>
      </c>
      <c r="F263" s="51" t="s">
        <v>485</v>
      </c>
      <c r="G263" s="52" t="s">
        <v>486</v>
      </c>
      <c r="H263" s="28">
        <v>1513</v>
      </c>
      <c r="I263" s="28">
        <f>VLOOKUP(F263,[1]终点成分!$A$5:$C$1000,2,0)</f>
        <v>0.064</v>
      </c>
      <c r="J263" s="28">
        <f>VLOOKUP(F263,[1]终点成分!$A$5:$C$1000,3,0)</f>
        <v>0.09325</v>
      </c>
      <c r="K263" s="28">
        <v>0</v>
      </c>
      <c r="L263" s="53">
        <v>0.8</v>
      </c>
      <c r="M263" s="31">
        <v>0.98</v>
      </c>
      <c r="N263" s="31">
        <v>0.98</v>
      </c>
      <c r="O263" s="31">
        <v>0.98</v>
      </c>
      <c r="P263" s="31">
        <v>0.7</v>
      </c>
      <c r="Q263" s="31">
        <v>0.96</v>
      </c>
    </row>
    <row r="264" spans="1:17">
      <c r="A264" s="50">
        <v>260</v>
      </c>
      <c r="B264" s="51" t="s">
        <v>484</v>
      </c>
      <c r="C264" s="51" t="s">
        <v>33</v>
      </c>
      <c r="D264" s="51">
        <v>16</v>
      </c>
      <c r="E264" s="51">
        <v>28</v>
      </c>
      <c r="F264" s="51" t="s">
        <v>487</v>
      </c>
      <c r="G264" s="52" t="s">
        <v>486</v>
      </c>
      <c r="H264" s="28">
        <v>1513</v>
      </c>
      <c r="I264" s="28">
        <f>VLOOKUP(F264,[1]终点成分!$A$5:$C$1000,2,0)</f>
        <v>0.0916666666666667</v>
      </c>
      <c r="J264" s="28">
        <f>VLOOKUP(F264,[1]终点成分!$A$5:$C$1000,3,0)</f>
        <v>0.105333333333333</v>
      </c>
      <c r="K264" s="28">
        <v>0</v>
      </c>
      <c r="L264" s="53">
        <v>0.8</v>
      </c>
      <c r="M264" s="31">
        <v>0.98</v>
      </c>
      <c r="N264" s="31">
        <v>0.98</v>
      </c>
      <c r="O264" s="31">
        <v>0.98</v>
      </c>
      <c r="P264" s="31">
        <v>0.7</v>
      </c>
      <c r="Q264" s="31">
        <v>0.96</v>
      </c>
    </row>
    <row r="265" spans="1:17">
      <c r="A265" s="50">
        <v>261</v>
      </c>
      <c r="B265" s="51" t="s">
        <v>488</v>
      </c>
      <c r="C265" s="51" t="s">
        <v>30</v>
      </c>
      <c r="D265" s="51">
        <v>6</v>
      </c>
      <c r="E265" s="51">
        <v>15.99</v>
      </c>
      <c r="F265" s="51" t="s">
        <v>489</v>
      </c>
      <c r="G265" s="52" t="s">
        <v>490</v>
      </c>
      <c r="H265" s="28">
        <v>1508</v>
      </c>
      <c r="I265" s="28">
        <f>VLOOKUP(F265,[1]终点成分!$A$5:$C$1000,2,0)</f>
        <v>0.076</v>
      </c>
      <c r="J265" s="28">
        <f>VLOOKUP(F265,[1]终点成分!$A$5:$C$1000,3,0)</f>
        <v>0.097</v>
      </c>
      <c r="K265" s="28">
        <v>0</v>
      </c>
      <c r="L265" s="53">
        <v>0.8</v>
      </c>
      <c r="M265" s="31">
        <v>0.98</v>
      </c>
      <c r="N265" s="31">
        <v>0.98</v>
      </c>
      <c r="O265" s="31">
        <v>0.98</v>
      </c>
      <c r="P265" s="31">
        <v>0.7</v>
      </c>
      <c r="Q265" s="31">
        <v>0.96</v>
      </c>
    </row>
    <row r="266" spans="1:17">
      <c r="A266" s="50">
        <v>262</v>
      </c>
      <c r="B266" s="51" t="s">
        <v>488</v>
      </c>
      <c r="C266" s="51" t="s">
        <v>33</v>
      </c>
      <c r="D266" s="51">
        <v>16</v>
      </c>
      <c r="E266" s="51">
        <v>28</v>
      </c>
      <c r="F266" s="51" t="s">
        <v>491</v>
      </c>
      <c r="G266" s="52" t="s">
        <v>490</v>
      </c>
      <c r="H266" s="28">
        <v>1508</v>
      </c>
      <c r="I266" s="28">
        <f>VLOOKUP(F266,[1]终点成分!$A$5:$C$1000,2,0)</f>
        <v>0.098</v>
      </c>
      <c r="J266" s="28">
        <f>VLOOKUP(F266,[1]终点成分!$A$5:$C$1000,3,0)</f>
        <v>0.119</v>
      </c>
      <c r="K266" s="28">
        <v>0</v>
      </c>
      <c r="L266" s="53">
        <v>0.8</v>
      </c>
      <c r="M266" s="31">
        <v>0.98</v>
      </c>
      <c r="N266" s="31">
        <v>0.98</v>
      </c>
      <c r="O266" s="31">
        <v>0.98</v>
      </c>
      <c r="P266" s="31">
        <v>0.7</v>
      </c>
      <c r="Q266" s="31">
        <v>0.96</v>
      </c>
    </row>
    <row r="267" spans="1:17">
      <c r="A267" s="50">
        <v>263</v>
      </c>
      <c r="B267" s="51" t="s">
        <v>492</v>
      </c>
      <c r="C267" s="59" t="s">
        <v>30</v>
      </c>
      <c r="D267" s="59">
        <v>6</v>
      </c>
      <c r="E267" s="59">
        <v>15.99</v>
      </c>
      <c r="F267" s="59" t="s">
        <v>493</v>
      </c>
      <c r="G267" s="60" t="s">
        <v>494</v>
      </c>
      <c r="H267" s="28">
        <v>1504</v>
      </c>
      <c r="I267" s="28" t="e">
        <f>VLOOKUP(F267,[1]终点成分!$A$5:$C$1000,2,0)</f>
        <v>#N/A</v>
      </c>
      <c r="J267" s="28">
        <v>0.011</v>
      </c>
      <c r="K267" s="28">
        <v>0</v>
      </c>
      <c r="L267" s="53">
        <v>0.8</v>
      </c>
      <c r="M267" s="31">
        <v>0.98</v>
      </c>
      <c r="N267" s="31">
        <v>0.98</v>
      </c>
      <c r="O267" s="31">
        <v>0.98</v>
      </c>
      <c r="P267" s="31">
        <v>0.7</v>
      </c>
      <c r="Q267" s="31">
        <v>0.96</v>
      </c>
    </row>
    <row r="268" spans="1:17">
      <c r="A268" s="50">
        <v>264</v>
      </c>
      <c r="B268" s="51" t="s">
        <v>492</v>
      </c>
      <c r="C268" s="59" t="s">
        <v>33</v>
      </c>
      <c r="D268" s="59">
        <v>16</v>
      </c>
      <c r="E268" s="59">
        <v>28</v>
      </c>
      <c r="F268" s="59" t="s">
        <v>495</v>
      </c>
      <c r="G268" s="60" t="s">
        <v>494</v>
      </c>
      <c r="H268" s="28">
        <v>1504</v>
      </c>
      <c r="I268" s="28" t="e">
        <f>VLOOKUP(F268,[1]终点成分!$A$5:$C$1000,2,0)</f>
        <v>#N/A</v>
      </c>
      <c r="J268" s="28">
        <v>0.011</v>
      </c>
      <c r="K268" s="28">
        <v>0</v>
      </c>
      <c r="L268" s="53">
        <v>0.8</v>
      </c>
      <c r="M268" s="31">
        <v>0.98</v>
      </c>
      <c r="N268" s="31">
        <v>0.98</v>
      </c>
      <c r="O268" s="31">
        <v>0.98</v>
      </c>
      <c r="P268" s="31">
        <v>0.7</v>
      </c>
      <c r="Q268" s="31">
        <v>0.96</v>
      </c>
    </row>
    <row r="269" spans="1:17">
      <c r="A269" s="50">
        <v>265</v>
      </c>
      <c r="B269" s="51" t="s">
        <v>496</v>
      </c>
      <c r="C269" s="51" t="s">
        <v>30</v>
      </c>
      <c r="D269" s="51">
        <v>6</v>
      </c>
      <c r="E269" s="51">
        <v>15.99</v>
      </c>
      <c r="F269" s="51" t="s">
        <v>497</v>
      </c>
      <c r="G269" s="52" t="s">
        <v>498</v>
      </c>
      <c r="H269" s="28">
        <v>1504</v>
      </c>
      <c r="I269" s="28" t="e">
        <f>VLOOKUP(F269,[1]终点成分!$A$5:$C$1000,2,0)</f>
        <v>#N/A</v>
      </c>
      <c r="J269" s="28">
        <v>0.011</v>
      </c>
      <c r="K269" s="28">
        <v>0</v>
      </c>
      <c r="L269" s="53">
        <v>0.8</v>
      </c>
      <c r="M269" s="31">
        <v>0.98</v>
      </c>
      <c r="N269" s="31">
        <v>0.98</v>
      </c>
      <c r="O269" s="31">
        <v>0.98</v>
      </c>
      <c r="P269" s="31">
        <v>0.7</v>
      </c>
      <c r="Q269" s="31">
        <v>0.96</v>
      </c>
    </row>
    <row r="270" spans="1:17">
      <c r="A270" s="50">
        <v>266</v>
      </c>
      <c r="B270" s="51" t="s">
        <v>496</v>
      </c>
      <c r="C270" s="51" t="s">
        <v>33</v>
      </c>
      <c r="D270" s="51">
        <v>16</v>
      </c>
      <c r="E270" s="51">
        <v>25.4</v>
      </c>
      <c r="F270" s="51" t="s">
        <v>499</v>
      </c>
      <c r="G270" s="52" t="s">
        <v>498</v>
      </c>
      <c r="H270" s="28">
        <v>1504</v>
      </c>
      <c r="I270" s="28" t="e">
        <f>VLOOKUP(F270,[1]终点成分!$A$5:$C$1000,2,0)</f>
        <v>#N/A</v>
      </c>
      <c r="J270" s="28">
        <v>0.011</v>
      </c>
      <c r="K270" s="28">
        <v>0</v>
      </c>
      <c r="L270" s="53">
        <v>0.8</v>
      </c>
      <c r="M270" s="31">
        <v>0.98</v>
      </c>
      <c r="N270" s="31">
        <v>0.98</v>
      </c>
      <c r="O270" s="31">
        <v>0.98</v>
      </c>
      <c r="P270" s="31">
        <v>0.7</v>
      </c>
      <c r="Q270" s="31">
        <v>0.96</v>
      </c>
    </row>
    <row r="271" spans="1:17">
      <c r="A271" s="50">
        <v>267</v>
      </c>
      <c r="B271" s="51" t="s">
        <v>500</v>
      </c>
      <c r="C271" s="51" t="s">
        <v>30</v>
      </c>
      <c r="D271" s="51">
        <v>3.5</v>
      </c>
      <c r="E271" s="51">
        <v>25.4</v>
      </c>
      <c r="F271" s="51" t="s">
        <v>500</v>
      </c>
      <c r="G271" s="52" t="s">
        <v>501</v>
      </c>
      <c r="H271" s="28">
        <v>1519</v>
      </c>
      <c r="I271" s="53">
        <f>VLOOKUP(F271,[1]终点成分!$A$5:$C$1000,2,0)</f>
        <v>0.0742917181705811</v>
      </c>
      <c r="J271" s="53">
        <f>VLOOKUP(F271,[1]终点成分!$A$5:$C$1000,3,0)</f>
        <v>0.127187886279357</v>
      </c>
      <c r="K271" s="28">
        <v>0</v>
      </c>
      <c r="L271" s="53">
        <v>0.8</v>
      </c>
      <c r="M271" s="31">
        <v>0.98</v>
      </c>
      <c r="N271" s="31">
        <v>0.98</v>
      </c>
      <c r="O271" s="31">
        <v>0.98</v>
      </c>
      <c r="P271" s="31">
        <v>0.7</v>
      </c>
      <c r="Q271" s="31">
        <v>0.96</v>
      </c>
    </row>
    <row r="272" spans="1:17">
      <c r="A272" s="50">
        <v>268</v>
      </c>
      <c r="B272" s="51" t="s">
        <v>25</v>
      </c>
      <c r="C272" s="51" t="s">
        <v>30</v>
      </c>
      <c r="D272" s="51">
        <v>4</v>
      </c>
      <c r="E272" s="51">
        <v>25.4</v>
      </c>
      <c r="F272" s="51" t="s">
        <v>25</v>
      </c>
      <c r="G272" s="52" t="s">
        <v>501</v>
      </c>
      <c r="H272" s="28">
        <v>1519</v>
      </c>
      <c r="I272" s="53">
        <f>VLOOKUP(F272,[1]终点成分!$A$5:$C$1000,2,0)</f>
        <v>0.0733846153846154</v>
      </c>
      <c r="J272" s="53">
        <f>VLOOKUP(F272,[1]终点成分!$A$5:$C$1000,3,0)</f>
        <v>0.125948717948718</v>
      </c>
      <c r="K272" s="28">
        <v>0</v>
      </c>
      <c r="L272" s="53">
        <v>0.8</v>
      </c>
      <c r="M272" s="31">
        <v>0.98</v>
      </c>
      <c r="N272" s="31">
        <v>0.98</v>
      </c>
      <c r="O272" s="31">
        <v>0.98</v>
      </c>
      <c r="P272" s="31">
        <v>0.7</v>
      </c>
      <c r="Q272" s="31">
        <v>0.96</v>
      </c>
    </row>
    <row r="273" spans="1:17">
      <c r="A273" s="50">
        <v>269</v>
      </c>
      <c r="B273" s="51" t="s">
        <v>502</v>
      </c>
      <c r="C273" s="51" t="s">
        <v>30</v>
      </c>
      <c r="D273" s="51">
        <v>4</v>
      </c>
      <c r="E273" s="51">
        <v>12.5</v>
      </c>
      <c r="F273" s="51" t="s">
        <v>503</v>
      </c>
      <c r="G273" s="52" t="s">
        <v>501</v>
      </c>
      <c r="H273" s="28">
        <v>1521</v>
      </c>
      <c r="I273" s="53">
        <f>VLOOKUP(F273,[1]终点成分!$A$5:$C$1000,2,0)</f>
        <v>0.04</v>
      </c>
      <c r="J273" s="53">
        <f>VLOOKUP(F273,[1]终点成分!$A$5:$C$1000,3,0)</f>
        <v>0.0948333333333333</v>
      </c>
      <c r="K273" s="28">
        <v>0</v>
      </c>
      <c r="L273" s="53">
        <v>0.8</v>
      </c>
      <c r="M273" s="31">
        <v>0.98</v>
      </c>
      <c r="N273" s="31">
        <v>0.98</v>
      </c>
      <c r="O273" s="31">
        <v>0.98</v>
      </c>
      <c r="P273" s="31">
        <v>0.7</v>
      </c>
      <c r="Q273" s="31">
        <v>0.96</v>
      </c>
    </row>
    <row r="274" spans="1:17">
      <c r="A274" s="50">
        <v>270</v>
      </c>
      <c r="B274" s="51" t="s">
        <v>502</v>
      </c>
      <c r="C274" s="51" t="s">
        <v>33</v>
      </c>
      <c r="D274" s="51">
        <v>12.51</v>
      </c>
      <c r="E274" s="51">
        <v>25</v>
      </c>
      <c r="F274" s="51" t="s">
        <v>504</v>
      </c>
      <c r="G274" s="52" t="s">
        <v>501</v>
      </c>
      <c r="H274" s="28">
        <v>1521</v>
      </c>
      <c r="I274" s="53">
        <f>VLOOKUP(F274,[1]终点成分!$A$5:$C$1000,2,0)</f>
        <v>0.044</v>
      </c>
      <c r="J274" s="53">
        <f>VLOOKUP(F274,[1]终点成分!$A$5:$C$1000,3,0)</f>
        <v>0.095</v>
      </c>
      <c r="K274" s="28">
        <v>0</v>
      </c>
      <c r="L274" s="53">
        <v>0.8</v>
      </c>
      <c r="M274" s="31">
        <v>0.98</v>
      </c>
      <c r="N274" s="31">
        <v>0.98</v>
      </c>
      <c r="O274" s="31">
        <v>0.98</v>
      </c>
      <c r="P274" s="31">
        <v>0.7</v>
      </c>
      <c r="Q274" s="31">
        <v>0.96</v>
      </c>
    </row>
    <row r="275" spans="1:17">
      <c r="A275" s="50">
        <v>271</v>
      </c>
      <c r="B275" s="51" t="s">
        <v>505</v>
      </c>
      <c r="C275" s="51" t="s">
        <v>30</v>
      </c>
      <c r="D275" s="51">
        <v>4</v>
      </c>
      <c r="E275" s="51">
        <v>12.5</v>
      </c>
      <c r="F275" s="51" t="s">
        <v>506</v>
      </c>
      <c r="G275" s="52" t="s">
        <v>501</v>
      </c>
      <c r="H275" s="28">
        <v>1521</v>
      </c>
      <c r="I275" s="53">
        <f>VLOOKUP(F275,[1]终点成分!$A$5:$C$1000,2,0)</f>
        <v>0.0429636363636364</v>
      </c>
      <c r="J275" s="53">
        <f>VLOOKUP(F275,[1]终点成分!$A$5:$C$1000,3,0)</f>
        <v>0.0893636363636364</v>
      </c>
      <c r="K275" s="28">
        <v>0</v>
      </c>
      <c r="L275" s="53">
        <v>0.8</v>
      </c>
      <c r="M275" s="31">
        <v>0.98</v>
      </c>
      <c r="N275" s="31">
        <v>0.98</v>
      </c>
      <c r="O275" s="31">
        <v>0.98</v>
      </c>
      <c r="P275" s="31">
        <v>0.7</v>
      </c>
      <c r="Q275" s="31">
        <v>0.96</v>
      </c>
    </row>
    <row r="276" spans="1:17">
      <c r="A276" s="50">
        <v>272</v>
      </c>
      <c r="B276" s="51" t="s">
        <v>505</v>
      </c>
      <c r="C276" s="51" t="s">
        <v>33</v>
      </c>
      <c r="D276" s="51">
        <v>12.51</v>
      </c>
      <c r="E276" s="51">
        <v>25</v>
      </c>
      <c r="F276" s="51" t="s">
        <v>507</v>
      </c>
      <c r="G276" s="52" t="s">
        <v>501</v>
      </c>
      <c r="H276" s="28">
        <v>1522</v>
      </c>
      <c r="I276" s="53">
        <f>VLOOKUP(F276,[1]终点成分!$A$5:$C$1000,2,0)</f>
        <v>0.0415957446808511</v>
      </c>
      <c r="J276" s="53">
        <f>VLOOKUP(F276,[1]终点成分!$A$5:$C$1000,3,0)</f>
        <v>0.0892340425531915</v>
      </c>
      <c r="K276" s="28">
        <v>0</v>
      </c>
      <c r="L276" s="53">
        <v>0.8</v>
      </c>
      <c r="M276" s="31">
        <v>0.98</v>
      </c>
      <c r="N276" s="31">
        <v>0.98</v>
      </c>
      <c r="O276" s="31">
        <v>0.98</v>
      </c>
      <c r="P276" s="31">
        <v>0.7</v>
      </c>
      <c r="Q276" s="31">
        <v>0.96</v>
      </c>
    </row>
    <row r="277" spans="1:17">
      <c r="A277" s="50">
        <v>273</v>
      </c>
      <c r="B277" s="51" t="s">
        <v>508</v>
      </c>
      <c r="C277" s="51" t="s">
        <v>30</v>
      </c>
      <c r="D277" s="51">
        <v>3.5</v>
      </c>
      <c r="E277" s="51">
        <v>25.4</v>
      </c>
      <c r="F277" s="51" t="s">
        <v>508</v>
      </c>
      <c r="G277" s="52" t="s">
        <v>501</v>
      </c>
      <c r="H277" s="28">
        <v>1519</v>
      </c>
      <c r="I277" s="55">
        <v>0.0742917181705811</v>
      </c>
      <c r="J277" s="55">
        <v>0.127187886279357</v>
      </c>
      <c r="K277" s="28">
        <v>0</v>
      </c>
      <c r="L277" s="53">
        <v>0.8</v>
      </c>
      <c r="M277" s="31">
        <v>0.98</v>
      </c>
      <c r="N277" s="31">
        <v>0.98</v>
      </c>
      <c r="O277" s="31">
        <v>0.98</v>
      </c>
      <c r="P277" s="31">
        <v>0.7</v>
      </c>
      <c r="Q277" s="31">
        <v>0.96</v>
      </c>
    </row>
    <row r="278" spans="1:17">
      <c r="A278" s="50">
        <v>274</v>
      </c>
      <c r="B278" s="51" t="s">
        <v>509</v>
      </c>
      <c r="C278" s="51" t="s">
        <v>30</v>
      </c>
      <c r="D278" s="51">
        <v>4</v>
      </c>
      <c r="E278" s="51">
        <v>25.4</v>
      </c>
      <c r="F278" s="51" t="s">
        <v>509</v>
      </c>
      <c r="G278" s="52" t="s">
        <v>501</v>
      </c>
      <c r="H278" s="28">
        <v>1519</v>
      </c>
      <c r="I278" s="55">
        <v>0.0733846153846154</v>
      </c>
      <c r="J278" s="55">
        <v>0.125948717948718</v>
      </c>
      <c r="K278" s="28">
        <v>0</v>
      </c>
      <c r="L278" s="53">
        <v>0.8</v>
      </c>
      <c r="M278" s="31">
        <v>0.98</v>
      </c>
      <c r="N278" s="31">
        <v>0.98</v>
      </c>
      <c r="O278" s="31">
        <v>0.98</v>
      </c>
      <c r="P278" s="31">
        <v>0.7</v>
      </c>
      <c r="Q278" s="31">
        <v>0.96</v>
      </c>
    </row>
    <row r="279" spans="1:17">
      <c r="A279" s="50">
        <v>275</v>
      </c>
      <c r="B279" s="51" t="s">
        <v>510</v>
      </c>
      <c r="C279" s="51" t="s">
        <v>30</v>
      </c>
      <c r="D279" s="51">
        <v>4</v>
      </c>
      <c r="E279" s="51">
        <v>12.5</v>
      </c>
      <c r="F279" s="51" t="s">
        <v>511</v>
      </c>
      <c r="G279" s="52" t="s">
        <v>501</v>
      </c>
      <c r="H279" s="28">
        <v>1521</v>
      </c>
      <c r="I279" s="55">
        <v>0.04</v>
      </c>
      <c r="J279" s="55">
        <v>0.0948333333333333</v>
      </c>
      <c r="K279" s="28">
        <v>0</v>
      </c>
      <c r="L279" s="53">
        <v>0.8</v>
      </c>
      <c r="M279" s="31">
        <v>0.98</v>
      </c>
      <c r="N279" s="31">
        <v>0.98</v>
      </c>
      <c r="O279" s="31">
        <v>0.98</v>
      </c>
      <c r="P279" s="31">
        <v>0.7</v>
      </c>
      <c r="Q279" s="31">
        <v>0.96</v>
      </c>
    </row>
    <row r="280" spans="1:17">
      <c r="A280" s="50">
        <v>276</v>
      </c>
      <c r="B280" s="51" t="s">
        <v>510</v>
      </c>
      <c r="C280" s="51" t="s">
        <v>33</v>
      </c>
      <c r="D280" s="51">
        <v>12.51</v>
      </c>
      <c r="E280" s="51">
        <v>25</v>
      </c>
      <c r="F280" s="51" t="s">
        <v>512</v>
      </c>
      <c r="G280" s="52" t="s">
        <v>501</v>
      </c>
      <c r="H280" s="28">
        <v>1521</v>
      </c>
      <c r="I280" s="55">
        <v>0.044</v>
      </c>
      <c r="J280" s="55">
        <v>0.095</v>
      </c>
      <c r="K280" s="28">
        <v>0</v>
      </c>
      <c r="L280" s="53">
        <v>0.8</v>
      </c>
      <c r="M280" s="31">
        <v>0.98</v>
      </c>
      <c r="N280" s="31">
        <v>0.98</v>
      </c>
      <c r="O280" s="31">
        <v>0.98</v>
      </c>
      <c r="P280" s="31">
        <v>0.7</v>
      </c>
      <c r="Q280" s="31">
        <v>0.96</v>
      </c>
    </row>
    <row r="281" spans="1:17">
      <c r="A281" s="50">
        <v>277</v>
      </c>
      <c r="B281" s="51" t="s">
        <v>513</v>
      </c>
      <c r="C281" s="51" t="s">
        <v>30</v>
      </c>
      <c r="D281" s="51">
        <v>4</v>
      </c>
      <c r="E281" s="51">
        <v>12.5</v>
      </c>
      <c r="F281" s="51" t="s">
        <v>514</v>
      </c>
      <c r="G281" s="52" t="s">
        <v>501</v>
      </c>
      <c r="H281" s="28">
        <v>1521</v>
      </c>
      <c r="I281" s="55">
        <v>0.0429636363636364</v>
      </c>
      <c r="J281" s="55">
        <v>0.0893636363636364</v>
      </c>
      <c r="K281" s="28">
        <v>0</v>
      </c>
      <c r="L281" s="53">
        <v>0.8</v>
      </c>
      <c r="M281" s="31">
        <v>0.98</v>
      </c>
      <c r="N281" s="31">
        <v>0.98</v>
      </c>
      <c r="O281" s="31">
        <v>0.98</v>
      </c>
      <c r="P281" s="31">
        <v>0.7</v>
      </c>
      <c r="Q281" s="31">
        <v>0.96</v>
      </c>
    </row>
    <row r="282" spans="1:17">
      <c r="A282" s="50">
        <v>278</v>
      </c>
      <c r="B282" s="51" t="s">
        <v>513</v>
      </c>
      <c r="C282" s="51" t="s">
        <v>33</v>
      </c>
      <c r="D282" s="51">
        <v>12.51</v>
      </c>
      <c r="E282" s="51">
        <v>25</v>
      </c>
      <c r="F282" s="51" t="s">
        <v>515</v>
      </c>
      <c r="G282" s="52" t="s">
        <v>501</v>
      </c>
      <c r="H282" s="28">
        <v>1522</v>
      </c>
      <c r="I282" s="55">
        <v>0.0415957446808511</v>
      </c>
      <c r="J282" s="55">
        <v>0.0892340425531915</v>
      </c>
      <c r="K282" s="28">
        <v>0</v>
      </c>
      <c r="L282" s="53">
        <v>0.8</v>
      </c>
      <c r="M282" s="31">
        <v>0.98</v>
      </c>
      <c r="N282" s="31">
        <v>0.98</v>
      </c>
      <c r="O282" s="31">
        <v>0.98</v>
      </c>
      <c r="P282" s="31">
        <v>0.7</v>
      </c>
      <c r="Q282" s="31">
        <v>0.96</v>
      </c>
    </row>
    <row r="283" spans="1:17">
      <c r="A283" s="50">
        <v>279</v>
      </c>
      <c r="B283" s="51" t="s">
        <v>516</v>
      </c>
      <c r="C283" s="51" t="s">
        <v>30</v>
      </c>
      <c r="D283" s="51">
        <v>3.5</v>
      </c>
      <c r="E283" s="51">
        <v>25.4</v>
      </c>
      <c r="F283" s="51" t="s">
        <v>516</v>
      </c>
      <c r="G283" s="52" t="s">
        <v>501</v>
      </c>
      <c r="H283" s="28">
        <v>1519</v>
      </c>
      <c r="I283" s="55">
        <v>0.0742917181705811</v>
      </c>
      <c r="J283" s="55">
        <v>0.127187886279357</v>
      </c>
      <c r="K283" s="28">
        <v>0</v>
      </c>
      <c r="L283" s="53">
        <v>0.8</v>
      </c>
      <c r="M283" s="31">
        <v>0.98</v>
      </c>
      <c r="N283" s="31">
        <v>0.98</v>
      </c>
      <c r="O283" s="31">
        <v>0.98</v>
      </c>
      <c r="P283" s="31">
        <v>0.7</v>
      </c>
      <c r="Q283" s="31">
        <v>0.96</v>
      </c>
    </row>
    <row r="284" spans="1:17">
      <c r="A284" s="50">
        <v>280</v>
      </c>
      <c r="B284" s="51" t="s">
        <v>517</v>
      </c>
      <c r="C284" s="51" t="s">
        <v>30</v>
      </c>
      <c r="D284" s="51">
        <v>4</v>
      </c>
      <c r="E284" s="51">
        <v>25.4</v>
      </c>
      <c r="F284" s="51" t="s">
        <v>517</v>
      </c>
      <c r="G284" s="52" t="s">
        <v>501</v>
      </c>
      <c r="H284" s="28">
        <v>1519</v>
      </c>
      <c r="I284" s="55">
        <v>0.0733846153846154</v>
      </c>
      <c r="J284" s="55">
        <v>0.125948717948718</v>
      </c>
      <c r="K284" s="28">
        <v>0</v>
      </c>
      <c r="L284" s="53">
        <v>0.8</v>
      </c>
      <c r="M284" s="31">
        <v>0.98</v>
      </c>
      <c r="N284" s="31">
        <v>0.98</v>
      </c>
      <c r="O284" s="31">
        <v>0.98</v>
      </c>
      <c r="P284" s="31">
        <v>0.7</v>
      </c>
      <c r="Q284" s="31">
        <v>0.96</v>
      </c>
    </row>
    <row r="285" spans="1:17">
      <c r="A285" s="50">
        <v>281</v>
      </c>
      <c r="B285" s="51" t="s">
        <v>518</v>
      </c>
      <c r="C285" s="51" t="s">
        <v>30</v>
      </c>
      <c r="D285" s="51">
        <v>4</v>
      </c>
      <c r="E285" s="51">
        <v>12.5</v>
      </c>
      <c r="F285" s="51" t="s">
        <v>519</v>
      </c>
      <c r="G285" s="52" t="s">
        <v>501</v>
      </c>
      <c r="H285" s="28">
        <v>1521</v>
      </c>
      <c r="I285" s="55">
        <v>0.04</v>
      </c>
      <c r="J285" s="55">
        <v>0.0948333333333333</v>
      </c>
      <c r="K285" s="28">
        <v>0</v>
      </c>
      <c r="L285" s="53">
        <v>0.8</v>
      </c>
      <c r="M285" s="31">
        <v>0.98</v>
      </c>
      <c r="N285" s="31">
        <v>0.98</v>
      </c>
      <c r="O285" s="31">
        <v>0.98</v>
      </c>
      <c r="P285" s="31">
        <v>0.7</v>
      </c>
      <c r="Q285" s="31">
        <v>0.96</v>
      </c>
    </row>
    <row r="286" spans="1:17">
      <c r="A286" s="50">
        <v>282</v>
      </c>
      <c r="B286" s="51" t="s">
        <v>518</v>
      </c>
      <c r="C286" s="51" t="s">
        <v>33</v>
      </c>
      <c r="D286" s="51">
        <v>12.51</v>
      </c>
      <c r="E286" s="51">
        <v>25</v>
      </c>
      <c r="F286" s="51" t="s">
        <v>520</v>
      </c>
      <c r="G286" s="52" t="s">
        <v>501</v>
      </c>
      <c r="H286" s="28">
        <v>1521</v>
      </c>
      <c r="I286" s="55">
        <v>0.044</v>
      </c>
      <c r="J286" s="55">
        <v>0.095</v>
      </c>
      <c r="K286" s="28">
        <v>0</v>
      </c>
      <c r="L286" s="53">
        <v>0.8</v>
      </c>
      <c r="M286" s="31">
        <v>0.98</v>
      </c>
      <c r="N286" s="31">
        <v>0.98</v>
      </c>
      <c r="O286" s="31">
        <v>0.98</v>
      </c>
      <c r="P286" s="31">
        <v>0.7</v>
      </c>
      <c r="Q286" s="31">
        <v>0.96</v>
      </c>
    </row>
    <row r="287" spans="1:17">
      <c r="A287" s="50">
        <v>283</v>
      </c>
      <c r="B287" s="51" t="s">
        <v>521</v>
      </c>
      <c r="C287" s="51" t="s">
        <v>30</v>
      </c>
      <c r="D287" s="51">
        <v>4</v>
      </c>
      <c r="E287" s="51">
        <v>12.5</v>
      </c>
      <c r="F287" s="51" t="s">
        <v>522</v>
      </c>
      <c r="G287" s="52" t="s">
        <v>501</v>
      </c>
      <c r="H287" s="28">
        <v>1521</v>
      </c>
      <c r="I287" s="55">
        <v>0.0429636363636364</v>
      </c>
      <c r="J287" s="55">
        <v>0.0893636363636364</v>
      </c>
      <c r="K287" s="28">
        <v>0</v>
      </c>
      <c r="L287" s="53">
        <v>0.8</v>
      </c>
      <c r="M287" s="31">
        <v>0.98</v>
      </c>
      <c r="N287" s="31">
        <v>0.98</v>
      </c>
      <c r="O287" s="31">
        <v>0.98</v>
      </c>
      <c r="P287" s="31">
        <v>0.7</v>
      </c>
      <c r="Q287" s="31">
        <v>0.96</v>
      </c>
    </row>
    <row r="288" spans="1:17">
      <c r="A288" s="50">
        <v>284</v>
      </c>
      <c r="B288" s="51" t="s">
        <v>521</v>
      </c>
      <c r="C288" s="51" t="s">
        <v>33</v>
      </c>
      <c r="D288" s="51">
        <v>12.51</v>
      </c>
      <c r="E288" s="51">
        <v>25</v>
      </c>
      <c r="F288" s="51" t="s">
        <v>523</v>
      </c>
      <c r="G288" s="52" t="s">
        <v>501</v>
      </c>
      <c r="H288" s="28">
        <v>1522</v>
      </c>
      <c r="I288" s="55">
        <v>0.0415957446808511</v>
      </c>
      <c r="J288" s="55">
        <v>0.0892340425531915</v>
      </c>
      <c r="K288" s="28">
        <v>0</v>
      </c>
      <c r="L288" s="53">
        <v>0.8</v>
      </c>
      <c r="M288" s="31">
        <v>0.98</v>
      </c>
      <c r="N288" s="31">
        <v>0.98</v>
      </c>
      <c r="O288" s="31">
        <v>0.98</v>
      </c>
      <c r="P288" s="31">
        <v>0.7</v>
      </c>
      <c r="Q288" s="31">
        <v>0.96</v>
      </c>
    </row>
    <row r="289" spans="1:17">
      <c r="A289" s="50">
        <v>285</v>
      </c>
      <c r="B289" s="51" t="s">
        <v>524</v>
      </c>
      <c r="C289" s="51" t="s">
        <v>30</v>
      </c>
      <c r="D289" s="51">
        <v>3.5</v>
      </c>
      <c r="E289" s="51">
        <v>25.4</v>
      </c>
      <c r="F289" s="51" t="s">
        <v>524</v>
      </c>
      <c r="G289" s="52" t="s">
        <v>501</v>
      </c>
      <c r="H289" s="28">
        <v>1519</v>
      </c>
      <c r="I289" s="55">
        <v>0.0742917181705811</v>
      </c>
      <c r="J289" s="55">
        <v>0.127187886279357</v>
      </c>
      <c r="K289" s="28">
        <v>0</v>
      </c>
      <c r="L289" s="53">
        <v>0.8</v>
      </c>
      <c r="M289" s="31">
        <v>0.98</v>
      </c>
      <c r="N289" s="31">
        <v>0.98</v>
      </c>
      <c r="O289" s="31">
        <v>0.98</v>
      </c>
      <c r="P289" s="31">
        <v>0.7</v>
      </c>
      <c r="Q289" s="31">
        <v>0.96</v>
      </c>
    </row>
    <row r="290" spans="1:17">
      <c r="A290" s="50">
        <v>286</v>
      </c>
      <c r="B290" s="51" t="s">
        <v>525</v>
      </c>
      <c r="C290" s="51" t="s">
        <v>30</v>
      </c>
      <c r="D290" s="51">
        <v>4</v>
      </c>
      <c r="E290" s="51">
        <v>25.4</v>
      </c>
      <c r="F290" s="51" t="s">
        <v>525</v>
      </c>
      <c r="G290" s="52" t="s">
        <v>501</v>
      </c>
      <c r="H290" s="28">
        <v>1519</v>
      </c>
      <c r="I290" s="55">
        <v>0.0733846153846154</v>
      </c>
      <c r="J290" s="55">
        <v>0.125948717948718</v>
      </c>
      <c r="K290" s="28">
        <v>0</v>
      </c>
      <c r="L290" s="53">
        <v>0.8</v>
      </c>
      <c r="M290" s="31">
        <v>0.98</v>
      </c>
      <c r="N290" s="31">
        <v>0.98</v>
      </c>
      <c r="O290" s="31">
        <v>0.98</v>
      </c>
      <c r="P290" s="31">
        <v>0.7</v>
      </c>
      <c r="Q290" s="31">
        <v>0.96</v>
      </c>
    </row>
    <row r="291" spans="1:17">
      <c r="A291" s="50">
        <v>287</v>
      </c>
      <c r="B291" s="51" t="s">
        <v>526</v>
      </c>
      <c r="C291" s="51" t="s">
        <v>30</v>
      </c>
      <c r="D291" s="51">
        <v>4</v>
      </c>
      <c r="E291" s="51">
        <v>12.5</v>
      </c>
      <c r="F291" s="51" t="s">
        <v>527</v>
      </c>
      <c r="G291" s="52" t="s">
        <v>501</v>
      </c>
      <c r="H291" s="28">
        <v>1521</v>
      </c>
      <c r="I291" s="55">
        <v>0.04</v>
      </c>
      <c r="J291" s="55">
        <v>0.0948333333333333</v>
      </c>
      <c r="K291" s="28">
        <v>0</v>
      </c>
      <c r="L291" s="53">
        <v>0.8</v>
      </c>
      <c r="M291" s="31">
        <v>0.98</v>
      </c>
      <c r="N291" s="31">
        <v>0.98</v>
      </c>
      <c r="O291" s="31">
        <v>0.98</v>
      </c>
      <c r="P291" s="31">
        <v>0.7</v>
      </c>
      <c r="Q291" s="31">
        <v>0.96</v>
      </c>
    </row>
    <row r="292" spans="1:17">
      <c r="A292" s="50">
        <v>288</v>
      </c>
      <c r="B292" s="51" t="s">
        <v>526</v>
      </c>
      <c r="C292" s="51" t="s">
        <v>33</v>
      </c>
      <c r="D292" s="51">
        <v>12.51</v>
      </c>
      <c r="E292" s="51">
        <v>25</v>
      </c>
      <c r="F292" s="51" t="s">
        <v>528</v>
      </c>
      <c r="G292" s="52" t="s">
        <v>501</v>
      </c>
      <c r="H292" s="28">
        <v>1521</v>
      </c>
      <c r="I292" s="55">
        <v>0.044</v>
      </c>
      <c r="J292" s="55">
        <v>0.095</v>
      </c>
      <c r="K292" s="28">
        <v>0</v>
      </c>
      <c r="L292" s="53">
        <v>0.8</v>
      </c>
      <c r="M292" s="31">
        <v>0.98</v>
      </c>
      <c r="N292" s="31">
        <v>0.98</v>
      </c>
      <c r="O292" s="31">
        <v>0.98</v>
      </c>
      <c r="P292" s="31">
        <v>0.7</v>
      </c>
      <c r="Q292" s="31">
        <v>0.96</v>
      </c>
    </row>
    <row r="293" spans="1:17">
      <c r="A293" s="50">
        <v>289</v>
      </c>
      <c r="B293" s="51" t="s">
        <v>529</v>
      </c>
      <c r="C293" s="51" t="s">
        <v>30</v>
      </c>
      <c r="D293" s="51">
        <v>4</v>
      </c>
      <c r="E293" s="51">
        <v>12.5</v>
      </c>
      <c r="F293" s="51" t="s">
        <v>530</v>
      </c>
      <c r="G293" s="52" t="s">
        <v>501</v>
      </c>
      <c r="H293" s="28">
        <v>1521</v>
      </c>
      <c r="I293" s="55">
        <v>0.0429636363636364</v>
      </c>
      <c r="J293" s="55">
        <v>0.0893636363636364</v>
      </c>
      <c r="K293" s="28">
        <v>0</v>
      </c>
      <c r="L293" s="53">
        <v>0.8</v>
      </c>
      <c r="M293" s="31">
        <v>0.98</v>
      </c>
      <c r="N293" s="31">
        <v>0.98</v>
      </c>
      <c r="O293" s="31">
        <v>0.98</v>
      </c>
      <c r="P293" s="31">
        <v>0.7</v>
      </c>
      <c r="Q293" s="31">
        <v>0.96</v>
      </c>
    </row>
    <row r="294" spans="1:17">
      <c r="A294" s="50">
        <v>290</v>
      </c>
      <c r="B294" s="51" t="s">
        <v>529</v>
      </c>
      <c r="C294" s="51" t="s">
        <v>33</v>
      </c>
      <c r="D294" s="51">
        <v>12.51</v>
      </c>
      <c r="E294" s="51">
        <v>25</v>
      </c>
      <c r="F294" s="51" t="s">
        <v>531</v>
      </c>
      <c r="G294" s="52" t="s">
        <v>501</v>
      </c>
      <c r="H294" s="28">
        <v>1522</v>
      </c>
      <c r="I294" s="55">
        <v>0.0415957446808511</v>
      </c>
      <c r="J294" s="55">
        <v>0.0892340425531915</v>
      </c>
      <c r="K294" s="28">
        <v>0</v>
      </c>
      <c r="L294" s="53">
        <v>0.8</v>
      </c>
      <c r="M294" s="31">
        <v>0.98</v>
      </c>
      <c r="N294" s="31">
        <v>0.98</v>
      </c>
      <c r="O294" s="31">
        <v>0.98</v>
      </c>
      <c r="P294" s="31">
        <v>0.7</v>
      </c>
      <c r="Q294" s="31">
        <v>0.96</v>
      </c>
    </row>
    <row r="295" spans="1:17">
      <c r="A295" s="50">
        <v>291</v>
      </c>
      <c r="B295" s="51" t="s">
        <v>532</v>
      </c>
      <c r="C295" s="51" t="s">
        <v>30</v>
      </c>
      <c r="D295" s="51">
        <v>3.5</v>
      </c>
      <c r="E295" s="51">
        <v>25.4</v>
      </c>
      <c r="F295" s="51" t="s">
        <v>532</v>
      </c>
      <c r="G295" s="52" t="s">
        <v>501</v>
      </c>
      <c r="H295" s="28">
        <v>1519</v>
      </c>
      <c r="I295" s="55">
        <v>0.0742917181705811</v>
      </c>
      <c r="J295" s="55">
        <v>0.127187886279357</v>
      </c>
      <c r="K295" s="28">
        <v>0</v>
      </c>
      <c r="L295" s="53">
        <v>0.8</v>
      </c>
      <c r="M295" s="31">
        <v>0.98</v>
      </c>
      <c r="N295" s="31">
        <v>0.98</v>
      </c>
      <c r="O295" s="31">
        <v>0.98</v>
      </c>
      <c r="P295" s="31">
        <v>0.7</v>
      </c>
      <c r="Q295" s="31">
        <v>0.96</v>
      </c>
    </row>
    <row r="296" spans="1:17">
      <c r="A296" s="50">
        <v>292</v>
      </c>
      <c r="B296" s="51" t="s">
        <v>533</v>
      </c>
      <c r="C296" s="51" t="s">
        <v>30</v>
      </c>
      <c r="D296" s="51">
        <v>4</v>
      </c>
      <c r="E296" s="51">
        <v>25.4</v>
      </c>
      <c r="F296" s="51" t="s">
        <v>533</v>
      </c>
      <c r="G296" s="52" t="s">
        <v>501</v>
      </c>
      <c r="H296" s="28">
        <v>1519</v>
      </c>
      <c r="I296" s="55">
        <v>0.0733846153846154</v>
      </c>
      <c r="J296" s="55">
        <v>0.125948717948718</v>
      </c>
      <c r="K296" s="28">
        <v>0</v>
      </c>
      <c r="L296" s="53">
        <v>0.8</v>
      </c>
      <c r="M296" s="31">
        <v>0.98</v>
      </c>
      <c r="N296" s="31">
        <v>0.98</v>
      </c>
      <c r="O296" s="31">
        <v>0.98</v>
      </c>
      <c r="P296" s="31">
        <v>0.7</v>
      </c>
      <c r="Q296" s="31">
        <v>0.96</v>
      </c>
    </row>
    <row r="297" spans="1:17">
      <c r="A297" s="50">
        <v>293</v>
      </c>
      <c r="B297" s="51" t="s">
        <v>534</v>
      </c>
      <c r="C297" s="51" t="s">
        <v>30</v>
      </c>
      <c r="D297" s="51">
        <v>4</v>
      </c>
      <c r="E297" s="51">
        <v>12.5</v>
      </c>
      <c r="F297" s="51" t="s">
        <v>535</v>
      </c>
      <c r="G297" s="52" t="s">
        <v>501</v>
      </c>
      <c r="H297" s="28">
        <v>1521</v>
      </c>
      <c r="I297" s="55">
        <v>0.04</v>
      </c>
      <c r="J297" s="55">
        <v>0.0948333333333333</v>
      </c>
      <c r="K297" s="28">
        <v>0</v>
      </c>
      <c r="L297" s="53">
        <v>0.8</v>
      </c>
      <c r="M297" s="31">
        <v>0.98</v>
      </c>
      <c r="N297" s="31">
        <v>0.98</v>
      </c>
      <c r="O297" s="31">
        <v>0.98</v>
      </c>
      <c r="P297" s="31">
        <v>0.7</v>
      </c>
      <c r="Q297" s="31">
        <v>0.96</v>
      </c>
    </row>
    <row r="298" spans="1:17">
      <c r="A298" s="50">
        <v>294</v>
      </c>
      <c r="B298" s="51" t="s">
        <v>534</v>
      </c>
      <c r="C298" s="51" t="s">
        <v>33</v>
      </c>
      <c r="D298" s="51">
        <v>12.51</v>
      </c>
      <c r="E298" s="51">
        <v>25</v>
      </c>
      <c r="F298" s="51" t="s">
        <v>536</v>
      </c>
      <c r="G298" s="52" t="s">
        <v>501</v>
      </c>
      <c r="H298" s="28">
        <v>1521</v>
      </c>
      <c r="I298" s="55">
        <v>0.044</v>
      </c>
      <c r="J298" s="55">
        <v>0.095</v>
      </c>
      <c r="K298" s="28">
        <v>0</v>
      </c>
      <c r="L298" s="53">
        <v>0.8</v>
      </c>
      <c r="M298" s="31">
        <v>0.98</v>
      </c>
      <c r="N298" s="31">
        <v>0.98</v>
      </c>
      <c r="O298" s="31">
        <v>0.98</v>
      </c>
      <c r="P298" s="31">
        <v>0.7</v>
      </c>
      <c r="Q298" s="31">
        <v>0.96</v>
      </c>
    </row>
    <row r="299" spans="1:17">
      <c r="A299" s="50">
        <v>295</v>
      </c>
      <c r="B299" s="51" t="s">
        <v>537</v>
      </c>
      <c r="C299" s="51" t="s">
        <v>30</v>
      </c>
      <c r="D299" s="51">
        <v>4</v>
      </c>
      <c r="E299" s="51">
        <v>12.5</v>
      </c>
      <c r="F299" s="51" t="s">
        <v>538</v>
      </c>
      <c r="G299" s="52" t="s">
        <v>501</v>
      </c>
      <c r="H299" s="28">
        <v>1521</v>
      </c>
      <c r="I299" s="55">
        <v>0.0429636363636364</v>
      </c>
      <c r="J299" s="55">
        <v>0.0893636363636364</v>
      </c>
      <c r="K299" s="28">
        <v>0</v>
      </c>
      <c r="L299" s="53">
        <v>0.8</v>
      </c>
      <c r="M299" s="31">
        <v>0.98</v>
      </c>
      <c r="N299" s="31">
        <v>0.98</v>
      </c>
      <c r="O299" s="31">
        <v>0.98</v>
      </c>
      <c r="P299" s="31">
        <v>0.7</v>
      </c>
      <c r="Q299" s="31">
        <v>0.96</v>
      </c>
    </row>
    <row r="300" spans="1:17">
      <c r="A300" s="50">
        <v>296</v>
      </c>
      <c r="B300" s="51" t="s">
        <v>537</v>
      </c>
      <c r="C300" s="51" t="s">
        <v>33</v>
      </c>
      <c r="D300" s="51">
        <v>12.51</v>
      </c>
      <c r="E300" s="51">
        <v>25</v>
      </c>
      <c r="F300" s="51" t="s">
        <v>539</v>
      </c>
      <c r="G300" s="52" t="s">
        <v>501</v>
      </c>
      <c r="H300" s="28">
        <v>1522</v>
      </c>
      <c r="I300" s="55">
        <v>0.0415957446808511</v>
      </c>
      <c r="J300" s="55">
        <v>0.0892340425531915</v>
      </c>
      <c r="K300" s="28">
        <v>0</v>
      </c>
      <c r="L300" s="53">
        <v>0.8</v>
      </c>
      <c r="M300" s="31">
        <v>0.98</v>
      </c>
      <c r="N300" s="31">
        <v>0.98</v>
      </c>
      <c r="O300" s="31">
        <v>0.98</v>
      </c>
      <c r="P300" s="31">
        <v>0.7</v>
      </c>
      <c r="Q300" s="31">
        <v>0.96</v>
      </c>
    </row>
    <row r="301" spans="1:17">
      <c r="A301" s="50">
        <v>297</v>
      </c>
      <c r="B301" s="51" t="s">
        <v>540</v>
      </c>
      <c r="C301" s="51" t="s">
        <v>30</v>
      </c>
      <c r="D301" s="51">
        <v>3.5</v>
      </c>
      <c r="E301" s="51">
        <v>25.4</v>
      </c>
      <c r="F301" s="51" t="s">
        <v>540</v>
      </c>
      <c r="G301" s="52" t="s">
        <v>501</v>
      </c>
      <c r="H301" s="28">
        <v>1519</v>
      </c>
      <c r="I301" s="55">
        <v>0.0742917181705811</v>
      </c>
      <c r="J301" s="55">
        <v>0.127187886279357</v>
      </c>
      <c r="K301" s="28">
        <v>0</v>
      </c>
      <c r="L301" s="53">
        <v>0.8</v>
      </c>
      <c r="M301" s="31">
        <v>0.98</v>
      </c>
      <c r="N301" s="31">
        <v>0.98</v>
      </c>
      <c r="O301" s="31">
        <v>0.98</v>
      </c>
      <c r="P301" s="31">
        <v>0.7</v>
      </c>
      <c r="Q301" s="31">
        <v>0.96</v>
      </c>
    </row>
    <row r="302" spans="1:17">
      <c r="A302" s="50">
        <v>298</v>
      </c>
      <c r="B302" s="51" t="s">
        <v>541</v>
      </c>
      <c r="C302" s="51" t="s">
        <v>30</v>
      </c>
      <c r="D302" s="51">
        <v>4</v>
      </c>
      <c r="E302" s="51">
        <v>25.4</v>
      </c>
      <c r="F302" s="51" t="s">
        <v>541</v>
      </c>
      <c r="G302" s="52" t="s">
        <v>501</v>
      </c>
      <c r="H302" s="28">
        <v>1519</v>
      </c>
      <c r="I302" s="55">
        <v>0.0733846153846154</v>
      </c>
      <c r="J302" s="55">
        <v>0.125948717948718</v>
      </c>
      <c r="K302" s="28">
        <v>0</v>
      </c>
      <c r="L302" s="53">
        <v>0.8</v>
      </c>
      <c r="M302" s="31">
        <v>0.98</v>
      </c>
      <c r="N302" s="31">
        <v>0.98</v>
      </c>
      <c r="O302" s="31">
        <v>0.98</v>
      </c>
      <c r="P302" s="31">
        <v>0.7</v>
      </c>
      <c r="Q302" s="31">
        <v>0.96</v>
      </c>
    </row>
    <row r="303" spans="1:17">
      <c r="A303" s="50">
        <v>299</v>
      </c>
      <c r="B303" s="51" t="s">
        <v>542</v>
      </c>
      <c r="C303" s="51" t="s">
        <v>30</v>
      </c>
      <c r="D303" s="51">
        <v>4</v>
      </c>
      <c r="E303" s="51">
        <v>12.5</v>
      </c>
      <c r="F303" s="51" t="s">
        <v>543</v>
      </c>
      <c r="G303" s="52" t="s">
        <v>501</v>
      </c>
      <c r="H303" s="28">
        <v>1521</v>
      </c>
      <c r="I303" s="55">
        <v>0.04</v>
      </c>
      <c r="J303" s="55">
        <v>0.0948333333333333</v>
      </c>
      <c r="K303" s="28">
        <v>0</v>
      </c>
      <c r="L303" s="53">
        <v>0.8</v>
      </c>
      <c r="M303" s="31">
        <v>0.98</v>
      </c>
      <c r="N303" s="31">
        <v>0.98</v>
      </c>
      <c r="O303" s="31">
        <v>0.98</v>
      </c>
      <c r="P303" s="31">
        <v>0.7</v>
      </c>
      <c r="Q303" s="31">
        <v>0.96</v>
      </c>
    </row>
    <row r="304" spans="1:17">
      <c r="A304" s="50">
        <v>300</v>
      </c>
      <c r="B304" s="51" t="s">
        <v>542</v>
      </c>
      <c r="C304" s="51" t="s">
        <v>33</v>
      </c>
      <c r="D304" s="51">
        <v>12.51</v>
      </c>
      <c r="E304" s="51">
        <v>25</v>
      </c>
      <c r="F304" s="51" t="s">
        <v>544</v>
      </c>
      <c r="G304" s="52" t="s">
        <v>501</v>
      </c>
      <c r="H304" s="28">
        <v>1521</v>
      </c>
      <c r="I304" s="55">
        <v>0.044</v>
      </c>
      <c r="J304" s="55">
        <v>0.095</v>
      </c>
      <c r="K304" s="28">
        <v>0</v>
      </c>
      <c r="L304" s="53">
        <v>0.8</v>
      </c>
      <c r="M304" s="31">
        <v>0.98</v>
      </c>
      <c r="N304" s="31">
        <v>0.98</v>
      </c>
      <c r="O304" s="31">
        <v>0.98</v>
      </c>
      <c r="P304" s="31">
        <v>0.7</v>
      </c>
      <c r="Q304" s="31">
        <v>0.96</v>
      </c>
    </row>
    <row r="305" spans="1:17">
      <c r="A305" s="50">
        <v>301</v>
      </c>
      <c r="B305" s="51" t="s">
        <v>545</v>
      </c>
      <c r="C305" s="51" t="s">
        <v>30</v>
      </c>
      <c r="D305" s="51">
        <v>4</v>
      </c>
      <c r="E305" s="51">
        <v>12.5</v>
      </c>
      <c r="F305" s="51" t="s">
        <v>546</v>
      </c>
      <c r="G305" s="52" t="s">
        <v>501</v>
      </c>
      <c r="H305" s="28">
        <v>1521</v>
      </c>
      <c r="I305" s="55">
        <v>0.0429636363636364</v>
      </c>
      <c r="J305" s="55">
        <v>0.0893636363636364</v>
      </c>
      <c r="K305" s="28">
        <v>0</v>
      </c>
      <c r="L305" s="53">
        <v>0.8</v>
      </c>
      <c r="M305" s="31">
        <v>0.98</v>
      </c>
      <c r="N305" s="31">
        <v>0.98</v>
      </c>
      <c r="O305" s="31">
        <v>0.98</v>
      </c>
      <c r="P305" s="31">
        <v>0.7</v>
      </c>
      <c r="Q305" s="31">
        <v>0.96</v>
      </c>
    </row>
    <row r="306" spans="1:17">
      <c r="A306" s="50">
        <v>302</v>
      </c>
      <c r="B306" s="51" t="s">
        <v>545</v>
      </c>
      <c r="C306" s="51" t="s">
        <v>33</v>
      </c>
      <c r="D306" s="51">
        <v>12.51</v>
      </c>
      <c r="E306" s="51">
        <v>25</v>
      </c>
      <c r="F306" s="51" t="s">
        <v>547</v>
      </c>
      <c r="G306" s="52" t="s">
        <v>501</v>
      </c>
      <c r="H306" s="28">
        <v>1522</v>
      </c>
      <c r="I306" s="55">
        <v>0.0415957446808511</v>
      </c>
      <c r="J306" s="55">
        <v>0.0892340425531915</v>
      </c>
      <c r="K306" s="28">
        <v>0</v>
      </c>
      <c r="L306" s="53">
        <v>0.8</v>
      </c>
      <c r="M306" s="31">
        <v>0.98</v>
      </c>
      <c r="N306" s="31">
        <v>0.98</v>
      </c>
      <c r="O306" s="31">
        <v>0.98</v>
      </c>
      <c r="P306" s="31">
        <v>0.7</v>
      </c>
      <c r="Q306" s="31">
        <v>0.96</v>
      </c>
    </row>
    <row r="307" spans="1:17">
      <c r="A307" s="50">
        <v>303</v>
      </c>
      <c r="B307" s="51" t="s">
        <v>548</v>
      </c>
      <c r="C307" s="51" t="s">
        <v>30</v>
      </c>
      <c r="D307" s="51">
        <v>3.5</v>
      </c>
      <c r="E307" s="51">
        <v>25.4</v>
      </c>
      <c r="F307" s="51" t="s">
        <v>548</v>
      </c>
      <c r="G307" s="52" t="s">
        <v>501</v>
      </c>
      <c r="H307" s="28">
        <v>1519</v>
      </c>
      <c r="I307" s="55">
        <v>0.0742917181705811</v>
      </c>
      <c r="J307" s="55">
        <v>0.127187886279357</v>
      </c>
      <c r="K307" s="28">
        <v>0</v>
      </c>
      <c r="L307" s="53">
        <v>0.8</v>
      </c>
      <c r="M307" s="31">
        <v>0.98</v>
      </c>
      <c r="N307" s="31">
        <v>0.98</v>
      </c>
      <c r="O307" s="31">
        <v>0.98</v>
      </c>
      <c r="P307" s="31">
        <v>0.7</v>
      </c>
      <c r="Q307" s="31">
        <v>0.96</v>
      </c>
    </row>
    <row r="308" spans="1:17">
      <c r="A308" s="50">
        <v>304</v>
      </c>
      <c r="B308" s="51" t="s">
        <v>549</v>
      </c>
      <c r="C308" s="51" t="s">
        <v>30</v>
      </c>
      <c r="D308" s="51">
        <v>4</v>
      </c>
      <c r="E308" s="51">
        <v>25.4</v>
      </c>
      <c r="F308" s="51" t="s">
        <v>549</v>
      </c>
      <c r="G308" s="52" t="s">
        <v>501</v>
      </c>
      <c r="H308" s="28">
        <v>1519</v>
      </c>
      <c r="I308" s="55">
        <v>0.0733846153846154</v>
      </c>
      <c r="J308" s="55">
        <v>0.125948717948718</v>
      </c>
      <c r="K308" s="28">
        <v>0</v>
      </c>
      <c r="L308" s="53">
        <v>0.8</v>
      </c>
      <c r="M308" s="31">
        <v>0.98</v>
      </c>
      <c r="N308" s="31">
        <v>0.98</v>
      </c>
      <c r="O308" s="31">
        <v>0.98</v>
      </c>
      <c r="P308" s="31">
        <v>0.7</v>
      </c>
      <c r="Q308" s="31">
        <v>0.96</v>
      </c>
    </row>
    <row r="309" spans="1:17">
      <c r="A309" s="50">
        <v>305</v>
      </c>
      <c r="B309" s="51" t="s">
        <v>550</v>
      </c>
      <c r="C309" s="51" t="s">
        <v>30</v>
      </c>
      <c r="D309" s="51">
        <v>4</v>
      </c>
      <c r="E309" s="51">
        <v>12.5</v>
      </c>
      <c r="F309" s="51" t="s">
        <v>551</v>
      </c>
      <c r="G309" s="52" t="s">
        <v>501</v>
      </c>
      <c r="H309" s="28">
        <v>1521</v>
      </c>
      <c r="I309" s="55">
        <v>0.04</v>
      </c>
      <c r="J309" s="55">
        <v>0.0948333333333333</v>
      </c>
      <c r="K309" s="28">
        <v>0</v>
      </c>
      <c r="L309" s="53">
        <v>0.8</v>
      </c>
      <c r="M309" s="31">
        <v>0.98</v>
      </c>
      <c r="N309" s="31">
        <v>0.98</v>
      </c>
      <c r="O309" s="31">
        <v>0.98</v>
      </c>
      <c r="P309" s="31">
        <v>0.7</v>
      </c>
      <c r="Q309" s="31">
        <v>0.96</v>
      </c>
    </row>
    <row r="310" spans="1:17">
      <c r="A310" s="50">
        <v>306</v>
      </c>
      <c r="B310" s="51" t="s">
        <v>550</v>
      </c>
      <c r="C310" s="51" t="s">
        <v>33</v>
      </c>
      <c r="D310" s="51">
        <v>12.51</v>
      </c>
      <c r="E310" s="51">
        <v>25</v>
      </c>
      <c r="F310" s="51" t="s">
        <v>552</v>
      </c>
      <c r="G310" s="52" t="s">
        <v>501</v>
      </c>
      <c r="H310" s="28">
        <v>1521</v>
      </c>
      <c r="I310" s="55">
        <v>0.044</v>
      </c>
      <c r="J310" s="55">
        <v>0.095</v>
      </c>
      <c r="K310" s="28">
        <v>0</v>
      </c>
      <c r="L310" s="53">
        <v>0.8</v>
      </c>
      <c r="M310" s="31">
        <v>0.98</v>
      </c>
      <c r="N310" s="31">
        <v>0.98</v>
      </c>
      <c r="O310" s="31">
        <v>0.98</v>
      </c>
      <c r="P310" s="31">
        <v>0.7</v>
      </c>
      <c r="Q310" s="31">
        <v>0.96</v>
      </c>
    </row>
    <row r="311" spans="1:17">
      <c r="A311" s="50">
        <v>307</v>
      </c>
      <c r="B311" s="51" t="s">
        <v>553</v>
      </c>
      <c r="C311" s="51" t="s">
        <v>30</v>
      </c>
      <c r="D311" s="51">
        <v>4</v>
      </c>
      <c r="E311" s="51">
        <v>12.5</v>
      </c>
      <c r="F311" s="51" t="s">
        <v>554</v>
      </c>
      <c r="G311" s="52" t="s">
        <v>501</v>
      </c>
      <c r="H311" s="28">
        <v>1521</v>
      </c>
      <c r="I311" s="55">
        <v>0.0429636363636364</v>
      </c>
      <c r="J311" s="55">
        <v>0.0893636363636364</v>
      </c>
      <c r="K311" s="28">
        <v>0</v>
      </c>
      <c r="L311" s="53">
        <v>0.8</v>
      </c>
      <c r="M311" s="31">
        <v>0.98</v>
      </c>
      <c r="N311" s="31">
        <v>0.98</v>
      </c>
      <c r="O311" s="31">
        <v>0.98</v>
      </c>
      <c r="P311" s="31">
        <v>0.7</v>
      </c>
      <c r="Q311" s="31">
        <v>0.96</v>
      </c>
    </row>
    <row r="312" spans="1:17">
      <c r="A312" s="50">
        <v>308</v>
      </c>
      <c r="B312" s="51" t="s">
        <v>553</v>
      </c>
      <c r="C312" s="51" t="s">
        <v>33</v>
      </c>
      <c r="D312" s="51">
        <v>12.51</v>
      </c>
      <c r="E312" s="51">
        <v>25</v>
      </c>
      <c r="F312" s="51" t="s">
        <v>555</v>
      </c>
      <c r="G312" s="52" t="s">
        <v>501</v>
      </c>
      <c r="H312" s="28">
        <v>1522</v>
      </c>
      <c r="I312" s="55">
        <v>0.0415957446808511</v>
      </c>
      <c r="J312" s="55">
        <v>0.0892340425531915</v>
      </c>
      <c r="K312" s="28">
        <v>0</v>
      </c>
      <c r="L312" s="53">
        <v>0.8</v>
      </c>
      <c r="M312" s="31">
        <v>0.98</v>
      </c>
      <c r="N312" s="31">
        <v>0.98</v>
      </c>
      <c r="O312" s="31">
        <v>0.98</v>
      </c>
      <c r="P312" s="31">
        <v>0.7</v>
      </c>
      <c r="Q312" s="31">
        <v>0.96</v>
      </c>
    </row>
    <row r="313" spans="1:17">
      <c r="A313" s="50">
        <v>309</v>
      </c>
      <c r="B313" s="51" t="s">
        <v>556</v>
      </c>
      <c r="C313" s="51" t="s">
        <v>30</v>
      </c>
      <c r="D313" s="51">
        <v>3.5</v>
      </c>
      <c r="E313" s="51">
        <v>25.4</v>
      </c>
      <c r="F313" s="51" t="s">
        <v>556</v>
      </c>
      <c r="G313" s="52" t="s">
        <v>501</v>
      </c>
      <c r="H313" s="28">
        <v>1519</v>
      </c>
      <c r="I313" s="55">
        <v>0.0742917181705811</v>
      </c>
      <c r="J313" s="55">
        <v>0.127187886279357</v>
      </c>
      <c r="K313" s="28">
        <v>0</v>
      </c>
      <c r="L313" s="53">
        <v>0.8</v>
      </c>
      <c r="M313" s="31">
        <v>0.98</v>
      </c>
      <c r="N313" s="31">
        <v>0.98</v>
      </c>
      <c r="O313" s="31">
        <v>0.98</v>
      </c>
      <c r="P313" s="31">
        <v>0.7</v>
      </c>
      <c r="Q313" s="31">
        <v>0.96</v>
      </c>
    </row>
    <row r="314" spans="1:17">
      <c r="A314" s="50">
        <v>310</v>
      </c>
      <c r="B314" s="51" t="s">
        <v>557</v>
      </c>
      <c r="C314" s="51" t="s">
        <v>30</v>
      </c>
      <c r="D314" s="51">
        <v>4</v>
      </c>
      <c r="E314" s="51">
        <v>25.4</v>
      </c>
      <c r="F314" s="51" t="s">
        <v>557</v>
      </c>
      <c r="G314" s="52" t="s">
        <v>501</v>
      </c>
      <c r="H314" s="28">
        <v>1519</v>
      </c>
      <c r="I314" s="55">
        <v>0.0733846153846154</v>
      </c>
      <c r="J314" s="55">
        <v>0.125948717948718</v>
      </c>
      <c r="K314" s="28">
        <v>0</v>
      </c>
      <c r="L314" s="53">
        <v>0.8</v>
      </c>
      <c r="M314" s="31">
        <v>0.98</v>
      </c>
      <c r="N314" s="31">
        <v>0.98</v>
      </c>
      <c r="O314" s="31">
        <v>0.98</v>
      </c>
      <c r="P314" s="31">
        <v>0.7</v>
      </c>
      <c r="Q314" s="31">
        <v>0.96</v>
      </c>
    </row>
    <row r="315" spans="1:17">
      <c r="A315" s="50">
        <v>311</v>
      </c>
      <c r="B315" s="51" t="s">
        <v>558</v>
      </c>
      <c r="C315" s="51" t="s">
        <v>30</v>
      </c>
      <c r="D315" s="51">
        <v>4</v>
      </c>
      <c r="E315" s="51">
        <v>12.5</v>
      </c>
      <c r="F315" s="51" t="s">
        <v>559</v>
      </c>
      <c r="G315" s="52" t="s">
        <v>501</v>
      </c>
      <c r="H315" s="28">
        <v>1521</v>
      </c>
      <c r="I315" s="55">
        <v>0.04</v>
      </c>
      <c r="J315" s="55">
        <v>0.0948333333333333</v>
      </c>
      <c r="K315" s="28">
        <v>0</v>
      </c>
      <c r="L315" s="53">
        <v>0.8</v>
      </c>
      <c r="M315" s="31">
        <v>0.98</v>
      </c>
      <c r="N315" s="31">
        <v>0.98</v>
      </c>
      <c r="O315" s="31">
        <v>0.98</v>
      </c>
      <c r="P315" s="31">
        <v>0.7</v>
      </c>
      <c r="Q315" s="31">
        <v>0.96</v>
      </c>
    </row>
    <row r="316" spans="1:17">
      <c r="A316" s="50">
        <v>312</v>
      </c>
      <c r="B316" s="51" t="s">
        <v>558</v>
      </c>
      <c r="C316" s="51" t="s">
        <v>33</v>
      </c>
      <c r="D316" s="51">
        <v>12.51</v>
      </c>
      <c r="E316" s="51">
        <v>25</v>
      </c>
      <c r="F316" s="51" t="s">
        <v>560</v>
      </c>
      <c r="G316" s="52" t="s">
        <v>501</v>
      </c>
      <c r="H316" s="28">
        <v>1521</v>
      </c>
      <c r="I316" s="55">
        <v>0.044</v>
      </c>
      <c r="J316" s="55">
        <v>0.095</v>
      </c>
      <c r="K316" s="28">
        <v>0</v>
      </c>
      <c r="L316" s="53">
        <v>0.8</v>
      </c>
      <c r="M316" s="31">
        <v>0.98</v>
      </c>
      <c r="N316" s="31">
        <v>0.98</v>
      </c>
      <c r="O316" s="31">
        <v>0.98</v>
      </c>
      <c r="P316" s="31">
        <v>0.7</v>
      </c>
      <c r="Q316" s="31">
        <v>0.96</v>
      </c>
    </row>
    <row r="317" spans="1:17">
      <c r="A317" s="50">
        <v>313</v>
      </c>
      <c r="B317" s="51" t="s">
        <v>561</v>
      </c>
      <c r="C317" s="51" t="s">
        <v>30</v>
      </c>
      <c r="D317" s="51">
        <v>4</v>
      </c>
      <c r="E317" s="51">
        <v>12.5</v>
      </c>
      <c r="F317" s="51" t="s">
        <v>562</v>
      </c>
      <c r="G317" s="52" t="s">
        <v>501</v>
      </c>
      <c r="H317" s="28">
        <v>1521</v>
      </c>
      <c r="I317" s="55">
        <v>0.0429636363636364</v>
      </c>
      <c r="J317" s="55">
        <v>0.0893636363636364</v>
      </c>
      <c r="K317" s="28">
        <v>0</v>
      </c>
      <c r="L317" s="53">
        <v>0.8</v>
      </c>
      <c r="M317" s="31">
        <v>0.98</v>
      </c>
      <c r="N317" s="31">
        <v>0.98</v>
      </c>
      <c r="O317" s="31">
        <v>0.98</v>
      </c>
      <c r="P317" s="31">
        <v>0.7</v>
      </c>
      <c r="Q317" s="31">
        <v>0.96</v>
      </c>
    </row>
    <row r="318" spans="1:17">
      <c r="A318" s="50">
        <v>314</v>
      </c>
      <c r="B318" s="51" t="s">
        <v>561</v>
      </c>
      <c r="C318" s="51" t="s">
        <v>33</v>
      </c>
      <c r="D318" s="51">
        <v>12.51</v>
      </c>
      <c r="E318" s="51">
        <v>25</v>
      </c>
      <c r="F318" s="51" t="s">
        <v>563</v>
      </c>
      <c r="G318" s="52" t="s">
        <v>501</v>
      </c>
      <c r="H318" s="28">
        <v>1522</v>
      </c>
      <c r="I318" s="55">
        <v>0.0415957446808511</v>
      </c>
      <c r="J318" s="55">
        <v>0.0892340425531915</v>
      </c>
      <c r="K318" s="28">
        <v>0</v>
      </c>
      <c r="L318" s="53">
        <v>0.8</v>
      </c>
      <c r="M318" s="31">
        <v>0.98</v>
      </c>
      <c r="N318" s="31">
        <v>0.98</v>
      </c>
      <c r="O318" s="31">
        <v>0.98</v>
      </c>
      <c r="P318" s="31">
        <v>0.7</v>
      </c>
      <c r="Q318" s="31">
        <v>0.96</v>
      </c>
    </row>
  </sheetData>
  <mergeCells count="17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H1" sqref="H1:H4"/>
    </sheetView>
  </sheetViews>
  <sheetFormatPr defaultColWidth="8.72727272727273" defaultRowHeight="14" outlineLevelCol="7"/>
  <sheetData>
    <row r="1" spans="1:8">
      <c r="A1" s="20" t="s">
        <v>576</v>
      </c>
      <c r="B1" s="20" t="s">
        <v>577</v>
      </c>
      <c r="C1" s="20" t="s">
        <v>578</v>
      </c>
      <c r="D1" s="20" t="s">
        <v>10</v>
      </c>
      <c r="E1" s="21" t="s">
        <v>11</v>
      </c>
      <c r="F1" s="20" t="s">
        <v>12</v>
      </c>
      <c r="G1" s="20" t="s">
        <v>21</v>
      </c>
      <c r="H1" s="22" t="s">
        <v>9</v>
      </c>
    </row>
    <row r="2" spans="1:8">
      <c r="A2" s="20" t="s">
        <v>579</v>
      </c>
      <c r="B2" s="23"/>
      <c r="C2" s="23"/>
      <c r="D2" s="20">
        <v>0.08</v>
      </c>
      <c r="E2" s="20">
        <v>0.2</v>
      </c>
      <c r="F2" s="20">
        <v>1.2</v>
      </c>
      <c r="G2" s="20">
        <v>0.4</v>
      </c>
      <c r="H2" s="22"/>
    </row>
    <row r="3" spans="1:8">
      <c r="A3" s="20" t="s">
        <v>580</v>
      </c>
      <c r="B3" s="24"/>
      <c r="C3" s="24"/>
      <c r="D3" s="20"/>
      <c r="E3" s="20"/>
      <c r="F3" s="20"/>
      <c r="G3" s="20"/>
      <c r="H3" s="22"/>
    </row>
    <row r="4" spans="1:8">
      <c r="A4" s="20" t="s">
        <v>581</v>
      </c>
      <c r="B4" s="25"/>
      <c r="C4" s="25"/>
      <c r="D4" s="20">
        <v>0.9</v>
      </c>
      <c r="E4" s="20">
        <v>0.75</v>
      </c>
      <c r="F4" s="20">
        <v>0.98</v>
      </c>
      <c r="G4" s="20">
        <v>0.95</v>
      </c>
      <c r="H4" s="22"/>
    </row>
    <row r="5" spans="1:8">
      <c r="A5" s="20" t="s">
        <v>582</v>
      </c>
      <c r="B5" s="26"/>
      <c r="C5" s="27"/>
      <c r="D5" s="28">
        <v>1.72</v>
      </c>
      <c r="E5" s="28">
        <v>17.69</v>
      </c>
      <c r="F5" s="20">
        <v>65.66</v>
      </c>
      <c r="G5" s="20"/>
      <c r="H5" s="22" t="s">
        <v>583</v>
      </c>
    </row>
    <row r="6" spans="1:8">
      <c r="A6" s="20" t="s">
        <v>584</v>
      </c>
      <c r="B6" s="26"/>
      <c r="C6" s="27"/>
      <c r="D6" s="28">
        <v>6.69</v>
      </c>
      <c r="E6" s="28"/>
      <c r="F6" s="20">
        <v>74.6</v>
      </c>
      <c r="G6" s="20"/>
      <c r="H6" s="22"/>
    </row>
    <row r="7" spans="1:8">
      <c r="A7" s="20" t="s">
        <v>585</v>
      </c>
      <c r="B7" s="26"/>
      <c r="C7" s="27"/>
      <c r="D7" s="28">
        <v>1.5</v>
      </c>
      <c r="E7" s="28"/>
      <c r="F7" s="20">
        <v>78.54</v>
      </c>
      <c r="G7" s="20"/>
      <c r="H7" s="22"/>
    </row>
    <row r="8" ht="15" spans="1:8">
      <c r="A8" s="20" t="s">
        <v>586</v>
      </c>
      <c r="B8" s="26"/>
      <c r="C8" s="27"/>
      <c r="D8" s="29">
        <v>0.64</v>
      </c>
      <c r="E8" s="29"/>
      <c r="F8" s="20">
        <v>81.19</v>
      </c>
      <c r="G8" s="20"/>
      <c r="H8" s="22"/>
    </row>
    <row r="9" spans="1:8">
      <c r="A9" s="20" t="s">
        <v>587</v>
      </c>
      <c r="B9" s="26"/>
      <c r="C9" s="27"/>
      <c r="D9" s="20">
        <v>0.2</v>
      </c>
      <c r="E9" s="30">
        <v>72.23</v>
      </c>
      <c r="F9" s="20"/>
      <c r="G9" s="20"/>
      <c r="H9" s="22"/>
    </row>
    <row r="10" spans="1:8">
      <c r="A10" s="20" t="s">
        <v>588</v>
      </c>
      <c r="B10" s="26"/>
      <c r="C10" s="27"/>
      <c r="D10" s="31">
        <v>10</v>
      </c>
      <c r="E10" s="31"/>
      <c r="F10" s="32"/>
      <c r="G10" s="33">
        <v>52</v>
      </c>
      <c r="H10" s="22"/>
    </row>
    <row r="11" spans="1:8">
      <c r="A11" s="20" t="s">
        <v>589</v>
      </c>
      <c r="B11" s="26"/>
      <c r="C11" s="27"/>
      <c r="D11" s="34">
        <v>0.12</v>
      </c>
      <c r="E11" s="34"/>
      <c r="F11" s="32"/>
      <c r="G11" s="33">
        <v>59.44</v>
      </c>
      <c r="H11" s="22"/>
    </row>
    <row r="12" spans="1:8">
      <c r="A12" s="32" t="s">
        <v>590</v>
      </c>
      <c r="B12" s="35"/>
      <c r="C12" s="35"/>
      <c r="D12" s="35"/>
      <c r="E12" s="35"/>
      <c r="F12" s="35"/>
      <c r="G12" s="35"/>
      <c r="H12" s="35"/>
    </row>
  </sheetData>
  <mergeCells count="5">
    <mergeCell ref="B12:H12"/>
    <mergeCell ref="B2:B4"/>
    <mergeCell ref="C2:C4"/>
    <mergeCell ref="H1:H4"/>
    <mergeCell ref="H5:H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tabSelected="1" topLeftCell="F1" workbookViewId="0">
      <selection activeCell="C1" sqref="C$1:V$1048576"/>
    </sheetView>
  </sheetViews>
  <sheetFormatPr defaultColWidth="9" defaultRowHeight="14"/>
  <cols>
    <col min="3" max="22" width="9" style="1"/>
  </cols>
  <sheetData>
    <row r="1" customHeight="1" spans="1:22">
      <c r="D1" s="2" t="s">
        <v>591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</row>
    <row r="2" spans="1:22">
      <c r="A2" s="4" t="s">
        <v>592</v>
      </c>
      <c r="B2" s="5" t="s">
        <v>593</v>
      </c>
      <c r="C2" s="2" t="s">
        <v>594</v>
      </c>
      <c r="D2" s="2">
        <v>11.27</v>
      </c>
      <c r="E2" s="2">
        <v>12.11</v>
      </c>
      <c r="F2" s="2">
        <v>12.18</v>
      </c>
      <c r="G2" s="2">
        <v>12.25</v>
      </c>
      <c r="H2" s="2">
        <v>1.8</v>
      </c>
      <c r="I2" s="2">
        <v>1.15</v>
      </c>
      <c r="J2" s="2">
        <v>1.22</v>
      </c>
      <c r="K2" s="2">
        <v>1.29</v>
      </c>
      <c r="L2" s="2">
        <v>2.5</v>
      </c>
      <c r="M2" s="2">
        <v>2.12</v>
      </c>
      <c r="N2" s="2">
        <v>2.19</v>
      </c>
      <c r="O2" s="2">
        <v>2.26</v>
      </c>
      <c r="P2" s="2">
        <v>3.12</v>
      </c>
      <c r="Q2" s="3">
        <v>3.2</v>
      </c>
      <c r="R2" s="3">
        <v>3.26</v>
      </c>
      <c r="S2" s="3">
        <v>4.2</v>
      </c>
      <c r="T2" s="3">
        <v>4.16</v>
      </c>
      <c r="U2" s="3">
        <v>4.3</v>
      </c>
      <c r="V2" s="3">
        <v>5.7</v>
      </c>
    </row>
    <row r="3" customHeight="1" spans="1:22">
      <c r="A3" s="6" t="s">
        <v>11</v>
      </c>
      <c r="B3" s="7" t="s">
        <v>587</v>
      </c>
      <c r="C3" s="2">
        <v>5142</v>
      </c>
      <c r="D3" s="2">
        <v>5570</v>
      </c>
      <c r="E3" s="2">
        <v>5620</v>
      </c>
      <c r="F3" s="2">
        <v>5610</v>
      </c>
      <c r="G3" s="2">
        <v>5610</v>
      </c>
      <c r="H3" s="2">
        <v>5760</v>
      </c>
      <c r="I3" s="2">
        <v>5760</v>
      </c>
      <c r="J3" s="2">
        <v>5730</v>
      </c>
      <c r="K3" s="2">
        <v>5730</v>
      </c>
      <c r="L3" s="2">
        <v>5730</v>
      </c>
      <c r="M3" s="2">
        <v>5730</v>
      </c>
      <c r="N3" s="2">
        <v>5730</v>
      </c>
      <c r="O3" s="2">
        <v>5620</v>
      </c>
      <c r="P3" s="2">
        <v>5620</v>
      </c>
      <c r="Q3" s="3">
        <v>5810</v>
      </c>
      <c r="R3" s="3">
        <v>5935</v>
      </c>
      <c r="S3" s="3">
        <v>5935</v>
      </c>
      <c r="T3" s="3">
        <v>5810</v>
      </c>
      <c r="U3" s="3">
        <v>5810</v>
      </c>
      <c r="V3" s="3">
        <v>5810</v>
      </c>
    </row>
    <row r="4" customHeight="1" spans="1:22">
      <c r="A4" s="6" t="s">
        <v>12</v>
      </c>
      <c r="B4" s="7" t="s">
        <v>582</v>
      </c>
      <c r="C4" s="2">
        <v>5252</v>
      </c>
      <c r="D4" s="2">
        <v>5650</v>
      </c>
      <c r="E4" s="2">
        <v>5650</v>
      </c>
      <c r="F4" s="2">
        <v>5600</v>
      </c>
      <c r="G4" s="2">
        <v>5600</v>
      </c>
      <c r="H4" s="2">
        <v>5800</v>
      </c>
      <c r="I4" s="2">
        <v>5800</v>
      </c>
      <c r="J4" s="2">
        <v>5750</v>
      </c>
      <c r="K4" s="2">
        <v>5750</v>
      </c>
      <c r="L4" s="2">
        <v>5750</v>
      </c>
      <c r="M4" s="2">
        <v>5750</v>
      </c>
      <c r="N4" s="2">
        <v>5750</v>
      </c>
      <c r="O4" s="2">
        <v>5750</v>
      </c>
      <c r="P4" s="2">
        <v>5750</v>
      </c>
      <c r="Q4" s="2">
        <v>5980</v>
      </c>
      <c r="R4" s="3">
        <v>5980</v>
      </c>
      <c r="S4" s="3">
        <v>6180</v>
      </c>
      <c r="T4" s="3">
        <v>6180</v>
      </c>
      <c r="U4" s="3">
        <v>6130</v>
      </c>
      <c r="V4" s="3">
        <v>6130</v>
      </c>
    </row>
    <row r="5" spans="1:22">
      <c r="A5" s="6"/>
      <c r="B5" s="7" t="s">
        <v>584</v>
      </c>
      <c r="C5" s="2">
        <v>5601</v>
      </c>
      <c r="D5" s="2">
        <v>6000</v>
      </c>
      <c r="E5" s="2">
        <v>5940</v>
      </c>
      <c r="F5" s="2">
        <v>5940</v>
      </c>
      <c r="G5" s="2">
        <v>5940</v>
      </c>
      <c r="H5" s="2">
        <v>5940</v>
      </c>
      <c r="I5" s="2">
        <v>5940</v>
      </c>
      <c r="J5" s="2">
        <v>6115</v>
      </c>
      <c r="K5" s="2">
        <v>6115</v>
      </c>
      <c r="L5" s="2">
        <v>6115</v>
      </c>
      <c r="M5" s="2">
        <v>6115</v>
      </c>
      <c r="N5" s="2">
        <v>6115</v>
      </c>
      <c r="O5" s="2">
        <v>6115</v>
      </c>
      <c r="P5" s="2">
        <v>6320</v>
      </c>
      <c r="Q5" s="2">
        <v>6320</v>
      </c>
      <c r="R5" s="3">
        <v>6320</v>
      </c>
      <c r="S5" s="3">
        <v>6830</v>
      </c>
      <c r="T5" s="3">
        <v>6830</v>
      </c>
      <c r="U5" s="3">
        <v>6830</v>
      </c>
      <c r="V5" s="3">
        <v>6830</v>
      </c>
    </row>
    <row r="6" spans="1:22">
      <c r="A6" s="6"/>
      <c r="B6" s="7" t="s">
        <v>585</v>
      </c>
      <c r="C6" s="2">
        <v>7443</v>
      </c>
      <c r="D6" s="2">
        <v>8230</v>
      </c>
      <c r="E6" s="2">
        <v>8150</v>
      </c>
      <c r="F6" s="2">
        <v>8150</v>
      </c>
      <c r="G6" s="2">
        <v>8150</v>
      </c>
      <c r="H6" s="2">
        <v>8150</v>
      </c>
      <c r="I6" s="2">
        <v>8150</v>
      </c>
      <c r="J6" s="2">
        <v>8320</v>
      </c>
      <c r="K6" s="2">
        <v>8320</v>
      </c>
      <c r="L6" s="2">
        <v>8320</v>
      </c>
      <c r="M6" s="2">
        <v>8320</v>
      </c>
      <c r="N6" s="2">
        <v>8320</v>
      </c>
      <c r="O6" s="2">
        <v>8320</v>
      </c>
      <c r="P6" s="2">
        <v>8385</v>
      </c>
      <c r="Q6" s="2">
        <v>8385</v>
      </c>
      <c r="R6" s="3">
        <v>8385</v>
      </c>
      <c r="S6" s="3">
        <v>8735</v>
      </c>
      <c r="T6" s="3">
        <v>8735</v>
      </c>
      <c r="U6" s="3">
        <v>8735</v>
      </c>
      <c r="V6" s="3">
        <v>8735</v>
      </c>
    </row>
    <row r="7" spans="1:22">
      <c r="A7" s="6"/>
      <c r="B7" s="7" t="s">
        <v>586</v>
      </c>
      <c r="C7" s="2">
        <v>8224</v>
      </c>
      <c r="D7" s="2">
        <v>9100</v>
      </c>
      <c r="E7" s="2">
        <v>8900</v>
      </c>
      <c r="F7" s="2">
        <v>8900</v>
      </c>
      <c r="G7" s="2">
        <v>8900</v>
      </c>
      <c r="H7" s="2">
        <v>8900</v>
      </c>
      <c r="I7" s="2">
        <v>8900</v>
      </c>
      <c r="J7" s="2">
        <v>10240</v>
      </c>
      <c r="K7" s="2">
        <v>10240</v>
      </c>
      <c r="L7" s="2">
        <v>10240</v>
      </c>
      <c r="M7" s="2">
        <v>10240</v>
      </c>
      <c r="N7" s="2">
        <v>10240</v>
      </c>
      <c r="O7" s="2">
        <v>8900</v>
      </c>
      <c r="P7" s="2">
        <v>8900</v>
      </c>
      <c r="Q7" s="2">
        <v>8900</v>
      </c>
      <c r="R7" s="8">
        <v>9500</v>
      </c>
      <c r="S7" s="8">
        <v>9500</v>
      </c>
      <c r="T7" s="8">
        <v>9500</v>
      </c>
      <c r="U7" s="3">
        <v>10150</v>
      </c>
      <c r="V7" s="3">
        <v>10150</v>
      </c>
    </row>
    <row r="8" spans="1:22">
      <c r="A8" s="6"/>
      <c r="B8" s="7" t="s">
        <v>595</v>
      </c>
      <c r="C8" s="2">
        <v>12566</v>
      </c>
      <c r="D8" s="2">
        <v>14900</v>
      </c>
      <c r="E8" s="2">
        <v>15800</v>
      </c>
      <c r="F8" s="2">
        <v>15800</v>
      </c>
      <c r="G8" s="2">
        <v>15800</v>
      </c>
      <c r="H8" s="2">
        <v>15800</v>
      </c>
      <c r="I8" s="2">
        <v>15800</v>
      </c>
      <c r="J8" s="2">
        <v>15800</v>
      </c>
      <c r="K8" s="2">
        <v>15800</v>
      </c>
      <c r="L8" s="2">
        <v>15800</v>
      </c>
      <c r="M8" s="2">
        <v>15800</v>
      </c>
      <c r="N8" s="2">
        <v>15800</v>
      </c>
      <c r="O8" s="2">
        <v>17600</v>
      </c>
      <c r="P8" s="2">
        <v>17900</v>
      </c>
      <c r="Q8" s="3">
        <v>18150</v>
      </c>
      <c r="R8" s="3">
        <v>18150</v>
      </c>
      <c r="S8" s="3">
        <v>19100</v>
      </c>
      <c r="T8" s="3">
        <v>18900</v>
      </c>
      <c r="U8" s="3">
        <v>18900</v>
      </c>
      <c r="V8" s="3">
        <v>18900</v>
      </c>
    </row>
    <row r="9" spans="1:22">
      <c r="A9" s="9" t="s">
        <v>13</v>
      </c>
      <c r="B9" s="7" t="s">
        <v>596</v>
      </c>
      <c r="C9" s="2">
        <v>2761</v>
      </c>
      <c r="D9" s="2">
        <v>2700</v>
      </c>
      <c r="E9" s="2">
        <v>2700</v>
      </c>
      <c r="F9" s="2">
        <v>2700</v>
      </c>
      <c r="G9" s="2">
        <v>2700</v>
      </c>
      <c r="H9" s="2">
        <v>2700</v>
      </c>
      <c r="I9" s="2">
        <v>2700</v>
      </c>
      <c r="J9" s="2">
        <v>2700</v>
      </c>
      <c r="K9" s="2">
        <v>2700</v>
      </c>
      <c r="L9" s="2">
        <v>3200</v>
      </c>
      <c r="M9" s="2">
        <v>2700</v>
      </c>
      <c r="N9" s="2">
        <v>3200</v>
      </c>
      <c r="O9" s="2">
        <v>2900</v>
      </c>
      <c r="P9" s="2">
        <v>2800</v>
      </c>
      <c r="Q9" s="2">
        <v>2800</v>
      </c>
      <c r="R9" s="3">
        <v>2800</v>
      </c>
      <c r="S9" s="3">
        <v>2800</v>
      </c>
      <c r="T9" s="3">
        <v>2900</v>
      </c>
      <c r="U9" s="3">
        <v>2900</v>
      </c>
      <c r="V9" s="3">
        <v>2900</v>
      </c>
    </row>
    <row r="10" ht="15" spans="1:22">
      <c r="A10" s="9" t="s">
        <v>14</v>
      </c>
      <c r="B10" s="7" t="s">
        <v>597</v>
      </c>
      <c r="C10" s="10">
        <v>3982</v>
      </c>
      <c r="D10" s="11">
        <v>5100</v>
      </c>
      <c r="E10" s="11">
        <v>5100</v>
      </c>
      <c r="F10" s="2">
        <v>5100</v>
      </c>
      <c r="G10" s="2">
        <v>5100</v>
      </c>
      <c r="H10" s="2">
        <v>5100</v>
      </c>
      <c r="I10" s="2">
        <v>5100</v>
      </c>
      <c r="J10" s="2">
        <v>5100</v>
      </c>
      <c r="K10" s="2">
        <v>5100</v>
      </c>
      <c r="L10" s="2">
        <v>5100</v>
      </c>
      <c r="M10" s="2">
        <v>5100</v>
      </c>
      <c r="N10" s="2">
        <v>5100</v>
      </c>
      <c r="O10" s="2">
        <v>5100</v>
      </c>
      <c r="P10" s="2">
        <v>5100</v>
      </c>
      <c r="Q10" s="2">
        <v>5100</v>
      </c>
      <c r="R10" s="3">
        <v>5100</v>
      </c>
      <c r="S10" s="3">
        <v>5100</v>
      </c>
      <c r="T10" s="3">
        <v>5100</v>
      </c>
      <c r="U10" s="3">
        <v>5100</v>
      </c>
      <c r="V10" s="3">
        <v>5100</v>
      </c>
    </row>
    <row r="11" customHeight="1" spans="1:22">
      <c r="A11" s="6" t="s">
        <v>15</v>
      </c>
      <c r="B11" s="7" t="s">
        <v>598</v>
      </c>
      <c r="C11" s="2">
        <v>75450</v>
      </c>
      <c r="D11" s="2">
        <v>115900</v>
      </c>
      <c r="E11" s="2">
        <v>92000</v>
      </c>
      <c r="F11" s="2">
        <v>90000</v>
      </c>
      <c r="G11" s="2">
        <v>92000</v>
      </c>
      <c r="H11" s="2">
        <v>90000</v>
      </c>
      <c r="I11" s="2">
        <v>87000</v>
      </c>
      <c r="J11" s="2">
        <v>90000</v>
      </c>
      <c r="K11" s="2">
        <v>90000</v>
      </c>
      <c r="L11" s="2">
        <v>91000</v>
      </c>
      <c r="M11" s="2">
        <v>90000</v>
      </c>
      <c r="N11" s="2">
        <v>91000</v>
      </c>
      <c r="O11" s="2">
        <v>96000</v>
      </c>
      <c r="P11" s="2">
        <v>98000</v>
      </c>
      <c r="Q11" s="3">
        <v>94000</v>
      </c>
      <c r="R11" s="3">
        <v>94000</v>
      </c>
      <c r="S11" s="3">
        <v>94000</v>
      </c>
      <c r="T11" s="3">
        <v>96500</v>
      </c>
      <c r="U11" s="3">
        <v>96500</v>
      </c>
      <c r="V11" s="3">
        <v>96500</v>
      </c>
    </row>
    <row r="12" customHeight="1" spans="1:22">
      <c r="A12" s="6" t="s">
        <v>16</v>
      </c>
      <c r="B12" s="7" t="s">
        <v>599</v>
      </c>
      <c r="C12" s="2">
        <v>217302</v>
      </c>
      <c r="D12" s="2">
        <v>244125</v>
      </c>
      <c r="E12" s="2">
        <v>244125</v>
      </c>
      <c r="F12" s="2">
        <v>244125</v>
      </c>
      <c r="G12" s="2">
        <v>246148</v>
      </c>
      <c r="H12" s="2">
        <v>246148</v>
      </c>
      <c r="I12" s="8">
        <v>246148</v>
      </c>
      <c r="J12" s="8">
        <v>246148</v>
      </c>
      <c r="K12" s="8">
        <v>246148</v>
      </c>
      <c r="L12" s="8">
        <v>246148</v>
      </c>
      <c r="M12" s="8">
        <v>246148</v>
      </c>
      <c r="N12" s="8">
        <v>246148</v>
      </c>
      <c r="O12" s="8">
        <v>246148</v>
      </c>
      <c r="P12" s="2">
        <v>242625</v>
      </c>
      <c r="Q12" s="2">
        <v>242625</v>
      </c>
      <c r="R12" s="3">
        <v>242625</v>
      </c>
      <c r="S12" s="3">
        <v>242625</v>
      </c>
      <c r="T12" s="3">
        <v>243375</v>
      </c>
      <c r="U12" s="3">
        <v>243375</v>
      </c>
      <c r="V12" s="3">
        <v>243375</v>
      </c>
    </row>
    <row r="13" spans="1:22">
      <c r="A13" s="9" t="s">
        <v>17</v>
      </c>
      <c r="B13" s="7" t="s">
        <v>600</v>
      </c>
      <c r="C13" s="2">
        <v>23723</v>
      </c>
      <c r="D13" s="2">
        <v>26750</v>
      </c>
      <c r="E13" s="2">
        <v>26800</v>
      </c>
      <c r="F13" s="2">
        <v>26800</v>
      </c>
      <c r="G13" s="2">
        <v>26800</v>
      </c>
      <c r="H13" s="2">
        <v>26700</v>
      </c>
      <c r="I13" s="2">
        <v>26700</v>
      </c>
      <c r="J13" s="2">
        <v>27100</v>
      </c>
      <c r="K13" s="2">
        <v>27100</v>
      </c>
      <c r="L13" s="2">
        <v>27100</v>
      </c>
      <c r="M13" s="2">
        <v>27100</v>
      </c>
      <c r="N13" s="2">
        <v>27100</v>
      </c>
      <c r="O13" s="2">
        <v>27400</v>
      </c>
      <c r="P13" s="2">
        <v>27600</v>
      </c>
      <c r="Q13" s="2">
        <v>27600</v>
      </c>
      <c r="R13" s="3">
        <v>27600</v>
      </c>
      <c r="S13" s="3">
        <v>27850</v>
      </c>
      <c r="T13" s="3">
        <v>27850</v>
      </c>
      <c r="U13" s="3">
        <v>27850</v>
      </c>
      <c r="V13" s="3">
        <v>27850</v>
      </c>
    </row>
    <row r="14" customHeight="1" spans="1:22">
      <c r="A14" s="9" t="s">
        <v>21</v>
      </c>
      <c r="B14" s="7" t="s">
        <v>588</v>
      </c>
      <c r="C14" s="2">
        <v>7635</v>
      </c>
      <c r="D14" s="2">
        <v>8700</v>
      </c>
      <c r="E14" s="2">
        <v>8500</v>
      </c>
      <c r="F14" s="2">
        <v>8700</v>
      </c>
      <c r="G14" s="2">
        <v>8600</v>
      </c>
      <c r="H14" s="2">
        <v>8800</v>
      </c>
      <c r="I14" s="2">
        <v>8650</v>
      </c>
      <c r="J14" s="2">
        <v>8900</v>
      </c>
      <c r="K14" s="2">
        <v>8900</v>
      </c>
      <c r="L14" s="12">
        <v>9000</v>
      </c>
      <c r="M14" s="12">
        <v>8900</v>
      </c>
      <c r="N14" s="12">
        <v>9000</v>
      </c>
      <c r="O14" s="12">
        <v>8800</v>
      </c>
      <c r="P14" s="12">
        <v>8700</v>
      </c>
      <c r="Q14" s="13">
        <v>9000</v>
      </c>
      <c r="R14" s="13">
        <v>9000</v>
      </c>
      <c r="S14" s="13">
        <v>9000</v>
      </c>
      <c r="T14" s="14">
        <v>9070</v>
      </c>
      <c r="U14" s="14">
        <v>9070</v>
      </c>
      <c r="V14" s="14">
        <v>8850</v>
      </c>
    </row>
    <row r="15" spans="1:22">
      <c r="A15" s="9"/>
      <c r="B15" s="7" t="s">
        <v>589</v>
      </c>
      <c r="C15" s="2">
        <v>7739</v>
      </c>
      <c r="D15" s="2">
        <v>14500</v>
      </c>
      <c r="E15" s="2">
        <v>15230</v>
      </c>
      <c r="F15" s="2">
        <v>13200</v>
      </c>
      <c r="G15" s="2">
        <v>13600</v>
      </c>
      <c r="H15" s="2">
        <v>13800</v>
      </c>
      <c r="I15" s="2">
        <v>13300</v>
      </c>
      <c r="J15" s="2">
        <v>14000</v>
      </c>
      <c r="K15" s="2">
        <v>14000</v>
      </c>
      <c r="L15" s="12">
        <v>16900</v>
      </c>
      <c r="M15" s="12">
        <v>14000</v>
      </c>
      <c r="N15" s="12">
        <v>16900</v>
      </c>
      <c r="O15" s="12">
        <v>16300</v>
      </c>
      <c r="P15" s="12">
        <v>16900</v>
      </c>
      <c r="Q15" s="14">
        <v>13800</v>
      </c>
      <c r="R15" s="14">
        <v>14200</v>
      </c>
      <c r="S15" s="14">
        <v>16900</v>
      </c>
      <c r="T15" s="14">
        <v>17080</v>
      </c>
      <c r="U15" s="14">
        <v>17080</v>
      </c>
      <c r="V15" s="15">
        <v>17080</v>
      </c>
    </row>
    <row r="16" spans="1:22">
      <c r="A16" s="9" t="s">
        <v>22</v>
      </c>
      <c r="B16" s="7" t="s">
        <v>601</v>
      </c>
      <c r="C16" s="2">
        <v>113628</v>
      </c>
      <c r="D16" s="2">
        <v>120100</v>
      </c>
      <c r="E16" s="2">
        <v>120300</v>
      </c>
      <c r="F16" s="2">
        <v>11900</v>
      </c>
      <c r="G16" s="2">
        <v>130000</v>
      </c>
      <c r="H16" s="2">
        <v>146000</v>
      </c>
      <c r="I16" s="2">
        <v>147000</v>
      </c>
      <c r="J16" s="2">
        <v>147000</v>
      </c>
      <c r="K16" s="2">
        <v>147000</v>
      </c>
      <c r="L16" s="12">
        <v>147000</v>
      </c>
      <c r="M16" s="12">
        <v>147000</v>
      </c>
      <c r="N16" s="12">
        <v>147000</v>
      </c>
      <c r="O16" s="12">
        <v>143750</v>
      </c>
      <c r="P16" s="12">
        <v>144050</v>
      </c>
      <c r="Q16" s="15">
        <v>139500</v>
      </c>
      <c r="R16" s="14">
        <v>139050</v>
      </c>
      <c r="S16" s="14">
        <v>137300</v>
      </c>
      <c r="T16" s="14">
        <v>144900</v>
      </c>
      <c r="U16" s="14">
        <v>155550</v>
      </c>
      <c r="V16" s="15">
        <v>155700</v>
      </c>
    </row>
    <row r="17" spans="1:22">
      <c r="A17" s="9" t="s">
        <v>23</v>
      </c>
      <c r="B17" s="7" t="s">
        <v>602</v>
      </c>
      <c r="C17" s="2">
        <v>76098</v>
      </c>
      <c r="D17" s="2">
        <v>87775</v>
      </c>
      <c r="E17" s="2">
        <v>94910</v>
      </c>
      <c r="F17" s="2">
        <v>94400</v>
      </c>
      <c r="G17" s="2">
        <v>98000</v>
      </c>
      <c r="H17" s="2">
        <v>103000</v>
      </c>
      <c r="I17" s="2">
        <v>104940</v>
      </c>
      <c r="J17" s="2">
        <v>103000</v>
      </c>
      <c r="K17" s="2">
        <v>103000</v>
      </c>
      <c r="L17" s="12">
        <v>103200</v>
      </c>
      <c r="M17" s="12">
        <v>103000</v>
      </c>
      <c r="N17" s="12">
        <v>103200</v>
      </c>
      <c r="O17" s="12">
        <v>102980</v>
      </c>
      <c r="P17" s="12">
        <v>103020</v>
      </c>
      <c r="Q17" s="14">
        <v>97890</v>
      </c>
      <c r="R17" s="14">
        <v>97790</v>
      </c>
      <c r="S17" s="14">
        <v>99720</v>
      </c>
      <c r="T17" s="14">
        <v>104490</v>
      </c>
      <c r="U17" s="14">
        <v>104830</v>
      </c>
      <c r="V17" s="15">
        <v>107010</v>
      </c>
    </row>
    <row r="18" spans="1:22">
      <c r="A18" s="9" t="s">
        <v>24</v>
      </c>
      <c r="B18" s="7" t="s">
        <v>603</v>
      </c>
      <c r="C18" s="2">
        <v>253301</v>
      </c>
      <c r="D18" s="2">
        <v>236000</v>
      </c>
      <c r="E18" s="2">
        <v>240000</v>
      </c>
      <c r="F18" s="2">
        <v>239000</v>
      </c>
      <c r="G18" s="2">
        <v>239000</v>
      </c>
      <c r="H18" s="2">
        <v>270000</v>
      </c>
      <c r="I18" s="2">
        <v>260000</v>
      </c>
      <c r="J18" s="2">
        <v>260000</v>
      </c>
      <c r="K18" s="2">
        <v>260000</v>
      </c>
      <c r="L18" s="12">
        <v>269500</v>
      </c>
      <c r="M18" s="12">
        <v>260000</v>
      </c>
      <c r="N18" s="12">
        <v>269500</v>
      </c>
      <c r="O18" s="12">
        <v>283000</v>
      </c>
      <c r="P18" s="12">
        <v>280800</v>
      </c>
      <c r="Q18" s="14">
        <v>281000</v>
      </c>
      <c r="R18" s="14">
        <v>280000</v>
      </c>
      <c r="S18" s="14">
        <v>291000</v>
      </c>
      <c r="T18" s="14">
        <v>289000</v>
      </c>
      <c r="U18" s="14">
        <v>295000</v>
      </c>
      <c r="V18" s="15">
        <v>308000</v>
      </c>
    </row>
    <row r="19" spans="1:22">
      <c r="A19" s="9" t="s">
        <v>25</v>
      </c>
      <c r="B19" s="7" t="s">
        <v>604</v>
      </c>
      <c r="C19" s="2">
        <v>17066</v>
      </c>
      <c r="D19" s="2">
        <v>23000</v>
      </c>
      <c r="E19" s="2">
        <v>23000</v>
      </c>
      <c r="F19" s="2">
        <v>23000</v>
      </c>
      <c r="G19" s="2">
        <v>23000</v>
      </c>
      <c r="H19" s="2">
        <v>25000</v>
      </c>
      <c r="I19" s="2">
        <v>24000</v>
      </c>
      <c r="J19" s="2">
        <v>24000</v>
      </c>
      <c r="K19" s="2">
        <v>24000</v>
      </c>
      <c r="L19" s="12">
        <v>21700</v>
      </c>
      <c r="M19" s="12">
        <v>24000</v>
      </c>
      <c r="N19" s="12">
        <v>21700</v>
      </c>
      <c r="O19" s="12">
        <v>21700</v>
      </c>
      <c r="P19" s="12">
        <v>21700</v>
      </c>
      <c r="Q19" s="12">
        <v>21700</v>
      </c>
      <c r="R19" s="12">
        <v>21700</v>
      </c>
      <c r="S19" s="14">
        <v>25000</v>
      </c>
      <c r="T19" s="14">
        <v>24350</v>
      </c>
      <c r="U19" s="14">
        <v>24350</v>
      </c>
      <c r="V19" s="14">
        <v>27200</v>
      </c>
    </row>
    <row r="20" customHeight="1" spans="1:22">
      <c r="A20" s="9" t="s">
        <v>18</v>
      </c>
      <c r="B20" s="7" t="s">
        <v>605</v>
      </c>
      <c r="C20" s="2">
        <v>19218</v>
      </c>
      <c r="D20" s="16">
        <v>22380</v>
      </c>
      <c r="E20" s="16">
        <v>22380</v>
      </c>
      <c r="F20" s="2">
        <v>23030</v>
      </c>
      <c r="G20" s="2">
        <v>23030</v>
      </c>
      <c r="H20" s="2">
        <v>24950</v>
      </c>
      <c r="I20" s="17">
        <v>25440</v>
      </c>
      <c r="J20" s="17">
        <v>25440</v>
      </c>
      <c r="K20" s="17">
        <v>25600</v>
      </c>
      <c r="L20" s="18">
        <v>25600</v>
      </c>
      <c r="M20" s="18">
        <v>25600</v>
      </c>
      <c r="N20" s="18">
        <v>25600</v>
      </c>
      <c r="O20" s="18">
        <v>25330</v>
      </c>
      <c r="P20" s="19">
        <v>25330</v>
      </c>
      <c r="Q20" s="19">
        <v>25330</v>
      </c>
      <c r="R20" s="19">
        <v>25330</v>
      </c>
      <c r="S20" s="14">
        <v>25241</v>
      </c>
      <c r="T20" s="14">
        <v>25241</v>
      </c>
      <c r="U20" s="14">
        <v>25241</v>
      </c>
      <c r="V20" s="14">
        <v>25241</v>
      </c>
    </row>
  </sheetData>
  <mergeCells count="3">
    <mergeCell ref="D1:H1"/>
    <mergeCell ref="A4:A8"/>
    <mergeCell ref="A14:A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目标成分</vt:lpstr>
      <vt:lpstr>终点成分与元素回收率</vt:lpstr>
      <vt:lpstr>合金品位</vt:lpstr>
      <vt:lpstr>合金价格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033</dc:creator>
  <cp:lastModifiedBy>张立军</cp:lastModifiedBy>
  <dcterms:created xsi:type="dcterms:W3CDTF">2023-05-12T11:15:00Z</dcterms:created>
  <dcterms:modified xsi:type="dcterms:W3CDTF">2026-05-16T09:40:31Z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935815D957844BF3A080C38824DCC2AE_13</vt:lpwstr>
  </property>
  <property fmtid="{D5CDD505-2E9C-101B-9397-08002B2CF9AE}" pid="4" name="CalculationRule">
    <vt:i4>0</vt:i4>
  </property>
</Properties>
</file>