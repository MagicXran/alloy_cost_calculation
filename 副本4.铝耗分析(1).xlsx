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D:\Nercar\YongFeng\materials\alloy_cost_calculation\"/>
    </mc:Choice>
  </mc:AlternateContent>
  <xr:revisionPtr revIDLastSave="0" documentId="13_ncr:1_{F2B92538-314A-4225-AEBE-23C8CB0F1944}" xr6:coauthVersionLast="47" xr6:coauthVersionMax="47" xr10:uidLastSave="{00000000-0000-0000-0000-000000000000}"/>
  <bookViews>
    <workbookView xWindow="-103" yWindow="-103" windowWidth="27634" windowHeight="16629" xr2:uid="{00000000-000D-0000-FFFF-FFFF00000000}"/>
  </bookViews>
  <sheets>
    <sheet name="铝耗" sheetId="1" r:id="rId1"/>
    <sheet name="Sheet2" sheetId="5" r:id="rId2"/>
    <sheet name="铝耗2026年" sheetId="3" r:id="rId3"/>
    <sheet name="铝耗2025年" sheetId="2" r:id="rId4"/>
    <sheet name="Sheet1" sheetId="4" r:id="rId5"/>
  </sheets>
  <externalReferences>
    <externalReference r:id="rId6"/>
  </externalReferences>
  <definedNames>
    <definedName name="__RptPeriod___2" hidden="1">"ENCODE_NwA="</definedName>
    <definedName name="_xlnm._FilterDatabase" localSheetId="0" hidden="1">铝耗!$A$1:$AF$327</definedName>
  </definedNames>
  <calcPr calcId="191029"/>
  <pivotCaches>
    <pivotCache cacheId="0" r:id="rId7"/>
  </pivotCaches>
</workbook>
</file>

<file path=xl/calcChain.xml><?xml version="1.0" encoding="utf-8"?>
<calcChain xmlns="http://schemas.openxmlformats.org/spreadsheetml/2006/main">
  <c r="Q45" i="4" l="1"/>
  <c r="P45" i="4"/>
  <c r="Q44" i="4"/>
  <c r="P44" i="4"/>
  <c r="Q43" i="4"/>
  <c r="P43" i="4"/>
  <c r="Q42" i="4"/>
  <c r="P42" i="4"/>
  <c r="Q41" i="4"/>
  <c r="P41" i="4"/>
  <c r="Q40" i="4"/>
  <c r="P40" i="4"/>
  <c r="Q39" i="4"/>
  <c r="P39" i="4"/>
  <c r="Q38" i="4"/>
  <c r="P38" i="4"/>
  <c r="Q37" i="4"/>
  <c r="P37" i="4"/>
  <c r="Q36" i="4"/>
  <c r="P36" i="4"/>
  <c r="Q35" i="4"/>
  <c r="P35" i="4"/>
  <c r="Q34" i="4"/>
  <c r="P34" i="4"/>
  <c r="Q33" i="4"/>
  <c r="P33" i="4"/>
  <c r="Q32" i="4"/>
  <c r="P32" i="4"/>
  <c r="Q31" i="4"/>
  <c r="P31" i="4"/>
  <c r="Q30" i="4"/>
  <c r="P30" i="4"/>
  <c r="Q29" i="4"/>
  <c r="P29" i="4"/>
  <c r="Q28" i="4"/>
  <c r="P28" i="4"/>
  <c r="P27" i="4"/>
  <c r="P26" i="4"/>
  <c r="P25" i="4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P10" i="4"/>
  <c r="P9" i="4"/>
  <c r="P8" i="4"/>
  <c r="P7" i="4"/>
  <c r="P6" i="4"/>
  <c r="P5" i="4"/>
  <c r="P4" i="4"/>
  <c r="AE327" i="1"/>
  <c r="AD327" i="1"/>
  <c r="AC327" i="1"/>
  <c r="AB327" i="1" a="1"/>
  <c r="AB327" i="1" s="1"/>
  <c r="AE326" i="1"/>
  <c r="AD326" i="1"/>
  <c r="AC326" i="1"/>
  <c r="AB326" i="1" a="1"/>
  <c r="AB326" i="1" s="1"/>
  <c r="AE325" i="1"/>
  <c r="AD325" i="1"/>
  <c r="AC325" i="1"/>
  <c r="AB325" i="1" a="1"/>
  <c r="AB325" i="1"/>
  <c r="AE324" i="1"/>
  <c r="AD324" i="1"/>
  <c r="AC324" i="1"/>
  <c r="AB324" i="1" a="1"/>
  <c r="AB324" i="1"/>
  <c r="AE323" i="1"/>
  <c r="AD323" i="1"/>
  <c r="AC323" i="1"/>
  <c r="AB323" i="1" a="1"/>
  <c r="AB323" i="1"/>
  <c r="AE322" i="1"/>
  <c r="AD322" i="1"/>
  <c r="AC322" i="1"/>
  <c r="AB322" i="1" a="1"/>
  <c r="AB322" i="1"/>
  <c r="AE321" i="1"/>
  <c r="AD321" i="1"/>
  <c r="AC321" i="1"/>
  <c r="AB321" i="1" a="1"/>
  <c r="AB321" i="1"/>
  <c r="AE320" i="1"/>
  <c r="AD320" i="1"/>
  <c r="AC320" i="1"/>
  <c r="AB320" i="1" a="1"/>
  <c r="AB320" i="1" s="1"/>
  <c r="AE319" i="1"/>
  <c r="AD319" i="1"/>
  <c r="AC319" i="1"/>
  <c r="AB319" i="1" a="1"/>
  <c r="AB319" i="1" s="1"/>
  <c r="AE318" i="1"/>
  <c r="AD318" i="1"/>
  <c r="AC318" i="1"/>
  <c r="AB318" i="1" a="1"/>
  <c r="AB318" i="1"/>
  <c r="AE317" i="1"/>
  <c r="AD317" i="1"/>
  <c r="AC317" i="1"/>
  <c r="AB317" i="1" a="1"/>
  <c r="AB317" i="1"/>
  <c r="AE316" i="1"/>
  <c r="AD316" i="1"/>
  <c r="AC316" i="1"/>
  <c r="AB316" i="1" a="1"/>
  <c r="AB316" i="1"/>
  <c r="AE315" i="1"/>
  <c r="AD315" i="1"/>
  <c r="AC315" i="1"/>
  <c r="AB315" i="1" a="1"/>
  <c r="AB315" i="1"/>
  <c r="AE314" i="1"/>
  <c r="AD314" i="1"/>
  <c r="AC314" i="1"/>
  <c r="AB314" i="1" a="1"/>
  <c r="AB314" i="1"/>
  <c r="AE313" i="1"/>
  <c r="AD313" i="1"/>
  <c r="AC313" i="1"/>
  <c r="AB313" i="1" a="1"/>
  <c r="AB313" i="1" s="1"/>
  <c r="AE312" i="1"/>
  <c r="AD312" i="1"/>
  <c r="AC312" i="1"/>
  <c r="AB312" i="1" a="1"/>
  <c r="AB312" i="1"/>
  <c r="AE311" i="1"/>
  <c r="AD311" i="1"/>
  <c r="AC311" i="1"/>
  <c r="AB311" i="1" a="1"/>
  <c r="AB311" i="1" s="1"/>
  <c r="AE310" i="1"/>
  <c r="AD310" i="1"/>
  <c r="AC310" i="1"/>
  <c r="AB310" i="1" a="1"/>
  <c r="AB310" i="1" s="1"/>
  <c r="AE309" i="1"/>
  <c r="AD309" i="1"/>
  <c r="AC309" i="1"/>
  <c r="AB309" i="1" a="1"/>
  <c r="AB309" i="1"/>
  <c r="AE308" i="1"/>
  <c r="AD308" i="1"/>
  <c r="AC308" i="1"/>
  <c r="AB308" i="1" a="1"/>
  <c r="AB308" i="1"/>
  <c r="AE307" i="1"/>
  <c r="AD307" i="1"/>
  <c r="AC307" i="1"/>
  <c r="AB307" i="1" a="1"/>
  <c r="AB307" i="1" s="1"/>
  <c r="AE306" i="1"/>
  <c r="AD306" i="1"/>
  <c r="AC306" i="1"/>
  <c r="AB306" i="1" a="1"/>
  <c r="AB306" i="1" s="1"/>
  <c r="AE305" i="1"/>
  <c r="AD305" i="1"/>
  <c r="AC305" i="1"/>
  <c r="AB305" i="1" a="1"/>
  <c r="AB305" i="1"/>
  <c r="AE304" i="1"/>
  <c r="AD304" i="1"/>
  <c r="AC304" i="1"/>
  <c r="AB304" i="1" a="1"/>
  <c r="AB304" i="1"/>
  <c r="AE303" i="1"/>
  <c r="AD303" i="1"/>
  <c r="AC303" i="1"/>
  <c r="AB303" i="1" a="1"/>
  <c r="AB303" i="1"/>
  <c r="AE302" i="1"/>
  <c r="AD302" i="1"/>
  <c r="AC302" i="1"/>
  <c r="AB302" i="1" a="1"/>
  <c r="AB302" i="1"/>
  <c r="AE301" i="1"/>
  <c r="AD301" i="1"/>
  <c r="AC301" i="1"/>
  <c r="AB301" i="1" a="1"/>
  <c r="AB301" i="1"/>
  <c r="AE300" i="1"/>
  <c r="AD300" i="1"/>
  <c r="AC300" i="1"/>
  <c r="AB300" i="1" a="1"/>
  <c r="AB300" i="1" s="1"/>
  <c r="AE299" i="1"/>
  <c r="AD299" i="1"/>
  <c r="AC299" i="1"/>
  <c r="AB299" i="1" a="1"/>
  <c r="AB299" i="1"/>
  <c r="AE298" i="1"/>
  <c r="AD298" i="1"/>
  <c r="AC298" i="1"/>
  <c r="AB298" i="1" a="1"/>
  <c r="AB298" i="1"/>
  <c r="AE297" i="1"/>
  <c r="AD297" i="1"/>
  <c r="AC297" i="1"/>
  <c r="AB297" i="1" a="1"/>
  <c r="AB297" i="1"/>
  <c r="AE296" i="1"/>
  <c r="AD296" i="1"/>
  <c r="AC296" i="1"/>
  <c r="AB296" i="1" a="1"/>
  <c r="AB296" i="1"/>
  <c r="AE295" i="1"/>
  <c r="AD295" i="1"/>
  <c r="AC295" i="1"/>
  <c r="AB295" i="1" a="1"/>
  <c r="AB295" i="1"/>
  <c r="AE294" i="1"/>
  <c r="AD294" i="1"/>
  <c r="AC294" i="1"/>
  <c r="AB294" i="1" a="1"/>
  <c r="AB294" i="1" s="1"/>
  <c r="AE293" i="1"/>
  <c r="AD293" i="1"/>
  <c r="AC293" i="1"/>
  <c r="AB293" i="1" a="1"/>
  <c r="AB293" i="1" s="1"/>
  <c r="AE292" i="1"/>
  <c r="AD292" i="1"/>
  <c r="AC292" i="1"/>
  <c r="AB292" i="1" a="1"/>
  <c r="AB292" i="1"/>
  <c r="AE291" i="1"/>
  <c r="AD291" i="1"/>
  <c r="AC291" i="1"/>
  <c r="AB291" i="1" a="1"/>
  <c r="AB291" i="1"/>
  <c r="AE290" i="1"/>
  <c r="AD290" i="1"/>
  <c r="AC290" i="1"/>
  <c r="AB290" i="1" a="1"/>
  <c r="AB290" i="1"/>
  <c r="AE289" i="1"/>
  <c r="AD289" i="1"/>
  <c r="AC289" i="1"/>
  <c r="AB289" i="1" a="1"/>
  <c r="AB289" i="1"/>
  <c r="AE288" i="1"/>
  <c r="AD288" i="1"/>
  <c r="AC288" i="1"/>
  <c r="AB288" i="1" a="1"/>
  <c r="AB288" i="1" s="1"/>
  <c r="AE287" i="1"/>
  <c r="AD287" i="1"/>
  <c r="AC287" i="1"/>
  <c r="AB287" i="1" a="1"/>
  <c r="AB287" i="1"/>
  <c r="AE286" i="1"/>
  <c r="AD286" i="1"/>
  <c r="AC286" i="1"/>
  <c r="AB286" i="1" a="1"/>
  <c r="AB286" i="1"/>
  <c r="AE285" i="1"/>
  <c r="AD285" i="1"/>
  <c r="AC285" i="1"/>
  <c r="AB285" i="1" a="1"/>
  <c r="AB285" i="1"/>
  <c r="AE284" i="1"/>
  <c r="AD284" i="1"/>
  <c r="AF284" i="1" s="1"/>
  <c r="AC284" i="1"/>
  <c r="AB284" i="1" a="1"/>
  <c r="AB284" i="1" s="1"/>
  <c r="AE283" i="1"/>
  <c r="AD283" i="1"/>
  <c r="AC283" i="1"/>
  <c r="AB283" i="1" a="1"/>
  <c r="AB283" i="1"/>
  <c r="AE282" i="1"/>
  <c r="AD282" i="1"/>
  <c r="AF282" i="1" s="1"/>
  <c r="AC282" i="1"/>
  <c r="AB282" i="1" a="1"/>
  <c r="AB282" i="1"/>
  <c r="AE281" i="1"/>
  <c r="AD281" i="1"/>
  <c r="AF281" i="1" s="1"/>
  <c r="AC281" i="1"/>
  <c r="AB281" i="1" a="1"/>
  <c r="AB281" i="1" s="1"/>
  <c r="AE280" i="1"/>
  <c r="AD280" i="1"/>
  <c r="AF280" i="1" s="1"/>
  <c r="AC280" i="1"/>
  <c r="AB280" i="1" a="1"/>
  <c r="AB280" i="1" s="1"/>
  <c r="AE279" i="1"/>
  <c r="AD279" i="1"/>
  <c r="AC279" i="1"/>
  <c r="AB279" i="1" a="1"/>
  <c r="AB279" i="1"/>
  <c r="AE278" i="1"/>
  <c r="AD278" i="1"/>
  <c r="AC278" i="1"/>
  <c r="AB278" i="1" a="1"/>
  <c r="AB278" i="1"/>
  <c r="AE277" i="1"/>
  <c r="AD277" i="1"/>
  <c r="AC277" i="1"/>
  <c r="AB277" i="1" a="1"/>
  <c r="AB277" i="1"/>
  <c r="AE276" i="1"/>
  <c r="AD276" i="1"/>
  <c r="AC276" i="1"/>
  <c r="AB276" i="1" a="1"/>
  <c r="AB276" i="1"/>
  <c r="AE275" i="1"/>
  <c r="AD275" i="1"/>
  <c r="AC275" i="1"/>
  <c r="AB275" i="1" a="1"/>
  <c r="AB275" i="1"/>
  <c r="AE274" i="1"/>
  <c r="AD274" i="1"/>
  <c r="AC274" i="1"/>
  <c r="AB274" i="1" a="1"/>
  <c r="AB274" i="1"/>
  <c r="AE273" i="1"/>
  <c r="AF273" i="1" s="1"/>
  <c r="AD273" i="1"/>
  <c r="AC273" i="1"/>
  <c r="AB273" i="1" a="1"/>
  <c r="AB273" i="1"/>
  <c r="AE272" i="1"/>
  <c r="AD272" i="1"/>
  <c r="AF272" i="1" s="1"/>
  <c r="AC272" i="1"/>
  <c r="AB272" i="1" a="1"/>
  <c r="AB272" i="1"/>
  <c r="AE271" i="1"/>
  <c r="AD271" i="1"/>
  <c r="AF271" i="1" s="1"/>
  <c r="AC271" i="1"/>
  <c r="AB271" i="1" a="1"/>
  <c r="AB271" i="1"/>
  <c r="AE270" i="1"/>
  <c r="AD270" i="1"/>
  <c r="AC270" i="1"/>
  <c r="AB270" i="1" a="1"/>
  <c r="AB270" i="1" s="1"/>
  <c r="AE269" i="1"/>
  <c r="AD269" i="1"/>
  <c r="AC269" i="1"/>
  <c r="AB269" i="1" a="1"/>
  <c r="AB269" i="1"/>
  <c r="AE268" i="1"/>
  <c r="AD268" i="1"/>
  <c r="AC268" i="1"/>
  <c r="AB268" i="1" a="1"/>
  <c r="AB268" i="1" s="1"/>
  <c r="AE267" i="1"/>
  <c r="AD267" i="1"/>
  <c r="AC267" i="1"/>
  <c r="AB267" i="1" a="1"/>
  <c r="AB267" i="1" s="1"/>
  <c r="AE266" i="1"/>
  <c r="AD266" i="1"/>
  <c r="AF266" i="1" s="1"/>
  <c r="AC266" i="1"/>
  <c r="AB266" i="1" a="1"/>
  <c r="AB266" i="1"/>
  <c r="AE265" i="1"/>
  <c r="AD265" i="1"/>
  <c r="AC265" i="1"/>
  <c r="AB265" i="1" a="1"/>
  <c r="AB265" i="1"/>
  <c r="AE264" i="1"/>
  <c r="AD264" i="1"/>
  <c r="AC264" i="1"/>
  <c r="AB264" i="1" a="1"/>
  <c r="AB264" i="1"/>
  <c r="AE263" i="1"/>
  <c r="AD263" i="1"/>
  <c r="AC263" i="1"/>
  <c r="AB263" i="1" a="1"/>
  <c r="AB263" i="1"/>
  <c r="AE262" i="1"/>
  <c r="AD262" i="1"/>
  <c r="AC262" i="1"/>
  <c r="AB262" i="1" a="1"/>
  <c r="AB262" i="1"/>
  <c r="AE261" i="1"/>
  <c r="AD261" i="1"/>
  <c r="AC261" i="1"/>
  <c r="AB261" i="1" a="1"/>
  <c r="AB261" i="1"/>
  <c r="AE260" i="1"/>
  <c r="AD260" i="1"/>
  <c r="AC260" i="1"/>
  <c r="AB260" i="1" a="1"/>
  <c r="AB260" i="1"/>
  <c r="AE259" i="1"/>
  <c r="AD259" i="1"/>
  <c r="AC259" i="1"/>
  <c r="AB259" i="1" a="1"/>
  <c r="AB259" i="1"/>
  <c r="AE258" i="1"/>
  <c r="AD258" i="1"/>
  <c r="AC258" i="1"/>
  <c r="AB258" i="1" a="1"/>
  <c r="AB258" i="1"/>
  <c r="AE257" i="1"/>
  <c r="AD257" i="1"/>
  <c r="AC257" i="1"/>
  <c r="AB257" i="1" a="1"/>
  <c r="AB257" i="1"/>
  <c r="AE256" i="1"/>
  <c r="AD256" i="1"/>
  <c r="AC256" i="1"/>
  <c r="AB256" i="1" a="1"/>
  <c r="AB256" i="1"/>
  <c r="AE255" i="1"/>
  <c r="AD255" i="1"/>
  <c r="AF255" i="1" s="1"/>
  <c r="AC255" i="1"/>
  <c r="AB255" i="1" a="1"/>
  <c r="AB255" i="1"/>
  <c r="AE254" i="1"/>
  <c r="AD254" i="1"/>
  <c r="AC254" i="1"/>
  <c r="AB254" i="1" a="1"/>
  <c r="AB254" i="1"/>
  <c r="AE253" i="1"/>
  <c r="AD253" i="1"/>
  <c r="AC253" i="1"/>
  <c r="AB253" i="1" a="1"/>
  <c r="AB253" i="1"/>
  <c r="AE252" i="1"/>
  <c r="AD252" i="1"/>
  <c r="AC252" i="1"/>
  <c r="AB252" i="1" a="1"/>
  <c r="AB252" i="1"/>
  <c r="AE251" i="1"/>
  <c r="AD251" i="1"/>
  <c r="AC251" i="1"/>
  <c r="AB251" i="1" a="1"/>
  <c r="AB251" i="1"/>
  <c r="AE250" i="1"/>
  <c r="AD250" i="1"/>
  <c r="AC250" i="1"/>
  <c r="AB250" i="1" a="1"/>
  <c r="AB250" i="1"/>
  <c r="AE249" i="1"/>
  <c r="AD249" i="1"/>
  <c r="AC249" i="1"/>
  <c r="AB249" i="1" a="1"/>
  <c r="AB249" i="1" s="1"/>
  <c r="AE248" i="1"/>
  <c r="AD248" i="1"/>
  <c r="AC248" i="1"/>
  <c r="AB248" i="1" a="1"/>
  <c r="AB248" i="1"/>
  <c r="AE247" i="1"/>
  <c r="AD247" i="1"/>
  <c r="AC247" i="1"/>
  <c r="AB247" i="1" a="1"/>
  <c r="AB247" i="1"/>
  <c r="AE246" i="1"/>
  <c r="AD246" i="1"/>
  <c r="AC246" i="1"/>
  <c r="AB246" i="1" a="1"/>
  <c r="AB246" i="1"/>
  <c r="AE245" i="1"/>
  <c r="AD245" i="1"/>
  <c r="AC245" i="1"/>
  <c r="AB245" i="1" a="1"/>
  <c r="AB245" i="1"/>
  <c r="AE244" i="1"/>
  <c r="AD244" i="1"/>
  <c r="AC244" i="1"/>
  <c r="AB244" i="1" a="1"/>
  <c r="AB244" i="1"/>
  <c r="AE243" i="1"/>
  <c r="AD243" i="1"/>
  <c r="AC243" i="1"/>
  <c r="AB243" i="1" a="1"/>
  <c r="AB243" i="1"/>
  <c r="AE242" i="1"/>
  <c r="AD242" i="1"/>
  <c r="AC242" i="1"/>
  <c r="AB242" i="1" a="1"/>
  <c r="AB242" i="1"/>
  <c r="AE241" i="1"/>
  <c r="AD241" i="1"/>
  <c r="AC241" i="1"/>
  <c r="AB241" i="1" a="1"/>
  <c r="AB241" i="1"/>
  <c r="AE240" i="1"/>
  <c r="AD240" i="1"/>
  <c r="AC240" i="1"/>
  <c r="AB240" i="1" a="1"/>
  <c r="AB240" i="1"/>
  <c r="AE239" i="1"/>
  <c r="AD239" i="1"/>
  <c r="AC239" i="1"/>
  <c r="AB239" i="1" a="1"/>
  <c r="AB239" i="1"/>
  <c r="AE238" i="1"/>
  <c r="AD238" i="1"/>
  <c r="AC238" i="1"/>
  <c r="AB238" i="1" a="1"/>
  <c r="AB238" i="1"/>
  <c r="AE237" i="1"/>
  <c r="AD237" i="1"/>
  <c r="AC237" i="1"/>
  <c r="AB237" i="1" a="1"/>
  <c r="AB237" i="1"/>
  <c r="AE236" i="1"/>
  <c r="AD236" i="1"/>
  <c r="AC236" i="1"/>
  <c r="AB236" i="1" a="1"/>
  <c r="AB236" i="1"/>
  <c r="AE235" i="1"/>
  <c r="AD235" i="1"/>
  <c r="AC235" i="1"/>
  <c r="AB235" i="1" a="1"/>
  <c r="AB235" i="1" s="1"/>
  <c r="AE234" i="1"/>
  <c r="AD234" i="1"/>
  <c r="AC234" i="1"/>
  <c r="AB234" i="1" a="1"/>
  <c r="AB234" i="1"/>
  <c r="AE233" i="1"/>
  <c r="AD233" i="1"/>
  <c r="AC233" i="1"/>
  <c r="AB233" i="1" a="1"/>
  <c r="AB233" i="1"/>
  <c r="AE232" i="1"/>
  <c r="AD232" i="1"/>
  <c r="AC232" i="1"/>
  <c r="AB232" i="1" a="1"/>
  <c r="AB232" i="1" s="1"/>
  <c r="AE231" i="1"/>
  <c r="AD231" i="1"/>
  <c r="AC231" i="1"/>
  <c r="AB231" i="1" a="1"/>
  <c r="AB231" i="1"/>
  <c r="AE230" i="1"/>
  <c r="AD230" i="1"/>
  <c r="AF230" i="1" s="1"/>
  <c r="AC230" i="1"/>
  <c r="AB230" i="1" a="1"/>
  <c r="AB230" i="1" s="1"/>
  <c r="AE229" i="1"/>
  <c r="AD229" i="1"/>
  <c r="AF229" i="1" s="1"/>
  <c r="AC229" i="1"/>
  <c r="AB229" i="1" a="1"/>
  <c r="AB229" i="1" s="1"/>
  <c r="AE228" i="1"/>
  <c r="AD228" i="1"/>
  <c r="AF228" i="1" s="1"/>
  <c r="AC228" i="1"/>
  <c r="AB228" i="1" a="1"/>
  <c r="AB228" i="1" s="1"/>
  <c r="AE227" i="1"/>
  <c r="AD227" i="1"/>
  <c r="AF227" i="1" s="1"/>
  <c r="AC227" i="1"/>
  <c r="AB227" i="1" a="1"/>
  <c r="AB227" i="1"/>
  <c r="AE226" i="1"/>
  <c r="AD226" i="1"/>
  <c r="AF226" i="1" s="1"/>
  <c r="AC226" i="1"/>
  <c r="AB226" i="1" a="1"/>
  <c r="AB226" i="1"/>
  <c r="AE225" i="1"/>
  <c r="AD225" i="1"/>
  <c r="AC225" i="1"/>
  <c r="AB225" i="1" a="1"/>
  <c r="AB225" i="1"/>
  <c r="AE224" i="1"/>
  <c r="AD224" i="1"/>
  <c r="AC224" i="1"/>
  <c r="AB224" i="1" a="1"/>
  <c r="AB224" i="1"/>
  <c r="AE223" i="1"/>
  <c r="AD223" i="1"/>
  <c r="AC223" i="1"/>
  <c r="AB223" i="1" a="1"/>
  <c r="AB223" i="1"/>
  <c r="AE222" i="1"/>
  <c r="AD222" i="1"/>
  <c r="AC222" i="1"/>
  <c r="AB222" i="1" a="1"/>
  <c r="AB222" i="1"/>
  <c r="AE221" i="1"/>
  <c r="AD221" i="1"/>
  <c r="AC221" i="1"/>
  <c r="AB221" i="1" a="1"/>
  <c r="AB221" i="1"/>
  <c r="AE220" i="1"/>
  <c r="AD220" i="1"/>
  <c r="AC220" i="1"/>
  <c r="AB220" i="1" a="1"/>
  <c r="AB220" i="1"/>
  <c r="AE219" i="1"/>
  <c r="AD219" i="1"/>
  <c r="AF219" i="1" s="1"/>
  <c r="AC219" i="1"/>
  <c r="AB219" i="1" a="1"/>
  <c r="AB219" i="1"/>
  <c r="AE218" i="1"/>
  <c r="AD218" i="1"/>
  <c r="AF218" i="1" s="1"/>
  <c r="AC218" i="1"/>
  <c r="AB218" i="1" a="1"/>
  <c r="AB218" i="1"/>
  <c r="AE217" i="1"/>
  <c r="AD217" i="1"/>
  <c r="AF217" i="1" s="1"/>
  <c r="AC217" i="1"/>
  <c r="AB217" i="1" a="1"/>
  <c r="AB217" i="1"/>
  <c r="AE216" i="1"/>
  <c r="AD216" i="1"/>
  <c r="AF216" i="1" s="1"/>
  <c r="AC216" i="1"/>
  <c r="AB216" i="1" a="1"/>
  <c r="AB216" i="1"/>
  <c r="AE215" i="1"/>
  <c r="AD215" i="1"/>
  <c r="AF215" i="1" s="1"/>
  <c r="AC215" i="1"/>
  <c r="AB215" i="1" a="1"/>
  <c r="AB215" i="1"/>
  <c r="AE214" i="1"/>
  <c r="AD214" i="1"/>
  <c r="AF214" i="1" s="1"/>
  <c r="AC214" i="1"/>
  <c r="AB214" i="1" a="1"/>
  <c r="AB214" i="1"/>
  <c r="AE213" i="1"/>
  <c r="AD213" i="1"/>
  <c r="AF213" i="1" s="1"/>
  <c r="AC213" i="1"/>
  <c r="AB213" i="1" a="1"/>
  <c r="AB213" i="1" s="1"/>
  <c r="AE212" i="1"/>
  <c r="AD212" i="1"/>
  <c r="AC212" i="1"/>
  <c r="AB212" i="1" a="1"/>
  <c r="AB212" i="1"/>
  <c r="AE211" i="1"/>
  <c r="AD211" i="1"/>
  <c r="AF211" i="1" s="1"/>
  <c r="AC211" i="1"/>
  <c r="AB211" i="1" a="1"/>
  <c r="AB211" i="1"/>
  <c r="AE210" i="1"/>
  <c r="AD210" i="1"/>
  <c r="AC210" i="1"/>
  <c r="AB210" i="1" a="1"/>
  <c r="AB210" i="1"/>
  <c r="AE209" i="1"/>
  <c r="AD209" i="1"/>
  <c r="AC209" i="1"/>
  <c r="AB209" i="1" a="1"/>
  <c r="AB209" i="1"/>
  <c r="AE208" i="1"/>
  <c r="AD208" i="1"/>
  <c r="AC208" i="1"/>
  <c r="AB208" i="1" a="1"/>
  <c r="AB208" i="1"/>
  <c r="AE207" i="1"/>
  <c r="AD207" i="1"/>
  <c r="AC207" i="1"/>
  <c r="AB207" i="1" a="1"/>
  <c r="AB207" i="1" s="1"/>
  <c r="AE206" i="1"/>
  <c r="AD206" i="1"/>
  <c r="AC206" i="1"/>
  <c r="AB206" i="1" a="1"/>
  <c r="AB206" i="1" s="1"/>
  <c r="AE205" i="1"/>
  <c r="AD205" i="1"/>
  <c r="AF205" i="1" s="1"/>
  <c r="AC205" i="1"/>
  <c r="AB205" i="1" a="1"/>
  <c r="AB205" i="1"/>
  <c r="AE204" i="1"/>
  <c r="AD204" i="1"/>
  <c r="AC204" i="1"/>
  <c r="AB204" i="1" a="1"/>
  <c r="AB204" i="1"/>
  <c r="AE203" i="1"/>
  <c r="AD203" i="1"/>
  <c r="AC203" i="1"/>
  <c r="AB203" i="1" a="1"/>
  <c r="AB203" i="1" s="1"/>
  <c r="AE202" i="1"/>
  <c r="AD202" i="1"/>
  <c r="AC202" i="1"/>
  <c r="AB202" i="1" a="1"/>
  <c r="AB202" i="1" s="1"/>
  <c r="AE201" i="1"/>
  <c r="AD201" i="1"/>
  <c r="AC201" i="1"/>
  <c r="AB201" i="1" a="1"/>
  <c r="AB201" i="1"/>
  <c r="AE200" i="1"/>
  <c r="AD200" i="1"/>
  <c r="AC200" i="1"/>
  <c r="AB200" i="1" a="1"/>
  <c r="AB200" i="1"/>
  <c r="AE199" i="1"/>
  <c r="AD199" i="1"/>
  <c r="AF199" i="1" s="1"/>
  <c r="AC199" i="1"/>
  <c r="AB199" i="1" a="1"/>
  <c r="AB199" i="1"/>
  <c r="AE198" i="1"/>
  <c r="AD198" i="1"/>
  <c r="AC198" i="1"/>
  <c r="AB198" i="1" a="1"/>
  <c r="AB198" i="1"/>
  <c r="AE197" i="1"/>
  <c r="AD197" i="1"/>
  <c r="AC197" i="1"/>
  <c r="AB197" i="1" a="1"/>
  <c r="AB197" i="1"/>
  <c r="AE196" i="1"/>
  <c r="AD196" i="1"/>
  <c r="AC196" i="1"/>
  <c r="AB196" i="1" a="1"/>
  <c r="AB196" i="1"/>
  <c r="AE195" i="1"/>
  <c r="AD195" i="1"/>
  <c r="AC195" i="1"/>
  <c r="AB195" i="1" a="1"/>
  <c r="AB195" i="1"/>
  <c r="AE194" i="1"/>
  <c r="AD194" i="1"/>
  <c r="AF194" i="1" s="1"/>
  <c r="AC194" i="1"/>
  <c r="AB194" i="1" a="1"/>
  <c r="AB194" i="1"/>
  <c r="AE193" i="1"/>
  <c r="AD193" i="1"/>
  <c r="AF193" i="1" s="1"/>
  <c r="AC193" i="1"/>
  <c r="AB193" i="1" a="1"/>
  <c r="AB193" i="1" s="1"/>
  <c r="AE192" i="1"/>
  <c r="AD192" i="1"/>
  <c r="AC192" i="1"/>
  <c r="AB192" i="1" a="1"/>
  <c r="AB192" i="1"/>
  <c r="AE191" i="1"/>
  <c r="AD191" i="1"/>
  <c r="AC191" i="1"/>
  <c r="AB191" i="1" a="1"/>
  <c r="AB191" i="1" s="1"/>
  <c r="AE190" i="1"/>
  <c r="AD190" i="1"/>
  <c r="AC190" i="1"/>
  <c r="AB190" i="1" a="1"/>
  <c r="AB190" i="1"/>
  <c r="AE189" i="1"/>
  <c r="AD189" i="1"/>
  <c r="AC189" i="1"/>
  <c r="AB189" i="1" a="1"/>
  <c r="AB189" i="1" s="1"/>
  <c r="AE188" i="1"/>
  <c r="AD188" i="1"/>
  <c r="AC188" i="1"/>
  <c r="AB188" i="1" a="1"/>
  <c r="AB188" i="1"/>
  <c r="AE187" i="1"/>
  <c r="AD187" i="1"/>
  <c r="AF187" i="1" s="1"/>
  <c r="AC187" i="1"/>
  <c r="AB187" i="1" a="1"/>
  <c r="AB187" i="1"/>
  <c r="AE186" i="1"/>
  <c r="AD186" i="1"/>
  <c r="AF186" i="1" s="1"/>
  <c r="AC186" i="1"/>
  <c r="AB186" i="1" a="1"/>
  <c r="AB186" i="1"/>
  <c r="AE185" i="1"/>
  <c r="AD185" i="1"/>
  <c r="AC185" i="1"/>
  <c r="AB185" i="1" a="1"/>
  <c r="AB185" i="1"/>
  <c r="AE184" i="1"/>
  <c r="AD184" i="1"/>
  <c r="AF184" i="1" s="1"/>
  <c r="AC184" i="1"/>
  <c r="AB184" i="1" a="1"/>
  <c r="AB184" i="1"/>
  <c r="AE183" i="1"/>
  <c r="AD183" i="1"/>
  <c r="AC183" i="1"/>
  <c r="AB183" i="1" a="1"/>
  <c r="AB183" i="1"/>
  <c r="AE182" i="1"/>
  <c r="AD182" i="1"/>
  <c r="AC182" i="1"/>
  <c r="AB182" i="1" a="1"/>
  <c r="AB182" i="1"/>
  <c r="AE181" i="1"/>
  <c r="AD181" i="1"/>
  <c r="AC181" i="1"/>
  <c r="AB181" i="1" a="1"/>
  <c r="AB181" i="1"/>
  <c r="AE180" i="1"/>
  <c r="AD180" i="1"/>
  <c r="AC180" i="1"/>
  <c r="AB180" i="1" a="1"/>
  <c r="AB180" i="1" s="1"/>
  <c r="AE179" i="1"/>
  <c r="AD179" i="1"/>
  <c r="AC179" i="1"/>
  <c r="AB179" i="1" a="1"/>
  <c r="AB179" i="1" s="1"/>
  <c r="AE178" i="1"/>
  <c r="AD178" i="1"/>
  <c r="AC178" i="1"/>
  <c r="AB178" i="1" a="1"/>
  <c r="AB178" i="1"/>
  <c r="AE177" i="1"/>
  <c r="AD177" i="1"/>
  <c r="AC177" i="1"/>
  <c r="AB177" i="1" a="1"/>
  <c r="AB177" i="1"/>
  <c r="AE176" i="1"/>
  <c r="AD176" i="1"/>
  <c r="AC176" i="1"/>
  <c r="AB176" i="1" a="1"/>
  <c r="AB176" i="1" s="1"/>
  <c r="AE175" i="1"/>
  <c r="AD175" i="1"/>
  <c r="AC175" i="1"/>
  <c r="AB175" i="1" a="1"/>
  <c r="AB175" i="1"/>
  <c r="AE174" i="1"/>
  <c r="AD174" i="1"/>
  <c r="AC174" i="1"/>
  <c r="AB174" i="1" a="1"/>
  <c r="AB174" i="1"/>
  <c r="AE173" i="1"/>
  <c r="AD173" i="1"/>
  <c r="AC173" i="1"/>
  <c r="AB173" i="1" a="1"/>
  <c r="AB173" i="1" s="1"/>
  <c r="AE172" i="1"/>
  <c r="AD172" i="1"/>
  <c r="AC172" i="1"/>
  <c r="AB172" i="1" a="1"/>
  <c r="AB172" i="1"/>
  <c r="AE171" i="1"/>
  <c r="AD171" i="1"/>
  <c r="AC171" i="1"/>
  <c r="AB171" i="1" a="1"/>
  <c r="AB171" i="1"/>
  <c r="AE170" i="1"/>
  <c r="AD170" i="1"/>
  <c r="AC170" i="1"/>
  <c r="AB170" i="1" a="1"/>
  <c r="AB170" i="1"/>
  <c r="AE169" i="1"/>
  <c r="AD169" i="1"/>
  <c r="AC169" i="1"/>
  <c r="AB169" i="1" a="1"/>
  <c r="AB169" i="1"/>
  <c r="AE168" i="1"/>
  <c r="AD168" i="1"/>
  <c r="AC168" i="1"/>
  <c r="AB168" i="1" a="1"/>
  <c r="AB168" i="1"/>
  <c r="AE167" i="1"/>
  <c r="AD167" i="1"/>
  <c r="AC167" i="1"/>
  <c r="AB167" i="1" a="1"/>
  <c r="AB167" i="1"/>
  <c r="AE166" i="1"/>
  <c r="AD166" i="1"/>
  <c r="AC166" i="1"/>
  <c r="AB166" i="1" a="1"/>
  <c r="AB166" i="1"/>
  <c r="AE165" i="1"/>
  <c r="AD165" i="1"/>
  <c r="AC165" i="1"/>
  <c r="AB165" i="1" a="1"/>
  <c r="AB165" i="1"/>
  <c r="AE164" i="1"/>
  <c r="AD164" i="1"/>
  <c r="AC164" i="1"/>
  <c r="AB164" i="1" a="1"/>
  <c r="AB164" i="1" s="1"/>
  <c r="AE163" i="1"/>
  <c r="AD163" i="1"/>
  <c r="AC163" i="1"/>
  <c r="AB163" i="1" a="1"/>
  <c r="AB163" i="1"/>
  <c r="AE162" i="1"/>
  <c r="AD162" i="1"/>
  <c r="AC162" i="1"/>
  <c r="AB162" i="1" a="1"/>
  <c r="AB162" i="1"/>
  <c r="AE161" i="1"/>
  <c r="AD161" i="1"/>
  <c r="AC161" i="1"/>
  <c r="AB161" i="1" a="1"/>
  <c r="AB161" i="1"/>
  <c r="AE160" i="1"/>
  <c r="AD160" i="1"/>
  <c r="AC160" i="1"/>
  <c r="AB160" i="1" a="1"/>
  <c r="AB160" i="1"/>
  <c r="AE159" i="1"/>
  <c r="AD159" i="1"/>
  <c r="AC159" i="1"/>
  <c r="AB159" i="1" a="1"/>
  <c r="AB159" i="1"/>
  <c r="AE158" i="1"/>
  <c r="AD158" i="1"/>
  <c r="AF158" i="1" s="1"/>
  <c r="AC158" i="1"/>
  <c r="AB158" i="1" a="1"/>
  <c r="AB158" i="1"/>
  <c r="AE157" i="1"/>
  <c r="AD157" i="1"/>
  <c r="AC157" i="1"/>
  <c r="AB157" i="1" a="1"/>
  <c r="AB157" i="1"/>
  <c r="AE156" i="1"/>
  <c r="AD156" i="1"/>
  <c r="AC156" i="1"/>
  <c r="AB156" i="1" a="1"/>
  <c r="AB156" i="1"/>
  <c r="AE155" i="1"/>
  <c r="AD155" i="1"/>
  <c r="AC155" i="1"/>
  <c r="AB155" i="1" a="1"/>
  <c r="AB155" i="1"/>
  <c r="AE154" i="1"/>
  <c r="AD154" i="1"/>
  <c r="AF154" i="1" s="1"/>
  <c r="AC154" i="1"/>
  <c r="AB154" i="1" a="1"/>
  <c r="AB154" i="1"/>
  <c r="AE153" i="1"/>
  <c r="AD153" i="1"/>
  <c r="AC153" i="1"/>
  <c r="AB153" i="1" a="1"/>
  <c r="AB153" i="1"/>
  <c r="AE152" i="1"/>
  <c r="AD152" i="1"/>
  <c r="AF152" i="1" s="1"/>
  <c r="AC152" i="1"/>
  <c r="AB152" i="1" a="1"/>
  <c r="AB152" i="1"/>
  <c r="AE151" i="1"/>
  <c r="AD151" i="1"/>
  <c r="AC151" i="1"/>
  <c r="AB151" i="1" a="1"/>
  <c r="AB151" i="1"/>
  <c r="AE150" i="1"/>
  <c r="AD150" i="1"/>
  <c r="AC150" i="1"/>
  <c r="AB150" i="1" a="1"/>
  <c r="AB150" i="1" s="1"/>
  <c r="AE149" i="1"/>
  <c r="AD149" i="1"/>
  <c r="AC149" i="1"/>
  <c r="AB149" i="1" a="1"/>
  <c r="AB149" i="1"/>
  <c r="AE148" i="1"/>
  <c r="AD148" i="1"/>
  <c r="AC148" i="1"/>
  <c r="AB148" i="1" a="1"/>
  <c r="AB148" i="1" s="1"/>
  <c r="AE147" i="1"/>
  <c r="AD147" i="1"/>
  <c r="AC147" i="1"/>
  <c r="AB147" i="1" a="1"/>
  <c r="AB147" i="1"/>
  <c r="AE146" i="1"/>
  <c r="AD146" i="1"/>
  <c r="AC146" i="1"/>
  <c r="AB146" i="1" a="1"/>
  <c r="AB146" i="1"/>
  <c r="AE145" i="1"/>
  <c r="AD145" i="1"/>
  <c r="AC145" i="1"/>
  <c r="AB145" i="1" a="1"/>
  <c r="AB145" i="1"/>
  <c r="AE144" i="1"/>
  <c r="AD144" i="1"/>
  <c r="AC144" i="1"/>
  <c r="AB144" i="1" a="1"/>
  <c r="AB144" i="1"/>
  <c r="AE143" i="1"/>
  <c r="AD143" i="1"/>
  <c r="AC143" i="1"/>
  <c r="AB143" i="1" a="1"/>
  <c r="AB143" i="1"/>
  <c r="AE142" i="1"/>
  <c r="AD142" i="1"/>
  <c r="AF142" i="1" s="1"/>
  <c r="AC142" i="1"/>
  <c r="AB142" i="1" a="1"/>
  <c r="AB142" i="1"/>
  <c r="AE141" i="1"/>
  <c r="AD141" i="1"/>
  <c r="AC141" i="1"/>
  <c r="AB141" i="1" a="1"/>
  <c r="AB141" i="1"/>
  <c r="AE140" i="1"/>
  <c r="AD140" i="1"/>
  <c r="AC140" i="1"/>
  <c r="AB140" i="1" a="1"/>
  <c r="AB140" i="1"/>
  <c r="AE139" i="1"/>
  <c r="AD139" i="1"/>
  <c r="AC139" i="1"/>
  <c r="AB139" i="1" a="1"/>
  <c r="AB139" i="1"/>
  <c r="AE138" i="1"/>
  <c r="AD138" i="1"/>
  <c r="AC138" i="1"/>
  <c r="AB138" i="1" a="1"/>
  <c r="AB138" i="1"/>
  <c r="AE137" i="1"/>
  <c r="AD137" i="1"/>
  <c r="AC137" i="1"/>
  <c r="AB137" i="1" a="1"/>
  <c r="AB137" i="1" s="1"/>
  <c r="AE136" i="1"/>
  <c r="AD136" i="1"/>
  <c r="AC136" i="1"/>
  <c r="AB136" i="1" a="1"/>
  <c r="AB136" i="1"/>
  <c r="AE135" i="1"/>
  <c r="AD135" i="1"/>
  <c r="AC135" i="1"/>
  <c r="AB135" i="1" a="1"/>
  <c r="AB135" i="1" s="1"/>
  <c r="AE134" i="1"/>
  <c r="AD134" i="1"/>
  <c r="AC134" i="1"/>
  <c r="AB134" i="1" a="1"/>
  <c r="AB134" i="1"/>
  <c r="AE133" i="1"/>
  <c r="AD133" i="1"/>
  <c r="AC133" i="1"/>
  <c r="AB133" i="1" a="1"/>
  <c r="AB133" i="1"/>
  <c r="AE132" i="1"/>
  <c r="AD132" i="1"/>
  <c r="AC132" i="1"/>
  <c r="AB132" i="1" a="1"/>
  <c r="AB132" i="1"/>
  <c r="AE131" i="1"/>
  <c r="AD131" i="1"/>
  <c r="AC131" i="1"/>
  <c r="AB131" i="1" a="1"/>
  <c r="AB131" i="1" s="1"/>
  <c r="AE130" i="1"/>
  <c r="AD130" i="1"/>
  <c r="AC130" i="1"/>
  <c r="AB130" i="1" a="1"/>
  <c r="AB130" i="1"/>
  <c r="AE129" i="1"/>
  <c r="AD129" i="1"/>
  <c r="AC129" i="1"/>
  <c r="AB129" i="1" a="1"/>
  <c r="AB129" i="1" s="1"/>
  <c r="AE128" i="1"/>
  <c r="AD128" i="1"/>
  <c r="AC128" i="1"/>
  <c r="AB128" i="1" a="1"/>
  <c r="AB128" i="1"/>
  <c r="AE127" i="1"/>
  <c r="AD127" i="1"/>
  <c r="AC127" i="1"/>
  <c r="AB127" i="1" a="1"/>
  <c r="AB127" i="1"/>
  <c r="AE126" i="1"/>
  <c r="AD126" i="1"/>
  <c r="AC126" i="1"/>
  <c r="AB126" i="1" a="1"/>
  <c r="AB126" i="1"/>
  <c r="AE125" i="1"/>
  <c r="AD125" i="1"/>
  <c r="AC125" i="1"/>
  <c r="AB125" i="1" a="1"/>
  <c r="AB125" i="1"/>
  <c r="AE124" i="1"/>
  <c r="AD124" i="1"/>
  <c r="AC124" i="1"/>
  <c r="AB124" i="1" a="1"/>
  <c r="AB124" i="1"/>
  <c r="AE123" i="1"/>
  <c r="AD123" i="1"/>
  <c r="AC123" i="1"/>
  <c r="AB123" i="1" a="1"/>
  <c r="AB123" i="1"/>
  <c r="AE122" i="1"/>
  <c r="AD122" i="1"/>
  <c r="AC122" i="1"/>
  <c r="AB122" i="1" a="1"/>
  <c r="AB122" i="1"/>
  <c r="AE121" i="1"/>
  <c r="AD121" i="1"/>
  <c r="AF121" i="1" s="1"/>
  <c r="AC121" i="1"/>
  <c r="AB121" i="1" a="1"/>
  <c r="AB121" i="1"/>
  <c r="AE120" i="1"/>
  <c r="AD120" i="1"/>
  <c r="AF120" i="1" s="1"/>
  <c r="AC120" i="1"/>
  <c r="AB120" i="1" a="1"/>
  <c r="AB120" i="1"/>
  <c r="AE119" i="1"/>
  <c r="AD119" i="1"/>
  <c r="AF119" i="1" s="1"/>
  <c r="AC119" i="1"/>
  <c r="AB119" i="1" a="1"/>
  <c r="AB119" i="1"/>
  <c r="AE118" i="1"/>
  <c r="AD118" i="1"/>
  <c r="AF118" i="1" s="1"/>
  <c r="AC118" i="1"/>
  <c r="AB118" i="1" a="1"/>
  <c r="AB118" i="1" s="1"/>
  <c r="AE117" i="1"/>
  <c r="AD117" i="1"/>
  <c r="AC117" i="1"/>
  <c r="AB117" i="1" a="1"/>
  <c r="AB117" i="1" s="1"/>
  <c r="AE116" i="1"/>
  <c r="AD116" i="1"/>
  <c r="AC116" i="1"/>
  <c r="AB116" i="1" a="1"/>
  <c r="AB116" i="1"/>
  <c r="AE115" i="1"/>
  <c r="AD115" i="1"/>
  <c r="AC115" i="1"/>
  <c r="AB115" i="1" a="1"/>
  <c r="AB115" i="1"/>
  <c r="AE114" i="1"/>
  <c r="AD114" i="1"/>
  <c r="AC114" i="1"/>
  <c r="AB114" i="1" a="1"/>
  <c r="AB114" i="1"/>
  <c r="AE113" i="1"/>
  <c r="AD113" i="1"/>
  <c r="AC113" i="1"/>
  <c r="AB113" i="1" a="1"/>
  <c r="AB113" i="1"/>
  <c r="AE112" i="1"/>
  <c r="AD112" i="1"/>
  <c r="AC112" i="1"/>
  <c r="AB112" i="1" a="1"/>
  <c r="AB112" i="1"/>
  <c r="AE111" i="1"/>
  <c r="AD111" i="1"/>
  <c r="AC111" i="1"/>
  <c r="AB111" i="1" a="1"/>
  <c r="AB111" i="1"/>
  <c r="AE110" i="1"/>
  <c r="AD110" i="1"/>
  <c r="AC110" i="1"/>
  <c r="AB110" i="1" a="1"/>
  <c r="AB110" i="1"/>
  <c r="AE109" i="1"/>
  <c r="AD109" i="1"/>
  <c r="AC109" i="1"/>
  <c r="AB109" i="1" a="1"/>
  <c r="AB109" i="1"/>
  <c r="AE108" i="1"/>
  <c r="AD108" i="1"/>
  <c r="AC108" i="1"/>
  <c r="AB108" i="1" a="1"/>
  <c r="AB108" i="1" s="1"/>
  <c r="AE107" i="1"/>
  <c r="AD107" i="1"/>
  <c r="AC107" i="1"/>
  <c r="AB107" i="1" a="1"/>
  <c r="AB107" i="1"/>
  <c r="AE106" i="1"/>
  <c r="AD106" i="1"/>
  <c r="AC106" i="1"/>
  <c r="AB106" i="1" a="1"/>
  <c r="AB106" i="1"/>
  <c r="AE105" i="1"/>
  <c r="AD105" i="1"/>
  <c r="AC105" i="1"/>
  <c r="AB105" i="1" a="1"/>
  <c r="AB105" i="1" s="1"/>
  <c r="AE104" i="1"/>
  <c r="AD104" i="1"/>
  <c r="AC104" i="1"/>
  <c r="AB104" i="1" a="1"/>
  <c r="AB104" i="1" s="1"/>
  <c r="AE103" i="1"/>
  <c r="AD103" i="1"/>
  <c r="AC103" i="1"/>
  <c r="AB103" i="1" a="1"/>
  <c r="AB103" i="1"/>
  <c r="AE102" i="1"/>
  <c r="AD102" i="1"/>
  <c r="AC102" i="1"/>
  <c r="AB102" i="1" a="1"/>
  <c r="AB102" i="1"/>
  <c r="AF101" i="1"/>
  <c r="AE101" i="1"/>
  <c r="AD101" i="1"/>
  <c r="AC101" i="1"/>
  <c r="AB101" i="1" a="1"/>
  <c r="AB101" i="1"/>
  <c r="AE100" i="1"/>
  <c r="AD100" i="1"/>
  <c r="AC100" i="1"/>
  <c r="AB100" i="1" a="1"/>
  <c r="AB100" i="1"/>
  <c r="AE99" i="1"/>
  <c r="AD99" i="1"/>
  <c r="AF99" i="1" s="1"/>
  <c r="AC99" i="1"/>
  <c r="AB99" i="1" a="1"/>
  <c r="AB99" i="1"/>
  <c r="AE98" i="1"/>
  <c r="AD98" i="1"/>
  <c r="AC98" i="1"/>
  <c r="AB98" i="1" a="1"/>
  <c r="AB98" i="1" s="1"/>
  <c r="AE97" i="1"/>
  <c r="AD97" i="1"/>
  <c r="AF97" i="1" s="1"/>
  <c r="AC97" i="1"/>
  <c r="AB97" i="1" a="1"/>
  <c r="AB97" i="1"/>
  <c r="AE96" i="1"/>
  <c r="AD96" i="1"/>
  <c r="AF96" i="1" s="1"/>
  <c r="AC96" i="1"/>
  <c r="AB96" i="1" a="1"/>
  <c r="AB96" i="1" s="1"/>
  <c r="AE95" i="1"/>
  <c r="AD95" i="1"/>
  <c r="AF95" i="1" s="1"/>
  <c r="AC95" i="1"/>
  <c r="AB95" i="1" a="1"/>
  <c r="AB95" i="1"/>
  <c r="AE94" i="1"/>
  <c r="AD94" i="1"/>
  <c r="AF94" i="1" s="1"/>
  <c r="AC94" i="1"/>
  <c r="AB94" i="1" a="1"/>
  <c r="AB94" i="1"/>
  <c r="AE93" i="1"/>
  <c r="AD93" i="1"/>
  <c r="AF93" i="1" s="1"/>
  <c r="AC93" i="1"/>
  <c r="AB93" i="1" a="1"/>
  <c r="AB93" i="1"/>
  <c r="AE92" i="1"/>
  <c r="AD92" i="1"/>
  <c r="AF92" i="1" s="1"/>
  <c r="AC92" i="1"/>
  <c r="AB92" i="1" a="1"/>
  <c r="AB92" i="1" s="1"/>
  <c r="AE91" i="1"/>
  <c r="AD91" i="1"/>
  <c r="AF91" i="1" s="1"/>
  <c r="AC91" i="1"/>
  <c r="AB91" i="1" a="1"/>
  <c r="AB91" i="1"/>
  <c r="AE90" i="1"/>
  <c r="AD90" i="1"/>
  <c r="AF90" i="1" s="1"/>
  <c r="AC90" i="1"/>
  <c r="AB90" i="1" a="1"/>
  <c r="AB90" i="1"/>
  <c r="AE89" i="1"/>
  <c r="AD89" i="1"/>
  <c r="AF89" i="1" s="1"/>
  <c r="AC89" i="1"/>
  <c r="AB89" i="1" a="1"/>
  <c r="AB89" i="1" s="1"/>
  <c r="AE88" i="1"/>
  <c r="AD88" i="1"/>
  <c r="AF88" i="1" s="1"/>
  <c r="AC88" i="1"/>
  <c r="AB88" i="1" a="1"/>
  <c r="AB88" i="1"/>
  <c r="AE87" i="1"/>
  <c r="AD87" i="1"/>
  <c r="AC87" i="1"/>
  <c r="AB87" i="1" a="1"/>
  <c r="AB87" i="1"/>
  <c r="AE86" i="1"/>
  <c r="AD86" i="1"/>
  <c r="AF86" i="1" s="1"/>
  <c r="AC86" i="1"/>
  <c r="AB86" i="1" a="1"/>
  <c r="AB86" i="1" s="1"/>
  <c r="AE85" i="1"/>
  <c r="AD85" i="1"/>
  <c r="AF85" i="1" s="1"/>
  <c r="AC85" i="1"/>
  <c r="AB85" i="1" a="1"/>
  <c r="AB85" i="1" s="1"/>
  <c r="AE84" i="1"/>
  <c r="AD84" i="1"/>
  <c r="AF84" i="1" s="1"/>
  <c r="AC84" i="1"/>
  <c r="AB84" i="1" a="1"/>
  <c r="AB84" i="1"/>
  <c r="AE83" i="1"/>
  <c r="AD83" i="1"/>
  <c r="AF83" i="1" s="1"/>
  <c r="AC83" i="1"/>
  <c r="AB83" i="1" a="1"/>
  <c r="AB83" i="1"/>
  <c r="AE82" i="1"/>
  <c r="AD82" i="1"/>
  <c r="AC82" i="1"/>
  <c r="AB82" i="1" a="1"/>
  <c r="AB82" i="1" s="1"/>
  <c r="AE81" i="1"/>
  <c r="AD81" i="1"/>
  <c r="AC81" i="1"/>
  <c r="AB81" i="1" a="1"/>
  <c r="AB81" i="1"/>
  <c r="AE80" i="1"/>
  <c r="AD80" i="1"/>
  <c r="AF80" i="1" s="1"/>
  <c r="AC80" i="1"/>
  <c r="AB80" i="1" a="1"/>
  <c r="AB80" i="1"/>
  <c r="AE79" i="1"/>
  <c r="AF79" i="1" s="1"/>
  <c r="AD79" i="1"/>
  <c r="AC79" i="1"/>
  <c r="AB79" i="1" a="1"/>
  <c r="AB79" i="1"/>
  <c r="AE78" i="1"/>
  <c r="AD78" i="1"/>
  <c r="AC78" i="1"/>
  <c r="AB78" i="1" a="1"/>
  <c r="AB78" i="1"/>
  <c r="AE77" i="1"/>
  <c r="AD77" i="1"/>
  <c r="AF77" i="1" s="1"/>
  <c r="AC77" i="1"/>
  <c r="AB77" i="1" a="1"/>
  <c r="AB77" i="1"/>
  <c r="AE76" i="1"/>
  <c r="AD76" i="1"/>
  <c r="AC76" i="1"/>
  <c r="AB76" i="1" a="1"/>
  <c r="AB76" i="1"/>
  <c r="AE75" i="1"/>
  <c r="AD75" i="1"/>
  <c r="AF75" i="1" s="1"/>
  <c r="AC75" i="1"/>
  <c r="AB75" i="1" a="1"/>
  <c r="AB75" i="1"/>
  <c r="AE74" i="1"/>
  <c r="AD74" i="1"/>
  <c r="AF74" i="1" s="1"/>
  <c r="AC74" i="1"/>
  <c r="AB74" i="1" a="1"/>
  <c r="AB74" i="1"/>
  <c r="AE73" i="1"/>
  <c r="AD73" i="1"/>
  <c r="AF73" i="1" s="1"/>
  <c r="AC73" i="1"/>
  <c r="AB73" i="1" a="1"/>
  <c r="AB73" i="1" s="1"/>
  <c r="AE72" i="1"/>
  <c r="AD72" i="1"/>
  <c r="AF72" i="1" s="1"/>
  <c r="AC72" i="1"/>
  <c r="AB72" i="1" a="1"/>
  <c r="AB72" i="1"/>
  <c r="AE71" i="1"/>
  <c r="AD71" i="1"/>
  <c r="AF71" i="1" s="1"/>
  <c r="AC71" i="1"/>
  <c r="AB71" i="1" a="1"/>
  <c r="AB71" i="1"/>
  <c r="AE70" i="1"/>
  <c r="AD70" i="1"/>
  <c r="AF70" i="1" s="1"/>
  <c r="AC70" i="1"/>
  <c r="AB70" i="1" a="1"/>
  <c r="AB70" i="1"/>
  <c r="AE69" i="1"/>
  <c r="AD69" i="1"/>
  <c r="AF69" i="1" s="1"/>
  <c r="AC69" i="1"/>
  <c r="AB69" i="1" a="1"/>
  <c r="AB69" i="1" s="1"/>
  <c r="AE68" i="1"/>
  <c r="AD68" i="1"/>
  <c r="AF68" i="1" s="1"/>
  <c r="AC68" i="1"/>
  <c r="AB68" i="1" a="1"/>
  <c r="AB68" i="1"/>
  <c r="AE67" i="1"/>
  <c r="AD67" i="1"/>
  <c r="AF67" i="1" s="1"/>
  <c r="AC67" i="1"/>
  <c r="AB67" i="1" a="1"/>
  <c r="AB67" i="1"/>
  <c r="AE66" i="1"/>
  <c r="AD66" i="1"/>
  <c r="AC66" i="1"/>
  <c r="AB66" i="1" a="1"/>
  <c r="AB66" i="1"/>
  <c r="AE65" i="1"/>
  <c r="AD65" i="1"/>
  <c r="AC65" i="1"/>
  <c r="AB65" i="1" a="1"/>
  <c r="AB65" i="1"/>
  <c r="AE64" i="1"/>
  <c r="AD64" i="1"/>
  <c r="AC64" i="1"/>
  <c r="AB64" i="1" a="1"/>
  <c r="AB64" i="1"/>
  <c r="AE63" i="1"/>
  <c r="AD63" i="1"/>
  <c r="AF63" i="1" s="1"/>
  <c r="AC63" i="1"/>
  <c r="AB63" i="1" a="1"/>
  <c r="AB63" i="1"/>
  <c r="AE62" i="1"/>
  <c r="AD62" i="1"/>
  <c r="AC62" i="1"/>
  <c r="AB62" i="1" a="1"/>
  <c r="AB62" i="1"/>
  <c r="AE61" i="1"/>
  <c r="AD61" i="1"/>
  <c r="AF61" i="1" s="1"/>
  <c r="AC61" i="1"/>
  <c r="AB61" i="1" a="1"/>
  <c r="AB61" i="1"/>
  <c r="AE60" i="1"/>
  <c r="AD60" i="1"/>
  <c r="AC60" i="1"/>
  <c r="AB60" i="1" a="1"/>
  <c r="AB60" i="1" s="1"/>
  <c r="AE59" i="1"/>
  <c r="AD59" i="1"/>
  <c r="AF59" i="1" s="1"/>
  <c r="AC59" i="1"/>
  <c r="AB59" i="1" a="1"/>
  <c r="AB59" i="1"/>
  <c r="AE58" i="1"/>
  <c r="AD58" i="1"/>
  <c r="AC58" i="1"/>
  <c r="AB58" i="1" a="1"/>
  <c r="AB58" i="1"/>
  <c r="AE57" i="1"/>
  <c r="AD57" i="1"/>
  <c r="AC57" i="1"/>
  <c r="AB57" i="1" a="1"/>
  <c r="AB57" i="1"/>
  <c r="AE56" i="1"/>
  <c r="AD56" i="1"/>
  <c r="AC56" i="1"/>
  <c r="AB56" i="1" a="1"/>
  <c r="AB56" i="1"/>
  <c r="AE55" i="1"/>
  <c r="AD55" i="1"/>
  <c r="AC55" i="1"/>
  <c r="AB55" i="1" a="1"/>
  <c r="AB55" i="1"/>
  <c r="AE54" i="1"/>
  <c r="AD54" i="1"/>
  <c r="AC54" i="1"/>
  <c r="AB54" i="1" a="1"/>
  <c r="AB54" i="1"/>
  <c r="AE53" i="1"/>
  <c r="AD53" i="1"/>
  <c r="AC53" i="1"/>
  <c r="AB53" i="1" a="1"/>
  <c r="AB53" i="1" s="1"/>
  <c r="AE52" i="1"/>
  <c r="AD52" i="1"/>
  <c r="AF52" i="1" s="1"/>
  <c r="AC52" i="1"/>
  <c r="AB52" i="1" a="1"/>
  <c r="AB52" i="1"/>
  <c r="AE51" i="1"/>
  <c r="AD51" i="1"/>
  <c r="AC51" i="1"/>
  <c r="AB51" i="1" a="1"/>
  <c r="AB51" i="1"/>
  <c r="AE50" i="1"/>
  <c r="AD50" i="1"/>
  <c r="AC50" i="1"/>
  <c r="AB50" i="1" a="1"/>
  <c r="AB50" i="1"/>
  <c r="AE49" i="1"/>
  <c r="AD49" i="1"/>
  <c r="AF49" i="1" s="1"/>
  <c r="AC49" i="1"/>
  <c r="AB49" i="1" a="1"/>
  <c r="AB49" i="1"/>
  <c r="AE48" i="1"/>
  <c r="AD48" i="1"/>
  <c r="AF48" i="1" s="1"/>
  <c r="AC48" i="1"/>
  <c r="AB48" i="1" a="1"/>
  <c r="AB48" i="1"/>
  <c r="AE47" i="1"/>
  <c r="AD47" i="1"/>
  <c r="AF47" i="1" s="1"/>
  <c r="AC47" i="1"/>
  <c r="AB47" i="1" a="1"/>
  <c r="AB47" i="1"/>
  <c r="AE46" i="1"/>
  <c r="AD46" i="1"/>
  <c r="AC46" i="1"/>
  <c r="AB46" i="1" a="1"/>
  <c r="AB46" i="1" s="1"/>
  <c r="AE45" i="1"/>
  <c r="AD45" i="1"/>
  <c r="AC45" i="1"/>
  <c r="AB45" i="1" a="1"/>
  <c r="AB45" i="1"/>
  <c r="AE44" i="1"/>
  <c r="AD44" i="1"/>
  <c r="AF44" i="1" s="1"/>
  <c r="AC44" i="1"/>
  <c r="AB44" i="1" a="1"/>
  <c r="AB44" i="1"/>
  <c r="AE43" i="1"/>
  <c r="AD43" i="1"/>
  <c r="AF43" i="1" s="1"/>
  <c r="AC43" i="1"/>
  <c r="AB43" i="1" a="1"/>
  <c r="AB43" i="1"/>
  <c r="AE42" i="1"/>
  <c r="AD42" i="1"/>
  <c r="AF42" i="1" s="1"/>
  <c r="AC42" i="1"/>
  <c r="AB42" i="1" a="1"/>
  <c r="AB42" i="1"/>
  <c r="AE41" i="1"/>
  <c r="AD41" i="1"/>
  <c r="AF41" i="1" s="1"/>
  <c r="AC41" i="1"/>
  <c r="AB41" i="1" a="1"/>
  <c r="AB41" i="1"/>
  <c r="AE40" i="1"/>
  <c r="AD40" i="1"/>
  <c r="AC40" i="1"/>
  <c r="AB40" i="1" a="1"/>
  <c r="AB40" i="1" s="1"/>
  <c r="AE39" i="1"/>
  <c r="AD39" i="1"/>
  <c r="AC39" i="1"/>
  <c r="AB39" i="1" a="1"/>
  <c r="AB39" i="1"/>
  <c r="AE38" i="1"/>
  <c r="AD38" i="1"/>
  <c r="AC38" i="1"/>
  <c r="AB38" i="1" a="1"/>
  <c r="AB38" i="1"/>
  <c r="AE37" i="1"/>
  <c r="AD37" i="1"/>
  <c r="AC37" i="1"/>
  <c r="AB37" i="1" a="1"/>
  <c r="AB37" i="1"/>
  <c r="AE36" i="1"/>
  <c r="AD36" i="1"/>
  <c r="AC36" i="1"/>
  <c r="AB36" i="1" a="1"/>
  <c r="AB36" i="1"/>
  <c r="AE35" i="1"/>
  <c r="AD35" i="1"/>
  <c r="AC35" i="1"/>
  <c r="AB35" i="1" a="1"/>
  <c r="AB35" i="1"/>
  <c r="AE34" i="1"/>
  <c r="AD34" i="1"/>
  <c r="AC34" i="1"/>
  <c r="AB34" i="1" a="1"/>
  <c r="AB34" i="1"/>
  <c r="AE33" i="1"/>
  <c r="AD33" i="1"/>
  <c r="AC33" i="1"/>
  <c r="AB33" i="1" a="1"/>
  <c r="AB33" i="1"/>
  <c r="AE32" i="1"/>
  <c r="AD32" i="1"/>
  <c r="AC32" i="1"/>
  <c r="AB32" i="1" a="1"/>
  <c r="AB32" i="1"/>
  <c r="AE31" i="1"/>
  <c r="AD31" i="1"/>
  <c r="AC31" i="1"/>
  <c r="AB31" i="1" a="1"/>
  <c r="AB31" i="1" s="1"/>
  <c r="AE30" i="1"/>
  <c r="AD30" i="1"/>
  <c r="AC30" i="1"/>
  <c r="AB30" i="1" a="1"/>
  <c r="AB30" i="1"/>
  <c r="AE29" i="1"/>
  <c r="AD29" i="1"/>
  <c r="AF29" i="1" s="1"/>
  <c r="AC29" i="1"/>
  <c r="AB29" i="1" a="1"/>
  <c r="AB29" i="1"/>
  <c r="AE28" i="1"/>
  <c r="AD28" i="1"/>
  <c r="AF28" i="1" s="1"/>
  <c r="AC28" i="1"/>
  <c r="AB28" i="1" a="1"/>
  <c r="AB28" i="1" s="1"/>
  <c r="AE27" i="1"/>
  <c r="AD27" i="1"/>
  <c r="AF27" i="1" s="1"/>
  <c r="AC27" i="1"/>
  <c r="AB27" i="1" a="1"/>
  <c r="AB27" i="1" s="1"/>
  <c r="AE26" i="1"/>
  <c r="AF26" i="1" s="1"/>
  <c r="AD26" i="1"/>
  <c r="AC26" i="1"/>
  <c r="AB26" i="1" a="1"/>
  <c r="AB26" i="1"/>
  <c r="AE25" i="1"/>
  <c r="AD25" i="1"/>
  <c r="AF25" i="1" s="1"/>
  <c r="AC25" i="1"/>
  <c r="AB25" i="1" a="1"/>
  <c r="AB25" i="1"/>
  <c r="AE24" i="1"/>
  <c r="AD24" i="1"/>
  <c r="AC24" i="1"/>
  <c r="AB24" i="1" a="1"/>
  <c r="AB24" i="1"/>
  <c r="AE23" i="1"/>
  <c r="AD23" i="1"/>
  <c r="AF23" i="1" s="1"/>
  <c r="AC23" i="1"/>
  <c r="AB23" i="1" a="1"/>
  <c r="AB23" i="1" s="1"/>
  <c r="AE22" i="1"/>
  <c r="AD22" i="1"/>
  <c r="AF22" i="1" s="1"/>
  <c r="AC22" i="1"/>
  <c r="AB22" i="1" a="1"/>
  <c r="AB22" i="1"/>
  <c r="AE21" i="1"/>
  <c r="AD21" i="1"/>
  <c r="AF21" i="1" s="1"/>
  <c r="AC21" i="1"/>
  <c r="AB21" i="1" a="1"/>
  <c r="AB21" i="1"/>
  <c r="AE20" i="1"/>
  <c r="AD20" i="1"/>
  <c r="AC20" i="1"/>
  <c r="AB20" i="1" a="1"/>
  <c r="AB20" i="1"/>
  <c r="AE19" i="1"/>
  <c r="AD19" i="1"/>
  <c r="AC19" i="1"/>
  <c r="AB19" i="1" a="1"/>
  <c r="AB19" i="1"/>
  <c r="AE18" i="1"/>
  <c r="AD18" i="1"/>
  <c r="AF18" i="1" s="1"/>
  <c r="AC18" i="1"/>
  <c r="AB18" i="1" a="1"/>
  <c r="AB18" i="1" s="1"/>
  <c r="AE17" i="1"/>
  <c r="AD17" i="1"/>
  <c r="AC17" i="1"/>
  <c r="AB17" i="1" a="1"/>
  <c r="AB17" i="1"/>
  <c r="AE16" i="1"/>
  <c r="AD16" i="1"/>
  <c r="AC16" i="1"/>
  <c r="AB16" i="1" a="1"/>
  <c r="AB16" i="1"/>
  <c r="AE15" i="1"/>
  <c r="AD15" i="1"/>
  <c r="AF15" i="1" s="1"/>
  <c r="AC15" i="1"/>
  <c r="AB15" i="1" a="1"/>
  <c r="AB15" i="1" s="1"/>
  <c r="AE14" i="1"/>
  <c r="AD14" i="1"/>
  <c r="AF14" i="1" s="1"/>
  <c r="AC14" i="1"/>
  <c r="AB14" i="1" a="1"/>
  <c r="AB14" i="1" s="1"/>
  <c r="AE13" i="1"/>
  <c r="AD13" i="1"/>
  <c r="AF13" i="1" s="1"/>
  <c r="AC13" i="1"/>
  <c r="AB13" i="1" a="1"/>
  <c r="AB13" i="1"/>
  <c r="AE12" i="1"/>
  <c r="AD12" i="1"/>
  <c r="AF12" i="1" s="1"/>
  <c r="AC12" i="1"/>
  <c r="AB12" i="1" a="1"/>
  <c r="AB12" i="1"/>
  <c r="AE11" i="1"/>
  <c r="AD11" i="1"/>
  <c r="AF11" i="1" s="1"/>
  <c r="AC11" i="1"/>
  <c r="AB11" i="1" a="1"/>
  <c r="AB11" i="1"/>
  <c r="AE10" i="1"/>
  <c r="AD10" i="1"/>
  <c r="AF10" i="1" s="1"/>
  <c r="AC10" i="1"/>
  <c r="AB10" i="1" a="1"/>
  <c r="AB10" i="1"/>
  <c r="AE9" i="1"/>
  <c r="AD9" i="1"/>
  <c r="AC9" i="1"/>
  <c r="AB9" i="1" a="1"/>
  <c r="AB9" i="1"/>
  <c r="AE8" i="1"/>
  <c r="AD8" i="1"/>
  <c r="AC8" i="1"/>
  <c r="AB8" i="1" a="1"/>
  <c r="AB8" i="1"/>
  <c r="AE7" i="1"/>
  <c r="AD7" i="1"/>
  <c r="AC7" i="1"/>
  <c r="AB7" i="1" a="1"/>
  <c r="AB7" i="1"/>
  <c r="AE6" i="1"/>
  <c r="AD6" i="1"/>
  <c r="AF6" i="1" s="1"/>
  <c r="AC6" i="1"/>
  <c r="AB6" i="1" a="1"/>
  <c r="AB6" i="1"/>
  <c r="AE5" i="1"/>
  <c r="AD5" i="1"/>
  <c r="AC5" i="1"/>
  <c r="AB5" i="1" a="1"/>
  <c r="AB5" i="1" s="1"/>
  <c r="AE4" i="1"/>
  <c r="AD4" i="1"/>
  <c r="AC4" i="1"/>
  <c r="AB4" i="1" a="1"/>
  <c r="AB4" i="1"/>
  <c r="AB3" i="1"/>
  <c r="AF8" i="1" l="1"/>
  <c r="AF185" i="1"/>
  <c r="AF30" i="1"/>
  <c r="AF24" i="1"/>
  <c r="AF212" i="1"/>
  <c r="AF78" i="1"/>
  <c r="AF7" i="1"/>
  <c r="AF20" i="1"/>
  <c r="AF46" i="1"/>
  <c r="AF195" i="1"/>
  <c r="AF87" i="1"/>
  <c r="AF51" i="1"/>
  <c r="AF45" i="1"/>
  <c r="AF58" i="1"/>
  <c r="AF285" i="1"/>
  <c r="AF76" i="1"/>
  <c r="AF66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<sst xmlns="http://schemas.openxmlformats.org/spreadsheetml/2006/main" count="5913" uniqueCount="654">
  <si>
    <t>序号</t>
  </si>
  <si>
    <t>适用
牌号</t>
  </si>
  <si>
    <t>分类
序号</t>
  </si>
  <si>
    <t>最小厚度mm</t>
  </si>
  <si>
    <t>最大厚度mm</t>
  </si>
  <si>
    <t>炼钢
牌号</t>
  </si>
  <si>
    <t>钢种类型</t>
  </si>
  <si>
    <t>液相线温度℃</t>
  </si>
  <si>
    <t>内控成分目标值/wt%</t>
  </si>
  <si>
    <t>备注</t>
  </si>
  <si>
    <t>铝块---方法1</t>
  </si>
  <si>
    <t>铝块---方法2</t>
  </si>
  <si>
    <t>实际铝铝耗2026年</t>
  </si>
  <si>
    <t>实际铝铝耗2025年</t>
  </si>
  <si>
    <t>C</t>
  </si>
  <si>
    <t>Si</t>
  </si>
  <si>
    <t>Mn</t>
  </si>
  <si>
    <t>P</t>
  </si>
  <si>
    <t>S</t>
  </si>
  <si>
    <t>V</t>
  </si>
  <si>
    <t>Nb</t>
  </si>
  <si>
    <t>Ti</t>
  </si>
  <si>
    <t>Als</t>
  </si>
  <si>
    <t>Alt</t>
  </si>
  <si>
    <t>Ca</t>
  </si>
  <si>
    <t>Cr</t>
  </si>
  <si>
    <t>Ni</t>
  </si>
  <si>
    <t>Cu</t>
  </si>
  <si>
    <t>Mo</t>
  </si>
  <si>
    <t>B</t>
  </si>
  <si>
    <t>Sb</t>
  </si>
  <si>
    <t>N</t>
  </si>
  <si>
    <t>合金不含税价格</t>
  </si>
  <si>
    <t>Q195</t>
  </si>
  <si>
    <t>01</t>
  </si>
  <si>
    <t>Q195-1</t>
  </si>
  <si>
    <t>A 碳素钢-碳素结构钢-A20 Q195</t>
  </si>
  <si>
    <t>02</t>
  </si>
  <si>
    <t>Q195-2</t>
  </si>
  <si>
    <t/>
  </si>
  <si>
    <t>Q235B</t>
  </si>
  <si>
    <t>Q235B-1</t>
  </si>
  <si>
    <t>A 碳素钢-碳素结构钢-A01 Q235B</t>
  </si>
  <si>
    <t>Q235B-2</t>
  </si>
  <si>
    <t>Q235C</t>
  </si>
  <si>
    <t>Q235C-1</t>
  </si>
  <si>
    <t>A 碳素钢-碳素结构钢-A02 Q235C</t>
  </si>
  <si>
    <t>Q235C-2</t>
  </si>
  <si>
    <t>Q235B-WJ</t>
  </si>
  <si>
    <t>Q235B-LX</t>
  </si>
  <si>
    <t>Q235B-HX</t>
  </si>
  <si>
    <t>Q235B-GL</t>
  </si>
  <si>
    <t>Q235B-GL1</t>
  </si>
  <si>
    <t>A 碳素钢-碳素结构钢-A06 Q235B-GL</t>
  </si>
  <si>
    <t>Q235B-GL2</t>
  </si>
  <si>
    <t>Q235B-GC</t>
  </si>
  <si>
    <t>Q235B-GC1</t>
  </si>
  <si>
    <t>A 碳素钢-碳素结构钢-A33 Q235B-GC</t>
  </si>
  <si>
    <t>Q235B-GC2</t>
  </si>
  <si>
    <t>Q235B-SD</t>
  </si>
  <si>
    <t>Q235B-SD1</t>
  </si>
  <si>
    <t>A 碳素钢-碳素结构钢-A22 Q235B-SD</t>
  </si>
  <si>
    <t>Q235B-SD2</t>
  </si>
  <si>
    <t>Q235B-HG</t>
  </si>
  <si>
    <t>A 碳素钢-碳素结构钢-A05 Q235B-HG</t>
  </si>
  <si>
    <t>A36</t>
  </si>
  <si>
    <t>A36-1</t>
  </si>
  <si>
    <t>A 碳素钢-碳素结构钢-A09 A36</t>
  </si>
  <si>
    <t>A36-2</t>
  </si>
  <si>
    <t>A36-DX</t>
  </si>
  <si>
    <t>A36-DX1</t>
  </si>
  <si>
    <t>A 碳素钢-碳素结构钢-A36 A36-DX</t>
  </si>
  <si>
    <t>A36-DX2</t>
  </si>
  <si>
    <t>SS400</t>
  </si>
  <si>
    <t>SS400-1</t>
  </si>
  <si>
    <t>A 碳素钢-碳素结构钢-A18 SS400</t>
  </si>
  <si>
    <t>SS400-2</t>
  </si>
  <si>
    <t>A36-HW</t>
  </si>
  <si>
    <t>Q235-HW</t>
  </si>
  <si>
    <t>E 花纹板-花纹板类钢材-E01 Q235-HW</t>
  </si>
  <si>
    <t>Q355-HW</t>
  </si>
  <si>
    <t>Q355-HW1</t>
  </si>
  <si>
    <t>E 花纹板-花纹板类钢材-E04 Q355-HW</t>
  </si>
  <si>
    <t>Q355级别花纹板</t>
  </si>
  <si>
    <t>Q355-HW2</t>
  </si>
  <si>
    <t>SPHC</t>
  </si>
  <si>
    <t>SPHC-ZT</t>
  </si>
  <si>
    <t>C 热轧低碳钢-冷轧基料-C01 SPHC</t>
  </si>
  <si>
    <t>SPHC-SX</t>
  </si>
  <si>
    <t>SPHC-M</t>
  </si>
  <si>
    <t>C 热轧低碳钢-冷轧基料-C02 SPHC-M</t>
  </si>
  <si>
    <t>SPHC-M(B)</t>
  </si>
  <si>
    <t>C 热轧低碳钢-冷轧基料-C05 SPHC-M(B)</t>
  </si>
  <si>
    <t>含硼马口铁</t>
  </si>
  <si>
    <t>MRT2.5</t>
  </si>
  <si>
    <t>C 热轧低碳钢-冷轧基料-C03 MRT2.5</t>
  </si>
  <si>
    <t>供日照昱岚新材料有限公司冷轧用热轧卷板</t>
  </si>
  <si>
    <t>YFMRT2.5</t>
  </si>
  <si>
    <t>C 热轧低碳钢-冷轧基料-C07 YFMRT2.5</t>
  </si>
  <si>
    <t>供友富用热轧卷板</t>
  </si>
  <si>
    <t>YLMRT3</t>
  </si>
  <si>
    <t>C 热轧低碳钢-冷轧基料-C04 YLMRT3</t>
  </si>
  <si>
    <t>Q355B</t>
  </si>
  <si>
    <t>Q355B-1</t>
  </si>
  <si>
    <t>B 结构钢-低合金高强结构钢-B01 Q355B</t>
  </si>
  <si>
    <t>Q355B-2</t>
  </si>
  <si>
    <t>03</t>
  </si>
  <si>
    <t>Q355B-3B</t>
  </si>
  <si>
    <t>B 低合金钢-低合金高强结构钢-B01 Q355B</t>
  </si>
  <si>
    <t>Q355C</t>
  </si>
  <si>
    <t>Q355C-1</t>
  </si>
  <si>
    <t>B 低合金钢-低合金高强结构钢-B03 Q355C</t>
  </si>
  <si>
    <t>Q355C-2</t>
  </si>
  <si>
    <t>Q355C-3</t>
  </si>
  <si>
    <t>Q355D</t>
  </si>
  <si>
    <t>Q355D-1</t>
  </si>
  <si>
    <t>B 低合金钢-低合金高强结构钢-B04 Q355D</t>
  </si>
  <si>
    <t>Q355D-2</t>
  </si>
  <si>
    <t>Q355D-3</t>
  </si>
  <si>
    <t>Q355B-T</t>
  </si>
  <si>
    <t>Q355B-T1</t>
  </si>
  <si>
    <t>B 低合金钢-低合金高强结构钢-B17 Q355B-T</t>
  </si>
  <si>
    <t>Q355B-T2</t>
  </si>
  <si>
    <t>Q355B-T3</t>
  </si>
  <si>
    <t>Q355ME</t>
  </si>
  <si>
    <t>Q355ME-1</t>
  </si>
  <si>
    <t>B 低合金钢-低合金高强结构钢-B26 Q355ME</t>
  </si>
  <si>
    <t>Q355ME-2</t>
  </si>
  <si>
    <t>Q355ME-3</t>
  </si>
  <si>
    <t>Q355B-S</t>
  </si>
  <si>
    <t>B 低合金钢-低合金高强结构钢-B24 Q355B-S</t>
  </si>
  <si>
    <t>Q355B-SS</t>
  </si>
  <si>
    <t>Q355B-SD</t>
  </si>
  <si>
    <t>Q355B-SD1</t>
  </si>
  <si>
    <t>B 低合金钢-低合金高强结构钢-B46 Q355B-SD</t>
  </si>
  <si>
    <t>Q355B-SD2</t>
  </si>
  <si>
    <t>Q355B-SD3</t>
  </si>
  <si>
    <t>Q355B-DX</t>
  </si>
  <si>
    <t>Q355B-DX1</t>
  </si>
  <si>
    <t>B 低合金钢-低合金高强结构钢-B20 Q355B-DX</t>
  </si>
  <si>
    <t>Q355B-ZW</t>
  </si>
  <si>
    <t>Q355B-ZW3</t>
  </si>
  <si>
    <t>B 低合金钢-低合金高强结构钢-B19 Q355B-ZW</t>
  </si>
  <si>
    <t>Q355B-ZW4</t>
  </si>
  <si>
    <t>Q355B-HL1</t>
  </si>
  <si>
    <t>Q355B-3A</t>
  </si>
  <si>
    <t>Q355B-HL2</t>
  </si>
  <si>
    <t>Q355B-HL3</t>
  </si>
  <si>
    <t>Q355B-HL4</t>
  </si>
  <si>
    <t>Q355C-HL3</t>
  </si>
  <si>
    <t>SS400-M</t>
  </si>
  <si>
    <t>A 碳素钢-碳素结构钢-A43 SS400-M</t>
  </si>
  <si>
    <t>Q390B</t>
  </si>
  <si>
    <t>Q390B-1</t>
  </si>
  <si>
    <t>B 低合金钢-低合金高强结构钢-B16 Q390B</t>
  </si>
  <si>
    <t>Q390B-2</t>
  </si>
  <si>
    <t>Q390B-3</t>
  </si>
  <si>
    <t>Q420B</t>
  </si>
  <si>
    <t>Q420B-1</t>
  </si>
  <si>
    <t>B 低合金钢-低合金高强结构钢-B02 Q420B</t>
  </si>
  <si>
    <t>Q420B-2</t>
  </si>
  <si>
    <t>Q420MB</t>
  </si>
  <si>
    <t>Q420B-HL1</t>
  </si>
  <si>
    <t>Q420B-HL2</t>
  </si>
  <si>
    <t>Q420C</t>
  </si>
  <si>
    <t>Q420C-1</t>
  </si>
  <si>
    <t>B 低合金钢-低合金高强结构钢-B29 Q420C</t>
  </si>
  <si>
    <t>Q420C-2</t>
  </si>
  <si>
    <t>Q420C-HL2</t>
  </si>
  <si>
    <t>Q420MD</t>
  </si>
  <si>
    <t>Q420MD-1</t>
  </si>
  <si>
    <t>B 低合金钢-低合金高强结构钢-B48 Q420MD-HL2</t>
  </si>
  <si>
    <t>Q420MD-2</t>
  </si>
  <si>
    <t>Q420MD-HL1</t>
  </si>
  <si>
    <t>Q420MD-HL2</t>
  </si>
  <si>
    <t>Q420ME</t>
  </si>
  <si>
    <t>Q420ME-1</t>
  </si>
  <si>
    <t>B 低合金钢-低合金高强结构钢-B44 Q420ME</t>
  </si>
  <si>
    <t>Q420ME-2</t>
  </si>
  <si>
    <t>Q460C</t>
  </si>
  <si>
    <t>Q460C-1</t>
  </si>
  <si>
    <t>B 低合金钢-低合金高强结构钢-B22 Q460C</t>
  </si>
  <si>
    <t>Q460C-2</t>
  </si>
  <si>
    <t>Q460MC</t>
  </si>
  <si>
    <t>Q460MC-1</t>
  </si>
  <si>
    <t>B 低合金钢-低合金高强结构钢-B06 Q460MC</t>
  </si>
  <si>
    <t>Q460MC-2</t>
  </si>
  <si>
    <t>Q460MC(YZ)</t>
  </si>
  <si>
    <t>Q460MC(YZ)-2</t>
  </si>
  <si>
    <t>B 低合金钢-低合金高强结构钢-B56 Q460MC(YZ)</t>
  </si>
  <si>
    <t>Q460MD</t>
  </si>
  <si>
    <t>Q460MD-1</t>
  </si>
  <si>
    <t>B 低合金钢-低合金高强结构钢-B07 Q460MD</t>
  </si>
  <si>
    <t>Q460MD-2</t>
  </si>
  <si>
    <t>Q500MC</t>
  </si>
  <si>
    <t>Q500MC-1</t>
  </si>
  <si>
    <t>B 低合金钢-低合金高强结构钢-B49 Q500MC</t>
  </si>
  <si>
    <t>Q500MC-2</t>
  </si>
  <si>
    <t>Q500MD</t>
  </si>
  <si>
    <t>Q500MD-1</t>
  </si>
  <si>
    <t>B 低合金钢-低合金高强结构钢-B50 Q500MD</t>
  </si>
  <si>
    <t>Q500MD-2</t>
  </si>
  <si>
    <t>Q550MD</t>
  </si>
  <si>
    <t>B 低合金钢-低合金高强结构钢-B38 Q550MD</t>
  </si>
  <si>
    <t>Q390GJB</t>
  </si>
  <si>
    <t>Q390GJB-1</t>
  </si>
  <si>
    <t>B 低合金钢-低合金高强结构钢-B40 Q390GJB</t>
  </si>
  <si>
    <t>Q390GJB-2</t>
  </si>
  <si>
    <t>A572Gr50</t>
  </si>
  <si>
    <t>A572Gr50-1</t>
  </si>
  <si>
    <t>B 低合金钢-低合金高强结构钢-B25 A572Gr50</t>
  </si>
  <si>
    <t>A572Gr50-2</t>
  </si>
  <si>
    <t>A572Gr50-3</t>
  </si>
  <si>
    <t>A572Gr50-DX</t>
  </si>
  <si>
    <t>A572Gr50-DX1</t>
  </si>
  <si>
    <t>B 低合金钢-低合金高强结构钢-B55 A572Gr50-DX</t>
  </si>
  <si>
    <t>A572Gr50-DX2</t>
  </si>
  <si>
    <t>A572Gr50-DX3</t>
  </si>
  <si>
    <t>A572GR60</t>
  </si>
  <si>
    <t>A572GR60-1</t>
  </si>
  <si>
    <t>B 低合金钢-低合金高强结构钢-B54 A572GR60</t>
  </si>
  <si>
    <t>A572GR60-2</t>
  </si>
  <si>
    <t>A572GR60-3</t>
  </si>
  <si>
    <t>A572GR65</t>
  </si>
  <si>
    <t>A572GR65-1</t>
  </si>
  <si>
    <t>B 低合金钢-低合金高强结构钢-B37 A572GR65</t>
  </si>
  <si>
    <t>A572GR65-2</t>
  </si>
  <si>
    <t>A572GR65-T</t>
  </si>
  <si>
    <t>A572GR65-T1</t>
  </si>
  <si>
    <t>B 低合金钢-低合金高强结构钢-B30 A572GR65-T</t>
  </si>
  <si>
    <t>A572GR65-T2</t>
  </si>
  <si>
    <t>26MnB5</t>
  </si>
  <si>
    <t>I 合金结构钢-MnB钢-I02 26MnB5</t>
  </si>
  <si>
    <t>SA516 Gr70</t>
  </si>
  <si>
    <t>SA516 Gr70-1</t>
  </si>
  <si>
    <t>F 压力容器用钢-美标-F05 SA516 Gr70</t>
  </si>
  <si>
    <t>S235JR</t>
  </si>
  <si>
    <t>S235JR-1</t>
  </si>
  <si>
    <t>A 碳素钢-碳素结构钢-A17 S235JR</t>
  </si>
  <si>
    <t>欧标用</t>
  </si>
  <si>
    <t>S235JR-2</t>
  </si>
  <si>
    <t>S235JR-DX</t>
  </si>
  <si>
    <t>S235JR-DX1</t>
  </si>
  <si>
    <t>A 碳素钢-碳素结构钢-A40 S235JR-DX</t>
  </si>
  <si>
    <t>S235JR-DX2</t>
  </si>
  <si>
    <t>S235J0</t>
  </si>
  <si>
    <t>S235J0-1</t>
  </si>
  <si>
    <t>A 碳素钢-碳素结构钢-A14 S235J0</t>
  </si>
  <si>
    <t>S235J0-2</t>
  </si>
  <si>
    <t>S235J2</t>
  </si>
  <si>
    <t>S235J2-1</t>
  </si>
  <si>
    <t>A 碳素钢-碳素结构钢-A15 S235J2</t>
  </si>
  <si>
    <t>S235J2-2</t>
  </si>
  <si>
    <t>S275JR</t>
  </si>
  <si>
    <t>S275JR-1</t>
  </si>
  <si>
    <t>A 碳素钢-碳素结构钢-A10 S275JR</t>
  </si>
  <si>
    <t>S275JR-2</t>
  </si>
  <si>
    <t>S275JR-3</t>
  </si>
  <si>
    <t>S275JR-DX</t>
  </si>
  <si>
    <t>S275JR-DX1</t>
  </si>
  <si>
    <t>A 碳素钢-碳素结构钢-A38 S275JR-DX</t>
  </si>
  <si>
    <t>S275JR-DX2</t>
  </si>
  <si>
    <t>S275J0</t>
  </si>
  <si>
    <t>S275J0-1</t>
  </si>
  <si>
    <t>A 碳素钢-碳素结构钢-A28 S275J0</t>
  </si>
  <si>
    <t>S275J0-2</t>
  </si>
  <si>
    <t>S275J2</t>
  </si>
  <si>
    <t>S275J2-1</t>
  </si>
  <si>
    <t>A 碳素钢-碳素结构钢-A29 S275J2</t>
  </si>
  <si>
    <t>S275J2-2</t>
  </si>
  <si>
    <t>S355JR</t>
  </si>
  <si>
    <t>S355JR-1</t>
  </si>
  <si>
    <t>A 碳素钢-碳素结构钢-A21 S355JR</t>
  </si>
  <si>
    <t>S355JR-2</t>
  </si>
  <si>
    <t>S355JR-3</t>
  </si>
  <si>
    <t>S355JR-DX</t>
  </si>
  <si>
    <t>S355JR-DX1</t>
  </si>
  <si>
    <t>A 碳素钢-碳素结构钢-A31 S355JR-DX</t>
  </si>
  <si>
    <t>S355JR-DX2</t>
  </si>
  <si>
    <t>S355J0</t>
  </si>
  <si>
    <t>S355J0-1</t>
  </si>
  <si>
    <t>A 碳素钢-碳素结构钢-A26 S355J0</t>
  </si>
  <si>
    <t>S355J0-2</t>
  </si>
  <si>
    <t>S355J0-3</t>
  </si>
  <si>
    <t>S355J0-DX</t>
  </si>
  <si>
    <t>S355J0-DX1</t>
  </si>
  <si>
    <t>A 碳素钢-碳素结构钢-A32 S355J0-DX</t>
  </si>
  <si>
    <t>控硅S355J0-DX</t>
  </si>
  <si>
    <t>S355J0-DX2</t>
  </si>
  <si>
    <t>S355J2</t>
  </si>
  <si>
    <t>S355J2-1</t>
  </si>
  <si>
    <t>A 碳素钢-碳素结构钢-A16 S355J2</t>
  </si>
  <si>
    <t>S355J2-2</t>
  </si>
  <si>
    <t>S355J2-3</t>
  </si>
  <si>
    <t>S355M</t>
  </si>
  <si>
    <t>S355M-1</t>
  </si>
  <si>
    <t>A 碳素钢-碳素结构钢-A11 S355M</t>
  </si>
  <si>
    <t>S355M-2</t>
  </si>
  <si>
    <t>S460M</t>
  </si>
  <si>
    <t>S460M-1</t>
  </si>
  <si>
    <t>A 碳素钢-碳素结构钢-A12 S460M</t>
  </si>
  <si>
    <t>S460M-2</t>
  </si>
  <si>
    <t>S420MC</t>
  </si>
  <si>
    <t>S420MC-1</t>
  </si>
  <si>
    <t>B 低合金钢-低合金高强结构钢-B32 S420MC</t>
  </si>
  <si>
    <t>S420MC-2</t>
  </si>
  <si>
    <t>S460MC</t>
  </si>
  <si>
    <t>S460MC-1</t>
  </si>
  <si>
    <t>B 低合金钢-低合金高强结构钢-B53 S460MC</t>
  </si>
  <si>
    <t>S460MC-2</t>
  </si>
  <si>
    <t>S500MC</t>
  </si>
  <si>
    <t>S500MC-1</t>
  </si>
  <si>
    <t>D 汽车用钢-汽车结构钢-D11 S500MC</t>
  </si>
  <si>
    <t>S500MC-2</t>
  </si>
  <si>
    <t>QStE420TM</t>
  </si>
  <si>
    <t>QStE420TM-1</t>
  </si>
  <si>
    <t>D 汽车用钢-汽车结构钢-D17 QStE420TM</t>
  </si>
  <si>
    <t>QStE420TM-2</t>
  </si>
  <si>
    <t>QStE500TM</t>
  </si>
  <si>
    <t>QStE500TM-1</t>
  </si>
  <si>
    <t>D 汽车用钢-汽车结构钢-D12 QStE500TM</t>
  </si>
  <si>
    <t>QStE500TM-2</t>
  </si>
  <si>
    <t>QStE700TM</t>
  </si>
  <si>
    <t>QStE700TM-1</t>
  </si>
  <si>
    <t>D 汽车用钢-汽车结构钢-D19 QStE700TM</t>
  </si>
  <si>
    <t>QStE700TM-2</t>
  </si>
  <si>
    <t>BX700</t>
  </si>
  <si>
    <t>B 低合金钢-保险箱用钢-B45 BX700</t>
  </si>
  <si>
    <t>SR700</t>
  </si>
  <si>
    <t>B 低合金钢-保险箱用钢-B58 SR700</t>
  </si>
  <si>
    <t>C355-5</t>
  </si>
  <si>
    <t>B 低合金钢-低合金高强结构钢-B41 C355-5</t>
  </si>
  <si>
    <t>YFA-1</t>
  </si>
  <si>
    <t>D 汽车用钢-汽车大梁钢-D22 YFA-1</t>
  </si>
  <si>
    <t>安驰定制</t>
  </si>
  <si>
    <t>Q245R</t>
  </si>
  <si>
    <t>Q245R-1</t>
  </si>
  <si>
    <t>F 压力容器用钢-345级别-F02 Q245R</t>
  </si>
  <si>
    <t>Q245R-2</t>
  </si>
  <si>
    <t>Q345R</t>
  </si>
  <si>
    <t>F 压力容器用钢-345级别-F01 Q345R</t>
  </si>
  <si>
    <t>Q345R-1</t>
  </si>
  <si>
    <t>Q345R-E</t>
  </si>
  <si>
    <t>Q345R-E1</t>
  </si>
  <si>
    <t>F 压力容器用钢-345级别-F06 Q345R-E</t>
  </si>
  <si>
    <t>Q345R-E2</t>
  </si>
  <si>
    <t>Q345qC</t>
  </si>
  <si>
    <t>B 低合金钢-低合金高强结构钢-B36 Q345qC</t>
  </si>
  <si>
    <t>Q345qD</t>
  </si>
  <si>
    <t>B 低合金钢-低合金高强结构钢-B35 Q345qD</t>
  </si>
  <si>
    <t>HP295</t>
  </si>
  <si>
    <t>H 焊接气瓶用钢-295级别-H01 HP295</t>
  </si>
  <si>
    <t>Q235PL</t>
  </si>
  <si>
    <t>Q235PL-1</t>
  </si>
  <si>
    <t>D 汽车用钢-汽车车轮用钢-D04 Q235PL</t>
  </si>
  <si>
    <t>Q235PL-2</t>
  </si>
  <si>
    <t>330CL</t>
  </si>
  <si>
    <t>330CL-1</t>
  </si>
  <si>
    <t>D 汽车用钢-汽车车轮用钢-D08 330CL</t>
  </si>
  <si>
    <t>330CL-2</t>
  </si>
  <si>
    <t>380CL</t>
  </si>
  <si>
    <t>380CL-1</t>
  </si>
  <si>
    <t>D 汽车用钢-汽车车轮用钢-D02 380CL</t>
  </si>
  <si>
    <t>380CL-2</t>
  </si>
  <si>
    <t>380CL-QL</t>
  </si>
  <si>
    <t>380CL-QL1</t>
  </si>
  <si>
    <t>D 汽车用钢-汽车车轮用钢-D23 380CL-QL</t>
  </si>
  <si>
    <t>齐鲁轮业定制</t>
  </si>
  <si>
    <t>380CL-QL2</t>
  </si>
  <si>
    <t>380CL-JD</t>
  </si>
  <si>
    <t>380CL-JD1</t>
  </si>
  <si>
    <t>D 汽车用钢-汽车车轮用钢-D25 380CL-JD</t>
  </si>
  <si>
    <t>380CL-JD2</t>
  </si>
  <si>
    <t>380CL-JD3</t>
  </si>
  <si>
    <t>420CL</t>
  </si>
  <si>
    <t>420CL-1</t>
  </si>
  <si>
    <t>D 汽车用钢-汽车车轮用钢-D18 420CL</t>
  </si>
  <si>
    <t>420CL-2</t>
  </si>
  <si>
    <t>SL440</t>
  </si>
  <si>
    <t>D 汽车用钢-汽车车轮用钢-D21 SL440</t>
  </si>
  <si>
    <t>590CL</t>
  </si>
  <si>
    <t>590CL-1</t>
  </si>
  <si>
    <t>D 汽车用钢-汽车车轮用钢-D13 590CL</t>
  </si>
  <si>
    <t>590CL-2</t>
  </si>
  <si>
    <t>YFDP600-SY</t>
  </si>
  <si>
    <t>D 汽车用钢-汽车车轮用钢-D15 YFDP600-SY</t>
  </si>
  <si>
    <t>510L</t>
  </si>
  <si>
    <t>510L-1</t>
  </si>
  <si>
    <t>D 汽车用钢-汽车大梁钢-D05 510L</t>
  </si>
  <si>
    <t>510L-2</t>
  </si>
  <si>
    <t>610L</t>
  </si>
  <si>
    <t>610L-1</t>
  </si>
  <si>
    <t>D 汽车用钢-汽车大梁钢-D06 610L</t>
  </si>
  <si>
    <t>610L-2</t>
  </si>
  <si>
    <t>YF700BL</t>
  </si>
  <si>
    <t>YF700BL-1</t>
  </si>
  <si>
    <t>D 汽车用钢-汽车大梁钢-D01 YF700BL</t>
  </si>
  <si>
    <t>YF700BL-2</t>
  </si>
  <si>
    <t>YF700BL-3</t>
  </si>
  <si>
    <t>700L</t>
  </si>
  <si>
    <t>700L-1</t>
  </si>
  <si>
    <t>D 汽车用钢-汽车大梁钢-D07 700L</t>
  </si>
  <si>
    <t>700L-2</t>
  </si>
  <si>
    <t>700L-3</t>
  </si>
  <si>
    <t>700L-S</t>
  </si>
  <si>
    <t>700L-S1</t>
  </si>
  <si>
    <t>D 汽车用钢-汽车大梁钢-D24 700L-S</t>
  </si>
  <si>
    <t>700L-S2</t>
  </si>
  <si>
    <t>700L(HJKJ)</t>
  </si>
  <si>
    <t>D 汽车用钢-汽车大梁钢-D26 700L(HJKJ)</t>
  </si>
  <si>
    <t>750L</t>
  </si>
  <si>
    <t>750L-1</t>
  </si>
  <si>
    <t>D 汽车用钢-汽车大梁钢-D16 750L</t>
  </si>
  <si>
    <t>750L-2</t>
  </si>
  <si>
    <t>800L</t>
  </si>
  <si>
    <t>800L-AC</t>
  </si>
  <si>
    <t>D 汽车用钢-汽车大梁钢-D09 800L-AC</t>
  </si>
  <si>
    <t>800L-ACH</t>
  </si>
  <si>
    <t>L245</t>
  </si>
  <si>
    <t>L245-1</t>
  </si>
  <si>
    <t>L 管线钢-L360级别-L02 L245</t>
  </si>
  <si>
    <t>L245-2</t>
  </si>
  <si>
    <t>L245M</t>
  </si>
  <si>
    <t>L245M-1</t>
  </si>
  <si>
    <t>L 管线钢-L360级别-L03 L245M</t>
  </si>
  <si>
    <t>L245M-2</t>
  </si>
  <si>
    <t>L290</t>
  </si>
  <si>
    <t>L290-1</t>
  </si>
  <si>
    <t>L 管线钢-L290级别-L12 L290</t>
  </si>
  <si>
    <t>L290-2</t>
  </si>
  <si>
    <t>L360</t>
  </si>
  <si>
    <t>L 管线钢-L360级别-L01 L360</t>
  </si>
  <si>
    <t>L360M</t>
  </si>
  <si>
    <t>L 管线钢-L360级别-L15 L360M</t>
  </si>
  <si>
    <t>L485</t>
  </si>
  <si>
    <t>L485-1</t>
  </si>
  <si>
    <t>L 管线钢-L485级别-L08 L485</t>
  </si>
  <si>
    <t>L485-2</t>
  </si>
  <si>
    <t>X42</t>
  </si>
  <si>
    <t>X42-1</t>
  </si>
  <si>
    <t>L 管线钢-API-L09 X42</t>
  </si>
  <si>
    <t>X42-2</t>
  </si>
  <si>
    <t>X60M</t>
  </si>
  <si>
    <t>X60M-1</t>
  </si>
  <si>
    <t>L 管线钢-API-L11 X60M</t>
  </si>
  <si>
    <t>X60M-2</t>
  </si>
  <si>
    <t xml:space="preserve">PSL1 X65 </t>
  </si>
  <si>
    <t>X65-1</t>
  </si>
  <si>
    <t>L 管线钢-API-L04 API 5L X65</t>
  </si>
  <si>
    <t>X65-2</t>
  </si>
  <si>
    <t>X70</t>
  </si>
  <si>
    <t>X70-1</t>
  </si>
  <si>
    <t>L 管线钢-API-L05 X70</t>
  </si>
  <si>
    <t>API 5L X70</t>
  </si>
  <si>
    <t>X70-2</t>
  </si>
  <si>
    <t>X70M</t>
  </si>
  <si>
    <t>X70M-1</t>
  </si>
  <si>
    <t>L 管线钢-API-L06 X70M</t>
  </si>
  <si>
    <t>API 5L X70M</t>
  </si>
  <si>
    <t>X70M-2</t>
  </si>
  <si>
    <t>X80M</t>
  </si>
  <si>
    <t>X80M-1</t>
  </si>
  <si>
    <t>L 管线钢-API-L07 X80M</t>
  </si>
  <si>
    <t>X80M管线钢</t>
  </si>
  <si>
    <t>X80M-2</t>
  </si>
  <si>
    <t>Gr.B</t>
  </si>
  <si>
    <t>Gr.B-1</t>
  </si>
  <si>
    <t>L 管线钢-API-L13 Gr.B</t>
  </si>
  <si>
    <t>Gr.B-2</t>
  </si>
  <si>
    <t>JF-RS</t>
  </si>
  <si>
    <t>B 低合金钢-低合金高强结构钢-B27 JF-RS</t>
  </si>
  <si>
    <t>F520JJ</t>
  </si>
  <si>
    <t>B 低合金钢-搅拌车用钢-B18 F520JJ</t>
  </si>
  <si>
    <t>09CrCuSb</t>
  </si>
  <si>
    <t>F 压力容器用钢-耐酸钢-F03 09CrCuSb</t>
  </si>
  <si>
    <t>Q235NH</t>
  </si>
  <si>
    <t>Q235NH-1</t>
  </si>
  <si>
    <t>N 耐候钢-焊接耐候结构钢-N02 Q235NH</t>
  </si>
  <si>
    <t>Q235NH-2</t>
  </si>
  <si>
    <t>A709-50W</t>
  </si>
  <si>
    <t>A709-50W-1</t>
  </si>
  <si>
    <t>N 耐候钢-美标低合金高强钢-N04 A709-50W</t>
  </si>
  <si>
    <t>A709-50W-2</t>
  </si>
  <si>
    <t>A588GR.A</t>
  </si>
  <si>
    <t>A588GR.A-1</t>
  </si>
  <si>
    <t>N 耐候钢-美标低合金高强钢-N01 A588GR.A</t>
  </si>
  <si>
    <t>A588GR.A-2</t>
  </si>
  <si>
    <t>Q450NQR1</t>
  </si>
  <si>
    <t>N 耐候钢-焊接耐候结构钢-N03 Q450NQR1</t>
  </si>
  <si>
    <t>HXN-1</t>
  </si>
  <si>
    <t>HXN-11</t>
  </si>
  <si>
    <t>J 耐磨钢-345级别-J01 HXN-1</t>
  </si>
  <si>
    <t>HXN-12</t>
  </si>
  <si>
    <t>HXN-2</t>
  </si>
  <si>
    <t>J 耐磨钢-345级别-J04 HXN-2</t>
  </si>
  <si>
    <t>HXN-3</t>
  </si>
  <si>
    <t>J 耐磨钢-345级别-J11 HXN-3</t>
  </si>
  <si>
    <t>HXN-4</t>
  </si>
  <si>
    <t>J 耐磨钢-345级别-J12 HXN-4</t>
  </si>
  <si>
    <t>HX750</t>
  </si>
  <si>
    <t>HX750-1</t>
  </si>
  <si>
    <t>J 耐磨钢-750级别-J02 HX750</t>
  </si>
  <si>
    <t>HX750-2</t>
  </si>
  <si>
    <t>NM400</t>
  </si>
  <si>
    <t>NM400-1</t>
  </si>
  <si>
    <t>J 耐磨钢-400级别-J05 NM400</t>
  </si>
  <si>
    <t>NM400-2</t>
  </si>
  <si>
    <t>NM450</t>
  </si>
  <si>
    <t>NM450-1</t>
  </si>
  <si>
    <t>J 耐磨钢-450级别-J06 NM450</t>
  </si>
  <si>
    <t>NM450-2</t>
  </si>
  <si>
    <t>NM500</t>
  </si>
  <si>
    <t>NM500-1</t>
  </si>
  <si>
    <t>J 耐磨钢-500级别-J07 NM500</t>
  </si>
  <si>
    <t>NM500-2</t>
  </si>
  <si>
    <t>NM600</t>
  </si>
  <si>
    <t>NM600-1</t>
  </si>
  <si>
    <t>J 耐磨钢-600级别-J10 NM600</t>
  </si>
  <si>
    <t>NM600-2</t>
  </si>
  <si>
    <t>Q690D</t>
  </si>
  <si>
    <t>Q690D-1</t>
  </si>
  <si>
    <t>Q 高强钢-690系列-Q01 Q690D</t>
  </si>
  <si>
    <t>A</t>
  </si>
  <si>
    <t>G 船舶结构用钢- 一般强度结构钢-G01 A</t>
  </si>
  <si>
    <t>AH32</t>
  </si>
  <si>
    <t>AH32-1</t>
  </si>
  <si>
    <t>AH32-2</t>
  </si>
  <si>
    <t>AH36</t>
  </si>
  <si>
    <t>AH36-1</t>
  </si>
  <si>
    <t>AH36-2</t>
  </si>
  <si>
    <t>CCSA</t>
  </si>
  <si>
    <t>CCSB</t>
  </si>
  <si>
    <t>CCSAH32</t>
  </si>
  <si>
    <t>CCSAH32-1</t>
  </si>
  <si>
    <t>CCSAH32-2</t>
  </si>
  <si>
    <t>CCSAH36</t>
  </si>
  <si>
    <t>CCSAH36-1</t>
  </si>
  <si>
    <t>CCSAH36-2</t>
  </si>
  <si>
    <t>AB/A</t>
  </si>
  <si>
    <t>AB/B</t>
  </si>
  <si>
    <t>AB/AH32</t>
  </si>
  <si>
    <t>AB/AH32-1</t>
  </si>
  <si>
    <t>AB/AH32-2</t>
  </si>
  <si>
    <t>AB/AH36</t>
  </si>
  <si>
    <t>AB/AH36-1</t>
  </si>
  <si>
    <t>AB/AH36-2</t>
  </si>
  <si>
    <t>BVA</t>
  </si>
  <si>
    <t>BVB</t>
  </si>
  <si>
    <t>BVAH32</t>
  </si>
  <si>
    <t>BVAH32-1</t>
  </si>
  <si>
    <t>BVAH32-2</t>
  </si>
  <si>
    <t>BVAH36</t>
  </si>
  <si>
    <t>BVAH36-1</t>
  </si>
  <si>
    <t>BVAH36-2</t>
  </si>
  <si>
    <t>NV A</t>
  </si>
  <si>
    <t>NV B</t>
  </si>
  <si>
    <t>NV A32</t>
  </si>
  <si>
    <t>NV A32-1</t>
  </si>
  <si>
    <t>NV A32-2</t>
  </si>
  <si>
    <t>NV A36</t>
  </si>
  <si>
    <t>NV A36-1</t>
  </si>
  <si>
    <t>NV A36-2</t>
  </si>
  <si>
    <t>KA</t>
  </si>
  <si>
    <t>KB</t>
  </si>
  <si>
    <t>KA32</t>
  </si>
  <si>
    <t>KA32-1</t>
  </si>
  <si>
    <t>KA32-2</t>
  </si>
  <si>
    <t>KA36</t>
  </si>
  <si>
    <t>KA36-1</t>
  </si>
  <si>
    <t>KA36-2</t>
  </si>
  <si>
    <t>KRA</t>
  </si>
  <si>
    <t>KRB</t>
  </si>
  <si>
    <t>KRA32</t>
  </si>
  <si>
    <t>KRA32-1</t>
  </si>
  <si>
    <t>KRA32-2</t>
  </si>
  <si>
    <t>KRA36</t>
  </si>
  <si>
    <t>KRA36-1</t>
  </si>
  <si>
    <t>KRA36-2</t>
  </si>
  <si>
    <t>LRA</t>
  </si>
  <si>
    <t>LRB</t>
  </si>
  <si>
    <t>LRA32</t>
  </si>
  <si>
    <t>LRA32-1</t>
  </si>
  <si>
    <t>LRA32-2</t>
  </si>
  <si>
    <t>LRA36</t>
  </si>
  <si>
    <t>LRA36-1</t>
  </si>
  <si>
    <t>LRA36-2</t>
  </si>
  <si>
    <t>钢种号</t>
  </si>
  <si>
    <t>平均值项:铝耗</t>
  </si>
  <si>
    <t>铝块</t>
  </si>
  <si>
    <t>铝粒</t>
  </si>
  <si>
    <r>
      <rPr>
        <sz val="10"/>
        <rFont val="宋体"/>
        <family val="3"/>
        <charset val="134"/>
      </rPr>
      <t>喂铝线长度（</t>
    </r>
    <r>
      <rPr>
        <sz val="10"/>
        <rFont val="Arial"/>
        <family val="2"/>
      </rPr>
      <t>m</t>
    </r>
    <r>
      <rPr>
        <sz val="10"/>
        <rFont val="宋体"/>
        <family val="3"/>
        <charset val="134"/>
      </rPr>
      <t>）</t>
    </r>
  </si>
  <si>
    <t>出站天车钢水净重（t）</t>
  </si>
  <si>
    <t>铝耗</t>
  </si>
  <si>
    <t>(空白)</t>
  </si>
  <si>
    <t>总计</t>
  </si>
  <si>
    <t>修正后铝耗</t>
  </si>
  <si>
    <t>炉号</t>
  </si>
  <si>
    <t>钢种</t>
  </si>
  <si>
    <t>日期</t>
  </si>
  <si>
    <t>炉次号</t>
  </si>
  <si>
    <t>自产石灰块炼钢石灰窑二车间</t>
  </si>
  <si>
    <t>高铝预熔渣</t>
  </si>
  <si>
    <t>高铝钢包渣改质剂</t>
  </si>
  <si>
    <t>2026-04-20</t>
  </si>
  <si>
    <t>L1G2Z426D00764</t>
  </si>
  <si>
    <t>L1G2Z426D00765</t>
  </si>
  <si>
    <t>L1G2Z426D00766</t>
  </si>
  <si>
    <t>L1G2Z426D00767</t>
  </si>
  <si>
    <t>L1G2Z426D00768</t>
  </si>
  <si>
    <t>L1G2Z426D00769</t>
  </si>
  <si>
    <t>L1G2Z426D00770</t>
  </si>
  <si>
    <t>L1G2Z426D00771</t>
  </si>
  <si>
    <t>2026-04-30</t>
  </si>
  <si>
    <t>L1G2Z426D01160</t>
  </si>
  <si>
    <t>L1G2Z426D01161</t>
  </si>
  <si>
    <t>L1G2Z426D01162</t>
  </si>
  <si>
    <t>L1G2Z426D01163</t>
  </si>
  <si>
    <t>L1G2Z426D01164</t>
  </si>
  <si>
    <t>L1G2Z426D01165</t>
  </si>
  <si>
    <t>2026-05-08</t>
  </si>
  <si>
    <t>L1G2Z426E00296</t>
  </si>
  <si>
    <t>L1G2Z426E00297</t>
  </si>
  <si>
    <t>L1G2Z426E00298</t>
  </si>
  <si>
    <t>L1G2Z426E00299</t>
  </si>
  <si>
    <t>L1G2Z426E00300</t>
  </si>
  <si>
    <t>L1G2Z426E00301</t>
  </si>
  <si>
    <t>2026-05-18</t>
  </si>
  <si>
    <t>L1G2Z426E00713</t>
  </si>
  <si>
    <t>L1G2Z426E00714</t>
  </si>
  <si>
    <t>L1G2Z426E00715</t>
  </si>
  <si>
    <t>L1G2Z426E00716</t>
  </si>
  <si>
    <t>L1G2Z426E00717</t>
  </si>
  <si>
    <t>L1G2Z426E00718</t>
  </si>
  <si>
    <t>L1G2Z426E00719</t>
  </si>
  <si>
    <t>L1G2Z426E00720</t>
  </si>
  <si>
    <t>2026-05-22</t>
  </si>
  <si>
    <t>L1G2Z426E00862</t>
  </si>
  <si>
    <t>L1G2Z426E00863</t>
  </si>
  <si>
    <t>L1G2Z426E00864</t>
  </si>
  <si>
    <t>L1G2Z426E00865</t>
  </si>
  <si>
    <t>L1G2Z426E00866</t>
  </si>
  <si>
    <t>L1G2Z426E00867</t>
  </si>
  <si>
    <t>L1G2Z426E00868</t>
  </si>
  <si>
    <t>L1G2Z426E00869</t>
  </si>
  <si>
    <t>2026-05-23</t>
  </si>
  <si>
    <t>L1G2Z426E00901</t>
  </si>
  <si>
    <t>L1G2Z426E00902</t>
  </si>
  <si>
    <t>L1G2Z426E00903</t>
  </si>
  <si>
    <t>L1G2Z426E00904</t>
  </si>
  <si>
    <t>L1G2Z426E00905</t>
  </si>
  <si>
    <t>L1G2Z426E00906</t>
  </si>
  <si>
    <t>L1G2Z426E00907</t>
  </si>
  <si>
    <t>炼钢
牌号</t>
    <phoneticPr fontId="11" type="noConversion"/>
  </si>
  <si>
    <t>实际铝铝耗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</si>
</sst>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 "/>
    <numFmt numFmtId="177" formatCode="0.000_ "/>
    <numFmt numFmtId="178" formatCode="0.0000_ "/>
    <numFmt numFmtId="179" formatCode="0_ "/>
  </numFmts>
  <fonts count="13" x14ac:knownFonts="1">
    <font>
      <sz val="11"/>
      <color theme="1"/>
      <name val="宋体"/>
      <charset val="134"/>
      <scheme val="minor"/>
    </font>
    <font>
      <sz val="11"/>
      <color indexed="8"/>
      <name val="宋体"/>
      <family val="3"/>
      <charset val="134"/>
      <scheme val="minor"/>
    </font>
    <font>
      <b/>
      <sz val="10"/>
      <name val="宋体"/>
      <family val="3"/>
      <charset val="134"/>
    </font>
    <font>
      <sz val="10"/>
      <name val="Calibri"/>
      <family val="2"/>
    </font>
    <font>
      <b/>
      <sz val="12"/>
      <name val="宋体"/>
      <family val="3"/>
      <charset val="134"/>
    </font>
    <font>
      <sz val="12"/>
      <name val="宋体"/>
      <family val="3"/>
      <charset val="134"/>
    </font>
    <font>
      <b/>
      <sz val="12"/>
      <color indexed="8"/>
      <name val="宋体"/>
      <family val="3"/>
      <charset val="134"/>
      <scheme val="minor"/>
    </font>
    <font>
      <b/>
      <sz val="14"/>
      <name val="宋体"/>
      <family val="3"/>
      <charset val="134"/>
    </font>
    <font>
      <sz val="11"/>
      <name val="宋体"/>
      <family val="3"/>
      <charset val="134"/>
      <scheme val="minor"/>
    </font>
    <font>
      <sz val="10"/>
      <name val="宋体"/>
      <family val="3"/>
      <charset val="134"/>
    </font>
    <font>
      <sz val="10"/>
      <name val="Arial"/>
      <family val="2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7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0" fillId="3" borderId="0" xfId="0" applyFill="1">
      <alignment vertical="center"/>
    </xf>
    <xf numFmtId="0" fontId="1" fillId="0" borderId="0" xfId="0" applyFont="1" applyAlignment="1">
      <alignment horizontal="left" vertical="center"/>
    </xf>
    <xf numFmtId="177" fontId="1" fillId="0" borderId="0" xfId="0" applyNumberFormat="1" applyFont="1">
      <alignment vertical="center"/>
    </xf>
    <xf numFmtId="176" fontId="1" fillId="0" borderId="0" xfId="0" applyNumberFormat="1" applyFont="1">
      <alignment vertical="center"/>
    </xf>
    <xf numFmtId="178" fontId="1" fillId="0" borderId="0" xfId="0" applyNumberFormat="1" applyFont="1">
      <alignment vertical="center"/>
    </xf>
    <xf numFmtId="176" fontId="0" fillId="0" borderId="0" xfId="0" applyNumberFormat="1" applyAlignment="1">
      <alignment horizontal="center" vertical="center"/>
    </xf>
    <xf numFmtId="178" fontId="1" fillId="0" borderId="1" xfId="0" applyNumberFormat="1" applyFont="1" applyBorder="1">
      <alignment vertical="center"/>
    </xf>
    <xf numFmtId="0" fontId="7" fillId="0" borderId="1" xfId="0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177" fontId="7" fillId="0" borderId="1" xfId="0" applyNumberFormat="1" applyFont="1" applyBorder="1" applyAlignment="1">
      <alignment vertical="center" wrapText="1"/>
    </xf>
    <xf numFmtId="176" fontId="7" fillId="0" borderId="1" xfId="0" applyNumberFormat="1" applyFont="1" applyBorder="1" applyAlignment="1">
      <alignment vertical="center" wrapText="1"/>
    </xf>
    <xf numFmtId="178" fontId="7" fillId="0" borderId="1" xfId="0" applyNumberFormat="1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176" fontId="0" fillId="0" borderId="1" xfId="0" applyNumberFormat="1" applyBorder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179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77" fontId="1" fillId="0" borderId="1" xfId="0" applyNumberFormat="1" applyFont="1" applyBorder="1">
      <alignment vertical="center"/>
    </xf>
    <xf numFmtId="176" fontId="1" fillId="0" borderId="1" xfId="0" applyNumberFormat="1" applyFont="1" applyBorder="1">
      <alignment vertical="center"/>
    </xf>
    <xf numFmtId="0" fontId="1" fillId="0" borderId="1" xfId="0" applyFont="1" applyBorder="1">
      <alignment vertical="center"/>
    </xf>
    <xf numFmtId="176" fontId="0" fillId="3" borderId="0" xfId="0" applyNumberFormat="1" applyFill="1" applyAlignment="1">
      <alignment horizontal="center" vertical="center"/>
    </xf>
    <xf numFmtId="176" fontId="0" fillId="4" borderId="0" xfId="0" applyNumberFormat="1" applyFill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177" fontId="1" fillId="3" borderId="1" xfId="0" applyNumberFormat="1" applyFont="1" applyFill="1" applyBorder="1">
      <alignment vertical="center"/>
    </xf>
    <xf numFmtId="176" fontId="1" fillId="3" borderId="1" xfId="0" applyNumberFormat="1" applyFont="1" applyFill="1" applyBorder="1">
      <alignment vertical="center"/>
    </xf>
    <xf numFmtId="178" fontId="1" fillId="3" borderId="1" xfId="0" applyNumberFormat="1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1" fillId="4" borderId="1" xfId="0" applyFont="1" applyFill="1" applyBorder="1">
      <alignment vertical="center"/>
    </xf>
    <xf numFmtId="176" fontId="0" fillId="4" borderId="1" xfId="0" applyNumberFormat="1" applyFill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left" vertical="center"/>
    </xf>
    <xf numFmtId="177" fontId="1" fillId="3" borderId="2" xfId="0" applyNumberFormat="1" applyFont="1" applyFill="1" applyBorder="1">
      <alignment vertical="center"/>
    </xf>
    <xf numFmtId="176" fontId="1" fillId="3" borderId="2" xfId="0" applyNumberFormat="1" applyFont="1" applyFill="1" applyBorder="1">
      <alignment vertical="center"/>
    </xf>
    <xf numFmtId="178" fontId="1" fillId="3" borderId="2" xfId="0" applyNumberFormat="1" applyFont="1" applyFill="1" applyBorder="1">
      <alignment vertical="center"/>
    </xf>
    <xf numFmtId="0" fontId="1" fillId="3" borderId="2" xfId="0" applyFont="1" applyFill="1" applyBorder="1">
      <alignment vertical="center"/>
    </xf>
    <xf numFmtId="176" fontId="0" fillId="0" borderId="2" xfId="0" applyNumberForma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177" fontId="8" fillId="3" borderId="1" xfId="0" applyNumberFormat="1" applyFont="1" applyFill="1" applyBorder="1">
      <alignment vertical="center"/>
    </xf>
    <xf numFmtId="176" fontId="8" fillId="3" borderId="1" xfId="0" applyNumberFormat="1" applyFont="1" applyFill="1" applyBorder="1">
      <alignment vertical="center"/>
    </xf>
    <xf numFmtId="178" fontId="8" fillId="3" borderId="1" xfId="0" applyNumberFormat="1" applyFont="1" applyFill="1" applyBorder="1">
      <alignment vertical="center"/>
    </xf>
    <xf numFmtId="0" fontId="8" fillId="3" borderId="1" xfId="0" applyFont="1" applyFill="1" applyBorder="1">
      <alignment vertical="center"/>
    </xf>
    <xf numFmtId="176" fontId="8" fillId="0" borderId="1" xfId="0" applyNumberFormat="1" applyFont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8" fillId="4" borderId="1" xfId="0" applyFont="1" applyFill="1" applyBorder="1">
      <alignment vertical="center"/>
    </xf>
    <xf numFmtId="0" fontId="1" fillId="3" borderId="1" xfId="0" quotePrefix="1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177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176" fontId="12" fillId="4" borderId="0" xfId="0" applyNumberFormat="1" applyFont="1" applyFill="1" applyAlignment="1">
      <alignment horizontal="center" vertical="center" wrapText="1"/>
    </xf>
  </cellXfs>
  <cellStyles count="1">
    <cellStyle name="常规" xfId="0" builtinId="0"/>
  </cellStyles>
  <dxfs count="1">
    <dxf>
      <numFmt numFmtId="176" formatCode="0.00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ache/Wechat/xwechat_files/wxid_kyj7b425iyu922_58a9/msg/file/2026-06/&#28909;&#21367;&#25104;&#26412;&#25928;&#30410;&#27979;&#31639;20260607&#29256;&#65288;&#22522;&#30784;&#21442;&#25968;&#34920;&#652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炼钢参数表"/>
      <sheetName val="轧钢参数表"/>
      <sheetName val="轧钢电耗1"/>
      <sheetName val="轧钢电耗2"/>
      <sheetName val="轧钢钢坯单耗"/>
      <sheetName val="轧钢煤耗"/>
      <sheetName val="0.内控标准5.22"/>
      <sheetName val="0.热卷效益测算"/>
      <sheetName val="1.合金成本"/>
      <sheetName val="2.钢坯成本"/>
      <sheetName val="3.热卷成本"/>
      <sheetName val="4.热卷售价"/>
      <sheetName val="轧制工艺影响"/>
      <sheetName val="终点控制情况"/>
      <sheetName val="6.辅料明细"/>
      <sheetName val="6.合金辅料成分"/>
      <sheetName val="终点成分"/>
      <sheetName val="精炼电及电极"/>
      <sheetName val="耐材"/>
      <sheetName val="5.单位元素成本"/>
      <sheetName val="6.合金辅料价格"/>
      <sheetName val="增碳分析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8">
          <cell r="K8">
            <v>22337.168141592902</v>
          </cell>
        </row>
      </sheetData>
      <sheetData sheetId="21"/>
      <sheetData sheetId="22"/>
      <sheetData sheetId="23"/>
      <sheetData sheetId="2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033" refreshedDate="46181.448784722197" createdVersion="5" refreshedVersion="5" minRefreshableVersion="3" recordCount="2633" xr:uid="{00000000-000A-0000-FFFF-FFFF00000000}">
  <cacheSource type="worksheet">
    <worksheetSource ref="K1:P1048576" sheet="铝耗2026年"/>
  </cacheSource>
  <cacheFields count="6">
    <cacheField name="钢种号" numFmtId="0">
      <sharedItems containsBlank="1" count="112">
        <s v="26MnB5"/>
        <s v="330CL-1"/>
        <s v="380CL-2"/>
        <s v="380CL-JD2"/>
        <s v="420CL-1"/>
        <s v="510L-1"/>
        <s v="510L-2"/>
        <s v="610L-1"/>
        <s v="610L-2"/>
        <s v="700L(HJKJ)"/>
        <s v="700L-1"/>
        <s v="700L-2"/>
        <s v="700L-3"/>
        <s v="700L-S1"/>
        <s v="800L-AC"/>
        <s v="800L-ACH"/>
        <s v="A"/>
        <s v="A36-1"/>
        <s v="A36-2"/>
        <s v="A36-DX1"/>
        <s v="A572Gr50-1"/>
        <s v="A572Gr50-2"/>
        <s v="A572Gr50-3"/>
        <s v="A572GR65-2"/>
        <s v="A572GR65-T1"/>
        <s v="A572GR65-T2"/>
        <s v="AH32-1"/>
        <s v="AH36-1"/>
        <s v="AH36-2"/>
        <s v="B"/>
        <s v="F520JJ"/>
        <s v="HP295"/>
        <s v="HXN-2"/>
        <s v="L245-1"/>
        <s v="L245-2"/>
        <s v="L290-2"/>
        <s v="L360M"/>
        <s v="MRT2.5"/>
        <s v="NM400-1"/>
        <s v="NM400-2"/>
        <s v="NM450-1"/>
        <s v="NM450-2"/>
        <s v="NM500-1"/>
        <s v="NM500-2"/>
        <s v="NM600-1"/>
        <s v="NM600-2"/>
        <s v="Q235B-1"/>
        <s v="Q235B-2"/>
        <s v="Q235B-GC1"/>
        <s v="Q235B-GC2"/>
        <s v="Q235B-HG"/>
        <s v="Q235B-SD1"/>
        <s v="Q235B-SD2"/>
        <s v="Q235C-1"/>
        <s v="Q235-HW"/>
        <s v="Q235PL-1"/>
        <s v="Q235PL-2"/>
        <s v="Q245R-1"/>
        <s v="Q245R-2"/>
        <s v="Q345R"/>
        <s v="Q345R-1"/>
        <s v="Q345R-E1"/>
        <s v="Q355B-1"/>
        <s v="Q355B-2"/>
        <s v="Q355B-3A"/>
        <s v="Q355B-3B"/>
        <s v="Q355B-DX1"/>
        <s v="Q355B-SD2"/>
        <s v="Q355B-T2"/>
        <s v="Q355B-T3"/>
        <s v="Q355C-1"/>
        <s v="Q355C-2"/>
        <s v="Q355C-3"/>
        <s v="Q355D-1"/>
        <s v="Q355D-2"/>
        <s v="Q355D-3"/>
        <s v="Q355ME-2"/>
        <s v="Q390B-2"/>
        <s v="Q390B-3"/>
        <s v="Q390GJB-2"/>
        <s v="Q420B-1"/>
        <s v="Q420B-2"/>
        <s v="Q420C-1"/>
        <s v="Q420C-2"/>
        <s v="Q420MD-1"/>
        <s v="Q420ME-1"/>
        <s v="Q460MC(YZ)-2"/>
        <s v="Q460MC-1"/>
        <s v="Q460MC-2"/>
        <s v="Q690D-1"/>
        <s v="QStE500TM-1"/>
        <s v="S235J0-1"/>
        <s v="S235J0-2"/>
        <s v="S235JR-1"/>
        <s v="S235JR-2"/>
        <s v="S275JR-1"/>
        <s v="S355J0-3"/>
        <s v="S355JR-1"/>
        <s v="S355JR-2"/>
        <s v="S355JR-3"/>
        <s v="S355JR-DX1"/>
        <s v="S460MC-1"/>
        <s v="S460MC-2"/>
        <s v="SA516 Gr70-1"/>
        <s v="SR700"/>
        <s v="SS400-1"/>
        <s v="SS400-2"/>
        <s v="SS400-M"/>
        <s v="YF700BL-1"/>
        <s v="YF700BL-2"/>
        <s v="YF700BL-3"/>
        <m/>
      </sharedItems>
    </cacheField>
    <cacheField name="铝块" numFmtId="0">
      <sharedItems containsString="0" containsBlank="1" containsNumber="1" minValue="0" maxValue="631.51" count="62">
        <n v="301.22000000000003"/>
        <n v="300.77999999999997"/>
        <n v="300.35000000000002"/>
        <n v="308.58999999999997"/>
        <n v="292.97000000000003"/>
        <n v="308.16000000000003"/>
        <n v="601.55999999999995"/>
        <n v="307.73"/>
        <n v="293.39999999999998"/>
        <m/>
        <n v="150.16999999999999"/>
        <n v="203.13"/>
        <n v="150.61000000000001"/>
        <n v="210.5"/>
        <n v="149.74"/>
        <n v="157.99"/>
        <n v="194.88"/>
        <n v="203.56"/>
        <n v="196.18"/>
        <n v="192.27"/>
        <n v="195.31"/>
        <n v="210.94"/>
        <n v="202.69"/>
        <n v="195.75"/>
        <n v="211.37"/>
        <n v="202.26"/>
        <n v="210.07"/>
        <n v="256.08"/>
        <n v="421.01"/>
        <n v="299.05"/>
        <n v="270.39999999999998"/>
        <n v="315.97000000000003"/>
        <n v="277.77999999999997"/>
        <n v="360.24"/>
        <n v="294.7"/>
        <n v="301.2"/>
        <n v="292.52999999999997"/>
        <n v="217.88"/>
        <n v="337.67"/>
        <n v="510.85"/>
        <n v="631.51"/>
        <n v="157.12"/>
        <n v="155.38"/>
        <n v="157.55000000000001"/>
        <n v="209.2"/>
        <n v="194.44"/>
        <n v="593.75"/>
        <n v="209.64"/>
        <n v="203.99"/>
        <n v="194.01"/>
        <n v="204.43"/>
        <n v="206.6"/>
        <n v="212.24"/>
        <n v="406.68"/>
        <n v="406.25"/>
        <n v="198.78"/>
        <n v="255.64"/>
        <n v="197.92"/>
        <n v="208.77"/>
        <n v="200.95"/>
        <n v="247.4"/>
        <n v="299.91000000000003"/>
      </sharedItems>
    </cacheField>
    <cacheField name="铝粒" numFmtId="0">
      <sharedItems containsString="0" containsBlank="1" containsNumber="1" minValue="0" maxValue="534.63109999999995" count="1208">
        <n v="184.65710000000001"/>
        <n v="265.38200000000001"/>
        <n v="311.846"/>
        <n v="115.81310000000001"/>
        <n v="94.039400000000001"/>
        <n v="139.75700000000001"/>
        <n v="148.78039999999999"/>
        <n v="103.29859999999999"/>
        <n v="197.8038"/>
        <n v="195.2749"/>
        <n v="149.8828"/>
        <n v="206.01849999999999"/>
        <n v="314.50229999999999"/>
        <n v="104.2752"/>
        <n v="143.66319999999999"/>
        <n v="183.3912"/>
        <n v="154.65710000000001"/>
        <n v="106.2283"/>
        <n v="133.89760000000001"/>
        <n v="196.6103"/>
        <n v="132.8125"/>
        <n v="196.71879999999999"/>
        <n v="131.72739999999999"/>
        <n v="114.2752"/>
        <n v="192.8169"/>
        <n v="194.8785"/>
        <n v="224.40539999999999"/>
        <n v="200.625"/>
        <n v="177.9659"/>
        <n v="173.57060000000001"/>
        <n v="273.35939999999999"/>
        <n v="305.2604"/>
        <n v="148.8339"/>
        <n v="106.1198"/>
        <n v="143.01220000000001"/>
        <n v="133.6806"/>
        <n v="147.56950000000001"/>
        <n v="143.40710000000001"/>
        <n v="177.40889999999999"/>
        <n v="172.8125"/>
        <n v="135.85069999999999"/>
        <n v="197.04859999999999"/>
        <n v="202.18170000000001"/>
        <n v="152.01679999999999"/>
        <n v="129.66579999999999"/>
        <n v="196.50460000000001"/>
        <n v="137.6953"/>
        <n v="188.04249999999999"/>
        <n v="150.35159999999999"/>
        <n v="182.83430000000001"/>
        <n v="162.32640000000001"/>
        <n v="137.69540000000001"/>
        <n v="218.09899999999999"/>
        <n v="136.6103"/>
        <n v="142.6866"/>
        <n v="158.39840000000001"/>
        <n v="105.2517"/>
        <n v="170.02610000000001"/>
        <n v="218.91059999999999"/>
        <n v="170.73349999999999"/>
        <n v="171.16749999999999"/>
        <n v="171.71010000000001"/>
        <n v="197.91669999999999"/>
        <n v="159.9393"/>
        <n v="134.65710000000001"/>
        <n v="143.95259999999999"/>
        <n v="124.783"/>
        <n v="134.98269999999999"/>
        <n v="142.6302"/>
        <n v="152.08770000000001"/>
        <n v="158.85419999999999"/>
        <n v="134.76560000000001"/>
        <n v="181.71010000000001"/>
        <n v="135.52520000000001"/>
        <n v="146.8099"/>
        <n v="181.27610000000001"/>
        <n v="271.846"/>
        <n v="184.13480000000001"/>
        <n v="136.13999999999999"/>
        <n v="113.9323"/>
        <n v="146.48439999999999"/>
        <n v="153.4288"/>
        <n v="206.0547"/>
        <n v="142.88480000000001"/>
        <n v="208.63720000000001"/>
        <n v="127.3134"/>
        <n v="205.5121"/>
        <n v="160.48179999999999"/>
        <n v="142.57810000000001"/>
        <n v="225.2561"/>
        <n v="207.56950000000001"/>
        <n v="175.78120000000001"/>
        <n v="154.33160000000001"/>
        <n v="206.59729999999999"/>
        <n v="236.11109999999999"/>
        <n v="203.77600000000001"/>
        <n v="156.22829999999999"/>
        <n v="185.256"/>
        <n v="194.8784"/>
        <n v="197.58680000000001"/>
        <n v="199.28819999999999"/>
        <n v="167.20920000000001"/>
        <n v="205.51220000000001"/>
        <n v="146.59289999999999"/>
        <n v="189.14490000000001"/>
        <n v="189.75700000000001"/>
        <n v="259.90890000000002"/>
        <n v="507.64760000000001"/>
        <n v="515.73350000000005"/>
        <n v="111.2196"/>
        <n v="168.45490000000001"/>
        <n v="121.25579999999999"/>
        <n v="158.20310000000001"/>
        <n v="110.13460000000001"/>
        <n v="125.37909999999999"/>
        <n v="179.53989999999999"/>
        <n v="139.15799999999999"/>
        <n v="145.1823"/>
        <n v="190.13460000000001"/>
        <n v="154.6224"/>
        <n v="177.6953"/>
        <n v="136.61019999999999"/>
        <n v="134.511"/>
        <n v="185.98089999999999"/>
        <n v="165.85069999999999"/>
        <n v="215.60329999999999"/>
        <n v="188.67189999999999"/>
        <n v="173.4288"/>
        <n v="186.70140000000001"/>
        <n v="181.4931"/>
        <n v="233.559"/>
        <n v="211.83600000000001"/>
        <n v="181.60159999999999"/>
        <n v="153.66319999999999"/>
        <n v="201.71440000000001"/>
        <n v="161.34989999999999"/>
        <n v="202.90799999999999"/>
        <n v="233.25229999999999"/>
        <n v="206.46700000000001"/>
        <n v="275.00869999999998"/>
        <n v="210.26480000000001"/>
        <n v="354.73669999999998"/>
        <n v="162.8689"/>
        <n v="184.38800000000001"/>
        <n v="186.48439999999999"/>
        <n v="173.08600000000001"/>
        <n v="161.11109999999999"/>
        <n v="136.82730000000001"/>
        <n v="194.53129999999999"/>
        <n v="206.35849999999999"/>
        <n v="193.66319999999999"/>
        <n v="217.3177"/>
        <m/>
        <n v="155.38200000000001"/>
        <n v="197.56950000000001"/>
        <n v="114.4387"/>
        <n v="113.86"/>
        <n v="153.7876"/>
        <n v="203.559"/>
        <n v="211.11109999999999"/>
        <n v="204.4271"/>
        <n v="534.63109999999995"/>
        <n v="76.388900000000007"/>
        <n v="244.55439999999999"/>
        <n v="261.34980000000002"/>
        <n v="166.23269999999999"/>
        <n v="82.682299999999998"/>
        <n v="47.200499999999998"/>
        <n v="52.191800000000001"/>
        <n v="84.201400000000007"/>
        <n v="24.848099999999999"/>
        <n v="47.308999999999997"/>
        <n v="83.875900000000001"/>
        <n v="71.831599999999995"/>
        <n v="91.471400000000003"/>
        <n v="51.323799999999999"/>
        <n v="103.4071"/>
        <n v="108.2899"/>
        <n v="84.635400000000004"/>
        <n v="45.355899999999998"/>
        <n v="50.130200000000002"/>
        <n v="112.1962"/>
        <n v="77.799499999999995"/>
        <n v="83.658900000000003"/>
        <n v="98.415800000000004"/>
        <n v="56.93"/>
        <n v="85.720500000000001"/>
        <n v="46.223999999999997"/>
        <n v="75.737899999999996"/>
        <n v="117.07899999999999"/>
        <n v="79.788799999999995"/>
        <n v="49.153700000000001"/>
        <n v="81.866299999999995"/>
        <n v="83.767399999999995"/>
        <n v="76.063400000000001"/>
        <n v="92.447900000000004"/>
        <n v="73.893199999999993"/>
        <n v="66.514799999999994"/>
        <n v="105.36020000000001"/>
        <n v="45.247399999999999"/>
        <n v="78.414299999999997"/>
        <n v="81.705799999999996"/>
        <n v="76.714399999999998"/>
        <n v="113.2089"/>
        <n v="83.550399999999996"/>
        <n v="84.526899999999998"/>
        <n v="87.673599999999993"/>
        <n v="78.7761"/>
        <n v="79.752600000000001"/>
        <n v="79.644099999999995"/>
        <n v="75.846400000000003"/>
        <n v="108.54170000000001"/>
        <n v="46.766500000000001"/>
        <n v="124.89149999999999"/>
        <n v="95.558400000000006"/>
        <n v="76.822900000000004"/>
        <n v="90.928799999999995"/>
        <n v="81.705699999999993"/>
        <n v="80.729200000000006"/>
        <n v="82.320599999999999"/>
        <n v="105.14319999999999"/>
        <n v="95.486199999999997"/>
        <n v="110.4601"/>
        <n v="92.809600000000003"/>
        <n v="92.881900000000002"/>
        <n v="84.743899999999996"/>
        <n v="106.3368"/>
        <n v="110.2431"/>
        <n v="89.518199999999993"/>
        <n v="110.5324"/>
        <n v="130.93170000000001"/>
        <n v="74.942099999999996"/>
        <n v="85.503500000000003"/>
        <n v="45.0304"/>
        <n v="121.0938"/>
        <n v="106.6985"/>
        <n v="114.2578"/>
        <n v="83.694999999999993"/>
        <n v="86.5886"/>
        <n v="107.0963"/>
        <n v="87.456599999999995"/>
        <n v="80.295100000000005"/>
        <n v="90.494799999999998"/>
        <n v="125"/>
        <n v="114.3837"/>
        <n v="81.8142"/>
        <n v="99.7179"/>
        <n v="90.277799999999999"/>
        <n v="91.579899999999995"/>
        <n v="112.0877"/>
        <n v="93.533000000000001"/>
        <n v="123.1554"/>
        <n v="74.978300000000004"/>
        <n v="154.40539999999999"/>
        <n v="128.9786"/>
        <n v="60.112900000000003"/>
        <n v="101.88800000000001"/>
        <n v="94.256399999999999"/>
        <n v="105.3603"/>
        <n v="78.848399999999998"/>
        <n v="96.571200000000005"/>
        <n v="92.556399999999996"/>
        <n v="95.269199999999998"/>
        <n v="111.9068"/>
        <n v="101.45399999999999"/>
        <n v="113.38979999999999"/>
        <n v="84.418400000000005"/>
        <n v="123.9149"/>
        <n v="109.2303"/>
        <n v="95.377600000000001"/>
        <n v="113.17270000000001"/>
        <n v="79.716399999999993"/>
        <n v="115.01739999999999"/>
        <n v="111.11109999999999"/>
        <n v="86.263000000000005"/>
        <n v="113.0642"/>
        <n v="102.4306"/>
        <n v="98.307299999999998"/>
        <n v="118.2726"/>
        <n v="70.9636"/>
        <n v="115.23439999999999"/>
        <n v="111.25579999999999"/>
        <n v="127.8935"/>
        <n v="114.511"/>
        <n v="104.4922"/>
        <n v="115.08969999999999"/>
        <n v="111.68980000000001"/>
        <n v="71.289100000000005"/>
        <n v="104.3837"/>
        <n v="113.1728"/>
        <n v="83.224800000000002"/>
        <n v="113.1366"/>
        <n v="114.94499999999999"/>
        <n v="104.8177"/>
        <n v="85.611999999999995"/>
        <n v="107.0964"/>
        <n v="104.16670000000001"/>
        <n v="117.8386"/>
        <n v="107.63890000000001"/>
        <n v="154.9479"/>
        <n v="125.1259"/>
        <n v="131.7997"/>
        <n v="87.601299999999995"/>
        <n v="112.4855"/>
        <n v="118.1641"/>
        <n v="115.9939"/>
        <n v="93.460599999999999"/>
        <n v="128.90629999999999"/>
        <n v="74.327299999999994"/>
        <n v="109.26649999999999"/>
        <n v="87.565100000000001"/>
        <n v="130.0087"/>
        <n v="126.22969999999999"/>
        <n v="95.394999999999996"/>
        <n v="124.67440000000001"/>
        <n v="107.20489999999999"/>
        <n v="127.7127"/>
        <n v="122.9384"/>
        <n v="126.95310000000001"/>
        <n v="116.3918"/>
        <n v="115.16200000000001"/>
        <n v="103.8412"/>
        <n v="111.32810000000001"/>
        <n v="158.52869999999999"/>
        <n v="145.97800000000001"/>
        <n v="114.1493"/>
        <n v="100.4774"/>
        <n v="105.7205"/>
        <n v="77.691000000000003"/>
        <n v="136.0677"/>
        <n v="98.741299999999995"/>
        <n v="94.328699999999998"/>
        <n v="165.3646"/>
        <n v="122.6129"/>
        <n v="142.03559999999999"/>
        <n v="147.35239999999999"/>
        <n v="128.8339"/>
        <n v="156.684"/>
        <n v="184.78729999999999"/>
        <n v="158.9265"/>
        <n v="164.13480000000001"/>
        <n v="160.87960000000001"/>
        <n v="135.41669999999999"/>
        <n v="160.59030000000001"/>
        <n v="61.957500000000003"/>
        <n v="106.6262"/>
        <n v="88.541700000000006"/>
        <n v="72.627300000000005"/>
        <n v="106.0475"/>
        <n v="130.136"/>
        <n v="107.27719999999999"/>
        <n v="150.60769999999999"/>
        <n v="109.375"/>
        <n v="109.9537"/>
        <n v="74.761300000000006"/>
        <n v="101.3455"/>
        <n v="163.4838"/>
        <n v="124.2043"/>
        <n v="126.73609999999999"/>
        <n v="147.20779999999999"/>
        <n v="107.3134"/>
        <n v="159.6499"/>
        <n v="191.94890000000001"/>
        <n v="126.88079999999999"/>
        <n v="138.78039999999999"/>
        <n v="166.01570000000001"/>
        <n v="126.1936"/>
        <n v="128.1105"/>
        <n v="158.27549999999999"/>
        <n v="102.32210000000001"/>
        <n v="139.97399999999999"/>
        <n v="109.809"/>
        <n v="75.882499999999993"/>
        <n v="147.6953"/>
        <n v="125.6511"/>
        <n v="168.1858"/>
        <n v="139.53989999999999"/>
        <n v="116.2109"/>
        <n v="134.76570000000001"/>
        <n v="144.63980000000001"/>
        <n v="124.349"/>
        <n v="127.5318"/>
        <n v="161.8186"/>
        <n v="128.76159999999999"/>
        <n v="129.48490000000001"/>
        <n v="128.2552"/>
        <n v="145.6164"/>
        <n v="155.74359999999999"/>
        <n v="153.8629"/>
        <n v="128.03819999999999"/>
        <n v="104.92619999999999"/>
        <n v="112.8472"/>
        <n v="150.0651"/>
        <n v="164.71360000000001"/>
        <n v="132.3785"/>
        <n v="127.9297"/>
        <n v="165.5078"/>
        <n v="342.78649999999999"/>
        <n v="141.3484"/>
        <n v="275.56420000000003"/>
        <n v="45.862299999999998"/>
        <n v="57.0747"/>
        <n v="94.4011"/>
        <n v="81.597200000000001"/>
        <n v="129.77430000000001"/>
        <n v="138.90629999999999"/>
        <n v="131.83590000000001"/>
        <n v="116.9705"/>
        <n v="128.6892"/>
        <n v="133.78909999999999"/>
        <n v="97.4392"/>
        <n v="151.47569999999999"/>
        <n v="135.7422"/>
        <n v="221.85769999999999"/>
        <n v="201.47569999999999"/>
        <n v="136.6276"/>
        <n v="204.51390000000001"/>
        <n v="108.1814"/>
        <n v="139.64840000000001"/>
        <n v="138.67189999999999"/>
        <n v="160.26480000000001"/>
        <n v="174.71350000000001"/>
        <n v="201.3672"/>
        <n v="135.01740000000001"/>
        <n v="202.45230000000001"/>
        <n v="224.10159999999999"/>
        <n v="212.45230000000001"/>
        <n v="52.372700000000002"/>
        <n v="79.861099999999993"/>
        <n v="77.763300000000001"/>
        <n v="104.7454"/>
        <n v="107.9282"/>
        <n v="105.3241"/>
        <n v="102.8646"/>
        <n v="325.37619999999998"/>
        <n v="189.67009999999999"/>
        <n v="163.86"/>
        <n v="160.952"/>
        <n v="156.24420000000001"/>
        <n v="222.8356"/>
        <n v="208.99879999999999"/>
        <n v="170.60769999999999"/>
        <n v="237.20920000000001"/>
        <n v="185.47309999999999"/>
        <n v="228.40710000000001"/>
        <n v="296.00700000000001"/>
        <n v="274.51830000000001"/>
        <n v="254.6789"/>
        <n v="114.01909999999999"/>
        <n v="140.13460000000001"/>
        <n v="137.3134"/>
        <n v="80.620699999999999"/>
        <n v="135.3443"/>
        <n v="125.5787"/>
        <n v="109.158"/>
        <n v="86.116900000000001"/>
        <n v="108.941"/>
        <n v="115.5599"/>
        <n v="115.36020000000001"/>
        <n v="129.8828"/>
        <n v="129.8466"/>
        <n v="145.6163"/>
        <n v="124.2766"/>
        <n v="134.04220000000001"/>
        <n v="139.3229"/>
        <n v="237.08770000000001"/>
        <n v="150.39060000000001"/>
        <n v="155.02029999999999"/>
        <n v="143.7876"/>
        <n v="228.7978"/>
        <n v="73.929400000000001"/>
        <n v="88.576400000000007"/>
        <n v="59.534100000000002"/>
        <n v="49.2622"/>
        <n v="84.346100000000007"/>
        <n v="118.29"/>
        <n v="37.977400000000003"/>
        <n v="98.414299999999997"/>
        <n v="126.6276"/>
        <n v="163.303"/>
        <n v="145.79429999999999"/>
        <n v="100.2604"/>
        <n v="166.95310000000001"/>
        <n v="142.12379999999999"/>
        <n v="215.4948"/>
        <n v="180.98519999999999"/>
        <n v="141.43809999999999"/>
        <n v="215.16929999999999"/>
        <n v="289.69040000000001"/>
        <n v="331.14159999999998"/>
        <n v="70.023200000000003"/>
        <n v="62.066000000000003"/>
        <n v="64.742500000000007"/>
        <n v="60.980899999999998"/>
        <n v="41.341200000000001"/>
        <n v="109.8814"/>
        <n v="134.4922"/>
        <n v="177.07900000000001"/>
        <n v="177.26130000000001"/>
        <n v="152.45230000000001"/>
        <n v="100.72920000000001"/>
        <n v="236.25"/>
        <n v="272.43490000000003"/>
        <n v="295.42239999999998"/>
        <n v="92.954300000000003"/>
        <n v="138.31020000000001"/>
        <n v="120.9288"/>
        <n v="161.89240000000001"/>
        <n v="69.372100000000003"/>
        <n v="163.55609999999999"/>
        <n v="166.57409999999999"/>
        <n v="72.555000000000007"/>
        <n v="142.6867"/>
        <n v="139.64850000000001"/>
        <n v="134.04230000000001"/>
        <n v="120.9491"/>
        <n v="168.29429999999999"/>
        <n v="125.2517"/>
        <n v="175.2749"/>
        <n v="161.5307"/>
        <n v="161.67529999999999"/>
        <n v="172.0196"/>
        <n v="139.97389999999999"/>
        <n v="213.65020000000001"/>
        <n v="254.39240000000001"/>
        <n v="125.9766"/>
        <n v="89.733800000000002"/>
        <n v="128.7978"/>
        <n v="132.4855"/>
        <n v="165.52520000000001"/>
        <n v="155.32689999999999"/>
        <n v="130.4948"/>
        <n v="222.36689999999999"/>
        <n v="198.40280000000001"/>
        <n v="52.083300000000001"/>
        <n v="51.540799999999997"/>
        <n v="50.238700000000001"/>
        <n v="84.852500000000006"/>
        <n v="51.1068"/>
        <n v="49.370699999999999"/>
        <n v="30.164899999999999"/>
        <n v="46.441000000000003"/>
        <n v="50.347200000000001"/>
        <n v="54.325800000000001"/>
        <n v="46.983499999999999"/>
        <n v="75.195300000000003"/>
        <n v="49.913200000000003"/>
        <n v="47.091999999999999"/>
        <n v="46.332500000000003"/>
        <n v="51.215299999999999"/>
        <n v="62.138300000000001"/>
        <n v="67.346599999999995"/>
        <n v="58.232100000000003"/>
        <n v="50.4557"/>
        <n v="57.581000000000003"/>
        <n v="54.253500000000003"/>
        <n v="62.933999999999997"/>
        <n v="71.723100000000002"/>
        <n v="53.168399999999998"/>
        <n v="79.535600000000002"/>
        <n v="47.851599999999998"/>
        <n v="62.427700000000002"/>
        <n v="71.252899999999997"/>
        <n v="78.667500000000004"/>
        <n v="83.116299999999995"/>
        <n v="78.414400000000001"/>
        <n v="76.533600000000007"/>
        <n v="159.5052"/>
        <n v="73.784700000000001"/>
        <n v="48.068600000000004"/>
        <n v="67.925399999999996"/>
        <n v="75.412300000000002"/>
        <n v="66.224000000000004"/>
        <n v="48.285600000000002"/>
        <n v="71.397599999999997"/>
        <n v="50.9983"/>
        <n v="77.908000000000001"/>
        <n v="68.721100000000007"/>
        <n v="78.558999999999997"/>
        <n v="70.746499999999997"/>
        <n v="80.078100000000006"/>
        <n v="91.796899999999994"/>
        <n v="92.230900000000005"/>
        <n v="74.508099999999999"/>
        <n v="82.754599999999996"/>
        <n v="92.303200000000004"/>
        <n v="96.788200000000003"/>
        <n v="90.133099999999999"/>
        <n v="89.048000000000002"/>
        <n v="55.555599999999998"/>
        <n v="90.205399999999997"/>
        <n v="56.351300000000002"/>
        <n v="59.606499999999997"/>
        <n v="78.884600000000006"/>
        <n v="89.265000000000001"/>
        <n v="88.252300000000005"/>
        <n v="106.5538"/>
        <n v="90.639499999999998"/>
        <n v="74.0017"/>
        <n v="82.790800000000004"/>
        <n v="86.697100000000006"/>
        <n v="72.916700000000006"/>
        <n v="91.652199999999993"/>
        <n v="90.603300000000004"/>
        <n v="74.580399999999997"/>
        <n v="79.137699999999995"/>
        <n v="95.486099999999993"/>
        <n v="83.043999999999997"/>
        <n v="87.239599999999996"/>
        <n v="120.298"/>
        <n v="97.439300000000003"/>
        <n v="93.6053"/>
        <n v="80.186599999999999"/>
        <n v="120.98520000000001"/>
        <n v="89.626800000000003"/>
        <n v="94.111699999999999"/>
        <n v="122.3235"/>
        <n v="87.022599999999997"/>
        <n v="60.185200000000002"/>
        <n v="89.6267"/>
        <n v="92.122399999999999"/>
        <n v="89.554400000000001"/>
        <n v="75.303799999999995"/>
        <n v="96.462699999999998"/>
        <n v="102.2136"/>
        <n v="86.299199999999999"/>
        <n v="85.069500000000005"/>
        <n v="91.362899999999996"/>
        <n v="120.6597"/>
        <n v="94.509600000000006"/>
        <n v="80.439800000000005"/>
        <n v="111.83450000000001"/>
        <n v="86.48"/>
        <n v="93.641499999999994"/>
        <n v="88.650199999999998"/>
        <n v="90.0608"/>
        <n v="129.01480000000001"/>
        <n v="89.137699999999995"/>
        <n v="87.348100000000002"/>
        <n v="131.5104"/>
        <n v="88.901899999999998"/>
        <n v="143.88030000000001"/>
        <n v="121.7448"/>
        <n v="130.7509"/>
        <n v="85.828999999999994"/>
        <n v="133.2089"/>
        <n v="119.5009"/>
        <n v="164.38800000000001"/>
        <n v="110.89409999999999"/>
        <n v="154.2405"/>
        <n v="148.7268"/>
        <n v="91.507499999999993"/>
        <n v="161.34979999999999"/>
        <n v="72.699700000000007"/>
        <n v="139.86539999999999"/>
        <n v="147.89490000000001"/>
        <n v="120.369"/>
        <n v="83.007800000000003"/>
        <n v="82.573800000000006"/>
        <n v="89.409700000000001"/>
        <n v="96.860500000000002"/>
        <n v="116.1024"/>
        <n v="158.3117"/>
        <n v="61.089399999999998"/>
        <n v="94.835099999999997"/>
        <n v="87.094899999999996"/>
        <n v="80.837699999999998"/>
        <n v="71.940100000000001"/>
        <n v="88.324600000000004"/>
        <n v="134.0061"/>
        <n v="91.723100000000002"/>
        <n v="105.9028"/>
        <n v="78.901899999999998"/>
        <n v="95.5946"/>
        <n v="93.459199999999996"/>
        <n v="124.2752"/>
        <n v="114.3663"/>
        <n v="74.544300000000007"/>
        <n v="170.625"/>
        <n v="156.57550000000001"/>
        <n v="103.6589"/>
        <n v="121.3455"/>
        <n v="143.66329999999999"/>
        <n v="124.7092"/>
        <n v="103.73260000000001"/>
        <n v="102.6476"/>
        <n v="133.46350000000001"/>
        <n v="140.6251"/>
        <n v="143.22919999999999"/>
        <n v="137.91239999999999"/>
        <n v="127.0616"/>
        <n v="88.667500000000004"/>
        <n v="84.960999999999999"/>
        <n v="128.79769999999999"/>
        <n v="134.27520000000001"/>
        <n v="158.42019999999999"/>
        <n v="118.41719999999999"/>
        <n v="124.13200000000001"/>
        <n v="155.59899999999999"/>
        <n v="121.23699999999999"/>
        <n v="208.4418"/>
        <n v="137.3698"/>
        <n v="145.2517"/>
        <n v="148.65450000000001"/>
        <n v="206.08799999999999"/>
        <n v="127.6041"/>
        <n v="58.883099999999999"/>
        <n v="83.441800000000001"/>
        <n v="94.726600000000005"/>
        <n v="61.487299999999998"/>
        <n v="59.678800000000003"/>
        <n v="93.424499999999995"/>
        <n v="57.653399999999998"/>
        <n v="67.201999999999998"/>
        <n v="75.159099999999995"/>
        <n v="92.773399999999995"/>
        <n v="81.741900000000001"/>
        <n v="91.471299999999999"/>
        <n v="85.286500000000004"/>
        <n v="100.47750000000001"/>
        <n v="111.7621"/>
        <n v="96.028599999999997"/>
        <n v="56.206600000000002"/>
        <n v="75.954899999999995"/>
        <n v="81.488699999999994"/>
        <n v="88.107600000000005"/>
        <n v="116.10250000000001"/>
        <n v="119.0322"/>
        <n v="134.3837"/>
        <n v="124.9277"/>
        <n v="161.45830000000001"/>
        <n v="142.79519999999999"/>
        <n v="72.808199999999999"/>
        <n v="89.988399999999999"/>
        <n v="123.5894"/>
        <n v="112.3047"/>
        <n v="143.1728"/>
        <n v="80"/>
        <n v="144.14930000000001"/>
        <n v="125.0001"/>
        <n v="52.3003"/>
        <n v="58.051200000000001"/>
        <n v="59.136299999999999"/>
        <n v="88.758700000000005"/>
        <n v="110.6771"/>
        <n v="84.997100000000003"/>
        <n v="126.0851"/>
        <n v="198.15100000000001"/>
        <n v="162.0009"/>
        <n v="157.1181"/>
        <n v="176.46700000000001"/>
        <n v="172.5608"/>
        <n v="169.27090000000001"/>
        <n v="115.7407"/>
        <n v="150.17359999999999"/>
        <n v="147.8588"/>
        <n v="121.8533"/>
        <n v="145.4716"/>
        <n v="195.67420000000001"/>
        <n v="133.40710000000001"/>
        <n v="129.9913"/>
        <n v="172.6866"/>
        <n v="141.71010000000001"/>
        <n v="151.76509999999999"/>
        <n v="156.46700000000001"/>
        <n v="140.95060000000001"/>
        <n v="160.7509"/>
        <n v="191.22399999999999"/>
        <n v="154.3837"/>
        <n v="179.2535"/>
        <n v="208.27549999999999"/>
        <n v="175.7422"/>
        <n v="306.3657"/>
        <n v="174.8742"/>
        <n v="146.70140000000001"/>
        <n v="149.52260000000001"/>
        <n v="148.54599999999999"/>
        <n v="164.17099999999999"/>
        <n v="155.6163"/>
        <n v="144.53129999999999"/>
        <n v="157.76910000000001"/>
        <n v="164.63980000000001"/>
        <n v="188.25960000000001"/>
        <n v="165.6163"/>
        <n v="218.64160000000001"/>
        <n v="207.1036"/>
        <n v="99.971100000000007"/>
        <n v="186.9734"/>
        <n v="184.63980000000001"/>
        <n v="95.703100000000006"/>
        <n v="137.04429999999999"/>
        <n v="137.0428"/>
        <n v="99.392399999999995"/>
        <n v="179.1609"/>
        <n v="142.46960000000001"/>
        <n v="158.67189999999999"/>
        <n v="131.43809999999999"/>
        <n v="126.2109"/>
        <n v="190.7552"/>
        <n v="141.60159999999999"/>
        <n v="227.3177"/>
        <n v="140.51650000000001"/>
        <n v="163.98869999999999"/>
        <n v="260.08969999999999"/>
        <n v="180.87960000000001"/>
        <n v="166.66669999999999"/>
        <n v="214.98840000000001"/>
        <n v="226.92420000000001"/>
        <n v="224.71639999999999"/>
        <n v="178.42019999999999"/>
        <n v="208.5504"/>
        <n v="323.5677"/>
        <n v="211.3716"/>
        <n v="225.59899999999999"/>
        <n v="160.3733"/>
        <n v="152.66929999999999"/>
        <n v="146.41210000000001"/>
        <n v="214.21010000000001"/>
        <n v="251.08510000000001"/>
        <n v="232.5478"/>
        <n v="264.88290000000001"/>
        <n v="77.835700000000003"/>
        <n v="131.72749999999999"/>
        <n v="104.673"/>
        <n v="94.183999999999997"/>
        <n v="119.0321"/>
        <n v="113.0643"/>
        <n v="123.04689999999999"/>
        <n v="82.465299999999999"/>
        <n v="76.605900000000005"/>
        <n v="77.474000000000004"/>
        <n v="129.9914"/>
        <n v="84.309899999999999"/>
        <n v="113.7876"/>
        <n v="150.71619999999999"/>
        <n v="83.622699999999995"/>
        <n v="126.2298"/>
        <n v="84.0929"/>
        <n v="111.97920000000001"/>
        <n v="76.171899999999994"/>
        <n v="110.3516"/>
        <n v="99.283900000000003"/>
        <n v="151.04169999999999"/>
        <n v="131.36580000000001"/>
        <n v="119.9002"/>
        <n v="136.8272"/>
        <n v="137.6592"/>
        <n v="97.222200000000001"/>
        <n v="133.2465"/>
        <n v="139.4314"/>
        <n v="100.803"/>
        <n v="151.6927"/>
        <n v="152.34379999999999"/>
        <n v="88.324700000000007"/>
        <n v="116.8229"/>
        <n v="193.6849"/>
        <n v="108.724"/>
        <n v="117.94710000000001"/>
        <n v="213.10759999999999"/>
        <n v="145.5078"/>
        <n v="137.9485"/>
        <n v="164.27950000000001"/>
        <n v="214.40539999999999"/>
        <n v="156.32239999999999"/>
        <n v="133.17420000000001"/>
        <n v="156.61019999999999"/>
        <n v="204.71639999999999"/>
        <n v="103.08159999999999"/>
        <n v="140.625"/>
        <n v="155.4905"/>
        <n v="178.0599"/>
        <n v="77.184600000000003"/>
        <n v="70.855000000000004"/>
        <n v="75.231499999999997"/>
        <n v="124.0234"/>
        <n v="74.2911"/>
        <n v="81.886600000000001"/>
        <n v="73.278400000000005"/>
        <n v="81.090900000000005"/>
        <n v="99.826400000000007"/>
        <n v="82.392899999999997"/>
        <n v="134.8742"/>
        <n v="103.2987"/>
        <n v="122.82989999999999"/>
        <n v="80.512200000000007"/>
        <n v="80.946200000000005"/>
        <n v="97.005200000000002"/>
        <n v="81.163200000000003"/>
        <n v="82.971599999999995"/>
        <n v="79.210099999999997"/>
        <n v="95.811599999999999"/>
        <n v="93.822299999999998"/>
        <n v="88.975700000000003"/>
        <n v="90.386300000000006"/>
        <n v="78.197299999999998"/>
        <n v="96.354200000000006"/>
        <n v="104.7439"/>
        <n v="95.920100000000005"/>
        <n v="185.1129"/>
        <n v="114.0408"/>
        <n v="115.1259"/>
        <n v="116.645"/>
        <n v="78.016499999999994"/>
        <n v="100.3689"/>
        <n v="76.931399999999996"/>
        <n v="81.452500000000001"/>
        <n v="120.8767"/>
        <n v="136.9358"/>
        <n v="108.0729"/>
        <n v="83.984399999999994"/>
        <n v="77.835599999999999"/>
        <n v="89.084199999999996"/>
        <n v="117.29600000000001"/>
        <n v="149.34030000000001"/>
        <n v="126.8085"/>
        <n v="108.5793"/>
        <n v="99.500900000000001"/>
        <n v="81.669600000000003"/>
        <n v="111.1835"/>
        <n v="124.0235"/>
        <n v="82.139799999999994"/>
        <n v="92.158600000000007"/>
        <n v="132.70400000000001"/>
        <n v="79.065399999999997"/>
        <n v="76.497399999999999"/>
        <n v="130.64240000000001"/>
        <n v="93.8947"/>
        <n v="139.1782"/>
        <n v="112.3409"/>
        <n v="122.07040000000001"/>
        <n v="111.54510000000001"/>
        <n v="86.046000000000006"/>
        <n v="121.20229999999999"/>
        <n v="108.5069"/>
        <n v="117.947"/>
        <n v="117.1875"/>
        <n v="84.852400000000003"/>
        <n v="104.6007"/>
        <n v="143.77170000000001"/>
        <n v="111.76220000000001"/>
        <n v="74.869799999999998"/>
        <n v="135.74209999999999"/>
        <n v="136.2124"/>
        <n v="133.3912"/>
        <n v="117.3322"/>
        <n v="103.9496"/>
        <n v="77.582499999999996"/>
        <n v="122.1788"/>
        <n v="94.618099999999998"/>
        <n v="125.7234"/>
        <n v="117.0428"/>
        <n v="180.2286"/>
        <n v="130.85939999999999"/>
        <n v="84.056700000000006"/>
        <n v="79.318600000000004"/>
        <n v="134.54859999999999"/>
        <n v="124.8553"/>
        <n v="89.301199999999994"/>
        <n v="132.74019999999999"/>
        <n v="70.674199999999999"/>
        <n v="123.48090000000001"/>
        <n v="136.6464"/>
        <n v="147.1354"/>
        <n v="127.8212"/>
        <n v="101.4178"/>
        <n v="129.77440000000001"/>
        <n v="110.0261"/>
        <n v="116.428"/>
        <n v="118.0556"/>
        <n v="132.01679999999999"/>
        <n v="143.8802"/>
        <n v="113.4983"/>
        <n v="105.2518"/>
        <n v="131.83600000000001"/>
        <n v="117.6939"/>
        <n v="132.0891"/>
        <n v="134.62090000000001"/>
        <n v="153.06710000000001"/>
        <n v="149.4502"/>
        <n v="114.9089"/>
        <n v="113.7153"/>
        <n v="110.60469999999999"/>
        <n v="140.7509"/>
        <n v="158.99879999999999"/>
        <n v="140.73349999999999"/>
        <n v="84.273700000000005"/>
        <n v="152.9948"/>
        <n v="109.3027"/>
        <n v="130.42529999999999"/>
        <n v="131.3657"/>
        <n v="108.3984"/>
        <n v="113.60680000000001"/>
        <n v="125.8681"/>
        <n v="107.7474"/>
        <n v="122.2873"/>
        <n v="126.8446"/>
        <n v="122.0703"/>
        <n v="132.27000000000001"/>
        <n v="116.4641"/>
        <n v="155.41669999999999"/>
        <n v="108.4158"/>
        <n v="138.1293"/>
        <n v="162.83279999999999"/>
        <n v="134.43870000000001"/>
        <n v="154.8742"/>
        <n v="122.0877"/>
        <n v="110.0984"/>
        <n v="139.54"/>
        <n v="115.994"/>
        <n v="157.33510000000001"/>
        <n v="148.97999999999999"/>
        <n v="137.8038"/>
        <n v="152.5608"/>
        <n v="149.64840000000001"/>
        <n v="137.29740000000001"/>
        <n v="123.91500000000001"/>
        <n v="175.4905"/>
        <n v="132.6678"/>
        <n v="153.7182"/>
        <n v="107.85590000000001"/>
        <n v="260.81169999999997"/>
        <n v="121.9618"/>
        <n v="127.53189999999999"/>
        <n v="144.4589"/>
        <n v="146.59280000000001"/>
        <n v="143.5547"/>
        <n v="227.64750000000001"/>
        <n v="137.29750000000001"/>
        <n v="127.0964"/>
        <n v="153.8802"/>
        <n v="206.4888"/>
        <n v="162.7604"/>
        <n v="161.60300000000001"/>
        <n v="188.8021"/>
        <n v="369.17099999999999"/>
        <n v="202.691"/>
        <n v="156.32230000000001"/>
        <n v="86.371499999999997"/>
        <n v="98.524299999999997"/>
        <n v="74.652799999999999"/>
        <n v="72.482600000000005"/>
        <n v="77.365499999999997"/>
        <n v="72.265600000000006"/>
        <n v="118.562"/>
        <n v="97.656199999999998"/>
        <n v="101.23699999999999"/>
        <n v="114.6919"/>
        <n v="105.1794"/>
        <n v="126.9532"/>
        <n v="111.18340000000001"/>
        <n v="69.986999999999995"/>
        <n v="80.512100000000004"/>
        <n v="135.05500000000001"/>
        <n v="73.676199999999994"/>
        <n v="119.2491"/>
        <n v="82.031300000000002"/>
        <n v="133.13800000000001"/>
        <n v="105.79430000000001"/>
        <n v="78.993099999999998"/>
        <n v="146.41200000000001"/>
        <n v="112.4132"/>
        <n v="137.15280000000001"/>
        <n v="120.3704"/>
        <n v="120.0087"/>
        <n v="119.1407"/>
        <n v="126.2283"/>
        <n v="139.9016"/>
        <n v="153.3912"/>
        <n v="136.71879999999999"/>
        <n v="220.8117"/>
        <n v="209.52699999999999"/>
        <n v="193.90199999999999"/>
        <n v="89.699100000000001"/>
        <n v="104.02200000000001"/>
        <n v="84.490700000000004"/>
        <n v="125.3603"/>
        <n v="160.2286"/>
        <n v="119.06829999999999"/>
        <n v="138.2379"/>
        <n v="167.20779999999999"/>
        <n v="117.1152"/>
        <n v="145"/>
        <n v="120.1172"/>
        <n v="75.629400000000004"/>
        <n v="156.90100000000001"/>
        <n v="163.26679999999999"/>
        <n v="103.44329999999999"/>
        <n v="77.039900000000003"/>
        <n v="153.7543"/>
        <n v="160.60769999999999"/>
        <n v="123.6979"/>
        <n v="83.441900000000004"/>
        <n v="72.374099999999999"/>
        <n v="112.95569999999999"/>
        <n v="134.69329999999999"/>
        <n v="144.7483"/>
        <n v="132.92099999999999"/>
        <n v="130.96789999999999"/>
        <n v="141.9271"/>
        <n v="152.66919999999999"/>
        <n v="145.85069999999999"/>
        <n v="114.2216"/>
        <n v="129.4126"/>
        <n v="119.57470000000001"/>
        <n v="164.60509999999999"/>
        <n v="164.0625"/>
        <n v="157.62440000000001"/>
        <n v="166.01560000000001"/>
        <n v="160.625"/>
        <n v="208.69499999999999"/>
        <n v="122.1789"/>
        <n v="131.94450000000001"/>
        <n v="134.22309999999999"/>
        <n v="138.88890000000001"/>
        <n v="159.0712"/>
        <n v="172.09209999999999"/>
        <n v="112.2136"/>
        <n v="89.735200000000006"/>
        <n v="106.77079999999999"/>
        <n v="192.57810000000001"/>
        <n v="99.644099999999995"/>
        <n v="170.84200000000001"/>
        <n v="121.0026"/>
        <n v="118.54170000000001"/>
        <n v="133.92939999999999"/>
        <n v="106.17189999999999"/>
        <n v="115.59610000000001"/>
        <n v="105.4862"/>
        <n v="127.42189999999999"/>
        <n v="231.60589999999999"/>
        <n v="145.25460000000001"/>
        <n v="105.6858"/>
        <n v="192.45230000000001"/>
        <n v="170.46440000000001"/>
        <n v="132.55789999999999"/>
        <n v="244.2491"/>
        <n v="128.28989999999999"/>
        <n v="141.2037"/>
        <n v="169.14060000000001"/>
        <n v="322.2251"/>
        <n v="253.90629999999999"/>
        <n v="290.7987"/>
        <n v="206.59719999999999"/>
        <n v="191.94880000000001"/>
        <n v="185.9982"/>
        <n v="193.14230000000001"/>
        <n v="195.63800000000001"/>
        <n v="177.95140000000001"/>
        <n v="126.80840000000001"/>
        <n v="159.28819999999999"/>
        <n v="60.872399999999999"/>
        <n v="125.2893"/>
        <n v="88.867199999999997"/>
        <n v="141.99940000000001"/>
        <n v="85.214100000000002"/>
        <n v="53.674799999999998"/>
        <n v="106.01130000000001"/>
        <n v="144.6036"/>
        <n v="107.9644"/>
        <n v="229.70920000000001"/>
        <n v="227.57380000000001"/>
        <n v="80.584500000000006"/>
        <n v="127.60420000000001"/>
        <n v="141.85470000000001"/>
        <n v="135.61199999999999"/>
        <n v="123.5706"/>
        <n v="208.20320000000001"/>
        <n v="129.9537"/>
        <n v="191.1893"/>
        <n v="203.77610000000001"/>
        <n v="229.88720000000001"/>
        <n v="257.59120000000001"/>
        <n v="197.40889999999999"/>
        <n v="183.7182"/>
        <n v="250.32550000000001"/>
        <n v="165.923"/>
        <n v="184.6412"/>
        <n v="188.69220000000001"/>
        <n v="44.270800000000001"/>
        <n v="63.042499999999997"/>
        <n v="59.027799999999999"/>
        <n v="57.942700000000002"/>
        <n v="59.461799999999997"/>
        <n v="73.025199999999998"/>
        <n v="69.77"/>
        <n v="85.9375"/>
        <n v="85.177999999999997"/>
        <n v="115.7769"/>
        <n v="66.948800000000006"/>
        <n v="105.57729999999999"/>
        <n v="108.7239"/>
        <n v="70"/>
        <n v="69.878500000000003"/>
        <n v="82.899299999999997"/>
        <n v="129.48500000000001"/>
        <n v="142.72280000000001"/>
        <n v="107.34950000000001"/>
        <n v="103.1901"/>
        <n v="181.96610000000001"/>
        <n v="164.76560000000001"/>
        <n v="513.67190000000005"/>
        <n v="166.6103"/>
        <n v="178.67189999999999"/>
        <n v="187.58680000000001"/>
        <n v="195.5078"/>
        <n v="222.0052"/>
        <n v="284.90170000000001"/>
        <n v="193.78909999999999"/>
      </sharedItems>
    </cacheField>
    <cacheField name="喂铝线长度（m）" numFmtId="0">
      <sharedItems containsString="0" containsBlank="1" containsNumber="1" minValue="0" maxValue="983.03" count="517">
        <n v="80.099999999999994"/>
        <n v="700.22"/>
        <n v="800"/>
        <n v="250.01"/>
        <n v="400.11"/>
        <n v="290.2"/>
        <n v="383.11"/>
        <n v="350.1"/>
        <n v="340.3"/>
        <n v="300.3"/>
        <n v="338.11"/>
        <n v="330.1"/>
        <n v="111.1"/>
        <n v="350.2"/>
        <n v="210.2"/>
        <n v="150.1"/>
        <n v="390.11"/>
        <n v="420.01"/>
        <n v="372.1"/>
        <n v="230.2"/>
        <n v="250.2"/>
        <n v="500.1"/>
        <n v="620.11"/>
        <n v="261.2"/>
        <n v="266.10000000000002"/>
        <n v="280.10000000000002"/>
        <n v="290.10000000000002"/>
        <n v="530.11"/>
        <n v="505.1"/>
        <n v="520.29999999999995"/>
        <n v="550.11"/>
        <n v="268.2"/>
        <n v="265.10000000000002"/>
        <n v="405.01"/>
        <n v="355.2"/>
        <n v="420.2"/>
        <n v="289.10000000000002"/>
        <n v="600.02"/>
        <n v="740.02"/>
        <n v="455.2"/>
        <n v="640.02"/>
        <n v="920.13"/>
        <n v="226.1"/>
        <n v="70.099999999999994"/>
        <n v="373.7"/>
        <n v="100.1"/>
        <n v="255.1"/>
        <n v="200"/>
        <n v="350.11"/>
        <n v="440.11"/>
        <n v="250.1"/>
        <n v="570.29999999999995"/>
        <n v="360"/>
        <n v="122.1"/>
        <n v="362.31"/>
        <n v="500.11"/>
        <n v="288.10000000000002"/>
        <n v="450.01"/>
        <n v="700.12"/>
        <n v="300.10000000000002"/>
        <n v="257.2"/>
        <n v="340"/>
        <n v="450.11"/>
        <n v="580.11"/>
        <n v="480.01"/>
        <n v="650.11"/>
        <n v="155.19999999999999"/>
        <n v="280.3"/>
        <n v="360.11"/>
        <n v="380"/>
        <n v="180.2"/>
        <n v="238.2"/>
        <n v="370.2"/>
        <n v="380.1"/>
        <n v="266.01"/>
        <n v="326.11"/>
        <n v="380.11"/>
        <n v="505.01"/>
        <n v="400.02"/>
        <n v="557.30999999999995"/>
        <n v="410.2"/>
        <n v="407.21"/>
        <n v="370.3"/>
        <n v="460.11"/>
        <n v="275.60000000000002"/>
        <n v="600.29999999999995"/>
        <n v="590.12"/>
        <n v="420.4"/>
        <n v="410.01"/>
        <n v="215"/>
        <n v="270.10000000000002"/>
        <n v="374.2"/>
        <n v="351.8"/>
        <n v="177"/>
        <n v="320.10000000000002"/>
        <n v="160.19999999999999"/>
        <n v="395.11"/>
        <n v="350.01"/>
        <n v="320"/>
        <n v="495.11"/>
        <n v="190.2"/>
        <n v="420.11"/>
        <n v="187"/>
        <n v="300.01"/>
        <n v="200.2"/>
        <n v="220"/>
        <n v="430.01"/>
        <n v="453.91"/>
        <n v="330.11"/>
        <n v="333.01"/>
        <n v="414.01"/>
        <n v="230"/>
        <n v="488.11"/>
        <n v="221.1"/>
        <n v="587.11"/>
        <n v="150.19999999999999"/>
        <n v="390.01"/>
        <n v="370.4"/>
        <n v="310.10000000000002"/>
        <n v="510.11"/>
        <n v="530.12"/>
        <n v="140.19999999999999"/>
        <n v="200.3"/>
        <n v="130.19999999999999"/>
        <n v="439.2"/>
        <n v="430.11"/>
        <n v="480.2"/>
        <n v="580.12"/>
        <n v="320.3"/>
        <n v="260.3"/>
        <n v="362.3"/>
        <n v="222"/>
        <n v="190"/>
        <n v="189"/>
        <n v="260.01"/>
        <n v="353.01"/>
        <n v="430.02"/>
        <n v="242.01"/>
        <n v="320.01"/>
        <n v="290.01"/>
        <n v="280.01"/>
        <n v="340.11"/>
        <n v="270.01"/>
        <n v="380.01"/>
        <n v="170"/>
        <n v="420.02"/>
        <n v="260.10000000000002"/>
        <n v="383.51"/>
        <n v="360.01"/>
        <n v="396.61"/>
        <n v="166"/>
        <n v="211"/>
        <n v="120.1"/>
        <n v="370.01"/>
        <n v="160"/>
        <n v="24.1"/>
        <n v="255.01"/>
        <n v="404.61"/>
        <n v="180"/>
        <n v="458.11"/>
        <n v="440.02"/>
        <n v="450.02"/>
        <n v="240.01"/>
        <n v="460.02"/>
        <n v="83.7"/>
        <n v="466.02"/>
        <n v="155"/>
        <n v="279.60000000000002"/>
        <n v="310.01"/>
        <n v="324"/>
        <n v="375.01"/>
        <n v="340.01"/>
        <n v="441.11"/>
        <n v="330.01"/>
        <n v="499.11"/>
        <n v="315.01"/>
        <n v="233.01"/>
        <n v="576.02"/>
        <n v="397.01"/>
        <n v="256.01"/>
        <n v="210"/>
        <n v="268.3"/>
        <n v="328.01"/>
        <n v="245.01"/>
        <n v="277.01"/>
        <n v="359.01"/>
        <n v="265.01"/>
        <n v="366.01"/>
        <n v="416.02"/>
        <n v="199"/>
        <n v="380.8"/>
        <n v="285.01"/>
        <n v="280.39999999999998"/>
        <n v="325.01"/>
        <n v="188"/>
        <n v="288.01"/>
        <n v="310.11"/>
        <n v="300.11"/>
        <n v="358.61"/>
        <n v="220.1"/>
        <n v="415.11"/>
        <n v="500.02"/>
        <n v="166.2"/>
        <n v="511.11"/>
        <n v="528.01"/>
        <n v="476.11"/>
        <n v="500.01"/>
        <n v="170.6"/>
        <n v="224.6"/>
        <n v="371.01"/>
        <n v="254.81"/>
        <n v="144.1"/>
        <n v="299.01"/>
        <n v="293.01"/>
        <n v="410.02"/>
        <n v="249.01"/>
        <n v="301.01"/>
        <n v="368.01"/>
        <n v="104.3"/>
        <n v="339.01"/>
        <n v="280.81"/>
        <n v="555.01"/>
        <n v="181.3"/>
        <n v="308"/>
        <n v="140.1"/>
        <n v="135.1"/>
        <n v="311.39999999999998"/>
        <n v="414.81"/>
        <n v="369.11"/>
        <n v="340.1"/>
        <n v="230.3"/>
        <n v="340.21"/>
        <n v="272.3"/>
        <n v="130.1"/>
        <n v="289.2"/>
        <n v="270.3"/>
        <n v="202.3"/>
        <n v="220.8"/>
        <n v="30"/>
        <n v="388.01"/>
        <n v="480.11"/>
        <n v="107.6"/>
        <n v="56.5"/>
        <n v="440.1"/>
        <n v="800.12"/>
        <n v="240.2"/>
        <n v="560.11"/>
        <n v="322.10000000000002"/>
        <n v="77.099999999999994"/>
        <n v="240.1"/>
        <n v="400.2"/>
        <n v="177.2"/>
        <n v="170.2"/>
        <n v="199.8"/>
        <n v="25"/>
        <n v="290.3"/>
        <n v="99.1"/>
        <n v="50.1"/>
        <n v="132.19999999999999"/>
        <n v="493.21"/>
        <n v="281.41000000000003"/>
        <n v="280.2"/>
        <n v="343"/>
        <n v="270.2"/>
        <n v="470.2"/>
        <n v="230.1"/>
        <n v="55.1"/>
        <n v="335.7"/>
        <n v="421.21"/>
        <n v="276.10000000000002"/>
        <n v="266.3"/>
        <n v="201.8"/>
        <n v="373.3"/>
        <n v="530.5"/>
        <n v="316.3"/>
        <n v="390.21"/>
        <n v="400.01"/>
        <n v="211.2"/>
        <n v="288.3"/>
        <n v="110.1"/>
        <n v="60.1"/>
        <n v="88.1"/>
        <n v="71.099999999999994"/>
        <n v="176"/>
        <n v="66.099999999999994"/>
        <n v="24.9"/>
        <n v="90.1"/>
        <n v="258.31"/>
        <n v="179.3"/>
        <n v="235.1"/>
        <n v="125.1"/>
        <n v="282.10000000000002"/>
        <n v="30.5"/>
        <n v="165"/>
        <n v="260"/>
        <n v="276.01"/>
        <n v="220.2"/>
        <n v="282.41000000000003"/>
        <n v="185"/>
        <n v="254.6"/>
        <n v="236.01"/>
        <n v="320.11"/>
        <n v="538.61"/>
        <n v="500.21"/>
        <n v="430.21"/>
        <n v="710.12"/>
        <n v="104.8"/>
        <n v="181.9"/>
        <n v="121.8"/>
        <n v="129.80000000000001"/>
        <n v="24.8"/>
        <n v="232.6"/>
        <n v="195"/>
        <n v="280"/>
        <n v="268.01"/>
        <n v="40.1"/>
        <n v="377"/>
        <n v="175"/>
        <n v="158.69999999999999"/>
        <n v="95.1"/>
        <n v="178"/>
        <n v="186"/>
        <n v="124.1"/>
        <n v="321.60000000000002"/>
        <n v="73.099999999999994"/>
        <n v="102.1"/>
        <n v="27.1"/>
        <n v="171"/>
        <n v="151"/>
        <n v="96.1"/>
        <n v="168"/>
        <n v="389.01"/>
        <n v="211.7"/>
        <n v="149.4"/>
        <m/>
        <n v="480.02"/>
        <n v="325.10000000000002"/>
        <n v="643.02"/>
        <n v="132.1"/>
        <n v="343.11"/>
        <n v="342.41"/>
        <n v="392.11"/>
        <n v="145.1"/>
        <n v="89.1"/>
        <n v="365.61"/>
        <n v="294.10000000000002"/>
        <n v="510.01"/>
        <n v="176.9"/>
        <n v="201.6"/>
        <n v="288.61"/>
        <n v="394.21"/>
        <n v="554.02"/>
        <n v="275.81"/>
        <n v="243.4"/>
        <n v="419.2"/>
        <n v="444.01"/>
        <n v="698.12"/>
        <n v="930.21"/>
        <n v="299.2"/>
        <n v="983.03"/>
        <n v="411.02"/>
        <n v="520.02"/>
        <n v="320.7"/>
        <n v="133.1"/>
        <n v="542.12"/>
        <n v="455.51"/>
        <n v="367"/>
        <n v="149.6"/>
        <n v="321.31"/>
        <n v="355.01"/>
        <n v="317.11"/>
        <n v="351.41"/>
        <n v="315.11"/>
        <n v="437.01"/>
        <n v="410.11"/>
        <n v="399.02"/>
        <n v="444.02"/>
        <n v="609.71"/>
        <n v="533.11"/>
        <n v="299.3"/>
        <n v="680.52"/>
        <n v="470.21"/>
        <n v="715.42"/>
        <n v="743.02"/>
        <n v="96"/>
        <n v="404.31"/>
        <n v="452.02"/>
        <n v="470.02"/>
        <n v="260.89999999999998"/>
        <n v="294.41000000000003"/>
        <n v="227.3"/>
        <n v="382.01"/>
        <n v="233.81"/>
        <n v="264.5"/>
        <n v="320.51"/>
        <n v="107.5"/>
        <n v="357.91"/>
        <n v="328.41"/>
        <n v="314.01"/>
        <n v="234.01"/>
        <n v="388.11"/>
        <n v="359.71"/>
        <n v="251.01"/>
        <n v="331.71"/>
        <n v="300.41000000000003"/>
        <n v="311.01"/>
        <n v="282.60000000000002"/>
        <n v="322.01"/>
        <n v="286.60000000000002"/>
        <n v="401.81"/>
        <n v="238.01"/>
        <n v="536.02"/>
        <n v="39.4"/>
        <n v="195.6"/>
        <n v="258.11"/>
        <n v="325.11"/>
        <n v="243.6"/>
        <n v="217.7"/>
        <n v="383.81"/>
        <n v="284.7"/>
        <n v="345.1"/>
        <n v="315"/>
        <n v="440.61"/>
        <n v="519.91"/>
        <n v="194.2"/>
        <n v="276.89999999999998"/>
        <n v="470.11"/>
        <n v="169"/>
        <n v="405.32"/>
        <n v="299.41000000000003"/>
        <n v="398.11"/>
        <n v="476.02"/>
        <n v="259.01"/>
        <n v="274.41000000000003"/>
        <n v="427.31"/>
        <n v="487.11"/>
        <n v="470.12"/>
        <n v="412.41"/>
        <n v="500.92"/>
        <n v="718.92"/>
        <n v="439.72"/>
        <n v="360.1"/>
        <n v="380.9"/>
        <n v="630.02"/>
        <n v="371.2"/>
        <n v="580.02"/>
        <n v="522.01"/>
        <n v="622.02"/>
        <n v="470.01"/>
        <n v="633.02"/>
        <n v="331"/>
        <n v="833.03"/>
        <n v="139.30000000000001"/>
        <n v="214.7"/>
        <n v="302.8"/>
        <n v="229"/>
        <n v="184.8"/>
        <n v="324.7"/>
        <n v="256.61"/>
        <n v="300.20999999999998"/>
        <n v="620.02"/>
        <n v="369.5"/>
        <n v="225"/>
        <n v="466.01"/>
        <n v="430.7"/>
        <n v="577.02"/>
        <n v="550.01"/>
        <n v="129.4"/>
        <n v="236.4"/>
        <n v="493.4"/>
        <n v="264"/>
        <n v="205.7"/>
        <n v="272.2"/>
        <n v="268.60000000000002"/>
        <n v="222.3"/>
        <n v="171.9"/>
        <n v="186.2"/>
        <n v="356.2"/>
        <n v="316.20999999999998"/>
        <n v="540.01"/>
        <n v="430.2"/>
        <n v="153.5"/>
        <n v="389.41"/>
        <n v="261"/>
        <n v="366.11"/>
        <n v="99.6"/>
        <n v="327.01"/>
        <n v="381.7"/>
        <n v="574.80999999999995"/>
        <n v="333.1"/>
        <n v="370.1"/>
        <n v="355.11"/>
        <n v="610.02"/>
        <n v="432.01"/>
        <n v="479.21"/>
        <n v="480.21"/>
        <n v="190.3"/>
        <n v="336.01"/>
        <n v="244.01"/>
        <n v="566.02"/>
        <n v="277.10000000000002"/>
        <n v="440.2"/>
        <n v="490.11"/>
        <n v="600.12"/>
        <n v="630.11"/>
        <n v="162.30000000000001"/>
        <n v="79.099999999999994"/>
        <n v="204.8"/>
        <n v="214"/>
        <n v="120.3"/>
        <n v="339.7"/>
        <n v="223"/>
        <n v="188.3"/>
        <n v="750.02"/>
        <n v="336.1"/>
        <n v="460.01"/>
        <n v="778.51"/>
      </sharedItems>
    </cacheField>
    <cacheField name="出站天车钢水净重（t）" numFmtId="0">
      <sharedItems containsString="0" containsBlank="1" containsNumber="1" minValue="0" maxValue="309.88" count="1036">
        <n v="279.08"/>
        <n v="281.23"/>
        <n v="273.07"/>
        <n v="282.83"/>
        <n v="277.08"/>
        <n v="278.14"/>
        <n v="275.05"/>
        <n v="270.45999999999998"/>
        <n v="285.76"/>
        <n v="265"/>
        <n v="275.33999999999997"/>
        <n v="269.60000000000002"/>
        <n v="275.39"/>
        <n v="281.12"/>
        <n v="270"/>
        <n v="274.22000000000003"/>
        <n v="287.8"/>
        <n v="270.48"/>
        <n v="287.47000000000003"/>
        <n v="265.3"/>
        <n v="276.23"/>
        <n v="278.85000000000002"/>
        <n v="281.70999999999998"/>
        <n v="284.86"/>
        <n v="273.06"/>
        <n v="288.87"/>
        <n v="269.89999999999998"/>
        <n v="262.97000000000003"/>
        <n v="273.08"/>
        <n v="290.01"/>
        <n v="273.61"/>
        <n v="279.39"/>
        <n v="281.17"/>
        <n v="283.12"/>
        <n v="291.20999999999998"/>
        <n v="287.97000000000003"/>
        <n v="280.85000000000002"/>
        <n v="276.82"/>
        <n v="275.95"/>
        <n v="284.88"/>
        <n v="284.02"/>
        <n v="281.11"/>
        <n v="293.52"/>
        <n v="274.20999999999998"/>
        <n v="281.38"/>
        <n v="282.79000000000002"/>
        <n v="292.66000000000003"/>
        <n v="281.74"/>
        <n v="282.83999999999997"/>
        <n v="270.2"/>
        <n v="279.08999999999997"/>
        <n v="277.10000000000002"/>
        <n v="294.37"/>
        <n v="271.60000000000002"/>
        <n v="285.07"/>
        <n v="269.58"/>
        <n v="280.54000000000002"/>
        <n v="288.31"/>
        <n v="280.56"/>
        <n v="287.43"/>
        <n v="281.95999999999998"/>
        <n v="294.07"/>
        <n v="275.93"/>
        <n v="276.8"/>
        <n v="292.36"/>
        <n v="290.93"/>
        <n v="285.72000000000003"/>
        <n v="277.95"/>
        <n v="289.37"/>
        <n v="283.14"/>
        <n v="280.86"/>
        <n v="297.43"/>
        <n v="277.35000000000002"/>
        <n v="290.62"/>
        <n v="286.57"/>
        <n v="278.52999999999997"/>
        <n v="286.89999999999998"/>
        <n v="289.45999999999998"/>
        <n v="278.52"/>
        <n v="277.67"/>
        <n v="288.01"/>
        <n v="276.5"/>
        <n v="279.66000000000003"/>
        <n v="281.39999999999998"/>
        <n v="286"/>
        <n v="284"/>
        <n v="269.02"/>
        <n v="286.85000000000002"/>
        <n v="290.91000000000003"/>
        <n v="278.24"/>
        <n v="284.58"/>
        <n v="292.62"/>
        <n v="270.45"/>
        <n v="282.01"/>
        <n v="284.60000000000002"/>
        <n v="280.23"/>
        <n v="284.87"/>
        <n v="282.24"/>
        <n v="267.29000000000002"/>
        <n v="273.69"/>
        <n v="274.49"/>
        <n v="269.88"/>
        <n v="269.33"/>
        <n v="278.23"/>
        <n v="287.12"/>
        <n v="269.02999999999997"/>
        <n v="264.39999999999998"/>
        <n v="275.94"/>
        <n v="272.47000000000003"/>
        <n v="271.33"/>
        <n v="268.73"/>
        <n v="278.77"/>
        <n v="273.33999999999997"/>
        <n v="289.43"/>
        <n v="267"/>
        <n v="281.97000000000003"/>
        <n v="271"/>
        <n v="285.14"/>
        <n v="279.07"/>
        <n v="286.89"/>
        <n v="267.57"/>
        <n v="274.79000000000002"/>
        <n v="273.33"/>
        <n v="276.83"/>
        <n v="269.58999999999997"/>
        <n v="282.29000000000002"/>
        <n v="258.08999999999997"/>
        <n v="268.16000000000003"/>
        <n v="276.52"/>
        <n v="272.72000000000003"/>
        <n v="273.55"/>
        <n v="269.27999999999997"/>
        <n v="277.37"/>
        <n v="272.19"/>
        <n v="272.45999999999998"/>
        <n v="274.45999999999998"/>
        <n v="283.97000000000003"/>
        <n v="268.98"/>
        <n v="287.70999999999998"/>
        <n v="289.14999999999998"/>
        <n v="276.19"/>
        <n v="273.29000000000002"/>
        <n v="254.09"/>
        <n v="295.55"/>
        <n v="276.79000000000002"/>
        <n v="272.16000000000003"/>
        <n v="270.5"/>
        <n v="274.2"/>
        <n v="286.76"/>
        <n v="275.36"/>
        <n v="285.7"/>
        <n v="271.33999999999997"/>
        <n v="270.52"/>
        <n v="285.14999999999998"/>
        <n v="282.26"/>
        <n v="289.77999999999997"/>
        <n v="279.11"/>
        <n v="282.86"/>
        <n v="299.86"/>
        <n v="287.75"/>
        <n v="279.13"/>
        <n v="280.82"/>
        <n v="285.95999999999998"/>
        <n v="286.62"/>
        <n v="292.35000000000002"/>
        <n v="268.45999999999998"/>
        <n v="284.01"/>
        <n v="288.88"/>
        <n v="282.27999999999997"/>
        <n v="286.02"/>
        <n v="292.24"/>
        <n v="289.18"/>
        <n v="288.89999999999998"/>
        <n v="287.74"/>
        <n v="272.75"/>
        <n v="281.67"/>
        <n v="287.2"/>
        <n v="289.47000000000003"/>
        <n v="286.04000000000002"/>
        <n v="287.45"/>
        <n v="286.87"/>
        <n v="294.35000000000002"/>
        <n v="277.68"/>
        <n v="290.08"/>
        <n v="292.94"/>
        <n v="278.27999999999997"/>
        <n v="282.56"/>
        <n v="274.81"/>
        <n v="286.27"/>
        <n v="298.98"/>
        <n v="265.87"/>
        <n v="285.74"/>
        <n v="281.08"/>
        <n v="288.3"/>
        <n v="283.16000000000003"/>
        <n v="286.35000000000002"/>
        <n v="276.49"/>
        <n v="277.66000000000003"/>
        <n v="268.75"/>
        <n v="282.25"/>
        <n v="277.36"/>
        <n v="279.97000000000003"/>
        <n v="268.43"/>
        <n v="278.51"/>
        <n v="277.92"/>
        <n v="279.37"/>
        <n v="282.85000000000002"/>
        <n v="278.20999999999998"/>
        <n v="278.26"/>
        <n v="275.07"/>
        <n v="282.54000000000002"/>
        <n v="276.24"/>
        <n v="277.7"/>
        <n v="279.14"/>
        <n v="273.39"/>
        <n v="275.67"/>
        <n v="285.16000000000003"/>
        <n v="282.89"/>
        <n v="282.23"/>
        <n v="279.7"/>
        <n v="283.98"/>
        <n v="278.8"/>
        <n v="280.27999999999997"/>
        <n v="288.35000000000002"/>
        <n v="265.83999999999997"/>
        <n v="270.20999999999998"/>
        <n v="277.94"/>
        <n v="283.41000000000003"/>
        <n v="275.62"/>
        <n v="286.29000000000002"/>
        <n v="279.41000000000003"/>
        <n v="280.52999999999997"/>
        <n v="293.54000000000002"/>
        <n v="290.64999999999998"/>
        <n v="279.68"/>
        <n v="284.29000000000002"/>
        <n v="267.8"/>
        <n v="271.06"/>
        <n v="265.82"/>
        <n v="278.2"/>
        <n v="284.89"/>
        <n v="289.14"/>
        <n v="290.88"/>
        <n v="289.2"/>
        <n v="287.48"/>
        <n v="292.64"/>
        <n v="272.77999999999997"/>
        <n v="283.39999999999998"/>
        <n v="281.14999999999998"/>
        <n v="282.16000000000003"/>
        <n v="281.39"/>
        <n v="279.95999999999998"/>
        <n v="281.05"/>
        <n v="298.10000000000002"/>
        <n v="294.39"/>
        <n v="279.36"/>
        <n v="281.7"/>
        <n v="283.43"/>
        <n v="290.63"/>
        <n v="277.06"/>
        <n v="286.01"/>
        <n v="286.58"/>
        <n v="273.62"/>
        <n v="289.5"/>
        <n v="270.19"/>
        <n v="278.63"/>
        <n v="285.45"/>
        <n v="278.83999999999997"/>
        <n v="270.18"/>
        <n v="280.81"/>
        <n v="284.54000000000002"/>
        <n v="277.07"/>
        <n v="263.85000000000002"/>
        <n v="265.85000000000002"/>
        <n v="283.13"/>
        <n v="265.57"/>
        <n v="274.51"/>
        <n v="280.31"/>
        <n v="264.14"/>
        <n v="279.94"/>
        <n v="271.36"/>
        <n v="280.45999999999998"/>
        <n v="271.91000000000003"/>
        <n v="273.05"/>
        <n v="265.5"/>
        <n v="271.63"/>
        <n v="286.77"/>
        <n v="267.85000000000002"/>
        <n v="284.3"/>
        <n v="287.16000000000003"/>
        <n v="281.13"/>
        <n v="274.76"/>
        <n v="286.3"/>
        <n v="271.61"/>
        <n v="271.32"/>
        <n v="280.83"/>
        <n v="276.27"/>
        <n v="279.85000000000002"/>
        <n v="271.56"/>
        <n v="288.52999999999997"/>
        <n v="272.17"/>
        <n v="288.33"/>
        <n v="273.26"/>
        <n v="283.69"/>
        <n v="273.91000000000003"/>
        <n v="275.92"/>
        <n v="284.56"/>
        <n v="281.73"/>
        <n v="271.01"/>
        <n v="269.62"/>
        <n v="266.37"/>
        <n v="283.37"/>
        <n v="275.87"/>
        <n v="271.93"/>
        <n v="272.18"/>
        <n v="282.75"/>
        <n v="273.94"/>
        <n v="263.27"/>
        <n v="276.22000000000003"/>
        <n v="280.25"/>
        <n v="273.01"/>
        <n v="275.37"/>
        <n v="278.83"/>
        <n v="271.51"/>
        <n v="285.36"/>
        <n v="279.33999999999997"/>
        <n v="279.42"/>
        <n v="266.73"/>
        <n v="265.83"/>
        <n v="277.12"/>
        <n v="270.74"/>
        <n v="270.99"/>
        <n v="277.99"/>
        <n v="276.81"/>
        <n v="283.08999999999997"/>
        <n v="284.69"/>
        <n v="288"/>
        <n v="276.14999999999998"/>
        <n v="285.20999999999998"/>
        <n v="277.95999999999998"/>
        <n v="288.02999999999997"/>
        <n v="285.18"/>
        <n v="269.89"/>
        <n v="289.75"/>
        <n v="267.55"/>
        <n v="263.58999999999997"/>
        <n v="289.48"/>
        <n v="293.48"/>
        <n v="283.07"/>
        <n v="277.98"/>
        <n v="266.7"/>
        <n v="273.04000000000002"/>
        <n v="275.89999999999998"/>
        <n v="279.63"/>
        <n v="280.49"/>
        <n v="273.64"/>
        <n v="277.05"/>
        <n v="278.77999999999997"/>
        <n v="284.64"/>
        <n v="268.74"/>
        <n v="265.56"/>
        <n v="288.5"/>
        <n v="279.67"/>
        <n v="279.43"/>
        <n v="284.57"/>
        <n v="283.74"/>
        <n v="269"/>
        <n v="285.08999999999997"/>
        <n v="276.18"/>
        <n v="281.10000000000002"/>
        <n v="266.39"/>
        <n v="273.89"/>
        <n v="279.81"/>
        <n v="276.54000000000002"/>
        <n v="288.04000000000002"/>
        <n v="287.18"/>
        <n v="300.14999999999998"/>
        <n v="293.49"/>
        <n v="274.24"/>
        <n v="281.99"/>
        <n v="296.42"/>
        <n v="289.20999999999998"/>
        <n v="275.69"/>
        <n v="291.2"/>
        <n v="285.42"/>
        <n v="263.58"/>
        <n v="254.61"/>
        <n v="288.91000000000003"/>
        <n v="283.19"/>
        <n v="284.27"/>
        <n v="278.56"/>
        <n v="266.44"/>
        <n v="284.52999999999997"/>
        <n v="291.45999999999998"/>
        <n v="280.26"/>
        <n v="279.14999999999998"/>
        <n v="284.85000000000002"/>
        <n v="283.44"/>
        <n v="279.98"/>
        <n v="270.76"/>
        <n v="279.12"/>
        <n v="278.22000000000003"/>
        <n v="292.64999999999998"/>
        <n v="261.83"/>
        <n v="286.52999999999997"/>
        <n v="286.58999999999997"/>
        <n v="288.02"/>
        <n v="285.43"/>
        <n v="267.56"/>
        <n v="271.04000000000002"/>
        <n v="265.58"/>
        <n v="294.72000000000003"/>
        <n v="287.14999999999998"/>
        <n v="277.64999999999998"/>
        <n v="285.47000000000003"/>
        <n v="270.47000000000003"/>
        <n v="284.32"/>
        <n v="279.99"/>
        <n v="277.02"/>
        <n v="269.04000000000002"/>
        <n v="273.95999999999998"/>
        <n v="273.89999999999998"/>
        <n v="274.99"/>
        <n v="265.58999999999997"/>
        <n v="258.95"/>
        <n v="269.61"/>
        <n v="290.64"/>
        <n v="261.58"/>
        <n v="258.94"/>
        <n v="280.3"/>
        <n v="281.98"/>
        <n v="272.14999999999998"/>
        <n v="267.87"/>
        <n v="275.88"/>
        <n v="279.39999999999998"/>
        <n v="282.89999999999998"/>
        <n v="271.31"/>
        <n v="266.07"/>
        <n v="287.36"/>
        <n v="278.55"/>
        <n v="282.52"/>
        <n v="266.67"/>
        <n v="280.16000000000003"/>
        <n v="257.77999999999997"/>
        <n v="286.92"/>
        <n v="263.83"/>
        <n v="279.72000000000003"/>
        <n v="278.81"/>
        <n v="276.77999999999997"/>
        <n v="271.05"/>
        <n v="268.45"/>
        <n v="266.76"/>
        <n v="276.75"/>
        <n v="280.8"/>
        <n v="271.35000000000002"/>
        <n v="271.66000000000003"/>
        <n v="291.51"/>
        <n v="280.01"/>
        <n v="290.36"/>
        <n v="292.33999999999997"/>
        <n v="280.55"/>
        <n v="287.73"/>
        <n v="263.5"/>
        <n v="262.39"/>
        <n v="283.72000000000003"/>
        <n v="266.45999999999998"/>
        <n v="271.02"/>
        <n v="271.64"/>
        <n v="267.86"/>
        <n v="277.63"/>
        <n v="283.42"/>
        <n v="287.67"/>
        <n v="256.39999999999998"/>
        <n v="278.79000000000002"/>
        <n v="277.38"/>
        <n v="269.87"/>
        <n v="267.62"/>
        <n v="286.02999999999997"/>
        <n v="291.77999999999997"/>
        <n v="282.58"/>
        <n v="272.79000000000002"/>
        <n v="253.21"/>
        <n v="263.25"/>
        <n v="291.06"/>
        <n v="292.07"/>
        <n v="291.48"/>
        <n v="270.77999999999997"/>
        <n v="278.27"/>
        <n v="273.56"/>
        <n v="290.31"/>
        <n v="262.17"/>
        <n v="289.51"/>
        <n v="282.87"/>
        <n v="271.95"/>
        <n v="259.79000000000002"/>
        <n v="285.19"/>
        <n v="289.95999999999998"/>
        <n v="282.57"/>
        <n v="284.55"/>
        <n v="284.31"/>
        <n v="267.27999999999997"/>
        <n v="284.02999999999997"/>
        <n v="269.93"/>
        <n v="266.48"/>
        <n v="267.05"/>
        <n v="260.67"/>
        <n v="280.83999999999997"/>
        <n v="281.43"/>
        <n v="279.93"/>
        <n v="281.69"/>
        <n v="275.08999999999997"/>
        <n v="273.35000000000002"/>
        <n v="290"/>
        <n v="269.37"/>
        <n v="274.77"/>
        <n v="285.17"/>
        <n v="281.88"/>
        <n v="268.13"/>
        <n v="274.19"/>
        <n v="260.66000000000003"/>
        <n v="274.83999999999997"/>
        <n v="267.92"/>
        <n v="274.45"/>
        <n v="274.82"/>
        <n v="275.64999999999998"/>
        <n v="294.69"/>
        <n v="286.32"/>
        <n v="288.61"/>
        <n v="283.95"/>
        <n v="276.47000000000003"/>
        <n v="282.88"/>
        <n v="274.92"/>
        <n v="282.20999999999998"/>
        <n v="288.89"/>
        <n v="267.32"/>
        <n v="271.94"/>
        <n v="268.17"/>
        <n v="288.60000000000002"/>
        <n v="287.17"/>
        <n v="273.36"/>
        <n v="268.47000000000003"/>
        <n v="287.13"/>
        <n v="284.58999999999997"/>
        <n v="284.27999999999997"/>
        <n v="298.13"/>
        <n v="266.75"/>
        <n v="275.06"/>
        <n v="277.89999999999998"/>
        <n v="273.08999999999997"/>
        <n v="278"/>
        <n v="274.52"/>
        <n v="263.82"/>
        <n v="279.56"/>
        <n v="277.41000000000003"/>
        <n v="273.52"/>
        <n v="283.45999999999998"/>
        <n v="293.79000000000002"/>
        <n v="277.39"/>
        <n v="290.89999999999998"/>
        <n v="272.73"/>
        <n v="271.89999999999998"/>
        <n v="274.41000000000003"/>
        <n v="278.58999999999997"/>
        <n v="274.7"/>
        <n v="269.29000000000002"/>
        <n v="271.3"/>
        <n v="260.95999999999998"/>
        <n v="259.83"/>
        <n v="266.16000000000003"/>
        <n v="267.31"/>
        <n v="264.66000000000003"/>
        <n v="269.05"/>
        <n v="261.48"/>
        <n v="289.19"/>
        <n v="267.88"/>
        <n v="268.7"/>
        <n v="272.41000000000003"/>
        <n v="277.39999999999998"/>
        <n v="275.56"/>
        <n v="264.89"/>
        <n v="260.33999999999997"/>
        <n v="267.89999999999998"/>
        <n v="277.16000000000003"/>
        <n v="272.20999999999998"/>
        <n v="264.45"/>
        <n v="283.94"/>
        <n v="284.75"/>
        <n v="275.60000000000002"/>
        <n v="275.12"/>
        <n v="286.27999999999997"/>
        <n v="261.49"/>
        <n v="270.49"/>
        <n v="268.64999999999998"/>
        <n v="259.23"/>
        <n v="259.82"/>
        <n v="249.13"/>
        <n v="276.51"/>
        <n v="281.41000000000003"/>
        <n v="281.95"/>
        <n v="284.24"/>
        <n v="268.2"/>
        <n v="289.49"/>
        <n v="280.27"/>
        <n v="282.45"/>
        <n v="288.07"/>
        <n v="269.64999999999998"/>
        <n v="291.19"/>
        <n v="282.27"/>
        <n v="283.39"/>
        <n v="273.63"/>
        <n v="286.56"/>
        <n v="275.68"/>
        <n v="275.35000000000002"/>
        <n v="288.86"/>
        <n v="266.45"/>
        <n v="273.31"/>
        <n v="281.08999999999997"/>
        <n v="290.06"/>
        <n v="295.8"/>
        <n v="282.55"/>
        <n v="287.42"/>
        <n v="283.17"/>
        <n v="281.14"/>
        <n v="280"/>
        <n v="274.74"/>
        <n v="279.23"/>
        <n v="275.64"/>
        <n v="272.49"/>
        <n v="281.61"/>
        <n v="261.01"/>
        <n v="277.93"/>
        <n v="267.60000000000002"/>
        <n v="284.04000000000002"/>
        <n v="292.08"/>
        <n v="289.23"/>
        <n v="285.99"/>
        <n v="264.70999999999998"/>
        <n v="293.75"/>
        <n v="286.60000000000002"/>
        <n v="270.77"/>
        <n v="280.52"/>
        <n v="280.94"/>
        <n v="288.27999999999997"/>
        <n v="271.58999999999997"/>
        <n v="273.68"/>
        <n v="279.17"/>
        <n v="260.70999999999998"/>
        <n v="290.05"/>
        <n v="264.73"/>
        <n v="267.24"/>
        <n v="282.49"/>
        <n v="280.18"/>
        <n v="269.01"/>
        <n v="272.99"/>
        <n v="266.14"/>
        <n v="257.45"/>
        <n v="270.52999999999997"/>
        <n v="289.8"/>
        <n v="283.76"/>
        <n v="287.98"/>
        <n v="303.58999999999997"/>
        <n v="279.35000000000002"/>
        <n v="262.44"/>
        <n v="289.44"/>
        <n v="289.76"/>
        <n v="263.89"/>
        <n v="280.29000000000002"/>
        <n v="274.54000000000002"/>
        <n v="290.07"/>
        <n v="267.63"/>
        <n v="292.61"/>
        <n v="288.20999999999998"/>
        <n v="272.77"/>
        <n v="259.81"/>
        <n v="282.52999999999997"/>
        <n v="272.23"/>
        <n v="274.47000000000003"/>
        <n v="272.74"/>
        <n v="254.69"/>
        <n v="272.81"/>
        <n v="281.44"/>
        <n v="273.58999999999997"/>
        <n v="285.13"/>
        <n v="281.16000000000003"/>
        <n v="288.32"/>
        <n v="274.5"/>
        <n v="275.10000000000002"/>
        <n v="290.67"/>
        <n v="277.57"/>
        <n v="272.76"/>
        <n v="266.12"/>
        <n v="290.61"/>
        <n v="277.08999999999997"/>
        <n v="269.3"/>
        <n v="268.91000000000003"/>
        <n v="271.88"/>
        <n v="286.83"/>
        <n v="260"/>
        <n v="280.77"/>
        <n v="284.25"/>
        <n v="291.74"/>
        <n v="266.43"/>
        <n v="283.14999999999998"/>
        <n v="287.19"/>
        <n v="292.33"/>
        <n v="267.3"/>
        <n v="267.27"/>
        <n v="283.11"/>
        <n v="279.38"/>
        <n v="284.26"/>
        <n v="282.32"/>
        <n v="301.83999999999997"/>
        <n v="288.64999999999998"/>
        <n v="291.85000000000002"/>
        <n v="277.42"/>
        <n v="275.32"/>
        <n v="292.06"/>
        <n v="290.81"/>
        <n v="266.92"/>
        <n v="263.57"/>
        <n v="286.18"/>
        <n v="265.01"/>
        <n v="277.11"/>
        <n v="280.98"/>
        <n v="275.11"/>
        <n v="293.19"/>
        <n v="276.26"/>
        <n v="291.47000000000003"/>
        <n v="268.14"/>
        <n v="276.48"/>
        <n v="278.3"/>
        <n v="285.27"/>
        <n v="264.69"/>
        <n v="256.93"/>
        <n v="276.20999999999998"/>
        <n v="268.38"/>
        <n v="276.2"/>
        <n v="277.70999999999998"/>
        <n v="264.44"/>
        <n v="283.32"/>
        <n v="265.86"/>
        <n v="267.01"/>
        <n v="273.57"/>
        <n v="268.68"/>
        <n v="281.68"/>
        <n v="268.70999999999998"/>
        <n v="278.70999999999998"/>
        <n v="279.58"/>
        <n v="289.97000000000003"/>
        <n v="285.44"/>
        <n v="279.8"/>
        <n v="281.06"/>
        <n v="283.70999999999998"/>
        <n v="279.64999999999998"/>
        <n v="295.56"/>
        <n v="293.51"/>
        <n v="279.45"/>
        <n v="272.48"/>
        <n v="294.38"/>
        <n v="268.35000000000002"/>
        <n v="276.97000000000003"/>
        <n v="281.93"/>
        <n v="291.79000000000002"/>
        <n v="288.58"/>
        <n v="273.02"/>
        <n v="284.89999999999998"/>
        <n v="278.54000000000002"/>
        <n v="301.57"/>
        <n v="291.76"/>
        <n v="297.83"/>
        <n v="288.05"/>
        <n v="287.51"/>
        <n v="293.47000000000003"/>
        <n v="275.08"/>
        <n v="271.89"/>
        <n v="283.7"/>
        <n v="272.5"/>
        <n v="273.66000000000003"/>
        <n v="284.39999999999998"/>
        <n v="279.73"/>
        <n v="290.02999999999997"/>
        <n v="293.22000000000003"/>
        <n v="277.18"/>
        <n v="284.62"/>
        <n v="290.35000000000002"/>
        <n v="280.24"/>
        <n v="294.93"/>
        <n v="277.62"/>
        <n v="287.08"/>
        <n v="278.25"/>
        <n v="281.56"/>
        <n v="277.52"/>
        <n v="288.58999999999997"/>
        <n v="293.82"/>
        <n v="279.10000000000002"/>
        <n v="283.04000000000002"/>
        <n v="284.83999999999997"/>
        <n v="292.87"/>
        <n v="287.3"/>
        <n v="275.8"/>
        <n v="255.52"/>
        <n v="282"/>
        <n v="276.77"/>
        <n v="282.60000000000002"/>
        <n v="290.37"/>
        <n v="283.99"/>
        <n v="286.12"/>
        <n v="287.76"/>
        <n v="295.82"/>
        <n v="270.14999999999998"/>
        <n v="274.17"/>
        <n v="278.82"/>
        <n v="283.61"/>
        <n v="291.39"/>
        <n v="258.67"/>
        <n v="278.57"/>
        <n v="281.42"/>
        <n v="291.18"/>
        <n v="266.98"/>
        <n v="288.93"/>
        <n v="275.02"/>
        <n v="276.93"/>
        <n v="277.69"/>
        <n v="275.95999999999998"/>
        <n v="299.29000000000002"/>
        <n v="262.43"/>
        <n v="274.48"/>
        <n v="262.70999999999998"/>
        <n v="275.97000000000003"/>
        <n v="278.48"/>
        <n v="266.13"/>
        <n v="290.94"/>
        <n v="286.31"/>
        <n v="260.43"/>
        <n v="288.62"/>
        <n v="274.69"/>
        <n v="286.86"/>
        <n v="291.5"/>
        <n v="280.61"/>
        <n v="264.41000000000003"/>
        <n v="288.38"/>
        <n v="266.99"/>
        <n v="284.82"/>
        <n v="268.19"/>
        <n v="271.38"/>
        <n v="289.17"/>
        <n v="288.08"/>
        <n v="264.39"/>
        <n v="274.23"/>
        <n v="269.94"/>
        <n v="284.12"/>
        <n v="282.99"/>
        <n v="276.17"/>
        <n v="290.60000000000002"/>
        <n v="287.77999999999997"/>
        <n v="272.51"/>
        <n v="278.7"/>
        <n v="285.12"/>
        <n v="287.33"/>
        <n v="288.64"/>
        <n v="294.08999999999997"/>
        <n v="298.08"/>
        <n v="263.26"/>
        <n v="265.31"/>
        <n v="276.42"/>
        <n v="275.66000000000003"/>
        <n v="276.25"/>
        <n v="265.19"/>
        <n v="266.68"/>
        <n v="264.63"/>
        <n v="277.33"/>
        <n v="294.64"/>
        <n v="275.63"/>
        <n v="263.88"/>
        <n v="269.35000000000002"/>
        <n v="283.73"/>
        <n v="266.97000000000003"/>
        <n v="279"/>
        <n v="281.63"/>
        <n v="270.73"/>
        <n v="279.27"/>
        <n v="264.72000000000003"/>
        <n v="266.69"/>
        <n v="271.29000000000002"/>
        <n v="280.48"/>
        <n v="286.33999999999997"/>
        <n v="258.62"/>
        <n v="273.92"/>
        <n v="269.32"/>
        <n v="300.14"/>
        <n v="293.23"/>
        <n v="293.77"/>
        <n v="297.5"/>
        <n v="300.11"/>
        <n v="283.77"/>
        <n v="285.97000000000003"/>
        <n v="294.87"/>
        <n v="298.95999999999998"/>
        <n v="265.55"/>
        <n v="274.97000000000003"/>
        <n v="302.14"/>
        <n v="270.13"/>
        <n v="267.58999999999997"/>
        <n v="271.58"/>
        <n v="293.20999999999998"/>
        <n v="282.31"/>
        <n v="289.72000000000003"/>
        <n v="281.18"/>
        <n v="292.04000000000002"/>
        <n v="280.20999999999998"/>
        <n v="286.61"/>
        <n v="288.92"/>
        <n v="273.12"/>
        <n v="285.73"/>
        <n v="268.79000000000002"/>
        <n v="273.67"/>
        <n v="297.2"/>
        <n v="269.92"/>
        <n v="275"/>
        <n v="282.58999999999997"/>
        <n v="272.43"/>
        <n v="266.39999999999998"/>
        <n v="275.91000000000003"/>
        <n v="275.13"/>
        <n v="263"/>
        <n v="268.22000000000003"/>
        <n v="268.10000000000002"/>
        <n v="250.6"/>
        <n v="277"/>
        <n v="288.94"/>
        <n v="251.47"/>
        <n v="262.42"/>
        <n v="280.14999999999998"/>
        <n v="293.14999999999998"/>
        <n v="290.20999999999998"/>
        <n v="288.25"/>
        <n v="286.05"/>
        <n v="293.81"/>
        <n v="267.33"/>
        <n v="280.45"/>
        <n v="271.45999999999998"/>
        <n v="292.52"/>
        <n v="291.24"/>
        <n v="309.88"/>
        <n v="290.02"/>
        <n v="287.24"/>
        <n v="271.92"/>
        <n v="266.70999999999998"/>
        <n v="263.55"/>
        <n v="285.64999999999998"/>
        <n v="285.75"/>
        <n v="294.94"/>
        <n v="300.66000000000003"/>
        <n v="291.22000000000003"/>
        <n v="270.23"/>
        <n v="285.37"/>
        <n v="290.33"/>
        <n v="287.63"/>
        <n v="295.83"/>
        <n v="297.54000000000002"/>
        <n v="292.91000000000003"/>
        <n v="283.18"/>
        <n v="295.26"/>
        <n v="297.23"/>
        <n v="287.5"/>
        <n v="286.55"/>
        <n v="259.52"/>
        <n v="290.33999999999997"/>
        <n v="290.04000000000002"/>
        <n v="281.89999999999998"/>
        <n v="298.68"/>
        <n v="275.04000000000002"/>
        <n v="278.18"/>
        <n v="275.33"/>
        <n v="277.33999999999997"/>
        <n v="295.48"/>
        <n v="281.94"/>
        <n v="278.45"/>
        <n v="250"/>
        <n v="291.49"/>
        <n v="290.18"/>
        <n v="292.7"/>
        <n v="280.51"/>
        <n v="286.25"/>
        <n v="287.72000000000003"/>
        <n v="281.2"/>
        <n v="287.45999999999998"/>
        <n v="275.89"/>
        <n v="295.27"/>
        <n v="286.64"/>
        <n v="280.58"/>
        <n v="279.62"/>
        <n v="257.22000000000003"/>
        <n v="271.87"/>
        <n v="270.95999999999998"/>
        <n v="284.45999999999998"/>
        <n v="288.33999999999997"/>
        <n v="277.91000000000003"/>
        <n v="287.94"/>
        <n v="292.37"/>
        <n v="293.83999999999997"/>
        <n v="278.5"/>
        <n v="265.54000000000002"/>
        <n v="270.17"/>
        <n v="271.57"/>
        <n v="298.08999999999997"/>
        <n v="255.48"/>
        <n v="285.60000000000002"/>
        <n v="272.98"/>
        <n v="282.45999999999998"/>
        <n v="287.49"/>
        <n v="276"/>
        <n v="277.73"/>
        <n v="296.08"/>
        <n v="280.32"/>
        <n v="273.93"/>
        <n v="271.08"/>
        <n v="262.45"/>
        <n v="296.92"/>
        <n v="288.85000000000002"/>
        <n v="294.33999999999997"/>
        <n v="264.97000000000003"/>
        <n v="279.06"/>
        <n v="266.72000000000003"/>
        <n v="279.69"/>
        <n v="265.27999999999997"/>
        <n v="258.38"/>
        <n v="273.3"/>
        <n v="255.51"/>
        <n v="260.94"/>
        <n v="258.08"/>
        <n v="265.61"/>
        <n v="282.8"/>
        <n v="295.77999999999997"/>
        <n v="261.77999999999997"/>
        <m/>
      </sharedItems>
    </cacheField>
    <cacheField name="铝耗" numFmtId="176">
      <sharedItems containsString="0" containsBlank="1" containsNumber="1" minValue="0" maxValue="3.2837986856272998" count="2633">
        <n v="1.8156195356170299"/>
        <n v="2.6605241261600798"/>
        <n v="3.00518548357564"/>
        <n v="1.7012541102429"/>
        <n v="1.8003753428612701"/>
        <n v="1.8551412957503399"/>
        <n v="1.9950518087620399"/>
        <n v="1.82901205353842"/>
        <n v="2.05438759798432"/>
        <n v="2.1649166037735799"/>
        <n v="1.9544613931866099"/>
        <n v="2.19656713649852"/>
        <n v="2.3391128944406101"/>
        <n v="1.7647524188958399"/>
        <n v="1.8485007407407399"/>
        <n v="1.90794690394574"/>
        <n v="1.9349051424600401"/>
        <n v="1.9373739278319999"/>
        <n v="1.9393096296296299"/>
        <n v="1.9641086026368"/>
        <n v="1.9758330192235201"/>
        <n v="2.0365304275422602"/>
        <n v="2.0453412228796801"/>
        <n v="2.04722516062618"/>
        <n v="2.0508070631187199"/>
        <n v="2.0639071998828098"/>
        <n v="2.0831218195035799"/>
        <n v="2.1275694701741399"/>
        <n v="2.1370570787542298"/>
        <n v="2.2687827742786002"/>
        <n v="2.4594855349815501"/>
        <n v="2.7363707466832401"/>
        <n v="3.1977611940298498"/>
        <n v="1.6951730269943499"/>
        <n v="1.8385426674201799"/>
        <n v="1.8773847051955601"/>
        <n v="1.90325902003681"/>
        <n v="1.99686345024034"/>
        <n v="1.9989700888664099"/>
        <n v="2.0916510237361798"/>
        <n v="2.1077151783207002"/>
        <n v="2.1310837264981299"/>
        <n v="2.1919554622745498"/>
        <n v="2.30708946579449"/>
        <n v="2.5522067028919402"/>
        <n v="1.7386871845902301"/>
        <n v="1.8229449414760099"/>
        <n v="1.8302374769356899"/>
        <n v="1.85358309079293"/>
        <n v="1.86177202658747"/>
        <n v="1.8861595114729801"/>
        <n v="1.8985717868787899"/>
        <n v="1.9108675568386899"/>
        <n v="1.9378639127628501"/>
        <n v="1.9455776877761399"/>
        <n v="1.95704633949556"/>
        <n v="1.97189850879145"/>
        <n v="1.9774353033435501"/>
        <n v="1.98174222191391"/>
        <n v="1.99178999144568"/>
        <n v="1.9938562432592299"/>
        <n v="1.9966523620371699"/>
        <n v="2.07399156663379"/>
        <n v="2.07879788352118"/>
        <n v="2.08714559248555"/>
        <n v="2.1387272540703202"/>
        <n v="1.68637564536229"/>
        <n v="1.7005774584951701"/>
        <n v="1.79671951560969"/>
        <n v="1.8624292138873899"/>
        <n v="1.89600753360749"/>
        <n v="1.92646817828636"/>
        <n v="1.9674364452040201"/>
        <n v="1.9880264263860401"/>
        <n v="2.0231397151613502"/>
        <n v="2.0591098341476801"/>
        <n v="2.1419154133370601"/>
        <n v="2.1773668904606298"/>
        <n v="2.3065646566748002"/>
        <n v="1.6473502383749099"/>
        <n v="1.7506473502800499"/>
        <n v="1.89177945042677"/>
        <n v="1.9021471476684799"/>
        <n v="1.92560831826401"/>
        <n v="1.96765643996281"/>
        <n v="1.9828516432594301"/>
        <n v="1.98493034825871"/>
        <n v="1.9867975524475501"/>
        <n v="1.99057676056338"/>
        <n v="2.0138060367258901"/>
        <n v="2.0477207599790801"/>
        <n v="2.06279639751126"/>
        <n v="2.06796219091432"/>
        <n v="2.0880743551901002"/>
        <n v="2.08933941630784"/>
        <n v="2.0919841005731201"/>
        <n v="2.0949774830679799"/>
        <n v="2.11492937456079"/>
        <n v="2.1149484352139298"/>
        <n v="2.1158788219187699"/>
        <n v="2.13633644463301"/>
        <n v="2.1405761054421801"/>
        <n v="2.1578943935055999"/>
        <n v="2.1622514871487901"/>
        <n v="2.2048701085169302"/>
        <n v="2.2396571824110199"/>
        <n v="2.2745415371573898"/>
        <n v="2.5099040314213701"/>
        <n v="3.2120974479587199"/>
        <n v="3.2837986856272998"/>
        <n v="1.68015526722496"/>
        <n v="1.7702037475619901"/>
        <n v="1.8297654536668799"/>
        <n v="1.8327500000000001"/>
        <n v="1.84172863666014"/>
        <n v="1.89817998311741"/>
        <n v="1.91265212103343"/>
        <n v="1.9177762066014199"/>
        <n v="1.9263130896437901"/>
        <n v="1.9483668691007501"/>
        <n v="1.95780734395844"/>
        <n v="1.9675842172546001"/>
        <n v="1.97902696629213"/>
        <n v="1.99875731460794"/>
        <n v="2.0074645756457601"/>
        <n v="2.02110998106193"/>
        <n v="2.0230526391227999"/>
        <n v="2.02326501446547"/>
        <n v="2.0363075083155802"/>
        <n v="2.04859492703519"/>
        <n v="2.0498141440749298"/>
        <n v="2.0915760575082198"/>
        <n v="2.1136392299417599"/>
        <n v="2.1184039017341001"/>
        <n v="2.14121697416974"/>
        <n v="2.14858124623614"/>
        <n v="2.15005811926072"/>
        <n v="2.17366721360382"/>
        <n v="2.1759521915232201"/>
        <n v="2.25465532414198"/>
        <n v="2.3234827271065601"/>
        <n v="2.3691079916815201"/>
        <n v="2.5705833363377399"/>
        <n v="1.86733127594695"/>
        <n v="1.9239301181824899"/>
        <n v="2.3315346498578999"/>
        <n v="1.8077895552347101"/>
        <n v="1.9980252742181701"/>
        <n v="2.01078630381441"/>
        <n v="2.0169173820861301"/>
        <n v="2.0312450285319001"/>
        <n v="2.04138165755458"/>
        <n v="2.1084170661202402"/>
        <n v="2.3196398121387301"/>
        <n v="1.6502266666666701"/>
        <n v="1.7905649737551399"/>
        <n v="1.8029607619347501"/>
        <n v="1.8214891811625"/>
        <n v="1.82423109456945"/>
        <n v="1.8775508508255401"/>
        <n v="1.9686287477954101"/>
        <n v="2.1338861367837301"/>
        <n v="2.2202319474835899"/>
        <n v="2.3237048247693401"/>
        <n v="2.3457916244756301"/>
        <n v="3.0140085786023199"/>
        <n v="1.6974030360255701"/>
        <n v="1.9690837638376399"/>
        <n v="2.1471907595379802"/>
        <n v="2.41883909486253"/>
        <n v="0.95089198580511602"/>
        <n v="1.0190156058215001"/>
        <n v="1.0629871972195599"/>
        <n v="1.0786572663501699"/>
        <n v="1.07948788736283"/>
        <n v="1.08541686073591"/>
        <n v="1.11028944709109"/>
        <n v="1.11070181066439"/>
        <n v="1.1108824153291399"/>
        <n v="1.1206696458347201"/>
        <n v="1.1234366637706299"/>
        <n v="1.1239888224125001"/>
        <n v="1.1270468541794201"/>
        <n v="1.12813289806234"/>
        <n v="1.1339933053201301"/>
        <n v="1.1432315708490699"/>
        <n v="1.1466848091549799"/>
        <n v="1.14796921498204"/>
        <n v="1.1511495669319101"/>
        <n v="1.1615566564851401"/>
        <n v="1.1683007640576"/>
        <n v="1.16934990307394"/>
        <n v="1.1699822870908301"/>
        <n v="1.1717121180337"/>
        <n v="1.17205926635642"/>
        <n v="1.18006259077391"/>
        <n v="1.18149221183801"/>
        <n v="1.18187113366233"/>
        <n v="1.18453927383191"/>
        <n v="1.1918837763519701"/>
        <n v="1.1945947385238"/>
        <n v="1.19631824512535"/>
        <n v="1.1981186306007501"/>
        <n v="1.19833065305552"/>
        <n v="1.1989069403374499"/>
        <n v="1.1992944539338399"/>
        <n v="1.2001950059452999"/>
        <n v="1.20272543935465"/>
        <n v="1.20432294539437"/>
        <n v="1.2087976066783701"/>
        <n v="1.21353226253115"/>
        <n v="1.21843380897112"/>
        <n v="1.2199715536105"/>
        <n v="1.22150552992016"/>
        <n v="1.22214714876776"/>
        <n v="1.2242471488378801"/>
        <n v="1.2284767141009101"/>
        <n v="1.2300569790486999"/>
        <n v="1.23058556209491"/>
        <n v="1.2308886139514601"/>
        <n v="1.23193803053062"/>
        <n v="1.2321098401230799"/>
        <n v="1.2332023169218"/>
        <n v="1.2340473857352801"/>
        <n v="1.23419916038139"/>
        <n v="1.2371047969956801"/>
        <n v="1.23749192642516"/>
        <n v="1.2382206035379799"/>
        <n v="1.2385142675519101"/>
        <n v="1.24007368604854"/>
        <n v="1.24092770082101"/>
        <n v="1.24283080025931"/>
        <n v="1.2432479999999999"/>
        <n v="1.2434567368231699"/>
        <n v="1.2435227635075301"/>
        <n v="1.24355062013268"/>
        <n v="1.2457784762653099"/>
        <n v="1.24660581902172"/>
        <n v="1.2491630462101899"/>
        <n v="1.25163068508923"/>
        <n v="1.25488704438831"/>
        <n v="1.25656369688943"/>
        <n v="1.2583096028262499"/>
        <n v="1.25839031288669"/>
        <n v="1.2584364329103901"/>
        <n v="1.25854151598438"/>
        <n v="1.2591702005318799"/>
        <n v="1.2594429622151699"/>
        <n v="1.2596571781728301"/>
        <n v="1.2635828403414899"/>
        <n v="1.2646607547169799"/>
        <n v="1.2658412968075301"/>
        <n v="1.2667187952505099"/>
        <n v="1.26868229616825"/>
        <n v="1.2705685856432101"/>
        <n v="1.27294958588405"/>
        <n v="1.2733184065343599"/>
        <n v="1.27606532791982"/>
        <n v="1.27751659592992"/>
        <n v="1.27831322766166"/>
        <n v="1.27904309095408"/>
        <n v="1.2798578751988701"/>
        <n v="1.28191202680545"/>
        <n v="1.28563441165007"/>
        <n v="1.2864601047042701"/>
        <n v="1.28678226671434"/>
        <n v="1.2875821064552699"/>
        <n v="1.2884671242774599"/>
        <n v="1.2887054030115099"/>
        <n v="1.2888140009859801"/>
        <n v="1.2907101865136299"/>
        <n v="1.2933363065505901"/>
        <n v="1.2947695508930099"/>
        <n v="1.2958918898585601"/>
        <n v="1.2963898449354201"/>
        <n v="1.29720518995076"/>
        <n v="1.2988788947254799"/>
        <n v="1.2990268515578101"/>
        <n v="1.2998970922141699"/>
        <n v="1.3010304041796701"/>
        <n v="1.3026570959516599"/>
        <n v="1.30358376661898"/>
        <n v="1.3036956443935399"/>
        <n v="1.3044695428755"/>
        <n v="1.30477744807122"/>
        <n v="1.3064944925676401"/>
        <n v="1.3066750698371601"/>
        <n v="1.3068893858592801"/>
        <n v="1.3094053918764299"/>
        <n v="1.3099602518555"/>
        <n v="1.3114843166542201"/>
        <n v="1.3116948277134199"/>
        <n v="1.3140850363265499"/>
        <n v="1.31437213151757"/>
        <n v="1.3144870596692999"/>
        <n v="1.3154465298357301"/>
        <n v="1.3186394748850401"/>
        <n v="1.3187134260219999"/>
        <n v="1.31878369681802"/>
        <n v="1.31895970847085"/>
        <n v="1.31921784232365"/>
        <n v="1.32052699318213"/>
        <n v="1.3212180139703"/>
        <n v="1.32254442318207"/>
        <n v="1.3226222596964601"/>
        <n v="1.3228342898134899"/>
        <n v="1.32310248127507"/>
        <n v="1.3238937896965399"/>
        <n v="1.32440879382056"/>
        <n v="1.32461390716699"/>
        <n v="1.3246976892543201"/>
        <n v="1.3252429639799099"/>
        <n v="1.3257281519005299"/>
        <n v="1.3258794417147299"/>
        <n v="1.3268453036710599"/>
        <n v="1.32696932729174"/>
        <n v="1.32779789969996"/>
        <n v="1.32891976516634"/>
        <n v="1.32964468321601"/>
        <n v="1.32989615710653"/>
        <n v="1.33166923851057"/>
        <n v="1.33302778944421"/>
        <n v="1.33573442706998"/>
        <n v="1.3363276605862999"/>
        <n v="1.3369942010309299"/>
        <n v="1.3382044728434499"/>
        <n v="1.3383893730374301"/>
        <n v="1.33915975639129"/>
        <n v="1.34047863785749"/>
        <n v="1.3416790586876499"/>
        <n v="1.34312366700465"/>
        <n v="1.3434663968176399"/>
        <n v="1.3438028626023"/>
        <n v="1.3438404781229201"/>
        <n v="1.3445979826036101"/>
        <n v="1.3464148531951601"/>
        <n v="1.3484625633813201"/>
        <n v="1.3488564314770699"/>
        <n v="1.3496931414420601"/>
        <n v="1.3521548432299899"/>
        <n v="1.3531638215464099"/>
        <n v="1.3554223110518899"/>
        <n v="1.35647662120295"/>
        <n v="1.3576523972000401"/>
        <n v="1.35932311801504"/>
        <n v="1.3598080148449501"/>
        <n v="1.3605640499401399"/>
        <n v="1.36098353091503"/>
        <n v="1.3622586350019801"/>
        <n v="1.3629797233276499"/>
        <n v="1.36324882452511"/>
        <n v="1.3655032290835201"/>
        <n v="1.3659887684102701"/>
        <n v="1.36619987197349"/>
        <n v="1.3668893665076001"/>
        <n v="1.36793924586099"/>
        <n v="1.3683952467615901"/>
        <n v="1.3689621708719399"/>
        <n v="1.3697031857586199"/>
        <n v="1.3706828848841"/>
        <n v="1.37154547396909"/>
        <n v="1.3722174158360001"/>
        <n v="1.3746130839706201"/>
        <n v="1.3747481502561201"/>
        <n v="1.37514101677645"/>
        <n v="1.3755651210973801"/>
        <n v="1.3774105953109801"/>
        <n v="1.37833357900943"/>
        <n v="1.3783355915282001"/>
        <n v="1.37988294556788"/>
        <n v="1.3807253699025599"/>
        <n v="1.3813000625206899"/>
        <n v="1.38336788134041"/>
        <n v="1.38594689265537"/>
        <n v="1.38617449181507"/>
        <n v="1.3879407380476301"/>
        <n v="1.38803630851143"/>
        <n v="1.38855428935447"/>
        <n v="1.3885689811901301"/>
        <n v="1.39192909472444"/>
        <n v="1.3945517094623301"/>
        <n v="1.3954482686473499"/>
        <n v="1.3956379746835399"/>
        <n v="1.3975605633802799"/>
        <n v="1.39901250700019"/>
        <n v="1.3993200844178699"/>
        <n v="1.39955599665692"/>
        <n v="1.4007277369933"/>
        <n v="1.4019969409170101"/>
        <n v="1.4033756733148901"/>
        <n v="1.40345406915823"/>
        <n v="1.40381067689901"/>
        <n v="1.4044493943522001"/>
        <n v="1.4063065752616799"/>
        <n v="1.4068860572872799"/>
        <n v="1.4084989150926599"/>
        <n v="1.4094726346900299"/>
        <n v="1.4097346798421799"/>
        <n v="1.4100028586742901"/>
        <n v="1.4111025187803801"/>
        <n v="1.4118542265968901"/>
        <n v="1.41212330528714"/>
        <n v="1.41305310876055"/>
        <n v="1.41323865015781"/>
        <n v="1.41687184366537"/>
        <n v="1.4173671965878201"/>
        <n v="1.41775583220766"/>
        <n v="1.4195886488837299"/>
        <n v="1.42611505482148"/>
        <n v="1.4278940281669601"/>
        <n v="1.43040180314485"/>
        <n v="1.4307443200466801"/>
        <n v="1.43174716800118"/>
        <n v="1.4317797654681801"/>
        <n v="1.4325517394852001"/>
        <n v="1.4337517715419501"/>
        <n v="1.43388444644667"/>
        <n v="1.43392278646293"/>
        <n v="1.4342627957593199"/>
        <n v="1.43756281494353"/>
        <n v="1.43927383191089"/>
        <n v="1.44080653931199"/>
        <n v="1.44132513950696"/>
        <n v="1.4536883173181101"/>
        <n v="1.45928400691354"/>
        <n v="1.4601352046439899"/>
        <n v="1.4611454264023001"/>
        <n v="1.4629188328912499"/>
        <n v="1.47212491786523"/>
        <n v="1.4722197743761201"/>
        <n v="1.47534791108537"/>
        <n v="1.4763300624442499"/>
        <n v="1.4800598123130899"/>
        <n v="1.4863413260096501"/>
        <n v="1.4933398044027699"/>
        <n v="1.5073479318734799"/>
        <n v="1.5260097550478799"/>
        <n v="1.53195941217635"/>
        <n v="1.56059503784693"/>
        <n v="1.56071131953891"/>
        <n v="1.5668763868012301"/>
        <n v="1.5722223031804401"/>
        <n v="1.57277114243323"/>
        <n v="1.5876343118509399"/>
        <n v="1.60562064156206"/>
        <n v="1.6187495767972"/>
        <n v="1.6254954532332599"/>
        <n v="1.6698766344094"/>
        <n v="1.7060972729621"/>
        <n v="1.7760455412065199"/>
        <n v="1.97958924894332"/>
        <n v="1.22325832774029"/>
        <n v="1.22964522814289"/>
        <n v="1.23775571600481"/>
        <n v="1.2976116437162299"/>
        <n v="1.3341913358683699"/>
        <n v="1.3464448462929499"/>
        <n v="1.34864513888889"/>
        <n v="1.36802100307804"/>
        <n v="1.37163388380492"/>
        <n v="1.37869592430323"/>
        <n v="1.3923166132045499"/>
        <n v="1.4051201611742701"/>
        <n v="1.4088473422907299"/>
        <n v="1.4093248227976301"/>
        <n v="1.4100056104916201"/>
        <n v="1.4104194301382"/>
        <n v="1.41433773778738"/>
        <n v="1.4339734253667"/>
        <n v="1.43620594281443"/>
        <n v="1.4416923946448099"/>
        <n v="1.44756553738761"/>
        <n v="1.45055409700152"/>
        <n v="1.45904196879807"/>
        <n v="1.4688309254463701"/>
        <n v="1.4771629513567399"/>
        <n v="1.4772084643374399"/>
        <n v="1.49366129548607"/>
        <n v="1.5150215842866399"/>
        <n v="1.5272823397075399"/>
        <n v="1.54645143568708"/>
        <n v="1.5477930409568701"/>
        <n v="1.5656969719570399"/>
        <n v="1.57139112398527"/>
        <n v="1.6032985133159801"/>
        <n v="1.6709603859084901"/>
        <n v="1.28323299043494"/>
        <n v="1.28496484683263"/>
        <n v="1.3238470766733701"/>
        <n v="1.41909166365933"/>
        <n v="1.4266253006588301"/>
        <n v="1.4714302276559901"/>
        <n v="1.47823680540263"/>
        <n v="1.5860232938900001"/>
        <n v="1.46727372366002"/>
        <n v="1.61363081789426"/>
        <n v="0.75404679376083195"/>
        <n v="1.14557551776994"/>
        <n v="1.1464511745986301"/>
        <n v="1.16763124932899"/>
        <n v="1.2117352496749501"/>
        <n v="1.22397059845694"/>
        <n v="1.2529077395491699"/>
        <n v="1.28276732219638"/>
        <n v="1.29453593711446"/>
        <n v="1.29916579925651"/>
        <n v="1.31900115473441"/>
        <n v="1.3604279350380599"/>
        <n v="1.3669657469766101"/>
        <n v="1.38567840626112"/>
        <n v="1.39510079207177"/>
        <n v="1.39817152871591"/>
        <n v="1.3982582604559299"/>
        <n v="1.4282205782495301"/>
        <n v="1.4448080181706699"/>
        <n v="1.51397121573733"/>
        <n v="1.8913883488404399"/>
        <n v="1.2111247301344099"/>
        <n v="1.22414192903548"/>
        <n v="1.2681597328699401"/>
        <n v="1.3038692386230999"/>
        <n v="1.30492996205539"/>
        <n v="1.3377137170231399"/>
        <n v="1.35735590055669"/>
        <n v="1.3581883126160901"/>
        <n v="1.4949331852541801"/>
        <n v="1.52934673002285"/>
        <n v="1.35037259615385"/>
        <n v="1.3690326236263699"/>
        <n v="1.3827100413425799"/>
        <n v="1.5130995459308401"/>
        <n v="1.5075032248273801"/>
        <n v="2.09528859844474"/>
        <n v="1.64963165572575"/>
        <n v="2.2570315384313302"/>
        <n v="1.2195839534803199"/>
        <n v="1.53332003248702"/>
        <n v="1.59436697505892"/>
        <n v="1.5105438684664001"/>
        <n v="1.5316082420057"/>
        <n v="1.5369436810797601"/>
        <n v="1.5548465891118699"/>
        <n v="1.6542040074109701"/>
        <n v="1.6602165846000101"/>
        <n v="1.6928742745262599"/>
        <n v="1.7084875514956099"/>
        <n v="1.7135983851149701"/>
        <n v="1.7215370763856399"/>
        <n v="1.72434765735253"/>
        <n v="1.73496821201514"/>
        <n v="1.75733195449845"/>
        <n v="1.76791953281743"/>
        <n v="1.82932283804184"/>
        <n v="1.88441790121335"/>
        <n v="1.96725679138903"/>
        <n v="1.9769071534965399"/>
        <n v="2.1196506407935698"/>
        <n v="1.6740983492129999"/>
        <n v="1.7031372549019601"/>
        <n v="1.7067690621796501"/>
        <n v="1.7540625981367099"/>
        <n v="1.8268994314143601"/>
        <n v="1.8353350461773501"/>
        <n v="1.87459622324213"/>
        <n v="1.93904560840283"/>
        <n v="2.1473949699405899"/>
        <n v="2.2017427866646702"/>
        <n v="1.09453475501771"/>
        <n v="1.1341106258001401"/>
        <n v="1.1540404451683"/>
        <n v="1.15773080271635"/>
        <n v="1.1989674050062999"/>
        <n v="1.2497124041055101"/>
        <n v="1.29042188256449"/>
        <n v="1.3038717787555001"/>
        <n v="1.3136821187394501"/>
        <n v="1.3609936069145301"/>
        <n v="1.4050141345317499"/>
        <n v="1.4643530962756801"/>
        <n v="1.42825138979135"/>
        <n v="1.5698769699672901"/>
        <n v="1.61805782526713"/>
        <n v="1.4269002890173399"/>
        <n v="1.4984482566144499"/>
        <n v="1.56802744926267"/>
        <n v="1.6948601679445101"/>
        <n v="1.7964859373329101"/>
        <n v="1.8699783443939899"/>
        <n v="1.93890839667416"/>
        <n v="1.9795061638605"/>
        <n v="2.0228554502369702"/>
        <n v="2.0238455690703701"/>
        <n v="2.0540419443503102"/>
        <n v="2.1407012638001199"/>
        <n v="2.19804634099247"/>
        <n v="1.54334691419259"/>
        <n v="1.7399970327510099"/>
        <n v="1.78628249317823"/>
        <n v="1.1285136998409"/>
        <n v="1.23379419731965"/>
        <n v="1.2809671758876999"/>
        <n v="1.2880302286435701"/>
        <n v="1.30677765884242"/>
        <n v="1.3163300378466101"/>
        <n v="1.3812341794280101"/>
        <n v="1.3844434534427399"/>
        <n v="1.4110348251649101"/>
        <n v="1.52031894176006"/>
        <n v="1.7232870422219699"/>
        <n v="1.30173336233145"/>
        <n v="1.4198013600572701"/>
        <n v="1.21540025184386"/>
        <n v="1.24940452313438"/>
        <n v="1.2672159773771701"/>
        <n v="1.3036061507936501"/>
        <n v="1.34238546312336"/>
        <n v="1.34251024166573"/>
        <n v="1.36318973260554"/>
        <n v="1.3640353563474401"/>
        <n v="1.4050796347419801"/>
        <n v="1.4061852450188499"/>
        <n v="1.41784593650085"/>
        <n v="1.4422182500353999"/>
        <n v="1.4581771624342199"/>
        <n v="1.57705964040345"/>
        <n v="1.5868035399557501"/>
        <n v="2.11367690930788"/>
        <n v="2.8450492575671"/>
        <n v="1.2459306385289799"/>
        <n v="1.3842609408069899"/>
        <n v="1.4311389934476499"/>
        <n v="1.4887187302922"/>
        <n v="1.51544334522452"/>
        <n v="1.6546853530185599"/>
        <n v="1.71828829170299"/>
        <n v="1.72668759811617"/>
        <n v="1.75443407693408"/>
        <n v="1.7693181736666601"/>
        <n v="1.78277524099442"/>
        <n v="1.78333788802467"/>
        <n v="1.8153266794082299"/>
        <n v="1.83577218753384"/>
        <n v="1.8497908085844399"/>
        <n v="1.8580512895877701"/>
        <n v="1.9410802434975101"/>
        <n v="1.9457805922890701"/>
        <n v="2.0014852624011499"/>
        <n v="2.0964413705203202"/>
        <n v="2.1446984643179801"/>
        <n v="2.2083786982248501"/>
        <n v="2.3231039886039899"/>
        <n v="1.1979171140219"/>
        <n v="1.4414449686641799"/>
        <n v="1.4731453841901601"/>
        <n v="1.6024387101524"/>
        <n v="1.64395561044218"/>
        <n v="1.66811898761137"/>
        <n v="1.6716163206871899"/>
        <n v="1.7488448032436701"/>
        <n v="1.7671182848867999"/>
        <n v="1.77941859219314"/>
        <n v="1.7822954263672699"/>
        <n v="1.80446124375727"/>
        <n v="1.83871275036639"/>
        <n v="1.89140954415954"/>
        <n v="1.98693993940474"/>
        <n v="2.19857122997254"/>
        <n v="2.4108565197509599"/>
        <n v="1.76085882352941"/>
        <n v="1.7802757333141901"/>
        <n v="1.7874187278478599"/>
        <n v="1.79936204708868"/>
        <n v="1.8532068000273101"/>
        <n v="1.4866218735709"/>
        <n v="1.6121522930270999"/>
        <n v="1.6516675661090101"/>
        <n v="1.68826202345515"/>
        <n v="1.79338093129658"/>
        <n v="1.9224677984932099"/>
        <n v="1.925527168311"/>
        <n v="2.13586997878101"/>
        <n v="1.4611214813708699"/>
        <n v="1.5330003962107801"/>
        <n v="1.5527520993578401"/>
        <n v="1.6040885063218799"/>
        <n v="1.61241874369938"/>
        <n v="1.75059441840023"/>
        <n v="1.82266896927831"/>
        <n v="1.82528558052434"/>
        <n v="1.8440133649188599"/>
        <n v="1.8694967955489801"/>
        <n v="1.8744685881558201"/>
        <n v="1.8843085023400901"/>
        <n v="1.9576631474527"/>
        <n v="1.9739462957665901"/>
        <n v="2.0224602747587799"/>
        <n v="2.06827077698322"/>
        <n v="2.1018883486403701"/>
        <n v="2.1030806114355798"/>
        <n v="2.2915952125097299"/>
        <n v="2.5619198864061001"/>
        <n v="0.61307016902026801"/>
        <n v="1.55756359065365"/>
        <n v="1.6871468105230001"/>
        <n v="1.7421861343215701"/>
        <n v="1.8284077044348499"/>
        <n v="1.85083232639136"/>
        <n v="1.9808361253267599"/>
        <n v="1.90973671172765"/>
        <n v="2.0582660350123998"/>
        <n v="1.9479389748342499"/>
        <n v="0.87344084853750403"/>
        <n v="0.88411158766817"/>
        <n v="0.89709744566751304"/>
        <n v="0.902826507641878"/>
        <n v="0.91120493827160498"/>
        <n v="0.91253143681715099"/>
        <n v="0.91487828260348603"/>
        <n v="0.92195231102720099"/>
        <n v="0.93585597639632201"/>
        <n v="0.93847736169584195"/>
        <n v="0.94618595690024299"/>
        <n v="0.95120011311817299"/>
        <n v="0.95576167032019299"/>
        <n v="0.96176999561339405"/>
        <n v="0.97779486635553703"/>
        <n v="0.97890112579539901"/>
        <n v="0.98494436981158096"/>
        <n v="0.98963725826753601"/>
        <n v="0.99039307795931097"/>
        <n v="0.99497295577473699"/>
        <n v="0.99552344180915597"/>
        <n v="0.99818430270603198"/>
        <n v="0.99842955216447904"/>
        <n v="0.99933531260915098"/>
        <n v="0.99984351187599896"/>
        <n v="1.00150188051497"/>
        <n v="1.0022990187332701"/>
        <n v="1.0098492233248"/>
        <n v="1.0161301646365"/>
        <n v="1.02256380190371"/>
        <n v="1.0311132588774301"/>
        <n v="1.0320382029666"/>
        <n v="1.03811011748203"/>
        <n v="1.04324378849013"/>
        <n v="1.0470881551474001"/>
        <n v="1.0519355296287101"/>
        <n v="1.05219942444968"/>
        <n v="1.05220106679854"/>
        <n v="1.0536457564575601"/>
        <n v="1.05511366448648"/>
        <n v="1.05882597083875"/>
        <n v="1.06479582146249"/>
        <n v="1.0699405635180399"/>
        <n v="1.0701532849275699"/>
        <n v="1.07512384016761"/>
        <n v="1.0761308869845501"/>
        <n v="1.07674188143871"/>
        <n v="1.0769069652444201"/>
        <n v="1.0785163539062801"/>
        <n v="1.0815390924002199"/>
        <n v="1.0824198866372801"/>
        <n v="1.0828343590513401"/>
        <n v="1.0832199962553799"/>
        <n v="1.08351048899394"/>
        <n v="1.0847577204021099"/>
        <n v="1.08635899062522"/>
        <n v="1.0866229332105699"/>
        <n v="1.08769619712292"/>
        <n v="1.0883918427830499"/>
        <n v="1.08958639803859"/>
        <n v="1.0896956381952601"/>
        <n v="1.0903908829481299"/>
        <n v="1.0918416950113401"/>
        <n v="1.09867046757979"/>
        <n v="1.0987333764646701"/>
        <n v="1.10000146482587"/>
        <n v="1.10026134704942"/>
        <n v="1.1005370484611701"/>
        <n v="1.1029632097120401"/>
        <n v="1.10335186480616"/>
        <n v="1.1037030068514999"/>
        <n v="1.10517394233838"/>
        <n v="1.10715874804609"/>
        <n v="1.1075544174135701"/>
        <n v="1.1080156536100201"/>
        <n v="1.10922668178115"/>
        <n v="1.11110487921111"/>
        <n v="1.11254482758621"/>
        <n v="1.1138987206822999"/>
        <n v="1.11960763060915"/>
        <n v="1.12053971669356"/>
        <n v="1.12085743402326"/>
        <n v="1.12236143594313"/>
        <n v="1.1254289041743999"/>
        <n v="1.1254791878528601"/>
        <n v="1.12586944616845"/>
        <n v="1.12628246062154"/>
        <n v="1.1282402345871201"/>
        <n v="1.1308846455077799"/>
        <n v="1.1357388869443501"/>
        <n v="1.13663445056348"/>
        <n v="1.1368914357776001"/>
        <n v="1.13953782258351"/>
        <n v="1.14091061074948"/>
        <n v="1.1412117907770201"/>
        <n v="1.14164247877513"/>
        <n v="1.14232998289136"/>
        <n v="1.1474475560967099"/>
        <n v="1.14829143911172"/>
        <n v="1.15129899660723"/>
        <n v="1.15244531470505"/>
        <n v="1.1533610930853"/>
        <n v="1.1544475562034799"/>
        <n v="1.1571122489741099"/>
        <n v="1.1572391209430899"/>
        <n v="1.1575656912511201"/>
        <n v="1.1592306593328101"/>
        <n v="1.1594243031517599"/>
        <n v="1.1602186885961701"/>
        <n v="1.16066207146744"/>
        <n v="1.1613209163717599"/>
        <n v="1.1614072415080301"/>
        <n v="1.1619079419790299"/>
        <n v="1.1625022817713799"/>
        <n v="1.1626372590109"/>
        <n v="1.1629746024046299"/>
        <n v="1.1636143687268901"/>
        <n v="1.1647180525916001"/>
        <n v="1.16492812477539"/>
        <n v="1.1712704816505599"/>
        <n v="1.1757025633832401"/>
        <n v="1.1757275169683301"/>
        <n v="1.17781864965752"/>
        <n v="1.1784071729957799"/>
        <n v="1.1791788772256699"/>
        <n v="1.1806342794372999"/>
        <n v="1.1808896556630599"/>
        <n v="1.18160246478873"/>
        <n v="1.18526154285306"/>
        <n v="1.18653916715705"/>
        <n v="1.1874693290160101"/>
        <n v="1.1907669407955901"/>
        <n v="1.1929412407562601"/>
        <n v="1.19415906030226"/>
        <n v="1.19509893563826"/>
        <n v="1.1961996230791501"/>
        <n v="1.1969094738371"/>
        <n v="1.1969228079988801"/>
        <n v="1.19780813101155"/>
        <n v="1.1979060373376"/>
        <n v="1.1983982368584001"/>
        <n v="1.20064021475325"/>
        <n v="1.20146996308312"/>
        <n v="1.20473458073458"/>
        <n v="1.2069554619215099"/>
        <n v="1.2102158326017001"/>
        <n v="1.2104119640928199"/>
        <n v="1.2104400144980101"/>
        <n v="1.21048096680946"/>
        <n v="1.2119524977698499"/>
        <n v="1.21279700621947"/>
        <n v="1.2147070170330501"/>
        <n v="1.2151825664837499"/>
        <n v="1.21646462952403"/>
        <n v="1.21750702905342"/>
        <n v="1.21786309232169"/>
        <n v="1.2184893131355099"/>
        <n v="1.2187115538427999"/>
        <n v="1.2212285615491001"/>
        <n v="1.22125576796308"/>
        <n v="1.2234591579704901"/>
        <n v="1.22461860482347"/>
        <n v="1.2248336420896599"/>
        <n v="1.2264356947624999"/>
        <n v="1.2266942178459801"/>
        <n v="1.22871570054311"/>
        <n v="1.22910688783917"/>
        <n v="1.2295727503304399"/>
        <n v="1.2296856115107899"/>
        <n v="1.2299503494633901"/>
        <n v="1.23151901500801"/>
        <n v="1.23228432306552"/>
        <n v="1.2325650243180399"/>
        <n v="1.2327517132314201"/>
        <n v="1.2329247233811"/>
        <n v="1.2338949930210099"/>
        <n v="1.2347100295656099"/>
        <n v="1.2347560452139099"/>
        <n v="1.2348698178166699"/>
        <n v="1.2349211133437501"/>
        <n v="1.2352377903461"/>
        <n v="1.2377983180824701"/>
        <n v="1.2382371701942601"/>
        <n v="1.23834901409466"/>
        <n v="1.23897187851519"/>
        <n v="1.23902396776018"/>
        <n v="1.2422554109388699"/>
        <n v="1.24467073081697"/>
        <n v="1.24550178894045"/>
        <n v="1.2462675509772101"/>
        <n v="1.24657710869409"/>
        <n v="1.2469369104855601"/>
        <n v="1.2473960992545701"/>
        <n v="1.2490364884393099"/>
        <n v="1.25074299722412"/>
        <n v="1.25101925060158"/>
        <n v="1.2515853227856999"/>
        <n v="1.25189454772119"/>
        <n v="1.2559996251171499"/>
        <n v="1.25830678444718"/>
        <n v="1.2591688184800101"/>
        <n v="1.2598146377344599"/>
        <n v="1.2603901785084299"/>
        <n v="1.26281821190835"/>
        <n v="1.2649769912828801"/>
        <n v="1.2657091530005999"/>
        <n v="1.2698341897161201"/>
        <n v="1.2709079544236901"/>
        <n v="1.2736982662694301"/>
        <n v="1.2742377138696801"/>
        <n v="1.27528612276728"/>
        <n v="1.27604312569112"/>
        <n v="1.2773339895510001"/>
        <n v="1.27886997787768"/>
        <n v="1.2810043977869201"/>
        <n v="1.2836137004118799"/>
        <n v="1.2854165024542299"/>
        <n v="1.2862408365273701"/>
        <n v="1.2870857602697701"/>
        <n v="1.2883627419527299"/>
        <n v="1.29507126781695"/>
        <n v="1.2956963866204301"/>
        <n v="1.2957340740740699"/>
        <n v="1.29685948504792"/>
        <n v="1.2991165406799701"/>
        <n v="1.2997828373910401"/>
        <n v="1.3042594679891799"/>
        <n v="1.3050242855529199"/>
        <n v="1.3054883842729399"/>
        <n v="1.3075285271669299"/>
        <n v="1.3084344918803701"/>
        <n v="1.3119895930124501"/>
        <n v="1.3159051293041899"/>
        <n v="1.3166119779715499"/>
        <n v="1.3202088150546001"/>
        <n v="1.3264111849473601"/>
        <n v="1.3266388879283499"/>
        <n v="1.3281074300892799"/>
        <n v="1.3313463990382901"/>
        <n v="1.3318489622218901"/>
        <n v="1.3362410536412599"/>
        <n v="1.3533872118746899"/>
        <n v="1.3569504615497801"/>
        <n v="1.35816524004466"/>
        <n v="1.35824067157543"/>
        <n v="1.3586724473015399"/>
        <n v="1.3617774677875301"/>
        <n v="1.3666849315068501"/>
        <n v="1.3695910146610499"/>
        <n v="1.3705926988561301"/>
        <n v="1.37264653914112"/>
        <n v="1.3740235162373999"/>
        <n v="1.37557151104055"/>
        <n v="1.3794140553249301"/>
        <n v="1.3841468459152"/>
        <n v="1.3841732535783"/>
        <n v="1.3871465305350701"/>
        <n v="1.40432485736423"/>
        <n v="1.41353414536011"/>
        <n v="1.41802458296752"/>
        <n v="1.42292017416546"/>
        <n v="1.43016174760105"/>
        <n v="1.45151564767611"/>
        <n v="1.45266277770015"/>
        <n v="1.4621603120578199"/>
        <n v="1.47157159229546"/>
        <n v="1.48807835477094"/>
        <n v="1.4921345996514099"/>
        <n v="1.51520300432226"/>
        <n v="1.51541336311186"/>
        <n v="1.53119392045674"/>
        <n v="1.5474055115079699"/>
        <n v="1.68195018643884"/>
        <n v="1.82880504154458"/>
        <n v="2.1865649474352602"/>
        <n v="2.7588040215543699"/>
        <n v="0.95321346078675195"/>
        <n v="0.96078800167808698"/>
        <n v="0.98032359679266901"/>
        <n v="0.99132186557900304"/>
        <n v="1.0387320574162699"/>
        <n v="1.0446021970106301"/>
        <n v="1.08167650572774"/>
        <n v="1.1109474025739901"/>
        <n v="1.1207061894108901"/>
        <n v="1.1829621057722199"/>
        <n v="1.20937350732062"/>
        <n v="1.2317921336434801"/>
        <n v="1.2709374885426199"/>
        <n v="1.28572533986441"/>
        <n v="1.28900225944124"/>
        <n v="1.3340578727655501"/>
        <n v="1.35725650557621"/>
        <n v="1.4079194730770701"/>
        <n v="1.4969694845208701"/>
        <n v="1.03179412264311"/>
        <n v="1.0745257433680799"/>
        <n v="1.10934159455899"/>
        <n v="1.11244154835064"/>
        <n v="1.12674768437914"/>
        <n v="1.1330964696080801"/>
        <n v="1.1342514370480301"/>
        <n v="1.1401624368968699"/>
        <n v="1.14125686813187"/>
        <n v="1.15844201483795"/>
        <n v="1.1629606424590699"/>
        <n v="1.1661681297641"/>
        <n v="1.1679012793099699"/>
        <n v="1.1691593155489399"/>
        <n v="1.1793754190338399"/>
        <n v="1.18128925443281"/>
        <n v="1.18199316993348"/>
        <n v="1.1871892701823601"/>
        <n v="1.19320396164345"/>
        <n v="1.1968572552385"/>
        <n v="1.20414461710766"/>
        <n v="1.2056281407035201"/>
        <n v="1.2177310650029001"/>
        <n v="1.22486032093363"/>
        <n v="1.24819794823117"/>
        <n v="1.24861610184687"/>
        <n v="1.2659858362084599"/>
        <n v="1.2661592436664499"/>
        <n v="1.2670539361628499"/>
        <n v="1.2698229342327201"/>
        <n v="1.27210116316295"/>
        <n v="1.2744094121023"/>
        <n v="1.2770392193657301"/>
        <n v="1.28596465551937"/>
        <n v="1.3017260628465801"/>
        <n v="1.3064061332669299"/>
        <n v="1.30800868785768"/>
        <n v="1.31288086313798"/>
        <n v="1.3159092529227301"/>
        <n v="1.32108891142664"/>
        <n v="1.3241819188191899"/>
        <n v="1.3244854415934699"/>
        <n v="1.3259217837550901"/>
        <n v="1.3261215189873401"/>
        <n v="1.3262132071532899"/>
        <n v="1.3280135607585499"/>
        <n v="1.33235043795879"/>
        <n v="1.33762195121951"/>
        <n v="1.3430504375044501"/>
        <n v="1.3467302481846799"/>
        <n v="1.3615240930232599"/>
        <n v="1.3618819615217701"/>
        <n v="1.3780981045540901"/>
        <n v="1.39463691488575"/>
        <n v="1.3955020107929701"/>
        <n v="1.3967150076906201"/>
        <n v="1.4077988846914899"/>
        <n v="1.4138844942503499"/>
        <n v="1.4139828571428601"/>
        <n v="1.42171136931263"/>
        <n v="1.4221074470408399"/>
        <n v="1.42486729232348"/>
        <n v="1.43191238054333"/>
        <n v="1.4322422375819199"/>
        <n v="1.43676969960818"/>
        <n v="1.4391856581892899"/>
        <n v="1.4480311547081099"/>
        <n v="1.4967537261457"/>
        <n v="1.5031014523632"/>
        <n v="1.5071234818589301"/>
        <n v="1.5294377377816799"/>
        <n v="1.56822293383226"/>
        <n v="1.5809244095061299"/>
        <n v="1.7019348604151801"/>
        <n v="1.1119937200112899"/>
        <n v="1.4012933482810199"/>
        <n v="0.86026304624522698"/>
        <n v="0.91462012392620795"/>
        <n v="0.91677489685707603"/>
        <n v="0.95946007943029299"/>
        <n v="0.97489276982186501"/>
        <n v="0.988466120897595"/>
        <n v="0.99660376671159501"/>
        <n v="0.99696311073778499"/>
        <n v="1.0043534607587601"/>
        <n v="1.0129149811568601"/>
        <n v="1.0428400719094799"/>
        <n v="1.0476404494381999"/>
        <n v="1.05415356477085"/>
        <n v="1.0552267795524899"/>
        <n v="1.06036176694593"/>
        <n v="1.06088357742919"/>
        <n v="1.07128800143911"/>
        <n v="1.0755040386027499"/>
        <n v="1.07714593328548"/>
        <n v="1.08078890731398"/>
        <n v="1.0812456170212801"/>
        <n v="1.08844821337972"/>
        <n v="1.09103605230836"/>
        <n v="1.09330321004885"/>
        <n v="1.0939804913294799"/>
        <n v="1.09427964693282"/>
        <n v="1.0947550976757501"/>
        <n v="1.10299773515465"/>
        <n v="1.1041403669079899"/>
        <n v="1.1146877745370201"/>
        <n v="1.1179150579150601"/>
        <n v="1.1274635153413499"/>
        <n v="1.12773783125523"/>
        <n v="1.1327353772559301"/>
        <n v="1.1402160809334101"/>
        <n v="1.1422128472222199"/>
        <n v="1.15140495563492"/>
        <n v="1.1527754059350499"/>
        <n v="1.1549531359982199"/>
        <n v="1.1561561892179499"/>
        <n v="1.16090321901218"/>
        <n v="1.16148709587901"/>
        <n v="1.16251355538342"/>
        <n v="1.16796582498912"/>
        <n v="1.17369785338194"/>
        <n v="1.17451246253929"/>
        <n v="1.18711331738152"/>
        <n v="1.18819277988892"/>
        <n v="1.1882905702951601"/>
        <n v="1.1917856263411499"/>
        <n v="1.1918153813088801"/>
        <n v="1.1932625468960101"/>
        <n v="1.1983150856051099"/>
        <n v="1.1985765793410299"/>
        <n v="1.2042667189505201"/>
        <n v="1.2160182727116"/>
        <n v="1.2205181458087999"/>
        <n v="1.2208842972084799"/>
        <n v="1.22218792096991"/>
        <n v="1.23085515077567"/>
        <n v="1.2380324362858699"/>
        <n v="1.2402746929469699"/>
        <n v="1.2411327834613599"/>
        <n v="1.26722392747519"/>
        <n v="1.2693164453675501"/>
        <n v="1.2926460567370801"/>
        <n v="1.29621538232779"/>
        <n v="1.3025927689659"/>
        <n v="1.3043338092733101"/>
        <n v="1.3161527922991001"/>
        <n v="1.3177329539314899"/>
        <n v="1.35743859396384"/>
        <n v="1.3576803262769499"/>
        <n v="1.35907694563584"/>
        <n v="1.36343667055951"/>
        <n v="1.3954448674823501"/>
        <n v="1.5278803773584899"/>
        <n v="1.0984440774447499"/>
        <n v="1.13834126984127"/>
        <n v="1.1411869185226999"/>
        <n v="1.1426085367636301"/>
        <n v="1.1508640051011401"/>
        <n v="1.1814933069614699"/>
        <n v="1.18699527744982"/>
        <n v="1.2508686056853"/>
        <n v="1.2670155718632501"/>
        <n v="1.2681138269402299"/>
        <n v="1.2708031116073"/>
        <n v="1.2897088386929301"/>
        <n v="1.3030155071249001"/>
        <n v="1.33260425111918"/>
        <n v="1.3509781283341"/>
        <n v="1.46654988944168"/>
        <n v="1.50156009777179"/>
        <n v="1.14555190032897"/>
        <n v="1.21107433738266"/>
        <n v="1.3554189245518999"/>
        <n v="1.4072904447925401"/>
        <n v="1.17537388372844"/>
        <n v="1.23919583288737"/>
        <n v="1.2846590660741599"/>
        <n v="1.3208794428931001"/>
        <n v="1.3296666548207099"/>
        <n v="1.4203568359301999"/>
        <n v="1.46095018867925"/>
        <n v="0.15463381292505399"/>
        <n v="0.161264671157719"/>
        <n v="0.16162094584940701"/>
        <n v="0.166742065201781"/>
        <n v="0.17468928906006001"/>
        <n v="0.18034826396225101"/>
        <n v="0.180710984086659"/>
        <n v="0.18086421063807201"/>
        <n v="0.18457748286101799"/>
        <n v="0.18739650281857001"/>
        <n v="0.18799532710280401"/>
        <n v="0.18960856010161301"/>
        <n v="0.205469153718189"/>
        <n v="0.207183197281295"/>
        <n v="0.26015662908520099"/>
        <n v="0.29576080039595598"/>
        <n v="0.31289555363072002"/>
        <n v="0.31448407596517602"/>
        <n v="0.315285760068369"/>
        <n v="0.32267677318500698"/>
        <n v="0.392096574202005"/>
        <n v="1.2632494344906799"/>
        <n v="1.3323485262505901"/>
        <n v="1.33659845368137"/>
        <n v="1.3548254748111801"/>
        <n v="1.3602350481271901"/>
        <n v="1.39889511524635"/>
        <n v="1.43760577915377"/>
        <n v="1.4445643812414"/>
        <n v="1.5078591823943199"/>
        <n v="1.5991475911892901"/>
        <n v="1.6235837878842601"/>
        <n v="1.6312405341137699"/>
        <n v="1.6419681901411001"/>
        <n v="1.7387540779296899"/>
        <n v="1.2923528353483"/>
        <n v="1.38530540024064"/>
        <n v="1.4064705665795401"/>
        <n v="1.4280462661187501"/>
        <n v="1.4596318931210901"/>
        <n v="1.48207756131438"/>
        <n v="1.49197867298578"/>
        <n v="1.4967157756545799"/>
        <n v="1.49994002735594"/>
        <n v="1.51577109119363"/>
        <n v="1.5221566315205299"/>
        <n v="1.5418393442623"/>
        <n v="1.5589692998334701"/>
        <n v="1.57233227717316"/>
        <n v="1.5814620138131601"/>
        <n v="1.6369268720535"/>
        <n v="1.68941833327349"/>
        <n v="1.70352581642443"/>
        <n v="1.2889783384208"/>
        <n v="1.44458561255031"/>
        <n v="1.4902023101633499"/>
        <n v="1.5092957436668299"/>
        <n v="1.52238620882384"/>
        <n v="1.5288148721921"/>
        <n v="1.5306049356526701"/>
        <n v="1.56271130460892"/>
        <n v="1.6117955830961599"/>
        <n v="1.68639870446523"/>
        <n v="1.70729269995224"/>
        <n v="1.8353102097090199"/>
        <n v="2.3741558917255801"/>
        <n v="1.31539375274967"/>
        <n v="1.60611698537683"/>
        <n v="1.63747724410865"/>
        <n v="1.7126469261987101"/>
        <n v="1.1090000725636699"/>
        <n v="1.3469302501634499"/>
        <n v="1.39899206405442"/>
        <n v="1.4341802552940299"/>
        <n v="1.43800844900422"/>
        <n v="1.4505095817243501"/>
        <n v="1.45181397974666"/>
        <n v="1.4727408710954699"/>
        <n v="1.4744954580663301"/>
        <n v="1.4803989649987801"/>
        <n v="1.50249904893654"/>
        <n v="1.5267816561455601"/>
        <n v="1.5340018609977799"/>
        <n v="1.5433913870696301"/>
        <n v="1.54978417521565"/>
        <n v="1.5523813167195"/>
        <n v="1.5560065357180499"/>
        <n v="1.5564494339622601"/>
        <n v="1.55943289878627"/>
        <n v="1.5687312277163501"/>
        <n v="1.58153915799004"/>
        <n v="1.5819430292662999"/>
        <n v="1.58733147692753"/>
        <n v="1.6041604168867301"/>
        <n v="1.6145078588892801"/>
        <n v="1.6445671368769099"/>
        <n v="1.64484345901121"/>
        <n v="1.65855642203468"/>
        <n v="1.6709637710537"/>
        <n v="1.67469067704954"/>
        <n v="1.67804197016996"/>
        <n v="1.6881077663423401"/>
        <n v="1.6933104781356001"/>
        <n v="1.6957762961912199"/>
        <n v="1.6977572448550999"/>
        <n v="1.7121285125790799"/>
        <n v="1.7249562339095299"/>
        <n v="1.72507025067113"/>
        <n v="1.73762525430158"/>
        <n v="1.73767785234899"/>
        <n v="1.74163538461538"/>
        <n v="1.75203618620223"/>
        <n v="1.75641196130167"/>
        <n v="1.7880648357870901"/>
        <n v="1.7897334653175001"/>
        <n v="1.7961406120188299"/>
        <n v="1.8087497790192"/>
        <n v="1.8088373879641499"/>
        <n v="1.82074375466401"/>
        <n v="1.82923013642284"/>
        <n v="1.8363114094898401"/>
        <n v="1.8409751154149301"/>
        <n v="1.8522528695038001"/>
        <n v="1.8546280207344701"/>
        <n v="1.8990107687604001"/>
        <n v="1.95055828815567"/>
        <n v="1.9658859988161099"/>
        <n v="1.9827064977007101"/>
        <n v="2.0291848253685898"/>
        <n v="2.1153097643097598"/>
        <n v="2.1468698558746402"/>
        <n v="2.2898072651715999"/>
        <n v="1.27929546900138"/>
        <n v="1.66296739783123"/>
        <n v="1.7156015173410399"/>
        <n v="1.7801801261940899"/>
        <n v="1.7881165238146901"/>
        <n v="1.7923856396306099"/>
        <n v="2.89205305002463"/>
        <n v="1.09802776990649"/>
        <n v="1.66164766983861"/>
        <n v="1.7487049191654001"/>
        <n v="1.79153177869227"/>
        <n v="2.0783370981755001"/>
        <n v="1.1996244464127499"/>
        <n v="1.22737351953332"/>
        <n v="1.23356442651378"/>
        <n v="1.2353163233294999"/>
        <n v="1.2406846793786399"/>
        <n v="1.2476600185528799"/>
        <n v="1.2495229663576699"/>
        <n v="1.25483281412253"/>
        <n v="1.25551013337953"/>
        <n v="1.2599946535500399"/>
        <n v="1.2637268018249801"/>
        <n v="1.2735634743875299"/>
        <n v="1.27774284505851"/>
        <n v="1.2794196525124399"/>
        <n v="1.2895932006392601"/>
        <n v="1.2899565157844299"/>
        <n v="1.2902649468363301"/>
        <n v="1.29187957773116"/>
        <n v="1.2922223732037901"/>
        <n v="1.2928006627005"/>
        <n v="1.2967555411629199"/>
        <n v="1.2971666903813299"/>
        <n v="1.3020961336730099"/>
        <n v="1.3024730448533599"/>
        <n v="1.30428587091587"/>
        <n v="1.3073535597310799"/>
        <n v="1.30845014450867"/>
        <n v="1.31010949974365"/>
        <n v="1.3171185822637099"/>
        <n v="1.31845215180679"/>
        <n v="1.3254769516728599"/>
        <n v="1.33099257111796"/>
        <n v="1.3312095431177999"/>
        <n v="1.33297077806937"/>
        <n v="1.3334040292901299"/>
        <n v="1.33632819391031"/>
        <n v="1.3403412364281"/>
        <n v="1.3413128152265901"/>
        <n v="1.3428377245090499"/>
        <n v="1.3432610246896"/>
        <n v="1.3442952972240101"/>
        <n v="1.3450866005056401"/>
        <n v="1.34594673595323"/>
        <n v="1.3500922364672401"/>
        <n v="1.3513410207132199"/>
        <n v="1.3513522906793001"/>
        <n v="1.36358748992895"/>
        <n v="1.3658642524278799"/>
        <n v="1.3693274305555601"/>
        <n v="1.37158542189544"/>
        <n v="1.3732525171749499"/>
        <n v="1.3744367849279999"/>
        <n v="1.3774442219679599"/>
        <n v="1.37784508339302"/>
        <n v="1.38456380857428"/>
        <n v="1.3863741475404201"/>
        <n v="1.3881621159193001"/>
        <n v="1.39182735714024"/>
        <n v="1.3923021791066399"/>
        <n v="1.3948519916734301"/>
        <n v="1.3949285160926801"/>
        <n v="1.39763123311674"/>
        <n v="1.4005551422397"/>
        <n v="1.4028942944385401"/>
        <n v="1.4070174684994301"/>
        <n v="1.4073916610725701"/>
        <n v="1.40840511711448"/>
        <n v="1.4086719215274099"/>
        <n v="1.4117440748219801"/>
        <n v="1.41613723085309"/>
        <n v="1.42437775408671"/>
        <n v="1.42605794270833"/>
        <n v="1.4306017647909699"/>
        <n v="1.43469478157525"/>
        <n v="1.4354955084441301"/>
        <n v="1.4374142480211101"/>
        <n v="1.43853524075366"/>
        <n v="1.44056501688514"/>
        <n v="1.4412405791005001"/>
        <n v="1.44287506139257"/>
        <n v="1.44691744833223"/>
        <n v="1.44958577361303"/>
        <n v="1.45280056627146"/>
        <n v="1.45479175832233"/>
        <n v="1.45530407133981"/>
        <n v="1.45899152942887"/>
        <n v="1.4622289562289601"/>
        <n v="1.46727562361971"/>
        <n v="1.47070775762809"/>
        <n v="1.4716410545608301"/>
        <n v="1.4724373859072699"/>
        <n v="1.4741269899092899"/>
        <n v="1.4773026118282799"/>
        <n v="1.4869173778826901"/>
        <n v="1.4948073626946901"/>
        <n v="1.4996492107241299"/>
        <n v="1.5049262705798101"/>
        <n v="1.50550289645185"/>
        <n v="1.5116650462712899"/>
        <n v="1.5228766449856299"/>
        <n v="1.5240326864900799"/>
        <n v="1.52814436682787"/>
        <n v="1.52960609911055"/>
        <n v="1.53116889948797"/>
        <n v="1.53120842060421"/>
        <n v="1.5492615275057899"/>
        <n v="1.5509567230132599"/>
        <n v="1.5591912205794101"/>
        <n v="1.5642281651997301"/>
        <n v="1.5709138234523099"/>
        <n v="1.5786219249186699"/>
        <n v="1.5825629001042101"/>
        <n v="1.58753224547448"/>
        <n v="1.59452314495958"/>
        <n v="1.60615658855699"/>
        <n v="1.61547252594192"/>
        <n v="1.6218464281649501"/>
        <n v="1.63656939768051"/>
        <n v="1.6371158761715401"/>
        <n v="1.6414335810013201"/>
        <n v="1.65451996146848"/>
        <n v="1.67422835026609"/>
        <n v="1.69719780416921"/>
        <n v="1.73476353764824"/>
        <n v="1.7455986704241599"/>
        <n v="1.76379096677865"/>
        <n v="1.9480281135989701"/>
        <n v="1.9808087043487299"/>
        <n v="0.52840316704035895"/>
        <n v="1.0248484631879899"/>
        <n v="1.0702274504229199"/>
        <n v="1.0758692648361401"/>
        <n v="1.10379292403746"/>
        <n v="1.1304230413434899"/>
        <n v="1.13637069922309"/>
        <n v="1.13924394628318"/>
        <n v="1.14097407642862"/>
        <n v="1.14105455598595"/>
        <n v="1.1453235480911701"/>
        <n v="1.1462258982568501"/>
        <n v="1.1489556183029199"/>
        <n v="1.1631415141371699"/>
        <n v="1.16403767605634"/>
        <n v="1.16707920248765"/>
        <n v="1.16768343236148"/>
        <n v="1.1709676593253799"/>
        <n v="1.17724512783837"/>
        <n v="1.1790932467180899"/>
        <n v="1.18232857192507"/>
        <n v="1.1838449546485299"/>
        <n v="1.1840182779836601"/>
        <n v="1.18688998763906"/>
        <n v="1.1874624373956599"/>
        <n v="1.1879393960974201"/>
        <n v="1.1891140119427901"/>
        <n v="1.1901887638898501"/>
        <n v="1.19171546219074"/>
        <n v="1.1933035839283199"/>
        <n v="1.1961078030879999"/>
        <n v="1.19999570585078"/>
        <n v="1.2013706737883001"/>
        <n v="1.2021443775689999"/>
        <n v="1.20476711262122"/>
        <n v="1.2058652879506"/>
        <n v="1.20666581753339"/>
        <n v="1.2069399938244101"/>
        <n v="1.2092883126238101"/>
        <n v="1.2106659036520699"/>
        <n v="1.2145658312127401"/>
        <n v="1.2149290033290301"/>
        <n v="1.2170900900900901"/>
        <n v="1.2178486745213499"/>
        <n v="1.2185496957403601"/>
        <n v="1.2185564240351701"/>
        <n v="1.21973961972712"/>
        <n v="1.2202372952540901"/>
        <n v="1.2213149367989999"/>
        <n v="1.22179133648413"/>
        <n v="1.2229315138655199"/>
        <n v="1.2232393041842999"/>
        <n v="1.2234100987516301"/>
        <n v="1.2255068057762699"/>
        <n v="1.22742434267804"/>
        <n v="1.2282044986821701"/>
        <n v="1.2283856252394101"/>
        <n v="1.23135897347926"/>
        <n v="1.2323133539806901"/>
        <n v="1.2343574218050199"/>
        <n v="1.2355437693825799"/>
        <n v="1.2367524899343101"/>
        <n v="1.23821019401979"/>
        <n v="1.2383707460845099"/>
        <n v="1.2384240950266101"/>
        <n v="1.23914492274946"/>
        <n v="1.2396949361454399"/>
        <n v="1.23972312703583"/>
        <n v="1.2400651196258301"/>
        <n v="1.24082542379141"/>
        <n v="1.24133726466926"/>
        <n v="1.2414376396326099"/>
        <n v="1.24161839985681"/>
        <n v="1.24236806296201"/>
        <n v="1.24328955007257"/>
        <n v="1.24610335682881"/>
        <n v="1.24704113485017"/>
        <n v="1.2470904610031901"/>
        <n v="1.24775816075816"/>
        <n v="1.2479153117241899"/>
        <n v="1.2479225039294699"/>
        <n v="1.24884469017017"/>
        <n v="1.24898443898444"/>
        <n v="1.2509042571676801"/>
        <n v="1.2509128060468"/>
        <n v="1.2527903969227701"/>
        <n v="1.2536082250298699"/>
        <n v="1.2539586141571599"/>
        <n v="1.2547388788298399"/>
        <n v="1.2557474903752699"/>
        <n v="1.2562911296956401"/>
        <n v="1.2569066846917401"/>
        <n v="1.2569818372336701"/>
        <n v="1.2573844895733901"/>
        <n v="1.2574454687771801"/>
        <n v="1.2581146214466601"/>
        <n v="1.2582644461605601"/>
        <n v="1.2593327547300801"/>
        <n v="1.2603868630600501"/>
        <n v="1.2617347694129799"/>
        <n v="1.26229598692573"/>
        <n v="1.26235720448663"/>
        <n v="1.2633572226023699"/>
        <n v="1.2642245487113499"/>
        <n v="1.26581801119183"/>
        <n v="1.26631679727669"/>
        <n v="1.2664176749079401"/>
        <n v="1.2664460645526601"/>
        <n v="1.2668245476539299"/>
        <n v="1.2673175076341401"/>
        <n v="1.26770421861782"/>
        <n v="1.2682414522382801"/>
        <n v="1.26871489568508"/>
        <n v="1.2690766047026101"/>
        <n v="1.2696036518295799"/>
        <n v="1.2706752293578001"/>
        <n v="1.2711825779610499"/>
        <n v="1.27168258913119"/>
        <n v="1.27407366805525"/>
        <n v="1.27414993928138"/>
        <n v="1.27446991701245"/>
        <n v="1.2753720112517599"/>
        <n v="1.2756700000000001"/>
        <n v="1.2759716342083001"/>
        <n v="1.2761704345325799"/>
        <n v="1.27661535102085"/>
        <n v="1.2766381817529"/>
        <n v="1.2769938845487601"/>
        <n v="1.27778075439348"/>
        <n v="1.2784633116998301"/>
        <n v="1.27898271181597"/>
        <n v="1.2800505840823899"/>
        <n v="1.2803366482763501"/>
        <n v="1.28034122391724"/>
        <n v="1.2803414006363301"/>
        <n v="1.2824806741416499"/>
        <n v="1.28318277419577"/>
        <n v="1.2837545187913499"/>
        <n v="1.2841838928967799"/>
        <n v="1.2844044380816"/>
        <n v="1.2844628039541099"/>
        <n v="1.28554554096398"/>
        <n v="1.2856368195590799"/>
        <n v="1.28624762841684"/>
        <n v="1.2864331462291301"/>
        <n v="1.28655419852861"/>
        <n v="1.28665541587739"/>
        <n v="1.2873121619646299"/>
        <n v="1.2889787784498099"/>
        <n v="1.2893801741364499"/>
        <n v="1.2895146437720699"/>
        <n v="1.29053120516499"/>
        <n v="1.29087241040247"/>
        <n v="1.29301995533463"/>
        <n v="1.29309941313724"/>
        <n v="1.2937376341089599"/>
        <n v="1.29471487339528"/>
        <n v="1.29502794076558"/>
        <n v="1.29537933513028"/>
        <n v="1.29558353459298"/>
        <n v="1.29558482271548"/>
        <n v="1.2956461971048701"/>
        <n v="1.2961051850805301"/>
        <n v="1.2963998877704901"/>
        <n v="1.2967725839426201"/>
        <n v="1.29738827605713"/>
        <n v="1.2975549656252101"/>
        <n v="1.2990516499776299"/>
        <n v="1.29906876535736"/>
        <n v="1.2992351114874401"/>
        <n v="1.2992710919230099"/>
        <n v="1.29928746070555"/>
        <n v="1.2994428354210401"/>
        <n v="1.29982588687798"/>
        <n v="1.3011662486564"/>
        <n v="1.3012528334472699"/>
        <n v="1.30150402769927"/>
        <n v="1.30240205027384"/>
        <n v="1.30260509199034"/>
        <n v="1.30265111539721"/>
        <n v="1.30325810086386"/>
        <n v="1.3037191089453499"/>
        <n v="1.30375506805676"/>
        <n v="1.3040304867486601"/>
        <n v="1.3044165070520599"/>
        <n v="1.30498378693482"/>
        <n v="1.30573381598369"/>
        <n v="1.30614757070341"/>
        <n v="1.3068198184095201"/>
        <n v="1.3070095744680801"/>
        <n v="1.30718469347911"/>
        <n v="1.3074845539617701"/>
        <n v="1.3078269667708"/>
        <n v="1.3078326256192501"/>
        <n v="1.30838749514837"/>
        <n v="1.3085921410614001"/>
        <n v="1.30929507392614"/>
        <n v="1.3096884893919001"/>
        <n v="1.30974249825541"/>
        <n v="1.31042065336249"/>
        <n v="1.3107073785999599"/>
        <n v="1.3127228072786801"/>
        <n v="1.3133442703923199"/>
        <n v="1.3136469709366401"/>
        <n v="1.31376176959291"/>
        <n v="1.31482939540125"/>
        <n v="1.3158289096126301"/>
        <n v="1.31615862975729"/>
        <n v="1.31637053804632"/>
        <n v="1.3165081603158399"/>
        <n v="1.3181046414091999"/>
        <n v="1.31941061996108"/>
        <n v="1.31977418671936"/>
        <n v="1.31980006978367"/>
        <n v="1.3198688391589499"/>
        <n v="1.32035122379541"/>
        <n v="1.3210086988709999"/>
        <n v="1.32172317778091"/>
        <n v="1.32278460166061"/>
        <n v="1.3235486664982501"/>
        <n v="1.3238076829310801"/>
        <n v="1.3243223891023399"/>
        <n v="1.32470820748033"/>
        <n v="1.32522230732757"/>
        <n v="1.3260969585773801"/>
        <n v="1.3279658484525101"/>
        <n v="1.32834057341442"/>
        <n v="1.32851840067876"/>
        <n v="1.32974392080912"/>
        <n v="1.32992031310603"/>
        <n v="1.32996924559063"/>
        <n v="1.32998161168199"/>
        <n v="1.3300200902298001"/>
        <n v="1.3301726844584001"/>
        <n v="1.3304631725578999"/>
        <n v="1.3306015696167099"/>
        <n v="1.3307943856555"/>
        <n v="1.33091386751736"/>
        <n v="1.33130855554412"/>
        <n v="1.33225439503619"/>
        <n v="1.3327457592127401"/>
        <n v="1.3327777580765301"/>
        <n v="1.3332038800200401"/>
        <n v="1.3334763948497901"/>
        <n v="1.33362566359318"/>
        <n v="1.3339360687022901"/>
        <n v="1.33399649982499"/>
        <n v="1.3354408679927701"/>
        <n v="1.3357082734191399"/>
        <n v="1.33589159986058"/>
        <n v="1.33616113194418"/>
        <n v="1.33634603307515"/>
        <n v="1.3369787627619101"/>
        <n v="1.33698162268527"/>
        <n v="1.33767778630749"/>
        <n v="1.3376885592461201"/>
        <n v="1.3378325668245801"/>
        <n v="1.3380744516638501"/>
        <n v="1.3381816561508599"/>
        <n v="1.3392166666666701"/>
        <n v="1.33960258525853"/>
        <n v="1.34069397276251"/>
        <n v="1.34078288285097"/>
        <n v="1.34127567337076"/>
        <n v="1.34143118460525"/>
        <n v="1.3417027182926"/>
        <n v="1.34188845050215"/>
        <n v="1.34199242748964"/>
        <n v="1.3425545278851501"/>
        <n v="1.34273235426865"/>
        <n v="1.3431454770245199"/>
        <n v="1.34317916332044"/>
        <n v="1.3432670096787001"/>
        <n v="1.34455880241241"/>
        <n v="1.3448177139958"/>
        <n v="1.3448689040377599"/>
        <n v="1.34536990584215"/>
        <n v="1.3454636663322299"/>
        <n v="1.3463057347291201"/>
        <n v="1.3471192803776499"/>
        <n v="1.3473372902871601"/>
        <n v="1.34783135111968"/>
        <n v="1.34861246668743"/>
        <n v="1.3492425483423001"/>
        <n v="1.3492552703132199"/>
        <n v="1.3495406709055"/>
        <n v="1.3496150137230201"/>
        <n v="1.34966511526434"/>
        <n v="1.34987691552407"/>
        <n v="1.35019997086035"/>
        <n v="1.3508225685188999"/>
        <n v="1.3508614542442501"/>
        <n v="1.3520900588596401"/>
        <n v="1.35242544949569"/>
        <n v="1.35243190237525"/>
        <n v="1.3536400302495599"/>
        <n v="1.35388719119326"/>
        <n v="1.3541361957859701"/>
        <n v="1.3546495564926599"/>
        <n v="1.3550682874008899"/>
        <n v="1.35671763054879"/>
        <n v="1.3576014516661199"/>
        <n v="1.3581698638055"/>
        <n v="1.35876123876124"/>
        <n v="1.35878424409335"/>
        <n v="1.3595173422482201"/>
        <n v="1.36018212802215"/>
        <n v="1.3604984762734"/>
        <n v="1.3608737932245001"/>
        <n v="1.3611236593270699"/>
        <n v="1.3611605225808801"/>
        <n v="1.36346149449377"/>
        <n v="1.3634615524582401"/>
        <n v="1.3637912587412599"/>
        <n v="1.363953643313"/>
        <n v="1.36540965555211"/>
        <n v="1.3656414241311099"/>
        <n v="1.36575524628388"/>
        <n v="1.36637344047367"/>
        <n v="1.3668826040555"/>
        <n v="1.3668966517938099"/>
        <n v="1.36690880933516"/>
        <n v="1.3672680941556099"/>
        <n v="1.36796199068254"/>
        <n v="1.36844830564095"/>
        <n v="1.3687219237841199"/>
        <n v="1.36883399494767"/>
        <n v="1.3716112358749499"/>
        <n v="1.37273095766804"/>
        <n v="1.3739487549621101"/>
        <n v="1.3740559189247501"/>
        <n v="1.37481894744323"/>
        <n v="1.3750043774504199"/>
        <n v="1.37538812454743"/>
        <n v="1.37546850393701"/>
        <n v="1.37580538899993"/>
        <n v="1.3764838123208201"/>
        <n v="1.37663079320216"/>
        <n v="1.3773007038207401"/>
        <n v="1.37739458606375"/>
        <n v="1.3775881381489199"/>
        <n v="1.3777593814959299"/>
        <n v="1.37804982527336"/>
        <n v="1.3781488432526099"/>
        <n v="1.37867247565351"/>
        <n v="1.3802384542553601"/>
        <n v="1.3808329078841799"/>
        <n v="1.38130129923696"/>
        <n v="1.38134559639266"/>
        <n v="1.3817662673326101"/>
        <n v="1.3822881388472901"/>
        <n v="1.3828993139768599"/>
        <n v="1.3829558673840301"/>
        <n v="1.38317643245579"/>
        <n v="1.3837173128945"/>
        <n v="1.3850420835892101"/>
        <n v="1.38516533228019"/>
        <n v="1.38534930285049"/>
        <n v="1.3866811190255"/>
        <n v="1.3884122332172499"/>
        <n v="1.38855551550108"/>
        <n v="1.3892362127867299"/>
        <n v="1.3896590125875099"/>
        <n v="1.3900821683918501"/>
        <n v="1.39014339622641"/>
        <n v="1.3907403943013401"/>
        <n v="1.39114571825666"/>
        <n v="1.3918917831272399"/>
        <n v="1.39204234505404"/>
        <n v="1.3922450487212901"/>
        <n v="1.3931603225465701"/>
        <n v="1.3932689257390101"/>
        <n v="1.3944817116731001"/>
        <n v="1.39488824174577"/>
        <n v="1.3949143491226901"/>
        <n v="1.39547923143189"/>
        <n v="1.3960152907343799"/>
        <n v="1.3962109402429601"/>
        <n v="1.39666641779901"/>
        <n v="1.3973035120147901"/>
        <n v="1.39733174242142"/>
        <n v="1.3979757889878901"/>
        <n v="1.3996080431298299"/>
        <n v="1.40019039047355"/>
        <n v="1.4003335600014299"/>
        <n v="1.40034754744885"/>
        <n v="1.4007217125382301"/>
        <n v="1.4009306415306699"/>
        <n v="1.4022962884710199"/>
        <n v="1.40243381631986"/>
        <n v="1.4024692167577399"/>
        <n v="1.4025847118230901"/>
        <n v="1.40269830386142"/>
        <n v="1.4028620384700401"/>
        <n v="1.4028903654485001"/>
        <n v="1.4031466527741601"/>
        <n v="1.4045866306845101"/>
        <n v="1.40629560466162"/>
        <n v="1.40689718245454"/>
        <n v="1.4072708009605901"/>
        <n v="1.4074243059925899"/>
        <n v="1.4083194208465699"/>
        <n v="1.40868343036754"/>
        <n v="1.4103766723842199"/>
        <n v="1.41060407835112"/>
        <n v="1.4111062138728301"/>
        <n v="1.41315914240892"/>
        <n v="1.4131717717290899"/>
        <n v="1.4132076278738199"/>
        <n v="1.41323459166578"/>
        <n v="1.4135888850402201"/>
        <n v="1.4148488903758201"/>
        <n v="1.4151290266411301"/>
        <n v="1.41643924578429"/>
        <n v="1.41651284591974"/>
        <n v="1.41793020627296"/>
        <n v="1.41849000277701"/>
        <n v="1.4204514634229399"/>
        <n v="1.4206396348955601"/>
        <n v="1.4209086792452801"/>
        <n v="1.42104081707631"/>
        <n v="1.42167872111569"/>
        <n v="1.42222523438382"/>
        <n v="1.4228191024333401"/>
        <n v="1.4231097234612"/>
        <n v="1.4261939108372601"/>
        <n v="1.42711696562033"/>
        <n v="1.4292270548428001"/>
        <n v="1.4292700007332999"/>
        <n v="1.4293281304197001"/>
        <n v="1.42954499035516"/>
        <n v="1.4303456952193401"/>
        <n v="1.43050566792621"/>
        <n v="1.43150018122508"/>
        <n v="1.4320916237258801"/>
        <n v="1.43231760125177"/>
        <n v="1.4325231857385201"/>
        <n v="1.4329823757490301"/>
        <n v="1.43299943685767"/>
        <n v="1.43407159561072"/>
        <n v="1.4347210206026799"/>
        <n v="1.43502597497622"/>
        <n v="1.4352449807929299"/>
        <n v="1.43625993270814"/>
        <n v="1.43642107494964"/>
        <n v="1.43885254115963"/>
        <n v="1.4390461582879199"/>
        <n v="1.4399002003022101"/>
        <n v="1.4402605793808601"/>
        <n v="1.4402669230769201"/>
        <n v="1.4419075207299801"/>
        <n v="1.4419618031658601"/>
        <n v="1.44355097644034"/>
        <n v="1.44431134837265"/>
        <n v="1.44476374525575"/>
        <n v="1.44547833107042"/>
        <n v="1.4468995335486201"/>
        <n v="1.44694828486854"/>
        <n v="1.4471829405162699"/>
        <n v="1.44731667420736"/>
        <n v="1.44952393020056"/>
        <n v="1.45015503875969"/>
        <n v="1.45151018569845"/>
        <n v="1.4521087749782799"/>
        <n v="1.4527056599658299"/>
        <n v="1.45532561029089"/>
        <n v="1.4557951953236401"/>
        <n v="1.45642298670837"/>
        <n v="1.4580495088691401"/>
        <n v="1.4580691377980199"/>
        <n v="1.4593059948510501"/>
        <n v="1.45940436028585"/>
        <n v="1.46040327790812"/>
        <n v="1.4631740408799501"/>
        <n v="1.46426215307855"/>
        <n v="1.46442096081589"/>
        <n v="1.46512451475866"/>
        <n v="1.4653194560510501"/>
        <n v="1.47085482551314"/>
        <n v="1.47435542319974"/>
        <n v="1.4748026836530801"/>
        <n v="1.47505752116345"/>
        <n v="1.47507110208228"/>
        <n v="1.4762758371040701"/>
        <n v="1.4783416440566099"/>
        <n v="1.47845306363605"/>
        <n v="1.4804479806930899"/>
        <n v="1.48068102171321"/>
        <n v="1.48271770201492"/>
        <n v="1.48402702603189"/>
        <n v="1.48678250765818"/>
        <n v="1.4872165396311401"/>
        <n v="1.4886217639641"/>
        <n v="1.4892631618419101"/>
        <n v="1.48952145976073"/>
        <n v="1.4900066840216699"/>
        <n v="1.4901617352529899"/>
        <n v="1.4909025348862399"/>
        <n v="1.4947874188858601"/>
        <n v="1.49536110142907"/>
        <n v="1.4964971915202001"/>
        <n v="1.4987055389627999"/>
        <n v="1.49884020893295"/>
        <n v="1.4990875448971399"/>
        <n v="1.4998093425729799"/>
        <n v="1.49999322212599"/>
        <n v="1.5020866059637199"/>
        <n v="1.5032323996971999"/>
        <n v="1.50465730113328"/>
        <n v="1.50484478822367"/>
        <n v="1.5054828391734101"/>
        <n v="1.5067198555424499"/>
        <n v="1.5076705987755701"/>
        <n v="1.50835131574262"/>
        <n v="1.51220630589662"/>
        <n v="1.5165625223934101"/>
        <n v="1.5168787822535701"/>
        <n v="1.5178324463398301"/>
        <n v="1.51914220002156"/>
        <n v="1.5232897023479399"/>
        <n v="1.5236831853766299"/>
        <n v="1.52387646780819"/>
        <n v="1.5273017921147001"/>
        <n v="1.5316854812862799"/>
        <n v="1.53242293783365"/>
        <n v="1.5372622222222201"/>
        <n v="1.54087440495365"/>
        <n v="1.5408968281631199"/>
        <n v="1.5487005309334601"/>
        <n v="1.5515045982747599"/>
        <n v="1.5587335918854399"/>
        <n v="1.56398426982215"/>
        <n v="1.566688824736"/>
        <n v="1.5675594549188001"/>
        <n v="1.5741054606868099"/>
        <n v="1.57451549905905"/>
        <n v="1.5745272915281801"/>
        <n v="1.57649036355672"/>
        <n v="1.5774915967938501"/>
        <n v="1.57844337418682"/>
        <n v="1.5812862631745901"/>
        <n v="1.59012246213342"/>
        <n v="1.5909704356477901"/>
        <n v="1.5933488795773401"/>
        <n v="1.5995409995511001"/>
        <n v="1.5996427503736901"/>
        <n v="1.6011276065276501"/>
        <n v="1.60564394628625"/>
        <n v="1.6103700926169"/>
        <n v="1.6160668022292499"/>
        <n v="1.62475307748009"/>
        <n v="1.6247700427242999"/>
        <n v="1.6248595835166399"/>
        <n v="1.63302682395899"/>
        <n v="1.6340633501024799"/>
        <n v="1.63683116978634"/>
        <n v="1.6402093700468099"/>
        <n v="1.6437304195804201"/>
        <n v="1.6563582821188201"/>
        <n v="1.65733750894775"/>
        <n v="1.6809285500075"/>
        <n v="1.6858281058475699"/>
        <n v="1.6865627743634799"/>
        <n v="1.6897318881916701"/>
        <n v="1.7029454494656699"/>
        <n v="1.7369485855574101"/>
        <n v="1.74211429897146"/>
        <n v="1.76777361985921"/>
        <n v="1.77488390771028"/>
        <n v="1.8273292287514999"/>
        <n v="2.0018769765421398"/>
        <n v="2.0067431243326799"/>
        <n v="2.0487542700133701"/>
        <n v="1.0588366163732901"/>
        <n v="1.14222688641916"/>
        <n v="1.15651795828613"/>
        <n v="1.1570057085412699"/>
        <n v="1.16185422309776"/>
        <n v="1.17100918713103"/>
        <n v="1.17364198840334"/>
        <n v="1.1739997174343"/>
        <n v="1.1790805852061499"/>
        <n v="1.1797092415906401"/>
        <n v="1.18125611236345"/>
        <n v="1.18369366485256"/>
        <n v="1.1856326377778501"/>
        <n v="1.1906372617712999"/>
        <n v="1.19365682344721"/>
        <n v="1.1951152121780799"/>
        <n v="1.1964726845218401"/>
        <n v="1.1981949579831901"/>
        <n v="1.20309107635695"/>
        <n v="1.2032082189748501"/>
        <n v="1.2040361867315299"/>
        <n v="1.20641887434464"/>
        <n v="1.20697339534884"/>
        <n v="1.2108375162343401"/>
        <n v="1.2110144776585801"/>
        <n v="1.21353067625189"/>
        <n v="1.2152339495798301"/>
        <n v="1.21700772808337"/>
        <n v="1.2185494474254599"/>
        <n v="1.22633906467257"/>
        <n v="1.2307049895264599"/>
        <n v="1.23225702840232"/>
        <n v="1.23695754802629"/>
        <n v="1.2370294622425599"/>
        <n v="1.2394598436389499"/>
        <n v="1.23973373686537"/>
        <n v="1.24162244343891"/>
        <n v="1.2448543144000599"/>
        <n v="1.2472683811983101"/>
        <n v="1.2496002809740401"/>
        <n v="1.2554762985992201"/>
        <n v="1.25724082093768"/>
        <n v="1.2627143557079901"/>
        <n v="1.2680349591203799"/>
        <n v="1.2702019596785601"/>
        <n v="1.27207187926645"/>
        <n v="1.2735795252013999"/>
        <n v="1.2748590267522899"/>
        <n v="1.2757115321671499"/>
        <n v="1.2760941583668901"/>
        <n v="1.27635301515854"/>
        <n v="1.2793555035455999"/>
        <n v="1.28531521859845"/>
        <n v="1.28673941477634"/>
        <n v="1.28992201559688"/>
        <n v="1.29384112443621"/>
        <n v="1.2949359304808901"/>
        <n v="1.2950860196517799"/>
        <n v="1.2961503416856499"/>
        <n v="1.2966141760787699"/>
        <n v="1.29688651008838"/>
        <n v="1.2977655438186"/>
        <n v="1.3037203930483201"/>
        <n v="1.30528898503696"/>
        <n v="1.30598819958392"/>
        <n v="1.306608692572"/>
        <n v="1.30996444843297"/>
        <n v="1.3104426344304001"/>
        <n v="1.3107742513896401"/>
        <n v="1.3134068956034499"/>
        <n v="1.31559722578988"/>
        <n v="1.3159007312209201"/>
        <n v="1.3178529547635101"/>
        <n v="1.3180347876927601"/>
        <n v="1.3188274932614601"/>
        <n v="1.3193521879065899"/>
        <n v="1.3231739927398201"/>
        <n v="1.3266499740336799"/>
        <n v="1.3281137015781901"/>
        <n v="1.3308723949071799"/>
        <n v="1.3344370634159699"/>
        <n v="1.3345489943914499"/>
        <n v="1.33655107843817"/>
        <n v="1.3372834244080101"/>
        <n v="1.3393155380520001"/>
        <n v="1.3405710003211899"/>
        <n v="1.3411703012549301"/>
        <n v="1.3439086142322101"/>
        <n v="1.3458363065505901"/>
        <n v="1.3469620738983299"/>
        <n v="1.3485930361345699"/>
        <n v="1.3498968553459101"/>
        <n v="1.3529361337333901"/>
        <n v="1.35295960605196"/>
        <n v="1.3535683948447601"/>
        <n v="1.3538564378959199"/>
        <n v="1.3540420991717601"/>
        <n v="1.3543048476505799"/>
        <n v="1.3574639914009301"/>
        <n v="1.3578003092711"/>
        <n v="1.3588712407707499"/>
        <n v="1.3594299592828101"/>
        <n v="1.3599042451324601"/>
        <n v="1.3632514686374799"/>
        <n v="1.3663222128841299"/>
        <n v="1.36690573345321"/>
        <n v="1.3722300045187501"/>
        <n v="1.3733543068640599"/>
        <n v="1.3757629827887401"/>
        <n v="1.3783563714106699"/>
        <n v="1.3800402344698399"/>
        <n v="1.38178697680995"/>
        <n v="1.3821302608180199"/>
        <n v="1.38348534316307"/>
        <n v="1.38374981818182"/>
        <n v="1.3850723000451901"/>
        <n v="1.38828727131179"/>
        <n v="1.3926329428469999"/>
        <n v="1.39364132047478"/>
        <n v="1.39391762721394"/>
        <n v="1.3939600347523899"/>
        <n v="1.4023105563632501"/>
        <n v="1.4043345683586499"/>
        <n v="1.4136166113668001"/>
        <n v="1.4153199999999999"/>
        <n v="1.4161535073229801"/>
        <n v="1.41665335491995"/>
        <n v="1.41676564836573"/>
        <n v="1.42084719371505"/>
        <n v="1.42308023469777"/>
        <n v="1.42356456456456"/>
        <n v="1.42556920735022"/>
        <n v="1.4270366798691201"/>
        <n v="1.42719423076923"/>
        <n v="1.4320625272965499"/>
        <n v="1.43282461538462"/>
        <n v="1.43535225083202"/>
        <n v="1.4371820370564199"/>
        <n v="1.4405873587031599"/>
        <n v="1.4422245931283899"/>
        <n v="1.4437699985841701"/>
        <n v="1.44438174904943"/>
        <n v="1.44826305511355"/>
        <n v="1.44917382368054"/>
        <n v="1.4544538526672299"/>
        <n v="1.4585252689694199"/>
        <n v="1.45951681455522"/>
        <n v="1.46759798173613"/>
        <n v="1.4794024050447301"/>
        <n v="1.49089668034316"/>
        <n v="1.4925091779728601"/>
        <n v="1.49765970834259"/>
        <n v="1.5008653429602901"/>
        <n v="1.5060235007795599"/>
        <n v="1.50965247992962"/>
        <n v="1.5146992455181001"/>
        <n v="1.51541058575576"/>
        <n v="1.5169132329227699"/>
        <n v="1.53580211232427"/>
        <n v="1.5650079227888201"/>
        <n v="1.6025444099816699"/>
        <n v="1.67932207910982"/>
        <n v="1.69507700749954"/>
        <n v="1.73974308652988"/>
        <n v="1.7864429769766199"/>
        <n v="1.1287881259753201"/>
        <n v="1.15602592529422"/>
        <n v="1.1627627230667501"/>
        <n v="1.17822955790634"/>
        <n v="1.19544353859497"/>
        <n v="1.20143925887083"/>
        <n v="1.20240020489554"/>
        <n v="1.2039484700997201"/>
        <n v="1.2147367080315901"/>
        <n v="1.21875387164158"/>
        <n v="1.23528808943672"/>
        <n v="1.235752331167"/>
        <n v="1.2484354989567601"/>
        <n v="1.2528365806564901"/>
        <n v="1.2626160352548199"/>
        <n v="1.2655653038143899"/>
        <n v="1.2787493723549199"/>
        <n v="1.2880049125637001"/>
        <n v="1.2933004152171499"/>
        <n v="1.29678397048718"/>
        <n v="1.3043534559425101"/>
        <n v="1.30549483678703"/>
        <n v="1.3257726344452001"/>
        <n v="1.33025046638568"/>
        <n v="1.3341170276247001"/>
        <n v="1.33625906183369"/>
        <n v="1.35971355004828"/>
        <n v="1.3877892672490599"/>
        <n v="1.40002320783909"/>
        <n v="1.4083057651563"/>
        <n v="1.4096172545774299"/>
        <n v="1.4129207347942401"/>
        <n v="1.41682141392042"/>
        <n v="1.4287282766431899"/>
        <n v="1.4525442792018499"/>
        <n v="1.46239922137675"/>
        <n v="1.4686305595408899"/>
        <n v="1.50107559596249"/>
        <n v="1.54066250138637"/>
        <n v="1.59128154308972"/>
        <n v="1.63493960169768"/>
        <n v="1.7068253248715599"/>
        <n v="1.78204807210816"/>
        <n v="1.4537057810037"/>
        <n v="1.60628653043287"/>
        <n v="1.2310824171770101"/>
        <n v="1.2985282705099801"/>
        <n v="1.4199745951095599"/>
        <n v="1.0560308787761301"/>
        <n v="1.1861509408048301"/>
        <n v="1.2300337825696299"/>
        <n v="1.3244920614431399"/>
        <n v="1.34141649563433"/>
        <n v="1.3761145281017999"/>
        <n v="1.5068319426246499"/>
        <n v="1.3319910179640699"/>
        <n v="1.40574446199625"/>
        <n v="1.12601387331839"/>
        <n v="1.1378604951098099"/>
        <n v="1.2004353434376001"/>
        <n v="1.2325770947980501"/>
        <n v="1.23677909116648"/>
        <n v="1.30250354790583"/>
        <n v="1.34909556609325"/>
        <n v="1.3701787290379499"/>
        <n v="1.39694424655993"/>
        <n v="1.42435093088498"/>
        <n v="1.44421893378865"/>
        <n v="1.46714336270659"/>
        <n v="1.50946414152536"/>
        <n v="1.5737622742819299"/>
        <n v="1.1545282688604901"/>
        <n v="1.1826793294481599"/>
        <n v="1.1892024496937901"/>
        <n v="1.21016545738116"/>
        <n v="1.2149932899762601"/>
        <n v="1.2176741169427301"/>
        <n v="1.2195134262756699"/>
        <n v="1.29125258110804"/>
        <n v="1.29151746162563"/>
        <n v="1.29257780409281"/>
        <n v="1.2957868529340599"/>
        <n v="1.2979450363367"/>
        <n v="1.30978203735501"/>
        <n v="1.3403538796738801"/>
        <n v="1.3528452645782401"/>
        <n v="1.36469585526545"/>
        <n v="1.36483056732171"/>
        <n v="1.3824820865577501"/>
        <n v="1.4050828367719499"/>
        <n v="1.4100484372790301"/>
        <n v="1.41676534932957"/>
        <n v="1.4319907520077899"/>
        <n v="1.4339318420657601"/>
        <n v="1.4413336946702799"/>
        <n v="1.4550314759523699"/>
        <n v="1.47256045012642"/>
        <n v="1.4837057895114401"/>
        <n v="1.6734897842548899"/>
        <n v="1.70813563750373"/>
        <n v="1.01917520197411"/>
        <n v="1.16103582711568"/>
        <n v="1.2117452013027501"/>
        <n v="1.2258529521992401"/>
        <n v="1.23181960616743"/>
        <n v="1.2586975521491199"/>
        <n v="1.2608257559737801"/>
        <n v="1.26544790410667"/>
        <n v="1.2678593120983099"/>
        <n v="1.26898158452095"/>
        <n v="1.2705884407193999"/>
        <n v="1.27452347992759"/>
        <n v="1.2787715911400099"/>
        <n v="1.2904592403189401"/>
        <n v="1.29060604977117"/>
        <n v="1.3007154782608701"/>
        <n v="1.3033995878017299"/>
        <n v="1.30609965455878"/>
        <n v="1.3116131655235801"/>
        <n v="1.31210085499913"/>
        <n v="1.31511818825195"/>
        <n v="1.31730442590445"/>
        <n v="1.31802825084426"/>
        <n v="1.3194220098643701"/>
        <n v="1.3205787957255899"/>
        <n v="1.3219775321616201"/>
        <n v="1.3237518082248401"/>
        <n v="1.32400255137222"/>
        <n v="1.32779957431713"/>
        <n v="1.3367438614074001"/>
        <n v="1.34025548594827"/>
        <n v="1.34848165701246"/>
        <n v="1.3550847335660099"/>
        <n v="1.35613735306922"/>
        <n v="1.36015469925476"/>
        <n v="1.37416215638798"/>
        <n v="1.37439081189796"/>
        <n v="1.37630118937398"/>
        <n v="1.38227579455264"/>
        <n v="1.3831174807943201"/>
        <n v="1.3840777649568199"/>
        <n v="1.3885601891183099"/>
        <n v="1.3916921837228"/>
        <n v="1.3968735607369001"/>
        <n v="1.4009056949276699"/>
        <n v="1.4011681398151901"/>
        <n v="1.40820485175202"/>
        <n v="1.40956102284546"/>
        <n v="1.4097863154839601"/>
        <n v="1.4129278230500599"/>
        <n v="1.4163691797962701"/>
        <n v="1.4214886709271699"/>
        <n v="1.451336487496"/>
        <n v="1.4522012870933101"/>
        <n v="1.4644208115183199"/>
        <n v="1.4651645762594401"/>
        <n v="1.4717951258900399"/>
        <n v="1.4825841000575"/>
        <n v="1.4830999821778601"/>
        <n v="1.5051517817861899"/>
        <n v="1.50917679200518"/>
        <n v="1.51609813678132"/>
        <n v="1.5394284993149201"/>
        <n v="1.5550192906457301"/>
        <n v="1.57806126475125"/>
        <n v="1.57904199475066"/>
        <n v="1.5807336830460701"/>
        <n v="1.5859035159443999"/>
        <n v="1.6058473693661299"/>
        <n v="1.6205072869955199"/>
        <n v="1.7208508"/>
        <n v="1.8108406238113399"/>
        <n v="1.15851384267042"/>
        <n v="1.21017726033145"/>
        <n v="1.2262260557053"/>
        <n v="1.2487793443778601"/>
        <n v="1.28199429406444"/>
        <n v="1.28326831621752"/>
        <n v="1.3035309685845899"/>
        <n v="1.3039858482345199"/>
        <n v="1.3117797751173501"/>
        <n v="1.3166989312361399"/>
        <n v="1.4169869416298"/>
        <n v="1.4347489667565101"/>
        <n v="1.4585306626922101"/>
        <n v="1.7933369496745299"/>
        <n v="1.1694185172531599"/>
        <n v="1.2179864985878599"/>
        <n v="1.25403382226057"/>
        <n v="1.2719372093836301"/>
        <n v="1.3238793584638899"/>
        <n v="1.33778484107579"/>
        <n v="1.38538881500665"/>
        <n v="1.4639690894837001"/>
        <n v="1.36937615288128"/>
        <n v="1.6881196829782601"/>
        <n v="1.84691611455052"/>
        <n v="1.0926789822237699"/>
        <n v="1.1842067899065201"/>
        <n v="1.2569309472033099"/>
        <n v="1.26302286553388"/>
        <n v="1.27676227074236"/>
        <n v="1.3001335348069001"/>
        <n v="1.30242321061219"/>
        <n v="1.30524224940915"/>
        <n v="1.33662859980139"/>
        <n v="1.3385822156328699"/>
        <n v="1.3730306264006"/>
        <n v="1.4055796586059699"/>
        <n v="1.4564148174660001"/>
        <n v="1.4590928240415699"/>
        <n v="1.3368582813582801"/>
        <n v="1.3763633201140999"/>
        <n v="1.25864076262278"/>
        <n v="1.44312150943396"/>
        <n v="1.1386717615326101"/>
        <n v="1.1421224037104301"/>
        <n v="1.14872484404187"/>
        <n v="1.1754539912622299"/>
        <n v="1.22399510984329"/>
        <n v="1.2244661448984"/>
        <n v="1.2329791243838799"/>
        <n v="1.2371417549274"/>
        <n v="1.2416927156014499"/>
        <n v="1.24214637778802"/>
        <n v="1.2466353528310901"/>
        <n v="1.2870983062685499"/>
        <n v="1.2903731616302001"/>
        <n v="1.29405303300307"/>
        <n v="1.30249073574384"/>
        <n v="1.3071406220897701"/>
        <n v="1.31060977357409"/>
        <n v="1.3613778214624199"/>
        <n v="1.3621122827644501"/>
        <n v="1.36566692142519"/>
        <n v="1.3826578928545901"/>
        <n v="1.41972941450898"/>
        <n v="1.4232994978479201"/>
        <n v="1.5184753742597601"/>
        <n v="1.7242984204310601"/>
        <n v="1.3662663130713899"/>
        <n v="1.42001633532601"/>
        <n v="1.2673983914979201"/>
        <n v="1.4455751247978601"/>
        <n v="1.2509444723437799"/>
        <n v="1.29706766656251"/>
        <n v="1.4488942359106001"/>
        <n v="1.4797640150675799"/>
        <n v="1.5545505306235701"/>
        <n v="1.7778989600949899"/>
        <n v="1.6991221185122301"/>
        <n v="1.8471052631578899"/>
        <n v="2.2346349498742399"/>
        <n v="1.4008366326318"/>
        <n v="2.16012956546846"/>
        <n v="2.0898081734779002"/>
        <n v="2.1061481952391001"/>
        <n v="2.1231828548673199"/>
        <n v="2.1328355249426001"/>
        <n v="2.1516968225194102"/>
        <n v="2.16943873239437"/>
        <n v="2.2286742397516401"/>
        <n v="1.40798604394086"/>
        <n v="1.3270966819222001"/>
        <n v="1.4701706830947601"/>
        <n v="1.5593630261501901"/>
        <n v="1.2019891777838301"/>
        <n v="1.2142533477850399"/>
        <n v="1.22519602211532"/>
        <n v="1.2346745708724101"/>
        <n v="1.2498883303411099"/>
        <n v="1.26135319699529"/>
        <n v="1.2973649742975799"/>
        <n v="1.29916716958358"/>
        <n v="1.3058879746134799"/>
        <n v="1.30630529420025"/>
        <n v="1.36284429635999"/>
        <n v="1.3878300820968601"/>
        <n v="1.42129474034867"/>
        <n v="1.4326354162830901"/>
        <n v="1.56359555838841"/>
        <n v="1.6323495650933999"/>
        <n v="1.28997299201503"/>
        <n v="1.33510811013018"/>
        <n v="1.38723765211167"/>
        <n v="1.4573659334020399"/>
        <n v="1.16493109373356"/>
        <n v="1.20112300010191"/>
        <n v="1.21242471096742"/>
        <n v="1.21619509452527"/>
        <n v="1.21974082672118"/>
        <n v="1.23242731292872"/>
        <n v="1.2391887648290301"/>
        <n v="1.24388277863361"/>
        <n v="1.2547170454158301"/>
        <n v="1.2641344039448299"/>
        <n v="1.28074520738933"/>
        <n v="1.3061600140056"/>
        <n v="1.36601884653536"/>
        <n v="1.3841728282580501"/>
        <n v="1.40129496666422"/>
        <n v="1.4287304397082801"/>
        <n v="1.10442844613361"/>
        <n v="1.11005634978608"/>
        <n v="1.1581097826086999"/>
        <n v="1.1867907680120999"/>
        <n v="1.2201768086545"/>
        <n v="1.23428967813541"/>
        <n v="1.25163845462713"/>
        <n v="1.2944731137682699"/>
        <n v="1.29848269371536"/>
        <n v="1.3041536278039301"/>
        <n v="1.32369964761971"/>
        <n v="1.32445116184815"/>
        <n v="1.3470820679814099"/>
        <n v="1.3527629806197501"/>
        <n v="1.3561021412237499"/>
        <n v="1.37413724331511"/>
        <n v="1.3965953196347001"/>
        <n v="1.40110475923263"/>
        <n v="1.47848437610714"/>
        <n v="1.64503157661484"/>
        <n v="1.7147804183550499"/>
        <n v="1.1915755661248"/>
        <n v="1.2238710132655899"/>
        <n v="1.40095430823304"/>
        <n v="1.42257071135624"/>
        <n v="1.43455542873974"/>
        <n v="1.4839927411240501"/>
        <n v="1.72080384615385"/>
        <n v="1.4012853061372099"/>
        <n v="1.5049538881511"/>
        <n v="1.72485197180415"/>
        <n v="1.8400043396499399"/>
        <n v="1.88114313124977"/>
        <n v="1.9418239296014199"/>
        <n v="2.0951603794077198"/>
        <n v="1.9834661177256001"/>
        <n v="2.2210094558429998"/>
        <n v="2.2895688219535102"/>
        <n v="2.4563929784824499"/>
        <n v="2.5572538841931798"/>
        <n v="1.18549122502172"/>
        <n v="1.4493737920371099"/>
        <n v="1.48560083524182"/>
        <n v="1.4912058161675601"/>
        <n v="1.61587934449847"/>
        <n v="1.70705374736699"/>
        <n v="1.71134656753595"/>
        <n v="1.8526265588017099"/>
        <n v="1.8744546839852001"/>
        <n v="1.78500400787"/>
        <n v="0.97494576134994004"/>
        <n v="1.0473098141185599"/>
        <n v="1.04835991206337"/>
        <n v="1.0795367188048"/>
        <n v="1.0922238945029701"/>
        <n v="1.10100882911746"/>
        <n v="1.1015645600458599"/>
        <n v="1.1048721413721401"/>
        <n v="1.12115402026674"/>
        <n v="1.13272452565004"/>
        <n v="1.1343344428934501"/>
        <n v="1.1464011142061299"/>
        <n v="1.1526397960252901"/>
        <n v="1.1655319755020701"/>
        <n v="1.1658180071858"/>
        <n v="1.1712725310307599"/>
        <n v="1.17381861127774"/>
        <n v="1.1743686599985801"/>
        <n v="1.1744357021691301"/>
        <n v="1.1744374372939701"/>
        <n v="1.1806793585027"/>
        <n v="1.1823574365879399"/>
        <n v="1.1870113377015401"/>
        <n v="1.18972171724234"/>
        <n v="1.19664638810972"/>
        <n v="1.1981397637795299"/>
        <n v="1.2131800109679201"/>
        <n v="1.2178048348847901"/>
        <n v="1.21964281883514"/>
        <n v="1.2296611207144901"/>
        <n v="1.23820139167183"/>
        <n v="1.2441325625930899"/>
        <n v="1.25660258498968"/>
        <n v="1.25894669164922"/>
        <n v="1.2591309055473301"/>
        <n v="1.2593924576092299"/>
        <n v="1.260191601527"/>
        <n v="1.26031702150576"/>
        <n v="1.26216051352981"/>
        <n v="1.2647871919410001"/>
        <n v="1.2763023005032399"/>
        <n v="1.2767447151057001"/>
        <n v="1.27848353614889"/>
        <n v="1.28237361391575"/>
        <n v="1.2849292674124899"/>
        <n v="1.28528906531938"/>
        <n v="1.2926063027744299"/>
        <n v="1.2948111308924799"/>
        <n v="1.29639735051134"/>
        <n v="1.31616648371753"/>
        <n v="1.33378458768737"/>
        <n v="1.36113074204947"/>
        <n v="1.3683939416111801"/>
        <n v="1.3807657657657699"/>
        <n v="1.38180424618686"/>
        <n v="1.3936445880452299"/>
        <n v="1.3957908400496"/>
        <n v="1.4334878812396701"/>
        <n v="1.53567260353316"/>
        <n v="1.6545137607770799"/>
        <n v="1.3084826563460801"/>
        <n v="1.3890731934065199"/>
        <n v="1.41699893917963"/>
        <n v="1.01383949785453"/>
        <n v="1.31192144673637"/>
        <n v="1.3323773349480701"/>
        <n v="1.3673655057562799"/>
        <n v="1.3785979511205899"/>
        <n v="1.40027186374058"/>
        <n v="1.42445249904617"/>
        <n v="1.43189701316775"/>
        <n v="1.56255937799553"/>
        <n v="2.2332503888024902"/>
        <n v="3.1768580487432199"/>
        <n v="1.8262016843808599"/>
        <n v="1.86198115462087"/>
        <n v="1.8770469191224399"/>
        <n v="1.8901804824638899"/>
        <n v="2.0926870025569899"/>
        <n v="2.0942874565084799"/>
        <n v="2.1091744680851101"/>
        <n v="2.2502618687414402"/>
        <n v="2.49171206921207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633">
  <r>
    <x v="0"/>
    <x v="0"/>
    <x v="0"/>
    <x v="0"/>
    <x v="0"/>
    <x v="0"/>
  </r>
  <r>
    <x v="1"/>
    <x v="1"/>
    <x v="1"/>
    <x v="1"/>
    <x v="1"/>
    <x v="1"/>
  </r>
  <r>
    <x v="1"/>
    <x v="1"/>
    <x v="2"/>
    <x v="2"/>
    <x v="2"/>
    <x v="2"/>
  </r>
  <r>
    <x v="2"/>
    <x v="2"/>
    <x v="3"/>
    <x v="3"/>
    <x v="3"/>
    <x v="3"/>
  </r>
  <r>
    <x v="2"/>
    <x v="1"/>
    <x v="4"/>
    <x v="4"/>
    <x v="4"/>
    <x v="4"/>
  </r>
  <r>
    <x v="2"/>
    <x v="1"/>
    <x v="5"/>
    <x v="5"/>
    <x v="5"/>
    <x v="5"/>
  </r>
  <r>
    <x v="2"/>
    <x v="2"/>
    <x v="6"/>
    <x v="6"/>
    <x v="6"/>
    <x v="6"/>
  </r>
  <r>
    <x v="3"/>
    <x v="2"/>
    <x v="7"/>
    <x v="7"/>
    <x v="7"/>
    <x v="7"/>
  </r>
  <r>
    <x v="3"/>
    <x v="1"/>
    <x v="8"/>
    <x v="8"/>
    <x v="8"/>
    <x v="8"/>
  </r>
  <r>
    <x v="3"/>
    <x v="2"/>
    <x v="9"/>
    <x v="9"/>
    <x v="9"/>
    <x v="9"/>
  </r>
  <r>
    <x v="4"/>
    <x v="2"/>
    <x v="10"/>
    <x v="10"/>
    <x v="10"/>
    <x v="10"/>
  </r>
  <r>
    <x v="4"/>
    <x v="2"/>
    <x v="11"/>
    <x v="11"/>
    <x v="11"/>
    <x v="11"/>
  </r>
  <r>
    <x v="4"/>
    <x v="1"/>
    <x v="12"/>
    <x v="12"/>
    <x v="12"/>
    <x v="12"/>
  </r>
  <r>
    <x v="5"/>
    <x v="1"/>
    <x v="13"/>
    <x v="13"/>
    <x v="13"/>
    <x v="13"/>
  </r>
  <r>
    <x v="5"/>
    <x v="1"/>
    <x v="14"/>
    <x v="14"/>
    <x v="14"/>
    <x v="14"/>
  </r>
  <r>
    <x v="5"/>
    <x v="1"/>
    <x v="15"/>
    <x v="15"/>
    <x v="15"/>
    <x v="15"/>
  </r>
  <r>
    <x v="5"/>
    <x v="1"/>
    <x v="16"/>
    <x v="16"/>
    <x v="16"/>
    <x v="16"/>
  </r>
  <r>
    <x v="5"/>
    <x v="3"/>
    <x v="17"/>
    <x v="17"/>
    <x v="17"/>
    <x v="17"/>
  </r>
  <r>
    <x v="5"/>
    <x v="4"/>
    <x v="18"/>
    <x v="18"/>
    <x v="14"/>
    <x v="18"/>
  </r>
  <r>
    <x v="5"/>
    <x v="5"/>
    <x v="19"/>
    <x v="19"/>
    <x v="18"/>
    <x v="19"/>
  </r>
  <r>
    <x v="5"/>
    <x v="2"/>
    <x v="20"/>
    <x v="7"/>
    <x v="19"/>
    <x v="20"/>
  </r>
  <r>
    <x v="5"/>
    <x v="1"/>
    <x v="21"/>
    <x v="20"/>
    <x v="20"/>
    <x v="21"/>
  </r>
  <r>
    <x v="5"/>
    <x v="3"/>
    <x v="22"/>
    <x v="21"/>
    <x v="21"/>
    <x v="22"/>
  </r>
  <r>
    <x v="5"/>
    <x v="0"/>
    <x v="23"/>
    <x v="22"/>
    <x v="22"/>
    <x v="23"/>
  </r>
  <r>
    <x v="5"/>
    <x v="2"/>
    <x v="24"/>
    <x v="7"/>
    <x v="23"/>
    <x v="24"/>
  </r>
  <r>
    <x v="5"/>
    <x v="1"/>
    <x v="25"/>
    <x v="23"/>
    <x v="24"/>
    <x v="25"/>
  </r>
  <r>
    <x v="5"/>
    <x v="5"/>
    <x v="26"/>
    <x v="24"/>
    <x v="25"/>
    <x v="26"/>
  </r>
  <r>
    <x v="5"/>
    <x v="1"/>
    <x v="27"/>
    <x v="25"/>
    <x v="26"/>
    <x v="27"/>
  </r>
  <r>
    <x v="5"/>
    <x v="3"/>
    <x v="28"/>
    <x v="26"/>
    <x v="27"/>
    <x v="28"/>
  </r>
  <r>
    <x v="5"/>
    <x v="5"/>
    <x v="29"/>
    <x v="27"/>
    <x v="28"/>
    <x v="29"/>
  </r>
  <r>
    <x v="5"/>
    <x v="3"/>
    <x v="30"/>
    <x v="28"/>
    <x v="29"/>
    <x v="30"/>
  </r>
  <r>
    <x v="5"/>
    <x v="5"/>
    <x v="31"/>
    <x v="29"/>
    <x v="30"/>
    <x v="31"/>
  </r>
  <r>
    <x v="5"/>
    <x v="6"/>
    <x v="32"/>
    <x v="30"/>
    <x v="31"/>
    <x v="32"/>
  </r>
  <r>
    <x v="6"/>
    <x v="1"/>
    <x v="33"/>
    <x v="31"/>
    <x v="32"/>
    <x v="33"/>
  </r>
  <r>
    <x v="6"/>
    <x v="3"/>
    <x v="34"/>
    <x v="32"/>
    <x v="33"/>
    <x v="34"/>
  </r>
  <r>
    <x v="6"/>
    <x v="7"/>
    <x v="35"/>
    <x v="33"/>
    <x v="34"/>
    <x v="35"/>
  </r>
  <r>
    <x v="6"/>
    <x v="5"/>
    <x v="36"/>
    <x v="34"/>
    <x v="35"/>
    <x v="36"/>
  </r>
  <r>
    <x v="6"/>
    <x v="5"/>
    <x v="37"/>
    <x v="35"/>
    <x v="36"/>
    <x v="37"/>
  </r>
  <r>
    <x v="6"/>
    <x v="1"/>
    <x v="38"/>
    <x v="36"/>
    <x v="37"/>
    <x v="38"/>
  </r>
  <r>
    <x v="6"/>
    <x v="2"/>
    <x v="39"/>
    <x v="4"/>
    <x v="38"/>
    <x v="39"/>
  </r>
  <r>
    <x v="6"/>
    <x v="3"/>
    <x v="40"/>
    <x v="37"/>
    <x v="39"/>
    <x v="40"/>
  </r>
  <r>
    <x v="6"/>
    <x v="3"/>
    <x v="13"/>
    <x v="38"/>
    <x v="40"/>
    <x v="41"/>
  </r>
  <r>
    <x v="6"/>
    <x v="1"/>
    <x v="41"/>
    <x v="39"/>
    <x v="41"/>
    <x v="42"/>
  </r>
  <r>
    <x v="6"/>
    <x v="3"/>
    <x v="42"/>
    <x v="40"/>
    <x v="42"/>
    <x v="43"/>
  </r>
  <r>
    <x v="6"/>
    <x v="3"/>
    <x v="43"/>
    <x v="41"/>
    <x v="43"/>
    <x v="44"/>
  </r>
  <r>
    <x v="7"/>
    <x v="1"/>
    <x v="44"/>
    <x v="42"/>
    <x v="44"/>
    <x v="45"/>
  </r>
  <r>
    <x v="7"/>
    <x v="1"/>
    <x v="45"/>
    <x v="43"/>
    <x v="45"/>
    <x v="46"/>
  </r>
  <r>
    <x v="7"/>
    <x v="1"/>
    <x v="46"/>
    <x v="44"/>
    <x v="46"/>
    <x v="47"/>
  </r>
  <r>
    <x v="7"/>
    <x v="5"/>
    <x v="47"/>
    <x v="45"/>
    <x v="47"/>
    <x v="48"/>
  </r>
  <r>
    <x v="7"/>
    <x v="1"/>
    <x v="48"/>
    <x v="5"/>
    <x v="48"/>
    <x v="49"/>
  </r>
  <r>
    <x v="7"/>
    <x v="1"/>
    <x v="49"/>
    <x v="45"/>
    <x v="49"/>
    <x v="50"/>
  </r>
  <r>
    <x v="7"/>
    <x v="0"/>
    <x v="50"/>
    <x v="46"/>
    <x v="50"/>
    <x v="51"/>
  </r>
  <r>
    <x v="7"/>
    <x v="1"/>
    <x v="51"/>
    <x v="7"/>
    <x v="51"/>
    <x v="52"/>
  </r>
  <r>
    <x v="7"/>
    <x v="2"/>
    <x v="52"/>
    <x v="47"/>
    <x v="52"/>
    <x v="53"/>
  </r>
  <r>
    <x v="7"/>
    <x v="1"/>
    <x v="53"/>
    <x v="48"/>
    <x v="53"/>
    <x v="54"/>
  </r>
  <r>
    <x v="7"/>
    <x v="1"/>
    <x v="54"/>
    <x v="49"/>
    <x v="54"/>
    <x v="55"/>
  </r>
  <r>
    <x v="7"/>
    <x v="5"/>
    <x v="55"/>
    <x v="50"/>
    <x v="55"/>
    <x v="56"/>
  </r>
  <r>
    <x v="7"/>
    <x v="0"/>
    <x v="56"/>
    <x v="51"/>
    <x v="56"/>
    <x v="57"/>
  </r>
  <r>
    <x v="7"/>
    <x v="7"/>
    <x v="57"/>
    <x v="52"/>
    <x v="57"/>
    <x v="58"/>
  </r>
  <r>
    <x v="7"/>
    <x v="5"/>
    <x v="58"/>
    <x v="53"/>
    <x v="58"/>
    <x v="59"/>
  </r>
  <r>
    <x v="7"/>
    <x v="5"/>
    <x v="59"/>
    <x v="54"/>
    <x v="59"/>
    <x v="60"/>
  </r>
  <r>
    <x v="7"/>
    <x v="1"/>
    <x v="60"/>
    <x v="48"/>
    <x v="60"/>
    <x v="61"/>
  </r>
  <r>
    <x v="7"/>
    <x v="5"/>
    <x v="61"/>
    <x v="55"/>
    <x v="61"/>
    <x v="62"/>
  </r>
  <r>
    <x v="7"/>
    <x v="1"/>
    <x v="62"/>
    <x v="56"/>
    <x v="62"/>
    <x v="63"/>
  </r>
  <r>
    <x v="7"/>
    <x v="1"/>
    <x v="63"/>
    <x v="57"/>
    <x v="63"/>
    <x v="64"/>
  </r>
  <r>
    <x v="7"/>
    <x v="3"/>
    <x v="64"/>
    <x v="58"/>
    <x v="64"/>
    <x v="65"/>
  </r>
  <r>
    <x v="8"/>
    <x v="1"/>
    <x v="65"/>
    <x v="12"/>
    <x v="36"/>
    <x v="66"/>
  </r>
  <r>
    <x v="8"/>
    <x v="1"/>
    <x v="66"/>
    <x v="24"/>
    <x v="65"/>
    <x v="67"/>
  </r>
  <r>
    <x v="8"/>
    <x v="2"/>
    <x v="67"/>
    <x v="59"/>
    <x v="66"/>
    <x v="68"/>
  </r>
  <r>
    <x v="8"/>
    <x v="5"/>
    <x v="68"/>
    <x v="60"/>
    <x v="67"/>
    <x v="69"/>
  </r>
  <r>
    <x v="8"/>
    <x v="5"/>
    <x v="69"/>
    <x v="61"/>
    <x v="68"/>
    <x v="70"/>
  </r>
  <r>
    <x v="8"/>
    <x v="1"/>
    <x v="70"/>
    <x v="11"/>
    <x v="69"/>
    <x v="71"/>
  </r>
  <r>
    <x v="8"/>
    <x v="1"/>
    <x v="71"/>
    <x v="62"/>
    <x v="70"/>
    <x v="72"/>
  </r>
  <r>
    <x v="8"/>
    <x v="5"/>
    <x v="72"/>
    <x v="16"/>
    <x v="71"/>
    <x v="73"/>
  </r>
  <r>
    <x v="8"/>
    <x v="3"/>
    <x v="73"/>
    <x v="57"/>
    <x v="72"/>
    <x v="74"/>
  </r>
  <r>
    <x v="8"/>
    <x v="1"/>
    <x v="74"/>
    <x v="63"/>
    <x v="73"/>
    <x v="75"/>
  </r>
  <r>
    <x v="8"/>
    <x v="7"/>
    <x v="75"/>
    <x v="64"/>
    <x v="74"/>
    <x v="76"/>
  </r>
  <r>
    <x v="8"/>
    <x v="3"/>
    <x v="76"/>
    <x v="45"/>
    <x v="75"/>
    <x v="77"/>
  </r>
  <r>
    <x v="8"/>
    <x v="3"/>
    <x v="77"/>
    <x v="65"/>
    <x v="76"/>
    <x v="78"/>
  </r>
  <r>
    <x v="9"/>
    <x v="2"/>
    <x v="78"/>
    <x v="66"/>
    <x v="77"/>
    <x v="79"/>
  </r>
  <r>
    <x v="9"/>
    <x v="1"/>
    <x v="79"/>
    <x v="67"/>
    <x v="78"/>
    <x v="80"/>
  </r>
  <r>
    <x v="10"/>
    <x v="1"/>
    <x v="80"/>
    <x v="59"/>
    <x v="79"/>
    <x v="81"/>
  </r>
  <r>
    <x v="10"/>
    <x v="1"/>
    <x v="81"/>
    <x v="68"/>
    <x v="80"/>
    <x v="82"/>
  </r>
  <r>
    <x v="10"/>
    <x v="2"/>
    <x v="82"/>
    <x v="45"/>
    <x v="81"/>
    <x v="83"/>
  </r>
  <r>
    <x v="10"/>
    <x v="3"/>
    <x v="83"/>
    <x v="69"/>
    <x v="82"/>
    <x v="84"/>
  </r>
  <r>
    <x v="10"/>
    <x v="1"/>
    <x v="84"/>
    <x v="70"/>
    <x v="56"/>
    <x v="85"/>
  </r>
  <r>
    <x v="10"/>
    <x v="0"/>
    <x v="85"/>
    <x v="21"/>
    <x v="83"/>
    <x v="86"/>
  </r>
  <r>
    <x v="10"/>
    <x v="1"/>
    <x v="86"/>
    <x v="71"/>
    <x v="84"/>
    <x v="87"/>
  </r>
  <r>
    <x v="10"/>
    <x v="3"/>
    <x v="87"/>
    <x v="72"/>
    <x v="85"/>
    <x v="88"/>
  </r>
  <r>
    <x v="10"/>
    <x v="2"/>
    <x v="88"/>
    <x v="73"/>
    <x v="86"/>
    <x v="89"/>
  </r>
  <r>
    <x v="10"/>
    <x v="4"/>
    <x v="89"/>
    <x v="74"/>
    <x v="87"/>
    <x v="90"/>
  </r>
  <r>
    <x v="10"/>
    <x v="7"/>
    <x v="90"/>
    <x v="75"/>
    <x v="88"/>
    <x v="91"/>
  </r>
  <r>
    <x v="10"/>
    <x v="1"/>
    <x v="91"/>
    <x v="76"/>
    <x v="89"/>
    <x v="92"/>
  </r>
  <r>
    <x v="10"/>
    <x v="3"/>
    <x v="92"/>
    <x v="77"/>
    <x v="90"/>
    <x v="93"/>
  </r>
  <r>
    <x v="10"/>
    <x v="1"/>
    <x v="93"/>
    <x v="78"/>
    <x v="91"/>
    <x v="94"/>
  </r>
  <r>
    <x v="10"/>
    <x v="1"/>
    <x v="94"/>
    <x v="12"/>
    <x v="92"/>
    <x v="95"/>
  </r>
  <r>
    <x v="10"/>
    <x v="8"/>
    <x v="95"/>
    <x v="68"/>
    <x v="93"/>
    <x v="96"/>
  </r>
  <r>
    <x v="10"/>
    <x v="1"/>
    <x v="96"/>
    <x v="79"/>
    <x v="94"/>
    <x v="97"/>
  </r>
  <r>
    <x v="10"/>
    <x v="3"/>
    <x v="97"/>
    <x v="73"/>
    <x v="95"/>
    <x v="98"/>
  </r>
  <r>
    <x v="10"/>
    <x v="0"/>
    <x v="98"/>
    <x v="80"/>
    <x v="96"/>
    <x v="99"/>
  </r>
  <r>
    <x v="10"/>
    <x v="1"/>
    <x v="99"/>
    <x v="81"/>
    <x v="48"/>
    <x v="100"/>
  </r>
  <r>
    <x v="10"/>
    <x v="3"/>
    <x v="100"/>
    <x v="82"/>
    <x v="97"/>
    <x v="101"/>
  </r>
  <r>
    <x v="10"/>
    <x v="3"/>
    <x v="101"/>
    <x v="83"/>
    <x v="62"/>
    <x v="102"/>
  </r>
  <r>
    <x v="10"/>
    <x v="1"/>
    <x v="102"/>
    <x v="84"/>
    <x v="98"/>
    <x v="103"/>
  </r>
  <r>
    <x v="10"/>
    <x v="1"/>
    <x v="103"/>
    <x v="85"/>
    <x v="99"/>
    <x v="104"/>
  </r>
  <r>
    <x v="10"/>
    <x v="3"/>
    <x v="104"/>
    <x v="62"/>
    <x v="100"/>
    <x v="105"/>
  </r>
  <r>
    <x v="10"/>
    <x v="1"/>
    <x v="105"/>
    <x v="86"/>
    <x v="33"/>
    <x v="106"/>
  </r>
  <r>
    <x v="10"/>
    <x v="5"/>
    <x v="106"/>
    <x v="87"/>
    <x v="101"/>
    <x v="107"/>
  </r>
  <r>
    <x v="10"/>
    <x v="1"/>
    <x v="107"/>
    <x v="88"/>
    <x v="96"/>
    <x v="108"/>
  </r>
  <r>
    <x v="10"/>
    <x v="1"/>
    <x v="108"/>
    <x v="23"/>
    <x v="102"/>
    <x v="109"/>
  </r>
  <r>
    <x v="11"/>
    <x v="2"/>
    <x v="109"/>
    <x v="89"/>
    <x v="103"/>
    <x v="110"/>
  </r>
  <r>
    <x v="11"/>
    <x v="1"/>
    <x v="110"/>
    <x v="15"/>
    <x v="104"/>
    <x v="111"/>
  </r>
  <r>
    <x v="11"/>
    <x v="1"/>
    <x v="111"/>
    <x v="90"/>
    <x v="105"/>
    <x v="112"/>
  </r>
  <r>
    <x v="11"/>
    <x v="2"/>
    <x v="112"/>
    <x v="45"/>
    <x v="106"/>
    <x v="113"/>
  </r>
  <r>
    <x v="11"/>
    <x v="1"/>
    <x v="113"/>
    <x v="91"/>
    <x v="107"/>
    <x v="114"/>
  </r>
  <r>
    <x v="11"/>
    <x v="2"/>
    <x v="114"/>
    <x v="92"/>
    <x v="108"/>
    <x v="115"/>
  </r>
  <r>
    <x v="11"/>
    <x v="8"/>
    <x v="115"/>
    <x v="93"/>
    <x v="109"/>
    <x v="116"/>
  </r>
  <r>
    <x v="11"/>
    <x v="1"/>
    <x v="116"/>
    <x v="26"/>
    <x v="110"/>
    <x v="117"/>
  </r>
  <r>
    <x v="11"/>
    <x v="3"/>
    <x v="117"/>
    <x v="94"/>
    <x v="111"/>
    <x v="118"/>
  </r>
  <r>
    <x v="11"/>
    <x v="1"/>
    <x v="118"/>
    <x v="95"/>
    <x v="112"/>
    <x v="119"/>
  </r>
  <r>
    <x v="11"/>
    <x v="2"/>
    <x v="119"/>
    <x v="96"/>
    <x v="23"/>
    <x v="120"/>
  </r>
  <r>
    <x v="11"/>
    <x v="1"/>
    <x v="120"/>
    <x v="97"/>
    <x v="113"/>
    <x v="121"/>
  </r>
  <r>
    <x v="11"/>
    <x v="3"/>
    <x v="121"/>
    <x v="98"/>
    <x v="114"/>
    <x v="122"/>
  </r>
  <r>
    <x v="11"/>
    <x v="2"/>
    <x v="122"/>
    <x v="99"/>
    <x v="115"/>
    <x v="123"/>
  </r>
  <r>
    <x v="11"/>
    <x v="3"/>
    <x v="123"/>
    <x v="100"/>
    <x v="116"/>
    <x v="124"/>
  </r>
  <r>
    <x v="11"/>
    <x v="0"/>
    <x v="124"/>
    <x v="101"/>
    <x v="117"/>
    <x v="125"/>
  </r>
  <r>
    <x v="11"/>
    <x v="2"/>
    <x v="125"/>
    <x v="102"/>
    <x v="118"/>
    <x v="126"/>
  </r>
  <r>
    <x v="11"/>
    <x v="1"/>
    <x v="126"/>
    <x v="97"/>
    <x v="119"/>
    <x v="127"/>
  </r>
  <r>
    <x v="11"/>
    <x v="8"/>
    <x v="127"/>
    <x v="59"/>
    <x v="120"/>
    <x v="128"/>
  </r>
  <r>
    <x v="11"/>
    <x v="1"/>
    <x v="128"/>
    <x v="5"/>
    <x v="121"/>
    <x v="129"/>
  </r>
  <r>
    <x v="11"/>
    <x v="1"/>
    <x v="129"/>
    <x v="103"/>
    <x v="122"/>
    <x v="130"/>
  </r>
  <r>
    <x v="11"/>
    <x v="8"/>
    <x v="130"/>
    <x v="104"/>
    <x v="123"/>
    <x v="131"/>
  </r>
  <r>
    <x v="11"/>
    <x v="1"/>
    <x v="131"/>
    <x v="105"/>
    <x v="124"/>
    <x v="132"/>
  </r>
  <r>
    <x v="11"/>
    <x v="4"/>
    <x v="132"/>
    <x v="106"/>
    <x v="63"/>
    <x v="133"/>
  </r>
  <r>
    <x v="11"/>
    <x v="3"/>
    <x v="133"/>
    <x v="107"/>
    <x v="116"/>
    <x v="134"/>
  </r>
  <r>
    <x v="11"/>
    <x v="1"/>
    <x v="134"/>
    <x v="4"/>
    <x v="125"/>
    <x v="135"/>
  </r>
  <r>
    <x v="11"/>
    <x v="7"/>
    <x v="135"/>
    <x v="108"/>
    <x v="126"/>
    <x v="136"/>
  </r>
  <r>
    <x v="11"/>
    <x v="8"/>
    <x v="136"/>
    <x v="109"/>
    <x v="127"/>
    <x v="137"/>
  </r>
  <r>
    <x v="11"/>
    <x v="3"/>
    <x v="137"/>
    <x v="19"/>
    <x v="128"/>
    <x v="138"/>
  </r>
  <r>
    <x v="11"/>
    <x v="1"/>
    <x v="138"/>
    <x v="110"/>
    <x v="129"/>
    <x v="139"/>
  </r>
  <r>
    <x v="11"/>
    <x v="1"/>
    <x v="139"/>
    <x v="111"/>
    <x v="130"/>
    <x v="140"/>
  </r>
  <r>
    <x v="11"/>
    <x v="1"/>
    <x v="140"/>
    <x v="112"/>
    <x v="131"/>
    <x v="141"/>
  </r>
  <r>
    <x v="11"/>
    <x v="1"/>
    <x v="141"/>
    <x v="113"/>
    <x v="132"/>
    <x v="142"/>
  </r>
  <r>
    <x v="12"/>
    <x v="8"/>
    <x v="142"/>
    <x v="47"/>
    <x v="133"/>
    <x v="143"/>
  </r>
  <r>
    <x v="12"/>
    <x v="1"/>
    <x v="143"/>
    <x v="15"/>
    <x v="134"/>
    <x v="144"/>
  </r>
  <r>
    <x v="12"/>
    <x v="1"/>
    <x v="144"/>
    <x v="114"/>
    <x v="135"/>
    <x v="145"/>
  </r>
  <r>
    <x v="13"/>
    <x v="0"/>
    <x v="145"/>
    <x v="115"/>
    <x v="136"/>
    <x v="146"/>
  </r>
  <r>
    <x v="13"/>
    <x v="2"/>
    <x v="146"/>
    <x v="116"/>
    <x v="22"/>
    <x v="147"/>
  </r>
  <r>
    <x v="13"/>
    <x v="7"/>
    <x v="147"/>
    <x v="117"/>
    <x v="137"/>
    <x v="148"/>
  </r>
  <r>
    <x v="13"/>
    <x v="7"/>
    <x v="148"/>
    <x v="59"/>
    <x v="138"/>
    <x v="149"/>
  </r>
  <r>
    <x v="13"/>
    <x v="2"/>
    <x v="149"/>
    <x v="118"/>
    <x v="139"/>
    <x v="150"/>
  </r>
  <r>
    <x v="13"/>
    <x v="0"/>
    <x v="150"/>
    <x v="32"/>
    <x v="140"/>
    <x v="151"/>
  </r>
  <r>
    <x v="13"/>
    <x v="7"/>
    <x v="40"/>
    <x v="119"/>
    <x v="141"/>
    <x v="152"/>
  </r>
  <r>
    <x v="13"/>
    <x v="7"/>
    <x v="151"/>
    <x v="62"/>
    <x v="63"/>
    <x v="153"/>
  </r>
  <r>
    <x v="14"/>
    <x v="7"/>
    <x v="152"/>
    <x v="120"/>
    <x v="14"/>
    <x v="154"/>
  </r>
  <r>
    <x v="14"/>
    <x v="3"/>
    <x v="56"/>
    <x v="7"/>
    <x v="60"/>
    <x v="155"/>
  </r>
  <r>
    <x v="14"/>
    <x v="7"/>
    <x v="79"/>
    <x v="121"/>
    <x v="142"/>
    <x v="156"/>
  </r>
  <r>
    <x v="14"/>
    <x v="7"/>
    <x v="153"/>
    <x v="122"/>
    <x v="48"/>
    <x v="157"/>
  </r>
  <r>
    <x v="14"/>
    <x v="7"/>
    <x v="154"/>
    <x v="123"/>
    <x v="143"/>
    <x v="158"/>
  </r>
  <r>
    <x v="14"/>
    <x v="0"/>
    <x v="155"/>
    <x v="4"/>
    <x v="144"/>
    <x v="159"/>
  </r>
  <r>
    <x v="14"/>
    <x v="7"/>
    <x v="156"/>
    <x v="124"/>
    <x v="145"/>
    <x v="160"/>
  </r>
  <r>
    <x v="14"/>
    <x v="8"/>
    <x v="157"/>
    <x v="55"/>
    <x v="146"/>
    <x v="161"/>
  </r>
  <r>
    <x v="14"/>
    <x v="8"/>
    <x v="158"/>
    <x v="125"/>
    <x v="147"/>
    <x v="162"/>
  </r>
  <r>
    <x v="14"/>
    <x v="0"/>
    <x v="159"/>
    <x v="126"/>
    <x v="43"/>
    <x v="163"/>
  </r>
  <r>
    <x v="14"/>
    <x v="8"/>
    <x v="160"/>
    <x v="127"/>
    <x v="128"/>
    <x v="164"/>
  </r>
  <r>
    <x v="14"/>
    <x v="1"/>
    <x v="161"/>
    <x v="12"/>
    <x v="148"/>
    <x v="165"/>
  </r>
  <r>
    <x v="15"/>
    <x v="7"/>
    <x v="162"/>
    <x v="128"/>
    <x v="149"/>
    <x v="166"/>
  </r>
  <r>
    <x v="15"/>
    <x v="1"/>
    <x v="3"/>
    <x v="62"/>
    <x v="116"/>
    <x v="167"/>
  </r>
  <r>
    <x v="15"/>
    <x v="0"/>
    <x v="163"/>
    <x v="129"/>
    <x v="150"/>
    <x v="168"/>
  </r>
  <r>
    <x v="15"/>
    <x v="1"/>
    <x v="164"/>
    <x v="130"/>
    <x v="151"/>
    <x v="169"/>
  </r>
  <r>
    <x v="16"/>
    <x v="9"/>
    <x v="165"/>
    <x v="97"/>
    <x v="152"/>
    <x v="170"/>
  </r>
  <r>
    <x v="16"/>
    <x v="10"/>
    <x v="166"/>
    <x v="131"/>
    <x v="153"/>
    <x v="171"/>
  </r>
  <r>
    <x v="16"/>
    <x v="11"/>
    <x v="167"/>
    <x v="132"/>
    <x v="115"/>
    <x v="172"/>
  </r>
  <r>
    <x v="16"/>
    <x v="11"/>
    <x v="168"/>
    <x v="133"/>
    <x v="154"/>
    <x v="173"/>
  </r>
  <r>
    <x v="16"/>
    <x v="12"/>
    <x v="169"/>
    <x v="103"/>
    <x v="155"/>
    <x v="174"/>
  </r>
  <r>
    <x v="16"/>
    <x v="13"/>
    <x v="170"/>
    <x v="134"/>
    <x v="156"/>
    <x v="175"/>
  </r>
  <r>
    <x v="16"/>
    <x v="11"/>
    <x v="171"/>
    <x v="105"/>
    <x v="4"/>
    <x v="176"/>
  </r>
  <r>
    <x v="16"/>
    <x v="14"/>
    <x v="172"/>
    <x v="103"/>
    <x v="58"/>
    <x v="177"/>
  </r>
  <r>
    <x v="16"/>
    <x v="12"/>
    <x v="173"/>
    <x v="135"/>
    <x v="157"/>
    <x v="178"/>
  </r>
  <r>
    <x v="16"/>
    <x v="15"/>
    <x v="174"/>
    <x v="109"/>
    <x v="158"/>
    <x v="179"/>
  </r>
  <r>
    <x v="16"/>
    <x v="16"/>
    <x v="162"/>
    <x v="47"/>
    <x v="159"/>
    <x v="180"/>
  </r>
  <r>
    <x v="16"/>
    <x v="12"/>
    <x v="175"/>
    <x v="136"/>
    <x v="160"/>
    <x v="181"/>
  </r>
  <r>
    <x v="16"/>
    <x v="14"/>
    <x v="176"/>
    <x v="111"/>
    <x v="79"/>
    <x v="182"/>
  </r>
  <r>
    <x v="16"/>
    <x v="10"/>
    <x v="177"/>
    <x v="137"/>
    <x v="39"/>
    <x v="183"/>
  </r>
  <r>
    <x v="16"/>
    <x v="12"/>
    <x v="178"/>
    <x v="138"/>
    <x v="161"/>
    <x v="184"/>
  </r>
  <r>
    <x v="16"/>
    <x v="17"/>
    <x v="179"/>
    <x v="103"/>
    <x v="162"/>
    <x v="185"/>
  </r>
  <r>
    <x v="16"/>
    <x v="11"/>
    <x v="180"/>
    <x v="139"/>
    <x v="163"/>
    <x v="186"/>
  </r>
  <r>
    <x v="16"/>
    <x v="12"/>
    <x v="181"/>
    <x v="140"/>
    <x v="164"/>
    <x v="187"/>
  </r>
  <r>
    <x v="16"/>
    <x v="11"/>
    <x v="182"/>
    <x v="93"/>
    <x v="40"/>
    <x v="188"/>
  </r>
  <r>
    <x v="16"/>
    <x v="10"/>
    <x v="183"/>
    <x v="103"/>
    <x v="165"/>
    <x v="189"/>
  </r>
  <r>
    <x v="16"/>
    <x v="18"/>
    <x v="167"/>
    <x v="141"/>
    <x v="166"/>
    <x v="190"/>
  </r>
  <r>
    <x v="16"/>
    <x v="13"/>
    <x v="184"/>
    <x v="12"/>
    <x v="167"/>
    <x v="191"/>
  </r>
  <r>
    <x v="16"/>
    <x v="11"/>
    <x v="185"/>
    <x v="142"/>
    <x v="168"/>
    <x v="192"/>
  </r>
  <r>
    <x v="16"/>
    <x v="12"/>
    <x v="186"/>
    <x v="143"/>
    <x v="169"/>
    <x v="193"/>
  </r>
  <r>
    <x v="16"/>
    <x v="19"/>
    <x v="187"/>
    <x v="4"/>
    <x v="170"/>
    <x v="194"/>
  </r>
  <r>
    <x v="16"/>
    <x v="20"/>
    <x v="188"/>
    <x v="142"/>
    <x v="171"/>
    <x v="195"/>
  </r>
  <r>
    <x v="16"/>
    <x v="11"/>
    <x v="167"/>
    <x v="97"/>
    <x v="172"/>
    <x v="196"/>
  </r>
  <r>
    <x v="16"/>
    <x v="15"/>
    <x v="189"/>
    <x v="3"/>
    <x v="173"/>
    <x v="197"/>
  </r>
  <r>
    <x v="16"/>
    <x v="17"/>
    <x v="190"/>
    <x v="144"/>
    <x v="128"/>
    <x v="198"/>
  </r>
  <r>
    <x v="16"/>
    <x v="11"/>
    <x v="191"/>
    <x v="140"/>
    <x v="174"/>
    <x v="199"/>
  </r>
  <r>
    <x v="16"/>
    <x v="12"/>
    <x v="192"/>
    <x v="78"/>
    <x v="175"/>
    <x v="200"/>
  </r>
  <r>
    <x v="16"/>
    <x v="12"/>
    <x v="193"/>
    <x v="145"/>
    <x v="176"/>
    <x v="201"/>
  </r>
  <r>
    <x v="16"/>
    <x v="11"/>
    <x v="194"/>
    <x v="146"/>
    <x v="177"/>
    <x v="202"/>
  </r>
  <r>
    <x v="16"/>
    <x v="12"/>
    <x v="195"/>
    <x v="147"/>
    <x v="178"/>
    <x v="203"/>
  </r>
  <r>
    <x v="16"/>
    <x v="11"/>
    <x v="196"/>
    <x v="134"/>
    <x v="179"/>
    <x v="204"/>
  </r>
  <r>
    <x v="16"/>
    <x v="11"/>
    <x v="171"/>
    <x v="148"/>
    <x v="180"/>
    <x v="205"/>
  </r>
  <r>
    <x v="16"/>
    <x v="17"/>
    <x v="197"/>
    <x v="138"/>
    <x v="181"/>
    <x v="206"/>
  </r>
  <r>
    <x v="16"/>
    <x v="12"/>
    <x v="198"/>
    <x v="103"/>
    <x v="182"/>
    <x v="207"/>
  </r>
  <r>
    <x v="16"/>
    <x v="13"/>
    <x v="199"/>
    <x v="148"/>
    <x v="183"/>
    <x v="208"/>
  </r>
  <r>
    <x v="16"/>
    <x v="12"/>
    <x v="183"/>
    <x v="149"/>
    <x v="156"/>
    <x v="209"/>
  </r>
  <r>
    <x v="16"/>
    <x v="11"/>
    <x v="13"/>
    <x v="150"/>
    <x v="167"/>
    <x v="210"/>
  </r>
  <r>
    <x v="16"/>
    <x v="11"/>
    <x v="178"/>
    <x v="74"/>
    <x v="184"/>
    <x v="211"/>
  </r>
  <r>
    <x v="16"/>
    <x v="11"/>
    <x v="198"/>
    <x v="45"/>
    <x v="147"/>
    <x v="212"/>
  </r>
  <r>
    <x v="16"/>
    <x v="11"/>
    <x v="200"/>
    <x v="47"/>
    <x v="24"/>
    <x v="213"/>
  </r>
  <r>
    <x v="16"/>
    <x v="11"/>
    <x v="201"/>
    <x v="151"/>
    <x v="67"/>
    <x v="214"/>
  </r>
  <r>
    <x v="16"/>
    <x v="13"/>
    <x v="202"/>
    <x v="47"/>
    <x v="4"/>
    <x v="215"/>
  </r>
  <r>
    <x v="16"/>
    <x v="12"/>
    <x v="195"/>
    <x v="143"/>
    <x v="185"/>
    <x v="216"/>
  </r>
  <r>
    <x v="16"/>
    <x v="11"/>
    <x v="203"/>
    <x v="152"/>
    <x v="186"/>
    <x v="217"/>
  </r>
  <r>
    <x v="16"/>
    <x v="12"/>
    <x v="204"/>
    <x v="153"/>
    <x v="165"/>
    <x v="218"/>
  </r>
  <r>
    <x v="16"/>
    <x v="21"/>
    <x v="186"/>
    <x v="154"/>
    <x v="187"/>
    <x v="219"/>
  </r>
  <r>
    <x v="16"/>
    <x v="21"/>
    <x v="205"/>
    <x v="105"/>
    <x v="188"/>
    <x v="220"/>
  </r>
  <r>
    <x v="16"/>
    <x v="13"/>
    <x v="206"/>
    <x v="142"/>
    <x v="189"/>
    <x v="221"/>
  </r>
  <r>
    <x v="16"/>
    <x v="12"/>
    <x v="183"/>
    <x v="148"/>
    <x v="190"/>
    <x v="222"/>
  </r>
  <r>
    <x v="16"/>
    <x v="13"/>
    <x v="40"/>
    <x v="155"/>
    <x v="191"/>
    <x v="223"/>
  </r>
  <r>
    <x v="16"/>
    <x v="11"/>
    <x v="207"/>
    <x v="3"/>
    <x v="192"/>
    <x v="224"/>
  </r>
  <r>
    <x v="16"/>
    <x v="11"/>
    <x v="208"/>
    <x v="156"/>
    <x v="154"/>
    <x v="225"/>
  </r>
  <r>
    <x v="16"/>
    <x v="22"/>
    <x v="209"/>
    <x v="142"/>
    <x v="39"/>
    <x v="226"/>
  </r>
  <r>
    <x v="16"/>
    <x v="11"/>
    <x v="210"/>
    <x v="103"/>
    <x v="193"/>
    <x v="227"/>
  </r>
  <r>
    <x v="16"/>
    <x v="11"/>
    <x v="211"/>
    <x v="15"/>
    <x v="194"/>
    <x v="228"/>
  </r>
  <r>
    <x v="16"/>
    <x v="11"/>
    <x v="212"/>
    <x v="157"/>
    <x v="195"/>
    <x v="229"/>
  </r>
  <r>
    <x v="16"/>
    <x v="12"/>
    <x v="213"/>
    <x v="134"/>
    <x v="196"/>
    <x v="230"/>
  </r>
  <r>
    <x v="16"/>
    <x v="13"/>
    <x v="214"/>
    <x v="15"/>
    <x v="197"/>
    <x v="231"/>
  </r>
  <r>
    <x v="16"/>
    <x v="13"/>
    <x v="215"/>
    <x v="158"/>
    <x v="198"/>
    <x v="232"/>
  </r>
  <r>
    <x v="16"/>
    <x v="22"/>
    <x v="216"/>
    <x v="47"/>
    <x v="67"/>
    <x v="233"/>
  </r>
  <r>
    <x v="16"/>
    <x v="10"/>
    <x v="217"/>
    <x v="159"/>
    <x v="199"/>
    <x v="234"/>
  </r>
  <r>
    <x v="16"/>
    <x v="12"/>
    <x v="7"/>
    <x v="97"/>
    <x v="200"/>
    <x v="235"/>
  </r>
  <r>
    <x v="16"/>
    <x v="14"/>
    <x v="178"/>
    <x v="160"/>
    <x v="201"/>
    <x v="236"/>
  </r>
  <r>
    <x v="16"/>
    <x v="13"/>
    <x v="175"/>
    <x v="140"/>
    <x v="202"/>
    <x v="237"/>
  </r>
  <r>
    <x v="16"/>
    <x v="10"/>
    <x v="218"/>
    <x v="161"/>
    <x v="203"/>
    <x v="238"/>
  </r>
  <r>
    <x v="16"/>
    <x v="11"/>
    <x v="219"/>
    <x v="162"/>
    <x v="204"/>
    <x v="239"/>
  </r>
  <r>
    <x v="16"/>
    <x v="17"/>
    <x v="220"/>
    <x v="15"/>
    <x v="51"/>
    <x v="240"/>
  </r>
  <r>
    <x v="16"/>
    <x v="17"/>
    <x v="221"/>
    <x v="47"/>
    <x v="205"/>
    <x v="241"/>
  </r>
  <r>
    <x v="16"/>
    <x v="11"/>
    <x v="222"/>
    <x v="15"/>
    <x v="95"/>
    <x v="242"/>
  </r>
  <r>
    <x v="16"/>
    <x v="12"/>
    <x v="186"/>
    <x v="163"/>
    <x v="206"/>
    <x v="243"/>
  </r>
  <r>
    <x v="16"/>
    <x v="13"/>
    <x v="223"/>
    <x v="158"/>
    <x v="207"/>
    <x v="244"/>
  </r>
  <r>
    <x v="16"/>
    <x v="11"/>
    <x v="224"/>
    <x v="47"/>
    <x v="128"/>
    <x v="245"/>
  </r>
  <r>
    <x v="16"/>
    <x v="11"/>
    <x v="209"/>
    <x v="134"/>
    <x v="208"/>
    <x v="246"/>
  </r>
  <r>
    <x v="16"/>
    <x v="10"/>
    <x v="225"/>
    <x v="160"/>
    <x v="200"/>
    <x v="247"/>
  </r>
  <r>
    <x v="16"/>
    <x v="11"/>
    <x v="188"/>
    <x v="146"/>
    <x v="209"/>
    <x v="248"/>
  </r>
  <r>
    <x v="16"/>
    <x v="17"/>
    <x v="226"/>
    <x v="158"/>
    <x v="125"/>
    <x v="249"/>
  </r>
  <r>
    <x v="16"/>
    <x v="11"/>
    <x v="227"/>
    <x v="164"/>
    <x v="9"/>
    <x v="250"/>
  </r>
  <r>
    <x v="16"/>
    <x v="11"/>
    <x v="228"/>
    <x v="3"/>
    <x v="210"/>
    <x v="251"/>
  </r>
  <r>
    <x v="16"/>
    <x v="13"/>
    <x v="229"/>
    <x v="12"/>
    <x v="211"/>
    <x v="252"/>
  </r>
  <r>
    <x v="16"/>
    <x v="11"/>
    <x v="230"/>
    <x v="43"/>
    <x v="182"/>
    <x v="253"/>
  </r>
  <r>
    <x v="16"/>
    <x v="13"/>
    <x v="178"/>
    <x v="162"/>
    <x v="83"/>
    <x v="254"/>
  </r>
  <r>
    <x v="16"/>
    <x v="11"/>
    <x v="231"/>
    <x v="26"/>
    <x v="212"/>
    <x v="255"/>
  </r>
  <r>
    <x v="16"/>
    <x v="12"/>
    <x v="183"/>
    <x v="165"/>
    <x v="213"/>
    <x v="256"/>
  </r>
  <r>
    <x v="16"/>
    <x v="17"/>
    <x v="232"/>
    <x v="111"/>
    <x v="214"/>
    <x v="257"/>
  </r>
  <r>
    <x v="16"/>
    <x v="21"/>
    <x v="233"/>
    <x v="153"/>
    <x v="215"/>
    <x v="258"/>
  </r>
  <r>
    <x v="16"/>
    <x v="11"/>
    <x v="234"/>
    <x v="166"/>
    <x v="216"/>
    <x v="259"/>
  </r>
  <r>
    <x v="16"/>
    <x v="11"/>
    <x v="235"/>
    <x v="47"/>
    <x v="217"/>
    <x v="260"/>
  </r>
  <r>
    <x v="16"/>
    <x v="23"/>
    <x v="236"/>
    <x v="47"/>
    <x v="206"/>
    <x v="261"/>
  </r>
  <r>
    <x v="16"/>
    <x v="11"/>
    <x v="237"/>
    <x v="140"/>
    <x v="56"/>
    <x v="262"/>
  </r>
  <r>
    <x v="16"/>
    <x v="17"/>
    <x v="238"/>
    <x v="167"/>
    <x v="218"/>
    <x v="263"/>
  </r>
  <r>
    <x v="16"/>
    <x v="13"/>
    <x v="239"/>
    <x v="12"/>
    <x v="102"/>
    <x v="264"/>
  </r>
  <r>
    <x v="16"/>
    <x v="17"/>
    <x v="204"/>
    <x v="140"/>
    <x v="219"/>
    <x v="265"/>
  </r>
  <r>
    <x v="16"/>
    <x v="17"/>
    <x v="240"/>
    <x v="140"/>
    <x v="186"/>
    <x v="266"/>
  </r>
  <r>
    <x v="16"/>
    <x v="23"/>
    <x v="241"/>
    <x v="168"/>
    <x v="63"/>
    <x v="267"/>
  </r>
  <r>
    <x v="16"/>
    <x v="11"/>
    <x v="176"/>
    <x v="105"/>
    <x v="199"/>
    <x v="268"/>
  </r>
  <r>
    <x v="16"/>
    <x v="13"/>
    <x v="242"/>
    <x v="3"/>
    <x v="220"/>
    <x v="269"/>
  </r>
  <r>
    <x v="16"/>
    <x v="12"/>
    <x v="243"/>
    <x v="169"/>
    <x v="221"/>
    <x v="270"/>
  </r>
  <r>
    <x v="16"/>
    <x v="12"/>
    <x v="244"/>
    <x v="170"/>
    <x v="222"/>
    <x v="271"/>
  </r>
  <r>
    <x v="16"/>
    <x v="11"/>
    <x v="245"/>
    <x v="171"/>
    <x v="223"/>
    <x v="272"/>
  </r>
  <r>
    <x v="16"/>
    <x v="11"/>
    <x v="246"/>
    <x v="95"/>
    <x v="224"/>
    <x v="273"/>
  </r>
  <r>
    <x v="16"/>
    <x v="12"/>
    <x v="166"/>
    <x v="161"/>
    <x v="225"/>
    <x v="274"/>
  </r>
  <r>
    <x v="16"/>
    <x v="11"/>
    <x v="190"/>
    <x v="103"/>
    <x v="103"/>
    <x v="275"/>
  </r>
  <r>
    <x v="16"/>
    <x v="11"/>
    <x v="247"/>
    <x v="134"/>
    <x v="226"/>
    <x v="276"/>
  </r>
  <r>
    <x v="16"/>
    <x v="10"/>
    <x v="7"/>
    <x v="172"/>
    <x v="227"/>
    <x v="277"/>
  </r>
  <r>
    <x v="16"/>
    <x v="24"/>
    <x v="248"/>
    <x v="47"/>
    <x v="24"/>
    <x v="278"/>
  </r>
  <r>
    <x v="16"/>
    <x v="11"/>
    <x v="156"/>
    <x v="154"/>
    <x v="228"/>
    <x v="279"/>
  </r>
  <r>
    <x v="16"/>
    <x v="11"/>
    <x v="249"/>
    <x v="131"/>
    <x v="229"/>
    <x v="280"/>
  </r>
  <r>
    <x v="16"/>
    <x v="11"/>
    <x v="178"/>
    <x v="173"/>
    <x v="74"/>
    <x v="281"/>
  </r>
  <r>
    <x v="16"/>
    <x v="11"/>
    <x v="250"/>
    <x v="134"/>
    <x v="230"/>
    <x v="282"/>
  </r>
  <r>
    <x v="16"/>
    <x v="20"/>
    <x v="183"/>
    <x v="109"/>
    <x v="95"/>
    <x v="283"/>
  </r>
  <r>
    <x v="16"/>
    <x v="12"/>
    <x v="251"/>
    <x v="103"/>
    <x v="11"/>
    <x v="284"/>
  </r>
  <r>
    <x v="16"/>
    <x v="11"/>
    <x v="252"/>
    <x v="171"/>
    <x v="231"/>
    <x v="285"/>
  </r>
  <r>
    <x v="16"/>
    <x v="11"/>
    <x v="253"/>
    <x v="45"/>
    <x v="232"/>
    <x v="286"/>
  </r>
  <r>
    <x v="16"/>
    <x v="23"/>
    <x v="242"/>
    <x v="148"/>
    <x v="233"/>
    <x v="287"/>
  </r>
  <r>
    <x v="16"/>
    <x v="11"/>
    <x v="224"/>
    <x v="142"/>
    <x v="234"/>
    <x v="288"/>
  </r>
  <r>
    <x v="16"/>
    <x v="11"/>
    <x v="254"/>
    <x v="166"/>
    <x v="235"/>
    <x v="289"/>
  </r>
  <r>
    <x v="16"/>
    <x v="13"/>
    <x v="255"/>
    <x v="168"/>
    <x v="236"/>
    <x v="290"/>
  </r>
  <r>
    <x v="16"/>
    <x v="13"/>
    <x v="256"/>
    <x v="150"/>
    <x v="237"/>
    <x v="291"/>
  </r>
  <r>
    <x v="16"/>
    <x v="11"/>
    <x v="20"/>
    <x v="152"/>
    <x v="230"/>
    <x v="292"/>
  </r>
  <r>
    <x v="16"/>
    <x v="11"/>
    <x v="257"/>
    <x v="47"/>
    <x v="238"/>
    <x v="293"/>
  </r>
  <r>
    <x v="16"/>
    <x v="11"/>
    <x v="258"/>
    <x v="105"/>
    <x v="239"/>
    <x v="294"/>
  </r>
  <r>
    <x v="16"/>
    <x v="13"/>
    <x v="259"/>
    <x v="142"/>
    <x v="122"/>
    <x v="295"/>
  </r>
  <r>
    <x v="16"/>
    <x v="11"/>
    <x v="113"/>
    <x v="162"/>
    <x v="240"/>
    <x v="296"/>
  </r>
  <r>
    <x v="16"/>
    <x v="11"/>
    <x v="198"/>
    <x v="140"/>
    <x v="241"/>
    <x v="297"/>
  </r>
  <r>
    <x v="16"/>
    <x v="11"/>
    <x v="260"/>
    <x v="74"/>
    <x v="219"/>
    <x v="298"/>
  </r>
  <r>
    <x v="16"/>
    <x v="13"/>
    <x v="261"/>
    <x v="168"/>
    <x v="242"/>
    <x v="299"/>
  </r>
  <r>
    <x v="16"/>
    <x v="21"/>
    <x v="13"/>
    <x v="156"/>
    <x v="243"/>
    <x v="300"/>
  </r>
  <r>
    <x v="16"/>
    <x v="12"/>
    <x v="20"/>
    <x v="153"/>
    <x v="244"/>
    <x v="301"/>
  </r>
  <r>
    <x v="16"/>
    <x v="11"/>
    <x v="262"/>
    <x v="103"/>
    <x v="240"/>
    <x v="302"/>
  </r>
  <r>
    <x v="16"/>
    <x v="22"/>
    <x v="226"/>
    <x v="103"/>
    <x v="245"/>
    <x v="303"/>
  </r>
  <r>
    <x v="16"/>
    <x v="13"/>
    <x v="166"/>
    <x v="134"/>
    <x v="246"/>
    <x v="304"/>
  </r>
  <r>
    <x v="16"/>
    <x v="11"/>
    <x v="206"/>
    <x v="103"/>
    <x v="221"/>
    <x v="305"/>
  </r>
  <r>
    <x v="16"/>
    <x v="11"/>
    <x v="7"/>
    <x v="156"/>
    <x v="22"/>
    <x v="306"/>
  </r>
  <r>
    <x v="16"/>
    <x v="11"/>
    <x v="183"/>
    <x v="171"/>
    <x v="247"/>
    <x v="307"/>
  </r>
  <r>
    <x v="16"/>
    <x v="11"/>
    <x v="263"/>
    <x v="154"/>
    <x v="131"/>
    <x v="308"/>
  </r>
  <r>
    <x v="16"/>
    <x v="21"/>
    <x v="13"/>
    <x v="105"/>
    <x v="248"/>
    <x v="309"/>
  </r>
  <r>
    <x v="16"/>
    <x v="11"/>
    <x v="209"/>
    <x v="97"/>
    <x v="249"/>
    <x v="310"/>
  </r>
  <r>
    <x v="16"/>
    <x v="13"/>
    <x v="264"/>
    <x v="151"/>
    <x v="144"/>
    <x v="311"/>
  </r>
  <r>
    <x v="16"/>
    <x v="11"/>
    <x v="265"/>
    <x v="131"/>
    <x v="125"/>
    <x v="312"/>
  </r>
  <r>
    <x v="16"/>
    <x v="10"/>
    <x v="195"/>
    <x v="174"/>
    <x v="70"/>
    <x v="313"/>
  </r>
  <r>
    <x v="16"/>
    <x v="21"/>
    <x v="266"/>
    <x v="103"/>
    <x v="250"/>
    <x v="314"/>
  </r>
  <r>
    <x v="16"/>
    <x v="15"/>
    <x v="267"/>
    <x v="143"/>
    <x v="76"/>
    <x v="315"/>
  </r>
  <r>
    <x v="16"/>
    <x v="13"/>
    <x v="268"/>
    <x v="47"/>
    <x v="251"/>
    <x v="316"/>
  </r>
  <r>
    <x v="16"/>
    <x v="11"/>
    <x v="258"/>
    <x v="3"/>
    <x v="252"/>
    <x v="317"/>
  </r>
  <r>
    <x v="16"/>
    <x v="15"/>
    <x v="172"/>
    <x v="161"/>
    <x v="26"/>
    <x v="318"/>
  </r>
  <r>
    <x v="16"/>
    <x v="21"/>
    <x v="269"/>
    <x v="142"/>
    <x v="33"/>
    <x v="319"/>
  </r>
  <r>
    <x v="16"/>
    <x v="11"/>
    <x v="178"/>
    <x v="145"/>
    <x v="253"/>
    <x v="320"/>
  </r>
  <r>
    <x v="16"/>
    <x v="13"/>
    <x v="270"/>
    <x v="105"/>
    <x v="66"/>
    <x v="321"/>
  </r>
  <r>
    <x v="16"/>
    <x v="11"/>
    <x v="271"/>
    <x v="175"/>
    <x v="2"/>
    <x v="322"/>
  </r>
  <r>
    <x v="16"/>
    <x v="21"/>
    <x v="183"/>
    <x v="143"/>
    <x v="254"/>
    <x v="323"/>
  </r>
  <r>
    <x v="16"/>
    <x v="11"/>
    <x v="270"/>
    <x v="105"/>
    <x v="255"/>
    <x v="324"/>
  </r>
  <r>
    <x v="16"/>
    <x v="17"/>
    <x v="223"/>
    <x v="168"/>
    <x v="256"/>
    <x v="325"/>
  </r>
  <r>
    <x v="16"/>
    <x v="11"/>
    <x v="176"/>
    <x v="140"/>
    <x v="257"/>
    <x v="326"/>
  </r>
  <r>
    <x v="16"/>
    <x v="18"/>
    <x v="272"/>
    <x v="103"/>
    <x v="258"/>
    <x v="327"/>
  </r>
  <r>
    <x v="16"/>
    <x v="11"/>
    <x v="273"/>
    <x v="74"/>
    <x v="169"/>
    <x v="328"/>
  </r>
  <r>
    <x v="16"/>
    <x v="25"/>
    <x v="274"/>
    <x v="138"/>
    <x v="259"/>
    <x v="329"/>
  </r>
  <r>
    <x v="16"/>
    <x v="13"/>
    <x v="275"/>
    <x v="176"/>
    <x v="260"/>
    <x v="330"/>
  </r>
  <r>
    <x v="16"/>
    <x v="12"/>
    <x v="178"/>
    <x v="177"/>
    <x v="261"/>
    <x v="331"/>
  </r>
  <r>
    <x v="16"/>
    <x v="13"/>
    <x v="276"/>
    <x v="111"/>
    <x v="132"/>
    <x v="332"/>
  </r>
  <r>
    <x v="16"/>
    <x v="11"/>
    <x v="216"/>
    <x v="142"/>
    <x v="237"/>
    <x v="333"/>
  </r>
  <r>
    <x v="16"/>
    <x v="13"/>
    <x v="203"/>
    <x v="144"/>
    <x v="262"/>
    <x v="334"/>
  </r>
  <r>
    <x v="16"/>
    <x v="11"/>
    <x v="64"/>
    <x v="47"/>
    <x v="263"/>
    <x v="335"/>
  </r>
  <r>
    <x v="16"/>
    <x v="26"/>
    <x v="273"/>
    <x v="150"/>
    <x v="264"/>
    <x v="336"/>
  </r>
  <r>
    <x v="16"/>
    <x v="11"/>
    <x v="277"/>
    <x v="138"/>
    <x v="216"/>
    <x v="337"/>
  </r>
  <r>
    <x v="16"/>
    <x v="11"/>
    <x v="229"/>
    <x v="162"/>
    <x v="265"/>
    <x v="338"/>
  </r>
  <r>
    <x v="16"/>
    <x v="13"/>
    <x v="278"/>
    <x v="105"/>
    <x v="266"/>
    <x v="339"/>
  </r>
  <r>
    <x v="16"/>
    <x v="11"/>
    <x v="279"/>
    <x v="178"/>
    <x v="267"/>
    <x v="340"/>
  </r>
  <r>
    <x v="16"/>
    <x v="24"/>
    <x v="178"/>
    <x v="142"/>
    <x v="268"/>
    <x v="341"/>
  </r>
  <r>
    <x v="16"/>
    <x v="11"/>
    <x v="109"/>
    <x v="179"/>
    <x v="269"/>
    <x v="342"/>
  </r>
  <r>
    <x v="16"/>
    <x v="11"/>
    <x v="280"/>
    <x v="134"/>
    <x v="235"/>
    <x v="343"/>
  </r>
  <r>
    <x v="16"/>
    <x v="13"/>
    <x v="281"/>
    <x v="50"/>
    <x v="270"/>
    <x v="344"/>
  </r>
  <r>
    <x v="16"/>
    <x v="13"/>
    <x v="261"/>
    <x v="103"/>
    <x v="95"/>
    <x v="345"/>
  </r>
  <r>
    <x v="16"/>
    <x v="11"/>
    <x v="17"/>
    <x v="171"/>
    <x v="164"/>
    <x v="346"/>
  </r>
  <r>
    <x v="16"/>
    <x v="23"/>
    <x v="282"/>
    <x v="111"/>
    <x v="47"/>
    <x v="347"/>
  </r>
  <r>
    <x v="16"/>
    <x v="11"/>
    <x v="283"/>
    <x v="111"/>
    <x v="271"/>
    <x v="348"/>
  </r>
  <r>
    <x v="16"/>
    <x v="11"/>
    <x v="284"/>
    <x v="47"/>
    <x v="272"/>
    <x v="349"/>
  </r>
  <r>
    <x v="16"/>
    <x v="11"/>
    <x v="285"/>
    <x v="144"/>
    <x v="273"/>
    <x v="350"/>
  </r>
  <r>
    <x v="16"/>
    <x v="13"/>
    <x v="156"/>
    <x v="47"/>
    <x v="228"/>
    <x v="351"/>
  </r>
  <r>
    <x v="16"/>
    <x v="25"/>
    <x v="286"/>
    <x v="140"/>
    <x v="274"/>
    <x v="352"/>
  </r>
  <r>
    <x v="16"/>
    <x v="11"/>
    <x v="287"/>
    <x v="171"/>
    <x v="275"/>
    <x v="353"/>
  </r>
  <r>
    <x v="16"/>
    <x v="11"/>
    <x v="284"/>
    <x v="134"/>
    <x v="276"/>
    <x v="354"/>
  </r>
  <r>
    <x v="16"/>
    <x v="11"/>
    <x v="288"/>
    <x v="134"/>
    <x v="15"/>
    <x v="355"/>
  </r>
  <r>
    <x v="16"/>
    <x v="22"/>
    <x v="289"/>
    <x v="134"/>
    <x v="95"/>
    <x v="356"/>
  </r>
  <r>
    <x v="16"/>
    <x v="11"/>
    <x v="177"/>
    <x v="162"/>
    <x v="2"/>
    <x v="357"/>
  </r>
  <r>
    <x v="16"/>
    <x v="11"/>
    <x v="203"/>
    <x v="134"/>
    <x v="277"/>
    <x v="358"/>
  </r>
  <r>
    <x v="16"/>
    <x v="11"/>
    <x v="155"/>
    <x v="3"/>
    <x v="156"/>
    <x v="359"/>
  </r>
  <r>
    <x v="16"/>
    <x v="11"/>
    <x v="290"/>
    <x v="143"/>
    <x v="161"/>
    <x v="360"/>
  </r>
  <r>
    <x v="16"/>
    <x v="11"/>
    <x v="174"/>
    <x v="142"/>
    <x v="273"/>
    <x v="361"/>
  </r>
  <r>
    <x v="16"/>
    <x v="11"/>
    <x v="258"/>
    <x v="180"/>
    <x v="278"/>
    <x v="362"/>
  </r>
  <r>
    <x v="16"/>
    <x v="11"/>
    <x v="291"/>
    <x v="142"/>
    <x v="13"/>
    <x v="363"/>
  </r>
  <r>
    <x v="16"/>
    <x v="11"/>
    <x v="292"/>
    <x v="111"/>
    <x v="121"/>
    <x v="364"/>
  </r>
  <r>
    <x v="16"/>
    <x v="13"/>
    <x v="293"/>
    <x v="181"/>
    <x v="279"/>
    <x v="365"/>
  </r>
  <r>
    <x v="16"/>
    <x v="11"/>
    <x v="250"/>
    <x v="173"/>
    <x v="79"/>
    <x v="366"/>
  </r>
  <r>
    <x v="16"/>
    <x v="11"/>
    <x v="294"/>
    <x v="182"/>
    <x v="280"/>
    <x v="367"/>
  </r>
  <r>
    <x v="16"/>
    <x v="11"/>
    <x v="178"/>
    <x v="143"/>
    <x v="281"/>
    <x v="368"/>
  </r>
  <r>
    <x v="16"/>
    <x v="11"/>
    <x v="79"/>
    <x v="183"/>
    <x v="107"/>
    <x v="369"/>
  </r>
  <r>
    <x v="16"/>
    <x v="13"/>
    <x v="295"/>
    <x v="3"/>
    <x v="51"/>
    <x v="370"/>
  </r>
  <r>
    <x v="16"/>
    <x v="25"/>
    <x v="296"/>
    <x v="74"/>
    <x v="282"/>
    <x v="371"/>
  </r>
  <r>
    <x v="16"/>
    <x v="22"/>
    <x v="297"/>
    <x v="105"/>
    <x v="283"/>
    <x v="372"/>
  </r>
  <r>
    <x v="16"/>
    <x v="11"/>
    <x v="298"/>
    <x v="105"/>
    <x v="284"/>
    <x v="373"/>
  </r>
  <r>
    <x v="16"/>
    <x v="11"/>
    <x v="113"/>
    <x v="184"/>
    <x v="67"/>
    <x v="374"/>
  </r>
  <r>
    <x v="16"/>
    <x v="22"/>
    <x v="186"/>
    <x v="185"/>
    <x v="6"/>
    <x v="375"/>
  </r>
  <r>
    <x v="16"/>
    <x v="13"/>
    <x v="217"/>
    <x v="138"/>
    <x v="7"/>
    <x v="376"/>
  </r>
  <r>
    <x v="16"/>
    <x v="23"/>
    <x v="299"/>
    <x v="95"/>
    <x v="186"/>
    <x v="377"/>
  </r>
  <r>
    <x v="16"/>
    <x v="11"/>
    <x v="300"/>
    <x v="186"/>
    <x v="169"/>
    <x v="378"/>
  </r>
  <r>
    <x v="16"/>
    <x v="11"/>
    <x v="301"/>
    <x v="150"/>
    <x v="285"/>
    <x v="379"/>
  </r>
  <r>
    <x v="16"/>
    <x v="11"/>
    <x v="13"/>
    <x v="173"/>
    <x v="60"/>
    <x v="380"/>
  </r>
  <r>
    <x v="16"/>
    <x v="11"/>
    <x v="222"/>
    <x v="109"/>
    <x v="286"/>
    <x v="381"/>
  </r>
  <r>
    <x v="16"/>
    <x v="11"/>
    <x v="302"/>
    <x v="187"/>
    <x v="81"/>
    <x v="382"/>
  </r>
  <r>
    <x v="16"/>
    <x v="11"/>
    <x v="294"/>
    <x v="188"/>
    <x v="85"/>
    <x v="383"/>
  </r>
  <r>
    <x v="16"/>
    <x v="13"/>
    <x v="303"/>
    <x v="189"/>
    <x v="287"/>
    <x v="384"/>
  </r>
  <r>
    <x v="16"/>
    <x v="13"/>
    <x v="304"/>
    <x v="74"/>
    <x v="288"/>
    <x v="385"/>
  </r>
  <r>
    <x v="16"/>
    <x v="13"/>
    <x v="305"/>
    <x v="139"/>
    <x v="289"/>
    <x v="386"/>
  </r>
  <r>
    <x v="16"/>
    <x v="13"/>
    <x v="306"/>
    <x v="97"/>
    <x v="115"/>
    <x v="387"/>
  </r>
  <r>
    <x v="16"/>
    <x v="13"/>
    <x v="178"/>
    <x v="190"/>
    <x v="290"/>
    <x v="388"/>
  </r>
  <r>
    <x v="16"/>
    <x v="11"/>
    <x v="183"/>
    <x v="143"/>
    <x v="291"/>
    <x v="389"/>
  </r>
  <r>
    <x v="16"/>
    <x v="13"/>
    <x v="307"/>
    <x v="162"/>
    <x v="292"/>
    <x v="390"/>
  </r>
  <r>
    <x v="16"/>
    <x v="21"/>
    <x v="166"/>
    <x v="138"/>
    <x v="202"/>
    <x v="391"/>
  </r>
  <r>
    <x v="16"/>
    <x v="11"/>
    <x v="308"/>
    <x v="78"/>
    <x v="293"/>
    <x v="392"/>
  </r>
  <r>
    <x v="16"/>
    <x v="11"/>
    <x v="309"/>
    <x v="74"/>
    <x v="294"/>
    <x v="393"/>
  </r>
  <r>
    <x v="16"/>
    <x v="13"/>
    <x v="310"/>
    <x v="96"/>
    <x v="39"/>
    <x v="394"/>
  </r>
  <r>
    <x v="16"/>
    <x v="17"/>
    <x v="311"/>
    <x v="162"/>
    <x v="290"/>
    <x v="395"/>
  </r>
  <r>
    <x v="16"/>
    <x v="13"/>
    <x v="109"/>
    <x v="191"/>
    <x v="295"/>
    <x v="396"/>
  </r>
  <r>
    <x v="16"/>
    <x v="21"/>
    <x v="22"/>
    <x v="158"/>
    <x v="296"/>
    <x v="397"/>
  </r>
  <r>
    <x v="16"/>
    <x v="21"/>
    <x v="209"/>
    <x v="78"/>
    <x v="297"/>
    <x v="398"/>
  </r>
  <r>
    <x v="16"/>
    <x v="21"/>
    <x v="257"/>
    <x v="103"/>
    <x v="298"/>
    <x v="399"/>
  </r>
  <r>
    <x v="16"/>
    <x v="11"/>
    <x v="312"/>
    <x v="103"/>
    <x v="299"/>
    <x v="400"/>
  </r>
  <r>
    <x v="16"/>
    <x v="21"/>
    <x v="313"/>
    <x v="103"/>
    <x v="300"/>
    <x v="401"/>
  </r>
  <r>
    <x v="16"/>
    <x v="11"/>
    <x v="273"/>
    <x v="74"/>
    <x v="109"/>
    <x v="402"/>
  </r>
  <r>
    <x v="16"/>
    <x v="11"/>
    <x v="225"/>
    <x v="163"/>
    <x v="301"/>
    <x v="403"/>
  </r>
  <r>
    <x v="16"/>
    <x v="13"/>
    <x v="314"/>
    <x v="47"/>
    <x v="302"/>
    <x v="404"/>
  </r>
  <r>
    <x v="16"/>
    <x v="11"/>
    <x v="258"/>
    <x v="148"/>
    <x v="303"/>
    <x v="405"/>
  </r>
  <r>
    <x v="16"/>
    <x v="11"/>
    <x v="315"/>
    <x v="103"/>
    <x v="304"/>
    <x v="406"/>
  </r>
  <r>
    <x v="16"/>
    <x v="11"/>
    <x v="258"/>
    <x v="138"/>
    <x v="305"/>
    <x v="407"/>
  </r>
  <r>
    <x v="16"/>
    <x v="13"/>
    <x v="316"/>
    <x v="134"/>
    <x v="306"/>
    <x v="408"/>
  </r>
  <r>
    <x v="16"/>
    <x v="11"/>
    <x v="317"/>
    <x v="156"/>
    <x v="121"/>
    <x v="409"/>
  </r>
  <r>
    <x v="16"/>
    <x v="11"/>
    <x v="318"/>
    <x v="192"/>
    <x v="307"/>
    <x v="410"/>
  </r>
  <r>
    <x v="16"/>
    <x v="11"/>
    <x v="319"/>
    <x v="140"/>
    <x v="43"/>
    <x v="411"/>
  </r>
  <r>
    <x v="16"/>
    <x v="21"/>
    <x v="13"/>
    <x v="140"/>
    <x v="308"/>
    <x v="412"/>
  </r>
  <r>
    <x v="16"/>
    <x v="11"/>
    <x v="177"/>
    <x v="187"/>
    <x v="136"/>
    <x v="413"/>
  </r>
  <r>
    <x v="16"/>
    <x v="13"/>
    <x v="320"/>
    <x v="176"/>
    <x v="309"/>
    <x v="414"/>
  </r>
  <r>
    <x v="16"/>
    <x v="11"/>
    <x v="205"/>
    <x v="161"/>
    <x v="97"/>
    <x v="415"/>
  </r>
  <r>
    <x v="16"/>
    <x v="13"/>
    <x v="321"/>
    <x v="134"/>
    <x v="310"/>
    <x v="416"/>
  </r>
  <r>
    <x v="16"/>
    <x v="13"/>
    <x v="322"/>
    <x v="193"/>
    <x v="311"/>
    <x v="417"/>
  </r>
  <r>
    <x v="16"/>
    <x v="13"/>
    <x v="183"/>
    <x v="160"/>
    <x v="23"/>
    <x v="418"/>
  </r>
  <r>
    <x v="16"/>
    <x v="11"/>
    <x v="323"/>
    <x v="47"/>
    <x v="159"/>
    <x v="419"/>
  </r>
  <r>
    <x v="16"/>
    <x v="11"/>
    <x v="324"/>
    <x v="194"/>
    <x v="128"/>
    <x v="420"/>
  </r>
  <r>
    <x v="16"/>
    <x v="13"/>
    <x v="325"/>
    <x v="25"/>
    <x v="312"/>
    <x v="421"/>
  </r>
  <r>
    <x v="16"/>
    <x v="27"/>
    <x v="245"/>
    <x v="142"/>
    <x v="69"/>
    <x v="422"/>
  </r>
  <r>
    <x v="16"/>
    <x v="11"/>
    <x v="326"/>
    <x v="143"/>
    <x v="37"/>
    <x v="423"/>
  </r>
  <r>
    <x v="16"/>
    <x v="13"/>
    <x v="327"/>
    <x v="168"/>
    <x v="313"/>
    <x v="424"/>
  </r>
  <r>
    <x v="16"/>
    <x v="13"/>
    <x v="328"/>
    <x v="101"/>
    <x v="314"/>
    <x v="425"/>
  </r>
  <r>
    <x v="16"/>
    <x v="11"/>
    <x v="113"/>
    <x v="138"/>
    <x v="151"/>
    <x v="426"/>
  </r>
  <r>
    <x v="16"/>
    <x v="22"/>
    <x v="329"/>
    <x v="195"/>
    <x v="315"/>
    <x v="427"/>
  </r>
  <r>
    <x v="16"/>
    <x v="11"/>
    <x v="330"/>
    <x v="116"/>
    <x v="316"/>
    <x v="428"/>
  </r>
  <r>
    <x v="16"/>
    <x v="25"/>
    <x v="331"/>
    <x v="97"/>
    <x v="317"/>
    <x v="429"/>
  </r>
  <r>
    <x v="16"/>
    <x v="11"/>
    <x v="332"/>
    <x v="15"/>
    <x v="318"/>
    <x v="430"/>
  </r>
  <r>
    <x v="16"/>
    <x v="13"/>
    <x v="333"/>
    <x v="196"/>
    <x v="319"/>
    <x v="431"/>
  </r>
  <r>
    <x v="16"/>
    <x v="13"/>
    <x v="334"/>
    <x v="197"/>
    <x v="88"/>
    <x v="432"/>
  </r>
  <r>
    <x v="16"/>
    <x v="13"/>
    <x v="276"/>
    <x v="145"/>
    <x v="166"/>
    <x v="433"/>
  </r>
  <r>
    <x v="16"/>
    <x v="11"/>
    <x v="322"/>
    <x v="198"/>
    <x v="320"/>
    <x v="434"/>
  </r>
  <r>
    <x v="16"/>
    <x v="13"/>
    <x v="335"/>
    <x v="199"/>
    <x v="321"/>
    <x v="435"/>
  </r>
  <r>
    <x v="16"/>
    <x v="11"/>
    <x v="155"/>
    <x v="200"/>
    <x v="322"/>
    <x v="436"/>
  </r>
  <r>
    <x v="16"/>
    <x v="11"/>
    <x v="312"/>
    <x v="109"/>
    <x v="323"/>
    <x v="437"/>
  </r>
  <r>
    <x v="16"/>
    <x v="11"/>
    <x v="181"/>
    <x v="201"/>
    <x v="324"/>
    <x v="438"/>
  </r>
  <r>
    <x v="16"/>
    <x v="11"/>
    <x v="336"/>
    <x v="78"/>
    <x v="325"/>
    <x v="439"/>
  </r>
  <r>
    <x v="16"/>
    <x v="11"/>
    <x v="337"/>
    <x v="103"/>
    <x v="326"/>
    <x v="440"/>
  </r>
  <r>
    <x v="16"/>
    <x v="17"/>
    <x v="338"/>
    <x v="202"/>
    <x v="100"/>
    <x v="441"/>
  </r>
  <r>
    <x v="16"/>
    <x v="22"/>
    <x v="339"/>
    <x v="162"/>
    <x v="11"/>
    <x v="442"/>
  </r>
  <r>
    <x v="16"/>
    <x v="11"/>
    <x v="273"/>
    <x v="101"/>
    <x v="327"/>
    <x v="443"/>
  </r>
  <r>
    <x v="16"/>
    <x v="11"/>
    <x v="340"/>
    <x v="142"/>
    <x v="134"/>
    <x v="444"/>
  </r>
  <r>
    <x v="16"/>
    <x v="11"/>
    <x v="341"/>
    <x v="156"/>
    <x v="328"/>
    <x v="445"/>
  </r>
  <r>
    <x v="16"/>
    <x v="11"/>
    <x v="155"/>
    <x v="203"/>
    <x v="329"/>
    <x v="446"/>
  </r>
  <r>
    <x v="16"/>
    <x v="11"/>
    <x v="286"/>
    <x v="204"/>
    <x v="330"/>
    <x v="447"/>
  </r>
  <r>
    <x v="16"/>
    <x v="11"/>
    <x v="342"/>
    <x v="205"/>
    <x v="331"/>
    <x v="448"/>
  </r>
  <r>
    <x v="16"/>
    <x v="11"/>
    <x v="343"/>
    <x v="206"/>
    <x v="332"/>
    <x v="449"/>
  </r>
  <r>
    <x v="16"/>
    <x v="28"/>
    <x v="344"/>
    <x v="3"/>
    <x v="333"/>
    <x v="450"/>
  </r>
  <r>
    <x v="17"/>
    <x v="20"/>
    <x v="345"/>
    <x v="207"/>
    <x v="334"/>
    <x v="451"/>
  </r>
  <r>
    <x v="17"/>
    <x v="11"/>
    <x v="346"/>
    <x v="208"/>
    <x v="335"/>
    <x v="452"/>
  </r>
  <r>
    <x v="17"/>
    <x v="22"/>
    <x v="215"/>
    <x v="142"/>
    <x v="210"/>
    <x v="453"/>
  </r>
  <r>
    <x v="17"/>
    <x v="11"/>
    <x v="347"/>
    <x v="209"/>
    <x v="87"/>
    <x v="454"/>
  </r>
  <r>
    <x v="17"/>
    <x v="11"/>
    <x v="348"/>
    <x v="210"/>
    <x v="250"/>
    <x v="455"/>
  </r>
  <r>
    <x v="17"/>
    <x v="11"/>
    <x v="349"/>
    <x v="15"/>
    <x v="81"/>
    <x v="456"/>
  </r>
  <r>
    <x v="17"/>
    <x v="11"/>
    <x v="350"/>
    <x v="103"/>
    <x v="336"/>
    <x v="457"/>
  </r>
  <r>
    <x v="17"/>
    <x v="11"/>
    <x v="210"/>
    <x v="143"/>
    <x v="337"/>
    <x v="458"/>
  </r>
  <r>
    <x v="17"/>
    <x v="11"/>
    <x v="351"/>
    <x v="211"/>
    <x v="338"/>
    <x v="459"/>
  </r>
  <r>
    <x v="17"/>
    <x v="22"/>
    <x v="352"/>
    <x v="162"/>
    <x v="293"/>
    <x v="460"/>
  </r>
  <r>
    <x v="17"/>
    <x v="11"/>
    <x v="353"/>
    <x v="175"/>
    <x v="303"/>
    <x v="461"/>
  </r>
  <r>
    <x v="17"/>
    <x v="22"/>
    <x v="113"/>
    <x v="212"/>
    <x v="339"/>
    <x v="462"/>
  </r>
  <r>
    <x v="17"/>
    <x v="13"/>
    <x v="249"/>
    <x v="138"/>
    <x v="340"/>
    <x v="463"/>
  </r>
  <r>
    <x v="17"/>
    <x v="21"/>
    <x v="354"/>
    <x v="78"/>
    <x v="128"/>
    <x v="464"/>
  </r>
  <r>
    <x v="17"/>
    <x v="11"/>
    <x v="289"/>
    <x v="173"/>
    <x v="341"/>
    <x v="465"/>
  </r>
  <r>
    <x v="17"/>
    <x v="11"/>
    <x v="355"/>
    <x v="213"/>
    <x v="342"/>
    <x v="466"/>
  </r>
  <r>
    <x v="17"/>
    <x v="11"/>
    <x v="228"/>
    <x v="214"/>
    <x v="125"/>
    <x v="467"/>
  </r>
  <r>
    <x v="17"/>
    <x v="11"/>
    <x v="356"/>
    <x v="194"/>
    <x v="343"/>
    <x v="468"/>
  </r>
  <r>
    <x v="17"/>
    <x v="20"/>
    <x v="357"/>
    <x v="215"/>
    <x v="344"/>
    <x v="469"/>
  </r>
  <r>
    <x v="17"/>
    <x v="11"/>
    <x v="358"/>
    <x v="216"/>
    <x v="334"/>
    <x v="470"/>
  </r>
  <r>
    <x v="17"/>
    <x v="11"/>
    <x v="359"/>
    <x v="152"/>
    <x v="345"/>
    <x v="471"/>
  </r>
  <r>
    <x v="17"/>
    <x v="11"/>
    <x v="234"/>
    <x v="217"/>
    <x v="346"/>
    <x v="472"/>
  </r>
  <r>
    <x v="17"/>
    <x v="22"/>
    <x v="360"/>
    <x v="171"/>
    <x v="24"/>
    <x v="473"/>
  </r>
  <r>
    <x v="17"/>
    <x v="25"/>
    <x v="361"/>
    <x v="74"/>
    <x v="347"/>
    <x v="474"/>
  </r>
  <r>
    <x v="17"/>
    <x v="23"/>
    <x v="362"/>
    <x v="218"/>
    <x v="161"/>
    <x v="475"/>
  </r>
  <r>
    <x v="17"/>
    <x v="11"/>
    <x v="363"/>
    <x v="219"/>
    <x v="348"/>
    <x v="476"/>
  </r>
  <r>
    <x v="17"/>
    <x v="11"/>
    <x v="364"/>
    <x v="103"/>
    <x v="290"/>
    <x v="477"/>
  </r>
  <r>
    <x v="17"/>
    <x v="11"/>
    <x v="365"/>
    <x v="47"/>
    <x v="349"/>
    <x v="478"/>
  </r>
  <r>
    <x v="17"/>
    <x v="11"/>
    <x v="366"/>
    <x v="103"/>
    <x v="350"/>
    <x v="479"/>
  </r>
  <r>
    <x v="17"/>
    <x v="11"/>
    <x v="367"/>
    <x v="97"/>
    <x v="351"/>
    <x v="480"/>
  </r>
  <r>
    <x v="17"/>
    <x v="23"/>
    <x v="368"/>
    <x v="220"/>
    <x v="352"/>
    <x v="481"/>
  </r>
  <r>
    <x v="17"/>
    <x v="11"/>
    <x v="369"/>
    <x v="160"/>
    <x v="127"/>
    <x v="482"/>
  </r>
  <r>
    <x v="17"/>
    <x v="11"/>
    <x v="368"/>
    <x v="103"/>
    <x v="353"/>
    <x v="483"/>
  </r>
  <r>
    <x v="17"/>
    <x v="11"/>
    <x v="370"/>
    <x v="214"/>
    <x v="354"/>
    <x v="484"/>
  </r>
  <r>
    <x v="17"/>
    <x v="11"/>
    <x v="371"/>
    <x v="221"/>
    <x v="355"/>
    <x v="485"/>
  </r>
  <r>
    <x v="18"/>
    <x v="11"/>
    <x v="56"/>
    <x v="222"/>
    <x v="356"/>
    <x v="486"/>
  </r>
  <r>
    <x v="18"/>
    <x v="25"/>
    <x v="372"/>
    <x v="223"/>
    <x v="357"/>
    <x v="487"/>
  </r>
  <r>
    <x v="18"/>
    <x v="11"/>
    <x v="183"/>
    <x v="171"/>
    <x v="227"/>
    <x v="488"/>
  </r>
  <r>
    <x v="18"/>
    <x v="21"/>
    <x v="249"/>
    <x v="142"/>
    <x v="51"/>
    <x v="489"/>
  </r>
  <r>
    <x v="18"/>
    <x v="21"/>
    <x v="360"/>
    <x v="97"/>
    <x v="180"/>
    <x v="490"/>
  </r>
  <r>
    <x v="18"/>
    <x v="11"/>
    <x v="46"/>
    <x v="103"/>
    <x v="358"/>
    <x v="491"/>
  </r>
  <r>
    <x v="18"/>
    <x v="13"/>
    <x v="236"/>
    <x v="103"/>
    <x v="134"/>
    <x v="492"/>
  </r>
  <r>
    <x v="18"/>
    <x v="11"/>
    <x v="373"/>
    <x v="139"/>
    <x v="359"/>
    <x v="493"/>
  </r>
  <r>
    <x v="19"/>
    <x v="23"/>
    <x v="374"/>
    <x v="148"/>
    <x v="48"/>
    <x v="494"/>
  </r>
  <r>
    <x v="19"/>
    <x v="11"/>
    <x v="375"/>
    <x v="105"/>
    <x v="360"/>
    <x v="495"/>
  </r>
  <r>
    <x v="20"/>
    <x v="9"/>
    <x v="376"/>
    <x v="103"/>
    <x v="361"/>
    <x v="496"/>
  </r>
  <r>
    <x v="20"/>
    <x v="25"/>
    <x v="166"/>
    <x v="224"/>
    <x v="231"/>
    <x v="497"/>
  </r>
  <r>
    <x v="20"/>
    <x v="15"/>
    <x v="178"/>
    <x v="103"/>
    <x v="362"/>
    <x v="498"/>
  </r>
  <r>
    <x v="20"/>
    <x v="10"/>
    <x v="7"/>
    <x v="140"/>
    <x v="363"/>
    <x v="499"/>
  </r>
  <r>
    <x v="20"/>
    <x v="12"/>
    <x v="377"/>
    <x v="103"/>
    <x v="364"/>
    <x v="500"/>
  </r>
  <r>
    <x v="20"/>
    <x v="12"/>
    <x v="270"/>
    <x v="171"/>
    <x v="173"/>
    <x v="501"/>
  </r>
  <r>
    <x v="20"/>
    <x v="15"/>
    <x v="378"/>
    <x v="156"/>
    <x v="261"/>
    <x v="502"/>
  </r>
  <r>
    <x v="20"/>
    <x v="10"/>
    <x v="379"/>
    <x v="74"/>
    <x v="365"/>
    <x v="503"/>
  </r>
  <r>
    <x v="20"/>
    <x v="15"/>
    <x v="56"/>
    <x v="78"/>
    <x v="303"/>
    <x v="504"/>
  </r>
  <r>
    <x v="20"/>
    <x v="11"/>
    <x v="109"/>
    <x v="225"/>
    <x v="366"/>
    <x v="505"/>
  </r>
  <r>
    <x v="20"/>
    <x v="10"/>
    <x v="380"/>
    <x v="97"/>
    <x v="329"/>
    <x v="506"/>
  </r>
  <r>
    <x v="20"/>
    <x v="20"/>
    <x v="381"/>
    <x v="3"/>
    <x v="367"/>
    <x v="507"/>
  </r>
  <r>
    <x v="20"/>
    <x v="15"/>
    <x v="382"/>
    <x v="131"/>
    <x v="368"/>
    <x v="508"/>
  </r>
  <r>
    <x v="20"/>
    <x v="23"/>
    <x v="383"/>
    <x v="3"/>
    <x v="369"/>
    <x v="509"/>
  </r>
  <r>
    <x v="20"/>
    <x v="11"/>
    <x v="384"/>
    <x v="15"/>
    <x v="370"/>
    <x v="510"/>
  </r>
  <r>
    <x v="20"/>
    <x v="22"/>
    <x v="385"/>
    <x v="47"/>
    <x v="371"/>
    <x v="511"/>
  </r>
  <r>
    <x v="20"/>
    <x v="11"/>
    <x v="370"/>
    <x v="15"/>
    <x v="141"/>
    <x v="512"/>
  </r>
  <r>
    <x v="20"/>
    <x v="11"/>
    <x v="364"/>
    <x v="131"/>
    <x v="372"/>
    <x v="513"/>
  </r>
  <r>
    <x v="20"/>
    <x v="11"/>
    <x v="386"/>
    <x v="47"/>
    <x v="132"/>
    <x v="514"/>
  </r>
  <r>
    <x v="20"/>
    <x v="11"/>
    <x v="387"/>
    <x v="111"/>
    <x v="373"/>
    <x v="515"/>
  </r>
  <r>
    <x v="20"/>
    <x v="7"/>
    <x v="388"/>
    <x v="138"/>
    <x v="374"/>
    <x v="516"/>
  </r>
  <r>
    <x v="21"/>
    <x v="12"/>
    <x v="389"/>
    <x v="74"/>
    <x v="375"/>
    <x v="517"/>
  </r>
  <r>
    <x v="21"/>
    <x v="13"/>
    <x v="390"/>
    <x v="47"/>
    <x v="376"/>
    <x v="518"/>
  </r>
  <r>
    <x v="21"/>
    <x v="13"/>
    <x v="284"/>
    <x v="105"/>
    <x v="377"/>
    <x v="519"/>
  </r>
  <r>
    <x v="21"/>
    <x v="11"/>
    <x v="227"/>
    <x v="144"/>
    <x v="378"/>
    <x v="520"/>
  </r>
  <r>
    <x v="21"/>
    <x v="11"/>
    <x v="391"/>
    <x v="47"/>
    <x v="379"/>
    <x v="521"/>
  </r>
  <r>
    <x v="21"/>
    <x v="25"/>
    <x v="392"/>
    <x v="144"/>
    <x v="380"/>
    <x v="522"/>
  </r>
  <r>
    <x v="21"/>
    <x v="11"/>
    <x v="17"/>
    <x v="138"/>
    <x v="381"/>
    <x v="523"/>
  </r>
  <r>
    <x v="21"/>
    <x v="13"/>
    <x v="317"/>
    <x v="158"/>
    <x v="251"/>
    <x v="524"/>
  </r>
  <r>
    <x v="21"/>
    <x v="11"/>
    <x v="369"/>
    <x v="125"/>
    <x v="160"/>
    <x v="525"/>
  </r>
  <r>
    <x v="21"/>
    <x v="25"/>
    <x v="393"/>
    <x v="14"/>
    <x v="382"/>
    <x v="526"/>
  </r>
  <r>
    <x v="22"/>
    <x v="11"/>
    <x v="394"/>
    <x v="131"/>
    <x v="383"/>
    <x v="527"/>
  </r>
  <r>
    <x v="22"/>
    <x v="11"/>
    <x v="395"/>
    <x v="134"/>
    <x v="383"/>
    <x v="528"/>
  </r>
  <r>
    <x v="22"/>
    <x v="13"/>
    <x v="318"/>
    <x v="105"/>
    <x v="384"/>
    <x v="529"/>
  </r>
  <r>
    <x v="22"/>
    <x v="22"/>
    <x v="396"/>
    <x v="3"/>
    <x v="292"/>
    <x v="530"/>
  </r>
  <r>
    <x v="23"/>
    <x v="17"/>
    <x v="329"/>
    <x v="131"/>
    <x v="385"/>
    <x v="531"/>
  </r>
  <r>
    <x v="23"/>
    <x v="10"/>
    <x v="397"/>
    <x v="226"/>
    <x v="304"/>
    <x v="532"/>
  </r>
  <r>
    <x v="24"/>
    <x v="11"/>
    <x v="398"/>
    <x v="227"/>
    <x v="147"/>
    <x v="533"/>
  </r>
  <r>
    <x v="25"/>
    <x v="11"/>
    <x v="399"/>
    <x v="228"/>
    <x v="386"/>
    <x v="534"/>
  </r>
  <r>
    <x v="26"/>
    <x v="2"/>
    <x v="152"/>
    <x v="47"/>
    <x v="387"/>
    <x v="535"/>
  </r>
  <r>
    <x v="26"/>
    <x v="7"/>
    <x v="400"/>
    <x v="196"/>
    <x v="388"/>
    <x v="536"/>
  </r>
  <r>
    <x v="26"/>
    <x v="7"/>
    <x v="401"/>
    <x v="229"/>
    <x v="389"/>
    <x v="537"/>
  </r>
  <r>
    <x v="27"/>
    <x v="2"/>
    <x v="402"/>
    <x v="45"/>
    <x v="390"/>
    <x v="538"/>
  </r>
  <r>
    <x v="27"/>
    <x v="2"/>
    <x v="217"/>
    <x v="45"/>
    <x v="391"/>
    <x v="539"/>
  </r>
  <r>
    <x v="27"/>
    <x v="2"/>
    <x v="403"/>
    <x v="230"/>
    <x v="18"/>
    <x v="540"/>
  </r>
  <r>
    <x v="27"/>
    <x v="3"/>
    <x v="179"/>
    <x v="231"/>
    <x v="392"/>
    <x v="541"/>
  </r>
  <r>
    <x v="27"/>
    <x v="5"/>
    <x v="404"/>
    <x v="144"/>
    <x v="393"/>
    <x v="542"/>
  </r>
  <r>
    <x v="27"/>
    <x v="5"/>
    <x v="405"/>
    <x v="43"/>
    <x v="394"/>
    <x v="543"/>
  </r>
  <r>
    <x v="27"/>
    <x v="5"/>
    <x v="406"/>
    <x v="144"/>
    <x v="169"/>
    <x v="544"/>
  </r>
  <r>
    <x v="27"/>
    <x v="2"/>
    <x v="404"/>
    <x v="158"/>
    <x v="395"/>
    <x v="545"/>
  </r>
  <r>
    <x v="27"/>
    <x v="2"/>
    <x v="407"/>
    <x v="232"/>
    <x v="396"/>
    <x v="546"/>
  </r>
  <r>
    <x v="27"/>
    <x v="7"/>
    <x v="408"/>
    <x v="154"/>
    <x v="79"/>
    <x v="547"/>
  </r>
  <r>
    <x v="27"/>
    <x v="5"/>
    <x v="409"/>
    <x v="158"/>
    <x v="397"/>
    <x v="548"/>
  </r>
  <r>
    <x v="27"/>
    <x v="3"/>
    <x v="280"/>
    <x v="71"/>
    <x v="398"/>
    <x v="549"/>
  </r>
  <r>
    <x v="27"/>
    <x v="2"/>
    <x v="410"/>
    <x v="59"/>
    <x v="399"/>
    <x v="550"/>
  </r>
  <r>
    <x v="27"/>
    <x v="5"/>
    <x v="411"/>
    <x v="233"/>
    <x v="400"/>
    <x v="551"/>
  </r>
  <r>
    <x v="27"/>
    <x v="5"/>
    <x v="412"/>
    <x v="20"/>
    <x v="401"/>
    <x v="552"/>
  </r>
  <r>
    <x v="27"/>
    <x v="2"/>
    <x v="413"/>
    <x v="45"/>
    <x v="65"/>
    <x v="553"/>
  </r>
  <r>
    <x v="27"/>
    <x v="29"/>
    <x v="414"/>
    <x v="234"/>
    <x v="402"/>
    <x v="554"/>
  </r>
  <r>
    <x v="27"/>
    <x v="5"/>
    <x v="415"/>
    <x v="25"/>
    <x v="403"/>
    <x v="555"/>
  </r>
  <r>
    <x v="27"/>
    <x v="2"/>
    <x v="416"/>
    <x v="118"/>
    <x v="318"/>
    <x v="556"/>
  </r>
  <r>
    <x v="28"/>
    <x v="0"/>
    <x v="417"/>
    <x v="235"/>
    <x v="404"/>
    <x v="557"/>
  </r>
  <r>
    <x v="28"/>
    <x v="7"/>
    <x v="418"/>
    <x v="233"/>
    <x v="210"/>
    <x v="558"/>
  </r>
  <r>
    <x v="28"/>
    <x v="7"/>
    <x v="419"/>
    <x v="224"/>
    <x v="217"/>
    <x v="559"/>
  </r>
  <r>
    <x v="28"/>
    <x v="1"/>
    <x v="420"/>
    <x v="95"/>
    <x v="405"/>
    <x v="560"/>
  </r>
  <r>
    <x v="28"/>
    <x v="2"/>
    <x v="421"/>
    <x v="15"/>
    <x v="83"/>
    <x v="561"/>
  </r>
  <r>
    <x v="28"/>
    <x v="0"/>
    <x v="422"/>
    <x v="45"/>
    <x v="406"/>
    <x v="562"/>
  </r>
  <r>
    <x v="28"/>
    <x v="0"/>
    <x v="423"/>
    <x v="76"/>
    <x v="407"/>
    <x v="563"/>
  </r>
  <r>
    <x v="28"/>
    <x v="0"/>
    <x v="424"/>
    <x v="47"/>
    <x v="74"/>
    <x v="564"/>
  </r>
  <r>
    <x v="28"/>
    <x v="4"/>
    <x v="425"/>
    <x v="109"/>
    <x v="41"/>
    <x v="565"/>
  </r>
  <r>
    <x v="28"/>
    <x v="0"/>
    <x v="426"/>
    <x v="26"/>
    <x v="408"/>
    <x v="566"/>
  </r>
  <r>
    <x v="29"/>
    <x v="22"/>
    <x v="427"/>
    <x v="154"/>
    <x v="409"/>
    <x v="567"/>
  </r>
  <r>
    <x v="29"/>
    <x v="20"/>
    <x v="428"/>
    <x v="45"/>
    <x v="410"/>
    <x v="568"/>
  </r>
  <r>
    <x v="29"/>
    <x v="11"/>
    <x v="190"/>
    <x v="105"/>
    <x v="411"/>
    <x v="569"/>
  </r>
  <r>
    <x v="29"/>
    <x v="11"/>
    <x v="202"/>
    <x v="236"/>
    <x v="412"/>
    <x v="570"/>
  </r>
  <r>
    <x v="29"/>
    <x v="11"/>
    <x v="429"/>
    <x v="47"/>
    <x v="413"/>
    <x v="571"/>
  </r>
  <r>
    <x v="29"/>
    <x v="11"/>
    <x v="430"/>
    <x v="194"/>
    <x v="414"/>
    <x v="572"/>
  </r>
  <r>
    <x v="29"/>
    <x v="17"/>
    <x v="181"/>
    <x v="237"/>
    <x v="171"/>
    <x v="573"/>
  </r>
  <r>
    <x v="29"/>
    <x v="11"/>
    <x v="431"/>
    <x v="154"/>
    <x v="415"/>
    <x v="574"/>
  </r>
  <r>
    <x v="29"/>
    <x v="11"/>
    <x v="432"/>
    <x v="20"/>
    <x v="416"/>
    <x v="575"/>
  </r>
  <r>
    <x v="29"/>
    <x v="30"/>
    <x v="433"/>
    <x v="238"/>
    <x v="417"/>
    <x v="576"/>
  </r>
  <r>
    <x v="29"/>
    <x v="11"/>
    <x v="183"/>
    <x v="239"/>
    <x v="305"/>
    <x v="577"/>
  </r>
  <r>
    <x v="29"/>
    <x v="11"/>
    <x v="267"/>
    <x v="25"/>
    <x v="2"/>
    <x v="578"/>
  </r>
  <r>
    <x v="30"/>
    <x v="9"/>
    <x v="434"/>
    <x v="235"/>
    <x v="418"/>
    <x v="579"/>
  </r>
  <r>
    <x v="30"/>
    <x v="11"/>
    <x v="402"/>
    <x v="240"/>
    <x v="419"/>
    <x v="580"/>
  </r>
  <r>
    <x v="30"/>
    <x v="13"/>
    <x v="435"/>
    <x v="211"/>
    <x v="415"/>
    <x v="581"/>
  </r>
  <r>
    <x v="31"/>
    <x v="11"/>
    <x v="436"/>
    <x v="241"/>
    <x v="63"/>
    <x v="582"/>
  </r>
  <r>
    <x v="31"/>
    <x v="13"/>
    <x v="437"/>
    <x v="152"/>
    <x v="110"/>
    <x v="583"/>
  </r>
  <r>
    <x v="31"/>
    <x v="11"/>
    <x v="438"/>
    <x v="142"/>
    <x v="420"/>
    <x v="584"/>
  </r>
  <r>
    <x v="31"/>
    <x v="7"/>
    <x v="284"/>
    <x v="47"/>
    <x v="421"/>
    <x v="585"/>
  </r>
  <r>
    <x v="31"/>
    <x v="11"/>
    <x v="439"/>
    <x v="103"/>
    <x v="231"/>
    <x v="586"/>
  </r>
  <r>
    <x v="31"/>
    <x v="2"/>
    <x v="440"/>
    <x v="45"/>
    <x v="292"/>
    <x v="587"/>
  </r>
  <r>
    <x v="31"/>
    <x v="7"/>
    <x v="441"/>
    <x v="3"/>
    <x v="95"/>
    <x v="588"/>
  </r>
  <r>
    <x v="31"/>
    <x v="11"/>
    <x v="442"/>
    <x v="78"/>
    <x v="422"/>
    <x v="589"/>
  </r>
  <r>
    <x v="31"/>
    <x v="7"/>
    <x v="443"/>
    <x v="142"/>
    <x v="78"/>
    <x v="590"/>
  </r>
  <r>
    <x v="31"/>
    <x v="31"/>
    <x v="444"/>
    <x v="242"/>
    <x v="211"/>
    <x v="591"/>
  </r>
  <r>
    <x v="31"/>
    <x v="13"/>
    <x v="445"/>
    <x v="15"/>
    <x v="423"/>
    <x v="592"/>
  </r>
  <r>
    <x v="31"/>
    <x v="21"/>
    <x v="446"/>
    <x v="78"/>
    <x v="149"/>
    <x v="593"/>
  </r>
  <r>
    <x v="31"/>
    <x v="13"/>
    <x v="447"/>
    <x v="78"/>
    <x v="424"/>
    <x v="594"/>
  </r>
  <r>
    <x v="32"/>
    <x v="1"/>
    <x v="448"/>
    <x v="0"/>
    <x v="154"/>
    <x v="595"/>
  </r>
  <r>
    <x v="32"/>
    <x v="5"/>
    <x v="449"/>
    <x v="0"/>
    <x v="425"/>
    <x v="596"/>
  </r>
  <r>
    <x v="32"/>
    <x v="2"/>
    <x v="450"/>
    <x v="19"/>
    <x v="78"/>
    <x v="597"/>
  </r>
  <r>
    <x v="33"/>
    <x v="11"/>
    <x v="209"/>
    <x v="224"/>
    <x v="206"/>
    <x v="598"/>
  </r>
  <r>
    <x v="33"/>
    <x v="11"/>
    <x v="451"/>
    <x v="162"/>
    <x v="58"/>
    <x v="599"/>
  </r>
  <r>
    <x v="33"/>
    <x v="11"/>
    <x v="452"/>
    <x v="233"/>
    <x v="426"/>
    <x v="600"/>
  </r>
  <r>
    <x v="33"/>
    <x v="22"/>
    <x v="453"/>
    <x v="15"/>
    <x v="216"/>
    <x v="601"/>
  </r>
  <r>
    <x v="33"/>
    <x v="13"/>
    <x v="205"/>
    <x v="158"/>
    <x v="427"/>
    <x v="602"/>
  </r>
  <r>
    <x v="33"/>
    <x v="11"/>
    <x v="186"/>
    <x v="47"/>
    <x v="428"/>
    <x v="603"/>
  </r>
  <r>
    <x v="33"/>
    <x v="13"/>
    <x v="454"/>
    <x v="139"/>
    <x v="169"/>
    <x v="604"/>
  </r>
  <r>
    <x v="33"/>
    <x v="21"/>
    <x v="455"/>
    <x v="97"/>
    <x v="429"/>
    <x v="605"/>
  </r>
  <r>
    <x v="33"/>
    <x v="21"/>
    <x v="456"/>
    <x v="103"/>
    <x v="430"/>
    <x v="606"/>
  </r>
  <r>
    <x v="33"/>
    <x v="11"/>
    <x v="412"/>
    <x v="195"/>
    <x v="431"/>
    <x v="607"/>
  </r>
  <r>
    <x v="33"/>
    <x v="32"/>
    <x v="377"/>
    <x v="146"/>
    <x v="432"/>
    <x v="608"/>
  </r>
  <r>
    <x v="34"/>
    <x v="13"/>
    <x v="181"/>
    <x v="224"/>
    <x v="433"/>
    <x v="609"/>
  </r>
  <r>
    <x v="34"/>
    <x v="11"/>
    <x v="457"/>
    <x v="103"/>
    <x v="434"/>
    <x v="610"/>
  </r>
  <r>
    <x v="35"/>
    <x v="13"/>
    <x v="186"/>
    <x v="154"/>
    <x v="67"/>
    <x v="611"/>
  </r>
  <r>
    <x v="35"/>
    <x v="14"/>
    <x v="458"/>
    <x v="153"/>
    <x v="171"/>
    <x v="612"/>
  </r>
  <r>
    <x v="35"/>
    <x v="12"/>
    <x v="459"/>
    <x v="103"/>
    <x v="435"/>
    <x v="613"/>
  </r>
  <r>
    <x v="35"/>
    <x v="11"/>
    <x v="403"/>
    <x v="138"/>
    <x v="97"/>
    <x v="614"/>
  </r>
  <r>
    <x v="35"/>
    <x v="11"/>
    <x v="460"/>
    <x v="152"/>
    <x v="436"/>
    <x v="615"/>
  </r>
  <r>
    <x v="35"/>
    <x v="12"/>
    <x v="409"/>
    <x v="140"/>
    <x v="437"/>
    <x v="616"/>
  </r>
  <r>
    <x v="35"/>
    <x v="10"/>
    <x v="461"/>
    <x v="143"/>
    <x v="77"/>
    <x v="617"/>
  </r>
  <r>
    <x v="35"/>
    <x v="22"/>
    <x v="462"/>
    <x v="3"/>
    <x v="438"/>
    <x v="618"/>
  </r>
  <r>
    <x v="35"/>
    <x v="22"/>
    <x v="7"/>
    <x v="97"/>
    <x v="210"/>
    <x v="619"/>
  </r>
  <r>
    <x v="35"/>
    <x v="11"/>
    <x v="258"/>
    <x v="138"/>
    <x v="439"/>
    <x v="620"/>
  </r>
  <r>
    <x v="35"/>
    <x v="11"/>
    <x v="463"/>
    <x v="144"/>
    <x v="137"/>
    <x v="621"/>
  </r>
  <r>
    <x v="35"/>
    <x v="11"/>
    <x v="464"/>
    <x v="3"/>
    <x v="440"/>
    <x v="622"/>
  </r>
  <r>
    <x v="35"/>
    <x v="14"/>
    <x v="465"/>
    <x v="45"/>
    <x v="274"/>
    <x v="623"/>
  </r>
  <r>
    <x v="35"/>
    <x v="11"/>
    <x v="466"/>
    <x v="59"/>
    <x v="355"/>
    <x v="624"/>
  </r>
  <r>
    <x v="35"/>
    <x v="11"/>
    <x v="467"/>
    <x v="3"/>
    <x v="441"/>
    <x v="625"/>
  </r>
  <r>
    <x v="36"/>
    <x v="3"/>
    <x v="468"/>
    <x v="243"/>
    <x v="127"/>
    <x v="626"/>
  </r>
  <r>
    <x v="37"/>
    <x v="33"/>
    <x v="469"/>
    <x v="244"/>
    <x v="442"/>
    <x v="627"/>
  </r>
  <r>
    <x v="38"/>
    <x v="2"/>
    <x v="152"/>
    <x v="0"/>
    <x v="443"/>
    <x v="628"/>
  </r>
  <r>
    <x v="38"/>
    <x v="2"/>
    <x v="470"/>
    <x v="152"/>
    <x v="184"/>
    <x v="629"/>
  </r>
  <r>
    <x v="38"/>
    <x v="0"/>
    <x v="471"/>
    <x v="0"/>
    <x v="444"/>
    <x v="630"/>
  </r>
  <r>
    <x v="38"/>
    <x v="2"/>
    <x v="472"/>
    <x v="50"/>
    <x v="384"/>
    <x v="631"/>
  </r>
  <r>
    <x v="38"/>
    <x v="2"/>
    <x v="473"/>
    <x v="245"/>
    <x v="282"/>
    <x v="632"/>
  </r>
  <r>
    <x v="38"/>
    <x v="3"/>
    <x v="474"/>
    <x v="19"/>
    <x v="355"/>
    <x v="633"/>
  </r>
  <r>
    <x v="38"/>
    <x v="0"/>
    <x v="475"/>
    <x v="233"/>
    <x v="445"/>
    <x v="634"/>
  </r>
  <r>
    <x v="38"/>
    <x v="2"/>
    <x v="476"/>
    <x v="246"/>
    <x v="222"/>
    <x v="635"/>
  </r>
  <r>
    <x v="38"/>
    <x v="3"/>
    <x v="477"/>
    <x v="247"/>
    <x v="446"/>
    <x v="636"/>
  </r>
  <r>
    <x v="38"/>
    <x v="2"/>
    <x v="478"/>
    <x v="46"/>
    <x v="447"/>
    <x v="637"/>
  </r>
  <r>
    <x v="38"/>
    <x v="3"/>
    <x v="479"/>
    <x v="248"/>
    <x v="107"/>
    <x v="638"/>
  </r>
  <r>
    <x v="38"/>
    <x v="1"/>
    <x v="480"/>
    <x v="249"/>
    <x v="384"/>
    <x v="639"/>
  </r>
  <r>
    <x v="38"/>
    <x v="3"/>
    <x v="481"/>
    <x v="250"/>
    <x v="210"/>
    <x v="640"/>
  </r>
  <r>
    <x v="38"/>
    <x v="5"/>
    <x v="253"/>
    <x v="251"/>
    <x v="271"/>
    <x v="641"/>
  </r>
  <r>
    <x v="38"/>
    <x v="1"/>
    <x v="482"/>
    <x v="252"/>
    <x v="448"/>
    <x v="642"/>
  </r>
  <r>
    <x v="38"/>
    <x v="5"/>
    <x v="386"/>
    <x v="253"/>
    <x v="314"/>
    <x v="643"/>
  </r>
  <r>
    <x v="38"/>
    <x v="1"/>
    <x v="483"/>
    <x v="94"/>
    <x v="449"/>
    <x v="644"/>
  </r>
  <r>
    <x v="38"/>
    <x v="2"/>
    <x v="484"/>
    <x v="254"/>
    <x v="450"/>
    <x v="645"/>
  </r>
  <r>
    <x v="38"/>
    <x v="2"/>
    <x v="485"/>
    <x v="255"/>
    <x v="239"/>
    <x v="646"/>
  </r>
  <r>
    <x v="38"/>
    <x v="1"/>
    <x v="486"/>
    <x v="62"/>
    <x v="451"/>
    <x v="647"/>
  </r>
  <r>
    <x v="38"/>
    <x v="2"/>
    <x v="487"/>
    <x v="59"/>
    <x v="452"/>
    <x v="648"/>
  </r>
  <r>
    <x v="38"/>
    <x v="2"/>
    <x v="488"/>
    <x v="256"/>
    <x v="21"/>
    <x v="649"/>
  </r>
  <r>
    <x v="38"/>
    <x v="5"/>
    <x v="489"/>
    <x v="257"/>
    <x v="453"/>
    <x v="650"/>
  </r>
  <r>
    <x v="39"/>
    <x v="2"/>
    <x v="152"/>
    <x v="258"/>
    <x v="326"/>
    <x v="651"/>
  </r>
  <r>
    <x v="39"/>
    <x v="2"/>
    <x v="490"/>
    <x v="15"/>
    <x v="40"/>
    <x v="652"/>
  </r>
  <r>
    <x v="39"/>
    <x v="0"/>
    <x v="491"/>
    <x v="121"/>
    <x v="454"/>
    <x v="653"/>
  </r>
  <r>
    <x v="39"/>
    <x v="2"/>
    <x v="492"/>
    <x v="90"/>
    <x v="455"/>
    <x v="654"/>
  </r>
  <r>
    <x v="39"/>
    <x v="0"/>
    <x v="493"/>
    <x v="62"/>
    <x v="456"/>
    <x v="655"/>
  </r>
  <r>
    <x v="39"/>
    <x v="2"/>
    <x v="494"/>
    <x v="259"/>
    <x v="22"/>
    <x v="656"/>
  </r>
  <r>
    <x v="39"/>
    <x v="2"/>
    <x v="250"/>
    <x v="260"/>
    <x v="434"/>
    <x v="657"/>
  </r>
  <r>
    <x v="39"/>
    <x v="2"/>
    <x v="495"/>
    <x v="261"/>
    <x v="20"/>
    <x v="658"/>
  </r>
  <r>
    <x v="39"/>
    <x v="1"/>
    <x v="496"/>
    <x v="20"/>
    <x v="274"/>
    <x v="659"/>
  </r>
  <r>
    <x v="39"/>
    <x v="2"/>
    <x v="497"/>
    <x v="0"/>
    <x v="457"/>
    <x v="660"/>
  </r>
  <r>
    <x v="39"/>
    <x v="0"/>
    <x v="498"/>
    <x v="15"/>
    <x v="458"/>
    <x v="661"/>
  </r>
  <r>
    <x v="39"/>
    <x v="7"/>
    <x v="198"/>
    <x v="243"/>
    <x v="459"/>
    <x v="662"/>
  </r>
  <r>
    <x v="39"/>
    <x v="5"/>
    <x v="499"/>
    <x v="46"/>
    <x v="261"/>
    <x v="663"/>
  </r>
  <r>
    <x v="39"/>
    <x v="2"/>
    <x v="500"/>
    <x v="55"/>
    <x v="453"/>
    <x v="664"/>
  </r>
  <r>
    <x v="39"/>
    <x v="5"/>
    <x v="501"/>
    <x v="257"/>
    <x v="460"/>
    <x v="665"/>
  </r>
  <r>
    <x v="39"/>
    <x v="5"/>
    <x v="502"/>
    <x v="47"/>
    <x v="461"/>
    <x v="666"/>
  </r>
  <r>
    <x v="39"/>
    <x v="1"/>
    <x v="503"/>
    <x v="262"/>
    <x v="235"/>
    <x v="667"/>
  </r>
  <r>
    <x v="40"/>
    <x v="1"/>
    <x v="504"/>
    <x v="263"/>
    <x v="462"/>
    <x v="668"/>
  </r>
  <r>
    <x v="40"/>
    <x v="2"/>
    <x v="505"/>
    <x v="105"/>
    <x v="75"/>
    <x v="669"/>
  </r>
  <r>
    <x v="40"/>
    <x v="0"/>
    <x v="506"/>
    <x v="70"/>
    <x v="463"/>
    <x v="670"/>
  </r>
  <r>
    <x v="40"/>
    <x v="5"/>
    <x v="479"/>
    <x v="115"/>
    <x v="464"/>
    <x v="671"/>
  </r>
  <r>
    <x v="40"/>
    <x v="5"/>
    <x v="507"/>
    <x v="25"/>
    <x v="184"/>
    <x v="672"/>
  </r>
  <r>
    <x v="41"/>
    <x v="2"/>
    <x v="152"/>
    <x v="264"/>
    <x v="389"/>
    <x v="673"/>
  </r>
  <r>
    <x v="41"/>
    <x v="2"/>
    <x v="508"/>
    <x v="19"/>
    <x v="465"/>
    <x v="674"/>
  </r>
  <r>
    <x v="41"/>
    <x v="2"/>
    <x v="189"/>
    <x v="95"/>
    <x v="67"/>
    <x v="675"/>
  </r>
  <r>
    <x v="41"/>
    <x v="3"/>
    <x v="369"/>
    <x v="265"/>
    <x v="322"/>
    <x v="676"/>
  </r>
  <r>
    <x v="41"/>
    <x v="5"/>
    <x v="509"/>
    <x v="266"/>
    <x v="466"/>
    <x v="677"/>
  </r>
  <r>
    <x v="41"/>
    <x v="2"/>
    <x v="50"/>
    <x v="13"/>
    <x v="340"/>
    <x v="678"/>
  </r>
  <r>
    <x v="41"/>
    <x v="7"/>
    <x v="389"/>
    <x v="267"/>
    <x v="467"/>
    <x v="679"/>
  </r>
  <r>
    <x v="41"/>
    <x v="7"/>
    <x v="510"/>
    <x v="268"/>
    <x v="112"/>
    <x v="680"/>
  </r>
  <r>
    <x v="42"/>
    <x v="2"/>
    <x v="152"/>
    <x v="7"/>
    <x v="468"/>
    <x v="681"/>
  </r>
  <r>
    <x v="42"/>
    <x v="1"/>
    <x v="205"/>
    <x v="166"/>
    <x v="469"/>
    <x v="682"/>
  </r>
  <r>
    <x v="42"/>
    <x v="34"/>
    <x v="511"/>
    <x v="25"/>
    <x v="470"/>
    <x v="683"/>
  </r>
  <r>
    <x v="42"/>
    <x v="8"/>
    <x v="512"/>
    <x v="257"/>
    <x v="398"/>
    <x v="684"/>
  </r>
  <r>
    <x v="42"/>
    <x v="4"/>
    <x v="513"/>
    <x v="152"/>
    <x v="471"/>
    <x v="685"/>
  </r>
  <r>
    <x v="42"/>
    <x v="1"/>
    <x v="514"/>
    <x v="150"/>
    <x v="351"/>
    <x v="686"/>
  </r>
  <r>
    <x v="42"/>
    <x v="3"/>
    <x v="515"/>
    <x v="269"/>
    <x v="6"/>
    <x v="687"/>
  </r>
  <r>
    <x v="42"/>
    <x v="1"/>
    <x v="147"/>
    <x v="270"/>
    <x v="182"/>
    <x v="688"/>
  </r>
  <r>
    <x v="42"/>
    <x v="1"/>
    <x v="516"/>
    <x v="271"/>
    <x v="3"/>
    <x v="689"/>
  </r>
  <r>
    <x v="42"/>
    <x v="3"/>
    <x v="517"/>
    <x v="272"/>
    <x v="220"/>
    <x v="690"/>
  </r>
  <r>
    <x v="42"/>
    <x v="4"/>
    <x v="518"/>
    <x v="152"/>
    <x v="465"/>
    <x v="691"/>
  </r>
  <r>
    <x v="42"/>
    <x v="1"/>
    <x v="519"/>
    <x v="0"/>
    <x v="472"/>
    <x v="692"/>
  </r>
  <r>
    <x v="42"/>
    <x v="1"/>
    <x v="156"/>
    <x v="273"/>
    <x v="154"/>
    <x v="693"/>
  </r>
  <r>
    <x v="42"/>
    <x v="5"/>
    <x v="520"/>
    <x v="274"/>
    <x v="234"/>
    <x v="694"/>
  </r>
  <r>
    <x v="42"/>
    <x v="7"/>
    <x v="16"/>
    <x v="275"/>
    <x v="473"/>
    <x v="695"/>
  </r>
  <r>
    <x v="42"/>
    <x v="5"/>
    <x v="521"/>
    <x v="59"/>
    <x v="342"/>
    <x v="696"/>
  </r>
  <r>
    <x v="42"/>
    <x v="5"/>
    <x v="125"/>
    <x v="265"/>
    <x v="413"/>
    <x v="697"/>
  </r>
  <r>
    <x v="42"/>
    <x v="2"/>
    <x v="522"/>
    <x v="30"/>
    <x v="474"/>
    <x v="698"/>
  </r>
  <r>
    <x v="42"/>
    <x v="1"/>
    <x v="523"/>
    <x v="276"/>
    <x v="475"/>
    <x v="699"/>
  </r>
  <r>
    <x v="42"/>
    <x v="35"/>
    <x v="524"/>
    <x v="55"/>
    <x v="476"/>
    <x v="700"/>
  </r>
  <r>
    <x v="43"/>
    <x v="9"/>
    <x v="525"/>
    <x v="154"/>
    <x v="112"/>
    <x v="701"/>
  </r>
  <r>
    <x v="43"/>
    <x v="36"/>
    <x v="526"/>
    <x v="15"/>
    <x v="17"/>
    <x v="702"/>
  </r>
  <r>
    <x v="43"/>
    <x v="1"/>
    <x v="527"/>
    <x v="104"/>
    <x v="414"/>
    <x v="703"/>
  </r>
  <r>
    <x v="43"/>
    <x v="1"/>
    <x v="528"/>
    <x v="20"/>
    <x v="477"/>
    <x v="704"/>
  </r>
  <r>
    <x v="43"/>
    <x v="2"/>
    <x v="420"/>
    <x v="67"/>
    <x v="478"/>
    <x v="705"/>
  </r>
  <r>
    <x v="43"/>
    <x v="2"/>
    <x v="529"/>
    <x v="277"/>
    <x v="44"/>
    <x v="706"/>
  </r>
  <r>
    <x v="43"/>
    <x v="7"/>
    <x v="530"/>
    <x v="278"/>
    <x v="293"/>
    <x v="707"/>
  </r>
  <r>
    <x v="44"/>
    <x v="7"/>
    <x v="531"/>
    <x v="16"/>
    <x v="479"/>
    <x v="708"/>
  </r>
  <r>
    <x v="44"/>
    <x v="7"/>
    <x v="532"/>
    <x v="45"/>
    <x v="264"/>
    <x v="709"/>
  </r>
  <r>
    <x v="45"/>
    <x v="0"/>
    <x v="533"/>
    <x v="70"/>
    <x v="56"/>
    <x v="710"/>
  </r>
  <r>
    <x v="46"/>
    <x v="10"/>
    <x v="534"/>
    <x v="15"/>
    <x v="211"/>
    <x v="711"/>
  </r>
  <r>
    <x v="46"/>
    <x v="12"/>
    <x v="535"/>
    <x v="15"/>
    <x v="480"/>
    <x v="712"/>
  </r>
  <r>
    <x v="46"/>
    <x v="15"/>
    <x v="534"/>
    <x v="144"/>
    <x v="397"/>
    <x v="713"/>
  </r>
  <r>
    <x v="46"/>
    <x v="14"/>
    <x v="536"/>
    <x v="279"/>
    <x v="481"/>
    <x v="714"/>
  </r>
  <r>
    <x v="46"/>
    <x v="12"/>
    <x v="536"/>
    <x v="15"/>
    <x v="482"/>
    <x v="715"/>
  </r>
  <r>
    <x v="46"/>
    <x v="14"/>
    <x v="178"/>
    <x v="152"/>
    <x v="483"/>
    <x v="716"/>
  </r>
  <r>
    <x v="46"/>
    <x v="12"/>
    <x v="537"/>
    <x v="53"/>
    <x v="484"/>
    <x v="717"/>
  </r>
  <r>
    <x v="46"/>
    <x v="15"/>
    <x v="538"/>
    <x v="180"/>
    <x v="169"/>
    <x v="718"/>
  </r>
  <r>
    <x v="46"/>
    <x v="12"/>
    <x v="539"/>
    <x v="140"/>
    <x v="485"/>
    <x v="719"/>
  </r>
  <r>
    <x v="46"/>
    <x v="11"/>
    <x v="540"/>
    <x v="0"/>
    <x v="486"/>
    <x v="720"/>
  </r>
  <r>
    <x v="46"/>
    <x v="11"/>
    <x v="541"/>
    <x v="280"/>
    <x v="222"/>
    <x v="721"/>
  </r>
  <r>
    <x v="46"/>
    <x v="23"/>
    <x v="171"/>
    <x v="45"/>
    <x v="217"/>
    <x v="722"/>
  </r>
  <r>
    <x v="46"/>
    <x v="12"/>
    <x v="542"/>
    <x v="3"/>
    <x v="487"/>
    <x v="723"/>
  </r>
  <r>
    <x v="46"/>
    <x v="23"/>
    <x v="543"/>
    <x v="257"/>
    <x v="488"/>
    <x v="724"/>
  </r>
  <r>
    <x v="46"/>
    <x v="23"/>
    <x v="544"/>
    <x v="233"/>
    <x v="48"/>
    <x v="725"/>
  </r>
  <r>
    <x v="46"/>
    <x v="15"/>
    <x v="545"/>
    <x v="158"/>
    <x v="169"/>
    <x v="726"/>
  </r>
  <r>
    <x v="46"/>
    <x v="12"/>
    <x v="218"/>
    <x v="180"/>
    <x v="489"/>
    <x v="727"/>
  </r>
  <r>
    <x v="46"/>
    <x v="14"/>
    <x v="546"/>
    <x v="111"/>
    <x v="490"/>
    <x v="728"/>
  </r>
  <r>
    <x v="46"/>
    <x v="11"/>
    <x v="427"/>
    <x v="152"/>
    <x v="491"/>
    <x v="729"/>
  </r>
  <r>
    <x v="46"/>
    <x v="11"/>
    <x v="547"/>
    <x v="152"/>
    <x v="492"/>
    <x v="730"/>
  </r>
  <r>
    <x v="46"/>
    <x v="11"/>
    <x v="152"/>
    <x v="134"/>
    <x v="493"/>
    <x v="731"/>
  </r>
  <r>
    <x v="46"/>
    <x v="12"/>
    <x v="166"/>
    <x v="45"/>
    <x v="494"/>
    <x v="732"/>
  </r>
  <r>
    <x v="46"/>
    <x v="11"/>
    <x v="548"/>
    <x v="152"/>
    <x v="290"/>
    <x v="733"/>
  </r>
  <r>
    <x v="46"/>
    <x v="11"/>
    <x v="191"/>
    <x v="233"/>
    <x v="292"/>
    <x v="734"/>
  </r>
  <r>
    <x v="46"/>
    <x v="10"/>
    <x v="549"/>
    <x v="134"/>
    <x v="105"/>
    <x v="735"/>
  </r>
  <r>
    <x v="46"/>
    <x v="14"/>
    <x v="545"/>
    <x v="47"/>
    <x v="128"/>
    <x v="736"/>
  </r>
  <r>
    <x v="46"/>
    <x v="11"/>
    <x v="550"/>
    <x v="280"/>
    <x v="319"/>
    <x v="737"/>
  </r>
  <r>
    <x v="46"/>
    <x v="14"/>
    <x v="183"/>
    <x v="180"/>
    <x v="495"/>
    <x v="738"/>
  </r>
  <r>
    <x v="46"/>
    <x v="11"/>
    <x v="171"/>
    <x v="15"/>
    <x v="96"/>
    <x v="739"/>
  </r>
  <r>
    <x v="46"/>
    <x v="11"/>
    <x v="551"/>
    <x v="45"/>
    <x v="496"/>
    <x v="740"/>
  </r>
  <r>
    <x v="46"/>
    <x v="12"/>
    <x v="184"/>
    <x v="15"/>
    <x v="255"/>
    <x v="741"/>
  </r>
  <r>
    <x v="46"/>
    <x v="11"/>
    <x v="493"/>
    <x v="45"/>
    <x v="290"/>
    <x v="742"/>
  </r>
  <r>
    <x v="46"/>
    <x v="11"/>
    <x v="428"/>
    <x v="257"/>
    <x v="153"/>
    <x v="743"/>
  </r>
  <r>
    <x v="46"/>
    <x v="13"/>
    <x v="552"/>
    <x v="45"/>
    <x v="210"/>
    <x v="744"/>
  </r>
  <r>
    <x v="46"/>
    <x v="25"/>
    <x v="553"/>
    <x v="150"/>
    <x v="497"/>
    <x v="745"/>
  </r>
  <r>
    <x v="46"/>
    <x v="25"/>
    <x v="549"/>
    <x v="150"/>
    <x v="379"/>
    <x v="746"/>
  </r>
  <r>
    <x v="46"/>
    <x v="11"/>
    <x v="554"/>
    <x v="0"/>
    <x v="120"/>
    <x v="747"/>
  </r>
  <r>
    <x v="46"/>
    <x v="11"/>
    <x v="173"/>
    <x v="281"/>
    <x v="334"/>
    <x v="748"/>
  </r>
  <r>
    <x v="46"/>
    <x v="11"/>
    <x v="183"/>
    <x v="257"/>
    <x v="498"/>
    <x v="749"/>
  </r>
  <r>
    <x v="46"/>
    <x v="11"/>
    <x v="215"/>
    <x v="282"/>
    <x v="206"/>
    <x v="750"/>
  </r>
  <r>
    <x v="46"/>
    <x v="13"/>
    <x v="555"/>
    <x v="279"/>
    <x v="4"/>
    <x v="751"/>
  </r>
  <r>
    <x v="46"/>
    <x v="11"/>
    <x v="207"/>
    <x v="0"/>
    <x v="499"/>
    <x v="752"/>
  </r>
  <r>
    <x v="46"/>
    <x v="14"/>
    <x v="166"/>
    <x v="47"/>
    <x v="328"/>
    <x v="753"/>
  </r>
  <r>
    <x v="46"/>
    <x v="11"/>
    <x v="556"/>
    <x v="15"/>
    <x v="367"/>
    <x v="754"/>
  </r>
  <r>
    <x v="46"/>
    <x v="12"/>
    <x v="557"/>
    <x v="50"/>
    <x v="500"/>
    <x v="755"/>
  </r>
  <r>
    <x v="46"/>
    <x v="14"/>
    <x v="217"/>
    <x v="162"/>
    <x v="24"/>
    <x v="756"/>
  </r>
  <r>
    <x v="46"/>
    <x v="11"/>
    <x v="558"/>
    <x v="283"/>
    <x v="231"/>
    <x v="757"/>
  </r>
  <r>
    <x v="46"/>
    <x v="11"/>
    <x v="188"/>
    <x v="45"/>
    <x v="33"/>
    <x v="758"/>
  </r>
  <r>
    <x v="46"/>
    <x v="22"/>
    <x v="541"/>
    <x v="105"/>
    <x v="501"/>
    <x v="759"/>
  </r>
  <r>
    <x v="46"/>
    <x v="21"/>
    <x v="559"/>
    <x v="45"/>
    <x v="245"/>
    <x v="760"/>
  </r>
  <r>
    <x v="46"/>
    <x v="13"/>
    <x v="560"/>
    <x v="233"/>
    <x v="502"/>
    <x v="761"/>
  </r>
  <r>
    <x v="46"/>
    <x v="13"/>
    <x v="561"/>
    <x v="280"/>
    <x v="503"/>
    <x v="762"/>
  </r>
  <r>
    <x v="46"/>
    <x v="20"/>
    <x v="188"/>
    <x v="43"/>
    <x v="504"/>
    <x v="763"/>
  </r>
  <r>
    <x v="46"/>
    <x v="11"/>
    <x v="549"/>
    <x v="15"/>
    <x v="399"/>
    <x v="764"/>
  </r>
  <r>
    <x v="46"/>
    <x v="13"/>
    <x v="562"/>
    <x v="43"/>
    <x v="373"/>
    <x v="765"/>
  </r>
  <r>
    <x v="46"/>
    <x v="23"/>
    <x v="563"/>
    <x v="233"/>
    <x v="365"/>
    <x v="766"/>
  </r>
  <r>
    <x v="46"/>
    <x v="11"/>
    <x v="556"/>
    <x v="284"/>
    <x v="505"/>
    <x v="767"/>
  </r>
  <r>
    <x v="46"/>
    <x v="10"/>
    <x v="7"/>
    <x v="47"/>
    <x v="506"/>
    <x v="768"/>
  </r>
  <r>
    <x v="46"/>
    <x v="11"/>
    <x v="205"/>
    <x v="0"/>
    <x v="257"/>
    <x v="769"/>
  </r>
  <r>
    <x v="46"/>
    <x v="13"/>
    <x v="564"/>
    <x v="257"/>
    <x v="507"/>
    <x v="770"/>
  </r>
  <r>
    <x v="46"/>
    <x v="11"/>
    <x v="372"/>
    <x v="45"/>
    <x v="508"/>
    <x v="771"/>
  </r>
  <r>
    <x v="46"/>
    <x v="22"/>
    <x v="565"/>
    <x v="45"/>
    <x v="175"/>
    <x v="772"/>
  </r>
  <r>
    <x v="46"/>
    <x v="13"/>
    <x v="178"/>
    <x v="257"/>
    <x v="97"/>
    <x v="773"/>
  </r>
  <r>
    <x v="46"/>
    <x v="11"/>
    <x v="188"/>
    <x v="158"/>
    <x v="380"/>
    <x v="774"/>
  </r>
  <r>
    <x v="46"/>
    <x v="11"/>
    <x v="566"/>
    <x v="45"/>
    <x v="401"/>
    <x v="775"/>
  </r>
  <r>
    <x v="46"/>
    <x v="11"/>
    <x v="199"/>
    <x v="47"/>
    <x v="2"/>
    <x v="776"/>
  </r>
  <r>
    <x v="46"/>
    <x v="12"/>
    <x v="567"/>
    <x v="285"/>
    <x v="173"/>
    <x v="777"/>
  </r>
  <r>
    <x v="46"/>
    <x v="11"/>
    <x v="568"/>
    <x v="144"/>
    <x v="478"/>
    <x v="778"/>
  </r>
  <r>
    <x v="46"/>
    <x v="11"/>
    <x v="569"/>
    <x v="158"/>
    <x v="268"/>
    <x v="779"/>
  </r>
  <r>
    <x v="46"/>
    <x v="11"/>
    <x v="570"/>
    <x v="279"/>
    <x v="293"/>
    <x v="780"/>
  </r>
  <r>
    <x v="46"/>
    <x v="11"/>
    <x v="474"/>
    <x v="286"/>
    <x v="509"/>
    <x v="781"/>
  </r>
  <r>
    <x v="46"/>
    <x v="11"/>
    <x v="294"/>
    <x v="281"/>
    <x v="379"/>
    <x v="782"/>
  </r>
  <r>
    <x v="46"/>
    <x v="11"/>
    <x v="571"/>
    <x v="45"/>
    <x v="510"/>
    <x v="783"/>
  </r>
  <r>
    <x v="46"/>
    <x v="13"/>
    <x v="572"/>
    <x v="45"/>
    <x v="511"/>
    <x v="784"/>
  </r>
  <r>
    <x v="46"/>
    <x v="11"/>
    <x v="573"/>
    <x v="105"/>
    <x v="75"/>
    <x v="785"/>
  </r>
  <r>
    <x v="46"/>
    <x v="13"/>
    <x v="574"/>
    <x v="152"/>
    <x v="125"/>
    <x v="786"/>
  </r>
  <r>
    <x v="46"/>
    <x v="13"/>
    <x v="575"/>
    <x v="154"/>
    <x v="480"/>
    <x v="787"/>
  </r>
  <r>
    <x v="46"/>
    <x v="11"/>
    <x v="576"/>
    <x v="154"/>
    <x v="512"/>
    <x v="788"/>
  </r>
  <r>
    <x v="46"/>
    <x v="11"/>
    <x v="577"/>
    <x v="154"/>
    <x v="83"/>
    <x v="789"/>
  </r>
  <r>
    <x v="46"/>
    <x v="13"/>
    <x v="578"/>
    <x v="0"/>
    <x v="448"/>
    <x v="790"/>
  </r>
  <r>
    <x v="46"/>
    <x v="22"/>
    <x v="579"/>
    <x v="15"/>
    <x v="21"/>
    <x v="791"/>
  </r>
  <r>
    <x v="46"/>
    <x v="12"/>
    <x v="175"/>
    <x v="62"/>
    <x v="364"/>
    <x v="792"/>
  </r>
  <r>
    <x v="46"/>
    <x v="11"/>
    <x v="167"/>
    <x v="47"/>
    <x v="513"/>
    <x v="793"/>
  </r>
  <r>
    <x v="46"/>
    <x v="11"/>
    <x v="580"/>
    <x v="45"/>
    <x v="514"/>
    <x v="794"/>
  </r>
  <r>
    <x v="46"/>
    <x v="11"/>
    <x v="581"/>
    <x v="45"/>
    <x v="515"/>
    <x v="795"/>
  </r>
  <r>
    <x v="46"/>
    <x v="11"/>
    <x v="582"/>
    <x v="257"/>
    <x v="304"/>
    <x v="796"/>
  </r>
  <r>
    <x v="46"/>
    <x v="11"/>
    <x v="186"/>
    <x v="279"/>
    <x v="516"/>
    <x v="797"/>
  </r>
  <r>
    <x v="46"/>
    <x v="11"/>
    <x v="175"/>
    <x v="105"/>
    <x v="20"/>
    <x v="798"/>
  </r>
  <r>
    <x v="46"/>
    <x v="22"/>
    <x v="583"/>
    <x v="45"/>
    <x v="517"/>
    <x v="799"/>
  </r>
  <r>
    <x v="46"/>
    <x v="13"/>
    <x v="584"/>
    <x v="152"/>
    <x v="150"/>
    <x v="800"/>
  </r>
  <r>
    <x v="46"/>
    <x v="11"/>
    <x v="175"/>
    <x v="105"/>
    <x v="518"/>
    <x v="801"/>
  </r>
  <r>
    <x v="46"/>
    <x v="11"/>
    <x v="354"/>
    <x v="279"/>
    <x v="425"/>
    <x v="802"/>
  </r>
  <r>
    <x v="46"/>
    <x v="22"/>
    <x v="585"/>
    <x v="45"/>
    <x v="22"/>
    <x v="803"/>
  </r>
  <r>
    <x v="46"/>
    <x v="11"/>
    <x v="586"/>
    <x v="0"/>
    <x v="290"/>
    <x v="804"/>
  </r>
  <r>
    <x v="46"/>
    <x v="13"/>
    <x v="548"/>
    <x v="134"/>
    <x v="235"/>
    <x v="805"/>
  </r>
  <r>
    <x v="46"/>
    <x v="11"/>
    <x v="232"/>
    <x v="45"/>
    <x v="228"/>
    <x v="806"/>
  </r>
  <r>
    <x v="46"/>
    <x v="22"/>
    <x v="207"/>
    <x v="15"/>
    <x v="58"/>
    <x v="807"/>
  </r>
  <r>
    <x v="46"/>
    <x v="11"/>
    <x v="247"/>
    <x v="224"/>
    <x v="179"/>
    <x v="808"/>
  </r>
  <r>
    <x v="46"/>
    <x v="11"/>
    <x v="167"/>
    <x v="287"/>
    <x v="196"/>
    <x v="809"/>
  </r>
  <r>
    <x v="46"/>
    <x v="11"/>
    <x v="215"/>
    <x v="15"/>
    <x v="259"/>
    <x v="810"/>
  </r>
  <r>
    <x v="46"/>
    <x v="22"/>
    <x v="587"/>
    <x v="233"/>
    <x v="397"/>
    <x v="811"/>
  </r>
  <r>
    <x v="46"/>
    <x v="11"/>
    <x v="429"/>
    <x v="15"/>
    <x v="474"/>
    <x v="812"/>
  </r>
  <r>
    <x v="46"/>
    <x v="12"/>
    <x v="166"/>
    <x v="146"/>
    <x v="519"/>
    <x v="813"/>
  </r>
  <r>
    <x v="46"/>
    <x v="17"/>
    <x v="588"/>
    <x v="45"/>
    <x v="321"/>
    <x v="814"/>
  </r>
  <r>
    <x v="46"/>
    <x v="13"/>
    <x v="589"/>
    <x v="47"/>
    <x v="520"/>
    <x v="815"/>
  </r>
  <r>
    <x v="46"/>
    <x v="22"/>
    <x v="578"/>
    <x v="12"/>
    <x v="521"/>
    <x v="816"/>
  </r>
  <r>
    <x v="46"/>
    <x v="11"/>
    <x v="590"/>
    <x v="152"/>
    <x v="398"/>
    <x v="817"/>
  </r>
  <r>
    <x v="46"/>
    <x v="11"/>
    <x v="588"/>
    <x v="45"/>
    <x v="522"/>
    <x v="818"/>
  </r>
  <r>
    <x v="46"/>
    <x v="13"/>
    <x v="591"/>
    <x v="47"/>
    <x v="523"/>
    <x v="819"/>
  </r>
  <r>
    <x v="46"/>
    <x v="11"/>
    <x v="592"/>
    <x v="105"/>
    <x v="524"/>
    <x v="820"/>
  </r>
  <r>
    <x v="46"/>
    <x v="11"/>
    <x v="187"/>
    <x v="162"/>
    <x v="450"/>
    <x v="821"/>
  </r>
  <r>
    <x v="46"/>
    <x v="22"/>
    <x v="310"/>
    <x v="47"/>
    <x v="525"/>
    <x v="822"/>
  </r>
  <r>
    <x v="46"/>
    <x v="11"/>
    <x v="593"/>
    <x v="154"/>
    <x v="78"/>
    <x v="823"/>
  </r>
  <r>
    <x v="46"/>
    <x v="11"/>
    <x v="594"/>
    <x v="45"/>
    <x v="304"/>
    <x v="824"/>
  </r>
  <r>
    <x v="46"/>
    <x v="11"/>
    <x v="191"/>
    <x v="168"/>
    <x v="526"/>
    <x v="825"/>
  </r>
  <r>
    <x v="46"/>
    <x v="26"/>
    <x v="207"/>
    <x v="158"/>
    <x v="527"/>
    <x v="826"/>
  </r>
  <r>
    <x v="46"/>
    <x v="11"/>
    <x v="595"/>
    <x v="15"/>
    <x v="528"/>
    <x v="827"/>
  </r>
  <r>
    <x v="46"/>
    <x v="20"/>
    <x v="206"/>
    <x v="15"/>
    <x v="529"/>
    <x v="828"/>
  </r>
  <r>
    <x v="46"/>
    <x v="11"/>
    <x v="215"/>
    <x v="144"/>
    <x v="208"/>
    <x v="829"/>
  </r>
  <r>
    <x v="46"/>
    <x v="13"/>
    <x v="248"/>
    <x v="12"/>
    <x v="497"/>
    <x v="830"/>
  </r>
  <r>
    <x v="46"/>
    <x v="21"/>
    <x v="548"/>
    <x v="103"/>
    <x v="515"/>
    <x v="831"/>
  </r>
  <r>
    <x v="46"/>
    <x v="11"/>
    <x v="596"/>
    <x v="281"/>
    <x v="530"/>
    <x v="832"/>
  </r>
  <r>
    <x v="46"/>
    <x v="11"/>
    <x v="597"/>
    <x v="152"/>
    <x v="62"/>
    <x v="833"/>
  </r>
  <r>
    <x v="46"/>
    <x v="21"/>
    <x v="598"/>
    <x v="15"/>
    <x v="531"/>
    <x v="834"/>
  </r>
  <r>
    <x v="46"/>
    <x v="11"/>
    <x v="245"/>
    <x v="144"/>
    <x v="160"/>
    <x v="835"/>
  </r>
  <r>
    <x v="46"/>
    <x v="24"/>
    <x v="599"/>
    <x v="15"/>
    <x v="532"/>
    <x v="836"/>
  </r>
  <r>
    <x v="46"/>
    <x v="11"/>
    <x v="346"/>
    <x v="166"/>
    <x v="13"/>
    <x v="837"/>
  </r>
  <r>
    <x v="46"/>
    <x v="25"/>
    <x v="600"/>
    <x v="288"/>
    <x v="85"/>
    <x v="838"/>
  </r>
  <r>
    <x v="46"/>
    <x v="11"/>
    <x v="570"/>
    <x v="289"/>
    <x v="394"/>
    <x v="839"/>
  </r>
  <r>
    <x v="46"/>
    <x v="25"/>
    <x v="601"/>
    <x v="134"/>
    <x v="533"/>
    <x v="840"/>
  </r>
  <r>
    <x v="46"/>
    <x v="11"/>
    <x v="402"/>
    <x v="290"/>
    <x v="67"/>
    <x v="841"/>
  </r>
  <r>
    <x v="46"/>
    <x v="11"/>
    <x v="473"/>
    <x v="134"/>
    <x v="110"/>
    <x v="842"/>
  </r>
  <r>
    <x v="46"/>
    <x v="11"/>
    <x v="575"/>
    <x v="291"/>
    <x v="276"/>
    <x v="843"/>
  </r>
  <r>
    <x v="46"/>
    <x v="21"/>
    <x v="240"/>
    <x v="0"/>
    <x v="534"/>
    <x v="844"/>
  </r>
  <r>
    <x v="46"/>
    <x v="13"/>
    <x v="247"/>
    <x v="233"/>
    <x v="398"/>
    <x v="845"/>
  </r>
  <r>
    <x v="46"/>
    <x v="25"/>
    <x v="178"/>
    <x v="150"/>
    <x v="305"/>
    <x v="846"/>
  </r>
  <r>
    <x v="46"/>
    <x v="17"/>
    <x v="582"/>
    <x v="233"/>
    <x v="12"/>
    <x v="847"/>
  </r>
  <r>
    <x v="46"/>
    <x v="22"/>
    <x v="247"/>
    <x v="132"/>
    <x v="178"/>
    <x v="848"/>
  </r>
  <r>
    <x v="46"/>
    <x v="13"/>
    <x v="328"/>
    <x v="158"/>
    <x v="362"/>
    <x v="849"/>
  </r>
  <r>
    <x v="46"/>
    <x v="22"/>
    <x v="240"/>
    <x v="15"/>
    <x v="121"/>
    <x v="850"/>
  </r>
  <r>
    <x v="46"/>
    <x v="11"/>
    <x v="166"/>
    <x v="150"/>
    <x v="276"/>
    <x v="851"/>
  </r>
  <r>
    <x v="46"/>
    <x v="11"/>
    <x v="474"/>
    <x v="15"/>
    <x v="535"/>
    <x v="852"/>
  </r>
  <r>
    <x v="46"/>
    <x v="13"/>
    <x v="602"/>
    <x v="248"/>
    <x v="536"/>
    <x v="853"/>
  </r>
  <r>
    <x v="46"/>
    <x v="11"/>
    <x v="261"/>
    <x v="47"/>
    <x v="537"/>
    <x v="854"/>
  </r>
  <r>
    <x v="46"/>
    <x v="11"/>
    <x v="174"/>
    <x v="47"/>
    <x v="538"/>
    <x v="855"/>
  </r>
  <r>
    <x v="46"/>
    <x v="11"/>
    <x v="547"/>
    <x v="168"/>
    <x v="539"/>
    <x v="856"/>
  </r>
  <r>
    <x v="46"/>
    <x v="11"/>
    <x v="603"/>
    <x v="152"/>
    <x v="540"/>
    <x v="857"/>
  </r>
  <r>
    <x v="46"/>
    <x v="13"/>
    <x v="604"/>
    <x v="194"/>
    <x v="352"/>
    <x v="858"/>
  </r>
  <r>
    <x v="46"/>
    <x v="11"/>
    <x v="178"/>
    <x v="111"/>
    <x v="541"/>
    <x v="859"/>
  </r>
  <r>
    <x v="46"/>
    <x v="13"/>
    <x v="605"/>
    <x v="224"/>
    <x v="419"/>
    <x v="860"/>
  </r>
  <r>
    <x v="46"/>
    <x v="11"/>
    <x v="305"/>
    <x v="45"/>
    <x v="542"/>
    <x v="861"/>
  </r>
  <r>
    <x v="46"/>
    <x v="13"/>
    <x v="562"/>
    <x v="47"/>
    <x v="291"/>
    <x v="862"/>
  </r>
  <r>
    <x v="46"/>
    <x v="21"/>
    <x v="606"/>
    <x v="15"/>
    <x v="543"/>
    <x v="863"/>
  </r>
  <r>
    <x v="46"/>
    <x v="11"/>
    <x v="113"/>
    <x v="132"/>
    <x v="544"/>
    <x v="864"/>
  </r>
  <r>
    <x v="46"/>
    <x v="13"/>
    <x v="607"/>
    <x v="152"/>
    <x v="545"/>
    <x v="865"/>
  </r>
  <r>
    <x v="46"/>
    <x v="23"/>
    <x v="608"/>
    <x v="3"/>
    <x v="191"/>
    <x v="866"/>
  </r>
  <r>
    <x v="46"/>
    <x v="11"/>
    <x v="609"/>
    <x v="12"/>
    <x v="241"/>
    <x v="867"/>
  </r>
  <r>
    <x v="46"/>
    <x v="22"/>
    <x v="216"/>
    <x v="154"/>
    <x v="546"/>
    <x v="868"/>
  </r>
  <r>
    <x v="46"/>
    <x v="25"/>
    <x v="601"/>
    <x v="103"/>
    <x v="243"/>
    <x v="869"/>
  </r>
  <r>
    <x v="46"/>
    <x v="13"/>
    <x v="207"/>
    <x v="144"/>
    <x v="24"/>
    <x v="870"/>
  </r>
  <r>
    <x v="46"/>
    <x v="25"/>
    <x v="610"/>
    <x v="166"/>
    <x v="547"/>
    <x v="871"/>
  </r>
  <r>
    <x v="46"/>
    <x v="11"/>
    <x v="611"/>
    <x v="233"/>
    <x v="502"/>
    <x v="872"/>
  </r>
  <r>
    <x v="46"/>
    <x v="24"/>
    <x v="612"/>
    <x v="15"/>
    <x v="26"/>
    <x v="873"/>
  </r>
  <r>
    <x v="46"/>
    <x v="11"/>
    <x v="613"/>
    <x v="292"/>
    <x v="330"/>
    <x v="874"/>
  </r>
  <r>
    <x v="46"/>
    <x v="11"/>
    <x v="181"/>
    <x v="45"/>
    <x v="487"/>
    <x v="875"/>
  </r>
  <r>
    <x v="46"/>
    <x v="16"/>
    <x v="183"/>
    <x v="134"/>
    <x v="22"/>
    <x v="876"/>
  </r>
  <r>
    <x v="46"/>
    <x v="11"/>
    <x v="614"/>
    <x v="293"/>
    <x v="548"/>
    <x v="877"/>
  </r>
  <r>
    <x v="46"/>
    <x v="21"/>
    <x v="504"/>
    <x v="166"/>
    <x v="508"/>
    <x v="878"/>
  </r>
  <r>
    <x v="46"/>
    <x v="22"/>
    <x v="291"/>
    <x v="45"/>
    <x v="549"/>
    <x v="879"/>
  </r>
  <r>
    <x v="46"/>
    <x v="11"/>
    <x v="224"/>
    <x v="45"/>
    <x v="403"/>
    <x v="880"/>
  </r>
  <r>
    <x v="46"/>
    <x v="11"/>
    <x v="551"/>
    <x v="294"/>
    <x v="550"/>
    <x v="881"/>
  </r>
  <r>
    <x v="46"/>
    <x v="11"/>
    <x v="615"/>
    <x v="47"/>
    <x v="227"/>
    <x v="882"/>
  </r>
  <r>
    <x v="46"/>
    <x v="22"/>
    <x v="178"/>
    <x v="162"/>
    <x v="365"/>
    <x v="883"/>
  </r>
  <r>
    <x v="46"/>
    <x v="22"/>
    <x v="616"/>
    <x v="256"/>
    <x v="498"/>
    <x v="884"/>
  </r>
  <r>
    <x v="46"/>
    <x v="11"/>
    <x v="557"/>
    <x v="3"/>
    <x v="524"/>
    <x v="885"/>
  </r>
  <r>
    <x v="46"/>
    <x v="21"/>
    <x v="617"/>
    <x v="158"/>
    <x v="230"/>
    <x v="886"/>
  </r>
  <r>
    <x v="46"/>
    <x v="11"/>
    <x v="618"/>
    <x v="249"/>
    <x v="551"/>
    <x v="887"/>
  </r>
  <r>
    <x v="46"/>
    <x v="24"/>
    <x v="266"/>
    <x v="132"/>
    <x v="552"/>
    <x v="888"/>
  </r>
  <r>
    <x v="46"/>
    <x v="11"/>
    <x v="402"/>
    <x v="158"/>
    <x v="267"/>
    <x v="889"/>
  </r>
  <r>
    <x v="46"/>
    <x v="13"/>
    <x v="619"/>
    <x v="53"/>
    <x v="359"/>
    <x v="890"/>
  </r>
  <r>
    <x v="46"/>
    <x v="21"/>
    <x v="620"/>
    <x v="144"/>
    <x v="290"/>
    <x v="891"/>
  </r>
  <r>
    <x v="46"/>
    <x v="11"/>
    <x v="162"/>
    <x v="180"/>
    <x v="502"/>
    <x v="892"/>
  </r>
  <r>
    <x v="46"/>
    <x v="13"/>
    <x v="621"/>
    <x v="154"/>
    <x v="305"/>
    <x v="893"/>
  </r>
  <r>
    <x v="46"/>
    <x v="26"/>
    <x v="280"/>
    <x v="43"/>
    <x v="553"/>
    <x v="894"/>
  </r>
  <r>
    <x v="46"/>
    <x v="11"/>
    <x v="622"/>
    <x v="47"/>
    <x v="350"/>
    <x v="895"/>
  </r>
  <r>
    <x v="46"/>
    <x v="11"/>
    <x v="310"/>
    <x v="111"/>
    <x v="530"/>
    <x v="896"/>
  </r>
  <r>
    <x v="46"/>
    <x v="21"/>
    <x v="346"/>
    <x v="166"/>
    <x v="554"/>
    <x v="897"/>
  </r>
  <r>
    <x v="46"/>
    <x v="13"/>
    <x v="310"/>
    <x v="293"/>
    <x v="316"/>
    <x v="898"/>
  </r>
  <r>
    <x v="46"/>
    <x v="11"/>
    <x v="623"/>
    <x v="47"/>
    <x v="125"/>
    <x v="899"/>
  </r>
  <r>
    <x v="46"/>
    <x v="11"/>
    <x v="621"/>
    <x v="176"/>
    <x v="555"/>
    <x v="900"/>
  </r>
  <r>
    <x v="46"/>
    <x v="25"/>
    <x v="297"/>
    <x v="45"/>
    <x v="197"/>
    <x v="901"/>
  </r>
  <r>
    <x v="46"/>
    <x v="11"/>
    <x v="215"/>
    <x v="111"/>
    <x v="108"/>
    <x v="902"/>
  </r>
  <r>
    <x v="46"/>
    <x v="11"/>
    <x v="248"/>
    <x v="295"/>
    <x v="556"/>
    <x v="903"/>
  </r>
  <r>
    <x v="46"/>
    <x v="11"/>
    <x v="603"/>
    <x v="47"/>
    <x v="63"/>
    <x v="904"/>
  </r>
  <r>
    <x v="46"/>
    <x v="11"/>
    <x v="624"/>
    <x v="154"/>
    <x v="557"/>
    <x v="905"/>
  </r>
  <r>
    <x v="46"/>
    <x v="25"/>
    <x v="183"/>
    <x v="103"/>
    <x v="558"/>
    <x v="906"/>
  </r>
  <r>
    <x v="46"/>
    <x v="21"/>
    <x v="183"/>
    <x v="111"/>
    <x v="194"/>
    <x v="907"/>
  </r>
  <r>
    <x v="46"/>
    <x v="11"/>
    <x v="625"/>
    <x v="47"/>
    <x v="559"/>
    <x v="908"/>
  </r>
  <r>
    <x v="46"/>
    <x v="11"/>
    <x v="224"/>
    <x v="15"/>
    <x v="545"/>
    <x v="909"/>
  </r>
  <r>
    <x v="46"/>
    <x v="13"/>
    <x v="626"/>
    <x v="47"/>
    <x v="318"/>
    <x v="910"/>
  </r>
  <r>
    <x v="46"/>
    <x v="11"/>
    <x v="525"/>
    <x v="53"/>
    <x v="261"/>
    <x v="911"/>
  </r>
  <r>
    <x v="46"/>
    <x v="11"/>
    <x v="206"/>
    <x v="189"/>
    <x v="560"/>
    <x v="912"/>
  </r>
  <r>
    <x v="46"/>
    <x v="13"/>
    <x v="228"/>
    <x v="296"/>
    <x v="555"/>
    <x v="913"/>
  </r>
  <r>
    <x v="46"/>
    <x v="11"/>
    <x v="627"/>
    <x v="194"/>
    <x v="282"/>
    <x v="914"/>
  </r>
  <r>
    <x v="46"/>
    <x v="11"/>
    <x v="628"/>
    <x v="266"/>
    <x v="98"/>
    <x v="915"/>
  </r>
  <r>
    <x v="46"/>
    <x v="13"/>
    <x v="232"/>
    <x v="111"/>
    <x v="41"/>
    <x v="916"/>
  </r>
  <r>
    <x v="46"/>
    <x v="13"/>
    <x v="218"/>
    <x v="199"/>
    <x v="561"/>
    <x v="917"/>
  </r>
  <r>
    <x v="46"/>
    <x v="11"/>
    <x v="606"/>
    <x v="105"/>
    <x v="201"/>
    <x v="918"/>
  </r>
  <r>
    <x v="46"/>
    <x v="11"/>
    <x v="629"/>
    <x v="105"/>
    <x v="562"/>
    <x v="919"/>
  </r>
  <r>
    <x v="46"/>
    <x v="13"/>
    <x v="587"/>
    <x v="132"/>
    <x v="563"/>
    <x v="920"/>
  </r>
  <r>
    <x v="46"/>
    <x v="11"/>
    <x v="630"/>
    <x v="19"/>
    <x v="564"/>
    <x v="921"/>
  </r>
  <r>
    <x v="46"/>
    <x v="11"/>
    <x v="631"/>
    <x v="152"/>
    <x v="565"/>
    <x v="922"/>
  </r>
  <r>
    <x v="46"/>
    <x v="11"/>
    <x v="189"/>
    <x v="284"/>
    <x v="278"/>
    <x v="923"/>
  </r>
  <r>
    <x v="46"/>
    <x v="11"/>
    <x v="606"/>
    <x v="111"/>
    <x v="394"/>
    <x v="924"/>
  </r>
  <r>
    <x v="46"/>
    <x v="11"/>
    <x v="178"/>
    <x v="297"/>
    <x v="60"/>
    <x v="925"/>
  </r>
  <r>
    <x v="46"/>
    <x v="13"/>
    <x v="208"/>
    <x v="50"/>
    <x v="448"/>
    <x v="926"/>
  </r>
  <r>
    <x v="46"/>
    <x v="11"/>
    <x v="632"/>
    <x v="74"/>
    <x v="156"/>
    <x v="927"/>
  </r>
  <r>
    <x v="46"/>
    <x v="11"/>
    <x v="633"/>
    <x v="194"/>
    <x v="110"/>
    <x v="928"/>
  </r>
  <r>
    <x v="46"/>
    <x v="11"/>
    <x v="195"/>
    <x v="166"/>
    <x v="566"/>
    <x v="929"/>
  </r>
  <r>
    <x v="46"/>
    <x v="23"/>
    <x v="418"/>
    <x v="45"/>
    <x v="231"/>
    <x v="930"/>
  </r>
  <r>
    <x v="46"/>
    <x v="13"/>
    <x v="619"/>
    <x v="162"/>
    <x v="508"/>
    <x v="931"/>
  </r>
  <r>
    <x v="46"/>
    <x v="21"/>
    <x v="205"/>
    <x v="47"/>
    <x v="536"/>
    <x v="932"/>
  </r>
  <r>
    <x v="46"/>
    <x v="11"/>
    <x v="228"/>
    <x v="105"/>
    <x v="14"/>
    <x v="933"/>
  </r>
  <r>
    <x v="46"/>
    <x v="11"/>
    <x v="250"/>
    <x v="166"/>
    <x v="567"/>
    <x v="934"/>
  </r>
  <r>
    <x v="46"/>
    <x v="23"/>
    <x v="210"/>
    <x v="7"/>
    <x v="160"/>
    <x v="935"/>
  </r>
  <r>
    <x v="46"/>
    <x v="13"/>
    <x v="634"/>
    <x v="158"/>
    <x v="568"/>
    <x v="936"/>
  </r>
  <r>
    <x v="46"/>
    <x v="13"/>
    <x v="346"/>
    <x v="298"/>
    <x v="568"/>
    <x v="937"/>
  </r>
  <r>
    <x v="46"/>
    <x v="11"/>
    <x v="174"/>
    <x v="47"/>
    <x v="423"/>
    <x v="938"/>
  </r>
  <r>
    <x v="46"/>
    <x v="11"/>
    <x v="209"/>
    <x v="299"/>
    <x v="569"/>
    <x v="939"/>
  </r>
  <r>
    <x v="46"/>
    <x v="11"/>
    <x v="186"/>
    <x v="105"/>
    <x v="570"/>
    <x v="940"/>
  </r>
  <r>
    <x v="46"/>
    <x v="11"/>
    <x v="600"/>
    <x v="156"/>
    <x v="314"/>
    <x v="941"/>
  </r>
  <r>
    <x v="46"/>
    <x v="11"/>
    <x v="635"/>
    <x v="111"/>
    <x v="571"/>
    <x v="942"/>
  </r>
  <r>
    <x v="46"/>
    <x v="13"/>
    <x v="636"/>
    <x v="12"/>
    <x v="251"/>
    <x v="943"/>
  </r>
  <r>
    <x v="46"/>
    <x v="11"/>
    <x v="637"/>
    <x v="47"/>
    <x v="572"/>
    <x v="944"/>
  </r>
  <r>
    <x v="46"/>
    <x v="11"/>
    <x v="305"/>
    <x v="47"/>
    <x v="41"/>
    <x v="945"/>
  </r>
  <r>
    <x v="46"/>
    <x v="11"/>
    <x v="248"/>
    <x v="176"/>
    <x v="468"/>
    <x v="946"/>
  </r>
  <r>
    <x v="46"/>
    <x v="13"/>
    <x v="638"/>
    <x v="173"/>
    <x v="573"/>
    <x v="947"/>
  </r>
  <r>
    <x v="46"/>
    <x v="13"/>
    <x v="226"/>
    <x v="150"/>
    <x v="237"/>
    <x v="948"/>
  </r>
  <r>
    <x v="46"/>
    <x v="13"/>
    <x v="611"/>
    <x v="300"/>
    <x v="276"/>
    <x v="949"/>
  </r>
  <r>
    <x v="46"/>
    <x v="13"/>
    <x v="312"/>
    <x v="248"/>
    <x v="574"/>
    <x v="950"/>
  </r>
  <r>
    <x v="46"/>
    <x v="21"/>
    <x v="183"/>
    <x v="134"/>
    <x v="237"/>
    <x v="951"/>
  </r>
  <r>
    <x v="46"/>
    <x v="13"/>
    <x v="404"/>
    <x v="15"/>
    <x v="394"/>
    <x v="952"/>
  </r>
  <r>
    <x v="46"/>
    <x v="13"/>
    <x v="630"/>
    <x v="197"/>
    <x v="282"/>
    <x v="953"/>
  </r>
  <r>
    <x v="46"/>
    <x v="11"/>
    <x v="371"/>
    <x v="47"/>
    <x v="575"/>
    <x v="954"/>
  </r>
  <r>
    <x v="46"/>
    <x v="21"/>
    <x v="206"/>
    <x v="301"/>
    <x v="290"/>
    <x v="955"/>
  </r>
  <r>
    <x v="46"/>
    <x v="11"/>
    <x v="639"/>
    <x v="12"/>
    <x v="408"/>
    <x v="956"/>
  </r>
  <r>
    <x v="46"/>
    <x v="11"/>
    <x v="381"/>
    <x v="166"/>
    <x v="576"/>
    <x v="957"/>
  </r>
  <r>
    <x v="46"/>
    <x v="13"/>
    <x v="184"/>
    <x v="142"/>
    <x v="577"/>
    <x v="958"/>
  </r>
  <r>
    <x v="46"/>
    <x v="13"/>
    <x v="640"/>
    <x v="103"/>
    <x v="578"/>
    <x v="959"/>
  </r>
  <r>
    <x v="46"/>
    <x v="23"/>
    <x v="641"/>
    <x v="286"/>
    <x v="579"/>
    <x v="960"/>
  </r>
  <r>
    <x v="46"/>
    <x v="20"/>
    <x v="642"/>
    <x v="166"/>
    <x v="580"/>
    <x v="961"/>
  </r>
  <r>
    <x v="46"/>
    <x v="23"/>
    <x v="643"/>
    <x v="154"/>
    <x v="581"/>
    <x v="962"/>
  </r>
  <r>
    <x v="46"/>
    <x v="13"/>
    <x v="22"/>
    <x v="15"/>
    <x v="582"/>
    <x v="963"/>
  </r>
  <r>
    <x v="46"/>
    <x v="12"/>
    <x v="56"/>
    <x v="83"/>
    <x v="583"/>
    <x v="964"/>
  </r>
  <r>
    <x v="46"/>
    <x v="21"/>
    <x v="644"/>
    <x v="103"/>
    <x v="399"/>
    <x v="965"/>
  </r>
  <r>
    <x v="46"/>
    <x v="23"/>
    <x v="645"/>
    <x v="111"/>
    <x v="70"/>
    <x v="966"/>
  </r>
  <r>
    <x v="46"/>
    <x v="11"/>
    <x v="646"/>
    <x v="144"/>
    <x v="584"/>
    <x v="967"/>
  </r>
  <r>
    <x v="46"/>
    <x v="11"/>
    <x v="647"/>
    <x v="152"/>
    <x v="585"/>
    <x v="968"/>
  </r>
  <r>
    <x v="46"/>
    <x v="13"/>
    <x v="648"/>
    <x v="20"/>
    <x v="214"/>
    <x v="969"/>
  </r>
  <r>
    <x v="46"/>
    <x v="22"/>
    <x v="649"/>
    <x v="70"/>
    <x v="586"/>
    <x v="970"/>
  </r>
  <r>
    <x v="46"/>
    <x v="11"/>
    <x v="650"/>
    <x v="166"/>
    <x v="587"/>
    <x v="971"/>
  </r>
  <r>
    <x v="46"/>
    <x v="11"/>
    <x v="651"/>
    <x v="76"/>
    <x v="588"/>
    <x v="972"/>
  </r>
  <r>
    <x v="46"/>
    <x v="22"/>
    <x v="652"/>
    <x v="45"/>
    <x v="110"/>
    <x v="973"/>
  </r>
  <r>
    <x v="46"/>
    <x v="11"/>
    <x v="653"/>
    <x v="302"/>
    <x v="589"/>
    <x v="974"/>
  </r>
  <r>
    <x v="46"/>
    <x v="17"/>
    <x v="504"/>
    <x v="11"/>
    <x v="590"/>
    <x v="975"/>
  </r>
  <r>
    <x v="46"/>
    <x v="37"/>
    <x v="654"/>
    <x v="166"/>
    <x v="591"/>
    <x v="976"/>
  </r>
  <r>
    <x v="46"/>
    <x v="22"/>
    <x v="329"/>
    <x v="3"/>
    <x v="109"/>
    <x v="977"/>
  </r>
  <r>
    <x v="46"/>
    <x v="11"/>
    <x v="625"/>
    <x v="303"/>
    <x v="290"/>
    <x v="978"/>
  </r>
  <r>
    <x v="46"/>
    <x v="22"/>
    <x v="291"/>
    <x v="304"/>
    <x v="154"/>
    <x v="979"/>
  </r>
  <r>
    <x v="46"/>
    <x v="13"/>
    <x v="265"/>
    <x v="94"/>
    <x v="592"/>
    <x v="980"/>
  </r>
  <r>
    <x v="46"/>
    <x v="11"/>
    <x v="289"/>
    <x v="196"/>
    <x v="593"/>
    <x v="981"/>
  </r>
  <r>
    <x v="46"/>
    <x v="21"/>
    <x v="655"/>
    <x v="202"/>
    <x v="594"/>
    <x v="982"/>
  </r>
  <r>
    <x v="46"/>
    <x v="38"/>
    <x v="548"/>
    <x v="168"/>
    <x v="20"/>
    <x v="983"/>
  </r>
  <r>
    <x v="46"/>
    <x v="12"/>
    <x v="656"/>
    <x v="305"/>
    <x v="595"/>
    <x v="984"/>
  </r>
  <r>
    <x v="46"/>
    <x v="39"/>
    <x v="217"/>
    <x v="306"/>
    <x v="555"/>
    <x v="985"/>
  </r>
  <r>
    <x v="46"/>
    <x v="40"/>
    <x v="205"/>
    <x v="158"/>
    <x v="596"/>
    <x v="986"/>
  </r>
  <r>
    <x v="47"/>
    <x v="41"/>
    <x v="175"/>
    <x v="111"/>
    <x v="597"/>
    <x v="987"/>
  </r>
  <r>
    <x v="47"/>
    <x v="15"/>
    <x v="657"/>
    <x v="233"/>
    <x v="178"/>
    <x v="988"/>
  </r>
  <r>
    <x v="47"/>
    <x v="22"/>
    <x v="542"/>
    <x v="0"/>
    <x v="255"/>
    <x v="989"/>
  </r>
  <r>
    <x v="47"/>
    <x v="11"/>
    <x v="542"/>
    <x v="45"/>
    <x v="598"/>
    <x v="990"/>
  </r>
  <r>
    <x v="47"/>
    <x v="11"/>
    <x v="196"/>
    <x v="43"/>
    <x v="599"/>
    <x v="991"/>
  </r>
  <r>
    <x v="47"/>
    <x v="14"/>
    <x v="658"/>
    <x v="131"/>
    <x v="413"/>
    <x v="992"/>
  </r>
  <r>
    <x v="47"/>
    <x v="11"/>
    <x v="563"/>
    <x v="45"/>
    <x v="90"/>
    <x v="993"/>
  </r>
  <r>
    <x v="47"/>
    <x v="11"/>
    <x v="659"/>
    <x v="280"/>
    <x v="557"/>
    <x v="994"/>
  </r>
  <r>
    <x v="47"/>
    <x v="42"/>
    <x v="599"/>
    <x v="162"/>
    <x v="600"/>
    <x v="995"/>
  </r>
  <r>
    <x v="47"/>
    <x v="11"/>
    <x v="557"/>
    <x v="134"/>
    <x v="601"/>
    <x v="996"/>
  </r>
  <r>
    <x v="47"/>
    <x v="11"/>
    <x v="563"/>
    <x v="134"/>
    <x v="387"/>
    <x v="997"/>
  </r>
  <r>
    <x v="47"/>
    <x v="11"/>
    <x v="207"/>
    <x v="134"/>
    <x v="365"/>
    <x v="998"/>
  </r>
  <r>
    <x v="47"/>
    <x v="11"/>
    <x v="284"/>
    <x v="15"/>
    <x v="174"/>
    <x v="999"/>
  </r>
  <r>
    <x v="47"/>
    <x v="11"/>
    <x v="174"/>
    <x v="146"/>
    <x v="307"/>
    <x v="1000"/>
  </r>
  <r>
    <x v="47"/>
    <x v="13"/>
    <x v="660"/>
    <x v="104"/>
    <x v="322"/>
    <x v="1001"/>
  </r>
  <r>
    <x v="47"/>
    <x v="13"/>
    <x v="661"/>
    <x v="307"/>
    <x v="602"/>
    <x v="1002"/>
  </r>
  <r>
    <x v="47"/>
    <x v="11"/>
    <x v="402"/>
    <x v="11"/>
    <x v="603"/>
    <x v="1003"/>
  </r>
  <r>
    <x v="47"/>
    <x v="21"/>
    <x v="412"/>
    <x v="308"/>
    <x v="110"/>
    <x v="1004"/>
  </r>
  <r>
    <x v="47"/>
    <x v="11"/>
    <x v="662"/>
    <x v="252"/>
    <x v="308"/>
    <x v="1005"/>
  </r>
  <r>
    <x v="48"/>
    <x v="11"/>
    <x v="208"/>
    <x v="0"/>
    <x v="181"/>
    <x v="1006"/>
  </r>
  <r>
    <x v="48"/>
    <x v="11"/>
    <x v="196"/>
    <x v="152"/>
    <x v="180"/>
    <x v="1007"/>
  </r>
  <r>
    <x v="48"/>
    <x v="11"/>
    <x v="604"/>
    <x v="233"/>
    <x v="295"/>
    <x v="1008"/>
  </r>
  <r>
    <x v="48"/>
    <x v="11"/>
    <x v="451"/>
    <x v="152"/>
    <x v="69"/>
    <x v="1009"/>
  </r>
  <r>
    <x v="48"/>
    <x v="22"/>
    <x v="663"/>
    <x v="111"/>
    <x v="375"/>
    <x v="1010"/>
  </r>
  <r>
    <x v="48"/>
    <x v="22"/>
    <x v="664"/>
    <x v="12"/>
    <x v="604"/>
    <x v="1011"/>
  </r>
  <r>
    <x v="48"/>
    <x v="11"/>
    <x v="665"/>
    <x v="280"/>
    <x v="605"/>
    <x v="1012"/>
  </r>
  <r>
    <x v="48"/>
    <x v="11"/>
    <x v="195"/>
    <x v="224"/>
    <x v="606"/>
    <x v="1013"/>
  </r>
  <r>
    <x v="48"/>
    <x v="11"/>
    <x v="454"/>
    <x v="248"/>
    <x v="383"/>
    <x v="1014"/>
  </r>
  <r>
    <x v="48"/>
    <x v="11"/>
    <x v="331"/>
    <x v="12"/>
    <x v="22"/>
    <x v="1015"/>
  </r>
  <r>
    <x v="48"/>
    <x v="11"/>
    <x v="666"/>
    <x v="47"/>
    <x v="533"/>
    <x v="1016"/>
  </r>
  <r>
    <x v="48"/>
    <x v="13"/>
    <x v="578"/>
    <x v="309"/>
    <x v="333"/>
    <x v="1017"/>
  </r>
  <r>
    <x v="48"/>
    <x v="13"/>
    <x v="250"/>
    <x v="43"/>
    <x v="62"/>
    <x v="1018"/>
  </r>
  <r>
    <x v="48"/>
    <x v="11"/>
    <x v="238"/>
    <x v="166"/>
    <x v="607"/>
    <x v="1019"/>
  </r>
  <r>
    <x v="48"/>
    <x v="11"/>
    <x v="196"/>
    <x v="105"/>
    <x v="608"/>
    <x v="1020"/>
  </r>
  <r>
    <x v="48"/>
    <x v="12"/>
    <x v="267"/>
    <x v="296"/>
    <x v="70"/>
    <x v="1021"/>
  </r>
  <r>
    <x v="48"/>
    <x v="11"/>
    <x v="667"/>
    <x v="105"/>
    <x v="41"/>
    <x v="1022"/>
  </r>
  <r>
    <x v="48"/>
    <x v="13"/>
    <x v="668"/>
    <x v="45"/>
    <x v="609"/>
    <x v="1023"/>
  </r>
  <r>
    <x v="48"/>
    <x v="14"/>
    <x v="669"/>
    <x v="105"/>
    <x v="191"/>
    <x v="1024"/>
  </r>
  <r>
    <x v="48"/>
    <x v="22"/>
    <x v="670"/>
    <x v="166"/>
    <x v="82"/>
    <x v="1025"/>
  </r>
  <r>
    <x v="48"/>
    <x v="11"/>
    <x v="284"/>
    <x v="224"/>
    <x v="66"/>
    <x v="1026"/>
  </r>
  <r>
    <x v="48"/>
    <x v="11"/>
    <x v="671"/>
    <x v="121"/>
    <x v="610"/>
    <x v="1027"/>
  </r>
  <r>
    <x v="48"/>
    <x v="23"/>
    <x v="322"/>
    <x v="279"/>
    <x v="611"/>
    <x v="1028"/>
  </r>
  <r>
    <x v="48"/>
    <x v="21"/>
    <x v="601"/>
    <x v="47"/>
    <x v="147"/>
    <x v="1029"/>
  </r>
  <r>
    <x v="48"/>
    <x v="21"/>
    <x v="672"/>
    <x v="104"/>
    <x v="304"/>
    <x v="1030"/>
  </r>
  <r>
    <x v="48"/>
    <x v="11"/>
    <x v="673"/>
    <x v="100"/>
    <x v="21"/>
    <x v="1031"/>
  </r>
  <r>
    <x v="48"/>
    <x v="11"/>
    <x v="674"/>
    <x v="47"/>
    <x v="612"/>
    <x v="1032"/>
  </r>
  <r>
    <x v="48"/>
    <x v="17"/>
    <x v="433"/>
    <x v="224"/>
    <x v="486"/>
    <x v="1033"/>
  </r>
  <r>
    <x v="48"/>
    <x v="13"/>
    <x v="675"/>
    <x v="152"/>
    <x v="613"/>
    <x v="1034"/>
  </r>
  <r>
    <x v="48"/>
    <x v="11"/>
    <x v="676"/>
    <x v="12"/>
    <x v="246"/>
    <x v="1035"/>
  </r>
  <r>
    <x v="48"/>
    <x v="11"/>
    <x v="196"/>
    <x v="168"/>
    <x v="290"/>
    <x v="1036"/>
  </r>
  <r>
    <x v="48"/>
    <x v="11"/>
    <x v="291"/>
    <x v="15"/>
    <x v="473"/>
    <x v="1037"/>
  </r>
  <r>
    <x v="48"/>
    <x v="11"/>
    <x v="273"/>
    <x v="45"/>
    <x v="614"/>
    <x v="1038"/>
  </r>
  <r>
    <x v="48"/>
    <x v="11"/>
    <x v="283"/>
    <x v="233"/>
    <x v="615"/>
    <x v="1039"/>
  </r>
  <r>
    <x v="48"/>
    <x v="22"/>
    <x v="677"/>
    <x v="195"/>
    <x v="146"/>
    <x v="1040"/>
  </r>
  <r>
    <x v="48"/>
    <x v="11"/>
    <x v="249"/>
    <x v="47"/>
    <x v="616"/>
    <x v="1041"/>
  </r>
  <r>
    <x v="48"/>
    <x v="23"/>
    <x v="678"/>
    <x v="257"/>
    <x v="617"/>
    <x v="1042"/>
  </r>
  <r>
    <x v="48"/>
    <x v="12"/>
    <x v="679"/>
    <x v="134"/>
    <x v="414"/>
    <x v="1043"/>
  </r>
  <r>
    <x v="48"/>
    <x v="11"/>
    <x v="680"/>
    <x v="162"/>
    <x v="58"/>
    <x v="1044"/>
  </r>
  <r>
    <x v="48"/>
    <x v="11"/>
    <x v="681"/>
    <x v="156"/>
    <x v="618"/>
    <x v="1045"/>
  </r>
  <r>
    <x v="48"/>
    <x v="15"/>
    <x v="682"/>
    <x v="105"/>
    <x v="116"/>
    <x v="1046"/>
  </r>
  <r>
    <x v="48"/>
    <x v="22"/>
    <x v="369"/>
    <x v="103"/>
    <x v="171"/>
    <x v="1047"/>
  </r>
  <r>
    <x v="48"/>
    <x v="11"/>
    <x v="683"/>
    <x v="158"/>
    <x v="619"/>
    <x v="1048"/>
  </r>
  <r>
    <x v="48"/>
    <x v="21"/>
    <x v="684"/>
    <x v="47"/>
    <x v="81"/>
    <x v="1049"/>
  </r>
  <r>
    <x v="48"/>
    <x v="11"/>
    <x v="685"/>
    <x v="139"/>
    <x v="620"/>
    <x v="1050"/>
  </r>
  <r>
    <x v="48"/>
    <x v="11"/>
    <x v="18"/>
    <x v="15"/>
    <x v="621"/>
    <x v="1051"/>
  </r>
  <r>
    <x v="48"/>
    <x v="13"/>
    <x v="686"/>
    <x v="53"/>
    <x v="379"/>
    <x v="1052"/>
  </r>
  <r>
    <x v="48"/>
    <x v="13"/>
    <x v="687"/>
    <x v="310"/>
    <x v="534"/>
    <x v="1053"/>
  </r>
  <r>
    <x v="48"/>
    <x v="11"/>
    <x v="688"/>
    <x v="152"/>
    <x v="622"/>
    <x v="1054"/>
  </r>
  <r>
    <x v="48"/>
    <x v="11"/>
    <x v="689"/>
    <x v="53"/>
    <x v="333"/>
    <x v="1055"/>
  </r>
  <r>
    <x v="48"/>
    <x v="22"/>
    <x v="109"/>
    <x v="47"/>
    <x v="198"/>
    <x v="1056"/>
  </r>
  <r>
    <x v="48"/>
    <x v="13"/>
    <x v="690"/>
    <x v="15"/>
    <x v="128"/>
    <x v="1057"/>
  </r>
  <r>
    <x v="48"/>
    <x v="13"/>
    <x v="85"/>
    <x v="158"/>
    <x v="50"/>
    <x v="1058"/>
  </r>
  <r>
    <x v="48"/>
    <x v="13"/>
    <x v="691"/>
    <x v="59"/>
    <x v="7"/>
    <x v="1059"/>
  </r>
  <r>
    <x v="48"/>
    <x v="13"/>
    <x v="423"/>
    <x v="311"/>
    <x v="65"/>
    <x v="1060"/>
  </r>
  <r>
    <x v="48"/>
    <x v="30"/>
    <x v="692"/>
    <x v="45"/>
    <x v="24"/>
    <x v="1061"/>
  </r>
  <r>
    <x v="48"/>
    <x v="13"/>
    <x v="693"/>
    <x v="47"/>
    <x v="67"/>
    <x v="1062"/>
  </r>
  <r>
    <x v="48"/>
    <x v="13"/>
    <x v="270"/>
    <x v="162"/>
    <x v="24"/>
    <x v="1063"/>
  </r>
  <r>
    <x v="48"/>
    <x v="21"/>
    <x v="694"/>
    <x v="312"/>
    <x v="623"/>
    <x v="1064"/>
  </r>
  <r>
    <x v="48"/>
    <x v="11"/>
    <x v="695"/>
    <x v="152"/>
    <x v="296"/>
    <x v="1065"/>
  </r>
  <r>
    <x v="48"/>
    <x v="11"/>
    <x v="696"/>
    <x v="74"/>
    <x v="624"/>
    <x v="1066"/>
  </r>
  <r>
    <x v="48"/>
    <x v="13"/>
    <x v="270"/>
    <x v="3"/>
    <x v="246"/>
    <x v="1067"/>
  </r>
  <r>
    <x v="48"/>
    <x v="11"/>
    <x v="697"/>
    <x v="313"/>
    <x v="31"/>
    <x v="1068"/>
  </r>
  <r>
    <x v="48"/>
    <x v="13"/>
    <x v="698"/>
    <x v="233"/>
    <x v="625"/>
    <x v="1069"/>
  </r>
  <r>
    <x v="48"/>
    <x v="13"/>
    <x v="567"/>
    <x v="45"/>
    <x v="626"/>
    <x v="1070"/>
  </r>
  <r>
    <x v="48"/>
    <x v="24"/>
    <x v="273"/>
    <x v="314"/>
    <x v="627"/>
    <x v="1071"/>
  </r>
  <r>
    <x v="48"/>
    <x v="13"/>
    <x v="699"/>
    <x v="162"/>
    <x v="133"/>
    <x v="1072"/>
  </r>
  <r>
    <x v="48"/>
    <x v="21"/>
    <x v="700"/>
    <x v="315"/>
    <x v="289"/>
    <x v="1073"/>
  </r>
  <r>
    <x v="48"/>
    <x v="22"/>
    <x v="701"/>
    <x v="301"/>
    <x v="628"/>
    <x v="1074"/>
  </r>
  <r>
    <x v="48"/>
    <x v="41"/>
    <x v="702"/>
    <x v="97"/>
    <x v="629"/>
    <x v="1075"/>
  </r>
  <r>
    <x v="48"/>
    <x v="11"/>
    <x v="703"/>
    <x v="156"/>
    <x v="539"/>
    <x v="1076"/>
  </r>
  <r>
    <x v="48"/>
    <x v="11"/>
    <x v="18"/>
    <x v="76"/>
    <x v="630"/>
    <x v="1077"/>
  </r>
  <r>
    <x v="48"/>
    <x v="22"/>
    <x v="35"/>
    <x v="316"/>
    <x v="514"/>
    <x v="1078"/>
  </r>
  <r>
    <x v="48"/>
    <x v="11"/>
    <x v="704"/>
    <x v="156"/>
    <x v="434"/>
    <x v="1079"/>
  </r>
  <r>
    <x v="49"/>
    <x v="22"/>
    <x v="563"/>
    <x v="233"/>
    <x v="397"/>
    <x v="1080"/>
  </r>
  <r>
    <x v="49"/>
    <x v="11"/>
    <x v="705"/>
    <x v="252"/>
    <x v="631"/>
    <x v="1081"/>
  </r>
  <r>
    <x v="50"/>
    <x v="12"/>
    <x v="538"/>
    <x v="154"/>
    <x v="48"/>
    <x v="1082"/>
  </r>
  <r>
    <x v="50"/>
    <x v="43"/>
    <x v="536"/>
    <x v="47"/>
    <x v="632"/>
    <x v="1083"/>
  </r>
  <r>
    <x v="50"/>
    <x v="10"/>
    <x v="369"/>
    <x v="0"/>
    <x v="544"/>
    <x v="1084"/>
  </r>
  <r>
    <x v="50"/>
    <x v="11"/>
    <x v="706"/>
    <x v="43"/>
    <x v="633"/>
    <x v="1085"/>
  </r>
  <r>
    <x v="50"/>
    <x v="10"/>
    <x v="707"/>
    <x v="317"/>
    <x v="292"/>
    <x v="1086"/>
  </r>
  <r>
    <x v="50"/>
    <x v="11"/>
    <x v="472"/>
    <x v="238"/>
    <x v="262"/>
    <x v="1087"/>
  </r>
  <r>
    <x v="50"/>
    <x v="12"/>
    <x v="217"/>
    <x v="318"/>
    <x v="276"/>
    <x v="1088"/>
  </r>
  <r>
    <x v="50"/>
    <x v="10"/>
    <x v="166"/>
    <x v="47"/>
    <x v="66"/>
    <x v="1089"/>
  </r>
  <r>
    <x v="50"/>
    <x v="15"/>
    <x v="708"/>
    <x v="319"/>
    <x v="211"/>
    <x v="1090"/>
  </r>
  <r>
    <x v="50"/>
    <x v="12"/>
    <x v="178"/>
    <x v="131"/>
    <x v="634"/>
    <x v="1091"/>
  </r>
  <r>
    <x v="50"/>
    <x v="11"/>
    <x v="709"/>
    <x v="152"/>
    <x v="303"/>
    <x v="1092"/>
  </r>
  <r>
    <x v="50"/>
    <x v="12"/>
    <x v="13"/>
    <x v="320"/>
    <x v="18"/>
    <x v="1093"/>
  </r>
  <r>
    <x v="50"/>
    <x v="11"/>
    <x v="204"/>
    <x v="257"/>
    <x v="499"/>
    <x v="1094"/>
  </r>
  <r>
    <x v="50"/>
    <x v="11"/>
    <x v="710"/>
    <x v="233"/>
    <x v="41"/>
    <x v="1095"/>
  </r>
  <r>
    <x v="50"/>
    <x v="11"/>
    <x v="667"/>
    <x v="152"/>
    <x v="613"/>
    <x v="1096"/>
  </r>
  <r>
    <x v="50"/>
    <x v="14"/>
    <x v="183"/>
    <x v="47"/>
    <x v="86"/>
    <x v="1097"/>
  </r>
  <r>
    <x v="50"/>
    <x v="14"/>
    <x v="711"/>
    <x v="180"/>
    <x v="67"/>
    <x v="1098"/>
  </r>
  <r>
    <x v="50"/>
    <x v="11"/>
    <x v="712"/>
    <x v="158"/>
    <x v="635"/>
    <x v="1099"/>
  </r>
  <r>
    <x v="50"/>
    <x v="22"/>
    <x v="549"/>
    <x v="152"/>
    <x v="636"/>
    <x v="1100"/>
  </r>
  <r>
    <x v="50"/>
    <x v="13"/>
    <x v="713"/>
    <x v="279"/>
    <x v="257"/>
    <x v="1101"/>
  </r>
  <r>
    <x v="50"/>
    <x v="11"/>
    <x v="534"/>
    <x v="162"/>
    <x v="637"/>
    <x v="1102"/>
  </r>
  <r>
    <x v="50"/>
    <x v="10"/>
    <x v="658"/>
    <x v="134"/>
    <x v="107"/>
    <x v="1103"/>
  </r>
  <r>
    <x v="50"/>
    <x v="15"/>
    <x v="276"/>
    <x v="154"/>
    <x v="37"/>
    <x v="1104"/>
  </r>
  <r>
    <x v="50"/>
    <x v="11"/>
    <x v="568"/>
    <x v="224"/>
    <x v="638"/>
    <x v="1105"/>
  </r>
  <r>
    <x v="50"/>
    <x v="11"/>
    <x v="175"/>
    <x v="321"/>
    <x v="63"/>
    <x v="1106"/>
  </r>
  <r>
    <x v="50"/>
    <x v="11"/>
    <x v="231"/>
    <x v="43"/>
    <x v="639"/>
    <x v="1107"/>
  </r>
  <r>
    <x v="50"/>
    <x v="11"/>
    <x v="539"/>
    <x v="180"/>
    <x v="640"/>
    <x v="1108"/>
  </r>
  <r>
    <x v="50"/>
    <x v="13"/>
    <x v="714"/>
    <x v="45"/>
    <x v="479"/>
    <x v="1109"/>
  </r>
  <r>
    <x v="50"/>
    <x v="11"/>
    <x v="207"/>
    <x v="322"/>
    <x v="270"/>
    <x v="1110"/>
  </r>
  <r>
    <x v="50"/>
    <x v="22"/>
    <x v="601"/>
    <x v="154"/>
    <x v="364"/>
    <x v="1111"/>
  </r>
  <r>
    <x v="50"/>
    <x v="14"/>
    <x v="216"/>
    <x v="323"/>
    <x v="183"/>
    <x v="1112"/>
  </r>
  <r>
    <x v="50"/>
    <x v="26"/>
    <x v="206"/>
    <x v="324"/>
    <x v="641"/>
    <x v="1113"/>
  </r>
  <r>
    <x v="50"/>
    <x v="11"/>
    <x v="715"/>
    <x v="266"/>
    <x v="510"/>
    <x v="1114"/>
  </r>
  <r>
    <x v="50"/>
    <x v="11"/>
    <x v="328"/>
    <x v="53"/>
    <x v="107"/>
    <x v="1115"/>
  </r>
  <r>
    <x v="50"/>
    <x v="13"/>
    <x v="716"/>
    <x v="152"/>
    <x v="303"/>
    <x v="1116"/>
  </r>
  <r>
    <x v="50"/>
    <x v="21"/>
    <x v="717"/>
    <x v="325"/>
    <x v="336"/>
    <x v="1117"/>
  </r>
  <r>
    <x v="50"/>
    <x v="11"/>
    <x v="167"/>
    <x v="162"/>
    <x v="293"/>
    <x v="1118"/>
  </r>
  <r>
    <x v="50"/>
    <x v="15"/>
    <x v="711"/>
    <x v="103"/>
    <x v="8"/>
    <x v="1119"/>
  </r>
  <r>
    <x v="50"/>
    <x v="11"/>
    <x v="186"/>
    <x v="281"/>
    <x v="502"/>
    <x v="1120"/>
  </r>
  <r>
    <x v="50"/>
    <x v="23"/>
    <x v="328"/>
    <x v="154"/>
    <x v="627"/>
    <x v="1121"/>
  </r>
  <r>
    <x v="50"/>
    <x v="25"/>
    <x v="718"/>
    <x v="150"/>
    <x v="96"/>
    <x v="1122"/>
  </r>
  <r>
    <x v="50"/>
    <x v="11"/>
    <x v="719"/>
    <x v="152"/>
    <x v="642"/>
    <x v="1123"/>
  </r>
  <r>
    <x v="50"/>
    <x v="10"/>
    <x v="711"/>
    <x v="109"/>
    <x v="40"/>
    <x v="1124"/>
  </r>
  <r>
    <x v="50"/>
    <x v="11"/>
    <x v="720"/>
    <x v="326"/>
    <x v="626"/>
    <x v="1125"/>
  </r>
  <r>
    <x v="50"/>
    <x v="23"/>
    <x v="238"/>
    <x v="224"/>
    <x v="643"/>
    <x v="1126"/>
  </r>
  <r>
    <x v="50"/>
    <x v="13"/>
    <x v="209"/>
    <x v="152"/>
    <x v="262"/>
    <x v="1127"/>
  </r>
  <r>
    <x v="50"/>
    <x v="11"/>
    <x v="206"/>
    <x v="154"/>
    <x v="457"/>
    <x v="1128"/>
  </r>
  <r>
    <x v="50"/>
    <x v="11"/>
    <x v="721"/>
    <x v="45"/>
    <x v="644"/>
    <x v="1129"/>
  </r>
  <r>
    <x v="50"/>
    <x v="13"/>
    <x v="722"/>
    <x v="111"/>
    <x v="514"/>
    <x v="1130"/>
  </r>
  <r>
    <x v="50"/>
    <x v="11"/>
    <x v="183"/>
    <x v="47"/>
    <x v="389"/>
    <x v="1131"/>
  </r>
  <r>
    <x v="50"/>
    <x v="17"/>
    <x v="587"/>
    <x v="15"/>
    <x v="645"/>
    <x v="1132"/>
  </r>
  <r>
    <x v="50"/>
    <x v="11"/>
    <x v="621"/>
    <x v="327"/>
    <x v="210"/>
    <x v="1133"/>
  </r>
  <r>
    <x v="50"/>
    <x v="11"/>
    <x v="193"/>
    <x v="328"/>
    <x v="314"/>
    <x v="1134"/>
  </r>
  <r>
    <x v="50"/>
    <x v="13"/>
    <x v="723"/>
    <x v="45"/>
    <x v="646"/>
    <x v="1135"/>
  </r>
  <r>
    <x v="50"/>
    <x v="22"/>
    <x v="582"/>
    <x v="293"/>
    <x v="640"/>
    <x v="1136"/>
  </r>
  <r>
    <x v="50"/>
    <x v="13"/>
    <x v="222"/>
    <x v="53"/>
    <x v="647"/>
    <x v="1137"/>
  </r>
  <r>
    <x v="50"/>
    <x v="11"/>
    <x v="196"/>
    <x v="3"/>
    <x v="95"/>
    <x v="1138"/>
  </r>
  <r>
    <x v="50"/>
    <x v="22"/>
    <x v="724"/>
    <x v="15"/>
    <x v="648"/>
    <x v="1139"/>
  </r>
  <r>
    <x v="50"/>
    <x v="26"/>
    <x v="633"/>
    <x v="281"/>
    <x v="649"/>
    <x v="1140"/>
  </r>
  <r>
    <x v="50"/>
    <x v="13"/>
    <x v="642"/>
    <x v="0"/>
    <x v="87"/>
    <x v="1141"/>
  </r>
  <r>
    <x v="50"/>
    <x v="11"/>
    <x v="632"/>
    <x v="131"/>
    <x v="460"/>
    <x v="1142"/>
  </r>
  <r>
    <x v="50"/>
    <x v="13"/>
    <x v="504"/>
    <x v="233"/>
    <x v="535"/>
    <x v="1143"/>
  </r>
  <r>
    <x v="50"/>
    <x v="13"/>
    <x v="725"/>
    <x v="47"/>
    <x v="650"/>
    <x v="1144"/>
  </r>
  <r>
    <x v="50"/>
    <x v="11"/>
    <x v="228"/>
    <x v="162"/>
    <x v="651"/>
    <x v="1145"/>
  </r>
  <r>
    <x v="50"/>
    <x v="13"/>
    <x v="587"/>
    <x v="154"/>
    <x v="309"/>
    <x v="1146"/>
  </r>
  <r>
    <x v="50"/>
    <x v="13"/>
    <x v="726"/>
    <x v="233"/>
    <x v="322"/>
    <x v="1147"/>
  </r>
  <r>
    <x v="50"/>
    <x v="13"/>
    <x v="203"/>
    <x v="329"/>
    <x v="652"/>
    <x v="1148"/>
  </r>
  <r>
    <x v="50"/>
    <x v="13"/>
    <x v="242"/>
    <x v="180"/>
    <x v="653"/>
    <x v="1149"/>
  </r>
  <r>
    <x v="50"/>
    <x v="13"/>
    <x v="178"/>
    <x v="47"/>
    <x v="654"/>
    <x v="1150"/>
  </r>
  <r>
    <x v="50"/>
    <x v="11"/>
    <x v="331"/>
    <x v="134"/>
    <x v="132"/>
    <x v="1151"/>
  </r>
  <r>
    <x v="50"/>
    <x v="11"/>
    <x v="727"/>
    <x v="330"/>
    <x v="469"/>
    <x v="1152"/>
  </r>
  <r>
    <x v="50"/>
    <x v="21"/>
    <x v="6"/>
    <x v="284"/>
    <x v="197"/>
    <x v="1153"/>
  </r>
  <r>
    <x v="50"/>
    <x v="21"/>
    <x v="242"/>
    <x v="298"/>
    <x v="655"/>
    <x v="1154"/>
  </r>
  <r>
    <x v="50"/>
    <x v="21"/>
    <x v="525"/>
    <x v="233"/>
    <x v="480"/>
    <x v="1155"/>
  </r>
  <r>
    <x v="50"/>
    <x v="14"/>
    <x v="728"/>
    <x v="331"/>
    <x v="497"/>
    <x v="1156"/>
  </r>
  <r>
    <x v="50"/>
    <x v="11"/>
    <x v="729"/>
    <x v="100"/>
    <x v="656"/>
    <x v="1157"/>
  </r>
  <r>
    <x v="50"/>
    <x v="11"/>
    <x v="730"/>
    <x v="166"/>
    <x v="9"/>
    <x v="1158"/>
  </r>
  <r>
    <x v="51"/>
    <x v="11"/>
    <x v="634"/>
    <x v="0"/>
    <x v="542"/>
    <x v="1159"/>
  </r>
  <r>
    <x v="51"/>
    <x v="11"/>
    <x v="354"/>
    <x v="47"/>
    <x v="657"/>
    <x v="1160"/>
  </r>
  <r>
    <x v="51"/>
    <x v="11"/>
    <x v="196"/>
    <x v="158"/>
    <x v="658"/>
    <x v="1161"/>
  </r>
  <r>
    <x v="51"/>
    <x v="11"/>
    <x v="193"/>
    <x v="256"/>
    <x v="355"/>
    <x v="1162"/>
  </r>
  <r>
    <x v="51"/>
    <x v="13"/>
    <x v="174"/>
    <x v="281"/>
    <x v="125"/>
    <x v="1163"/>
  </r>
  <r>
    <x v="51"/>
    <x v="11"/>
    <x v="198"/>
    <x v="45"/>
    <x v="274"/>
    <x v="1164"/>
  </r>
  <r>
    <x v="51"/>
    <x v="11"/>
    <x v="183"/>
    <x v="332"/>
    <x v="659"/>
    <x v="1165"/>
  </r>
  <r>
    <x v="51"/>
    <x v="11"/>
    <x v="731"/>
    <x v="233"/>
    <x v="660"/>
    <x v="1166"/>
  </r>
  <r>
    <x v="51"/>
    <x v="11"/>
    <x v="732"/>
    <x v="103"/>
    <x v="661"/>
    <x v="1167"/>
  </r>
  <r>
    <x v="51"/>
    <x v="23"/>
    <x v="298"/>
    <x v="47"/>
    <x v="319"/>
    <x v="1168"/>
  </r>
  <r>
    <x v="51"/>
    <x v="13"/>
    <x v="354"/>
    <x v="134"/>
    <x v="79"/>
    <x v="1169"/>
  </r>
  <r>
    <x v="51"/>
    <x v="11"/>
    <x v="733"/>
    <x v="180"/>
    <x v="425"/>
    <x v="1170"/>
  </r>
  <r>
    <x v="51"/>
    <x v="22"/>
    <x v="734"/>
    <x v="158"/>
    <x v="526"/>
    <x v="1171"/>
  </r>
  <r>
    <x v="51"/>
    <x v="23"/>
    <x v="305"/>
    <x v="156"/>
    <x v="303"/>
    <x v="1172"/>
  </r>
  <r>
    <x v="51"/>
    <x v="13"/>
    <x v="735"/>
    <x v="53"/>
    <x v="662"/>
    <x v="1173"/>
  </r>
  <r>
    <x v="51"/>
    <x v="11"/>
    <x v="71"/>
    <x v="109"/>
    <x v="663"/>
    <x v="1174"/>
  </r>
  <r>
    <x v="51"/>
    <x v="13"/>
    <x v="736"/>
    <x v="142"/>
    <x v="125"/>
    <x v="1175"/>
  </r>
  <r>
    <x v="52"/>
    <x v="11"/>
    <x v="737"/>
    <x v="144"/>
    <x v="191"/>
    <x v="1176"/>
  </r>
  <r>
    <x v="52"/>
    <x v="21"/>
    <x v="252"/>
    <x v="3"/>
    <x v="664"/>
    <x v="1177"/>
  </r>
  <r>
    <x v="52"/>
    <x v="24"/>
    <x v="303"/>
    <x v="233"/>
    <x v="665"/>
    <x v="1178"/>
  </r>
  <r>
    <x v="52"/>
    <x v="21"/>
    <x v="738"/>
    <x v="152"/>
    <x v="276"/>
    <x v="1179"/>
  </r>
  <r>
    <x v="53"/>
    <x v="11"/>
    <x v="182"/>
    <x v="158"/>
    <x v="322"/>
    <x v="1180"/>
  </r>
  <r>
    <x v="53"/>
    <x v="11"/>
    <x v="198"/>
    <x v="333"/>
    <x v="666"/>
    <x v="1181"/>
  </r>
  <r>
    <x v="53"/>
    <x v="11"/>
    <x v="258"/>
    <x v="144"/>
    <x v="667"/>
    <x v="1182"/>
  </r>
  <r>
    <x v="53"/>
    <x v="21"/>
    <x v="315"/>
    <x v="3"/>
    <x v="668"/>
    <x v="1183"/>
  </r>
  <r>
    <x v="53"/>
    <x v="13"/>
    <x v="595"/>
    <x v="139"/>
    <x v="250"/>
    <x v="1184"/>
  </r>
  <r>
    <x v="53"/>
    <x v="11"/>
    <x v="739"/>
    <x v="47"/>
    <x v="669"/>
    <x v="1185"/>
  </r>
  <r>
    <x v="53"/>
    <x v="11"/>
    <x v="410"/>
    <x v="109"/>
    <x v="9"/>
    <x v="1186"/>
  </r>
  <r>
    <x v="54"/>
    <x v="9"/>
    <x v="199"/>
    <x v="334"/>
    <x v="670"/>
    <x v="1187"/>
  </r>
  <r>
    <x v="54"/>
    <x v="9"/>
    <x v="541"/>
    <x v="334"/>
    <x v="659"/>
    <x v="1188"/>
  </r>
  <r>
    <x v="54"/>
    <x v="9"/>
    <x v="199"/>
    <x v="334"/>
    <x v="251"/>
    <x v="1189"/>
  </r>
  <r>
    <x v="54"/>
    <x v="9"/>
    <x v="541"/>
    <x v="334"/>
    <x v="78"/>
    <x v="1190"/>
  </r>
  <r>
    <x v="54"/>
    <x v="9"/>
    <x v="542"/>
    <x v="334"/>
    <x v="671"/>
    <x v="1191"/>
  </r>
  <r>
    <x v="54"/>
    <x v="9"/>
    <x v="549"/>
    <x v="334"/>
    <x v="220"/>
    <x v="1192"/>
  </r>
  <r>
    <x v="54"/>
    <x v="9"/>
    <x v="549"/>
    <x v="334"/>
    <x v="227"/>
    <x v="1193"/>
  </r>
  <r>
    <x v="54"/>
    <x v="9"/>
    <x v="538"/>
    <x v="334"/>
    <x v="497"/>
    <x v="1194"/>
  </r>
  <r>
    <x v="54"/>
    <x v="9"/>
    <x v="542"/>
    <x v="334"/>
    <x v="672"/>
    <x v="1195"/>
  </r>
  <r>
    <x v="54"/>
    <x v="9"/>
    <x v="168"/>
    <x v="334"/>
    <x v="203"/>
    <x v="1196"/>
  </r>
  <r>
    <x v="54"/>
    <x v="9"/>
    <x v="740"/>
    <x v="334"/>
    <x v="239"/>
    <x v="1197"/>
  </r>
  <r>
    <x v="54"/>
    <x v="9"/>
    <x v="473"/>
    <x v="334"/>
    <x v="673"/>
    <x v="1198"/>
  </r>
  <r>
    <x v="54"/>
    <x v="9"/>
    <x v="741"/>
    <x v="334"/>
    <x v="674"/>
    <x v="1199"/>
  </r>
  <r>
    <x v="54"/>
    <x v="9"/>
    <x v="742"/>
    <x v="334"/>
    <x v="407"/>
    <x v="1200"/>
  </r>
  <r>
    <x v="54"/>
    <x v="9"/>
    <x v="601"/>
    <x v="334"/>
    <x v="222"/>
    <x v="1201"/>
  </r>
  <r>
    <x v="54"/>
    <x v="9"/>
    <x v="183"/>
    <x v="334"/>
    <x v="157"/>
    <x v="1202"/>
  </r>
  <r>
    <x v="54"/>
    <x v="9"/>
    <x v="600"/>
    <x v="334"/>
    <x v="4"/>
    <x v="1203"/>
  </r>
  <r>
    <x v="54"/>
    <x v="9"/>
    <x v="294"/>
    <x v="334"/>
    <x v="675"/>
    <x v="1204"/>
  </r>
  <r>
    <x v="54"/>
    <x v="9"/>
    <x v="346"/>
    <x v="334"/>
    <x v="295"/>
    <x v="1205"/>
  </r>
  <r>
    <x v="54"/>
    <x v="9"/>
    <x v="743"/>
    <x v="334"/>
    <x v="209"/>
    <x v="1206"/>
  </r>
  <r>
    <x v="54"/>
    <x v="9"/>
    <x v="744"/>
    <x v="334"/>
    <x v="607"/>
    <x v="1207"/>
  </r>
  <r>
    <x v="55"/>
    <x v="11"/>
    <x v="237"/>
    <x v="3"/>
    <x v="203"/>
    <x v="1208"/>
  </r>
  <r>
    <x v="55"/>
    <x v="22"/>
    <x v="745"/>
    <x v="103"/>
    <x v="676"/>
    <x v="1209"/>
  </r>
  <r>
    <x v="55"/>
    <x v="14"/>
    <x v="369"/>
    <x v="335"/>
    <x v="60"/>
    <x v="1210"/>
  </r>
  <r>
    <x v="55"/>
    <x v="11"/>
    <x v="746"/>
    <x v="166"/>
    <x v="677"/>
    <x v="1211"/>
  </r>
  <r>
    <x v="55"/>
    <x v="23"/>
    <x v="71"/>
    <x v="158"/>
    <x v="557"/>
    <x v="1212"/>
  </r>
  <r>
    <x v="55"/>
    <x v="11"/>
    <x v="309"/>
    <x v="336"/>
    <x v="365"/>
    <x v="1213"/>
  </r>
  <r>
    <x v="55"/>
    <x v="23"/>
    <x v="7"/>
    <x v="97"/>
    <x v="294"/>
    <x v="1214"/>
  </r>
  <r>
    <x v="55"/>
    <x v="12"/>
    <x v="248"/>
    <x v="337"/>
    <x v="608"/>
    <x v="1215"/>
  </r>
  <r>
    <x v="55"/>
    <x v="11"/>
    <x v="747"/>
    <x v="53"/>
    <x v="375"/>
    <x v="1216"/>
  </r>
  <r>
    <x v="55"/>
    <x v="21"/>
    <x v="748"/>
    <x v="338"/>
    <x v="678"/>
    <x v="1217"/>
  </r>
  <r>
    <x v="55"/>
    <x v="11"/>
    <x v="749"/>
    <x v="339"/>
    <x v="123"/>
    <x v="1218"/>
  </r>
  <r>
    <x v="55"/>
    <x v="11"/>
    <x v="750"/>
    <x v="156"/>
    <x v="511"/>
    <x v="1219"/>
  </r>
  <r>
    <x v="55"/>
    <x v="23"/>
    <x v="751"/>
    <x v="340"/>
    <x v="75"/>
    <x v="1220"/>
  </r>
  <r>
    <x v="55"/>
    <x v="11"/>
    <x v="752"/>
    <x v="341"/>
    <x v="679"/>
    <x v="1221"/>
  </r>
  <r>
    <x v="56"/>
    <x v="11"/>
    <x v="753"/>
    <x v="166"/>
    <x v="204"/>
    <x v="1222"/>
  </r>
  <r>
    <x v="56"/>
    <x v="17"/>
    <x v="754"/>
    <x v="342"/>
    <x v="479"/>
    <x v="1223"/>
  </r>
  <r>
    <x v="56"/>
    <x v="11"/>
    <x v="387"/>
    <x v="343"/>
    <x v="285"/>
    <x v="1224"/>
  </r>
  <r>
    <x v="56"/>
    <x v="22"/>
    <x v="258"/>
    <x v="344"/>
    <x v="168"/>
    <x v="1225"/>
  </r>
  <r>
    <x v="56"/>
    <x v="21"/>
    <x v="755"/>
    <x v="47"/>
    <x v="680"/>
    <x v="1226"/>
  </r>
  <r>
    <x v="56"/>
    <x v="11"/>
    <x v="380"/>
    <x v="103"/>
    <x v="681"/>
    <x v="1227"/>
  </r>
  <r>
    <x v="56"/>
    <x v="22"/>
    <x v="756"/>
    <x v="97"/>
    <x v="78"/>
    <x v="1228"/>
  </r>
  <r>
    <x v="56"/>
    <x v="22"/>
    <x v="226"/>
    <x v="116"/>
    <x v="15"/>
    <x v="1229"/>
  </r>
  <r>
    <x v="56"/>
    <x v="13"/>
    <x v="270"/>
    <x v="78"/>
    <x v="682"/>
    <x v="1230"/>
  </r>
  <r>
    <x v="56"/>
    <x v="13"/>
    <x v="757"/>
    <x v="142"/>
    <x v="683"/>
    <x v="1231"/>
  </r>
  <r>
    <x v="56"/>
    <x v="13"/>
    <x v="71"/>
    <x v="148"/>
    <x v="684"/>
    <x v="1232"/>
  </r>
  <r>
    <x v="56"/>
    <x v="13"/>
    <x v="79"/>
    <x v="143"/>
    <x v="685"/>
    <x v="1233"/>
  </r>
  <r>
    <x v="56"/>
    <x v="13"/>
    <x v="177"/>
    <x v="125"/>
    <x v="318"/>
    <x v="1234"/>
  </r>
  <r>
    <x v="56"/>
    <x v="13"/>
    <x v="379"/>
    <x v="116"/>
    <x v="458"/>
    <x v="1235"/>
  </r>
  <r>
    <x v="56"/>
    <x v="13"/>
    <x v="758"/>
    <x v="12"/>
    <x v="686"/>
    <x v="1236"/>
  </r>
  <r>
    <x v="56"/>
    <x v="13"/>
    <x v="759"/>
    <x v="78"/>
    <x v="609"/>
    <x v="1237"/>
  </r>
  <r>
    <x v="56"/>
    <x v="13"/>
    <x v="760"/>
    <x v="55"/>
    <x v="203"/>
    <x v="1238"/>
  </r>
  <r>
    <x v="56"/>
    <x v="13"/>
    <x v="761"/>
    <x v="153"/>
    <x v="597"/>
    <x v="1239"/>
  </r>
  <r>
    <x v="57"/>
    <x v="23"/>
    <x v="762"/>
    <x v="257"/>
    <x v="282"/>
    <x v="1240"/>
  </r>
  <r>
    <x v="57"/>
    <x v="11"/>
    <x v="763"/>
    <x v="3"/>
    <x v="687"/>
    <x v="1241"/>
  </r>
  <r>
    <x v="57"/>
    <x v="11"/>
    <x v="764"/>
    <x v="345"/>
    <x v="91"/>
    <x v="1242"/>
  </r>
  <r>
    <x v="57"/>
    <x v="21"/>
    <x v="765"/>
    <x v="111"/>
    <x v="672"/>
    <x v="1243"/>
  </r>
  <r>
    <x v="57"/>
    <x v="25"/>
    <x v="766"/>
    <x v="140"/>
    <x v="188"/>
    <x v="1244"/>
  </r>
  <r>
    <x v="57"/>
    <x v="22"/>
    <x v="767"/>
    <x v="166"/>
    <x v="40"/>
    <x v="1245"/>
  </r>
  <r>
    <x v="57"/>
    <x v="11"/>
    <x v="768"/>
    <x v="139"/>
    <x v="48"/>
    <x v="1246"/>
  </r>
  <r>
    <x v="57"/>
    <x v="21"/>
    <x v="81"/>
    <x v="47"/>
    <x v="391"/>
    <x v="1247"/>
  </r>
  <r>
    <x v="57"/>
    <x v="11"/>
    <x v="769"/>
    <x v="3"/>
    <x v="688"/>
    <x v="1248"/>
  </r>
  <r>
    <x v="57"/>
    <x v="11"/>
    <x v="770"/>
    <x v="47"/>
    <x v="121"/>
    <x v="1249"/>
  </r>
  <r>
    <x v="57"/>
    <x v="13"/>
    <x v="153"/>
    <x v="73"/>
    <x v="133"/>
    <x v="1250"/>
  </r>
  <r>
    <x v="57"/>
    <x v="0"/>
    <x v="771"/>
    <x v="12"/>
    <x v="228"/>
    <x v="1251"/>
  </r>
  <r>
    <x v="57"/>
    <x v="44"/>
    <x v="772"/>
    <x v="346"/>
    <x v="320"/>
    <x v="1252"/>
  </r>
  <r>
    <x v="58"/>
    <x v="16"/>
    <x v="263"/>
    <x v="47"/>
    <x v="689"/>
    <x v="1253"/>
  </r>
  <r>
    <x v="58"/>
    <x v="45"/>
    <x v="459"/>
    <x v="4"/>
    <x v="350"/>
    <x v="1254"/>
  </r>
  <r>
    <x v="58"/>
    <x v="25"/>
    <x v="773"/>
    <x v="103"/>
    <x v="67"/>
    <x v="1255"/>
  </r>
  <r>
    <x v="58"/>
    <x v="2"/>
    <x v="109"/>
    <x v="144"/>
    <x v="690"/>
    <x v="1256"/>
  </r>
  <r>
    <x v="59"/>
    <x v="13"/>
    <x v="152"/>
    <x v="187"/>
    <x v="228"/>
    <x v="1257"/>
  </r>
  <r>
    <x v="59"/>
    <x v="11"/>
    <x v="774"/>
    <x v="154"/>
    <x v="691"/>
    <x v="1258"/>
  </r>
  <r>
    <x v="59"/>
    <x v="20"/>
    <x v="36"/>
    <x v="47"/>
    <x v="154"/>
    <x v="1259"/>
  </r>
  <r>
    <x v="59"/>
    <x v="11"/>
    <x v="103"/>
    <x v="15"/>
    <x v="237"/>
    <x v="1260"/>
  </r>
  <r>
    <x v="59"/>
    <x v="23"/>
    <x v="775"/>
    <x v="111"/>
    <x v="509"/>
    <x v="1261"/>
  </r>
  <r>
    <x v="59"/>
    <x v="11"/>
    <x v="409"/>
    <x v="3"/>
    <x v="692"/>
    <x v="1262"/>
  </r>
  <r>
    <x v="59"/>
    <x v="20"/>
    <x v="776"/>
    <x v="134"/>
    <x v="227"/>
    <x v="1263"/>
  </r>
  <r>
    <x v="59"/>
    <x v="17"/>
    <x v="412"/>
    <x v="162"/>
    <x v="689"/>
    <x v="1264"/>
  </r>
  <r>
    <x v="59"/>
    <x v="12"/>
    <x v="777"/>
    <x v="78"/>
    <x v="40"/>
    <x v="1265"/>
  </r>
  <r>
    <x v="59"/>
    <x v="22"/>
    <x v="512"/>
    <x v="103"/>
    <x v="635"/>
    <x v="1266"/>
  </r>
  <r>
    <x v="59"/>
    <x v="1"/>
    <x v="206"/>
    <x v="347"/>
    <x v="139"/>
    <x v="1267"/>
  </r>
  <r>
    <x v="59"/>
    <x v="11"/>
    <x v="778"/>
    <x v="348"/>
    <x v="693"/>
    <x v="1268"/>
  </r>
  <r>
    <x v="59"/>
    <x v="17"/>
    <x v="463"/>
    <x v="48"/>
    <x v="326"/>
    <x v="1269"/>
  </r>
  <r>
    <x v="59"/>
    <x v="20"/>
    <x v="411"/>
    <x v="349"/>
    <x v="615"/>
    <x v="1270"/>
  </r>
  <r>
    <x v="59"/>
    <x v="11"/>
    <x v="64"/>
    <x v="143"/>
    <x v="22"/>
    <x v="1271"/>
  </r>
  <r>
    <x v="59"/>
    <x v="20"/>
    <x v="36"/>
    <x v="138"/>
    <x v="676"/>
    <x v="1272"/>
  </r>
  <r>
    <x v="59"/>
    <x v="11"/>
    <x v="779"/>
    <x v="187"/>
    <x v="542"/>
    <x v="1273"/>
  </r>
  <r>
    <x v="59"/>
    <x v="22"/>
    <x v="780"/>
    <x v="47"/>
    <x v="9"/>
    <x v="1274"/>
  </r>
  <r>
    <x v="59"/>
    <x v="11"/>
    <x v="781"/>
    <x v="138"/>
    <x v="573"/>
    <x v="1275"/>
  </r>
  <r>
    <x v="59"/>
    <x v="11"/>
    <x v="782"/>
    <x v="144"/>
    <x v="79"/>
    <x v="1276"/>
  </r>
  <r>
    <x v="59"/>
    <x v="11"/>
    <x v="776"/>
    <x v="350"/>
    <x v="538"/>
    <x v="1277"/>
  </r>
  <r>
    <x v="59"/>
    <x v="0"/>
    <x v="504"/>
    <x v="152"/>
    <x v="694"/>
    <x v="1278"/>
  </r>
  <r>
    <x v="59"/>
    <x v="20"/>
    <x v="783"/>
    <x v="103"/>
    <x v="128"/>
    <x v="1279"/>
  </r>
  <r>
    <x v="59"/>
    <x v="11"/>
    <x v="784"/>
    <x v="233"/>
    <x v="166"/>
    <x v="1280"/>
  </r>
  <r>
    <x v="59"/>
    <x v="11"/>
    <x v="785"/>
    <x v="47"/>
    <x v="292"/>
    <x v="1281"/>
  </r>
  <r>
    <x v="59"/>
    <x v="7"/>
    <x v="786"/>
    <x v="111"/>
    <x v="389"/>
    <x v="1282"/>
  </r>
  <r>
    <x v="59"/>
    <x v="11"/>
    <x v="787"/>
    <x v="103"/>
    <x v="542"/>
    <x v="1283"/>
  </r>
  <r>
    <x v="59"/>
    <x v="11"/>
    <x v="788"/>
    <x v="103"/>
    <x v="295"/>
    <x v="1284"/>
  </r>
  <r>
    <x v="59"/>
    <x v="0"/>
    <x v="291"/>
    <x v="15"/>
    <x v="109"/>
    <x v="1285"/>
  </r>
  <r>
    <x v="59"/>
    <x v="0"/>
    <x v="789"/>
    <x v="134"/>
    <x v="474"/>
    <x v="1286"/>
  </r>
  <r>
    <x v="59"/>
    <x v="22"/>
    <x v="790"/>
    <x v="351"/>
    <x v="193"/>
    <x v="1287"/>
  </r>
  <r>
    <x v="59"/>
    <x v="11"/>
    <x v="127"/>
    <x v="4"/>
    <x v="335"/>
    <x v="1288"/>
  </r>
  <r>
    <x v="59"/>
    <x v="0"/>
    <x v="791"/>
    <x v="45"/>
    <x v="518"/>
    <x v="1289"/>
  </r>
  <r>
    <x v="59"/>
    <x v="1"/>
    <x v="792"/>
    <x v="103"/>
    <x v="430"/>
    <x v="1290"/>
  </r>
  <r>
    <x v="59"/>
    <x v="22"/>
    <x v="332"/>
    <x v="62"/>
    <x v="66"/>
    <x v="1291"/>
  </r>
  <r>
    <x v="59"/>
    <x v="11"/>
    <x v="793"/>
    <x v="138"/>
    <x v="695"/>
    <x v="1292"/>
  </r>
  <r>
    <x v="59"/>
    <x v="1"/>
    <x v="794"/>
    <x v="256"/>
    <x v="560"/>
    <x v="1293"/>
  </r>
  <r>
    <x v="59"/>
    <x v="4"/>
    <x v="795"/>
    <x v="150"/>
    <x v="696"/>
    <x v="1294"/>
  </r>
  <r>
    <x v="59"/>
    <x v="1"/>
    <x v="796"/>
    <x v="352"/>
    <x v="29"/>
    <x v="1295"/>
  </r>
  <r>
    <x v="59"/>
    <x v="1"/>
    <x v="797"/>
    <x v="47"/>
    <x v="524"/>
    <x v="1296"/>
  </r>
  <r>
    <x v="59"/>
    <x v="26"/>
    <x v="798"/>
    <x v="47"/>
    <x v="697"/>
    <x v="1297"/>
  </r>
  <r>
    <x v="59"/>
    <x v="1"/>
    <x v="291"/>
    <x v="103"/>
    <x v="698"/>
    <x v="1298"/>
  </r>
  <r>
    <x v="59"/>
    <x v="2"/>
    <x v="762"/>
    <x v="105"/>
    <x v="699"/>
    <x v="1299"/>
  </r>
  <r>
    <x v="59"/>
    <x v="2"/>
    <x v="799"/>
    <x v="353"/>
    <x v="186"/>
    <x v="1300"/>
  </r>
  <r>
    <x v="59"/>
    <x v="11"/>
    <x v="800"/>
    <x v="131"/>
    <x v="689"/>
    <x v="1301"/>
  </r>
  <r>
    <x v="59"/>
    <x v="2"/>
    <x v="801"/>
    <x v="103"/>
    <x v="167"/>
    <x v="1302"/>
  </r>
  <r>
    <x v="59"/>
    <x v="1"/>
    <x v="802"/>
    <x v="158"/>
    <x v="3"/>
    <x v="1303"/>
  </r>
  <r>
    <x v="59"/>
    <x v="11"/>
    <x v="803"/>
    <x v="152"/>
    <x v="511"/>
    <x v="1304"/>
  </r>
  <r>
    <x v="59"/>
    <x v="1"/>
    <x v="103"/>
    <x v="3"/>
    <x v="597"/>
    <x v="1305"/>
  </r>
  <r>
    <x v="59"/>
    <x v="1"/>
    <x v="804"/>
    <x v="47"/>
    <x v="700"/>
    <x v="1306"/>
  </r>
  <r>
    <x v="59"/>
    <x v="1"/>
    <x v="805"/>
    <x v="131"/>
    <x v="635"/>
    <x v="1307"/>
  </r>
  <r>
    <x v="59"/>
    <x v="13"/>
    <x v="806"/>
    <x v="3"/>
    <x v="701"/>
    <x v="1308"/>
  </r>
  <r>
    <x v="59"/>
    <x v="5"/>
    <x v="360"/>
    <x v="354"/>
    <x v="702"/>
    <x v="1309"/>
  </r>
  <r>
    <x v="59"/>
    <x v="11"/>
    <x v="807"/>
    <x v="103"/>
    <x v="316"/>
    <x v="1310"/>
  </r>
  <r>
    <x v="59"/>
    <x v="5"/>
    <x v="54"/>
    <x v="188"/>
    <x v="52"/>
    <x v="1311"/>
  </r>
  <r>
    <x v="59"/>
    <x v="11"/>
    <x v="808"/>
    <x v="355"/>
    <x v="75"/>
    <x v="1312"/>
  </r>
  <r>
    <x v="59"/>
    <x v="5"/>
    <x v="809"/>
    <x v="103"/>
    <x v="703"/>
    <x v="1313"/>
  </r>
  <r>
    <x v="59"/>
    <x v="5"/>
    <x v="418"/>
    <x v="161"/>
    <x v="96"/>
    <x v="1314"/>
  </r>
  <r>
    <x v="59"/>
    <x v="11"/>
    <x v="810"/>
    <x v="356"/>
    <x v="704"/>
    <x v="1315"/>
  </r>
  <r>
    <x v="59"/>
    <x v="9"/>
    <x v="811"/>
    <x v="357"/>
    <x v="705"/>
    <x v="1316"/>
  </r>
  <r>
    <x v="59"/>
    <x v="5"/>
    <x v="812"/>
    <x v="358"/>
    <x v="103"/>
    <x v="1317"/>
  </r>
  <r>
    <x v="59"/>
    <x v="15"/>
    <x v="813"/>
    <x v="359"/>
    <x v="213"/>
    <x v="1318"/>
  </r>
  <r>
    <x v="60"/>
    <x v="11"/>
    <x v="568"/>
    <x v="3"/>
    <x v="706"/>
    <x v="1319"/>
  </r>
  <r>
    <x v="60"/>
    <x v="11"/>
    <x v="435"/>
    <x v="103"/>
    <x v="707"/>
    <x v="1320"/>
  </r>
  <r>
    <x v="60"/>
    <x v="13"/>
    <x v="814"/>
    <x v="78"/>
    <x v="63"/>
    <x v="1321"/>
  </r>
  <r>
    <x v="60"/>
    <x v="2"/>
    <x v="815"/>
    <x v="47"/>
    <x v="303"/>
    <x v="1322"/>
  </r>
  <r>
    <x v="60"/>
    <x v="0"/>
    <x v="816"/>
    <x v="158"/>
    <x v="596"/>
    <x v="1323"/>
  </r>
  <r>
    <x v="60"/>
    <x v="2"/>
    <x v="512"/>
    <x v="131"/>
    <x v="708"/>
    <x v="1324"/>
  </r>
  <r>
    <x v="60"/>
    <x v="46"/>
    <x v="678"/>
    <x v="131"/>
    <x v="709"/>
    <x v="1325"/>
  </r>
  <r>
    <x v="61"/>
    <x v="11"/>
    <x v="152"/>
    <x v="360"/>
    <x v="710"/>
    <x v="1326"/>
  </r>
  <r>
    <x v="61"/>
    <x v="13"/>
    <x v="817"/>
    <x v="47"/>
    <x v="119"/>
    <x v="1327"/>
  </r>
  <r>
    <x v="61"/>
    <x v="11"/>
    <x v="818"/>
    <x v="47"/>
    <x v="346"/>
    <x v="1328"/>
  </r>
  <r>
    <x v="61"/>
    <x v="13"/>
    <x v="819"/>
    <x v="156"/>
    <x v="499"/>
    <x v="1329"/>
  </r>
  <r>
    <x v="61"/>
    <x v="11"/>
    <x v="820"/>
    <x v="55"/>
    <x v="159"/>
    <x v="1330"/>
  </r>
  <r>
    <x v="62"/>
    <x v="23"/>
    <x v="607"/>
    <x v="111"/>
    <x v="199"/>
    <x v="1331"/>
  </r>
  <r>
    <x v="62"/>
    <x v="11"/>
    <x v="684"/>
    <x v="166"/>
    <x v="206"/>
    <x v="1332"/>
  </r>
  <r>
    <x v="62"/>
    <x v="11"/>
    <x v="821"/>
    <x v="134"/>
    <x v="497"/>
    <x v="1333"/>
  </r>
  <r>
    <x v="62"/>
    <x v="12"/>
    <x v="568"/>
    <x v="201"/>
    <x v="119"/>
    <x v="1334"/>
  </r>
  <r>
    <x v="62"/>
    <x v="11"/>
    <x v="202"/>
    <x v="105"/>
    <x v="455"/>
    <x v="1335"/>
  </r>
  <r>
    <x v="62"/>
    <x v="11"/>
    <x v="428"/>
    <x v="148"/>
    <x v="711"/>
    <x v="1336"/>
  </r>
  <r>
    <x v="62"/>
    <x v="10"/>
    <x v="822"/>
    <x v="103"/>
    <x v="340"/>
    <x v="1337"/>
  </r>
  <r>
    <x v="62"/>
    <x v="11"/>
    <x v="238"/>
    <x v="140"/>
    <x v="172"/>
    <x v="1338"/>
  </r>
  <r>
    <x v="62"/>
    <x v="11"/>
    <x v="823"/>
    <x v="180"/>
    <x v="712"/>
    <x v="1339"/>
  </r>
  <r>
    <x v="62"/>
    <x v="12"/>
    <x v="213"/>
    <x v="103"/>
    <x v="58"/>
    <x v="1340"/>
  </r>
  <r>
    <x v="62"/>
    <x v="12"/>
    <x v="658"/>
    <x v="361"/>
    <x v="456"/>
    <x v="1341"/>
  </r>
  <r>
    <x v="62"/>
    <x v="47"/>
    <x v="563"/>
    <x v="362"/>
    <x v="713"/>
    <x v="1342"/>
  </r>
  <r>
    <x v="62"/>
    <x v="11"/>
    <x v="238"/>
    <x v="140"/>
    <x v="464"/>
    <x v="1343"/>
  </r>
  <r>
    <x v="62"/>
    <x v="23"/>
    <x v="824"/>
    <x v="3"/>
    <x v="714"/>
    <x v="1344"/>
  </r>
  <r>
    <x v="62"/>
    <x v="11"/>
    <x v="228"/>
    <x v="162"/>
    <x v="715"/>
    <x v="1345"/>
  </r>
  <r>
    <x v="62"/>
    <x v="20"/>
    <x v="825"/>
    <x v="162"/>
    <x v="716"/>
    <x v="1346"/>
  </r>
  <r>
    <x v="62"/>
    <x v="11"/>
    <x v="248"/>
    <x v="139"/>
    <x v="87"/>
    <x v="1347"/>
  </r>
  <r>
    <x v="62"/>
    <x v="16"/>
    <x v="203"/>
    <x v="134"/>
    <x v="717"/>
    <x v="1348"/>
  </r>
  <r>
    <x v="62"/>
    <x v="11"/>
    <x v="183"/>
    <x v="148"/>
    <x v="52"/>
    <x v="1349"/>
  </r>
  <r>
    <x v="62"/>
    <x v="11"/>
    <x v="294"/>
    <x v="180"/>
    <x v="410"/>
    <x v="1350"/>
  </r>
  <r>
    <x v="62"/>
    <x v="11"/>
    <x v="826"/>
    <x v="144"/>
    <x v="204"/>
    <x v="1351"/>
  </r>
  <r>
    <x v="62"/>
    <x v="12"/>
    <x v="827"/>
    <x v="97"/>
    <x v="13"/>
    <x v="1352"/>
  </r>
  <r>
    <x v="62"/>
    <x v="11"/>
    <x v="215"/>
    <x v="134"/>
    <x v="718"/>
    <x v="1353"/>
  </r>
  <r>
    <x v="62"/>
    <x v="11"/>
    <x v="563"/>
    <x v="168"/>
    <x v="89"/>
    <x v="1354"/>
  </r>
  <r>
    <x v="62"/>
    <x v="13"/>
    <x v="207"/>
    <x v="134"/>
    <x v="262"/>
    <x v="1355"/>
  </r>
  <r>
    <x v="62"/>
    <x v="11"/>
    <x v="828"/>
    <x v="148"/>
    <x v="647"/>
    <x v="1356"/>
  </r>
  <r>
    <x v="62"/>
    <x v="11"/>
    <x v="210"/>
    <x v="138"/>
    <x v="63"/>
    <x v="1357"/>
  </r>
  <r>
    <x v="62"/>
    <x v="11"/>
    <x v="829"/>
    <x v="103"/>
    <x v="24"/>
    <x v="1358"/>
  </r>
  <r>
    <x v="62"/>
    <x v="11"/>
    <x v="830"/>
    <x v="168"/>
    <x v="378"/>
    <x v="1359"/>
  </r>
  <r>
    <x v="62"/>
    <x v="11"/>
    <x v="585"/>
    <x v="134"/>
    <x v="612"/>
    <x v="1360"/>
  </r>
  <r>
    <x v="62"/>
    <x v="11"/>
    <x v="451"/>
    <x v="140"/>
    <x v="366"/>
    <x v="1361"/>
  </r>
  <r>
    <x v="62"/>
    <x v="22"/>
    <x v="831"/>
    <x v="363"/>
    <x v="38"/>
    <x v="1362"/>
  </r>
  <r>
    <x v="62"/>
    <x v="25"/>
    <x v="209"/>
    <x v="173"/>
    <x v="318"/>
    <x v="1363"/>
  </r>
  <r>
    <x v="62"/>
    <x v="12"/>
    <x v="832"/>
    <x v="364"/>
    <x v="430"/>
    <x v="1364"/>
  </r>
  <r>
    <x v="62"/>
    <x v="22"/>
    <x v="325"/>
    <x v="363"/>
    <x v="719"/>
    <x v="1365"/>
  </r>
  <r>
    <x v="62"/>
    <x v="11"/>
    <x v="215"/>
    <x v="143"/>
    <x v="257"/>
    <x v="1366"/>
  </r>
  <r>
    <x v="62"/>
    <x v="11"/>
    <x v="833"/>
    <x v="93"/>
    <x v="486"/>
    <x v="1367"/>
  </r>
  <r>
    <x v="62"/>
    <x v="11"/>
    <x v="732"/>
    <x v="171"/>
    <x v="285"/>
    <x v="1368"/>
  </r>
  <r>
    <x v="62"/>
    <x v="23"/>
    <x v="753"/>
    <x v="140"/>
    <x v="720"/>
    <x v="1369"/>
  </r>
  <r>
    <x v="62"/>
    <x v="23"/>
    <x v="291"/>
    <x v="134"/>
    <x v="222"/>
    <x v="1370"/>
  </r>
  <r>
    <x v="62"/>
    <x v="11"/>
    <x v="834"/>
    <x v="281"/>
    <x v="394"/>
    <x v="1371"/>
  </r>
  <r>
    <x v="62"/>
    <x v="11"/>
    <x v="216"/>
    <x v="162"/>
    <x v="721"/>
    <x v="1372"/>
  </r>
  <r>
    <x v="62"/>
    <x v="23"/>
    <x v="835"/>
    <x v="148"/>
    <x v="722"/>
    <x v="1373"/>
  </r>
  <r>
    <x v="62"/>
    <x v="13"/>
    <x v="603"/>
    <x v="103"/>
    <x v="453"/>
    <x v="1374"/>
  </r>
  <r>
    <x v="62"/>
    <x v="23"/>
    <x v="836"/>
    <x v="131"/>
    <x v="723"/>
    <x v="1375"/>
  </r>
  <r>
    <x v="62"/>
    <x v="25"/>
    <x v="563"/>
    <x v="78"/>
    <x v="396"/>
    <x v="1376"/>
  </r>
  <r>
    <x v="62"/>
    <x v="12"/>
    <x v="7"/>
    <x v="365"/>
    <x v="24"/>
    <x v="1377"/>
  </r>
  <r>
    <x v="62"/>
    <x v="11"/>
    <x v="215"/>
    <x v="78"/>
    <x v="41"/>
    <x v="1378"/>
  </r>
  <r>
    <x v="62"/>
    <x v="13"/>
    <x v="428"/>
    <x v="78"/>
    <x v="336"/>
    <x v="1379"/>
  </r>
  <r>
    <x v="62"/>
    <x v="11"/>
    <x v="13"/>
    <x v="168"/>
    <x v="217"/>
    <x v="1380"/>
  </r>
  <r>
    <x v="62"/>
    <x v="13"/>
    <x v="837"/>
    <x v="138"/>
    <x v="724"/>
    <x v="1381"/>
  </r>
  <r>
    <x v="62"/>
    <x v="25"/>
    <x v="208"/>
    <x v="143"/>
    <x v="271"/>
    <x v="1382"/>
  </r>
  <r>
    <x v="62"/>
    <x v="11"/>
    <x v="283"/>
    <x v="134"/>
    <x v="234"/>
    <x v="1383"/>
  </r>
  <r>
    <x v="62"/>
    <x v="11"/>
    <x v="236"/>
    <x v="109"/>
    <x v="725"/>
    <x v="1384"/>
  </r>
  <r>
    <x v="62"/>
    <x v="11"/>
    <x v="217"/>
    <x v="78"/>
    <x v="506"/>
    <x v="1385"/>
  </r>
  <r>
    <x v="62"/>
    <x v="11"/>
    <x v="325"/>
    <x v="138"/>
    <x v="25"/>
    <x v="1386"/>
  </r>
  <r>
    <x v="62"/>
    <x v="11"/>
    <x v="661"/>
    <x v="142"/>
    <x v="56"/>
    <x v="1387"/>
  </r>
  <r>
    <x v="62"/>
    <x v="11"/>
    <x v="7"/>
    <x v="140"/>
    <x v="108"/>
    <x v="1388"/>
  </r>
  <r>
    <x v="62"/>
    <x v="21"/>
    <x v="242"/>
    <x v="138"/>
    <x v="726"/>
    <x v="1389"/>
  </r>
  <r>
    <x v="62"/>
    <x v="13"/>
    <x v="666"/>
    <x v="78"/>
    <x v="257"/>
    <x v="1390"/>
  </r>
  <r>
    <x v="62"/>
    <x v="23"/>
    <x v="838"/>
    <x v="171"/>
    <x v="220"/>
    <x v="1391"/>
  </r>
  <r>
    <x v="62"/>
    <x v="22"/>
    <x v="839"/>
    <x v="78"/>
    <x v="316"/>
    <x v="1392"/>
  </r>
  <r>
    <x v="62"/>
    <x v="11"/>
    <x v="182"/>
    <x v="160"/>
    <x v="607"/>
    <x v="1393"/>
  </r>
  <r>
    <x v="62"/>
    <x v="11"/>
    <x v="840"/>
    <x v="366"/>
    <x v="727"/>
    <x v="1394"/>
  </r>
  <r>
    <x v="62"/>
    <x v="11"/>
    <x v="218"/>
    <x v="145"/>
    <x v="255"/>
    <x v="1395"/>
  </r>
  <r>
    <x v="62"/>
    <x v="13"/>
    <x v="454"/>
    <x v="131"/>
    <x v="728"/>
    <x v="1396"/>
  </r>
  <r>
    <x v="62"/>
    <x v="22"/>
    <x v="280"/>
    <x v="156"/>
    <x v="679"/>
    <x v="1397"/>
  </r>
  <r>
    <x v="62"/>
    <x v="11"/>
    <x v="289"/>
    <x v="173"/>
    <x v="266"/>
    <x v="1398"/>
  </r>
  <r>
    <x v="62"/>
    <x v="11"/>
    <x v="764"/>
    <x v="367"/>
    <x v="607"/>
    <x v="1399"/>
  </r>
  <r>
    <x v="62"/>
    <x v="11"/>
    <x v="697"/>
    <x v="171"/>
    <x v="42"/>
    <x v="1400"/>
  </r>
  <r>
    <x v="62"/>
    <x v="11"/>
    <x v="325"/>
    <x v="368"/>
    <x v="83"/>
    <x v="1401"/>
  </r>
  <r>
    <x v="62"/>
    <x v="22"/>
    <x v="841"/>
    <x v="369"/>
    <x v="729"/>
    <x v="1402"/>
  </r>
  <r>
    <x v="62"/>
    <x v="22"/>
    <x v="174"/>
    <x v="16"/>
    <x v="128"/>
    <x v="1403"/>
  </r>
  <r>
    <x v="62"/>
    <x v="11"/>
    <x v="842"/>
    <x v="144"/>
    <x v="79"/>
    <x v="1404"/>
  </r>
  <r>
    <x v="62"/>
    <x v="11"/>
    <x v="843"/>
    <x v="3"/>
    <x v="730"/>
    <x v="1405"/>
  </r>
  <r>
    <x v="62"/>
    <x v="11"/>
    <x v="844"/>
    <x v="97"/>
    <x v="374"/>
    <x v="1406"/>
  </r>
  <r>
    <x v="62"/>
    <x v="11"/>
    <x v="840"/>
    <x v="143"/>
    <x v="638"/>
    <x v="1407"/>
  </r>
  <r>
    <x v="62"/>
    <x v="22"/>
    <x v="845"/>
    <x v="105"/>
    <x v="12"/>
    <x v="1408"/>
  </r>
  <r>
    <x v="62"/>
    <x v="11"/>
    <x v="762"/>
    <x v="156"/>
    <x v="731"/>
    <x v="1409"/>
  </r>
  <r>
    <x v="62"/>
    <x v="13"/>
    <x v="294"/>
    <x v="173"/>
    <x v="732"/>
    <x v="1410"/>
  </r>
  <r>
    <x v="62"/>
    <x v="22"/>
    <x v="309"/>
    <x v="111"/>
    <x v="733"/>
    <x v="1411"/>
  </r>
  <r>
    <x v="62"/>
    <x v="11"/>
    <x v="846"/>
    <x v="134"/>
    <x v="307"/>
    <x v="1412"/>
  </r>
  <r>
    <x v="62"/>
    <x v="11"/>
    <x v="181"/>
    <x v="187"/>
    <x v="619"/>
    <x v="1413"/>
  </r>
  <r>
    <x v="62"/>
    <x v="11"/>
    <x v="295"/>
    <x v="109"/>
    <x v="689"/>
    <x v="1414"/>
  </r>
  <r>
    <x v="62"/>
    <x v="13"/>
    <x v="56"/>
    <x v="370"/>
    <x v="262"/>
    <x v="1415"/>
  </r>
  <r>
    <x v="62"/>
    <x v="13"/>
    <x v="847"/>
    <x v="148"/>
    <x v="209"/>
    <x v="1416"/>
  </r>
  <r>
    <x v="62"/>
    <x v="43"/>
    <x v="7"/>
    <x v="201"/>
    <x v="705"/>
    <x v="1417"/>
  </r>
  <r>
    <x v="62"/>
    <x v="22"/>
    <x v="109"/>
    <x v="371"/>
    <x v="734"/>
    <x v="1418"/>
  </r>
  <r>
    <x v="62"/>
    <x v="22"/>
    <x v="848"/>
    <x v="140"/>
    <x v="204"/>
    <x v="1419"/>
  </r>
  <r>
    <x v="62"/>
    <x v="13"/>
    <x v="849"/>
    <x v="134"/>
    <x v="464"/>
    <x v="1420"/>
  </r>
  <r>
    <x v="62"/>
    <x v="13"/>
    <x v="178"/>
    <x v="188"/>
    <x v="421"/>
    <x v="1421"/>
  </r>
  <r>
    <x v="62"/>
    <x v="21"/>
    <x v="775"/>
    <x v="144"/>
    <x v="276"/>
    <x v="1422"/>
  </r>
  <r>
    <x v="62"/>
    <x v="21"/>
    <x v="850"/>
    <x v="372"/>
    <x v="503"/>
    <x v="1423"/>
  </r>
  <r>
    <x v="62"/>
    <x v="11"/>
    <x v="851"/>
    <x v="180"/>
    <x v="612"/>
    <x v="1424"/>
  </r>
  <r>
    <x v="62"/>
    <x v="17"/>
    <x v="386"/>
    <x v="47"/>
    <x v="735"/>
    <x v="1425"/>
  </r>
  <r>
    <x v="62"/>
    <x v="22"/>
    <x v="764"/>
    <x v="111"/>
    <x v="205"/>
    <x v="1426"/>
  </r>
  <r>
    <x v="62"/>
    <x v="11"/>
    <x v="852"/>
    <x v="3"/>
    <x v="434"/>
    <x v="1427"/>
  </r>
  <r>
    <x v="62"/>
    <x v="22"/>
    <x v="853"/>
    <x v="335"/>
    <x v="736"/>
    <x v="1428"/>
  </r>
  <r>
    <x v="62"/>
    <x v="11"/>
    <x v="419"/>
    <x v="103"/>
    <x v="737"/>
    <x v="1429"/>
  </r>
  <r>
    <x v="62"/>
    <x v="13"/>
    <x v="827"/>
    <x v="74"/>
    <x v="738"/>
    <x v="1430"/>
  </r>
  <r>
    <x v="62"/>
    <x v="21"/>
    <x v="346"/>
    <x v="373"/>
    <x v="237"/>
    <x v="1431"/>
  </r>
  <r>
    <x v="62"/>
    <x v="11"/>
    <x v="854"/>
    <x v="374"/>
    <x v="395"/>
    <x v="1432"/>
  </r>
  <r>
    <x v="62"/>
    <x v="17"/>
    <x v="253"/>
    <x v="139"/>
    <x v="739"/>
    <x v="1433"/>
  </r>
  <r>
    <x v="62"/>
    <x v="12"/>
    <x v="855"/>
    <x v="369"/>
    <x v="117"/>
    <x v="1434"/>
  </r>
  <r>
    <x v="62"/>
    <x v="24"/>
    <x v="377"/>
    <x v="375"/>
    <x v="509"/>
    <x v="1435"/>
  </r>
  <r>
    <x v="62"/>
    <x v="23"/>
    <x v="267"/>
    <x v="376"/>
    <x v="36"/>
    <x v="1436"/>
  </r>
  <r>
    <x v="62"/>
    <x v="21"/>
    <x v="113"/>
    <x v="165"/>
    <x v="117"/>
    <x v="1437"/>
  </r>
  <r>
    <x v="62"/>
    <x v="11"/>
    <x v="856"/>
    <x v="201"/>
    <x v="608"/>
    <x v="1438"/>
  </r>
  <r>
    <x v="62"/>
    <x v="20"/>
    <x v="318"/>
    <x v="148"/>
    <x v="740"/>
    <x v="1439"/>
  </r>
  <r>
    <x v="62"/>
    <x v="13"/>
    <x v="857"/>
    <x v="97"/>
    <x v="741"/>
    <x v="1440"/>
  </r>
  <r>
    <x v="62"/>
    <x v="11"/>
    <x v="858"/>
    <x v="280"/>
    <x v="742"/>
    <x v="1441"/>
  </r>
  <r>
    <x v="62"/>
    <x v="22"/>
    <x v="639"/>
    <x v="97"/>
    <x v="743"/>
    <x v="1442"/>
  </r>
  <r>
    <x v="62"/>
    <x v="17"/>
    <x v="859"/>
    <x v="59"/>
    <x v="105"/>
    <x v="1443"/>
  </r>
  <r>
    <x v="62"/>
    <x v="11"/>
    <x v="860"/>
    <x v="143"/>
    <x v="312"/>
    <x v="1444"/>
  </r>
  <r>
    <x v="62"/>
    <x v="23"/>
    <x v="861"/>
    <x v="78"/>
    <x v="387"/>
    <x v="1445"/>
  </r>
  <r>
    <x v="62"/>
    <x v="13"/>
    <x v="862"/>
    <x v="15"/>
    <x v="375"/>
    <x v="1446"/>
  </r>
  <r>
    <x v="62"/>
    <x v="22"/>
    <x v="74"/>
    <x v="103"/>
    <x v="345"/>
    <x v="1447"/>
  </r>
  <r>
    <x v="62"/>
    <x v="11"/>
    <x v="863"/>
    <x v="103"/>
    <x v="705"/>
    <x v="1448"/>
  </r>
  <r>
    <x v="62"/>
    <x v="21"/>
    <x v="864"/>
    <x v="62"/>
    <x v="744"/>
    <x v="1449"/>
  </r>
  <r>
    <x v="62"/>
    <x v="11"/>
    <x v="273"/>
    <x v="377"/>
    <x v="406"/>
    <x v="1450"/>
  </r>
  <r>
    <x v="62"/>
    <x v="11"/>
    <x v="865"/>
    <x v="78"/>
    <x v="666"/>
    <x v="1451"/>
  </r>
  <r>
    <x v="62"/>
    <x v="11"/>
    <x v="325"/>
    <x v="346"/>
    <x v="745"/>
    <x v="1452"/>
  </r>
  <r>
    <x v="62"/>
    <x v="22"/>
    <x v="22"/>
    <x v="378"/>
    <x v="746"/>
    <x v="1453"/>
  </r>
  <r>
    <x v="62"/>
    <x v="11"/>
    <x v="866"/>
    <x v="379"/>
    <x v="251"/>
    <x v="1454"/>
  </r>
  <r>
    <x v="62"/>
    <x v="11"/>
    <x v="867"/>
    <x v="380"/>
    <x v="448"/>
    <x v="1455"/>
  </r>
  <r>
    <x v="62"/>
    <x v="47"/>
    <x v="868"/>
    <x v="381"/>
    <x v="581"/>
    <x v="1456"/>
  </r>
  <r>
    <x v="62"/>
    <x v="11"/>
    <x v="869"/>
    <x v="382"/>
    <x v="747"/>
    <x v="1457"/>
  </r>
  <r>
    <x v="62"/>
    <x v="11"/>
    <x v="870"/>
    <x v="383"/>
    <x v="748"/>
    <x v="1458"/>
  </r>
  <r>
    <x v="63"/>
    <x v="9"/>
    <x v="290"/>
    <x v="134"/>
    <x v="749"/>
    <x v="1459"/>
  </r>
  <r>
    <x v="63"/>
    <x v="23"/>
    <x v="152"/>
    <x v="97"/>
    <x v="750"/>
    <x v="1460"/>
  </r>
  <r>
    <x v="63"/>
    <x v="11"/>
    <x v="871"/>
    <x v="0"/>
    <x v="44"/>
    <x v="1461"/>
  </r>
  <r>
    <x v="63"/>
    <x v="11"/>
    <x v="583"/>
    <x v="45"/>
    <x v="199"/>
    <x v="1462"/>
  </r>
  <r>
    <x v="63"/>
    <x v="11"/>
    <x v="563"/>
    <x v="224"/>
    <x v="193"/>
    <x v="1463"/>
  </r>
  <r>
    <x v="63"/>
    <x v="11"/>
    <x v="619"/>
    <x v="384"/>
    <x v="751"/>
    <x v="1464"/>
  </r>
  <r>
    <x v="63"/>
    <x v="14"/>
    <x v="196"/>
    <x v="78"/>
    <x v="684"/>
    <x v="1465"/>
  </r>
  <r>
    <x v="63"/>
    <x v="11"/>
    <x v="183"/>
    <x v="224"/>
    <x v="752"/>
    <x v="1466"/>
  </r>
  <r>
    <x v="63"/>
    <x v="11"/>
    <x v="570"/>
    <x v="47"/>
    <x v="69"/>
    <x v="1467"/>
  </r>
  <r>
    <x v="63"/>
    <x v="13"/>
    <x v="563"/>
    <x v="45"/>
    <x v="20"/>
    <x v="1468"/>
  </r>
  <r>
    <x v="63"/>
    <x v="43"/>
    <x v="872"/>
    <x v="153"/>
    <x v="470"/>
    <x v="1469"/>
  </r>
  <r>
    <x v="63"/>
    <x v="25"/>
    <x v="209"/>
    <x v="166"/>
    <x v="369"/>
    <x v="1470"/>
  </r>
  <r>
    <x v="63"/>
    <x v="11"/>
    <x v="873"/>
    <x v="15"/>
    <x v="211"/>
    <x v="1471"/>
  </r>
  <r>
    <x v="63"/>
    <x v="12"/>
    <x v="874"/>
    <x v="47"/>
    <x v="161"/>
    <x v="1472"/>
  </r>
  <r>
    <x v="63"/>
    <x v="21"/>
    <x v="451"/>
    <x v="15"/>
    <x v="85"/>
    <x v="1473"/>
  </r>
  <r>
    <x v="63"/>
    <x v="11"/>
    <x v="875"/>
    <x v="154"/>
    <x v="511"/>
    <x v="1474"/>
  </r>
  <r>
    <x v="63"/>
    <x v="11"/>
    <x v="328"/>
    <x v="105"/>
    <x v="346"/>
    <x v="1475"/>
  </r>
  <r>
    <x v="63"/>
    <x v="11"/>
    <x v="564"/>
    <x v="233"/>
    <x v="112"/>
    <x v="1476"/>
  </r>
  <r>
    <x v="63"/>
    <x v="11"/>
    <x v="876"/>
    <x v="144"/>
    <x v="753"/>
    <x v="1477"/>
  </r>
  <r>
    <x v="63"/>
    <x v="11"/>
    <x v="226"/>
    <x v="15"/>
    <x v="754"/>
    <x v="1478"/>
  </r>
  <r>
    <x v="63"/>
    <x v="48"/>
    <x v="169"/>
    <x v="47"/>
    <x v="461"/>
    <x v="1479"/>
  </r>
  <r>
    <x v="63"/>
    <x v="11"/>
    <x v="877"/>
    <x v="131"/>
    <x v="97"/>
    <x v="1480"/>
  </r>
  <r>
    <x v="63"/>
    <x v="11"/>
    <x v="228"/>
    <x v="224"/>
    <x v="630"/>
    <x v="1481"/>
  </r>
  <r>
    <x v="63"/>
    <x v="11"/>
    <x v="188"/>
    <x v="105"/>
    <x v="702"/>
    <x v="1482"/>
  </r>
  <r>
    <x v="63"/>
    <x v="11"/>
    <x v="182"/>
    <x v="134"/>
    <x v="755"/>
    <x v="1483"/>
  </r>
  <r>
    <x v="63"/>
    <x v="11"/>
    <x v="878"/>
    <x v="132"/>
    <x v="506"/>
    <x v="1484"/>
  </r>
  <r>
    <x v="63"/>
    <x v="21"/>
    <x v="879"/>
    <x v="53"/>
    <x v="374"/>
    <x v="1485"/>
  </r>
  <r>
    <x v="63"/>
    <x v="13"/>
    <x v="880"/>
    <x v="47"/>
    <x v="155"/>
    <x v="1486"/>
  </r>
  <r>
    <x v="63"/>
    <x v="11"/>
    <x v="248"/>
    <x v="158"/>
    <x v="74"/>
    <x v="1487"/>
  </r>
  <r>
    <x v="63"/>
    <x v="11"/>
    <x v="451"/>
    <x v="105"/>
    <x v="66"/>
    <x v="1488"/>
  </r>
  <r>
    <x v="63"/>
    <x v="26"/>
    <x v="666"/>
    <x v="180"/>
    <x v="613"/>
    <x v="1489"/>
  </r>
  <r>
    <x v="63"/>
    <x v="23"/>
    <x v="190"/>
    <x v="111"/>
    <x v="756"/>
    <x v="1490"/>
  </r>
  <r>
    <x v="63"/>
    <x v="12"/>
    <x v="13"/>
    <x v="103"/>
    <x v="692"/>
    <x v="1491"/>
  </r>
  <r>
    <x v="63"/>
    <x v="14"/>
    <x v="653"/>
    <x v="385"/>
    <x v="757"/>
    <x v="1492"/>
  </r>
  <r>
    <x v="63"/>
    <x v="10"/>
    <x v="653"/>
    <x v="386"/>
    <x v="210"/>
    <x v="1493"/>
  </r>
  <r>
    <x v="63"/>
    <x v="23"/>
    <x v="725"/>
    <x v="47"/>
    <x v="78"/>
    <x v="1494"/>
  </r>
  <r>
    <x v="63"/>
    <x v="10"/>
    <x v="176"/>
    <x v="103"/>
    <x v="121"/>
    <x v="1495"/>
  </r>
  <r>
    <x v="63"/>
    <x v="12"/>
    <x v="881"/>
    <x v="156"/>
    <x v="727"/>
    <x v="1496"/>
  </r>
  <r>
    <x v="63"/>
    <x v="13"/>
    <x v="183"/>
    <x v="154"/>
    <x v="413"/>
    <x v="1497"/>
  </r>
  <r>
    <x v="63"/>
    <x v="12"/>
    <x v="882"/>
    <x v="187"/>
    <x v="301"/>
    <x v="1498"/>
  </r>
  <r>
    <x v="63"/>
    <x v="15"/>
    <x v="883"/>
    <x v="134"/>
    <x v="180"/>
    <x v="1499"/>
  </r>
  <r>
    <x v="63"/>
    <x v="11"/>
    <x v="228"/>
    <x v="3"/>
    <x v="758"/>
    <x v="1500"/>
  </r>
  <r>
    <x v="63"/>
    <x v="21"/>
    <x v="884"/>
    <x v="111"/>
    <x v="537"/>
    <x v="1501"/>
  </r>
  <r>
    <x v="63"/>
    <x v="11"/>
    <x v="666"/>
    <x v="158"/>
    <x v="53"/>
    <x v="1502"/>
  </r>
  <r>
    <x v="63"/>
    <x v="11"/>
    <x v="202"/>
    <x v="168"/>
    <x v="618"/>
    <x v="1503"/>
  </r>
  <r>
    <x v="63"/>
    <x v="11"/>
    <x v="841"/>
    <x v="158"/>
    <x v="261"/>
    <x v="1504"/>
  </r>
  <r>
    <x v="63"/>
    <x v="11"/>
    <x v="470"/>
    <x v="180"/>
    <x v="282"/>
    <x v="1505"/>
  </r>
  <r>
    <x v="63"/>
    <x v="13"/>
    <x v="885"/>
    <x v="105"/>
    <x v="66"/>
    <x v="1506"/>
  </r>
  <r>
    <x v="63"/>
    <x v="22"/>
    <x v="564"/>
    <x v="105"/>
    <x v="36"/>
    <x v="1507"/>
  </r>
  <r>
    <x v="63"/>
    <x v="10"/>
    <x v="56"/>
    <x v="171"/>
    <x v="597"/>
    <x v="1508"/>
  </r>
  <r>
    <x v="63"/>
    <x v="11"/>
    <x v="474"/>
    <x v="158"/>
    <x v="112"/>
    <x v="1509"/>
  </r>
  <r>
    <x v="63"/>
    <x v="13"/>
    <x v="188"/>
    <x v="47"/>
    <x v="596"/>
    <x v="1510"/>
  </r>
  <r>
    <x v="63"/>
    <x v="13"/>
    <x v="207"/>
    <x v="15"/>
    <x v="759"/>
    <x v="1511"/>
  </r>
  <r>
    <x v="63"/>
    <x v="11"/>
    <x v="886"/>
    <x v="180"/>
    <x v="77"/>
    <x v="1512"/>
  </r>
  <r>
    <x v="63"/>
    <x v="43"/>
    <x v="653"/>
    <x v="387"/>
    <x v="412"/>
    <x v="1513"/>
  </r>
  <r>
    <x v="63"/>
    <x v="49"/>
    <x v="887"/>
    <x v="3"/>
    <x v="760"/>
    <x v="1514"/>
  </r>
  <r>
    <x v="63"/>
    <x v="11"/>
    <x v="215"/>
    <x v="140"/>
    <x v="538"/>
    <x v="1515"/>
  </r>
  <r>
    <x v="63"/>
    <x v="11"/>
    <x v="888"/>
    <x v="140"/>
    <x v="727"/>
    <x v="1516"/>
  </r>
  <r>
    <x v="63"/>
    <x v="43"/>
    <x v="317"/>
    <x v="131"/>
    <x v="522"/>
    <x v="1517"/>
  </r>
  <r>
    <x v="63"/>
    <x v="11"/>
    <x v="162"/>
    <x v="3"/>
    <x v="156"/>
    <x v="1518"/>
  </r>
  <r>
    <x v="63"/>
    <x v="11"/>
    <x v="828"/>
    <x v="3"/>
    <x v="658"/>
    <x v="1519"/>
  </r>
  <r>
    <x v="63"/>
    <x v="11"/>
    <x v="889"/>
    <x v="388"/>
    <x v="69"/>
    <x v="1520"/>
  </r>
  <r>
    <x v="63"/>
    <x v="13"/>
    <x v="238"/>
    <x v="47"/>
    <x v="761"/>
    <x v="1521"/>
  </r>
  <r>
    <x v="63"/>
    <x v="11"/>
    <x v="890"/>
    <x v="162"/>
    <x v="762"/>
    <x v="1522"/>
  </r>
  <r>
    <x v="63"/>
    <x v="11"/>
    <x v="451"/>
    <x v="134"/>
    <x v="752"/>
    <x v="1523"/>
  </r>
  <r>
    <x v="63"/>
    <x v="11"/>
    <x v="7"/>
    <x v="152"/>
    <x v="627"/>
    <x v="1524"/>
  </r>
  <r>
    <x v="63"/>
    <x v="15"/>
    <x v="746"/>
    <x v="103"/>
    <x v="484"/>
    <x v="1525"/>
  </r>
  <r>
    <x v="63"/>
    <x v="11"/>
    <x v="619"/>
    <x v="3"/>
    <x v="763"/>
    <x v="1526"/>
  </r>
  <r>
    <x v="63"/>
    <x v="11"/>
    <x v="474"/>
    <x v="105"/>
    <x v="67"/>
    <x v="1527"/>
  </r>
  <r>
    <x v="63"/>
    <x v="11"/>
    <x v="891"/>
    <x v="15"/>
    <x v="639"/>
    <x v="1528"/>
  </r>
  <r>
    <x v="63"/>
    <x v="11"/>
    <x v="248"/>
    <x v="144"/>
    <x v="764"/>
    <x v="1529"/>
  </r>
  <r>
    <x v="63"/>
    <x v="22"/>
    <x v="604"/>
    <x v="140"/>
    <x v="379"/>
    <x v="1530"/>
  </r>
  <r>
    <x v="63"/>
    <x v="13"/>
    <x v="474"/>
    <x v="47"/>
    <x v="661"/>
    <x v="1531"/>
  </r>
  <r>
    <x v="63"/>
    <x v="11"/>
    <x v="166"/>
    <x v="47"/>
    <x v="282"/>
    <x v="1532"/>
  </r>
  <r>
    <x v="63"/>
    <x v="11"/>
    <x v="219"/>
    <x v="105"/>
    <x v="587"/>
    <x v="1533"/>
  </r>
  <r>
    <x v="63"/>
    <x v="11"/>
    <x v="892"/>
    <x v="3"/>
    <x v="261"/>
    <x v="1534"/>
  </r>
  <r>
    <x v="63"/>
    <x v="11"/>
    <x v="200"/>
    <x v="103"/>
    <x v="684"/>
    <x v="1535"/>
  </r>
  <r>
    <x v="63"/>
    <x v="13"/>
    <x v="403"/>
    <x v="47"/>
    <x v="305"/>
    <x v="1536"/>
  </r>
  <r>
    <x v="63"/>
    <x v="13"/>
    <x v="893"/>
    <x v="180"/>
    <x v="765"/>
    <x v="1537"/>
  </r>
  <r>
    <x v="63"/>
    <x v="11"/>
    <x v="743"/>
    <x v="3"/>
    <x v="635"/>
    <x v="1538"/>
  </r>
  <r>
    <x v="63"/>
    <x v="13"/>
    <x v="202"/>
    <x v="103"/>
    <x v="46"/>
    <x v="1539"/>
  </r>
  <r>
    <x v="63"/>
    <x v="11"/>
    <x v="219"/>
    <x v="162"/>
    <x v="766"/>
    <x v="1540"/>
  </r>
  <r>
    <x v="63"/>
    <x v="13"/>
    <x v="595"/>
    <x v="47"/>
    <x v="295"/>
    <x v="1541"/>
  </r>
  <r>
    <x v="63"/>
    <x v="11"/>
    <x v="293"/>
    <x v="47"/>
    <x v="159"/>
    <x v="1542"/>
  </r>
  <r>
    <x v="63"/>
    <x v="22"/>
    <x v="894"/>
    <x v="3"/>
    <x v="596"/>
    <x v="1543"/>
  </r>
  <r>
    <x v="63"/>
    <x v="11"/>
    <x v="174"/>
    <x v="138"/>
    <x v="767"/>
    <x v="1544"/>
  </r>
  <r>
    <x v="63"/>
    <x v="11"/>
    <x v="895"/>
    <x v="158"/>
    <x v="20"/>
    <x v="1545"/>
  </r>
  <r>
    <x v="63"/>
    <x v="12"/>
    <x v="409"/>
    <x v="111"/>
    <x v="100"/>
    <x v="1546"/>
  </r>
  <r>
    <x v="63"/>
    <x v="21"/>
    <x v="166"/>
    <x v="111"/>
    <x v="175"/>
    <x v="1547"/>
  </r>
  <r>
    <x v="63"/>
    <x v="12"/>
    <x v="756"/>
    <x v="389"/>
    <x v="630"/>
    <x v="1548"/>
  </r>
  <r>
    <x v="63"/>
    <x v="11"/>
    <x v="215"/>
    <x v="109"/>
    <x v="768"/>
    <x v="1549"/>
  </r>
  <r>
    <x v="63"/>
    <x v="21"/>
    <x v="354"/>
    <x v="134"/>
    <x v="616"/>
    <x v="1550"/>
  </r>
  <r>
    <x v="63"/>
    <x v="11"/>
    <x v="896"/>
    <x v="47"/>
    <x v="292"/>
    <x v="1551"/>
  </r>
  <r>
    <x v="63"/>
    <x v="22"/>
    <x v="668"/>
    <x v="103"/>
    <x v="347"/>
    <x v="1552"/>
  </r>
  <r>
    <x v="63"/>
    <x v="11"/>
    <x v="897"/>
    <x v="162"/>
    <x v="179"/>
    <x v="1553"/>
  </r>
  <r>
    <x v="63"/>
    <x v="12"/>
    <x v="305"/>
    <x v="97"/>
    <x v="599"/>
    <x v="1554"/>
  </r>
  <r>
    <x v="63"/>
    <x v="12"/>
    <x v="898"/>
    <x v="15"/>
    <x v="769"/>
    <x v="1555"/>
  </r>
  <r>
    <x v="63"/>
    <x v="22"/>
    <x v="899"/>
    <x v="93"/>
    <x v="770"/>
    <x v="1556"/>
  </r>
  <r>
    <x v="63"/>
    <x v="26"/>
    <x v="218"/>
    <x v="103"/>
    <x v="670"/>
    <x v="1557"/>
  </r>
  <r>
    <x v="63"/>
    <x v="11"/>
    <x v="563"/>
    <x v="390"/>
    <x v="268"/>
    <x v="1558"/>
  </r>
  <r>
    <x v="63"/>
    <x v="11"/>
    <x v="696"/>
    <x v="45"/>
    <x v="612"/>
    <x v="1559"/>
  </r>
  <r>
    <x v="63"/>
    <x v="11"/>
    <x v="178"/>
    <x v="103"/>
    <x v="343"/>
    <x v="1560"/>
  </r>
  <r>
    <x v="63"/>
    <x v="22"/>
    <x v="622"/>
    <x v="140"/>
    <x v="79"/>
    <x v="1561"/>
  </r>
  <r>
    <x v="63"/>
    <x v="22"/>
    <x v="593"/>
    <x v="175"/>
    <x v="771"/>
    <x v="1562"/>
  </r>
  <r>
    <x v="63"/>
    <x v="14"/>
    <x v="900"/>
    <x v="391"/>
    <x v="138"/>
    <x v="1563"/>
  </r>
  <r>
    <x v="63"/>
    <x v="11"/>
    <x v="824"/>
    <x v="111"/>
    <x v="93"/>
    <x v="1564"/>
  </r>
  <r>
    <x v="63"/>
    <x v="11"/>
    <x v="202"/>
    <x v="105"/>
    <x v="654"/>
    <x v="1565"/>
  </r>
  <r>
    <x v="63"/>
    <x v="11"/>
    <x v="202"/>
    <x v="103"/>
    <x v="186"/>
    <x v="1566"/>
  </r>
  <r>
    <x v="63"/>
    <x v="11"/>
    <x v="901"/>
    <x v="47"/>
    <x v="772"/>
    <x v="1567"/>
  </r>
  <r>
    <x v="63"/>
    <x v="13"/>
    <x v="249"/>
    <x v="45"/>
    <x v="773"/>
    <x v="1568"/>
  </r>
  <r>
    <x v="63"/>
    <x v="11"/>
    <x v="474"/>
    <x v="105"/>
    <x v="774"/>
    <x v="1569"/>
  </r>
  <r>
    <x v="63"/>
    <x v="11"/>
    <x v="563"/>
    <x v="103"/>
    <x v="775"/>
    <x v="1570"/>
  </r>
  <r>
    <x v="63"/>
    <x v="11"/>
    <x v="474"/>
    <x v="103"/>
    <x v="604"/>
    <x v="1571"/>
  </r>
  <r>
    <x v="63"/>
    <x v="15"/>
    <x v="213"/>
    <x v="140"/>
    <x v="602"/>
    <x v="1572"/>
  </r>
  <r>
    <x v="63"/>
    <x v="11"/>
    <x v="346"/>
    <x v="180"/>
    <x v="677"/>
    <x v="1573"/>
  </r>
  <r>
    <x v="63"/>
    <x v="13"/>
    <x v="578"/>
    <x v="105"/>
    <x v="776"/>
    <x v="1574"/>
  </r>
  <r>
    <x v="63"/>
    <x v="12"/>
    <x v="756"/>
    <x v="140"/>
    <x v="293"/>
    <x v="1575"/>
  </r>
  <r>
    <x v="63"/>
    <x v="24"/>
    <x v="902"/>
    <x v="103"/>
    <x v="172"/>
    <x v="1576"/>
  </r>
  <r>
    <x v="63"/>
    <x v="11"/>
    <x v="250"/>
    <x v="47"/>
    <x v="777"/>
    <x v="1577"/>
  </r>
  <r>
    <x v="63"/>
    <x v="14"/>
    <x v="305"/>
    <x v="97"/>
    <x v="398"/>
    <x v="1578"/>
  </r>
  <r>
    <x v="63"/>
    <x v="11"/>
    <x v="209"/>
    <x v="173"/>
    <x v="243"/>
    <x v="1579"/>
  </r>
  <r>
    <x v="63"/>
    <x v="23"/>
    <x v="887"/>
    <x v="173"/>
    <x v="778"/>
    <x v="1580"/>
  </r>
  <r>
    <x v="63"/>
    <x v="11"/>
    <x v="228"/>
    <x v="15"/>
    <x v="697"/>
    <x v="1581"/>
  </r>
  <r>
    <x v="63"/>
    <x v="11"/>
    <x v="216"/>
    <x v="134"/>
    <x v="397"/>
    <x v="1582"/>
  </r>
  <r>
    <x v="63"/>
    <x v="13"/>
    <x v="903"/>
    <x v="144"/>
    <x v="103"/>
    <x v="1583"/>
  </r>
  <r>
    <x v="63"/>
    <x v="11"/>
    <x v="109"/>
    <x v="224"/>
    <x v="514"/>
    <x v="1584"/>
  </r>
  <r>
    <x v="63"/>
    <x v="11"/>
    <x v="309"/>
    <x v="150"/>
    <x v="203"/>
    <x v="1585"/>
  </r>
  <r>
    <x v="63"/>
    <x v="21"/>
    <x v="228"/>
    <x v="392"/>
    <x v="217"/>
    <x v="1586"/>
  </r>
  <r>
    <x v="63"/>
    <x v="12"/>
    <x v="267"/>
    <x v="138"/>
    <x v="251"/>
    <x v="1587"/>
  </r>
  <r>
    <x v="63"/>
    <x v="25"/>
    <x v="17"/>
    <x v="47"/>
    <x v="115"/>
    <x v="1588"/>
  </r>
  <r>
    <x v="63"/>
    <x v="11"/>
    <x v="904"/>
    <x v="103"/>
    <x v="251"/>
    <x v="1589"/>
  </r>
  <r>
    <x v="63"/>
    <x v="22"/>
    <x v="905"/>
    <x v="134"/>
    <x v="121"/>
    <x v="1590"/>
  </r>
  <r>
    <x v="63"/>
    <x v="21"/>
    <x v="178"/>
    <x v="393"/>
    <x v="364"/>
    <x v="1591"/>
  </r>
  <r>
    <x v="63"/>
    <x v="12"/>
    <x v="906"/>
    <x v="148"/>
    <x v="153"/>
    <x v="1592"/>
  </r>
  <r>
    <x v="63"/>
    <x v="11"/>
    <x v="305"/>
    <x v="15"/>
    <x v="779"/>
    <x v="1593"/>
  </r>
  <r>
    <x v="63"/>
    <x v="11"/>
    <x v="289"/>
    <x v="47"/>
    <x v="375"/>
    <x v="1594"/>
  </r>
  <r>
    <x v="63"/>
    <x v="13"/>
    <x v="183"/>
    <x v="103"/>
    <x v="780"/>
    <x v="1595"/>
  </r>
  <r>
    <x v="63"/>
    <x v="11"/>
    <x v="177"/>
    <x v="3"/>
    <x v="781"/>
    <x v="1596"/>
  </r>
  <r>
    <x v="63"/>
    <x v="11"/>
    <x v="900"/>
    <x v="47"/>
    <x v="684"/>
    <x v="1597"/>
  </r>
  <r>
    <x v="63"/>
    <x v="11"/>
    <x v="684"/>
    <x v="47"/>
    <x v="434"/>
    <x v="1598"/>
  </r>
  <r>
    <x v="63"/>
    <x v="11"/>
    <x v="242"/>
    <x v="162"/>
    <x v="782"/>
    <x v="1599"/>
  </r>
  <r>
    <x v="63"/>
    <x v="13"/>
    <x v="582"/>
    <x v="162"/>
    <x v="501"/>
    <x v="1600"/>
  </r>
  <r>
    <x v="63"/>
    <x v="11"/>
    <x v="166"/>
    <x v="394"/>
    <x v="541"/>
    <x v="1601"/>
  </r>
  <r>
    <x v="63"/>
    <x v="11"/>
    <x v="907"/>
    <x v="45"/>
    <x v="783"/>
    <x v="1602"/>
  </r>
  <r>
    <x v="63"/>
    <x v="13"/>
    <x v="215"/>
    <x v="142"/>
    <x v="204"/>
    <x v="1603"/>
  </r>
  <r>
    <x v="63"/>
    <x v="13"/>
    <x v="908"/>
    <x v="224"/>
    <x v="62"/>
    <x v="1604"/>
  </r>
  <r>
    <x v="63"/>
    <x v="13"/>
    <x v="247"/>
    <x v="140"/>
    <x v="784"/>
    <x v="1605"/>
  </r>
  <r>
    <x v="63"/>
    <x v="23"/>
    <x v="651"/>
    <x v="3"/>
    <x v="355"/>
    <x v="1606"/>
  </r>
  <r>
    <x v="63"/>
    <x v="23"/>
    <x v="291"/>
    <x v="111"/>
    <x v="477"/>
    <x v="1607"/>
  </r>
  <r>
    <x v="63"/>
    <x v="11"/>
    <x v="603"/>
    <x v="134"/>
    <x v="785"/>
    <x v="1608"/>
  </r>
  <r>
    <x v="63"/>
    <x v="11"/>
    <x v="240"/>
    <x v="175"/>
    <x v="613"/>
    <x v="1609"/>
  </r>
  <r>
    <x v="63"/>
    <x v="11"/>
    <x v="563"/>
    <x v="103"/>
    <x v="221"/>
    <x v="1610"/>
  </r>
  <r>
    <x v="63"/>
    <x v="11"/>
    <x v="909"/>
    <x v="148"/>
    <x v="786"/>
    <x v="1611"/>
  </r>
  <r>
    <x v="63"/>
    <x v="11"/>
    <x v="910"/>
    <x v="103"/>
    <x v="787"/>
    <x v="1612"/>
  </r>
  <r>
    <x v="63"/>
    <x v="25"/>
    <x v="232"/>
    <x v="103"/>
    <x v="157"/>
    <x v="1613"/>
  </r>
  <r>
    <x v="63"/>
    <x v="11"/>
    <x v="206"/>
    <x v="168"/>
    <x v="788"/>
    <x v="1614"/>
  </r>
  <r>
    <x v="63"/>
    <x v="11"/>
    <x v="353"/>
    <x v="47"/>
    <x v="430"/>
    <x v="1615"/>
  </r>
  <r>
    <x v="63"/>
    <x v="22"/>
    <x v="661"/>
    <x v="47"/>
    <x v="526"/>
    <x v="1616"/>
  </r>
  <r>
    <x v="63"/>
    <x v="11"/>
    <x v="325"/>
    <x v="150"/>
    <x v="789"/>
    <x v="1617"/>
  </r>
  <r>
    <x v="63"/>
    <x v="23"/>
    <x v="631"/>
    <x v="105"/>
    <x v="790"/>
    <x v="1618"/>
  </r>
  <r>
    <x v="63"/>
    <x v="23"/>
    <x v="40"/>
    <x v="395"/>
    <x v="791"/>
    <x v="1619"/>
  </r>
  <r>
    <x v="63"/>
    <x v="23"/>
    <x v="911"/>
    <x v="171"/>
    <x v="604"/>
    <x v="1620"/>
  </r>
  <r>
    <x v="63"/>
    <x v="11"/>
    <x v="451"/>
    <x v="138"/>
    <x v="33"/>
    <x v="1621"/>
  </r>
  <r>
    <x v="63"/>
    <x v="12"/>
    <x v="883"/>
    <x v="153"/>
    <x v="682"/>
    <x v="1622"/>
  </r>
  <r>
    <x v="63"/>
    <x v="13"/>
    <x v="250"/>
    <x v="142"/>
    <x v="792"/>
    <x v="1623"/>
  </r>
  <r>
    <x v="63"/>
    <x v="11"/>
    <x v="451"/>
    <x v="138"/>
    <x v="48"/>
    <x v="1624"/>
  </r>
  <r>
    <x v="63"/>
    <x v="13"/>
    <x v="328"/>
    <x v="396"/>
    <x v="793"/>
    <x v="1625"/>
  </r>
  <r>
    <x v="63"/>
    <x v="13"/>
    <x v="272"/>
    <x v="47"/>
    <x v="691"/>
    <x v="1626"/>
  </r>
  <r>
    <x v="63"/>
    <x v="11"/>
    <x v="183"/>
    <x v="103"/>
    <x v="269"/>
    <x v="1627"/>
  </r>
  <r>
    <x v="63"/>
    <x v="13"/>
    <x v="208"/>
    <x v="103"/>
    <x v="397"/>
    <x v="1628"/>
  </r>
  <r>
    <x v="63"/>
    <x v="22"/>
    <x v="630"/>
    <x v="103"/>
    <x v="67"/>
    <x v="1629"/>
  </r>
  <r>
    <x v="63"/>
    <x v="22"/>
    <x v="912"/>
    <x v="47"/>
    <x v="292"/>
    <x v="1630"/>
  </r>
  <r>
    <x v="63"/>
    <x v="11"/>
    <x v="182"/>
    <x v="103"/>
    <x v="318"/>
    <x v="1631"/>
  </r>
  <r>
    <x v="63"/>
    <x v="11"/>
    <x v="913"/>
    <x v="45"/>
    <x v="606"/>
    <x v="1632"/>
  </r>
  <r>
    <x v="63"/>
    <x v="11"/>
    <x v="215"/>
    <x v="138"/>
    <x v="794"/>
    <x v="1633"/>
  </r>
  <r>
    <x v="63"/>
    <x v="11"/>
    <x v="668"/>
    <x v="142"/>
    <x v="630"/>
    <x v="1634"/>
  </r>
  <r>
    <x v="63"/>
    <x v="11"/>
    <x v="428"/>
    <x v="397"/>
    <x v="795"/>
    <x v="1635"/>
  </r>
  <r>
    <x v="63"/>
    <x v="13"/>
    <x v="206"/>
    <x v="140"/>
    <x v="796"/>
    <x v="1636"/>
  </r>
  <r>
    <x v="63"/>
    <x v="12"/>
    <x v="756"/>
    <x v="103"/>
    <x v="571"/>
    <x v="1637"/>
  </r>
  <r>
    <x v="63"/>
    <x v="11"/>
    <x v="215"/>
    <x v="103"/>
    <x v="121"/>
    <x v="1638"/>
  </r>
  <r>
    <x v="63"/>
    <x v="11"/>
    <x v="208"/>
    <x v="143"/>
    <x v="797"/>
    <x v="1639"/>
  </r>
  <r>
    <x v="63"/>
    <x v="23"/>
    <x v="914"/>
    <x v="47"/>
    <x v="798"/>
    <x v="1640"/>
  </r>
  <r>
    <x v="63"/>
    <x v="22"/>
    <x v="915"/>
    <x v="194"/>
    <x v="211"/>
    <x v="1641"/>
  </r>
  <r>
    <x v="63"/>
    <x v="23"/>
    <x v="317"/>
    <x v="131"/>
    <x v="712"/>
    <x v="1642"/>
  </r>
  <r>
    <x v="63"/>
    <x v="11"/>
    <x v="845"/>
    <x v="363"/>
    <x v="412"/>
    <x v="1643"/>
  </r>
  <r>
    <x v="63"/>
    <x v="25"/>
    <x v="564"/>
    <x v="140"/>
    <x v="676"/>
    <x v="1644"/>
  </r>
  <r>
    <x v="63"/>
    <x v="11"/>
    <x v="916"/>
    <x v="186"/>
    <x v="270"/>
    <x v="1645"/>
  </r>
  <r>
    <x v="63"/>
    <x v="23"/>
    <x v="303"/>
    <x v="47"/>
    <x v="799"/>
    <x v="1646"/>
  </r>
  <r>
    <x v="63"/>
    <x v="11"/>
    <x v="238"/>
    <x v="144"/>
    <x v="800"/>
    <x v="1647"/>
  </r>
  <r>
    <x v="63"/>
    <x v="11"/>
    <x v="209"/>
    <x v="173"/>
    <x v="801"/>
    <x v="1648"/>
  </r>
  <r>
    <x v="63"/>
    <x v="11"/>
    <x v="202"/>
    <x v="171"/>
    <x v="22"/>
    <x v="1649"/>
  </r>
  <r>
    <x v="63"/>
    <x v="22"/>
    <x v="248"/>
    <x v="134"/>
    <x v="802"/>
    <x v="1650"/>
  </r>
  <r>
    <x v="63"/>
    <x v="13"/>
    <x v="606"/>
    <x v="162"/>
    <x v="744"/>
    <x v="1651"/>
  </r>
  <r>
    <x v="63"/>
    <x v="13"/>
    <x v="878"/>
    <x v="103"/>
    <x v="803"/>
    <x v="1652"/>
  </r>
  <r>
    <x v="63"/>
    <x v="13"/>
    <x v="563"/>
    <x v="398"/>
    <x v="227"/>
    <x v="1653"/>
  </r>
  <r>
    <x v="63"/>
    <x v="24"/>
    <x v="603"/>
    <x v="103"/>
    <x v="804"/>
    <x v="1654"/>
  </r>
  <r>
    <x v="63"/>
    <x v="21"/>
    <x v="261"/>
    <x v="142"/>
    <x v="384"/>
    <x v="1655"/>
  </r>
  <r>
    <x v="63"/>
    <x v="12"/>
    <x v="906"/>
    <x v="171"/>
    <x v="121"/>
    <x v="1656"/>
  </r>
  <r>
    <x v="63"/>
    <x v="13"/>
    <x v="917"/>
    <x v="138"/>
    <x v="638"/>
    <x v="1657"/>
  </r>
  <r>
    <x v="63"/>
    <x v="13"/>
    <x v="205"/>
    <x v="231"/>
    <x v="245"/>
    <x v="1658"/>
  </r>
  <r>
    <x v="63"/>
    <x v="13"/>
    <x v="182"/>
    <x v="173"/>
    <x v="384"/>
    <x v="1659"/>
  </r>
  <r>
    <x v="63"/>
    <x v="11"/>
    <x v="178"/>
    <x v="3"/>
    <x v="110"/>
    <x v="1660"/>
  </r>
  <r>
    <x v="63"/>
    <x v="20"/>
    <x v="452"/>
    <x v="154"/>
    <x v="397"/>
    <x v="1661"/>
  </r>
  <r>
    <x v="63"/>
    <x v="11"/>
    <x v="325"/>
    <x v="47"/>
    <x v="41"/>
    <x v="1662"/>
  </r>
  <r>
    <x v="63"/>
    <x v="48"/>
    <x v="205"/>
    <x v="97"/>
    <x v="167"/>
    <x v="1663"/>
  </r>
  <r>
    <x v="63"/>
    <x v="14"/>
    <x v="196"/>
    <x v="177"/>
    <x v="805"/>
    <x v="1664"/>
  </r>
  <r>
    <x v="63"/>
    <x v="11"/>
    <x v="186"/>
    <x v="103"/>
    <x v="221"/>
    <x v="1665"/>
  </r>
  <r>
    <x v="63"/>
    <x v="23"/>
    <x v="833"/>
    <x v="399"/>
    <x v="597"/>
    <x v="1666"/>
  </r>
  <r>
    <x v="63"/>
    <x v="13"/>
    <x v="196"/>
    <x v="148"/>
    <x v="412"/>
    <x v="1667"/>
  </r>
  <r>
    <x v="63"/>
    <x v="13"/>
    <x v="269"/>
    <x v="134"/>
    <x v="303"/>
    <x v="1668"/>
  </r>
  <r>
    <x v="63"/>
    <x v="23"/>
    <x v="918"/>
    <x v="142"/>
    <x v="806"/>
    <x v="1669"/>
  </r>
  <r>
    <x v="63"/>
    <x v="11"/>
    <x v="456"/>
    <x v="134"/>
    <x v="807"/>
    <x v="1670"/>
  </r>
  <r>
    <x v="63"/>
    <x v="10"/>
    <x v="13"/>
    <x v="163"/>
    <x v="470"/>
    <x v="1671"/>
  </r>
  <r>
    <x v="63"/>
    <x v="11"/>
    <x v="369"/>
    <x v="140"/>
    <x v="638"/>
    <x v="1672"/>
  </r>
  <r>
    <x v="63"/>
    <x v="11"/>
    <x v="283"/>
    <x v="140"/>
    <x v="808"/>
    <x v="1673"/>
  </r>
  <r>
    <x v="63"/>
    <x v="25"/>
    <x v="644"/>
    <x v="140"/>
    <x v="122"/>
    <x v="1674"/>
  </r>
  <r>
    <x v="63"/>
    <x v="11"/>
    <x v="188"/>
    <x v="103"/>
    <x v="809"/>
    <x v="1675"/>
  </r>
  <r>
    <x v="63"/>
    <x v="11"/>
    <x v="325"/>
    <x v="131"/>
    <x v="464"/>
    <x v="1676"/>
  </r>
  <r>
    <x v="63"/>
    <x v="21"/>
    <x v="181"/>
    <x v="162"/>
    <x v="393"/>
    <x v="1677"/>
  </r>
  <r>
    <x v="63"/>
    <x v="21"/>
    <x v="182"/>
    <x v="103"/>
    <x v="692"/>
    <x v="1678"/>
  </r>
  <r>
    <x v="63"/>
    <x v="25"/>
    <x v="166"/>
    <x v="187"/>
    <x v="541"/>
    <x v="1679"/>
  </r>
  <r>
    <x v="63"/>
    <x v="11"/>
    <x v="919"/>
    <x v="47"/>
    <x v="292"/>
    <x v="1680"/>
  </r>
  <r>
    <x v="63"/>
    <x v="11"/>
    <x v="202"/>
    <x v="139"/>
    <x v="536"/>
    <x v="1681"/>
  </r>
  <r>
    <x v="63"/>
    <x v="25"/>
    <x v="181"/>
    <x v="194"/>
    <x v="810"/>
    <x v="1682"/>
  </r>
  <r>
    <x v="63"/>
    <x v="13"/>
    <x v="920"/>
    <x v="138"/>
    <x v="470"/>
    <x v="1683"/>
  </r>
  <r>
    <x v="63"/>
    <x v="11"/>
    <x v="921"/>
    <x v="103"/>
    <x v="369"/>
    <x v="1684"/>
  </r>
  <r>
    <x v="63"/>
    <x v="13"/>
    <x v="922"/>
    <x v="15"/>
    <x v="159"/>
    <x v="1685"/>
  </r>
  <r>
    <x v="63"/>
    <x v="11"/>
    <x v="923"/>
    <x v="148"/>
    <x v="492"/>
    <x v="1686"/>
  </r>
  <r>
    <x v="63"/>
    <x v="13"/>
    <x v="240"/>
    <x v="140"/>
    <x v="811"/>
    <x v="1687"/>
  </r>
  <r>
    <x v="63"/>
    <x v="50"/>
    <x v="474"/>
    <x v="171"/>
    <x v="812"/>
    <x v="1688"/>
  </r>
  <r>
    <x v="63"/>
    <x v="11"/>
    <x v="182"/>
    <x v="103"/>
    <x v="101"/>
    <x v="1689"/>
  </r>
  <r>
    <x v="63"/>
    <x v="15"/>
    <x v="13"/>
    <x v="214"/>
    <x v="72"/>
    <x v="1690"/>
  </r>
  <r>
    <x v="63"/>
    <x v="11"/>
    <x v="451"/>
    <x v="148"/>
    <x v="464"/>
    <x v="1691"/>
  </r>
  <r>
    <x v="63"/>
    <x v="13"/>
    <x v="228"/>
    <x v="140"/>
    <x v="222"/>
    <x v="1692"/>
  </r>
  <r>
    <x v="63"/>
    <x v="23"/>
    <x v="177"/>
    <x v="103"/>
    <x v="412"/>
    <x v="1693"/>
  </r>
  <r>
    <x v="63"/>
    <x v="22"/>
    <x v="249"/>
    <x v="3"/>
    <x v="384"/>
    <x v="1694"/>
  </r>
  <r>
    <x v="63"/>
    <x v="21"/>
    <x v="210"/>
    <x v="139"/>
    <x v="145"/>
    <x v="1695"/>
  </r>
  <r>
    <x v="63"/>
    <x v="22"/>
    <x v="470"/>
    <x v="103"/>
    <x v="614"/>
    <x v="1696"/>
  </r>
  <r>
    <x v="63"/>
    <x v="11"/>
    <x v="243"/>
    <x v="111"/>
    <x v="813"/>
    <x v="1697"/>
  </r>
  <r>
    <x v="63"/>
    <x v="17"/>
    <x v="921"/>
    <x v="3"/>
    <x v="399"/>
    <x v="1698"/>
  </r>
  <r>
    <x v="63"/>
    <x v="11"/>
    <x v="603"/>
    <x v="148"/>
    <x v="258"/>
    <x v="1699"/>
  </r>
  <r>
    <x v="63"/>
    <x v="11"/>
    <x v="924"/>
    <x v="153"/>
    <x v="379"/>
    <x v="1700"/>
  </r>
  <r>
    <x v="63"/>
    <x v="11"/>
    <x v="188"/>
    <x v="148"/>
    <x v="708"/>
    <x v="1701"/>
  </r>
  <r>
    <x v="63"/>
    <x v="12"/>
    <x v="925"/>
    <x v="400"/>
    <x v="405"/>
    <x v="1702"/>
  </r>
  <r>
    <x v="63"/>
    <x v="11"/>
    <x v="273"/>
    <x v="134"/>
    <x v="526"/>
    <x v="1703"/>
  </r>
  <r>
    <x v="63"/>
    <x v="11"/>
    <x v="267"/>
    <x v="224"/>
    <x v="757"/>
    <x v="1704"/>
  </r>
  <r>
    <x v="63"/>
    <x v="21"/>
    <x v="459"/>
    <x v="166"/>
    <x v="150"/>
    <x v="1705"/>
  </r>
  <r>
    <x v="63"/>
    <x v="20"/>
    <x v="226"/>
    <x v="134"/>
    <x v="81"/>
    <x v="1706"/>
  </r>
  <r>
    <x v="63"/>
    <x v="11"/>
    <x v="246"/>
    <x v="103"/>
    <x v="682"/>
    <x v="1707"/>
  </r>
  <r>
    <x v="63"/>
    <x v="24"/>
    <x v="926"/>
    <x v="103"/>
    <x v="76"/>
    <x v="1708"/>
  </r>
  <r>
    <x v="63"/>
    <x v="11"/>
    <x v="242"/>
    <x v="47"/>
    <x v="814"/>
    <x v="1709"/>
  </r>
  <r>
    <x v="63"/>
    <x v="11"/>
    <x v="878"/>
    <x v="143"/>
    <x v="163"/>
    <x v="1710"/>
  </r>
  <r>
    <x v="63"/>
    <x v="23"/>
    <x v="303"/>
    <x v="134"/>
    <x v="41"/>
    <x v="1711"/>
  </r>
  <r>
    <x v="63"/>
    <x v="11"/>
    <x v="578"/>
    <x v="143"/>
    <x v="542"/>
    <x v="1712"/>
  </r>
  <r>
    <x v="63"/>
    <x v="11"/>
    <x v="600"/>
    <x v="401"/>
    <x v="261"/>
    <x v="1713"/>
  </r>
  <r>
    <x v="63"/>
    <x v="11"/>
    <x v="303"/>
    <x v="131"/>
    <x v="50"/>
    <x v="1714"/>
  </r>
  <r>
    <x v="63"/>
    <x v="11"/>
    <x v="208"/>
    <x v="78"/>
    <x v="573"/>
    <x v="1715"/>
  </r>
  <r>
    <x v="63"/>
    <x v="11"/>
    <x v="272"/>
    <x v="180"/>
    <x v="815"/>
    <x v="1716"/>
  </r>
  <r>
    <x v="63"/>
    <x v="11"/>
    <x v="563"/>
    <x v="148"/>
    <x v="231"/>
    <x v="1717"/>
  </r>
  <r>
    <x v="63"/>
    <x v="11"/>
    <x v="309"/>
    <x v="402"/>
    <x v="801"/>
    <x v="1718"/>
  </r>
  <r>
    <x v="63"/>
    <x v="11"/>
    <x v="283"/>
    <x v="184"/>
    <x v="242"/>
    <x v="1719"/>
  </r>
  <r>
    <x v="63"/>
    <x v="13"/>
    <x v="600"/>
    <x v="68"/>
    <x v="456"/>
    <x v="1720"/>
  </r>
  <r>
    <x v="63"/>
    <x v="26"/>
    <x v="109"/>
    <x v="105"/>
    <x v="125"/>
    <x v="1721"/>
  </r>
  <r>
    <x v="63"/>
    <x v="11"/>
    <x v="218"/>
    <x v="148"/>
    <x v="816"/>
    <x v="1722"/>
  </r>
  <r>
    <x v="63"/>
    <x v="11"/>
    <x v="226"/>
    <x v="105"/>
    <x v="112"/>
    <x v="1723"/>
  </r>
  <r>
    <x v="63"/>
    <x v="13"/>
    <x v="183"/>
    <x v="103"/>
    <x v="474"/>
    <x v="1724"/>
  </r>
  <r>
    <x v="63"/>
    <x v="11"/>
    <x v="225"/>
    <x v="403"/>
    <x v="221"/>
    <x v="1725"/>
  </r>
  <r>
    <x v="63"/>
    <x v="13"/>
    <x v="927"/>
    <x v="45"/>
    <x v="251"/>
    <x v="1726"/>
  </r>
  <r>
    <x v="63"/>
    <x v="23"/>
    <x v="320"/>
    <x v="404"/>
    <x v="664"/>
    <x v="1727"/>
  </r>
  <r>
    <x v="63"/>
    <x v="23"/>
    <x v="113"/>
    <x v="405"/>
    <x v="340"/>
    <x v="1728"/>
  </r>
  <r>
    <x v="63"/>
    <x v="47"/>
    <x v="64"/>
    <x v="158"/>
    <x v="817"/>
    <x v="1729"/>
  </r>
  <r>
    <x v="63"/>
    <x v="13"/>
    <x v="195"/>
    <x v="3"/>
    <x v="316"/>
    <x v="1730"/>
  </r>
  <r>
    <x v="63"/>
    <x v="13"/>
    <x v="173"/>
    <x v="97"/>
    <x v="630"/>
    <x v="1731"/>
  </r>
  <r>
    <x v="63"/>
    <x v="13"/>
    <x v="666"/>
    <x v="138"/>
    <x v="390"/>
    <x v="1732"/>
  </r>
  <r>
    <x v="63"/>
    <x v="11"/>
    <x v="261"/>
    <x v="139"/>
    <x v="107"/>
    <x v="1733"/>
  </r>
  <r>
    <x v="63"/>
    <x v="11"/>
    <x v="186"/>
    <x v="142"/>
    <x v="818"/>
    <x v="1734"/>
  </r>
  <r>
    <x v="63"/>
    <x v="11"/>
    <x v="928"/>
    <x v="180"/>
    <x v="209"/>
    <x v="1735"/>
  </r>
  <r>
    <x v="63"/>
    <x v="11"/>
    <x v="320"/>
    <x v="105"/>
    <x v="0"/>
    <x v="1736"/>
  </r>
  <r>
    <x v="63"/>
    <x v="22"/>
    <x v="929"/>
    <x v="105"/>
    <x v="752"/>
    <x v="1737"/>
  </r>
  <r>
    <x v="63"/>
    <x v="11"/>
    <x v="303"/>
    <x v="158"/>
    <x v="105"/>
    <x v="1738"/>
  </r>
  <r>
    <x v="63"/>
    <x v="11"/>
    <x v="661"/>
    <x v="406"/>
    <x v="727"/>
    <x v="1739"/>
  </r>
  <r>
    <x v="63"/>
    <x v="11"/>
    <x v="451"/>
    <x v="68"/>
    <x v="417"/>
    <x v="1740"/>
  </r>
  <r>
    <x v="63"/>
    <x v="11"/>
    <x v="7"/>
    <x v="94"/>
    <x v="819"/>
    <x v="1741"/>
  </r>
  <r>
    <x v="63"/>
    <x v="17"/>
    <x v="228"/>
    <x v="173"/>
    <x v="269"/>
    <x v="1742"/>
  </r>
  <r>
    <x v="63"/>
    <x v="11"/>
    <x v="71"/>
    <x v="144"/>
    <x v="388"/>
    <x v="1743"/>
  </r>
  <r>
    <x v="63"/>
    <x v="12"/>
    <x v="67"/>
    <x v="407"/>
    <x v="777"/>
    <x v="1744"/>
  </r>
  <r>
    <x v="63"/>
    <x v="17"/>
    <x v="219"/>
    <x v="103"/>
    <x v="309"/>
    <x v="1745"/>
  </r>
  <r>
    <x v="63"/>
    <x v="13"/>
    <x v="166"/>
    <x v="103"/>
    <x v="820"/>
    <x v="1746"/>
  </r>
  <r>
    <x v="63"/>
    <x v="23"/>
    <x v="319"/>
    <x v="140"/>
    <x v="515"/>
    <x v="1747"/>
  </r>
  <r>
    <x v="63"/>
    <x v="22"/>
    <x v="305"/>
    <x v="47"/>
    <x v="667"/>
    <x v="1748"/>
  </r>
  <r>
    <x v="63"/>
    <x v="11"/>
    <x v="930"/>
    <x v="168"/>
    <x v="91"/>
    <x v="1749"/>
  </r>
  <r>
    <x v="63"/>
    <x v="22"/>
    <x v="402"/>
    <x v="103"/>
    <x v="79"/>
    <x v="1750"/>
  </r>
  <r>
    <x v="63"/>
    <x v="22"/>
    <x v="346"/>
    <x v="138"/>
    <x v="821"/>
    <x v="1751"/>
  </r>
  <r>
    <x v="63"/>
    <x v="11"/>
    <x v="249"/>
    <x v="151"/>
    <x v="355"/>
    <x v="1752"/>
  </r>
  <r>
    <x v="63"/>
    <x v="11"/>
    <x v="931"/>
    <x v="138"/>
    <x v="10"/>
    <x v="1753"/>
  </r>
  <r>
    <x v="63"/>
    <x v="22"/>
    <x v="932"/>
    <x v="47"/>
    <x v="822"/>
    <x v="1754"/>
  </r>
  <r>
    <x v="63"/>
    <x v="13"/>
    <x v="619"/>
    <x v="134"/>
    <x v="293"/>
    <x v="1755"/>
  </r>
  <r>
    <x v="63"/>
    <x v="11"/>
    <x v="933"/>
    <x v="162"/>
    <x v="318"/>
    <x v="1756"/>
  </r>
  <r>
    <x v="63"/>
    <x v="22"/>
    <x v="934"/>
    <x v="47"/>
    <x v="773"/>
    <x v="1757"/>
  </r>
  <r>
    <x v="63"/>
    <x v="11"/>
    <x v="20"/>
    <x v="47"/>
    <x v="229"/>
    <x v="1758"/>
  </r>
  <r>
    <x v="63"/>
    <x v="11"/>
    <x v="4"/>
    <x v="142"/>
    <x v="486"/>
    <x v="1759"/>
  </r>
  <r>
    <x v="63"/>
    <x v="15"/>
    <x v="935"/>
    <x v="187"/>
    <x v="480"/>
    <x v="1760"/>
  </r>
  <r>
    <x v="63"/>
    <x v="13"/>
    <x v="936"/>
    <x v="168"/>
    <x v="333"/>
    <x v="1761"/>
  </r>
  <r>
    <x v="63"/>
    <x v="21"/>
    <x v="269"/>
    <x v="408"/>
    <x v="222"/>
    <x v="1762"/>
  </r>
  <r>
    <x v="63"/>
    <x v="13"/>
    <x v="563"/>
    <x v="173"/>
    <x v="823"/>
    <x v="1763"/>
  </r>
  <r>
    <x v="63"/>
    <x v="13"/>
    <x v="295"/>
    <x v="140"/>
    <x v="289"/>
    <x v="1764"/>
  </r>
  <r>
    <x v="63"/>
    <x v="21"/>
    <x v="248"/>
    <x v="168"/>
    <x v="175"/>
    <x v="1765"/>
  </r>
  <r>
    <x v="63"/>
    <x v="11"/>
    <x v="13"/>
    <x v="134"/>
    <x v="626"/>
    <x v="1766"/>
  </r>
  <r>
    <x v="63"/>
    <x v="21"/>
    <x v="653"/>
    <x v="78"/>
    <x v="396"/>
    <x v="1767"/>
  </r>
  <r>
    <x v="63"/>
    <x v="11"/>
    <x v="796"/>
    <x v="140"/>
    <x v="824"/>
    <x v="1768"/>
  </r>
  <r>
    <x v="63"/>
    <x v="11"/>
    <x v="937"/>
    <x v="156"/>
    <x v="121"/>
    <x v="1769"/>
  </r>
  <r>
    <x v="63"/>
    <x v="22"/>
    <x v="219"/>
    <x v="140"/>
    <x v="825"/>
    <x v="1770"/>
  </r>
  <r>
    <x v="63"/>
    <x v="11"/>
    <x v="250"/>
    <x v="103"/>
    <x v="121"/>
    <x v="1771"/>
  </r>
  <r>
    <x v="63"/>
    <x v="13"/>
    <x v="346"/>
    <x v="97"/>
    <x v="84"/>
    <x v="1772"/>
  </r>
  <r>
    <x v="63"/>
    <x v="13"/>
    <x v="598"/>
    <x v="409"/>
    <x v="341"/>
    <x v="1773"/>
  </r>
  <r>
    <x v="63"/>
    <x v="20"/>
    <x v="938"/>
    <x v="131"/>
    <x v="691"/>
    <x v="1774"/>
  </r>
  <r>
    <x v="63"/>
    <x v="11"/>
    <x v="639"/>
    <x v="47"/>
    <x v="33"/>
    <x v="1775"/>
  </r>
  <r>
    <x v="63"/>
    <x v="22"/>
    <x v="248"/>
    <x v="168"/>
    <x v="826"/>
    <x v="1776"/>
  </r>
  <r>
    <x v="63"/>
    <x v="11"/>
    <x v="939"/>
    <x v="140"/>
    <x v="365"/>
    <x v="1777"/>
  </r>
  <r>
    <x v="63"/>
    <x v="13"/>
    <x v="322"/>
    <x v="162"/>
    <x v="369"/>
    <x v="1778"/>
  </r>
  <r>
    <x v="63"/>
    <x v="21"/>
    <x v="940"/>
    <x v="97"/>
    <x v="215"/>
    <x v="1779"/>
  </r>
  <r>
    <x v="63"/>
    <x v="11"/>
    <x v="603"/>
    <x v="173"/>
    <x v="197"/>
    <x v="1780"/>
  </r>
  <r>
    <x v="63"/>
    <x v="11"/>
    <x v="207"/>
    <x v="97"/>
    <x v="677"/>
    <x v="1781"/>
  </r>
  <r>
    <x v="63"/>
    <x v="11"/>
    <x v="210"/>
    <x v="97"/>
    <x v="7"/>
    <x v="1782"/>
  </r>
  <r>
    <x v="63"/>
    <x v="22"/>
    <x v="941"/>
    <x v="131"/>
    <x v="601"/>
    <x v="1783"/>
  </r>
  <r>
    <x v="63"/>
    <x v="11"/>
    <x v="942"/>
    <x v="166"/>
    <x v="132"/>
    <x v="1784"/>
  </r>
  <r>
    <x v="63"/>
    <x v="21"/>
    <x v="354"/>
    <x v="148"/>
    <x v="51"/>
    <x v="1785"/>
  </r>
  <r>
    <x v="63"/>
    <x v="11"/>
    <x v="303"/>
    <x v="74"/>
    <x v="231"/>
    <x v="1786"/>
  </r>
  <r>
    <x v="63"/>
    <x v="11"/>
    <x v="822"/>
    <x v="180"/>
    <x v="752"/>
    <x v="1787"/>
  </r>
  <r>
    <x v="63"/>
    <x v="11"/>
    <x v="943"/>
    <x v="144"/>
    <x v="51"/>
    <x v="1788"/>
  </r>
  <r>
    <x v="63"/>
    <x v="11"/>
    <x v="944"/>
    <x v="410"/>
    <x v="208"/>
    <x v="1789"/>
  </r>
  <r>
    <x v="63"/>
    <x v="11"/>
    <x v="208"/>
    <x v="78"/>
    <x v="597"/>
    <x v="1790"/>
  </r>
  <r>
    <x v="63"/>
    <x v="11"/>
    <x v="242"/>
    <x v="134"/>
    <x v="827"/>
    <x v="1791"/>
  </r>
  <r>
    <x v="63"/>
    <x v="11"/>
    <x v="945"/>
    <x v="140"/>
    <x v="736"/>
    <x v="1792"/>
  </r>
  <r>
    <x v="63"/>
    <x v="13"/>
    <x v="603"/>
    <x v="138"/>
    <x v="434"/>
    <x v="1793"/>
  </r>
  <r>
    <x v="63"/>
    <x v="11"/>
    <x v="946"/>
    <x v="97"/>
    <x v="268"/>
    <x v="1794"/>
  </r>
  <r>
    <x v="63"/>
    <x v="10"/>
    <x v="296"/>
    <x v="411"/>
    <x v="169"/>
    <x v="1795"/>
  </r>
  <r>
    <x v="63"/>
    <x v="11"/>
    <x v="947"/>
    <x v="180"/>
    <x v="828"/>
    <x v="1796"/>
  </r>
  <r>
    <x v="63"/>
    <x v="11"/>
    <x v="948"/>
    <x v="173"/>
    <x v="829"/>
    <x v="1797"/>
  </r>
  <r>
    <x v="63"/>
    <x v="22"/>
    <x v="525"/>
    <x v="140"/>
    <x v="727"/>
    <x v="1798"/>
  </r>
  <r>
    <x v="63"/>
    <x v="11"/>
    <x v="949"/>
    <x v="151"/>
    <x v="766"/>
    <x v="1799"/>
  </r>
  <r>
    <x v="63"/>
    <x v="23"/>
    <x v="950"/>
    <x v="3"/>
    <x v="43"/>
    <x v="1800"/>
  </r>
  <r>
    <x v="63"/>
    <x v="11"/>
    <x v="657"/>
    <x v="168"/>
    <x v="830"/>
    <x v="1801"/>
  </r>
  <r>
    <x v="63"/>
    <x v="11"/>
    <x v="273"/>
    <x v="134"/>
    <x v="271"/>
    <x v="1802"/>
  </r>
  <r>
    <x v="63"/>
    <x v="12"/>
    <x v="883"/>
    <x v="55"/>
    <x v="402"/>
    <x v="1803"/>
  </r>
  <r>
    <x v="63"/>
    <x v="11"/>
    <x v="951"/>
    <x v="412"/>
    <x v="515"/>
    <x v="1804"/>
  </r>
  <r>
    <x v="63"/>
    <x v="13"/>
    <x v="912"/>
    <x v="413"/>
    <x v="15"/>
    <x v="1805"/>
  </r>
  <r>
    <x v="63"/>
    <x v="11"/>
    <x v="220"/>
    <x v="148"/>
    <x v="831"/>
    <x v="1806"/>
  </r>
  <r>
    <x v="63"/>
    <x v="11"/>
    <x v="952"/>
    <x v="47"/>
    <x v="363"/>
    <x v="1807"/>
  </r>
  <r>
    <x v="63"/>
    <x v="13"/>
    <x v="377"/>
    <x v="186"/>
    <x v="832"/>
    <x v="1808"/>
  </r>
  <r>
    <x v="63"/>
    <x v="11"/>
    <x v="953"/>
    <x v="140"/>
    <x v="833"/>
    <x v="1809"/>
  </r>
  <r>
    <x v="63"/>
    <x v="11"/>
    <x v="403"/>
    <x v="160"/>
    <x v="834"/>
    <x v="1810"/>
  </r>
  <r>
    <x v="63"/>
    <x v="11"/>
    <x v="878"/>
    <x v="153"/>
    <x v="773"/>
    <x v="1811"/>
  </r>
  <r>
    <x v="63"/>
    <x v="11"/>
    <x v="904"/>
    <x v="78"/>
    <x v="79"/>
    <x v="1812"/>
  </r>
  <r>
    <x v="63"/>
    <x v="11"/>
    <x v="198"/>
    <x v="111"/>
    <x v="568"/>
    <x v="1813"/>
  </r>
  <r>
    <x v="63"/>
    <x v="13"/>
    <x v="954"/>
    <x v="148"/>
    <x v="123"/>
    <x v="1814"/>
  </r>
  <r>
    <x v="63"/>
    <x v="21"/>
    <x v="563"/>
    <x v="153"/>
    <x v="75"/>
    <x v="1815"/>
  </r>
  <r>
    <x v="63"/>
    <x v="11"/>
    <x v="371"/>
    <x v="134"/>
    <x v="835"/>
    <x v="1816"/>
  </r>
  <r>
    <x v="63"/>
    <x v="21"/>
    <x v="899"/>
    <x v="103"/>
    <x v="691"/>
    <x v="1817"/>
  </r>
  <r>
    <x v="63"/>
    <x v="11"/>
    <x v="955"/>
    <x v="3"/>
    <x v="780"/>
    <x v="1818"/>
  </r>
  <r>
    <x v="63"/>
    <x v="11"/>
    <x v="956"/>
    <x v="105"/>
    <x v="577"/>
    <x v="1819"/>
  </r>
  <r>
    <x v="63"/>
    <x v="11"/>
    <x v="288"/>
    <x v="97"/>
    <x v="836"/>
    <x v="1820"/>
  </r>
  <r>
    <x v="63"/>
    <x v="13"/>
    <x v="568"/>
    <x v="143"/>
    <x v="215"/>
    <x v="1821"/>
  </r>
  <r>
    <x v="63"/>
    <x v="22"/>
    <x v="957"/>
    <x v="143"/>
    <x v="290"/>
    <x v="1822"/>
  </r>
  <r>
    <x v="63"/>
    <x v="26"/>
    <x v="895"/>
    <x v="143"/>
    <x v="837"/>
    <x v="1823"/>
  </r>
  <r>
    <x v="63"/>
    <x v="11"/>
    <x v="958"/>
    <x v="312"/>
    <x v="339"/>
    <x v="1824"/>
  </r>
  <r>
    <x v="63"/>
    <x v="22"/>
    <x v="959"/>
    <x v="161"/>
    <x v="838"/>
    <x v="1825"/>
  </r>
  <r>
    <x v="63"/>
    <x v="11"/>
    <x v="395"/>
    <x v="132"/>
    <x v="112"/>
    <x v="1826"/>
  </r>
  <r>
    <x v="63"/>
    <x v="24"/>
    <x v="315"/>
    <x v="171"/>
    <x v="64"/>
    <x v="1827"/>
  </r>
  <r>
    <x v="63"/>
    <x v="11"/>
    <x v="960"/>
    <x v="74"/>
    <x v="389"/>
    <x v="1828"/>
  </r>
  <r>
    <x v="63"/>
    <x v="11"/>
    <x v="283"/>
    <x v="103"/>
    <x v="805"/>
    <x v="1829"/>
  </r>
  <r>
    <x v="63"/>
    <x v="11"/>
    <x v="198"/>
    <x v="103"/>
    <x v="577"/>
    <x v="1830"/>
  </r>
  <r>
    <x v="63"/>
    <x v="11"/>
    <x v="309"/>
    <x v="103"/>
    <x v="251"/>
    <x v="1831"/>
  </r>
  <r>
    <x v="63"/>
    <x v="23"/>
    <x v="961"/>
    <x v="224"/>
    <x v="839"/>
    <x v="1832"/>
  </r>
  <r>
    <x v="63"/>
    <x v="11"/>
    <x v="962"/>
    <x v="47"/>
    <x v="840"/>
    <x v="1833"/>
  </r>
  <r>
    <x v="63"/>
    <x v="11"/>
    <x v="210"/>
    <x v="148"/>
    <x v="841"/>
    <x v="1834"/>
  </r>
  <r>
    <x v="63"/>
    <x v="11"/>
    <x v="963"/>
    <x v="414"/>
    <x v="117"/>
    <x v="1835"/>
  </r>
  <r>
    <x v="63"/>
    <x v="24"/>
    <x v="181"/>
    <x v="191"/>
    <x v="842"/>
    <x v="1836"/>
  </r>
  <r>
    <x v="63"/>
    <x v="11"/>
    <x v="210"/>
    <x v="187"/>
    <x v="574"/>
    <x v="1837"/>
  </r>
  <r>
    <x v="63"/>
    <x v="22"/>
    <x v="35"/>
    <x v="154"/>
    <x v="146"/>
    <x v="1838"/>
  </r>
  <r>
    <x v="63"/>
    <x v="11"/>
    <x v="964"/>
    <x v="142"/>
    <x v="843"/>
    <x v="1839"/>
  </r>
  <r>
    <x v="63"/>
    <x v="22"/>
    <x v="585"/>
    <x v="143"/>
    <x v="509"/>
    <x v="1840"/>
  </r>
  <r>
    <x v="63"/>
    <x v="11"/>
    <x v="80"/>
    <x v="363"/>
    <x v="550"/>
    <x v="1841"/>
  </r>
  <r>
    <x v="63"/>
    <x v="22"/>
    <x v="965"/>
    <x v="184"/>
    <x v="167"/>
    <x v="1842"/>
  </r>
  <r>
    <x v="63"/>
    <x v="11"/>
    <x v="113"/>
    <x v="103"/>
    <x v="230"/>
    <x v="1843"/>
  </r>
  <r>
    <x v="63"/>
    <x v="11"/>
    <x v="966"/>
    <x v="415"/>
    <x v="805"/>
    <x v="1844"/>
  </r>
  <r>
    <x v="63"/>
    <x v="13"/>
    <x v="967"/>
    <x v="162"/>
    <x v="67"/>
    <x v="1845"/>
  </r>
  <r>
    <x v="63"/>
    <x v="20"/>
    <x v="243"/>
    <x v="103"/>
    <x v="416"/>
    <x v="1846"/>
  </r>
  <r>
    <x v="63"/>
    <x v="11"/>
    <x v="213"/>
    <x v="142"/>
    <x v="220"/>
    <x v="1847"/>
  </r>
  <r>
    <x v="63"/>
    <x v="11"/>
    <x v="968"/>
    <x v="3"/>
    <x v="321"/>
    <x v="1848"/>
  </r>
  <r>
    <x v="63"/>
    <x v="13"/>
    <x v="13"/>
    <x v="142"/>
    <x v="685"/>
    <x v="1849"/>
  </r>
  <r>
    <x v="63"/>
    <x v="11"/>
    <x v="109"/>
    <x v="171"/>
    <x v="412"/>
    <x v="1850"/>
  </r>
  <r>
    <x v="63"/>
    <x v="22"/>
    <x v="693"/>
    <x v="105"/>
    <x v="51"/>
    <x v="1851"/>
  </r>
  <r>
    <x v="63"/>
    <x v="11"/>
    <x v="207"/>
    <x v="143"/>
    <x v="844"/>
    <x v="1852"/>
  </r>
  <r>
    <x v="63"/>
    <x v="11"/>
    <x v="587"/>
    <x v="97"/>
    <x v="304"/>
    <x v="1853"/>
  </r>
  <r>
    <x v="63"/>
    <x v="22"/>
    <x v="352"/>
    <x v="3"/>
    <x v="110"/>
    <x v="1854"/>
  </r>
  <r>
    <x v="63"/>
    <x v="11"/>
    <x v="902"/>
    <x v="78"/>
    <x v="43"/>
    <x v="1855"/>
  </r>
  <r>
    <x v="63"/>
    <x v="11"/>
    <x v="900"/>
    <x v="171"/>
    <x v="845"/>
    <x v="1856"/>
  </r>
  <r>
    <x v="63"/>
    <x v="22"/>
    <x v="881"/>
    <x v="162"/>
    <x v="235"/>
    <x v="1857"/>
  </r>
  <r>
    <x v="63"/>
    <x v="11"/>
    <x v="969"/>
    <x v="416"/>
    <x v="194"/>
    <x v="1858"/>
  </r>
  <r>
    <x v="63"/>
    <x v="11"/>
    <x v="880"/>
    <x v="62"/>
    <x v="169"/>
    <x v="1859"/>
  </r>
  <r>
    <x v="63"/>
    <x v="11"/>
    <x v="229"/>
    <x v="146"/>
    <x v="330"/>
    <x v="1860"/>
  </r>
  <r>
    <x v="63"/>
    <x v="11"/>
    <x v="64"/>
    <x v="417"/>
    <x v="201"/>
    <x v="1861"/>
  </r>
  <r>
    <x v="63"/>
    <x v="13"/>
    <x v="181"/>
    <x v="141"/>
    <x v="837"/>
    <x v="1862"/>
  </r>
  <r>
    <x v="63"/>
    <x v="11"/>
    <x v="329"/>
    <x v="158"/>
    <x v="355"/>
    <x v="1863"/>
  </r>
  <r>
    <x v="63"/>
    <x v="11"/>
    <x v="206"/>
    <x v="418"/>
    <x v="63"/>
    <x v="1864"/>
  </r>
  <r>
    <x v="63"/>
    <x v="11"/>
    <x v="825"/>
    <x v="138"/>
    <x v="87"/>
    <x v="1865"/>
  </r>
  <r>
    <x v="63"/>
    <x v="13"/>
    <x v="289"/>
    <x v="419"/>
    <x v="816"/>
    <x v="1866"/>
  </r>
  <r>
    <x v="63"/>
    <x v="13"/>
    <x v="289"/>
    <x v="140"/>
    <x v="460"/>
    <x v="1867"/>
  </r>
  <r>
    <x v="63"/>
    <x v="11"/>
    <x v="369"/>
    <x v="97"/>
    <x v="231"/>
    <x v="1868"/>
  </r>
  <r>
    <x v="63"/>
    <x v="12"/>
    <x v="970"/>
    <x v="140"/>
    <x v="567"/>
    <x v="1869"/>
  </r>
  <r>
    <x v="63"/>
    <x v="11"/>
    <x v="172"/>
    <x v="148"/>
    <x v="652"/>
    <x v="1870"/>
  </r>
  <r>
    <x v="63"/>
    <x v="11"/>
    <x v="971"/>
    <x v="420"/>
    <x v="412"/>
    <x v="1871"/>
  </r>
  <r>
    <x v="63"/>
    <x v="11"/>
    <x v="291"/>
    <x v="134"/>
    <x v="308"/>
    <x v="1872"/>
  </r>
  <r>
    <x v="63"/>
    <x v="22"/>
    <x v="939"/>
    <x v="11"/>
    <x v="479"/>
    <x v="1873"/>
  </r>
  <r>
    <x v="63"/>
    <x v="20"/>
    <x v="972"/>
    <x v="239"/>
    <x v="33"/>
    <x v="1874"/>
  </r>
  <r>
    <x v="63"/>
    <x v="13"/>
    <x v="973"/>
    <x v="156"/>
    <x v="846"/>
    <x v="1875"/>
  </r>
  <r>
    <x v="63"/>
    <x v="11"/>
    <x v="395"/>
    <x v="108"/>
    <x v="377"/>
    <x v="1876"/>
  </r>
  <r>
    <x v="63"/>
    <x v="11"/>
    <x v="291"/>
    <x v="171"/>
    <x v="396"/>
    <x v="1877"/>
  </r>
  <r>
    <x v="63"/>
    <x v="13"/>
    <x v="899"/>
    <x v="47"/>
    <x v="9"/>
    <x v="1878"/>
  </r>
  <r>
    <x v="63"/>
    <x v="26"/>
    <x v="186"/>
    <x v="97"/>
    <x v="133"/>
    <x v="1879"/>
  </r>
  <r>
    <x v="63"/>
    <x v="11"/>
    <x v="279"/>
    <x v="145"/>
    <x v="425"/>
    <x v="1880"/>
  </r>
  <r>
    <x v="63"/>
    <x v="11"/>
    <x v="181"/>
    <x v="162"/>
    <x v="423"/>
    <x v="1881"/>
  </r>
  <r>
    <x v="63"/>
    <x v="13"/>
    <x v="285"/>
    <x v="3"/>
    <x v="550"/>
    <x v="1882"/>
  </r>
  <r>
    <x v="63"/>
    <x v="11"/>
    <x v="974"/>
    <x v="103"/>
    <x v="319"/>
    <x v="1883"/>
  </r>
  <r>
    <x v="63"/>
    <x v="11"/>
    <x v="404"/>
    <x v="176"/>
    <x v="352"/>
    <x v="1884"/>
  </r>
  <r>
    <x v="63"/>
    <x v="11"/>
    <x v="354"/>
    <x v="78"/>
    <x v="631"/>
    <x v="1885"/>
  </r>
  <r>
    <x v="63"/>
    <x v="11"/>
    <x v="329"/>
    <x v="156"/>
    <x v="464"/>
    <x v="1886"/>
  </r>
  <r>
    <x v="63"/>
    <x v="11"/>
    <x v="975"/>
    <x v="180"/>
    <x v="677"/>
    <x v="1887"/>
  </r>
  <r>
    <x v="63"/>
    <x v="13"/>
    <x v="270"/>
    <x v="171"/>
    <x v="193"/>
    <x v="1888"/>
  </r>
  <r>
    <x v="63"/>
    <x v="21"/>
    <x v="272"/>
    <x v="47"/>
    <x v="847"/>
    <x v="1889"/>
  </r>
  <r>
    <x v="63"/>
    <x v="11"/>
    <x v="273"/>
    <x v="103"/>
    <x v="848"/>
    <x v="1890"/>
  </r>
  <r>
    <x v="63"/>
    <x v="11"/>
    <x v="948"/>
    <x v="171"/>
    <x v="849"/>
    <x v="1891"/>
  </r>
  <r>
    <x v="63"/>
    <x v="11"/>
    <x v="976"/>
    <x v="105"/>
    <x v="352"/>
    <x v="1892"/>
  </r>
  <r>
    <x v="63"/>
    <x v="13"/>
    <x v="685"/>
    <x v="134"/>
    <x v="190"/>
    <x v="1893"/>
  </r>
  <r>
    <x v="63"/>
    <x v="11"/>
    <x v="632"/>
    <x v="78"/>
    <x v="187"/>
    <x v="1894"/>
  </r>
  <r>
    <x v="63"/>
    <x v="11"/>
    <x v="336"/>
    <x v="3"/>
    <x v="722"/>
    <x v="1895"/>
  </r>
  <r>
    <x v="63"/>
    <x v="23"/>
    <x v="977"/>
    <x v="131"/>
    <x v="775"/>
    <x v="1896"/>
  </r>
  <r>
    <x v="63"/>
    <x v="23"/>
    <x v="943"/>
    <x v="103"/>
    <x v="850"/>
    <x v="1897"/>
  </r>
  <r>
    <x v="63"/>
    <x v="11"/>
    <x v="978"/>
    <x v="93"/>
    <x v="67"/>
    <x v="1898"/>
  </r>
  <r>
    <x v="63"/>
    <x v="11"/>
    <x v="276"/>
    <x v="173"/>
    <x v="246"/>
    <x v="1899"/>
  </r>
  <r>
    <x v="63"/>
    <x v="11"/>
    <x v="272"/>
    <x v="191"/>
    <x v="112"/>
    <x v="1900"/>
  </r>
  <r>
    <x v="63"/>
    <x v="11"/>
    <x v="979"/>
    <x v="103"/>
    <x v="107"/>
    <x v="1901"/>
  </r>
  <r>
    <x v="63"/>
    <x v="11"/>
    <x v="395"/>
    <x v="142"/>
    <x v="708"/>
    <x v="1902"/>
  </r>
  <r>
    <x v="63"/>
    <x v="23"/>
    <x v="958"/>
    <x v="103"/>
    <x v="851"/>
    <x v="1903"/>
  </r>
  <r>
    <x v="63"/>
    <x v="25"/>
    <x v="289"/>
    <x v="109"/>
    <x v="434"/>
    <x v="1904"/>
  </r>
  <r>
    <x v="63"/>
    <x v="11"/>
    <x v="980"/>
    <x v="421"/>
    <x v="692"/>
    <x v="1905"/>
  </r>
  <r>
    <x v="63"/>
    <x v="11"/>
    <x v="119"/>
    <x v="47"/>
    <x v="364"/>
    <x v="1906"/>
  </r>
  <r>
    <x v="63"/>
    <x v="22"/>
    <x v="243"/>
    <x v="103"/>
    <x v="744"/>
    <x v="1907"/>
  </r>
  <r>
    <x v="63"/>
    <x v="11"/>
    <x v="226"/>
    <x v="3"/>
    <x v="697"/>
    <x v="1908"/>
  </r>
  <r>
    <x v="63"/>
    <x v="11"/>
    <x v="189"/>
    <x v="103"/>
    <x v="852"/>
    <x v="1909"/>
  </r>
  <r>
    <x v="63"/>
    <x v="11"/>
    <x v="355"/>
    <x v="422"/>
    <x v="853"/>
    <x v="1910"/>
  </r>
  <r>
    <x v="63"/>
    <x v="11"/>
    <x v="177"/>
    <x v="78"/>
    <x v="854"/>
    <x v="1911"/>
  </r>
  <r>
    <x v="63"/>
    <x v="14"/>
    <x v="276"/>
    <x v="337"/>
    <x v="784"/>
    <x v="1912"/>
  </r>
  <r>
    <x v="63"/>
    <x v="11"/>
    <x v="409"/>
    <x v="103"/>
    <x v="703"/>
    <x v="1913"/>
  </r>
  <r>
    <x v="63"/>
    <x v="13"/>
    <x v="981"/>
    <x v="140"/>
    <x v="855"/>
    <x v="1914"/>
  </r>
  <r>
    <x v="63"/>
    <x v="13"/>
    <x v="982"/>
    <x v="47"/>
    <x v="856"/>
    <x v="1915"/>
  </r>
  <r>
    <x v="63"/>
    <x v="11"/>
    <x v="871"/>
    <x v="423"/>
    <x v="412"/>
    <x v="1916"/>
  </r>
  <r>
    <x v="63"/>
    <x v="11"/>
    <x v="983"/>
    <x v="424"/>
    <x v="857"/>
    <x v="1917"/>
  </r>
  <r>
    <x v="63"/>
    <x v="11"/>
    <x v="984"/>
    <x v="425"/>
    <x v="858"/>
    <x v="1918"/>
  </r>
  <r>
    <x v="63"/>
    <x v="51"/>
    <x v="315"/>
    <x v="109"/>
    <x v="318"/>
    <x v="1919"/>
  </r>
  <r>
    <x v="63"/>
    <x v="13"/>
    <x v="985"/>
    <x v="153"/>
    <x v="425"/>
    <x v="1920"/>
  </r>
  <r>
    <x v="63"/>
    <x v="11"/>
    <x v="611"/>
    <x v="426"/>
    <x v="859"/>
    <x v="1921"/>
  </r>
  <r>
    <x v="63"/>
    <x v="13"/>
    <x v="211"/>
    <x v="143"/>
    <x v="159"/>
    <x v="1922"/>
  </r>
  <r>
    <x v="63"/>
    <x v="22"/>
    <x v="986"/>
    <x v="427"/>
    <x v="510"/>
    <x v="1923"/>
  </r>
  <r>
    <x v="63"/>
    <x v="11"/>
    <x v="987"/>
    <x v="173"/>
    <x v="355"/>
    <x v="1924"/>
  </r>
  <r>
    <x v="63"/>
    <x v="11"/>
    <x v="988"/>
    <x v="195"/>
    <x v="58"/>
    <x v="1925"/>
  </r>
  <r>
    <x v="63"/>
    <x v="17"/>
    <x v="989"/>
    <x v="195"/>
    <x v="44"/>
    <x v="1926"/>
  </r>
  <r>
    <x v="63"/>
    <x v="22"/>
    <x v="227"/>
    <x v="369"/>
    <x v="630"/>
    <x v="1927"/>
  </r>
  <r>
    <x v="63"/>
    <x v="13"/>
    <x v="990"/>
    <x v="103"/>
    <x v="583"/>
    <x v="1928"/>
  </r>
  <r>
    <x v="63"/>
    <x v="11"/>
    <x v="619"/>
    <x v="4"/>
    <x v="560"/>
    <x v="1929"/>
  </r>
  <r>
    <x v="63"/>
    <x v="11"/>
    <x v="417"/>
    <x v="97"/>
    <x v="215"/>
    <x v="1930"/>
  </r>
  <r>
    <x v="63"/>
    <x v="13"/>
    <x v="991"/>
    <x v="428"/>
    <x v="860"/>
    <x v="1931"/>
  </r>
  <r>
    <x v="63"/>
    <x v="13"/>
    <x v="226"/>
    <x v="153"/>
    <x v="125"/>
    <x v="1932"/>
  </r>
  <r>
    <x v="63"/>
    <x v="11"/>
    <x v="992"/>
    <x v="148"/>
    <x v="527"/>
    <x v="1933"/>
  </r>
  <r>
    <x v="63"/>
    <x v="11"/>
    <x v="153"/>
    <x v="103"/>
    <x v="861"/>
    <x v="1934"/>
  </r>
  <r>
    <x v="63"/>
    <x v="22"/>
    <x v="404"/>
    <x v="134"/>
    <x v="24"/>
    <x v="1935"/>
  </r>
  <r>
    <x v="63"/>
    <x v="11"/>
    <x v="993"/>
    <x v="195"/>
    <x v="862"/>
    <x v="1936"/>
  </r>
  <r>
    <x v="63"/>
    <x v="11"/>
    <x v="226"/>
    <x v="78"/>
    <x v="41"/>
    <x v="1937"/>
  </r>
  <r>
    <x v="63"/>
    <x v="22"/>
    <x v="868"/>
    <x v="134"/>
    <x v="746"/>
    <x v="1938"/>
  </r>
  <r>
    <x v="63"/>
    <x v="22"/>
    <x v="994"/>
    <x v="156"/>
    <x v="863"/>
    <x v="1939"/>
  </r>
  <r>
    <x v="63"/>
    <x v="17"/>
    <x v="289"/>
    <x v="97"/>
    <x v="864"/>
    <x v="1940"/>
  </r>
  <r>
    <x v="63"/>
    <x v="11"/>
    <x v="303"/>
    <x v="97"/>
    <x v="865"/>
    <x v="1941"/>
  </r>
  <r>
    <x v="63"/>
    <x v="11"/>
    <x v="995"/>
    <x v="429"/>
    <x v="866"/>
    <x v="1942"/>
  </r>
  <r>
    <x v="63"/>
    <x v="11"/>
    <x v="996"/>
    <x v="103"/>
    <x v="677"/>
    <x v="1943"/>
  </r>
  <r>
    <x v="63"/>
    <x v="11"/>
    <x v="222"/>
    <x v="136"/>
    <x v="461"/>
    <x v="1944"/>
  </r>
  <r>
    <x v="63"/>
    <x v="11"/>
    <x v="997"/>
    <x v="105"/>
    <x v="867"/>
    <x v="1945"/>
  </r>
  <r>
    <x v="63"/>
    <x v="11"/>
    <x v="930"/>
    <x v="187"/>
    <x v="144"/>
    <x v="1946"/>
  </r>
  <r>
    <x v="63"/>
    <x v="22"/>
    <x v="379"/>
    <x v="103"/>
    <x v="836"/>
    <x v="1947"/>
  </r>
  <r>
    <x v="63"/>
    <x v="13"/>
    <x v="346"/>
    <x v="78"/>
    <x v="643"/>
    <x v="1948"/>
  </r>
  <r>
    <x v="63"/>
    <x v="11"/>
    <x v="900"/>
    <x v="78"/>
    <x v="166"/>
    <x v="1949"/>
  </r>
  <r>
    <x v="63"/>
    <x v="23"/>
    <x v="215"/>
    <x v="78"/>
    <x v="481"/>
    <x v="1950"/>
  </r>
  <r>
    <x v="63"/>
    <x v="17"/>
    <x v="109"/>
    <x v="109"/>
    <x v="309"/>
    <x v="1951"/>
  </r>
  <r>
    <x v="63"/>
    <x v="22"/>
    <x v="998"/>
    <x v="103"/>
    <x v="868"/>
    <x v="1952"/>
  </r>
  <r>
    <x v="63"/>
    <x v="11"/>
    <x v="40"/>
    <x v="168"/>
    <x v="509"/>
    <x v="1953"/>
  </r>
  <r>
    <x v="63"/>
    <x v="11"/>
    <x v="999"/>
    <x v="3"/>
    <x v="709"/>
    <x v="1954"/>
  </r>
  <r>
    <x v="63"/>
    <x v="11"/>
    <x v="203"/>
    <x v="103"/>
    <x v="869"/>
    <x v="1955"/>
  </r>
  <r>
    <x v="63"/>
    <x v="11"/>
    <x v="226"/>
    <x v="78"/>
    <x v="870"/>
    <x v="1956"/>
  </r>
  <r>
    <x v="63"/>
    <x v="21"/>
    <x v="295"/>
    <x v="430"/>
    <x v="93"/>
    <x v="1957"/>
  </r>
  <r>
    <x v="63"/>
    <x v="13"/>
    <x v="801"/>
    <x v="103"/>
    <x v="76"/>
    <x v="1958"/>
  </r>
  <r>
    <x v="63"/>
    <x v="21"/>
    <x v="1000"/>
    <x v="148"/>
    <x v="38"/>
    <x v="1959"/>
  </r>
  <r>
    <x v="63"/>
    <x v="13"/>
    <x v="360"/>
    <x v="431"/>
    <x v="871"/>
    <x v="1960"/>
  </r>
  <r>
    <x v="63"/>
    <x v="13"/>
    <x v="360"/>
    <x v="78"/>
    <x v="507"/>
    <x v="1961"/>
  </r>
  <r>
    <x v="63"/>
    <x v="11"/>
    <x v="960"/>
    <x v="109"/>
    <x v="872"/>
    <x v="1962"/>
  </r>
  <r>
    <x v="63"/>
    <x v="52"/>
    <x v="1001"/>
    <x v="432"/>
    <x v="203"/>
    <x v="1963"/>
  </r>
  <r>
    <x v="63"/>
    <x v="22"/>
    <x v="14"/>
    <x v="47"/>
    <x v="275"/>
    <x v="1964"/>
  </r>
  <r>
    <x v="63"/>
    <x v="11"/>
    <x v="13"/>
    <x v="335"/>
    <x v="173"/>
    <x v="1965"/>
  </r>
  <r>
    <x v="63"/>
    <x v="22"/>
    <x v="1002"/>
    <x v="433"/>
    <x v="73"/>
    <x v="1966"/>
  </r>
  <r>
    <x v="63"/>
    <x v="11"/>
    <x v="1003"/>
    <x v="103"/>
    <x v="140"/>
    <x v="1967"/>
  </r>
  <r>
    <x v="63"/>
    <x v="23"/>
    <x v="1004"/>
    <x v="97"/>
    <x v="772"/>
    <x v="1968"/>
  </r>
  <r>
    <x v="63"/>
    <x v="21"/>
    <x v="454"/>
    <x v="143"/>
    <x v="789"/>
    <x v="1969"/>
  </r>
  <r>
    <x v="63"/>
    <x v="13"/>
    <x v="960"/>
    <x v="195"/>
    <x v="280"/>
    <x v="1970"/>
  </r>
  <r>
    <x v="63"/>
    <x v="11"/>
    <x v="412"/>
    <x v="3"/>
    <x v="574"/>
    <x v="1971"/>
  </r>
  <r>
    <x v="63"/>
    <x v="13"/>
    <x v="1005"/>
    <x v="97"/>
    <x v="295"/>
    <x v="1972"/>
  </r>
  <r>
    <x v="63"/>
    <x v="21"/>
    <x v="1006"/>
    <x v="103"/>
    <x v="873"/>
    <x v="1973"/>
  </r>
  <r>
    <x v="63"/>
    <x v="11"/>
    <x v="1007"/>
    <x v="168"/>
    <x v="794"/>
    <x v="1974"/>
  </r>
  <r>
    <x v="63"/>
    <x v="11"/>
    <x v="155"/>
    <x v="97"/>
    <x v="874"/>
    <x v="1975"/>
  </r>
  <r>
    <x v="63"/>
    <x v="17"/>
    <x v="1008"/>
    <x v="434"/>
    <x v="875"/>
    <x v="1976"/>
  </r>
  <r>
    <x v="63"/>
    <x v="21"/>
    <x v="409"/>
    <x v="103"/>
    <x v="487"/>
    <x v="1977"/>
  </r>
  <r>
    <x v="63"/>
    <x v="12"/>
    <x v="1009"/>
    <x v="4"/>
    <x v="92"/>
    <x v="1978"/>
  </r>
  <r>
    <x v="63"/>
    <x v="22"/>
    <x v="746"/>
    <x v="103"/>
    <x v="876"/>
    <x v="1979"/>
  </r>
  <r>
    <x v="63"/>
    <x v="11"/>
    <x v="342"/>
    <x v="118"/>
    <x v="209"/>
    <x v="1980"/>
  </r>
  <r>
    <x v="63"/>
    <x v="13"/>
    <x v="294"/>
    <x v="201"/>
    <x v="877"/>
    <x v="1981"/>
  </r>
  <r>
    <x v="63"/>
    <x v="11"/>
    <x v="1010"/>
    <x v="103"/>
    <x v="269"/>
    <x v="1982"/>
  </r>
  <r>
    <x v="63"/>
    <x v="11"/>
    <x v="1011"/>
    <x v="78"/>
    <x v="784"/>
    <x v="1983"/>
  </r>
  <r>
    <x v="63"/>
    <x v="13"/>
    <x v="1012"/>
    <x v="47"/>
    <x v="14"/>
    <x v="1984"/>
  </r>
  <r>
    <x v="63"/>
    <x v="13"/>
    <x v="932"/>
    <x v="143"/>
    <x v="31"/>
    <x v="1985"/>
  </r>
  <r>
    <x v="63"/>
    <x v="11"/>
    <x v="735"/>
    <x v="435"/>
    <x v="76"/>
    <x v="1986"/>
  </r>
  <r>
    <x v="63"/>
    <x v="21"/>
    <x v="1013"/>
    <x v="312"/>
    <x v="275"/>
    <x v="1987"/>
  </r>
  <r>
    <x v="63"/>
    <x v="25"/>
    <x v="305"/>
    <x v="161"/>
    <x v="56"/>
    <x v="1988"/>
  </r>
  <r>
    <x v="63"/>
    <x v="22"/>
    <x v="1014"/>
    <x v="103"/>
    <x v="127"/>
    <x v="1989"/>
  </r>
  <r>
    <x v="63"/>
    <x v="11"/>
    <x v="1015"/>
    <x v="160"/>
    <x v="154"/>
    <x v="1990"/>
  </r>
  <r>
    <x v="63"/>
    <x v="11"/>
    <x v="1016"/>
    <x v="233"/>
    <x v="862"/>
    <x v="1991"/>
  </r>
  <r>
    <x v="63"/>
    <x v="11"/>
    <x v="629"/>
    <x v="436"/>
    <x v="287"/>
    <x v="1992"/>
  </r>
  <r>
    <x v="63"/>
    <x v="23"/>
    <x v="1017"/>
    <x v="97"/>
    <x v="614"/>
    <x v="1993"/>
  </r>
  <r>
    <x v="63"/>
    <x v="11"/>
    <x v="1018"/>
    <x v="109"/>
    <x v="878"/>
    <x v="1994"/>
  </r>
  <r>
    <x v="63"/>
    <x v="11"/>
    <x v="305"/>
    <x v="437"/>
    <x v="486"/>
    <x v="1995"/>
  </r>
  <r>
    <x v="63"/>
    <x v="47"/>
    <x v="619"/>
    <x v="119"/>
    <x v="420"/>
    <x v="1996"/>
  </r>
  <r>
    <x v="63"/>
    <x v="13"/>
    <x v="938"/>
    <x v="140"/>
    <x v="879"/>
    <x v="1997"/>
  </r>
  <r>
    <x v="63"/>
    <x v="20"/>
    <x v="56"/>
    <x v="378"/>
    <x v="103"/>
    <x v="1998"/>
  </r>
  <r>
    <x v="63"/>
    <x v="13"/>
    <x v="1019"/>
    <x v="438"/>
    <x v="303"/>
    <x v="1999"/>
  </r>
  <r>
    <x v="63"/>
    <x v="11"/>
    <x v="267"/>
    <x v="62"/>
    <x v="880"/>
    <x v="2000"/>
  </r>
  <r>
    <x v="63"/>
    <x v="9"/>
    <x v="1020"/>
    <x v="439"/>
    <x v="816"/>
    <x v="2001"/>
  </r>
  <r>
    <x v="63"/>
    <x v="11"/>
    <x v="349"/>
    <x v="4"/>
    <x v="522"/>
    <x v="2002"/>
  </r>
  <r>
    <x v="63"/>
    <x v="21"/>
    <x v="369"/>
    <x v="440"/>
    <x v="534"/>
    <x v="2003"/>
  </r>
  <r>
    <x v="63"/>
    <x v="21"/>
    <x v="1021"/>
    <x v="187"/>
    <x v="631"/>
    <x v="2004"/>
  </r>
  <r>
    <x v="63"/>
    <x v="22"/>
    <x v="1022"/>
    <x v="68"/>
    <x v="881"/>
    <x v="2005"/>
  </r>
  <r>
    <x v="63"/>
    <x v="11"/>
    <x v="1023"/>
    <x v="441"/>
    <x v="121"/>
    <x v="2006"/>
  </r>
  <r>
    <x v="63"/>
    <x v="11"/>
    <x v="5"/>
    <x v="109"/>
    <x v="882"/>
    <x v="2007"/>
  </r>
  <r>
    <x v="63"/>
    <x v="11"/>
    <x v="165"/>
    <x v="111"/>
    <x v="360"/>
    <x v="2008"/>
  </r>
  <r>
    <x v="63"/>
    <x v="11"/>
    <x v="1024"/>
    <x v="442"/>
    <x v="736"/>
    <x v="2009"/>
  </r>
  <r>
    <x v="63"/>
    <x v="11"/>
    <x v="294"/>
    <x v="443"/>
    <x v="75"/>
    <x v="2010"/>
  </r>
  <r>
    <x v="63"/>
    <x v="11"/>
    <x v="1025"/>
    <x v="444"/>
    <x v="689"/>
    <x v="2011"/>
  </r>
  <r>
    <x v="63"/>
    <x v="11"/>
    <x v="918"/>
    <x v="445"/>
    <x v="842"/>
    <x v="2012"/>
  </r>
  <r>
    <x v="63"/>
    <x v="11"/>
    <x v="989"/>
    <x v="78"/>
    <x v="759"/>
    <x v="2013"/>
  </r>
  <r>
    <x v="63"/>
    <x v="11"/>
    <x v="1026"/>
    <x v="266"/>
    <x v="313"/>
    <x v="2014"/>
  </r>
  <r>
    <x v="63"/>
    <x v="11"/>
    <x v="33"/>
    <x v="446"/>
    <x v="883"/>
    <x v="2015"/>
  </r>
  <r>
    <x v="63"/>
    <x v="11"/>
    <x v="56"/>
    <x v="447"/>
    <x v="84"/>
    <x v="2016"/>
  </r>
  <r>
    <x v="63"/>
    <x v="13"/>
    <x v="861"/>
    <x v="103"/>
    <x v="539"/>
    <x v="2017"/>
  </r>
  <r>
    <x v="63"/>
    <x v="17"/>
    <x v="1027"/>
    <x v="448"/>
    <x v="434"/>
    <x v="2018"/>
  </r>
  <r>
    <x v="63"/>
    <x v="11"/>
    <x v="419"/>
    <x v="88"/>
    <x v="451"/>
    <x v="2019"/>
  </r>
  <r>
    <x v="63"/>
    <x v="22"/>
    <x v="1028"/>
    <x v="27"/>
    <x v="474"/>
    <x v="2020"/>
  </r>
  <r>
    <x v="63"/>
    <x v="11"/>
    <x v="1029"/>
    <x v="4"/>
    <x v="539"/>
    <x v="2021"/>
  </r>
  <r>
    <x v="63"/>
    <x v="20"/>
    <x v="899"/>
    <x v="449"/>
    <x v="884"/>
    <x v="2022"/>
  </r>
  <r>
    <x v="63"/>
    <x v="11"/>
    <x v="1030"/>
    <x v="103"/>
    <x v="885"/>
    <x v="2023"/>
  </r>
  <r>
    <x v="63"/>
    <x v="11"/>
    <x v="1031"/>
    <x v="136"/>
    <x v="820"/>
    <x v="2024"/>
  </r>
  <r>
    <x v="63"/>
    <x v="21"/>
    <x v="1032"/>
    <x v="103"/>
    <x v="886"/>
    <x v="2025"/>
  </r>
  <r>
    <x v="63"/>
    <x v="25"/>
    <x v="1033"/>
    <x v="450"/>
    <x v="26"/>
    <x v="2026"/>
  </r>
  <r>
    <x v="63"/>
    <x v="9"/>
    <x v="1034"/>
    <x v="161"/>
    <x v="887"/>
    <x v="2027"/>
  </r>
  <r>
    <x v="63"/>
    <x v="22"/>
    <x v="1035"/>
    <x v="153"/>
    <x v="100"/>
    <x v="2028"/>
  </r>
  <r>
    <x v="63"/>
    <x v="11"/>
    <x v="1036"/>
    <x v="451"/>
    <x v="159"/>
    <x v="2029"/>
  </r>
  <r>
    <x v="63"/>
    <x v="53"/>
    <x v="1037"/>
    <x v="47"/>
    <x v="293"/>
    <x v="2030"/>
  </r>
  <r>
    <x v="63"/>
    <x v="54"/>
    <x v="186"/>
    <x v="111"/>
    <x v="888"/>
    <x v="2031"/>
  </r>
  <r>
    <x v="64"/>
    <x v="11"/>
    <x v="889"/>
    <x v="0"/>
    <x v="526"/>
    <x v="2032"/>
  </r>
  <r>
    <x v="64"/>
    <x v="11"/>
    <x v="178"/>
    <x v="144"/>
    <x v="258"/>
    <x v="2033"/>
  </r>
  <r>
    <x v="64"/>
    <x v="11"/>
    <x v="568"/>
    <x v="142"/>
    <x v="889"/>
    <x v="2034"/>
  </r>
  <r>
    <x v="64"/>
    <x v="21"/>
    <x v="242"/>
    <x v="0"/>
    <x v="75"/>
    <x v="2035"/>
  </r>
  <r>
    <x v="64"/>
    <x v="11"/>
    <x v="1038"/>
    <x v="279"/>
    <x v="389"/>
    <x v="2036"/>
  </r>
  <r>
    <x v="64"/>
    <x v="11"/>
    <x v="242"/>
    <x v="154"/>
    <x v="188"/>
    <x v="2037"/>
  </r>
  <r>
    <x v="64"/>
    <x v="11"/>
    <x v="215"/>
    <x v="47"/>
    <x v="48"/>
    <x v="2038"/>
  </r>
  <r>
    <x v="64"/>
    <x v="11"/>
    <x v="1039"/>
    <x v="180"/>
    <x v="33"/>
    <x v="2039"/>
  </r>
  <r>
    <x v="64"/>
    <x v="11"/>
    <x v="218"/>
    <x v="410"/>
    <x v="890"/>
    <x v="2040"/>
  </r>
  <r>
    <x v="64"/>
    <x v="11"/>
    <x v="183"/>
    <x v="47"/>
    <x v="375"/>
    <x v="2041"/>
  </r>
  <r>
    <x v="64"/>
    <x v="11"/>
    <x v="1040"/>
    <x v="3"/>
    <x v="223"/>
    <x v="2042"/>
  </r>
  <r>
    <x v="64"/>
    <x v="11"/>
    <x v="184"/>
    <x v="152"/>
    <x v="290"/>
    <x v="2043"/>
  </r>
  <r>
    <x v="64"/>
    <x v="16"/>
    <x v="451"/>
    <x v="140"/>
    <x v="891"/>
    <x v="2044"/>
  </r>
  <r>
    <x v="64"/>
    <x v="22"/>
    <x v="1041"/>
    <x v="111"/>
    <x v="749"/>
    <x v="2045"/>
  </r>
  <r>
    <x v="64"/>
    <x v="11"/>
    <x v="428"/>
    <x v="154"/>
    <x v="313"/>
    <x v="2046"/>
  </r>
  <r>
    <x v="64"/>
    <x v="11"/>
    <x v="188"/>
    <x v="3"/>
    <x v="461"/>
    <x v="2047"/>
  </r>
  <r>
    <x v="64"/>
    <x v="11"/>
    <x v="188"/>
    <x v="158"/>
    <x v="133"/>
    <x v="2048"/>
  </r>
  <r>
    <x v="64"/>
    <x v="11"/>
    <x v="250"/>
    <x v="111"/>
    <x v="892"/>
    <x v="2049"/>
  </r>
  <r>
    <x v="64"/>
    <x v="21"/>
    <x v="208"/>
    <x v="162"/>
    <x v="377"/>
    <x v="2050"/>
  </r>
  <r>
    <x v="64"/>
    <x v="13"/>
    <x v="328"/>
    <x v="452"/>
    <x v="309"/>
    <x v="2051"/>
  </r>
  <r>
    <x v="64"/>
    <x v="21"/>
    <x v="603"/>
    <x v="111"/>
    <x v="893"/>
    <x v="2052"/>
  </r>
  <r>
    <x v="64"/>
    <x v="47"/>
    <x v="451"/>
    <x v="105"/>
    <x v="80"/>
    <x v="2053"/>
  </r>
  <r>
    <x v="64"/>
    <x v="11"/>
    <x v="209"/>
    <x v="154"/>
    <x v="198"/>
    <x v="2054"/>
  </r>
  <r>
    <x v="64"/>
    <x v="11"/>
    <x v="215"/>
    <x v="3"/>
    <x v="240"/>
    <x v="2055"/>
  </r>
  <r>
    <x v="64"/>
    <x v="20"/>
    <x v="235"/>
    <x v="158"/>
    <x v="340"/>
    <x v="2056"/>
  </r>
  <r>
    <x v="64"/>
    <x v="22"/>
    <x v="685"/>
    <x v="15"/>
    <x v="894"/>
    <x v="2057"/>
  </r>
  <r>
    <x v="64"/>
    <x v="11"/>
    <x v="182"/>
    <x v="168"/>
    <x v="892"/>
    <x v="2058"/>
  </r>
  <r>
    <x v="64"/>
    <x v="13"/>
    <x v="217"/>
    <x v="453"/>
    <x v="895"/>
    <x v="2059"/>
  </r>
  <r>
    <x v="64"/>
    <x v="13"/>
    <x v="294"/>
    <x v="158"/>
    <x v="597"/>
    <x v="2060"/>
  </r>
  <r>
    <x v="64"/>
    <x v="11"/>
    <x v="208"/>
    <x v="454"/>
    <x v="896"/>
    <x v="2061"/>
  </r>
  <r>
    <x v="64"/>
    <x v="13"/>
    <x v="328"/>
    <x v="142"/>
    <x v="34"/>
    <x v="2062"/>
  </r>
  <r>
    <x v="64"/>
    <x v="11"/>
    <x v="207"/>
    <x v="455"/>
    <x v="692"/>
    <x v="2063"/>
  </r>
  <r>
    <x v="64"/>
    <x v="11"/>
    <x v="328"/>
    <x v="111"/>
    <x v="321"/>
    <x v="2064"/>
  </r>
  <r>
    <x v="64"/>
    <x v="11"/>
    <x v="630"/>
    <x v="162"/>
    <x v="234"/>
    <x v="2065"/>
  </r>
  <r>
    <x v="64"/>
    <x v="11"/>
    <x v="264"/>
    <x v="144"/>
    <x v="83"/>
    <x v="2066"/>
  </r>
  <r>
    <x v="64"/>
    <x v="11"/>
    <x v="20"/>
    <x v="279"/>
    <x v="61"/>
    <x v="2067"/>
  </r>
  <r>
    <x v="64"/>
    <x v="11"/>
    <x v="1042"/>
    <x v="134"/>
    <x v="866"/>
    <x v="2068"/>
  </r>
  <r>
    <x v="64"/>
    <x v="22"/>
    <x v="196"/>
    <x v="59"/>
    <x v="23"/>
    <x v="2069"/>
  </r>
  <r>
    <x v="64"/>
    <x v="11"/>
    <x v="600"/>
    <x v="134"/>
    <x v="74"/>
    <x v="2070"/>
  </r>
  <r>
    <x v="64"/>
    <x v="11"/>
    <x v="195"/>
    <x v="103"/>
    <x v="897"/>
    <x v="2071"/>
  </r>
  <r>
    <x v="64"/>
    <x v="11"/>
    <x v="13"/>
    <x v="47"/>
    <x v="188"/>
    <x v="2072"/>
  </r>
  <r>
    <x v="64"/>
    <x v="11"/>
    <x v="166"/>
    <x v="456"/>
    <x v="898"/>
    <x v="2073"/>
  </r>
  <r>
    <x v="64"/>
    <x v="13"/>
    <x v="1043"/>
    <x v="53"/>
    <x v="191"/>
    <x v="2074"/>
  </r>
  <r>
    <x v="64"/>
    <x v="11"/>
    <x v="1042"/>
    <x v="457"/>
    <x v="658"/>
    <x v="2075"/>
  </r>
  <r>
    <x v="64"/>
    <x v="11"/>
    <x v="56"/>
    <x v="47"/>
    <x v="464"/>
    <x v="2076"/>
  </r>
  <r>
    <x v="64"/>
    <x v="11"/>
    <x v="245"/>
    <x v="111"/>
    <x v="308"/>
    <x v="2077"/>
  </r>
  <r>
    <x v="64"/>
    <x v="11"/>
    <x v="156"/>
    <x v="166"/>
    <x v="56"/>
    <x v="2078"/>
  </r>
  <r>
    <x v="64"/>
    <x v="11"/>
    <x v="181"/>
    <x v="89"/>
    <x v="606"/>
    <x v="2079"/>
  </r>
  <r>
    <x v="64"/>
    <x v="20"/>
    <x v="940"/>
    <x v="168"/>
    <x v="899"/>
    <x v="2080"/>
  </r>
  <r>
    <x v="64"/>
    <x v="22"/>
    <x v="451"/>
    <x v="103"/>
    <x v="69"/>
    <x v="2081"/>
  </r>
  <r>
    <x v="64"/>
    <x v="11"/>
    <x v="735"/>
    <x v="142"/>
    <x v="900"/>
    <x v="2082"/>
  </r>
  <r>
    <x v="64"/>
    <x v="11"/>
    <x v="273"/>
    <x v="47"/>
    <x v="188"/>
    <x v="2083"/>
  </r>
  <r>
    <x v="64"/>
    <x v="11"/>
    <x v="917"/>
    <x v="162"/>
    <x v="901"/>
    <x v="2084"/>
  </r>
  <r>
    <x v="64"/>
    <x v="11"/>
    <x v="238"/>
    <x v="180"/>
    <x v="902"/>
    <x v="2085"/>
  </r>
  <r>
    <x v="64"/>
    <x v="11"/>
    <x v="266"/>
    <x v="103"/>
    <x v="608"/>
    <x v="2086"/>
  </r>
  <r>
    <x v="64"/>
    <x v="17"/>
    <x v="213"/>
    <x v="154"/>
    <x v="260"/>
    <x v="2087"/>
  </r>
  <r>
    <x v="64"/>
    <x v="13"/>
    <x v="207"/>
    <x v="162"/>
    <x v="903"/>
    <x v="2088"/>
  </r>
  <r>
    <x v="64"/>
    <x v="21"/>
    <x v="600"/>
    <x v="103"/>
    <x v="647"/>
    <x v="2089"/>
  </r>
  <r>
    <x v="64"/>
    <x v="11"/>
    <x v="1044"/>
    <x v="47"/>
    <x v="314"/>
    <x v="2090"/>
  </r>
  <r>
    <x v="64"/>
    <x v="11"/>
    <x v="209"/>
    <x v="139"/>
    <x v="211"/>
    <x v="2091"/>
  </r>
  <r>
    <x v="64"/>
    <x v="11"/>
    <x v="289"/>
    <x v="47"/>
    <x v="805"/>
    <x v="2092"/>
  </r>
  <r>
    <x v="64"/>
    <x v="11"/>
    <x v="1045"/>
    <x v="140"/>
    <x v="258"/>
    <x v="2093"/>
  </r>
  <r>
    <x v="64"/>
    <x v="11"/>
    <x v="209"/>
    <x v="140"/>
    <x v="677"/>
    <x v="2094"/>
  </r>
  <r>
    <x v="64"/>
    <x v="11"/>
    <x v="1046"/>
    <x v="144"/>
    <x v="72"/>
    <x v="2095"/>
  </r>
  <r>
    <x v="64"/>
    <x v="11"/>
    <x v="181"/>
    <x v="134"/>
    <x v="904"/>
    <x v="2096"/>
  </r>
  <r>
    <x v="64"/>
    <x v="22"/>
    <x v="155"/>
    <x v="189"/>
    <x v="905"/>
    <x v="2097"/>
  </r>
  <r>
    <x v="64"/>
    <x v="22"/>
    <x v="268"/>
    <x v="134"/>
    <x v="906"/>
    <x v="2098"/>
  </r>
  <r>
    <x v="64"/>
    <x v="22"/>
    <x v="940"/>
    <x v="103"/>
    <x v="109"/>
    <x v="2099"/>
  </r>
  <r>
    <x v="64"/>
    <x v="11"/>
    <x v="1047"/>
    <x v="105"/>
    <x v="21"/>
    <x v="2100"/>
  </r>
  <r>
    <x v="64"/>
    <x v="11"/>
    <x v="1048"/>
    <x v="47"/>
    <x v="88"/>
    <x v="2101"/>
  </r>
  <r>
    <x v="64"/>
    <x v="11"/>
    <x v="1049"/>
    <x v="144"/>
    <x v="855"/>
    <x v="2102"/>
  </r>
  <r>
    <x v="64"/>
    <x v="11"/>
    <x v="1050"/>
    <x v="138"/>
    <x v="486"/>
    <x v="2103"/>
  </r>
  <r>
    <x v="64"/>
    <x v="21"/>
    <x v="202"/>
    <x v="138"/>
    <x v="597"/>
    <x v="2104"/>
  </r>
  <r>
    <x v="64"/>
    <x v="55"/>
    <x v="360"/>
    <x v="180"/>
    <x v="777"/>
    <x v="2105"/>
  </r>
  <r>
    <x v="64"/>
    <x v="26"/>
    <x v="824"/>
    <x v="134"/>
    <x v="60"/>
    <x v="2106"/>
  </r>
  <r>
    <x v="64"/>
    <x v="11"/>
    <x v="243"/>
    <x v="105"/>
    <x v="716"/>
    <x v="2107"/>
  </r>
  <r>
    <x v="64"/>
    <x v="13"/>
    <x v="209"/>
    <x v="103"/>
    <x v="103"/>
    <x v="2108"/>
  </r>
  <r>
    <x v="64"/>
    <x v="11"/>
    <x v="217"/>
    <x v="140"/>
    <x v="55"/>
    <x v="2109"/>
  </r>
  <r>
    <x v="64"/>
    <x v="26"/>
    <x v="322"/>
    <x v="194"/>
    <x v="221"/>
    <x v="2110"/>
  </r>
  <r>
    <x v="64"/>
    <x v="13"/>
    <x v="1051"/>
    <x v="138"/>
    <x v="907"/>
    <x v="2111"/>
  </r>
  <r>
    <x v="64"/>
    <x v="11"/>
    <x v="658"/>
    <x v="78"/>
    <x v="908"/>
    <x v="2112"/>
  </r>
  <r>
    <x v="64"/>
    <x v="13"/>
    <x v="258"/>
    <x v="131"/>
    <x v="508"/>
    <x v="2113"/>
  </r>
  <r>
    <x v="64"/>
    <x v="22"/>
    <x v="995"/>
    <x v="89"/>
    <x v="840"/>
    <x v="2114"/>
  </r>
  <r>
    <x v="64"/>
    <x v="21"/>
    <x v="346"/>
    <x v="134"/>
    <x v="685"/>
    <x v="2115"/>
  </r>
  <r>
    <x v="64"/>
    <x v="21"/>
    <x v="188"/>
    <x v="168"/>
    <x v="848"/>
    <x v="2116"/>
  </r>
  <r>
    <x v="64"/>
    <x v="23"/>
    <x v="289"/>
    <x v="458"/>
    <x v="909"/>
    <x v="2117"/>
  </r>
  <r>
    <x v="64"/>
    <x v="11"/>
    <x v="202"/>
    <x v="97"/>
    <x v="596"/>
    <x v="2118"/>
  </r>
  <r>
    <x v="64"/>
    <x v="11"/>
    <x v="328"/>
    <x v="103"/>
    <x v="114"/>
    <x v="2119"/>
  </r>
  <r>
    <x v="64"/>
    <x v="11"/>
    <x v="1052"/>
    <x v="15"/>
    <x v="222"/>
    <x v="2120"/>
  </r>
  <r>
    <x v="64"/>
    <x v="22"/>
    <x v="198"/>
    <x v="103"/>
    <x v="910"/>
    <x v="2121"/>
  </r>
  <r>
    <x v="64"/>
    <x v="17"/>
    <x v="908"/>
    <x v="103"/>
    <x v="911"/>
    <x v="2122"/>
  </r>
  <r>
    <x v="64"/>
    <x v="11"/>
    <x v="1053"/>
    <x v="143"/>
    <x v="789"/>
    <x v="2123"/>
  </r>
  <r>
    <x v="64"/>
    <x v="11"/>
    <x v="178"/>
    <x v="97"/>
    <x v="251"/>
    <x v="2124"/>
  </r>
  <r>
    <x v="64"/>
    <x v="11"/>
    <x v="874"/>
    <x v="47"/>
    <x v="785"/>
    <x v="2125"/>
  </r>
  <r>
    <x v="64"/>
    <x v="13"/>
    <x v="824"/>
    <x v="3"/>
    <x v="912"/>
    <x v="2126"/>
  </r>
  <r>
    <x v="64"/>
    <x v="22"/>
    <x v="642"/>
    <x v="162"/>
    <x v="913"/>
    <x v="2127"/>
  </r>
  <r>
    <x v="64"/>
    <x v="11"/>
    <x v="1054"/>
    <x v="47"/>
    <x v="196"/>
    <x v="2128"/>
  </r>
  <r>
    <x v="64"/>
    <x v="11"/>
    <x v="328"/>
    <x v="138"/>
    <x v="914"/>
    <x v="2129"/>
  </r>
  <r>
    <x v="64"/>
    <x v="11"/>
    <x v="559"/>
    <x v="153"/>
    <x v="794"/>
    <x v="2130"/>
  </r>
  <r>
    <x v="64"/>
    <x v="21"/>
    <x v="829"/>
    <x v="143"/>
    <x v="270"/>
    <x v="2131"/>
  </r>
  <r>
    <x v="64"/>
    <x v="11"/>
    <x v="454"/>
    <x v="3"/>
    <x v="413"/>
    <x v="2132"/>
  </r>
  <r>
    <x v="64"/>
    <x v="11"/>
    <x v="219"/>
    <x v="187"/>
    <x v="398"/>
    <x v="2133"/>
  </r>
  <r>
    <x v="64"/>
    <x v="21"/>
    <x v="629"/>
    <x v="103"/>
    <x v="115"/>
    <x v="2134"/>
  </r>
  <r>
    <x v="64"/>
    <x v="25"/>
    <x v="1055"/>
    <x v="139"/>
    <x v="272"/>
    <x v="2135"/>
  </r>
  <r>
    <x v="64"/>
    <x v="11"/>
    <x v="190"/>
    <x v="97"/>
    <x v="915"/>
    <x v="2136"/>
  </r>
  <r>
    <x v="64"/>
    <x v="13"/>
    <x v="838"/>
    <x v="140"/>
    <x v="171"/>
    <x v="2137"/>
  </r>
  <r>
    <x v="64"/>
    <x v="11"/>
    <x v="290"/>
    <x v="459"/>
    <x v="360"/>
    <x v="2138"/>
  </r>
  <r>
    <x v="64"/>
    <x v="11"/>
    <x v="17"/>
    <x v="143"/>
    <x v="916"/>
    <x v="2139"/>
  </r>
  <r>
    <x v="64"/>
    <x v="11"/>
    <x v="1056"/>
    <x v="233"/>
    <x v="652"/>
    <x v="2140"/>
  </r>
  <r>
    <x v="64"/>
    <x v="21"/>
    <x v="1057"/>
    <x v="105"/>
    <x v="883"/>
    <x v="2141"/>
  </r>
  <r>
    <x v="64"/>
    <x v="21"/>
    <x v="226"/>
    <x v="168"/>
    <x v="57"/>
    <x v="2142"/>
  </r>
  <r>
    <x v="64"/>
    <x v="22"/>
    <x v="568"/>
    <x v="160"/>
    <x v="530"/>
    <x v="2143"/>
  </r>
  <r>
    <x v="64"/>
    <x v="11"/>
    <x v="113"/>
    <x v="111"/>
    <x v="917"/>
    <x v="2144"/>
  </r>
  <r>
    <x v="64"/>
    <x v="21"/>
    <x v="220"/>
    <x v="103"/>
    <x v="396"/>
    <x v="2145"/>
  </r>
  <r>
    <x v="64"/>
    <x v="11"/>
    <x v="731"/>
    <x v="363"/>
    <x v="918"/>
    <x v="2146"/>
  </r>
  <r>
    <x v="64"/>
    <x v="22"/>
    <x v="265"/>
    <x v="189"/>
    <x v="360"/>
    <x v="2147"/>
  </r>
  <r>
    <x v="64"/>
    <x v="11"/>
    <x v="918"/>
    <x v="103"/>
    <x v="919"/>
    <x v="2148"/>
  </r>
  <r>
    <x v="64"/>
    <x v="13"/>
    <x v="182"/>
    <x v="78"/>
    <x v="256"/>
    <x v="2149"/>
  </r>
  <r>
    <x v="64"/>
    <x v="11"/>
    <x v="1058"/>
    <x v="148"/>
    <x v="11"/>
    <x v="2150"/>
  </r>
  <r>
    <x v="64"/>
    <x v="13"/>
    <x v="276"/>
    <x v="407"/>
    <x v="306"/>
    <x v="2151"/>
  </r>
  <r>
    <x v="64"/>
    <x v="13"/>
    <x v="1059"/>
    <x v="144"/>
    <x v="159"/>
    <x v="2152"/>
  </r>
  <r>
    <x v="64"/>
    <x v="11"/>
    <x v="250"/>
    <x v="143"/>
    <x v="93"/>
    <x v="2153"/>
  </r>
  <r>
    <x v="64"/>
    <x v="21"/>
    <x v="177"/>
    <x v="111"/>
    <x v="26"/>
    <x v="2154"/>
  </r>
  <r>
    <x v="64"/>
    <x v="21"/>
    <x v="632"/>
    <x v="143"/>
    <x v="666"/>
    <x v="2155"/>
  </r>
  <r>
    <x v="64"/>
    <x v="24"/>
    <x v="1060"/>
    <x v="144"/>
    <x v="697"/>
    <x v="2156"/>
  </r>
  <r>
    <x v="64"/>
    <x v="11"/>
    <x v="563"/>
    <x v="78"/>
    <x v="920"/>
    <x v="2157"/>
  </r>
  <r>
    <x v="64"/>
    <x v="17"/>
    <x v="181"/>
    <x v="103"/>
    <x v="67"/>
    <x v="2158"/>
  </r>
  <r>
    <x v="64"/>
    <x v="17"/>
    <x v="1061"/>
    <x v="105"/>
    <x v="70"/>
    <x v="2159"/>
  </r>
  <r>
    <x v="64"/>
    <x v="11"/>
    <x v="1062"/>
    <x v="103"/>
    <x v="479"/>
    <x v="2160"/>
  </r>
  <r>
    <x v="64"/>
    <x v="23"/>
    <x v="113"/>
    <x v="78"/>
    <x v="340"/>
    <x v="2161"/>
  </r>
  <r>
    <x v="64"/>
    <x v="17"/>
    <x v="352"/>
    <x v="156"/>
    <x v="921"/>
    <x v="2162"/>
  </r>
  <r>
    <x v="64"/>
    <x v="11"/>
    <x v="181"/>
    <x v="103"/>
    <x v="922"/>
    <x v="2163"/>
  </r>
  <r>
    <x v="64"/>
    <x v="11"/>
    <x v="315"/>
    <x v="78"/>
    <x v="784"/>
    <x v="2164"/>
  </r>
  <r>
    <x v="64"/>
    <x v="21"/>
    <x v="407"/>
    <x v="150"/>
    <x v="697"/>
    <x v="2165"/>
  </r>
  <r>
    <x v="64"/>
    <x v="11"/>
    <x v="928"/>
    <x v="103"/>
    <x v="291"/>
    <x v="2166"/>
  </r>
  <r>
    <x v="64"/>
    <x v="13"/>
    <x v="280"/>
    <x v="158"/>
    <x v="697"/>
    <x v="2167"/>
  </r>
  <r>
    <x v="64"/>
    <x v="11"/>
    <x v="1063"/>
    <x v="109"/>
    <x v="266"/>
    <x v="2168"/>
  </r>
  <r>
    <x v="64"/>
    <x v="21"/>
    <x v="360"/>
    <x v="68"/>
    <x v="405"/>
    <x v="2169"/>
  </r>
  <r>
    <x v="64"/>
    <x v="23"/>
    <x v="181"/>
    <x v="171"/>
    <x v="923"/>
    <x v="2170"/>
  </r>
  <r>
    <x v="64"/>
    <x v="17"/>
    <x v="20"/>
    <x v="162"/>
    <x v="81"/>
    <x v="2171"/>
  </r>
  <r>
    <x v="64"/>
    <x v="11"/>
    <x v="354"/>
    <x v="206"/>
    <x v="440"/>
    <x v="2172"/>
  </r>
  <r>
    <x v="64"/>
    <x v="23"/>
    <x v="33"/>
    <x v="103"/>
    <x v="924"/>
    <x v="2173"/>
  </r>
  <r>
    <x v="64"/>
    <x v="17"/>
    <x v="273"/>
    <x v="173"/>
    <x v="128"/>
    <x v="2174"/>
  </r>
  <r>
    <x v="64"/>
    <x v="22"/>
    <x v="325"/>
    <x v="103"/>
    <x v="134"/>
    <x v="2175"/>
  </r>
  <r>
    <x v="64"/>
    <x v="11"/>
    <x v="1064"/>
    <x v="140"/>
    <x v="285"/>
    <x v="2176"/>
  </r>
  <r>
    <x v="64"/>
    <x v="22"/>
    <x v="1065"/>
    <x v="138"/>
    <x v="186"/>
    <x v="2177"/>
  </r>
  <r>
    <x v="64"/>
    <x v="22"/>
    <x v="1066"/>
    <x v="194"/>
    <x v="925"/>
    <x v="2178"/>
  </r>
  <r>
    <x v="64"/>
    <x v="11"/>
    <x v="984"/>
    <x v="74"/>
    <x v="507"/>
    <x v="2179"/>
  </r>
  <r>
    <x v="64"/>
    <x v="21"/>
    <x v="838"/>
    <x v="168"/>
    <x v="689"/>
    <x v="2180"/>
  </r>
  <r>
    <x v="64"/>
    <x v="22"/>
    <x v="969"/>
    <x v="3"/>
    <x v="926"/>
    <x v="2181"/>
  </r>
  <r>
    <x v="64"/>
    <x v="11"/>
    <x v="289"/>
    <x v="131"/>
    <x v="927"/>
    <x v="2182"/>
  </r>
  <r>
    <x v="64"/>
    <x v="24"/>
    <x v="329"/>
    <x v="105"/>
    <x v="268"/>
    <x v="2183"/>
  </r>
  <r>
    <x v="64"/>
    <x v="11"/>
    <x v="176"/>
    <x v="17"/>
    <x v="928"/>
    <x v="2184"/>
  </r>
  <r>
    <x v="64"/>
    <x v="21"/>
    <x v="295"/>
    <x v="103"/>
    <x v="27"/>
    <x v="2185"/>
  </r>
  <r>
    <x v="64"/>
    <x v="11"/>
    <x v="303"/>
    <x v="153"/>
    <x v="480"/>
    <x v="2186"/>
  </r>
  <r>
    <x v="64"/>
    <x v="56"/>
    <x v="1067"/>
    <x v="279"/>
    <x v="929"/>
    <x v="2187"/>
  </r>
  <r>
    <x v="64"/>
    <x v="22"/>
    <x v="249"/>
    <x v="156"/>
    <x v="930"/>
    <x v="2188"/>
  </r>
  <r>
    <x v="64"/>
    <x v="11"/>
    <x v="182"/>
    <x v="460"/>
    <x v="727"/>
    <x v="2189"/>
  </r>
  <r>
    <x v="64"/>
    <x v="22"/>
    <x v="779"/>
    <x v="138"/>
    <x v="394"/>
    <x v="2190"/>
  </r>
  <r>
    <x v="64"/>
    <x v="22"/>
    <x v="1068"/>
    <x v="187"/>
    <x v="182"/>
    <x v="2191"/>
  </r>
  <r>
    <x v="64"/>
    <x v="11"/>
    <x v="980"/>
    <x v="27"/>
    <x v="464"/>
    <x v="2192"/>
  </r>
  <r>
    <x v="64"/>
    <x v="22"/>
    <x v="1069"/>
    <x v="284"/>
    <x v="931"/>
    <x v="2193"/>
  </r>
  <r>
    <x v="64"/>
    <x v="11"/>
    <x v="342"/>
    <x v="64"/>
    <x v="511"/>
    <x v="2194"/>
  </r>
  <r>
    <x v="64"/>
    <x v="11"/>
    <x v="1070"/>
    <x v="56"/>
    <x v="319"/>
    <x v="2195"/>
  </r>
  <r>
    <x v="64"/>
    <x v="13"/>
    <x v="1071"/>
    <x v="461"/>
    <x v="932"/>
    <x v="2196"/>
  </r>
  <r>
    <x v="65"/>
    <x v="22"/>
    <x v="600"/>
    <x v="12"/>
    <x v="60"/>
    <x v="2197"/>
  </r>
  <r>
    <x v="65"/>
    <x v="11"/>
    <x v="578"/>
    <x v="105"/>
    <x v="933"/>
    <x v="2198"/>
  </r>
  <r>
    <x v="65"/>
    <x v="11"/>
    <x v="470"/>
    <x v="105"/>
    <x v="18"/>
    <x v="2199"/>
  </r>
  <r>
    <x v="65"/>
    <x v="23"/>
    <x v="824"/>
    <x v="47"/>
    <x v="934"/>
    <x v="2200"/>
  </r>
  <r>
    <x v="65"/>
    <x v="11"/>
    <x v="276"/>
    <x v="15"/>
    <x v="935"/>
    <x v="2201"/>
  </r>
  <r>
    <x v="65"/>
    <x v="11"/>
    <x v="346"/>
    <x v="47"/>
    <x v="936"/>
    <x v="2202"/>
  </r>
  <r>
    <x v="65"/>
    <x v="48"/>
    <x v="294"/>
    <x v="15"/>
    <x v="615"/>
    <x v="2203"/>
  </r>
  <r>
    <x v="65"/>
    <x v="11"/>
    <x v="182"/>
    <x v="140"/>
    <x v="937"/>
    <x v="2204"/>
  </r>
  <r>
    <x v="65"/>
    <x v="11"/>
    <x v="563"/>
    <x v="47"/>
    <x v="121"/>
    <x v="2205"/>
  </r>
  <r>
    <x v="65"/>
    <x v="13"/>
    <x v="625"/>
    <x v="154"/>
    <x v="197"/>
    <x v="2206"/>
  </r>
  <r>
    <x v="65"/>
    <x v="11"/>
    <x v="245"/>
    <x v="111"/>
    <x v="0"/>
    <x v="2207"/>
  </r>
  <r>
    <x v="65"/>
    <x v="11"/>
    <x v="566"/>
    <x v="142"/>
    <x v="33"/>
    <x v="2208"/>
  </r>
  <r>
    <x v="65"/>
    <x v="22"/>
    <x v="432"/>
    <x v="15"/>
    <x v="349"/>
    <x v="2209"/>
  </r>
  <r>
    <x v="65"/>
    <x v="11"/>
    <x v="188"/>
    <x v="103"/>
    <x v="396"/>
    <x v="2210"/>
  </r>
  <r>
    <x v="65"/>
    <x v="48"/>
    <x v="183"/>
    <x v="146"/>
    <x v="44"/>
    <x v="2211"/>
  </r>
  <r>
    <x v="65"/>
    <x v="11"/>
    <x v="325"/>
    <x v="47"/>
    <x v="762"/>
    <x v="2212"/>
  </r>
  <r>
    <x v="65"/>
    <x v="17"/>
    <x v="252"/>
    <x v="103"/>
    <x v="811"/>
    <x v="2213"/>
  </r>
  <r>
    <x v="65"/>
    <x v="11"/>
    <x v="1072"/>
    <x v="462"/>
    <x v="672"/>
    <x v="2214"/>
  </r>
  <r>
    <x v="65"/>
    <x v="22"/>
    <x v="1073"/>
    <x v="15"/>
    <x v="938"/>
    <x v="2215"/>
  </r>
  <r>
    <x v="65"/>
    <x v="11"/>
    <x v="319"/>
    <x v="15"/>
    <x v="196"/>
    <x v="2216"/>
  </r>
  <r>
    <x v="65"/>
    <x v="11"/>
    <x v="226"/>
    <x v="105"/>
    <x v="41"/>
    <x v="2217"/>
  </r>
  <r>
    <x v="65"/>
    <x v="11"/>
    <x v="176"/>
    <x v="142"/>
    <x v="763"/>
    <x v="2218"/>
  </r>
  <r>
    <x v="65"/>
    <x v="21"/>
    <x v="295"/>
    <x v="47"/>
    <x v="156"/>
    <x v="2219"/>
  </r>
  <r>
    <x v="65"/>
    <x v="11"/>
    <x v="357"/>
    <x v="131"/>
    <x v="77"/>
    <x v="2220"/>
  </r>
  <r>
    <x v="65"/>
    <x v="22"/>
    <x v="824"/>
    <x v="138"/>
    <x v="240"/>
    <x v="2221"/>
  </r>
  <r>
    <x v="65"/>
    <x v="11"/>
    <x v="1074"/>
    <x v="171"/>
    <x v="83"/>
    <x v="2222"/>
  </r>
  <r>
    <x v="65"/>
    <x v="23"/>
    <x v="304"/>
    <x v="156"/>
    <x v="353"/>
    <x v="2223"/>
  </r>
  <r>
    <x v="65"/>
    <x v="11"/>
    <x v="908"/>
    <x v="103"/>
    <x v="939"/>
    <x v="2224"/>
  </r>
  <r>
    <x v="65"/>
    <x v="22"/>
    <x v="1075"/>
    <x v="47"/>
    <x v="940"/>
    <x v="2225"/>
  </r>
  <r>
    <x v="65"/>
    <x v="11"/>
    <x v="225"/>
    <x v="97"/>
    <x v="105"/>
    <x v="2226"/>
  </r>
  <r>
    <x v="65"/>
    <x v="22"/>
    <x v="367"/>
    <x v="103"/>
    <x v="29"/>
    <x v="2227"/>
  </r>
  <r>
    <x v="65"/>
    <x v="16"/>
    <x v="309"/>
    <x v="109"/>
    <x v="373"/>
    <x v="2228"/>
  </r>
  <r>
    <x v="65"/>
    <x v="11"/>
    <x v="360"/>
    <x v="78"/>
    <x v="941"/>
    <x v="2229"/>
  </r>
  <r>
    <x v="65"/>
    <x v="11"/>
    <x v="1076"/>
    <x v="166"/>
    <x v="674"/>
    <x v="2230"/>
  </r>
  <r>
    <x v="65"/>
    <x v="21"/>
    <x v="568"/>
    <x v="78"/>
    <x v="476"/>
    <x v="2231"/>
  </r>
  <r>
    <x v="65"/>
    <x v="11"/>
    <x v="1077"/>
    <x v="97"/>
    <x v="619"/>
    <x v="2232"/>
  </r>
  <r>
    <x v="65"/>
    <x v="22"/>
    <x v="383"/>
    <x v="103"/>
    <x v="221"/>
    <x v="2233"/>
  </r>
  <r>
    <x v="65"/>
    <x v="11"/>
    <x v="1078"/>
    <x v="103"/>
    <x v="708"/>
    <x v="2234"/>
  </r>
  <r>
    <x v="65"/>
    <x v="13"/>
    <x v="1079"/>
    <x v="15"/>
    <x v="591"/>
    <x v="2235"/>
  </r>
  <r>
    <x v="65"/>
    <x v="23"/>
    <x v="922"/>
    <x v="463"/>
    <x v="619"/>
    <x v="2236"/>
  </r>
  <r>
    <x v="65"/>
    <x v="17"/>
    <x v="1080"/>
    <x v="55"/>
    <x v="215"/>
    <x v="2237"/>
  </r>
  <r>
    <x v="65"/>
    <x v="11"/>
    <x v="1068"/>
    <x v="464"/>
    <x v="881"/>
    <x v="2238"/>
  </r>
  <r>
    <x v="65"/>
    <x v="17"/>
    <x v="379"/>
    <x v="465"/>
    <x v="747"/>
    <x v="2239"/>
  </r>
  <r>
    <x v="66"/>
    <x v="12"/>
    <x v="852"/>
    <x v="148"/>
    <x v="480"/>
    <x v="2240"/>
  </r>
  <r>
    <x v="66"/>
    <x v="12"/>
    <x v="1081"/>
    <x v="466"/>
    <x v="24"/>
    <x v="2241"/>
  </r>
  <r>
    <x v="67"/>
    <x v="13"/>
    <x v="403"/>
    <x v="154"/>
    <x v="237"/>
    <x v="2242"/>
  </r>
  <r>
    <x v="67"/>
    <x v="22"/>
    <x v="1082"/>
    <x v="47"/>
    <x v="859"/>
    <x v="2243"/>
  </r>
  <r>
    <x v="67"/>
    <x v="11"/>
    <x v="661"/>
    <x v="138"/>
    <x v="227"/>
    <x v="2244"/>
  </r>
  <r>
    <x v="68"/>
    <x v="11"/>
    <x v="1083"/>
    <x v="0"/>
    <x v="303"/>
    <x v="2245"/>
  </r>
  <r>
    <x v="68"/>
    <x v="11"/>
    <x v="7"/>
    <x v="15"/>
    <x v="942"/>
    <x v="2246"/>
  </r>
  <r>
    <x v="68"/>
    <x v="11"/>
    <x v="205"/>
    <x v="180"/>
    <x v="789"/>
    <x v="2247"/>
  </r>
  <r>
    <x v="68"/>
    <x v="22"/>
    <x v="387"/>
    <x v="47"/>
    <x v="943"/>
    <x v="2248"/>
  </r>
  <r>
    <x v="68"/>
    <x v="22"/>
    <x v="1084"/>
    <x v="45"/>
    <x v="18"/>
    <x v="2249"/>
  </r>
  <r>
    <x v="68"/>
    <x v="11"/>
    <x v="1085"/>
    <x v="281"/>
    <x v="435"/>
    <x v="2250"/>
  </r>
  <r>
    <x v="68"/>
    <x v="11"/>
    <x v="983"/>
    <x v="195"/>
    <x v="944"/>
    <x v="2251"/>
  </r>
  <r>
    <x v="69"/>
    <x v="22"/>
    <x v="372"/>
    <x v="4"/>
    <x v="945"/>
    <x v="2252"/>
  </r>
  <r>
    <x v="69"/>
    <x v="11"/>
    <x v="729"/>
    <x v="180"/>
    <x v="583"/>
    <x v="2253"/>
  </r>
  <r>
    <x v="70"/>
    <x v="11"/>
    <x v="178"/>
    <x v="467"/>
    <x v="749"/>
    <x v="2254"/>
  </r>
  <r>
    <x v="70"/>
    <x v="22"/>
    <x v="237"/>
    <x v="152"/>
    <x v="160"/>
    <x v="2255"/>
  </r>
  <r>
    <x v="70"/>
    <x v="13"/>
    <x v="232"/>
    <x v="15"/>
    <x v="50"/>
    <x v="2256"/>
  </r>
  <r>
    <x v="70"/>
    <x v="15"/>
    <x v="406"/>
    <x v="156"/>
    <x v="819"/>
    <x v="2257"/>
  </r>
  <r>
    <x v="70"/>
    <x v="12"/>
    <x v="56"/>
    <x v="148"/>
    <x v="186"/>
    <x v="2258"/>
  </r>
  <r>
    <x v="70"/>
    <x v="11"/>
    <x v="283"/>
    <x v="166"/>
    <x v="187"/>
    <x v="2259"/>
  </r>
  <r>
    <x v="70"/>
    <x v="57"/>
    <x v="995"/>
    <x v="3"/>
    <x v="387"/>
    <x v="2260"/>
  </r>
  <r>
    <x v="70"/>
    <x v="11"/>
    <x v="210"/>
    <x v="148"/>
    <x v="946"/>
    <x v="2261"/>
  </r>
  <r>
    <x v="70"/>
    <x v="11"/>
    <x v="210"/>
    <x v="148"/>
    <x v="947"/>
    <x v="2262"/>
  </r>
  <r>
    <x v="70"/>
    <x v="11"/>
    <x v="371"/>
    <x v="103"/>
    <x v="676"/>
    <x v="2263"/>
  </r>
  <r>
    <x v="70"/>
    <x v="11"/>
    <x v="974"/>
    <x v="111"/>
    <x v="948"/>
    <x v="2264"/>
  </r>
  <r>
    <x v="70"/>
    <x v="21"/>
    <x v="322"/>
    <x v="369"/>
    <x v="497"/>
    <x v="2265"/>
  </r>
  <r>
    <x v="70"/>
    <x v="11"/>
    <x v="349"/>
    <x v="103"/>
    <x v="134"/>
    <x v="2266"/>
  </r>
  <r>
    <x v="70"/>
    <x v="11"/>
    <x v="409"/>
    <x v="97"/>
    <x v="282"/>
    <x v="2267"/>
  </r>
  <r>
    <x v="71"/>
    <x v="13"/>
    <x v="328"/>
    <x v="154"/>
    <x v="949"/>
    <x v="2268"/>
  </r>
  <r>
    <x v="71"/>
    <x v="11"/>
    <x v="886"/>
    <x v="279"/>
    <x v="349"/>
    <x v="2269"/>
  </r>
  <r>
    <x v="71"/>
    <x v="22"/>
    <x v="7"/>
    <x v="233"/>
    <x v="950"/>
    <x v="2270"/>
  </r>
  <r>
    <x v="71"/>
    <x v="11"/>
    <x v="181"/>
    <x v="154"/>
    <x v="951"/>
    <x v="2271"/>
  </r>
  <r>
    <x v="71"/>
    <x v="13"/>
    <x v="612"/>
    <x v="162"/>
    <x v="691"/>
    <x v="2272"/>
  </r>
  <r>
    <x v="71"/>
    <x v="13"/>
    <x v="603"/>
    <x v="3"/>
    <x v="952"/>
    <x v="2273"/>
  </r>
  <r>
    <x v="71"/>
    <x v="13"/>
    <x v="209"/>
    <x v="3"/>
    <x v="953"/>
    <x v="2274"/>
  </r>
  <r>
    <x v="71"/>
    <x v="11"/>
    <x v="109"/>
    <x v="180"/>
    <x v="913"/>
    <x v="2275"/>
  </r>
  <r>
    <x v="71"/>
    <x v="11"/>
    <x v="289"/>
    <x v="111"/>
    <x v="34"/>
    <x v="2276"/>
  </r>
  <r>
    <x v="71"/>
    <x v="22"/>
    <x v="1086"/>
    <x v="150"/>
    <x v="954"/>
    <x v="2277"/>
  </r>
  <r>
    <x v="71"/>
    <x v="11"/>
    <x v="113"/>
    <x v="468"/>
    <x v="573"/>
    <x v="2278"/>
  </r>
  <r>
    <x v="71"/>
    <x v="22"/>
    <x v="215"/>
    <x v="171"/>
    <x v="555"/>
    <x v="2279"/>
  </r>
  <r>
    <x v="71"/>
    <x v="11"/>
    <x v="1087"/>
    <x v="148"/>
    <x v="955"/>
    <x v="2280"/>
  </r>
  <r>
    <x v="71"/>
    <x v="13"/>
    <x v="273"/>
    <x v="111"/>
    <x v="306"/>
    <x v="2281"/>
  </r>
  <r>
    <x v="71"/>
    <x v="13"/>
    <x v="428"/>
    <x v="168"/>
    <x v="43"/>
    <x v="2282"/>
  </r>
  <r>
    <x v="71"/>
    <x v="11"/>
    <x v="1088"/>
    <x v="363"/>
    <x v="180"/>
    <x v="2283"/>
  </r>
  <r>
    <x v="71"/>
    <x v="22"/>
    <x v="248"/>
    <x v="76"/>
    <x v="406"/>
    <x v="2284"/>
  </r>
  <r>
    <x v="71"/>
    <x v="21"/>
    <x v="317"/>
    <x v="47"/>
    <x v="400"/>
    <x v="2285"/>
  </r>
  <r>
    <x v="71"/>
    <x v="11"/>
    <x v="1089"/>
    <x v="144"/>
    <x v="956"/>
    <x v="2286"/>
  </r>
  <r>
    <x v="71"/>
    <x v="11"/>
    <x v="303"/>
    <x v="138"/>
    <x v="48"/>
    <x v="2287"/>
  </r>
  <r>
    <x v="71"/>
    <x v="11"/>
    <x v="207"/>
    <x v="163"/>
    <x v="247"/>
    <x v="2288"/>
  </r>
  <r>
    <x v="71"/>
    <x v="11"/>
    <x v="643"/>
    <x v="103"/>
    <x v="957"/>
    <x v="2289"/>
  </r>
  <r>
    <x v="71"/>
    <x v="22"/>
    <x v="275"/>
    <x v="156"/>
    <x v="391"/>
    <x v="2290"/>
  </r>
  <r>
    <x v="71"/>
    <x v="13"/>
    <x v="409"/>
    <x v="180"/>
    <x v="452"/>
    <x v="2291"/>
  </r>
  <r>
    <x v="71"/>
    <x v="11"/>
    <x v="840"/>
    <x v="97"/>
    <x v="332"/>
    <x v="2292"/>
  </r>
  <r>
    <x v="71"/>
    <x v="58"/>
    <x v="273"/>
    <x v="68"/>
    <x v="269"/>
    <x v="2293"/>
  </r>
  <r>
    <x v="71"/>
    <x v="11"/>
    <x v="267"/>
    <x v="109"/>
    <x v="357"/>
    <x v="2294"/>
  </r>
  <r>
    <x v="71"/>
    <x v="11"/>
    <x v="352"/>
    <x v="37"/>
    <x v="251"/>
    <x v="2295"/>
  </r>
  <r>
    <x v="71"/>
    <x v="11"/>
    <x v="312"/>
    <x v="469"/>
    <x v="521"/>
    <x v="2296"/>
  </r>
  <r>
    <x v="72"/>
    <x v="13"/>
    <x v="152"/>
    <x v="97"/>
    <x v="958"/>
    <x v="2297"/>
  </r>
  <r>
    <x v="72"/>
    <x v="11"/>
    <x v="7"/>
    <x v="15"/>
    <x v="959"/>
    <x v="2298"/>
  </r>
  <r>
    <x v="72"/>
    <x v="11"/>
    <x v="1090"/>
    <x v="281"/>
    <x v="834"/>
    <x v="2299"/>
  </r>
  <r>
    <x v="72"/>
    <x v="11"/>
    <x v="563"/>
    <x v="103"/>
    <x v="755"/>
    <x v="2300"/>
  </r>
  <r>
    <x v="72"/>
    <x v="22"/>
    <x v="1091"/>
    <x v="111"/>
    <x v="295"/>
    <x v="2301"/>
  </r>
  <r>
    <x v="72"/>
    <x v="13"/>
    <x v="946"/>
    <x v="168"/>
    <x v="960"/>
    <x v="2302"/>
  </r>
  <r>
    <x v="72"/>
    <x v="13"/>
    <x v="209"/>
    <x v="134"/>
    <x v="365"/>
    <x v="2303"/>
  </r>
  <r>
    <x v="72"/>
    <x v="13"/>
    <x v="328"/>
    <x v="470"/>
    <x v="430"/>
    <x v="2304"/>
  </r>
  <r>
    <x v="72"/>
    <x v="13"/>
    <x v="792"/>
    <x v="133"/>
    <x v="961"/>
    <x v="2305"/>
  </r>
  <r>
    <x v="72"/>
    <x v="13"/>
    <x v="228"/>
    <x v="471"/>
    <x v="815"/>
    <x v="2306"/>
  </r>
  <r>
    <x v="72"/>
    <x v="13"/>
    <x v="250"/>
    <x v="111"/>
    <x v="195"/>
    <x v="2307"/>
  </r>
  <r>
    <x v="72"/>
    <x v="13"/>
    <x v="182"/>
    <x v="472"/>
    <x v="307"/>
    <x v="2308"/>
  </r>
  <r>
    <x v="72"/>
    <x v="13"/>
    <x v="563"/>
    <x v="171"/>
    <x v="962"/>
    <x v="2309"/>
  </r>
  <r>
    <x v="72"/>
    <x v="11"/>
    <x v="276"/>
    <x v="103"/>
    <x v="963"/>
    <x v="2310"/>
  </r>
  <r>
    <x v="72"/>
    <x v="13"/>
    <x v="451"/>
    <x v="473"/>
    <x v="234"/>
    <x v="2311"/>
  </r>
  <r>
    <x v="72"/>
    <x v="11"/>
    <x v="227"/>
    <x v="176"/>
    <x v="964"/>
    <x v="2312"/>
  </r>
  <r>
    <x v="72"/>
    <x v="11"/>
    <x v="181"/>
    <x v="474"/>
    <x v="188"/>
    <x v="2313"/>
  </r>
  <r>
    <x v="72"/>
    <x v="11"/>
    <x v="946"/>
    <x v="148"/>
    <x v="405"/>
    <x v="2314"/>
  </r>
  <r>
    <x v="72"/>
    <x v="11"/>
    <x v="908"/>
    <x v="111"/>
    <x v="157"/>
    <x v="2315"/>
  </r>
  <r>
    <x v="72"/>
    <x v="22"/>
    <x v="177"/>
    <x v="3"/>
    <x v="965"/>
    <x v="2316"/>
  </r>
  <r>
    <x v="72"/>
    <x v="11"/>
    <x v="33"/>
    <x v="162"/>
    <x v="803"/>
    <x v="2317"/>
  </r>
  <r>
    <x v="72"/>
    <x v="11"/>
    <x v="676"/>
    <x v="363"/>
    <x v="98"/>
    <x v="2318"/>
  </r>
  <r>
    <x v="72"/>
    <x v="11"/>
    <x v="410"/>
    <x v="162"/>
    <x v="12"/>
    <x v="2319"/>
  </r>
  <r>
    <x v="72"/>
    <x v="11"/>
    <x v="481"/>
    <x v="15"/>
    <x v="966"/>
    <x v="2320"/>
  </r>
  <r>
    <x v="72"/>
    <x v="22"/>
    <x v="581"/>
    <x v="134"/>
    <x v="518"/>
    <x v="2321"/>
  </r>
  <r>
    <x v="72"/>
    <x v="13"/>
    <x v="600"/>
    <x v="134"/>
    <x v="38"/>
    <x v="2322"/>
  </r>
  <r>
    <x v="72"/>
    <x v="22"/>
    <x v="303"/>
    <x v="74"/>
    <x v="967"/>
    <x v="2323"/>
  </r>
  <r>
    <x v="72"/>
    <x v="13"/>
    <x v="273"/>
    <x v="162"/>
    <x v="968"/>
    <x v="2324"/>
  </r>
  <r>
    <x v="72"/>
    <x v="11"/>
    <x v="1092"/>
    <x v="143"/>
    <x v="969"/>
    <x v="2325"/>
  </r>
  <r>
    <x v="72"/>
    <x v="11"/>
    <x v="205"/>
    <x v="173"/>
    <x v="708"/>
    <x v="2326"/>
  </r>
  <r>
    <x v="72"/>
    <x v="11"/>
    <x v="963"/>
    <x v="47"/>
    <x v="913"/>
    <x v="2327"/>
  </r>
  <r>
    <x v="72"/>
    <x v="11"/>
    <x v="261"/>
    <x v="141"/>
    <x v="396"/>
    <x v="2328"/>
  </r>
  <r>
    <x v="72"/>
    <x v="11"/>
    <x v="606"/>
    <x v="103"/>
    <x v="630"/>
    <x v="2329"/>
  </r>
  <r>
    <x v="72"/>
    <x v="11"/>
    <x v="1093"/>
    <x v="131"/>
    <x v="626"/>
    <x v="2330"/>
  </r>
  <r>
    <x v="72"/>
    <x v="47"/>
    <x v="454"/>
    <x v="156"/>
    <x v="274"/>
    <x v="2331"/>
  </r>
  <r>
    <x v="72"/>
    <x v="11"/>
    <x v="395"/>
    <x v="151"/>
    <x v="506"/>
    <x v="2332"/>
  </r>
  <r>
    <x v="72"/>
    <x v="11"/>
    <x v="232"/>
    <x v="239"/>
    <x v="227"/>
    <x v="2333"/>
  </r>
  <r>
    <x v="72"/>
    <x v="11"/>
    <x v="258"/>
    <x v="103"/>
    <x v="161"/>
    <x v="2334"/>
  </r>
  <r>
    <x v="72"/>
    <x v="21"/>
    <x v="182"/>
    <x v="214"/>
    <x v="260"/>
    <x v="2335"/>
  </r>
  <r>
    <x v="72"/>
    <x v="13"/>
    <x v="946"/>
    <x v="148"/>
    <x v="823"/>
    <x v="2336"/>
  </r>
  <r>
    <x v="72"/>
    <x v="11"/>
    <x v="33"/>
    <x v="109"/>
    <x v="635"/>
    <x v="2337"/>
  </r>
  <r>
    <x v="72"/>
    <x v="11"/>
    <x v="267"/>
    <x v="194"/>
    <x v="879"/>
    <x v="2338"/>
  </r>
  <r>
    <x v="72"/>
    <x v="11"/>
    <x v="1011"/>
    <x v="15"/>
    <x v="764"/>
    <x v="2339"/>
  </r>
  <r>
    <x v="72"/>
    <x v="59"/>
    <x v="309"/>
    <x v="103"/>
    <x v="204"/>
    <x v="2340"/>
  </r>
  <r>
    <x v="72"/>
    <x v="11"/>
    <x v="1094"/>
    <x v="475"/>
    <x v="283"/>
    <x v="2341"/>
  </r>
  <r>
    <x v="72"/>
    <x v="23"/>
    <x v="1095"/>
    <x v="103"/>
    <x v="970"/>
    <x v="2342"/>
  </r>
  <r>
    <x v="72"/>
    <x v="13"/>
    <x v="1096"/>
    <x v="476"/>
    <x v="789"/>
    <x v="2343"/>
  </r>
  <r>
    <x v="72"/>
    <x v="25"/>
    <x v="1097"/>
    <x v="111"/>
    <x v="322"/>
    <x v="2344"/>
  </r>
  <r>
    <x v="72"/>
    <x v="11"/>
    <x v="686"/>
    <x v="47"/>
    <x v="626"/>
    <x v="2345"/>
  </r>
  <r>
    <x v="72"/>
    <x v="11"/>
    <x v="1098"/>
    <x v="134"/>
    <x v="716"/>
    <x v="2346"/>
  </r>
  <r>
    <x v="72"/>
    <x v="23"/>
    <x v="303"/>
    <x v="148"/>
    <x v="752"/>
    <x v="2347"/>
  </r>
  <r>
    <x v="72"/>
    <x v="22"/>
    <x v="1099"/>
    <x v="176"/>
    <x v="670"/>
    <x v="2348"/>
  </r>
  <r>
    <x v="72"/>
    <x v="11"/>
    <x v="278"/>
    <x v="109"/>
    <x v="41"/>
    <x v="2349"/>
  </r>
  <r>
    <x v="72"/>
    <x v="11"/>
    <x v="1100"/>
    <x v="105"/>
    <x v="219"/>
    <x v="2350"/>
  </r>
  <r>
    <x v="72"/>
    <x v="21"/>
    <x v="56"/>
    <x v="109"/>
    <x v="971"/>
    <x v="2351"/>
  </r>
  <r>
    <x v="72"/>
    <x v="22"/>
    <x v="375"/>
    <x v="47"/>
    <x v="834"/>
    <x v="2352"/>
  </r>
  <r>
    <x v="72"/>
    <x v="21"/>
    <x v="623"/>
    <x v="148"/>
    <x v="134"/>
    <x v="2353"/>
  </r>
  <r>
    <x v="72"/>
    <x v="11"/>
    <x v="1101"/>
    <x v="187"/>
    <x v="89"/>
    <x v="2354"/>
  </r>
  <r>
    <x v="72"/>
    <x v="24"/>
    <x v="273"/>
    <x v="148"/>
    <x v="460"/>
    <x v="2355"/>
  </r>
  <r>
    <x v="72"/>
    <x v="11"/>
    <x v="1102"/>
    <x v="103"/>
    <x v="689"/>
    <x v="2356"/>
  </r>
  <r>
    <x v="72"/>
    <x v="21"/>
    <x v="970"/>
    <x v="3"/>
    <x v="972"/>
    <x v="2357"/>
  </r>
  <r>
    <x v="72"/>
    <x v="22"/>
    <x v="1103"/>
    <x v="187"/>
    <x v="973"/>
    <x v="2358"/>
  </r>
  <r>
    <x v="72"/>
    <x v="11"/>
    <x v="20"/>
    <x v="97"/>
    <x v="974"/>
    <x v="2359"/>
  </r>
  <r>
    <x v="72"/>
    <x v="25"/>
    <x v="1104"/>
    <x v="477"/>
    <x v="975"/>
    <x v="2360"/>
  </r>
  <r>
    <x v="72"/>
    <x v="11"/>
    <x v="20"/>
    <x v="78"/>
    <x v="473"/>
    <x v="2361"/>
  </r>
  <r>
    <x v="72"/>
    <x v="11"/>
    <x v="1105"/>
    <x v="103"/>
    <x v="976"/>
    <x v="2362"/>
  </r>
  <r>
    <x v="72"/>
    <x v="11"/>
    <x v="1106"/>
    <x v="478"/>
    <x v="95"/>
    <x v="2363"/>
  </r>
  <r>
    <x v="72"/>
    <x v="11"/>
    <x v="1021"/>
    <x v="479"/>
    <x v="42"/>
    <x v="2364"/>
  </r>
  <r>
    <x v="72"/>
    <x v="11"/>
    <x v="1107"/>
    <x v="103"/>
    <x v="977"/>
    <x v="2365"/>
  </r>
  <r>
    <x v="72"/>
    <x v="11"/>
    <x v="1108"/>
    <x v="143"/>
    <x v="749"/>
    <x v="2366"/>
  </r>
  <r>
    <x v="72"/>
    <x v="13"/>
    <x v="762"/>
    <x v="103"/>
    <x v="978"/>
    <x v="2367"/>
  </r>
  <r>
    <x v="72"/>
    <x v="11"/>
    <x v="1109"/>
    <x v="480"/>
    <x v="573"/>
    <x v="2368"/>
  </r>
  <r>
    <x v="73"/>
    <x v="10"/>
    <x v="73"/>
    <x v="47"/>
    <x v="979"/>
    <x v="2369"/>
  </r>
  <r>
    <x v="73"/>
    <x v="11"/>
    <x v="1110"/>
    <x v="0"/>
    <x v="169"/>
    <x v="2370"/>
  </r>
  <r>
    <x v="73"/>
    <x v="22"/>
    <x v="495"/>
    <x v="279"/>
    <x v="789"/>
    <x v="2371"/>
  </r>
  <r>
    <x v="73"/>
    <x v="13"/>
    <x v="207"/>
    <x v="3"/>
    <x v="775"/>
    <x v="2372"/>
  </r>
  <r>
    <x v="73"/>
    <x v="23"/>
    <x v="228"/>
    <x v="138"/>
    <x v="620"/>
    <x v="2373"/>
  </r>
  <r>
    <x v="73"/>
    <x v="23"/>
    <x v="1068"/>
    <x v="481"/>
    <x v="980"/>
    <x v="2374"/>
  </r>
  <r>
    <x v="73"/>
    <x v="13"/>
    <x v="325"/>
    <x v="180"/>
    <x v="831"/>
    <x v="2375"/>
  </r>
  <r>
    <x v="73"/>
    <x v="11"/>
    <x v="1111"/>
    <x v="15"/>
    <x v="119"/>
    <x v="2376"/>
  </r>
  <r>
    <x v="73"/>
    <x v="11"/>
    <x v="198"/>
    <x v="47"/>
    <x v="187"/>
    <x v="2377"/>
  </r>
  <r>
    <x v="73"/>
    <x v="11"/>
    <x v="178"/>
    <x v="78"/>
    <x v="959"/>
    <x v="2378"/>
  </r>
  <r>
    <x v="73"/>
    <x v="11"/>
    <x v="1112"/>
    <x v="111"/>
    <x v="222"/>
    <x v="2379"/>
  </r>
  <r>
    <x v="73"/>
    <x v="11"/>
    <x v="1113"/>
    <x v="105"/>
    <x v="789"/>
    <x v="2380"/>
  </r>
  <r>
    <x v="73"/>
    <x v="11"/>
    <x v="1114"/>
    <x v="15"/>
    <x v="510"/>
    <x v="2381"/>
  </r>
  <r>
    <x v="73"/>
    <x v="3"/>
    <x v="1115"/>
    <x v="53"/>
    <x v="191"/>
    <x v="2382"/>
  </r>
  <r>
    <x v="74"/>
    <x v="13"/>
    <x v="190"/>
    <x v="47"/>
    <x v="981"/>
    <x v="2383"/>
  </r>
  <r>
    <x v="74"/>
    <x v="10"/>
    <x v="624"/>
    <x v="482"/>
    <x v="967"/>
    <x v="2384"/>
  </r>
  <r>
    <x v="74"/>
    <x v="10"/>
    <x v="244"/>
    <x v="143"/>
    <x v="343"/>
    <x v="2385"/>
  </r>
  <r>
    <x v="74"/>
    <x v="10"/>
    <x v="1116"/>
    <x v="16"/>
    <x v="477"/>
    <x v="2386"/>
  </r>
  <r>
    <x v="74"/>
    <x v="17"/>
    <x v="474"/>
    <x v="483"/>
    <x v="110"/>
    <x v="2387"/>
  </r>
  <r>
    <x v="74"/>
    <x v="26"/>
    <x v="1117"/>
    <x v="138"/>
    <x v="292"/>
    <x v="2388"/>
  </r>
  <r>
    <x v="74"/>
    <x v="21"/>
    <x v="1096"/>
    <x v="47"/>
    <x v="191"/>
    <x v="2389"/>
  </r>
  <r>
    <x v="74"/>
    <x v="13"/>
    <x v="1118"/>
    <x v="195"/>
    <x v="432"/>
    <x v="2390"/>
  </r>
  <r>
    <x v="75"/>
    <x v="13"/>
    <x v="64"/>
    <x v="45"/>
    <x v="237"/>
    <x v="2391"/>
  </r>
  <r>
    <x v="76"/>
    <x v="11"/>
    <x v="1107"/>
    <x v="484"/>
    <x v="546"/>
    <x v="2392"/>
  </r>
  <r>
    <x v="76"/>
    <x v="11"/>
    <x v="1119"/>
    <x v="49"/>
    <x v="734"/>
    <x v="2393"/>
  </r>
  <r>
    <x v="77"/>
    <x v="11"/>
    <x v="566"/>
    <x v="233"/>
    <x v="76"/>
    <x v="2394"/>
  </r>
  <r>
    <x v="78"/>
    <x v="11"/>
    <x v="431"/>
    <x v="485"/>
    <x v="270"/>
    <x v="2395"/>
  </r>
  <r>
    <x v="78"/>
    <x v="11"/>
    <x v="56"/>
    <x v="144"/>
    <x v="982"/>
    <x v="2396"/>
  </r>
  <r>
    <x v="78"/>
    <x v="11"/>
    <x v="33"/>
    <x v="47"/>
    <x v="169"/>
    <x v="2397"/>
  </r>
  <r>
    <x v="78"/>
    <x v="11"/>
    <x v="220"/>
    <x v="105"/>
    <x v="983"/>
    <x v="2398"/>
  </r>
  <r>
    <x v="78"/>
    <x v="11"/>
    <x v="210"/>
    <x v="97"/>
    <x v="364"/>
    <x v="2399"/>
  </r>
  <r>
    <x v="78"/>
    <x v="11"/>
    <x v="13"/>
    <x v="111"/>
    <x v="976"/>
    <x v="2400"/>
  </r>
  <r>
    <x v="78"/>
    <x v="22"/>
    <x v="56"/>
    <x v="134"/>
    <x v="984"/>
    <x v="2401"/>
  </r>
  <r>
    <x v="78"/>
    <x v="11"/>
    <x v="33"/>
    <x v="146"/>
    <x v="60"/>
    <x v="2402"/>
  </r>
  <r>
    <x v="78"/>
    <x v="11"/>
    <x v="295"/>
    <x v="103"/>
    <x v="780"/>
    <x v="2403"/>
  </r>
  <r>
    <x v="78"/>
    <x v="11"/>
    <x v="1120"/>
    <x v="94"/>
    <x v="290"/>
    <x v="2404"/>
  </r>
  <r>
    <x v="78"/>
    <x v="11"/>
    <x v="295"/>
    <x v="486"/>
    <x v="985"/>
    <x v="2405"/>
  </r>
  <r>
    <x v="78"/>
    <x v="22"/>
    <x v="312"/>
    <x v="103"/>
    <x v="434"/>
    <x v="2406"/>
  </r>
  <r>
    <x v="78"/>
    <x v="21"/>
    <x v="1121"/>
    <x v="233"/>
    <x v="796"/>
    <x v="2407"/>
  </r>
  <r>
    <x v="79"/>
    <x v="25"/>
    <x v="779"/>
    <x v="15"/>
    <x v="537"/>
    <x v="2408"/>
  </r>
  <r>
    <x v="79"/>
    <x v="21"/>
    <x v="263"/>
    <x v="140"/>
    <x v="986"/>
    <x v="2409"/>
  </r>
  <r>
    <x v="80"/>
    <x v="22"/>
    <x v="261"/>
    <x v="47"/>
    <x v="987"/>
    <x v="2410"/>
  </r>
  <r>
    <x v="80"/>
    <x v="11"/>
    <x v="113"/>
    <x v="74"/>
    <x v="9"/>
    <x v="2411"/>
  </r>
  <r>
    <x v="81"/>
    <x v="22"/>
    <x v="310"/>
    <x v="15"/>
    <x v="171"/>
    <x v="2412"/>
  </r>
  <r>
    <x v="81"/>
    <x v="22"/>
    <x v="273"/>
    <x v="45"/>
    <x v="959"/>
    <x v="2413"/>
  </r>
  <r>
    <x v="81"/>
    <x v="17"/>
    <x v="346"/>
    <x v="233"/>
    <x v="875"/>
    <x v="2414"/>
  </r>
  <r>
    <x v="81"/>
    <x v="22"/>
    <x v="258"/>
    <x v="15"/>
    <x v="988"/>
    <x v="2415"/>
  </r>
  <r>
    <x v="81"/>
    <x v="11"/>
    <x v="1045"/>
    <x v="45"/>
    <x v="502"/>
    <x v="2416"/>
  </r>
  <r>
    <x v="81"/>
    <x v="11"/>
    <x v="263"/>
    <x v="45"/>
    <x v="766"/>
    <x v="2417"/>
  </r>
  <r>
    <x v="81"/>
    <x v="11"/>
    <x v="206"/>
    <x v="132"/>
    <x v="305"/>
    <x v="2418"/>
  </r>
  <r>
    <x v="81"/>
    <x v="11"/>
    <x v="1122"/>
    <x v="279"/>
    <x v="117"/>
    <x v="2419"/>
  </r>
  <r>
    <x v="81"/>
    <x v="11"/>
    <x v="459"/>
    <x v="281"/>
    <x v="989"/>
    <x v="2420"/>
  </r>
  <r>
    <x v="81"/>
    <x v="11"/>
    <x v="1123"/>
    <x v="279"/>
    <x v="93"/>
    <x v="2421"/>
  </r>
  <r>
    <x v="81"/>
    <x v="17"/>
    <x v="113"/>
    <x v="45"/>
    <x v="855"/>
    <x v="2422"/>
  </r>
  <r>
    <x v="81"/>
    <x v="22"/>
    <x v="995"/>
    <x v="15"/>
    <x v="195"/>
    <x v="2423"/>
  </r>
  <r>
    <x v="81"/>
    <x v="10"/>
    <x v="7"/>
    <x v="487"/>
    <x v="112"/>
    <x v="2424"/>
  </r>
  <r>
    <x v="81"/>
    <x v="11"/>
    <x v="1124"/>
    <x v="45"/>
    <x v="990"/>
    <x v="2425"/>
  </r>
  <r>
    <x v="81"/>
    <x v="11"/>
    <x v="926"/>
    <x v="3"/>
    <x v="67"/>
    <x v="2426"/>
  </r>
  <r>
    <x v="81"/>
    <x v="11"/>
    <x v="1125"/>
    <x v="154"/>
    <x v="450"/>
    <x v="2427"/>
  </r>
  <r>
    <x v="81"/>
    <x v="13"/>
    <x v="272"/>
    <x v="166"/>
    <x v="400"/>
    <x v="2428"/>
  </r>
  <r>
    <x v="81"/>
    <x v="22"/>
    <x v="227"/>
    <x v="195"/>
    <x v="96"/>
    <x v="2429"/>
  </r>
  <r>
    <x v="81"/>
    <x v="11"/>
    <x v="1126"/>
    <x v="47"/>
    <x v="300"/>
    <x v="2430"/>
  </r>
  <r>
    <x v="81"/>
    <x v="11"/>
    <x v="615"/>
    <x v="103"/>
    <x v="514"/>
    <x v="2431"/>
  </r>
  <r>
    <x v="81"/>
    <x v="11"/>
    <x v="1127"/>
    <x v="103"/>
    <x v="991"/>
    <x v="2432"/>
  </r>
  <r>
    <x v="81"/>
    <x v="11"/>
    <x v="289"/>
    <x v="194"/>
    <x v="992"/>
    <x v="2433"/>
  </r>
  <r>
    <x v="81"/>
    <x v="13"/>
    <x v="177"/>
    <x v="59"/>
    <x v="221"/>
    <x v="2434"/>
  </r>
  <r>
    <x v="81"/>
    <x v="13"/>
    <x v="1128"/>
    <x v="56"/>
    <x v="993"/>
    <x v="2435"/>
  </r>
  <r>
    <x v="81"/>
    <x v="20"/>
    <x v="1129"/>
    <x v="166"/>
    <x v="994"/>
    <x v="2436"/>
  </r>
  <r>
    <x v="82"/>
    <x v="11"/>
    <x v="1130"/>
    <x v="150"/>
    <x v="261"/>
    <x v="2437"/>
  </r>
  <r>
    <x v="83"/>
    <x v="11"/>
    <x v="631"/>
    <x v="148"/>
    <x v="984"/>
    <x v="2438"/>
  </r>
  <r>
    <x v="84"/>
    <x v="20"/>
    <x v="1131"/>
    <x v="47"/>
    <x v="78"/>
    <x v="2439"/>
  </r>
  <r>
    <x v="85"/>
    <x v="11"/>
    <x v="1132"/>
    <x v="280"/>
    <x v="995"/>
    <x v="2440"/>
  </r>
  <r>
    <x v="86"/>
    <x v="48"/>
    <x v="1095"/>
    <x v="334"/>
    <x v="357"/>
    <x v="2441"/>
  </r>
  <r>
    <x v="86"/>
    <x v="11"/>
    <x v="1133"/>
    <x v="334"/>
    <x v="340"/>
    <x v="2442"/>
  </r>
  <r>
    <x v="86"/>
    <x v="48"/>
    <x v="1095"/>
    <x v="131"/>
    <x v="231"/>
    <x v="2443"/>
  </r>
  <r>
    <x v="86"/>
    <x v="11"/>
    <x v="1134"/>
    <x v="3"/>
    <x v="486"/>
    <x v="2444"/>
  </r>
  <r>
    <x v="86"/>
    <x v="48"/>
    <x v="1135"/>
    <x v="334"/>
    <x v="996"/>
    <x v="2445"/>
  </r>
  <r>
    <x v="87"/>
    <x v="1"/>
    <x v="1136"/>
    <x v="50"/>
    <x v="997"/>
    <x v="2446"/>
  </r>
  <r>
    <x v="88"/>
    <x v="2"/>
    <x v="1137"/>
    <x v="15"/>
    <x v="48"/>
    <x v="2447"/>
  </r>
  <r>
    <x v="88"/>
    <x v="3"/>
    <x v="1138"/>
    <x v="286"/>
    <x v="294"/>
    <x v="2448"/>
  </r>
  <r>
    <x v="88"/>
    <x v="3"/>
    <x v="1139"/>
    <x v="334"/>
    <x v="125"/>
    <x v="2449"/>
  </r>
  <r>
    <x v="89"/>
    <x v="9"/>
    <x v="1140"/>
    <x v="488"/>
    <x v="998"/>
    <x v="2450"/>
  </r>
  <r>
    <x v="89"/>
    <x v="7"/>
    <x v="1141"/>
    <x v="334"/>
    <x v="4"/>
    <x v="2451"/>
  </r>
  <r>
    <x v="90"/>
    <x v="5"/>
    <x v="1142"/>
    <x v="489"/>
    <x v="807"/>
    <x v="2452"/>
  </r>
  <r>
    <x v="90"/>
    <x v="5"/>
    <x v="1143"/>
    <x v="490"/>
    <x v="69"/>
    <x v="2453"/>
  </r>
  <r>
    <x v="90"/>
    <x v="5"/>
    <x v="1144"/>
    <x v="491"/>
    <x v="20"/>
    <x v="2454"/>
  </r>
  <r>
    <x v="90"/>
    <x v="5"/>
    <x v="1145"/>
    <x v="106"/>
    <x v="986"/>
    <x v="2455"/>
  </r>
  <r>
    <x v="90"/>
    <x v="5"/>
    <x v="50"/>
    <x v="492"/>
    <x v="999"/>
    <x v="2456"/>
  </r>
  <r>
    <x v="90"/>
    <x v="5"/>
    <x v="1146"/>
    <x v="493"/>
    <x v="85"/>
    <x v="2457"/>
  </r>
  <r>
    <x v="90"/>
    <x v="5"/>
    <x v="1147"/>
    <x v="246"/>
    <x v="555"/>
    <x v="2458"/>
  </r>
  <r>
    <x v="91"/>
    <x v="25"/>
    <x v="218"/>
    <x v="494"/>
    <x v="346"/>
    <x v="2459"/>
  </r>
  <r>
    <x v="92"/>
    <x v="22"/>
    <x v="940"/>
    <x v="148"/>
    <x v="234"/>
    <x v="2460"/>
  </r>
  <r>
    <x v="92"/>
    <x v="22"/>
    <x v="352"/>
    <x v="68"/>
    <x v="38"/>
    <x v="2461"/>
  </r>
  <r>
    <x v="92"/>
    <x v="11"/>
    <x v="968"/>
    <x v="495"/>
    <x v="178"/>
    <x v="2462"/>
  </r>
  <r>
    <x v="93"/>
    <x v="20"/>
    <x v="248"/>
    <x v="156"/>
    <x v="1000"/>
    <x v="2463"/>
  </r>
  <r>
    <x v="93"/>
    <x v="11"/>
    <x v="921"/>
    <x v="47"/>
    <x v="260"/>
    <x v="2464"/>
  </r>
  <r>
    <x v="93"/>
    <x v="22"/>
    <x v="207"/>
    <x v="111"/>
    <x v="766"/>
    <x v="2465"/>
  </r>
  <r>
    <x v="93"/>
    <x v="26"/>
    <x v="568"/>
    <x v="3"/>
    <x v="619"/>
    <x v="2466"/>
  </r>
  <r>
    <x v="93"/>
    <x v="11"/>
    <x v="354"/>
    <x v="142"/>
    <x v="1001"/>
    <x v="2467"/>
  </r>
  <r>
    <x v="93"/>
    <x v="22"/>
    <x v="268"/>
    <x v="15"/>
    <x v="103"/>
    <x v="2468"/>
  </r>
  <r>
    <x v="93"/>
    <x v="22"/>
    <x v="833"/>
    <x v="47"/>
    <x v="40"/>
    <x v="2469"/>
  </r>
  <r>
    <x v="93"/>
    <x v="22"/>
    <x v="940"/>
    <x v="171"/>
    <x v="509"/>
    <x v="2470"/>
  </r>
  <r>
    <x v="93"/>
    <x v="22"/>
    <x v="937"/>
    <x v="288"/>
    <x v="308"/>
    <x v="2471"/>
  </r>
  <r>
    <x v="93"/>
    <x v="11"/>
    <x v="454"/>
    <x v="111"/>
    <x v="796"/>
    <x v="2472"/>
  </r>
  <r>
    <x v="93"/>
    <x v="17"/>
    <x v="631"/>
    <x v="3"/>
    <x v="400"/>
    <x v="2473"/>
  </r>
  <r>
    <x v="93"/>
    <x v="22"/>
    <x v="1148"/>
    <x v="15"/>
    <x v="1002"/>
    <x v="2474"/>
  </r>
  <r>
    <x v="93"/>
    <x v="22"/>
    <x v="7"/>
    <x v="103"/>
    <x v="1003"/>
    <x v="2475"/>
  </r>
  <r>
    <x v="93"/>
    <x v="11"/>
    <x v="431"/>
    <x v="103"/>
    <x v="1004"/>
    <x v="2476"/>
  </r>
  <r>
    <x v="93"/>
    <x v="11"/>
    <x v="1045"/>
    <x v="447"/>
    <x v="1005"/>
    <x v="2477"/>
  </r>
  <r>
    <x v="94"/>
    <x v="11"/>
    <x v="355"/>
    <x v="86"/>
    <x v="640"/>
    <x v="2478"/>
  </r>
  <r>
    <x v="95"/>
    <x v="16"/>
    <x v="166"/>
    <x v="47"/>
    <x v="1006"/>
    <x v="2479"/>
  </r>
  <r>
    <x v="95"/>
    <x v="13"/>
    <x v="402"/>
    <x v="47"/>
    <x v="534"/>
    <x v="2480"/>
  </r>
  <r>
    <x v="95"/>
    <x v="21"/>
    <x v="840"/>
    <x v="156"/>
    <x v="434"/>
    <x v="2481"/>
  </r>
  <r>
    <x v="95"/>
    <x v="13"/>
    <x v="1149"/>
    <x v="166"/>
    <x v="250"/>
    <x v="2482"/>
  </r>
  <r>
    <x v="96"/>
    <x v="12"/>
    <x v="599"/>
    <x v="143"/>
    <x v="515"/>
    <x v="2483"/>
  </r>
  <r>
    <x v="96"/>
    <x v="11"/>
    <x v="491"/>
    <x v="171"/>
    <x v="254"/>
    <x v="2484"/>
  </r>
  <r>
    <x v="96"/>
    <x v="12"/>
    <x v="176"/>
    <x v="97"/>
    <x v="364"/>
    <x v="2485"/>
  </r>
  <r>
    <x v="96"/>
    <x v="12"/>
    <x v="284"/>
    <x v="97"/>
    <x v="90"/>
    <x v="2486"/>
  </r>
  <r>
    <x v="96"/>
    <x v="12"/>
    <x v="245"/>
    <x v="163"/>
    <x v="527"/>
    <x v="2487"/>
  </r>
  <r>
    <x v="96"/>
    <x v="11"/>
    <x v="732"/>
    <x v="103"/>
    <x v="703"/>
    <x v="2488"/>
  </r>
  <r>
    <x v="96"/>
    <x v="12"/>
    <x v="680"/>
    <x v="239"/>
    <x v="638"/>
    <x v="2489"/>
  </r>
  <r>
    <x v="96"/>
    <x v="11"/>
    <x v="1150"/>
    <x v="138"/>
    <x v="160"/>
    <x v="2490"/>
  </r>
  <r>
    <x v="96"/>
    <x v="12"/>
    <x v="973"/>
    <x v="11"/>
    <x v="755"/>
    <x v="2491"/>
  </r>
  <r>
    <x v="96"/>
    <x v="22"/>
    <x v="853"/>
    <x v="171"/>
    <x v="889"/>
    <x v="2492"/>
  </r>
  <r>
    <x v="96"/>
    <x v="12"/>
    <x v="276"/>
    <x v="160"/>
    <x v="76"/>
    <x v="2493"/>
  </r>
  <r>
    <x v="96"/>
    <x v="23"/>
    <x v="1151"/>
    <x v="47"/>
    <x v="1007"/>
    <x v="2494"/>
  </r>
  <r>
    <x v="96"/>
    <x v="11"/>
    <x v="1152"/>
    <x v="148"/>
    <x v="168"/>
    <x v="2495"/>
  </r>
  <r>
    <x v="96"/>
    <x v="23"/>
    <x v="1153"/>
    <x v="296"/>
    <x v="955"/>
    <x v="2496"/>
  </r>
  <r>
    <x v="96"/>
    <x v="23"/>
    <x v="1027"/>
    <x v="496"/>
    <x v="1008"/>
    <x v="2497"/>
  </r>
  <r>
    <x v="96"/>
    <x v="11"/>
    <x v="688"/>
    <x v="105"/>
    <x v="1009"/>
    <x v="2498"/>
  </r>
  <r>
    <x v="97"/>
    <x v="23"/>
    <x v="630"/>
    <x v="45"/>
    <x v="355"/>
    <x v="2499"/>
  </r>
  <r>
    <x v="97"/>
    <x v="22"/>
    <x v="1154"/>
    <x v="152"/>
    <x v="1010"/>
    <x v="2500"/>
  </r>
  <r>
    <x v="97"/>
    <x v="11"/>
    <x v="166"/>
    <x v="233"/>
    <x v="1011"/>
    <x v="2501"/>
  </r>
  <r>
    <x v="97"/>
    <x v="11"/>
    <x v="1155"/>
    <x v="140"/>
    <x v="1012"/>
    <x v="2502"/>
  </r>
  <r>
    <x v="97"/>
    <x v="13"/>
    <x v="17"/>
    <x v="144"/>
    <x v="618"/>
    <x v="2503"/>
  </r>
  <r>
    <x v="97"/>
    <x v="12"/>
    <x v="236"/>
    <x v="97"/>
    <x v="684"/>
    <x v="2504"/>
  </r>
  <r>
    <x v="97"/>
    <x v="11"/>
    <x v="229"/>
    <x v="363"/>
    <x v="789"/>
    <x v="2505"/>
  </r>
  <r>
    <x v="97"/>
    <x v="11"/>
    <x v="208"/>
    <x v="497"/>
    <x v="169"/>
    <x v="2506"/>
  </r>
  <r>
    <x v="97"/>
    <x v="26"/>
    <x v="56"/>
    <x v="105"/>
    <x v="119"/>
    <x v="2507"/>
  </r>
  <r>
    <x v="97"/>
    <x v="11"/>
    <x v="1156"/>
    <x v="134"/>
    <x v="167"/>
    <x v="2508"/>
  </r>
  <r>
    <x v="97"/>
    <x v="22"/>
    <x v="992"/>
    <x v="180"/>
    <x v="77"/>
    <x v="2509"/>
  </r>
  <r>
    <x v="97"/>
    <x v="11"/>
    <x v="377"/>
    <x v="140"/>
    <x v="1013"/>
    <x v="2510"/>
  </r>
  <r>
    <x v="97"/>
    <x v="13"/>
    <x v="283"/>
    <x v="150"/>
    <x v="615"/>
    <x v="2511"/>
  </r>
  <r>
    <x v="97"/>
    <x v="11"/>
    <x v="56"/>
    <x v="138"/>
    <x v="177"/>
    <x v="2512"/>
  </r>
  <r>
    <x v="97"/>
    <x v="21"/>
    <x v="968"/>
    <x v="162"/>
    <x v="834"/>
    <x v="2513"/>
  </r>
  <r>
    <x v="97"/>
    <x v="11"/>
    <x v="216"/>
    <x v="103"/>
    <x v="399"/>
    <x v="2514"/>
  </r>
  <r>
    <x v="97"/>
    <x v="22"/>
    <x v="1157"/>
    <x v="144"/>
    <x v="1014"/>
    <x v="2515"/>
  </r>
  <r>
    <x v="97"/>
    <x v="11"/>
    <x v="1158"/>
    <x v="171"/>
    <x v="682"/>
    <x v="2516"/>
  </r>
  <r>
    <x v="97"/>
    <x v="11"/>
    <x v="764"/>
    <x v="131"/>
    <x v="154"/>
    <x v="2517"/>
  </r>
  <r>
    <x v="97"/>
    <x v="22"/>
    <x v="1159"/>
    <x v="257"/>
    <x v="639"/>
    <x v="2518"/>
  </r>
  <r>
    <x v="97"/>
    <x v="11"/>
    <x v="1160"/>
    <x v="15"/>
    <x v="1015"/>
    <x v="2519"/>
  </r>
  <r>
    <x v="98"/>
    <x v="11"/>
    <x v="1161"/>
    <x v="47"/>
    <x v="47"/>
    <x v="2520"/>
  </r>
  <r>
    <x v="98"/>
    <x v="11"/>
    <x v="454"/>
    <x v="363"/>
    <x v="397"/>
    <x v="2521"/>
  </r>
  <r>
    <x v="98"/>
    <x v="17"/>
    <x v="1162"/>
    <x v="498"/>
    <x v="175"/>
    <x v="2522"/>
  </r>
  <r>
    <x v="98"/>
    <x v="11"/>
    <x v="147"/>
    <x v="162"/>
    <x v="48"/>
    <x v="2523"/>
  </r>
  <r>
    <x v="98"/>
    <x v="21"/>
    <x v="206"/>
    <x v="7"/>
    <x v="293"/>
    <x v="2524"/>
  </r>
  <r>
    <x v="98"/>
    <x v="22"/>
    <x v="368"/>
    <x v="47"/>
    <x v="185"/>
    <x v="2525"/>
  </r>
  <r>
    <x v="99"/>
    <x v="11"/>
    <x v="1163"/>
    <x v="499"/>
    <x v="84"/>
    <x v="2526"/>
  </r>
  <r>
    <x v="100"/>
    <x v="11"/>
    <x v="226"/>
    <x v="103"/>
    <x v="596"/>
    <x v="2527"/>
  </r>
  <r>
    <x v="100"/>
    <x v="22"/>
    <x v="996"/>
    <x v="138"/>
    <x v="1016"/>
    <x v="2528"/>
  </r>
  <r>
    <x v="100"/>
    <x v="22"/>
    <x v="1147"/>
    <x v="500"/>
    <x v="1017"/>
    <x v="2529"/>
  </r>
  <r>
    <x v="101"/>
    <x v="5"/>
    <x v="1164"/>
    <x v="50"/>
    <x v="128"/>
    <x v="2530"/>
  </r>
  <r>
    <x v="101"/>
    <x v="5"/>
    <x v="1165"/>
    <x v="9"/>
    <x v="308"/>
    <x v="2531"/>
  </r>
  <r>
    <x v="101"/>
    <x v="1"/>
    <x v="353"/>
    <x v="501"/>
    <x v="7"/>
    <x v="2532"/>
  </r>
  <r>
    <x v="101"/>
    <x v="3"/>
    <x v="1166"/>
    <x v="71"/>
    <x v="318"/>
    <x v="2533"/>
  </r>
  <r>
    <x v="102"/>
    <x v="1"/>
    <x v="1167"/>
    <x v="4"/>
    <x v="425"/>
    <x v="2534"/>
  </r>
  <r>
    <x v="102"/>
    <x v="0"/>
    <x v="1168"/>
    <x v="55"/>
    <x v="319"/>
    <x v="2535"/>
  </r>
  <r>
    <x v="102"/>
    <x v="0"/>
    <x v="1169"/>
    <x v="502"/>
    <x v="318"/>
    <x v="2536"/>
  </r>
  <r>
    <x v="102"/>
    <x v="5"/>
    <x v="1170"/>
    <x v="503"/>
    <x v="186"/>
    <x v="2537"/>
  </r>
  <r>
    <x v="102"/>
    <x v="7"/>
    <x v="1171"/>
    <x v="504"/>
    <x v="682"/>
    <x v="2538"/>
  </r>
  <r>
    <x v="103"/>
    <x v="11"/>
    <x v="664"/>
    <x v="150"/>
    <x v="159"/>
    <x v="2539"/>
  </r>
  <r>
    <x v="103"/>
    <x v="13"/>
    <x v="1095"/>
    <x v="105"/>
    <x v="364"/>
    <x v="2540"/>
  </r>
  <r>
    <x v="103"/>
    <x v="1"/>
    <x v="668"/>
    <x v="47"/>
    <x v="1018"/>
    <x v="2541"/>
  </r>
  <r>
    <x v="103"/>
    <x v="1"/>
    <x v="216"/>
    <x v="15"/>
    <x v="1019"/>
    <x v="2542"/>
  </r>
  <r>
    <x v="103"/>
    <x v="21"/>
    <x v="1172"/>
    <x v="166"/>
    <x v="413"/>
    <x v="2543"/>
  </r>
  <r>
    <x v="103"/>
    <x v="4"/>
    <x v="1173"/>
    <x v="256"/>
    <x v="1020"/>
    <x v="2544"/>
  </r>
  <r>
    <x v="103"/>
    <x v="11"/>
    <x v="1174"/>
    <x v="334"/>
    <x v="1021"/>
    <x v="2545"/>
  </r>
  <r>
    <x v="103"/>
    <x v="1"/>
    <x v="1175"/>
    <x v="131"/>
    <x v="348"/>
    <x v="2546"/>
  </r>
  <r>
    <x v="103"/>
    <x v="4"/>
    <x v="1176"/>
    <x v="15"/>
    <x v="228"/>
    <x v="2547"/>
  </r>
  <r>
    <x v="104"/>
    <x v="0"/>
    <x v="1177"/>
    <x v="334"/>
    <x v="135"/>
    <x v="2548"/>
  </r>
  <r>
    <x v="105"/>
    <x v="13"/>
    <x v="1178"/>
    <x v="224"/>
    <x v="970"/>
    <x v="2549"/>
  </r>
  <r>
    <x v="105"/>
    <x v="13"/>
    <x v="179"/>
    <x v="505"/>
    <x v="542"/>
    <x v="2550"/>
  </r>
  <r>
    <x v="105"/>
    <x v="17"/>
    <x v="1179"/>
    <x v="233"/>
    <x v="74"/>
    <x v="2551"/>
  </r>
  <r>
    <x v="105"/>
    <x v="26"/>
    <x v="557"/>
    <x v="45"/>
    <x v="117"/>
    <x v="2552"/>
  </r>
  <r>
    <x v="105"/>
    <x v="22"/>
    <x v="632"/>
    <x v="280"/>
    <x v="1022"/>
    <x v="2553"/>
  </r>
  <r>
    <x v="105"/>
    <x v="22"/>
    <x v="1180"/>
    <x v="233"/>
    <x v="202"/>
    <x v="2554"/>
  </r>
  <r>
    <x v="105"/>
    <x v="13"/>
    <x v="1181"/>
    <x v="15"/>
    <x v="400"/>
    <x v="2555"/>
  </r>
  <r>
    <x v="105"/>
    <x v="13"/>
    <x v="667"/>
    <x v="224"/>
    <x v="537"/>
    <x v="2556"/>
  </r>
  <r>
    <x v="105"/>
    <x v="13"/>
    <x v="1182"/>
    <x v="47"/>
    <x v="538"/>
    <x v="2557"/>
  </r>
  <r>
    <x v="105"/>
    <x v="13"/>
    <x v="1178"/>
    <x v="134"/>
    <x v="94"/>
    <x v="2558"/>
  </r>
  <r>
    <x v="105"/>
    <x v="22"/>
    <x v="217"/>
    <x v="290"/>
    <x v="31"/>
    <x v="2559"/>
  </r>
  <r>
    <x v="105"/>
    <x v="13"/>
    <x v="210"/>
    <x v="293"/>
    <x v="176"/>
    <x v="2560"/>
  </r>
  <r>
    <x v="105"/>
    <x v="11"/>
    <x v="166"/>
    <x v="144"/>
    <x v="832"/>
    <x v="2561"/>
  </r>
  <r>
    <x v="105"/>
    <x v="22"/>
    <x v="294"/>
    <x v="15"/>
    <x v="506"/>
    <x v="2562"/>
  </r>
  <r>
    <x v="105"/>
    <x v="13"/>
    <x v="557"/>
    <x v="317"/>
    <x v="41"/>
    <x v="2563"/>
  </r>
  <r>
    <x v="105"/>
    <x v="11"/>
    <x v="1183"/>
    <x v="132"/>
    <x v="67"/>
    <x v="2564"/>
  </r>
  <r>
    <x v="105"/>
    <x v="13"/>
    <x v="493"/>
    <x v="154"/>
    <x v="1023"/>
    <x v="2565"/>
  </r>
  <r>
    <x v="105"/>
    <x v="11"/>
    <x v="1037"/>
    <x v="154"/>
    <x v="976"/>
    <x v="2566"/>
  </r>
  <r>
    <x v="105"/>
    <x v="22"/>
    <x v="183"/>
    <x v="115"/>
    <x v="271"/>
    <x v="2567"/>
  </r>
  <r>
    <x v="105"/>
    <x v="22"/>
    <x v="931"/>
    <x v="15"/>
    <x v="0"/>
    <x v="2568"/>
  </r>
  <r>
    <x v="105"/>
    <x v="11"/>
    <x v="290"/>
    <x v="144"/>
    <x v="201"/>
    <x v="2569"/>
  </r>
  <r>
    <x v="105"/>
    <x v="11"/>
    <x v="1184"/>
    <x v="47"/>
    <x v="121"/>
    <x v="2570"/>
  </r>
  <r>
    <x v="105"/>
    <x v="13"/>
    <x v="1185"/>
    <x v="45"/>
    <x v="455"/>
    <x v="2571"/>
  </r>
  <r>
    <x v="105"/>
    <x v="11"/>
    <x v="1186"/>
    <x v="47"/>
    <x v="178"/>
    <x v="2572"/>
  </r>
  <r>
    <x v="105"/>
    <x v="22"/>
    <x v="169"/>
    <x v="154"/>
    <x v="276"/>
    <x v="2573"/>
  </r>
  <r>
    <x v="105"/>
    <x v="11"/>
    <x v="177"/>
    <x v="154"/>
    <x v="871"/>
    <x v="2574"/>
  </r>
  <r>
    <x v="105"/>
    <x v="11"/>
    <x v="290"/>
    <x v="134"/>
    <x v="768"/>
    <x v="2575"/>
  </r>
  <r>
    <x v="105"/>
    <x v="11"/>
    <x v="1062"/>
    <x v="506"/>
    <x v="674"/>
    <x v="2576"/>
  </r>
  <r>
    <x v="105"/>
    <x v="11"/>
    <x v="225"/>
    <x v="507"/>
    <x v="1024"/>
    <x v="2577"/>
  </r>
  <r>
    <x v="105"/>
    <x v="11"/>
    <x v="166"/>
    <x v="508"/>
    <x v="182"/>
    <x v="2578"/>
  </r>
  <r>
    <x v="105"/>
    <x v="11"/>
    <x v="225"/>
    <x v="47"/>
    <x v="100"/>
    <x v="2579"/>
  </r>
  <r>
    <x v="105"/>
    <x v="13"/>
    <x v="186"/>
    <x v="180"/>
    <x v="430"/>
    <x v="2580"/>
  </r>
  <r>
    <x v="105"/>
    <x v="13"/>
    <x v="198"/>
    <x v="152"/>
    <x v="734"/>
    <x v="2581"/>
  </r>
  <r>
    <x v="105"/>
    <x v="11"/>
    <x v="667"/>
    <x v="134"/>
    <x v="133"/>
    <x v="2582"/>
  </r>
  <r>
    <x v="105"/>
    <x v="13"/>
    <x v="193"/>
    <x v="180"/>
    <x v="271"/>
    <x v="2583"/>
  </r>
  <r>
    <x v="105"/>
    <x v="21"/>
    <x v="1187"/>
    <x v="509"/>
    <x v="709"/>
    <x v="2584"/>
  </r>
  <r>
    <x v="105"/>
    <x v="11"/>
    <x v="557"/>
    <x v="295"/>
    <x v="6"/>
    <x v="2585"/>
  </r>
  <r>
    <x v="105"/>
    <x v="11"/>
    <x v="232"/>
    <x v="162"/>
    <x v="75"/>
    <x v="2586"/>
  </r>
  <r>
    <x v="105"/>
    <x v="21"/>
    <x v="1188"/>
    <x v="103"/>
    <x v="115"/>
    <x v="2587"/>
  </r>
  <r>
    <x v="105"/>
    <x v="22"/>
    <x v="872"/>
    <x v="103"/>
    <x v="67"/>
    <x v="2588"/>
  </r>
  <r>
    <x v="105"/>
    <x v="22"/>
    <x v="1189"/>
    <x v="158"/>
    <x v="239"/>
    <x v="2589"/>
  </r>
  <r>
    <x v="105"/>
    <x v="11"/>
    <x v="183"/>
    <x v="103"/>
    <x v="66"/>
    <x v="2590"/>
  </r>
  <r>
    <x v="105"/>
    <x v="13"/>
    <x v="217"/>
    <x v="3"/>
    <x v="434"/>
    <x v="2591"/>
  </r>
  <r>
    <x v="105"/>
    <x v="22"/>
    <x v="279"/>
    <x v="510"/>
    <x v="607"/>
    <x v="2592"/>
  </r>
  <r>
    <x v="105"/>
    <x v="11"/>
    <x v="1190"/>
    <x v="144"/>
    <x v="51"/>
    <x v="2593"/>
  </r>
  <r>
    <x v="105"/>
    <x v="13"/>
    <x v="206"/>
    <x v="511"/>
    <x v="51"/>
    <x v="2594"/>
  </r>
  <r>
    <x v="105"/>
    <x v="13"/>
    <x v="1191"/>
    <x v="162"/>
    <x v="1025"/>
    <x v="2595"/>
  </r>
  <r>
    <x v="105"/>
    <x v="11"/>
    <x v="828"/>
    <x v="512"/>
    <x v="1026"/>
    <x v="2596"/>
  </r>
  <r>
    <x v="105"/>
    <x v="11"/>
    <x v="1192"/>
    <x v="138"/>
    <x v="514"/>
    <x v="2597"/>
  </r>
  <r>
    <x v="105"/>
    <x v="11"/>
    <x v="892"/>
    <x v="134"/>
    <x v="1027"/>
    <x v="2598"/>
  </r>
  <r>
    <x v="105"/>
    <x v="22"/>
    <x v="828"/>
    <x v="508"/>
    <x v="1028"/>
    <x v="2599"/>
  </r>
  <r>
    <x v="105"/>
    <x v="22"/>
    <x v="1188"/>
    <x v="78"/>
    <x v="276"/>
    <x v="2600"/>
  </r>
  <r>
    <x v="105"/>
    <x v="13"/>
    <x v="226"/>
    <x v="105"/>
    <x v="112"/>
    <x v="2601"/>
  </r>
  <r>
    <x v="105"/>
    <x v="11"/>
    <x v="1193"/>
    <x v="97"/>
    <x v="24"/>
    <x v="2602"/>
  </r>
  <r>
    <x v="105"/>
    <x v="11"/>
    <x v="178"/>
    <x v="140"/>
    <x v="1029"/>
    <x v="2603"/>
  </r>
  <r>
    <x v="105"/>
    <x v="13"/>
    <x v="600"/>
    <x v="97"/>
    <x v="439"/>
    <x v="2604"/>
  </r>
  <r>
    <x v="105"/>
    <x v="13"/>
    <x v="557"/>
    <x v="103"/>
    <x v="1030"/>
    <x v="2605"/>
  </r>
  <r>
    <x v="105"/>
    <x v="11"/>
    <x v="1194"/>
    <x v="195"/>
    <x v="389"/>
    <x v="2606"/>
  </r>
  <r>
    <x v="105"/>
    <x v="11"/>
    <x v="189"/>
    <x v="78"/>
    <x v="211"/>
    <x v="2607"/>
  </r>
  <r>
    <x v="105"/>
    <x v="11"/>
    <x v="1195"/>
    <x v="148"/>
    <x v="1031"/>
    <x v="2608"/>
  </r>
  <r>
    <x v="106"/>
    <x v="11"/>
    <x v="345"/>
    <x v="47"/>
    <x v="529"/>
    <x v="2609"/>
  </r>
  <r>
    <x v="106"/>
    <x v="11"/>
    <x v="1196"/>
    <x v="103"/>
    <x v="362"/>
    <x v="2610"/>
  </r>
  <r>
    <x v="106"/>
    <x v="60"/>
    <x v="853"/>
    <x v="3"/>
    <x v="1032"/>
    <x v="2611"/>
  </r>
  <r>
    <x v="107"/>
    <x v="22"/>
    <x v="152"/>
    <x v="138"/>
    <x v="379"/>
    <x v="2612"/>
  </r>
  <r>
    <x v="107"/>
    <x v="11"/>
    <x v="7"/>
    <x v="3"/>
    <x v="33"/>
    <x v="2613"/>
  </r>
  <r>
    <x v="107"/>
    <x v="11"/>
    <x v="205"/>
    <x v="139"/>
    <x v="627"/>
    <x v="2614"/>
  </r>
  <r>
    <x v="107"/>
    <x v="22"/>
    <x v="402"/>
    <x v="168"/>
    <x v="318"/>
    <x v="2615"/>
  </r>
  <r>
    <x v="107"/>
    <x v="11"/>
    <x v="198"/>
    <x v="173"/>
    <x v="260"/>
    <x v="2616"/>
  </r>
  <r>
    <x v="107"/>
    <x v="17"/>
    <x v="1197"/>
    <x v="103"/>
    <x v="514"/>
    <x v="2617"/>
  </r>
  <r>
    <x v="107"/>
    <x v="22"/>
    <x v="760"/>
    <x v="103"/>
    <x v="57"/>
    <x v="2618"/>
  </r>
  <r>
    <x v="107"/>
    <x v="22"/>
    <x v="1097"/>
    <x v="134"/>
    <x v="95"/>
    <x v="2619"/>
  </r>
  <r>
    <x v="107"/>
    <x v="17"/>
    <x v="1198"/>
    <x v="180"/>
    <x v="175"/>
    <x v="2620"/>
  </r>
  <r>
    <x v="108"/>
    <x v="1"/>
    <x v="1199"/>
    <x v="513"/>
    <x v="1033"/>
    <x v="2621"/>
  </r>
  <r>
    <x v="108"/>
    <x v="1"/>
    <x v="1200"/>
    <x v="284"/>
    <x v="1034"/>
    <x v="2622"/>
  </r>
  <r>
    <x v="109"/>
    <x v="61"/>
    <x v="309"/>
    <x v="514"/>
    <x v="282"/>
    <x v="2623"/>
  </r>
  <r>
    <x v="109"/>
    <x v="1"/>
    <x v="1201"/>
    <x v="103"/>
    <x v="960"/>
    <x v="2624"/>
  </r>
  <r>
    <x v="109"/>
    <x v="1"/>
    <x v="1202"/>
    <x v="15"/>
    <x v="318"/>
    <x v="2625"/>
  </r>
  <r>
    <x v="109"/>
    <x v="1"/>
    <x v="1203"/>
    <x v="158"/>
    <x v="274"/>
    <x v="2626"/>
  </r>
  <r>
    <x v="109"/>
    <x v="1"/>
    <x v="1204"/>
    <x v="75"/>
    <x v="79"/>
    <x v="2627"/>
  </r>
  <r>
    <x v="110"/>
    <x v="1"/>
    <x v="356"/>
    <x v="515"/>
    <x v="473"/>
    <x v="2628"/>
  </r>
  <r>
    <x v="110"/>
    <x v="7"/>
    <x v="1205"/>
    <x v="20"/>
    <x v="801"/>
    <x v="2629"/>
  </r>
  <r>
    <x v="110"/>
    <x v="3"/>
    <x v="1206"/>
    <x v="152"/>
    <x v="787"/>
    <x v="2630"/>
  </r>
  <r>
    <x v="110"/>
    <x v="1"/>
    <x v="1207"/>
    <x v="516"/>
    <x v="446"/>
    <x v="2631"/>
  </r>
  <r>
    <x v="111"/>
    <x v="9"/>
    <x v="152"/>
    <x v="334"/>
    <x v="1035"/>
    <x v="26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数据透视表1" cacheId="0" applyNumberFormats="0" applyBorderFormats="0" applyFontFormats="0" applyPatternFormats="0" applyAlignmentFormats="0" applyWidthHeightFormats="1" dataCaption="值" updatedVersion="5" minRefreshableVersion="3" useAutoFormatting="1" createdVersion="5" indent="0" compact="0" outline="1" outlineData="1" compactData="0" multipleFieldFilters="0">
  <location ref="A1:B114" firstHeaderRow="1" firstDataRow="1" firstDataCol="1"/>
  <pivotFields count="6">
    <pivotField axis="axisRow" compact="0" showAll="0">
      <items count="1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t="default"/>
      </items>
    </pivotField>
    <pivotField compact="0" showAll="0">
      <items count="63">
        <item x="14"/>
        <item x="10"/>
        <item x="12"/>
        <item x="42"/>
        <item x="41"/>
        <item x="43"/>
        <item x="15"/>
        <item x="19"/>
        <item x="49"/>
        <item x="45"/>
        <item x="16"/>
        <item x="20"/>
        <item x="23"/>
        <item x="18"/>
        <item x="57"/>
        <item x="55"/>
        <item x="59"/>
        <item x="25"/>
        <item x="22"/>
        <item x="11"/>
        <item x="17"/>
        <item x="48"/>
        <item x="50"/>
        <item x="51"/>
        <item x="58"/>
        <item x="44"/>
        <item x="47"/>
        <item x="26"/>
        <item x="13"/>
        <item x="21"/>
        <item x="24"/>
        <item x="52"/>
        <item x="37"/>
        <item x="60"/>
        <item x="56"/>
        <item x="27"/>
        <item x="30"/>
        <item x="32"/>
        <item x="36"/>
        <item x="4"/>
        <item x="8"/>
        <item x="34"/>
        <item x="29"/>
        <item x="61"/>
        <item x="2"/>
        <item x="1"/>
        <item x="35"/>
        <item x="0"/>
        <item x="7"/>
        <item x="5"/>
        <item x="3"/>
        <item x="31"/>
        <item x="38"/>
        <item x="33"/>
        <item x="54"/>
        <item x="53"/>
        <item x="28"/>
        <item x="39"/>
        <item x="46"/>
        <item x="6"/>
        <item x="40"/>
        <item x="9"/>
        <item t="default"/>
      </items>
    </pivotField>
    <pivotField compact="0" showAll="0">
      <items count="1209">
        <item x="170"/>
        <item x="540"/>
        <item x="476"/>
        <item x="494"/>
        <item x="1178"/>
        <item x="233"/>
        <item x="199"/>
        <item x="179"/>
        <item x="400"/>
        <item x="187"/>
        <item x="548"/>
        <item x="541"/>
        <item x="212"/>
        <item x="544"/>
        <item x="547"/>
        <item x="167"/>
        <item x="171"/>
        <item x="560"/>
        <item x="569"/>
        <item x="573"/>
        <item x="191"/>
        <item x="473"/>
        <item x="539"/>
        <item x="546"/>
        <item x="180"/>
        <item x="536"/>
        <item x="542"/>
        <item x="553"/>
        <item x="575"/>
        <item x="538"/>
        <item x="549"/>
        <item x="175"/>
        <item x="535"/>
        <item x="534"/>
        <item x="168"/>
        <item x="740"/>
        <item x="427"/>
        <item x="558"/>
        <item x="1155"/>
        <item x="555"/>
        <item x="543"/>
        <item x="589"/>
        <item x="722"/>
        <item x="591"/>
        <item x="185"/>
        <item x="401"/>
        <item x="554"/>
        <item x="712"/>
        <item x="1181"/>
        <item x="741"/>
        <item x="552"/>
        <item x="706"/>
        <item x="1180"/>
        <item x="742"/>
        <item x="1182"/>
        <item x="472"/>
        <item x="592"/>
        <item x="710"/>
        <item x="255"/>
        <item x="618"/>
        <item x="1150"/>
        <item x="493"/>
        <item x="663"/>
        <item x="709"/>
        <item x="344"/>
        <item x="491"/>
        <item x="550"/>
        <item x="561"/>
        <item x="556"/>
        <item x="1179"/>
        <item x="492"/>
        <item x="572"/>
        <item x="197"/>
        <item x="1188"/>
        <item x="713"/>
        <item x="551"/>
        <item x="570"/>
        <item x="577"/>
        <item x="508"/>
        <item x="1184"/>
        <item x="1192"/>
        <item x="1050"/>
        <item x="1191"/>
        <item x="490"/>
        <item x="959"/>
        <item x="579"/>
        <item x="872"/>
        <item x="279"/>
        <item x="562"/>
        <item x="287"/>
        <item x="574"/>
        <item x="557"/>
        <item x="173"/>
        <item x="667"/>
        <item x="1042"/>
        <item x="1092"/>
        <item x="1040"/>
        <item x="511"/>
        <item x="347"/>
        <item x="653"/>
        <item x="732"/>
        <item x="601"/>
        <item x="1183"/>
        <item x="877"/>
        <item x="1053"/>
        <item x="568"/>
        <item x="196"/>
        <item x="470"/>
        <item x="598"/>
        <item x="875"/>
        <item x="308"/>
        <item x="583"/>
        <item x="677"/>
        <item x="604"/>
        <item x="1039"/>
        <item x="354"/>
        <item x="940"/>
        <item x="231"/>
        <item x="252"/>
        <item x="714"/>
        <item x="545"/>
        <item x="873"/>
        <item x="622"/>
        <item x="571"/>
        <item x="1083"/>
        <item x="188"/>
        <item x="210"/>
        <item x="372"/>
        <item x="723"/>
        <item x="194"/>
        <item x="839"/>
        <item x="162"/>
        <item x="924"/>
        <item x="566"/>
        <item x="829"/>
        <item x="202"/>
        <item x="215"/>
        <item x="904"/>
        <item x="1087"/>
        <item x="871"/>
        <item x="1041"/>
        <item x="830"/>
        <item x="946"/>
        <item x="328"/>
        <item x="429"/>
        <item x="182"/>
        <item x="910"/>
        <item x="821"/>
        <item x="576"/>
        <item x="902"/>
        <item x="894"/>
        <item x="200"/>
        <item x="565"/>
        <item x="578"/>
        <item x="563"/>
        <item x="207"/>
        <item x="259"/>
        <item x="593"/>
        <item x="672"/>
        <item x="1058"/>
        <item x="923"/>
        <item x="605"/>
        <item x="889"/>
        <item x="954"/>
        <item x="559"/>
        <item x="209"/>
        <item x="271"/>
        <item x="208"/>
        <item x="190"/>
        <item x="428"/>
        <item x="737"/>
        <item x="580"/>
        <item x="612"/>
        <item x="241"/>
        <item x="630"/>
        <item x="1051"/>
        <item x="884"/>
        <item x="1161"/>
        <item x="451"/>
        <item x="218"/>
        <item x="666"/>
        <item x="885"/>
        <item x="878"/>
        <item x="887"/>
        <item x="905"/>
        <item x="724"/>
        <item x="403"/>
        <item x="917"/>
        <item x="217"/>
        <item x="201"/>
        <item x="716"/>
        <item x="245"/>
        <item x="192"/>
        <item x="876"/>
        <item x="1055"/>
        <item x="920"/>
        <item x="219"/>
        <item x="880"/>
        <item x="828"/>
        <item x="658"/>
        <item x="166"/>
        <item x="584"/>
        <item x="599"/>
        <item x="1193"/>
        <item x="888"/>
        <item x="657"/>
        <item x="607"/>
        <item x="564"/>
        <item x="290"/>
        <item x="707"/>
        <item x="1091"/>
        <item x="204"/>
        <item x="835"/>
        <item x="183"/>
        <item x="237"/>
        <item x="193"/>
        <item x="172"/>
        <item x="909"/>
        <item x="953"/>
        <item x="837"/>
        <item x="169"/>
        <item x="985"/>
        <item x="832"/>
        <item x="474"/>
        <item x="266"/>
        <item x="1074"/>
        <item x="205"/>
        <item x="178"/>
        <item x="225"/>
        <item x="936"/>
        <item x="537"/>
        <item x="692"/>
        <item x="745"/>
        <item x="626"/>
        <item x="1186"/>
        <item x="1154"/>
        <item x="718"/>
        <item x="232"/>
        <item x="294"/>
        <item x="186"/>
        <item x="644"/>
        <item x="1185"/>
        <item x="931"/>
        <item x="455"/>
        <item x="274"/>
        <item x="625"/>
        <item x="1037"/>
        <item x="632"/>
        <item x="238"/>
        <item x="600"/>
        <item x="617"/>
        <item x="665"/>
        <item x="608"/>
        <item x="638"/>
        <item x="240"/>
        <item x="310"/>
        <item x="302"/>
        <item x="206"/>
        <item x="725"/>
        <item x="595"/>
        <item x="668"/>
        <item x="853"/>
        <item x="346"/>
        <item x="471"/>
        <item x="634"/>
        <item x="691"/>
        <item x="743"/>
        <item x="1152"/>
        <item x="640"/>
        <item x="892"/>
        <item x="588"/>
        <item x="911"/>
        <item x="637"/>
        <item x="594"/>
        <item x="957"/>
        <item x="659"/>
        <item x="228"/>
        <item x="621"/>
        <item x="619"/>
        <item x="614"/>
        <item x="1072"/>
        <item x="526"/>
        <item x="1117"/>
        <item x="733"/>
        <item x="635"/>
        <item x="587"/>
        <item x="590"/>
        <item x="247"/>
        <item x="893"/>
        <item x="242"/>
        <item x="603"/>
        <item x="597"/>
        <item x="216"/>
        <item x="627"/>
        <item x="717"/>
        <item x="174"/>
        <item x="651"/>
        <item x="248"/>
        <item x="602"/>
        <item x="670"/>
        <item x="581"/>
        <item x="620"/>
        <item x="921"/>
        <item x="582"/>
        <item x="585"/>
        <item x="195"/>
        <item x="261"/>
        <item x="715"/>
        <item x="223"/>
        <item x="224"/>
        <item x="504"/>
        <item x="711"/>
        <item x="674"/>
        <item x="306"/>
        <item x="250"/>
        <item x="611"/>
        <item x="633"/>
        <item x="891"/>
        <item x="926"/>
        <item x="4"/>
        <item x="615"/>
        <item x="824"/>
        <item x="257"/>
        <item x="331"/>
        <item x="402"/>
        <item x="629"/>
        <item x="948"/>
        <item x="708"/>
        <item x="664"/>
        <item x="262"/>
        <item x="269"/>
        <item x="313"/>
        <item x="606"/>
        <item x="221"/>
        <item x="214"/>
        <item x="673"/>
        <item x="789"/>
        <item x="890"/>
        <item x="897"/>
        <item x="721"/>
        <item x="895"/>
        <item x="623"/>
        <item x="260"/>
        <item x="586"/>
        <item x="660"/>
        <item x="886"/>
        <item x="847"/>
        <item x="410"/>
        <item x="610"/>
        <item x="1044"/>
        <item x="277"/>
        <item x="477"/>
        <item x="184"/>
        <item x="1038"/>
        <item x="330"/>
        <item x="841"/>
        <item x="792"/>
        <item x="916"/>
        <item x="1120"/>
        <item x="246"/>
        <item x="879"/>
        <item x="786"/>
        <item x="481"/>
        <item x="903"/>
        <item x="326"/>
        <item x="719"/>
        <item x="500"/>
        <item x="850"/>
        <item x="1045"/>
        <item x="355"/>
        <item x="964"/>
        <item x="264"/>
        <item x="256"/>
        <item x="624"/>
        <item x="369"/>
        <item x="276"/>
        <item x="685"/>
        <item x="433"/>
        <item x="867"/>
        <item x="1197"/>
        <item x="7"/>
        <item x="882"/>
        <item x="176"/>
        <item x="1086"/>
        <item x="680"/>
        <item x="684"/>
        <item x="321"/>
        <item x="945"/>
        <item x="1073"/>
        <item x="296"/>
        <item x="13"/>
        <item x="288"/>
        <item x="284"/>
        <item x="937"/>
        <item x="823"/>
        <item x="896"/>
        <item x="430"/>
        <item x="293"/>
        <item x="390"/>
        <item x="220"/>
        <item x="1047"/>
        <item x="56"/>
        <item x="972"/>
        <item x="432"/>
        <item x="198"/>
        <item x="258"/>
        <item x="1127"/>
        <item x="1189"/>
        <item x="1131"/>
        <item x="327"/>
        <item x="1057"/>
        <item x="671"/>
        <item x="1156"/>
        <item x="348"/>
        <item x="33"/>
        <item x="1125"/>
        <item x="17"/>
        <item x="226"/>
        <item x="596"/>
        <item x="345"/>
        <item x="235"/>
        <item x="1118"/>
        <item x="239"/>
        <item x="295"/>
        <item x="315"/>
        <item x="350"/>
        <item x="360"/>
        <item x="1196"/>
        <item x="298"/>
        <item x="993"/>
        <item x="1019"/>
        <item x="431"/>
        <item x="1158"/>
        <item x="908"/>
        <item x="417"/>
        <item x="177"/>
        <item x="990"/>
        <item x="1000"/>
        <item x="933"/>
        <item x="211"/>
        <item x="915"/>
        <item x="1190"/>
        <item x="856"/>
        <item x="456"/>
        <item x="454"/>
        <item x="268"/>
        <item x="309"/>
        <item x="987"/>
        <item x="352"/>
        <item x="371"/>
        <item x="495"/>
        <item x="353"/>
        <item x="966"/>
        <item x="1006"/>
        <item x="113"/>
        <item x="227"/>
        <item x="840"/>
        <item x="222"/>
        <item x="229"/>
        <item x="981"/>
        <item x="744"/>
        <item x="648"/>
        <item x="273"/>
        <item x="1049"/>
        <item x="918"/>
        <item x="109"/>
        <item x="281"/>
        <item x="322"/>
        <item x="930"/>
        <item x="286"/>
        <item x="720"/>
        <item x="939"/>
        <item x="631"/>
        <item x="263"/>
        <item x="838"/>
        <item x="249"/>
        <item x="181"/>
        <item x="1116"/>
        <item x="735"/>
        <item x="928"/>
        <item x="1060"/>
        <item x="303"/>
        <item x="391"/>
        <item x="1093"/>
        <item x="275"/>
        <item x="826"/>
        <item x="291"/>
        <item x="270"/>
        <item x="289"/>
        <item x="203"/>
        <item x="265"/>
        <item x="971"/>
        <item x="991"/>
        <item x="980"/>
        <item x="833"/>
        <item x="156"/>
        <item x="79"/>
        <item x="448"/>
        <item x="899"/>
        <item x="325"/>
        <item x="1101"/>
        <item x="236"/>
        <item x="23"/>
        <item x="676"/>
        <item x="244"/>
        <item x="155"/>
        <item x="283"/>
        <item x="1046"/>
        <item x="979"/>
        <item x="292"/>
        <item x="272"/>
        <item x="285"/>
        <item x="900"/>
        <item x="320"/>
        <item x="280"/>
        <item x="458"/>
        <item x="457"/>
        <item x="1126"/>
        <item x="753"/>
        <item x="1187"/>
        <item x="3"/>
        <item x="305"/>
        <item x="1008"/>
        <item x="661"/>
        <item x="726"/>
        <item x="377"/>
        <item x="319"/>
        <item x="967"/>
        <item x="998"/>
        <item x="901"/>
        <item x="854"/>
        <item x="407"/>
        <item x="950"/>
        <item x="189"/>
        <item x="1080"/>
        <item x="935"/>
        <item x="912"/>
        <item x="944"/>
        <item x="974"/>
        <item x="297"/>
        <item x="934"/>
        <item x="857"/>
        <item x="968"/>
        <item x="304"/>
        <item x="278"/>
        <item x="475"/>
        <item x="696"/>
        <item x="1123"/>
        <item x="1043"/>
        <item x="825"/>
        <item x="727"/>
        <item x="1077"/>
        <item x="1064"/>
        <item x="1054"/>
        <item x="646"/>
        <item x="1103"/>
        <item x="844"/>
        <item x="1063"/>
        <item x="1082"/>
        <item x="609"/>
        <item x="656"/>
        <item x="1062"/>
        <item x="628"/>
        <item x="906"/>
        <item x="506"/>
        <item x="515"/>
        <item x="613"/>
        <item x="1122"/>
        <item x="234"/>
        <item x="932"/>
        <item x="699"/>
        <item x="111"/>
        <item x="681"/>
        <item x="642"/>
        <item x="756"/>
        <item x="1021"/>
        <item x="996"/>
        <item x="929"/>
        <item x="1005"/>
        <item x="947"/>
        <item x="1110"/>
        <item x="994"/>
        <item x="616"/>
        <item x="333"/>
        <item x="883"/>
        <item x="317"/>
        <item x="827"/>
        <item x="251"/>
        <item x="960"/>
        <item x="1165"/>
        <item x="734"/>
        <item x="1090"/>
        <item x="267"/>
        <item x="1015"/>
        <item x="874"/>
        <item x="919"/>
        <item x="697"/>
        <item x="357"/>
        <item x="675"/>
        <item x="462"/>
        <item x="380"/>
        <item x="314"/>
        <item x="683"/>
        <item x="66"/>
        <item x="956"/>
        <item x="213"/>
        <item x="729"/>
        <item x="243"/>
        <item x="739"/>
        <item x="300"/>
        <item x="517"/>
        <item x="1151"/>
        <item x="1075"/>
        <item x="114"/>
        <item x="453"/>
        <item x="374"/>
        <item x="949"/>
        <item x="992"/>
        <item x="525"/>
        <item x="746"/>
        <item x="366"/>
        <item x="797"/>
        <item x="1065"/>
        <item x="312"/>
        <item x="836"/>
        <item x="478"/>
        <item x="358"/>
        <item x="1148"/>
        <item x="914"/>
        <item x="995"/>
        <item x="363"/>
        <item x="318"/>
        <item x="1048"/>
        <item x="690"/>
        <item x="1028"/>
        <item x="85"/>
        <item x="1128"/>
        <item x="381"/>
        <item x="1022"/>
        <item x="705"/>
        <item x="1162"/>
        <item x="316"/>
        <item x="963"/>
        <item x="282"/>
        <item x="395"/>
        <item x="389"/>
        <item x="367"/>
        <item x="385"/>
        <item x="1136"/>
        <item x="408"/>
        <item x="383"/>
        <item x="693"/>
        <item x="527"/>
        <item x="336"/>
        <item x="307"/>
        <item x="254"/>
        <item x="636"/>
        <item x="1102"/>
        <item x="384"/>
        <item x="1194"/>
        <item x="44"/>
        <item x="404"/>
        <item x="965"/>
        <item x="460"/>
        <item x="459"/>
        <item x="1167"/>
        <item x="760"/>
        <item x="831"/>
        <item x="311"/>
        <item x="349"/>
        <item x="988"/>
        <item x="531"/>
        <item x="925"/>
        <item x="643"/>
        <item x="952"/>
        <item x="230"/>
        <item x="1097"/>
        <item x="989"/>
        <item x="843"/>
        <item x="796"/>
        <item x="639"/>
        <item x="22"/>
        <item x="822"/>
        <item x="301"/>
        <item x="406"/>
        <item x="973"/>
        <item x="1111"/>
        <item x="969"/>
        <item x="975"/>
        <item x="997"/>
        <item x="394"/>
        <item x="528"/>
        <item x="1134"/>
        <item x="1017"/>
        <item x="922"/>
        <item x="958"/>
        <item x="20"/>
        <item x="1096"/>
        <item x="1056"/>
        <item x="864"/>
        <item x="645"/>
        <item x="848"/>
        <item x="943"/>
        <item x="759"/>
        <item x="686"/>
        <item x="35"/>
        <item x="409"/>
        <item x="18"/>
        <item x="1124"/>
        <item x="669"/>
        <item x="463"/>
        <item x="514"/>
        <item x="1112"/>
        <item x="694"/>
        <item x="728"/>
        <item x="1003"/>
        <item x="496"/>
        <item x="122"/>
        <item x="955"/>
        <item x="976"/>
        <item x="64"/>
        <item x="1094"/>
        <item x="71"/>
        <item x="378"/>
        <item x="881"/>
        <item x="67"/>
        <item x="423"/>
        <item x="1052"/>
        <item x="452"/>
        <item x="342"/>
        <item x="73"/>
        <item x="1164"/>
        <item x="941"/>
        <item x="412"/>
        <item x="40"/>
        <item x="329"/>
        <item x="78"/>
        <item x="942"/>
        <item x="121"/>
        <item x="53"/>
        <item x="415"/>
        <item x="961"/>
        <item x="1068"/>
        <item x="845"/>
        <item x="147"/>
        <item x="907"/>
        <item x="791"/>
        <item x="790"/>
        <item x="1061"/>
        <item x="1014"/>
        <item x="1027"/>
        <item x="450"/>
        <item x="701"/>
        <item x="846"/>
        <item x="46"/>
        <item x="51"/>
        <item x="1011"/>
        <item x="689"/>
        <item x="860"/>
        <item x="1001"/>
        <item x="1078"/>
        <item x="505"/>
        <item x="419"/>
        <item x="364"/>
        <item x="1113"/>
        <item x="405"/>
        <item x="116"/>
        <item x="927"/>
        <item x="464"/>
        <item x="849"/>
        <item x="376"/>
        <item x="1007"/>
        <item x="418"/>
        <item x="513"/>
        <item x="5"/>
        <item x="654"/>
        <item x="1066"/>
        <item x="522"/>
        <item x="370"/>
        <item x="449"/>
        <item x="801"/>
        <item x="868"/>
        <item x="687"/>
        <item x="984"/>
        <item x="982"/>
        <item x="765"/>
        <item x="1137"/>
        <item x="398"/>
        <item x="486"/>
        <item x="799"/>
        <item x="762"/>
        <item x="1163"/>
        <item x="1098"/>
        <item x="1153"/>
        <item x="334"/>
        <item x="483"/>
        <item x="794"/>
        <item x="88"/>
        <item x="68"/>
        <item x="54"/>
        <item x="512"/>
        <item x="1195"/>
        <item x="731"/>
        <item x="83"/>
        <item x="34"/>
        <item x="736"/>
        <item x="688"/>
        <item x="37"/>
        <item x="1025"/>
        <item x="14"/>
        <item x="682"/>
        <item x="938"/>
        <item x="468"/>
        <item x="970"/>
        <item x="641"/>
        <item x="65"/>
        <item x="738"/>
        <item x="1023"/>
        <item x="779"/>
        <item x="1157"/>
        <item x="379"/>
        <item x="1095"/>
        <item x="1081"/>
        <item x="117"/>
        <item x="702"/>
        <item x="1130"/>
        <item x="757"/>
        <item x="859"/>
        <item x="461"/>
        <item x="386"/>
        <item x="480"/>
        <item x="1100"/>
        <item x="324"/>
        <item x="1059"/>
        <item x="816"/>
        <item x="80"/>
        <item x="1024"/>
        <item x="103"/>
        <item x="774"/>
        <item x="74"/>
        <item x="962"/>
        <item x="359"/>
        <item x="335"/>
        <item x="36"/>
        <item x="373"/>
        <item x="755"/>
        <item x="655"/>
        <item x="776"/>
        <item x="703"/>
        <item x="650"/>
        <item x="6"/>
        <item x="32"/>
        <item x="1010"/>
        <item x="913"/>
        <item x="978"/>
        <item x="775"/>
        <item x="1013"/>
        <item x="10"/>
        <item x="392"/>
        <item x="754"/>
        <item x="48"/>
        <item x="466"/>
        <item x="351"/>
        <item x="834"/>
        <item x="842"/>
        <item x="411"/>
        <item x="851"/>
        <item x="763"/>
        <item x="43"/>
        <item x="69"/>
        <item x="852"/>
        <item x="499"/>
        <item x="1012"/>
        <item x="1099"/>
        <item x="815"/>
        <item x="986"/>
        <item x="977"/>
        <item x="1067"/>
        <item x="81"/>
        <item x="133"/>
        <item x="1018"/>
        <item x="1088"/>
        <item x="157"/>
        <item x="388"/>
        <item x="1029"/>
        <item x="649"/>
        <item x="92"/>
        <item x="768"/>
        <item x="253"/>
        <item x="119"/>
        <item x="16"/>
        <item x="1004"/>
        <item x="299"/>
        <item x="467"/>
        <item x="530"/>
        <item x="153"/>
        <item x="999"/>
        <item x="869"/>
        <item x="698"/>
        <item x="778"/>
        <item x="387"/>
        <item x="96"/>
        <item x="438"/>
        <item x="1036"/>
        <item x="863"/>
        <item x="764"/>
        <item x="679"/>
        <item x="865"/>
        <item x="337"/>
        <item x="1084"/>
        <item x="749"/>
        <item x="1009"/>
        <item x="1106"/>
        <item x="780"/>
        <item x="112"/>
        <item x="368"/>
        <item x="662"/>
        <item x="55"/>
        <item x="695"/>
        <item x="323"/>
        <item x="795"/>
        <item x="70"/>
        <item x="339"/>
        <item x="983"/>
        <item x="1114"/>
        <item x="1149"/>
        <item x="567"/>
        <item x="361"/>
        <item x="63"/>
        <item x="1076"/>
        <item x="420"/>
        <item x="814"/>
        <item x="87"/>
        <item x="343"/>
        <item x="1089"/>
        <item x="1108"/>
        <item x="766"/>
        <item x="341"/>
        <item x="437"/>
        <item x="146"/>
        <item x="652"/>
        <item x="135"/>
        <item x="730"/>
        <item x="519"/>
        <item x="1032"/>
        <item x="520"/>
        <item x="382"/>
        <item x="507"/>
        <item x="748"/>
        <item x="50"/>
        <item x="1031"/>
        <item x="1002"/>
        <item x="142"/>
        <item x="1085"/>
        <item x="479"/>
        <item x="356"/>
        <item x="509"/>
        <item x="436"/>
        <item x="802"/>
        <item x="1105"/>
        <item x="340"/>
        <item x="777"/>
        <item x="861"/>
        <item x="647"/>
        <item x="1104"/>
        <item x="781"/>
        <item x="393"/>
        <item x="1199"/>
        <item x="332"/>
        <item x="396"/>
        <item x="529"/>
        <item x="783"/>
        <item x="124"/>
        <item x="1175"/>
        <item x="1107"/>
        <item x="365"/>
        <item x="165"/>
        <item x="510"/>
        <item x="1201"/>
        <item x="805"/>
        <item x="482"/>
        <item x="1079"/>
        <item x="101"/>
        <item x="375"/>
        <item x="516"/>
        <item x="110"/>
        <item x="1138"/>
        <item x="752"/>
        <item x="57"/>
        <item x="1133"/>
        <item x="441"/>
        <item x="678"/>
        <item x="59"/>
        <item x="1121"/>
        <item x="60"/>
        <item x="61"/>
        <item x="521"/>
        <item x="1115"/>
        <item x="751"/>
        <item x="761"/>
        <item x="39"/>
        <item x="145"/>
        <item x="127"/>
        <item x="29"/>
        <item x="421"/>
        <item x="773"/>
        <item x="518"/>
        <item x="1016"/>
        <item x="771"/>
        <item x="91"/>
        <item x="750"/>
        <item x="497"/>
        <item x="498"/>
        <item x="38"/>
        <item x="120"/>
        <item x="1147"/>
        <item x="28"/>
        <item x="870"/>
        <item x="809"/>
        <item x="1202"/>
        <item x="793"/>
        <item x="769"/>
        <item x="115"/>
        <item x="951"/>
        <item x="804"/>
        <item x="485"/>
        <item x="75"/>
        <item x="129"/>
        <item x="132"/>
        <item x="72"/>
        <item x="1198"/>
        <item x="49"/>
        <item x="15"/>
        <item x="1173"/>
        <item x="77"/>
        <item x="143"/>
        <item x="788"/>
        <item x="1176"/>
        <item x="0"/>
        <item x="338"/>
        <item x="898"/>
        <item x="97"/>
        <item x="443"/>
        <item x="123"/>
        <item x="1144"/>
        <item x="144"/>
        <item x="128"/>
        <item x="787"/>
        <item x="1203"/>
        <item x="47"/>
        <item x="782"/>
        <item x="126"/>
        <item x="1177"/>
        <item x="1033"/>
        <item x="104"/>
        <item x="435"/>
        <item x="105"/>
        <item x="118"/>
        <item x="798"/>
        <item x="1168"/>
        <item x="767"/>
        <item x="1143"/>
        <item x="362"/>
        <item x="1132"/>
        <item x="1119"/>
        <item x="24"/>
        <item x="1145"/>
        <item x="150"/>
        <item x="855"/>
        <item x="1207"/>
        <item x="1071"/>
        <item x="148"/>
        <item x="98"/>
        <item x="25"/>
        <item x="9"/>
        <item x="1204"/>
        <item x="1146"/>
        <item x="758"/>
        <item x="45"/>
        <item x="19"/>
        <item x="21"/>
        <item x="41"/>
        <item x="1172"/>
        <item x="154"/>
        <item x="99"/>
        <item x="8"/>
        <item x="62"/>
        <item x="747"/>
        <item x="533"/>
        <item x="100"/>
        <item x="27"/>
        <item x="422"/>
        <item x="414"/>
        <item x="134"/>
        <item x="42"/>
        <item x="424"/>
        <item x="1035"/>
        <item x="136"/>
        <item x="158"/>
        <item x="95"/>
        <item x="1169"/>
        <item x="160"/>
        <item x="416"/>
        <item x="866"/>
        <item x="86"/>
        <item x="102"/>
        <item x="11"/>
        <item x="82"/>
        <item x="704"/>
        <item x="149"/>
        <item x="138"/>
        <item x="1030"/>
        <item x="1142"/>
        <item x="93"/>
        <item x="785"/>
        <item x="90"/>
        <item x="1166"/>
        <item x="770"/>
        <item x="700"/>
        <item x="810"/>
        <item x="84"/>
        <item x="1109"/>
        <item x="440"/>
        <item x="1070"/>
        <item x="140"/>
        <item x="159"/>
        <item x="812"/>
        <item x="131"/>
        <item x="426"/>
        <item x="858"/>
        <item x="523"/>
        <item x="817"/>
        <item x="862"/>
        <item x="806"/>
        <item x="487"/>
        <item x="484"/>
        <item x="125"/>
        <item x="151"/>
        <item x="52"/>
        <item x="784"/>
        <item x="58"/>
        <item x="1069"/>
        <item x="413"/>
        <item x="1205"/>
        <item x="532"/>
        <item x="439"/>
        <item x="425"/>
        <item x="26"/>
        <item x="808"/>
        <item x="89"/>
        <item x="813"/>
        <item x="807"/>
        <item x="800"/>
        <item x="1160"/>
        <item x="1026"/>
        <item x="444"/>
        <item x="469"/>
        <item x="1159"/>
        <item x="1170"/>
        <item x="1129"/>
        <item x="819"/>
        <item x="137"/>
        <item x="130"/>
        <item x="94"/>
        <item x="501"/>
        <item x="465"/>
        <item x="442"/>
        <item x="1135"/>
        <item x="163"/>
        <item x="1174"/>
        <item x="818"/>
        <item x="1140"/>
        <item x="524"/>
        <item x="447"/>
        <item x="1171"/>
        <item x="106"/>
        <item x="803"/>
        <item x="1020"/>
        <item x="164"/>
        <item x="820"/>
        <item x="1"/>
        <item x="76"/>
        <item x="502"/>
        <item x="30"/>
        <item x="446"/>
        <item x="139"/>
        <item x="399"/>
        <item x="1206"/>
        <item x="488"/>
        <item x="1141"/>
        <item x="503"/>
        <item x="445"/>
        <item x="31"/>
        <item x="772"/>
        <item x="2"/>
        <item x="12"/>
        <item x="1139"/>
        <item x="811"/>
        <item x="434"/>
        <item x="489"/>
        <item x="397"/>
        <item x="141"/>
        <item x="1034"/>
        <item x="107"/>
        <item x="1200"/>
        <item x="108"/>
        <item x="161"/>
        <item x="152"/>
        <item t="default"/>
      </items>
    </pivotField>
    <pivotField compact="0" showAll="0">
      <items count="518">
        <item x="155"/>
        <item x="310"/>
        <item x="285"/>
        <item x="254"/>
        <item x="326"/>
        <item x="238"/>
        <item x="292"/>
        <item x="412"/>
        <item x="315"/>
        <item x="257"/>
        <item x="266"/>
        <item x="242"/>
        <item x="280"/>
        <item x="284"/>
        <item x="43"/>
        <item x="282"/>
        <item x="324"/>
        <item x="248"/>
        <item x="506"/>
        <item x="0"/>
        <item x="164"/>
        <item x="281"/>
        <item x="343"/>
        <item x="286"/>
        <item x="319"/>
        <item x="384"/>
        <item x="329"/>
        <item x="256"/>
        <item x="485"/>
        <item x="45"/>
        <item x="325"/>
        <item x="218"/>
        <item x="306"/>
        <item x="395"/>
        <item x="241"/>
        <item x="279"/>
        <item x="12"/>
        <item x="152"/>
        <item x="509"/>
        <item x="308"/>
        <item x="53"/>
        <item x="322"/>
        <item x="290"/>
        <item x="467"/>
        <item x="309"/>
        <item x="233"/>
        <item x="123"/>
        <item x="338"/>
        <item x="258"/>
        <item x="363"/>
        <item x="225"/>
        <item x="452"/>
        <item x="224"/>
        <item x="121"/>
        <item x="211"/>
        <item x="342"/>
        <item x="333"/>
        <item x="367"/>
        <item x="15"/>
        <item x="115"/>
        <item x="328"/>
        <item x="481"/>
        <item x="166"/>
        <item x="66"/>
        <item x="318"/>
        <item x="154"/>
        <item x="95"/>
        <item x="505"/>
        <item x="293"/>
        <item x="150"/>
        <item x="202"/>
        <item x="330"/>
        <item x="427"/>
        <item x="144"/>
        <item x="252"/>
        <item x="207"/>
        <item x="327"/>
        <item x="475"/>
        <item x="317"/>
        <item x="283"/>
        <item x="347"/>
        <item x="93"/>
        <item x="251"/>
        <item x="320"/>
        <item x="288"/>
        <item x="158"/>
        <item x="70"/>
        <item x="222"/>
        <item x="307"/>
        <item x="456"/>
        <item x="298"/>
        <item x="321"/>
        <item x="476"/>
        <item x="102"/>
        <item x="194"/>
        <item x="512"/>
        <item x="133"/>
        <item x="132"/>
        <item x="100"/>
        <item x="496"/>
        <item x="424"/>
        <item x="312"/>
        <item x="413"/>
        <item x="189"/>
        <item x="253"/>
        <item x="47"/>
        <item x="104"/>
        <item x="122"/>
        <item x="348"/>
        <item x="271"/>
        <item x="236"/>
        <item x="507"/>
        <item x="471"/>
        <item x="180"/>
        <item x="14"/>
        <item x="151"/>
        <item x="277"/>
        <item x="332"/>
        <item x="508"/>
        <item x="453"/>
        <item x="89"/>
        <item x="417"/>
        <item x="105"/>
        <item x="199"/>
        <item x="296"/>
        <item x="237"/>
        <item x="113"/>
        <item x="131"/>
        <item x="474"/>
        <item x="511"/>
        <item x="208"/>
        <item x="462"/>
        <item x="42"/>
        <item x="390"/>
        <item x="455"/>
        <item x="111"/>
        <item x="265"/>
        <item x="19"/>
        <item x="230"/>
        <item x="311"/>
        <item x="176"/>
        <item x="392"/>
        <item x="399"/>
        <item x="289"/>
        <item x="300"/>
        <item x="468"/>
        <item x="410"/>
        <item x="71"/>
        <item x="162"/>
        <item x="249"/>
        <item x="245"/>
        <item x="137"/>
        <item x="353"/>
        <item x="416"/>
        <item x="498"/>
        <item x="183"/>
        <item x="215"/>
        <item x="3"/>
        <item x="50"/>
        <item x="20"/>
        <item x="402"/>
        <item x="299"/>
        <item x="210"/>
        <item x="156"/>
        <item x="46"/>
        <item x="179"/>
        <item x="458"/>
        <item x="60"/>
        <item x="414"/>
        <item x="287"/>
        <item x="432"/>
        <item x="294"/>
        <item x="134"/>
        <item x="146"/>
        <item x="129"/>
        <item x="388"/>
        <item x="483"/>
        <item x="23"/>
        <item x="470"/>
        <item x="393"/>
        <item x="186"/>
        <item x="32"/>
        <item x="74"/>
        <item x="24"/>
        <item x="270"/>
        <item x="314"/>
        <item x="31"/>
        <item x="181"/>
        <item x="473"/>
        <item x="142"/>
        <item x="90"/>
        <item x="263"/>
        <item x="235"/>
        <item x="472"/>
        <item x="232"/>
        <item x="433"/>
        <item x="84"/>
        <item x="352"/>
        <item x="295"/>
        <item x="269"/>
        <item x="425"/>
        <item x="184"/>
        <item x="500"/>
        <item x="167"/>
        <item x="313"/>
        <item x="140"/>
        <item x="25"/>
        <item x="261"/>
        <item x="67"/>
        <item x="192"/>
        <item x="220"/>
        <item x="260"/>
        <item x="291"/>
        <item x="297"/>
        <item x="406"/>
        <item x="419"/>
        <item x="191"/>
        <item x="408"/>
        <item x="195"/>
        <item x="56"/>
        <item x="278"/>
        <item x="349"/>
        <item x="36"/>
        <item x="234"/>
        <item x="139"/>
        <item x="26"/>
        <item x="5"/>
        <item x="255"/>
        <item x="213"/>
        <item x="345"/>
        <item x="389"/>
        <item x="212"/>
        <item x="358"/>
        <item x="379"/>
        <item x="429"/>
        <item x="103"/>
        <item x="59"/>
        <item x="197"/>
        <item x="459"/>
        <item x="9"/>
        <item x="404"/>
        <item x="216"/>
        <item x="454"/>
        <item x="223"/>
        <item x="168"/>
        <item x="118"/>
        <item x="196"/>
        <item x="405"/>
        <item x="226"/>
        <item x="398"/>
        <item x="421"/>
        <item x="175"/>
        <item x="372"/>
        <item x="478"/>
        <item x="274"/>
        <item x="370"/>
        <item x="98"/>
        <item x="138"/>
        <item x="94"/>
        <item x="301"/>
        <item x="128"/>
        <item x="394"/>
        <item x="362"/>
        <item x="368"/>
        <item x="323"/>
        <item x="407"/>
        <item x="247"/>
        <item x="169"/>
        <item x="457"/>
        <item x="193"/>
        <item x="336"/>
        <item x="415"/>
        <item x="75"/>
        <item x="486"/>
        <item x="182"/>
        <item x="397"/>
        <item x="173"/>
        <item x="11"/>
        <item x="108"/>
        <item x="450"/>
        <item x="403"/>
        <item x="109"/>
        <item x="489"/>
        <item x="267"/>
        <item x="497"/>
        <item x="514"/>
        <item x="10"/>
        <item x="219"/>
        <item x="510"/>
        <item x="61"/>
        <item x="171"/>
        <item x="229"/>
        <item x="141"/>
        <item x="231"/>
        <item x="8"/>
        <item x="340"/>
        <item x="262"/>
        <item x="339"/>
        <item x="420"/>
        <item x="97"/>
        <item x="7"/>
        <item x="48"/>
        <item x="13"/>
        <item x="371"/>
        <item x="92"/>
        <item x="135"/>
        <item x="369"/>
        <item x="491"/>
        <item x="34"/>
        <item x="477"/>
        <item x="396"/>
        <item x="198"/>
        <item x="185"/>
        <item x="401"/>
        <item x="52"/>
        <item x="148"/>
        <item x="441"/>
        <item x="68"/>
        <item x="130"/>
        <item x="54"/>
        <item x="344"/>
        <item x="187"/>
        <item x="484"/>
        <item x="366"/>
        <item x="217"/>
        <item x="228"/>
        <item x="461"/>
        <item x="153"/>
        <item x="490"/>
        <item x="72"/>
        <item x="82"/>
        <item x="117"/>
        <item x="209"/>
        <item x="444"/>
        <item x="18"/>
        <item x="272"/>
        <item x="44"/>
        <item x="91"/>
        <item x="170"/>
        <item x="316"/>
        <item x="69"/>
        <item x="143"/>
        <item x="73"/>
        <item x="76"/>
        <item x="190"/>
        <item x="442"/>
        <item x="487"/>
        <item x="391"/>
        <item x="6"/>
        <item x="147"/>
        <item x="418"/>
        <item x="239"/>
        <item x="400"/>
        <item x="331"/>
        <item x="482"/>
        <item x="116"/>
        <item x="16"/>
        <item x="275"/>
        <item x="341"/>
        <item x="350"/>
        <item x="96"/>
        <item x="149"/>
        <item x="178"/>
        <item x="430"/>
        <item x="375"/>
        <item x="276"/>
        <item x="78"/>
        <item x="4"/>
        <item x="250"/>
        <item x="409"/>
        <item x="385"/>
        <item x="157"/>
        <item x="33"/>
        <item x="428"/>
        <item x="81"/>
        <item x="88"/>
        <item x="214"/>
        <item x="374"/>
        <item x="80"/>
        <item x="360"/>
        <item x="437"/>
        <item x="110"/>
        <item x="227"/>
        <item x="200"/>
        <item x="188"/>
        <item x="354"/>
        <item x="17"/>
        <item x="145"/>
        <item x="101"/>
        <item x="35"/>
        <item x="87"/>
        <item x="268"/>
        <item x="434"/>
        <item x="106"/>
        <item x="136"/>
        <item x="125"/>
        <item x="480"/>
        <item x="304"/>
        <item x="464"/>
        <item x="493"/>
        <item x="373"/>
        <item x="124"/>
        <item x="440"/>
        <item x="160"/>
        <item x="243"/>
        <item x="49"/>
        <item x="501"/>
        <item x="422"/>
        <item x="172"/>
        <item x="355"/>
        <item x="376"/>
        <item x="57"/>
        <item x="161"/>
        <item x="62"/>
        <item x="386"/>
        <item x="107"/>
        <item x="39"/>
        <item x="365"/>
        <item x="159"/>
        <item x="515"/>
        <item x="163"/>
        <item x="83"/>
        <item x="463"/>
        <item x="165"/>
        <item x="448"/>
        <item x="387"/>
        <item x="426"/>
        <item x="436"/>
        <item x="264"/>
        <item x="381"/>
        <item x="431"/>
        <item x="205"/>
        <item x="494"/>
        <item x="64"/>
        <item x="335"/>
        <item x="240"/>
        <item x="126"/>
        <item x="495"/>
        <item x="435"/>
        <item x="112"/>
        <item x="502"/>
        <item x="259"/>
        <item x="469"/>
        <item x="99"/>
        <item x="174"/>
        <item x="206"/>
        <item x="201"/>
        <item x="21"/>
        <item x="55"/>
        <item x="303"/>
        <item x="438"/>
        <item x="77"/>
        <item x="28"/>
        <item x="346"/>
        <item x="119"/>
        <item x="203"/>
        <item x="423"/>
        <item x="361"/>
        <item x="29"/>
        <item x="446"/>
        <item x="204"/>
        <item x="27"/>
        <item x="120"/>
        <item x="273"/>
        <item x="378"/>
        <item x="411"/>
        <item x="302"/>
        <item x="479"/>
        <item x="364"/>
        <item x="466"/>
        <item x="30"/>
        <item x="351"/>
        <item x="221"/>
        <item x="79"/>
        <item x="246"/>
        <item x="499"/>
        <item x="51"/>
        <item x="488"/>
        <item x="177"/>
        <item x="465"/>
        <item x="445"/>
        <item x="63"/>
        <item x="127"/>
        <item x="114"/>
        <item x="86"/>
        <item x="37"/>
        <item x="503"/>
        <item x="85"/>
        <item x="377"/>
        <item x="492"/>
        <item x="460"/>
        <item x="22"/>
        <item x="447"/>
        <item x="443"/>
        <item x="504"/>
        <item x="449"/>
        <item x="40"/>
        <item x="337"/>
        <item x="65"/>
        <item x="380"/>
        <item x="356"/>
        <item x="58"/>
        <item x="1"/>
        <item x="305"/>
        <item x="382"/>
        <item x="439"/>
        <item x="38"/>
        <item x="383"/>
        <item x="513"/>
        <item x="516"/>
        <item x="2"/>
        <item x="244"/>
        <item x="451"/>
        <item x="41"/>
        <item x="357"/>
        <item x="359"/>
        <item x="334"/>
        <item t="default"/>
      </items>
    </pivotField>
    <pivotField compact="0" showAll="0">
      <items count="1037">
        <item x="595"/>
        <item x="978"/>
        <item x="927"/>
        <item x="930"/>
        <item x="481"/>
        <item x="142"/>
        <item x="386"/>
        <item x="678"/>
        <item x="1006"/>
        <item x="1028"/>
        <item x="800"/>
        <item x="472"/>
        <item x="733"/>
        <item x="992"/>
        <item x="655"/>
        <item x="443"/>
        <item x="1030"/>
        <item x="126"/>
        <item x="1026"/>
        <item x="886"/>
        <item x="814"/>
        <item x="428"/>
        <item x="424"/>
        <item x="593"/>
        <item x="966"/>
        <item x="494"/>
        <item x="673"/>
        <item x="594"/>
        <item x="567"/>
        <item x="697"/>
        <item x="580"/>
        <item x="833"/>
        <item x="519"/>
        <item x="505"/>
        <item x="646"/>
        <item x="1029"/>
        <item x="566"/>
        <item x="629"/>
        <item x="572"/>
        <item x="590"/>
        <item x="427"/>
        <item x="1034"/>
        <item x="403"/>
        <item x="490"/>
        <item x="463"/>
        <item x="931"/>
        <item x="825"/>
        <item x="662"/>
        <item x="1017"/>
        <item x="827"/>
        <item x="27"/>
        <item x="924"/>
        <item x="482"/>
        <item x="862"/>
        <item x="317"/>
        <item x="462"/>
        <item x="948"/>
        <item x="719"/>
        <item x="385"/>
        <item x="345"/>
        <item x="551"/>
        <item x="445"/>
        <item x="272"/>
        <item x="873"/>
        <item x="665"/>
        <item x="278"/>
        <item x="847"/>
        <item x="106"/>
        <item x="839"/>
        <item x="738"/>
        <item x="584"/>
        <item x="869"/>
        <item x="570"/>
        <item x="732"/>
        <item x="636"/>
        <item x="881"/>
        <item x="648"/>
        <item x="579"/>
        <item x="1021"/>
        <item x="9"/>
        <item x="721"/>
        <item x="867"/>
        <item x="1025"/>
        <item x="19"/>
        <item x="863"/>
        <item x="284"/>
        <item x="1002"/>
        <item x="898"/>
        <item x="360"/>
        <item x="275"/>
        <item x="410"/>
        <item x="423"/>
        <item x="1031"/>
        <item x="238"/>
        <item x="328"/>
        <item x="224"/>
        <item x="273"/>
        <item x="740"/>
        <item x="190"/>
        <item x="437"/>
        <item x="690"/>
        <item x="830"/>
        <item x="654"/>
        <item x="568"/>
        <item x="310"/>
        <item x="370"/>
        <item x="921"/>
        <item x="701"/>
        <item x="391"/>
        <item x="614"/>
        <item x="465"/>
        <item x="503"/>
        <item x="441"/>
        <item x="868"/>
        <item x="882"/>
        <item x="350"/>
        <item x="947"/>
        <item x="1023"/>
        <item x="327"/>
        <item x="545"/>
        <item x="451"/>
        <item x="718"/>
        <item x="876"/>
        <item x="818"/>
        <item x="841"/>
        <item x="114"/>
        <item x="741"/>
        <item x="504"/>
        <item x="649"/>
        <item x="706"/>
        <item x="500"/>
        <item x="98"/>
        <item x="705"/>
        <item x="569"/>
        <item x="534"/>
        <item x="938"/>
        <item x="344"/>
        <item x="408"/>
        <item x="120"/>
        <item x="902"/>
        <item x="631"/>
        <item x="476"/>
        <item x="669"/>
        <item x="236"/>
        <item x="287"/>
        <item x="468"/>
        <item x="432"/>
        <item x="574"/>
        <item x="581"/>
        <item x="521"/>
        <item x="926"/>
        <item x="517"/>
        <item x="728"/>
        <item x="127"/>
        <item x="536"/>
        <item x="843"/>
        <item x="600"/>
        <item x="925"/>
        <item x="759"/>
        <item x="735"/>
        <item x="202"/>
        <item x="450"/>
        <item x="165"/>
        <item x="540"/>
        <item x="592"/>
        <item x="743"/>
        <item x="575"/>
        <item x="745"/>
        <item x="110"/>
        <item x="359"/>
        <item x="198"/>
        <item x="914"/>
        <item x="694"/>
        <item x="137"/>
        <item x="366"/>
        <item x="652"/>
        <item x="86"/>
        <item x="105"/>
        <item x="419"/>
        <item x="571"/>
        <item x="131"/>
        <item x="564"/>
        <item x="693"/>
        <item x="888"/>
        <item x="102"/>
        <item x="874"/>
        <item x="513"/>
        <item x="55"/>
        <item x="124"/>
        <item x="11"/>
        <item x="425"/>
        <item x="309"/>
        <item x="605"/>
        <item x="475"/>
        <item x="101"/>
        <item x="342"/>
        <item x="26"/>
        <item x="917"/>
        <item x="502"/>
        <item x="849"/>
        <item x="14"/>
        <item x="901"/>
        <item x="809"/>
        <item x="1003"/>
        <item x="268"/>
        <item x="264"/>
        <item x="49"/>
        <item x="225"/>
        <item x="954"/>
        <item x="92"/>
        <item x="7"/>
        <item x="415"/>
        <item x="17"/>
        <item x="591"/>
        <item x="146"/>
        <item x="152"/>
        <item x="656"/>
        <item x="879"/>
        <item x="330"/>
        <item x="399"/>
        <item x="639"/>
        <item x="486"/>
        <item x="994"/>
        <item x="331"/>
        <item x="116"/>
        <item x="308"/>
        <item x="466"/>
        <item x="409"/>
        <item x="449"/>
        <item x="237"/>
        <item x="1016"/>
        <item x="883"/>
        <item x="565"/>
        <item x="436"/>
        <item x="294"/>
        <item x="109"/>
        <item x="151"/>
        <item x="454"/>
        <item x="280"/>
        <item x="844"/>
        <item x="940"/>
        <item x="323"/>
        <item x="298"/>
        <item x="1004"/>
        <item x="903"/>
        <item x="643"/>
        <item x="53"/>
        <item x="293"/>
        <item x="285"/>
        <item x="467"/>
        <item x="455"/>
        <item x="993"/>
        <item x="695"/>
        <item x="774"/>
        <item x="560"/>
        <item x="282"/>
        <item x="946"/>
        <item x="313"/>
        <item x="535"/>
        <item x="493"/>
        <item x="431"/>
        <item x="145"/>
        <item x="300"/>
        <item x="314"/>
        <item x="133"/>
        <item x="583"/>
        <item x="675"/>
        <item x="576"/>
        <item x="920"/>
        <item x="134"/>
        <item x="108"/>
        <item x="757"/>
        <item x="627"/>
        <item x="776"/>
        <item x="855"/>
        <item x="129"/>
        <item x="559"/>
        <item x="677"/>
        <item x="174"/>
        <item x="689"/>
        <item x="672"/>
        <item x="246"/>
        <item x="480"/>
        <item x="679"/>
        <item x="1008"/>
        <item x="653"/>
        <item x="320"/>
        <item x="764"/>
        <item x="351"/>
        <item x="283"/>
        <item x="24"/>
        <item x="2"/>
        <item x="28"/>
        <item x="548"/>
        <item x="912"/>
        <item x="302"/>
        <item x="141"/>
        <item x="1027"/>
        <item x="615"/>
        <item x="122"/>
        <item x="112"/>
        <item x="511"/>
        <item x="539"/>
        <item x="214"/>
        <item x="554"/>
        <item x="130"/>
        <item x="488"/>
        <item x="742"/>
        <item x="681"/>
        <item x="30"/>
        <item x="262"/>
        <item x="609"/>
        <item x="355"/>
        <item x="777"/>
        <item x="915"/>
        <item x="644"/>
        <item x="99"/>
        <item x="371"/>
        <item x="421"/>
        <item x="304"/>
        <item x="887"/>
        <item x="1015"/>
        <item x="316"/>
        <item x="420"/>
        <item x="810"/>
        <item x="518"/>
        <item x="147"/>
        <item x="43"/>
        <item x="15"/>
        <item x="848"/>
        <item x="378"/>
        <item x="561"/>
        <item x="522"/>
        <item x="135"/>
        <item x="676"/>
        <item x="826"/>
        <item x="100"/>
        <item x="685"/>
        <item x="276"/>
        <item x="550"/>
        <item x="667"/>
        <item x="835"/>
        <item x="563"/>
        <item x="624"/>
        <item x="291"/>
        <item x="514"/>
        <item x="121"/>
        <item x="187"/>
        <item x="523"/>
        <item x="520"/>
        <item x="531"/>
        <item x="899"/>
        <item x="422"/>
        <item x="918"/>
        <item x="820"/>
        <item x="971"/>
        <item x="6"/>
        <item x="546"/>
        <item x="209"/>
        <item x="773"/>
        <item x="510"/>
        <item x="686"/>
        <item x="724"/>
        <item x="588"/>
        <item x="923"/>
        <item x="715"/>
        <item x="973"/>
        <item x="10"/>
        <item x="612"/>
        <item x="149"/>
        <item x="321"/>
        <item x="12"/>
        <item x="578"/>
        <item x="587"/>
        <item x="228"/>
        <item x="872"/>
        <item x="626"/>
        <item x="524"/>
        <item x="865"/>
        <item x="215"/>
        <item x="611"/>
        <item x="382"/>
        <item x="799"/>
        <item x="312"/>
        <item x="433"/>
        <item x="987"/>
        <item x="352"/>
        <item x="922"/>
        <item x="305"/>
        <item x="62"/>
        <item x="107"/>
        <item x="38"/>
        <item x="823"/>
        <item x="828"/>
        <item x="1011"/>
        <item x="337"/>
        <item x="852"/>
        <item x="368"/>
        <item x="140"/>
        <item x="736"/>
        <item x="734"/>
        <item x="318"/>
        <item x="20"/>
        <item x="211"/>
        <item x="866"/>
        <item x="726"/>
        <item x="296"/>
        <item x="864"/>
        <item x="529"/>
        <item x="729"/>
        <item x="196"/>
        <item x="81"/>
        <item x="596"/>
        <item x="128"/>
        <item x="373"/>
        <item x="452"/>
        <item x="802"/>
        <item x="448"/>
        <item x="144"/>
        <item x="63"/>
        <item x="333"/>
        <item x="37"/>
        <item x="123"/>
        <item x="821"/>
        <item x="760"/>
        <item x="928"/>
        <item x="418"/>
        <item x="356"/>
        <item x="259"/>
        <item x="271"/>
        <item x="4"/>
        <item x="692"/>
        <item x="51"/>
        <item x="722"/>
        <item x="329"/>
        <item x="582"/>
        <item x="782"/>
        <item x="870"/>
        <item x="974"/>
        <item x="72"/>
        <item x="200"/>
        <item x="132"/>
        <item x="474"/>
        <item x="557"/>
        <item x="577"/>
        <item x="553"/>
        <item x="714"/>
        <item x="791"/>
        <item x="688"/>
        <item x="787"/>
        <item x="469"/>
        <item x="413"/>
        <item x="197"/>
        <item x="79"/>
        <item x="182"/>
        <item x="822"/>
        <item x="212"/>
        <item x="737"/>
        <item x="1012"/>
        <item x="547"/>
        <item x="997"/>
        <item x="204"/>
        <item x="630"/>
        <item x="226"/>
        <item x="67"/>
        <item x="339"/>
        <item x="349"/>
        <item x="332"/>
        <item x="549"/>
        <item x="5"/>
        <item x="972"/>
        <item x="239"/>
        <item x="207"/>
        <item x="401"/>
        <item x="103"/>
        <item x="89"/>
        <item x="789"/>
        <item x="208"/>
        <item x="487"/>
        <item x="185"/>
        <item x="730"/>
        <item x="977"/>
        <item x="829"/>
        <item x="1001"/>
        <item x="203"/>
        <item x="78"/>
        <item x="75"/>
        <item x="766"/>
        <item x="439"/>
        <item x="390"/>
        <item x="815"/>
        <item x="562"/>
        <item x="265"/>
        <item x="856"/>
        <item x="746"/>
        <item x="111"/>
        <item x="357"/>
        <item x="473"/>
        <item x="221"/>
        <item x="447"/>
        <item x="811"/>
        <item x="322"/>
        <item x="267"/>
        <item x="21"/>
        <item x="877"/>
        <item x="1022"/>
        <item x="118"/>
        <item x="0"/>
        <item x="50"/>
        <item x="794"/>
        <item x="156"/>
        <item x="400"/>
        <item x="160"/>
        <item x="213"/>
        <item x="395"/>
        <item x="645"/>
        <item x="625"/>
        <item x="880"/>
        <item x="325"/>
        <item x="661"/>
        <item x="255"/>
        <item x="205"/>
        <item x="708"/>
        <item x="31"/>
        <item x="434"/>
        <item x="230"/>
        <item x="326"/>
        <item x="363"/>
        <item x="756"/>
        <item x="552"/>
        <item x="747"/>
        <item x="991"/>
        <item x="353"/>
        <item x="753"/>
        <item x="82"/>
        <item x="362"/>
        <item x="234"/>
        <item x="1024"/>
        <item x="219"/>
        <item x="446"/>
        <item x="779"/>
        <item x="750"/>
        <item x="372"/>
        <item x="297"/>
        <item x="508"/>
        <item x="279"/>
        <item x="251"/>
        <item x="201"/>
        <item x="398"/>
        <item x="417"/>
        <item x="623"/>
        <item x="457"/>
        <item x="932"/>
        <item x="442"/>
        <item x="651"/>
        <item x="909"/>
        <item x="95"/>
        <item x="785"/>
        <item x="319"/>
        <item x="394"/>
        <item x="602"/>
        <item x="222"/>
        <item x="666"/>
        <item x="429"/>
        <item x="277"/>
        <item x="1014"/>
        <item x="939"/>
        <item x="281"/>
        <item x="884"/>
        <item x="354"/>
        <item x="982"/>
        <item x="640"/>
        <item x="231"/>
        <item x="56"/>
        <item x="460"/>
        <item x="58"/>
        <item x="990"/>
        <item x="838"/>
        <item x="698"/>
        <item x="453"/>
        <item x="269"/>
        <item x="161"/>
        <item x="295"/>
        <item x="506"/>
        <item x="36"/>
        <item x="70"/>
        <item x="641"/>
        <item x="723"/>
        <item x="252"/>
        <item x="751"/>
        <item x="192"/>
        <item x="616"/>
        <item x="369"/>
        <item x="41"/>
        <item x="13"/>
        <item x="290"/>
        <item x="622"/>
        <item x="248"/>
        <item x="683"/>
        <item x="32"/>
        <item x="907"/>
        <item x="985"/>
        <item x="1"/>
        <item x="44"/>
        <item x="250"/>
        <item x="83"/>
        <item x="597"/>
        <item x="816"/>
        <item x="507"/>
        <item x="680"/>
        <item x="790"/>
        <item x="628"/>
        <item x="878"/>
        <item x="175"/>
        <item x="744"/>
        <item x="509"/>
        <item x="256"/>
        <item x="22"/>
        <item x="307"/>
        <item x="47"/>
        <item x="516"/>
        <item x="969"/>
        <item x="761"/>
        <item x="976"/>
        <item x="598"/>
        <item x="60"/>
        <item x="115"/>
        <item x="430"/>
        <item x="379"/>
        <item x="801"/>
        <item x="93"/>
        <item x="249"/>
        <item x="532"/>
        <item x="218"/>
        <item x="97"/>
        <item x="199"/>
        <item x="154"/>
        <item x="607"/>
        <item x="168"/>
        <item x="125"/>
        <item x="905"/>
        <item x="710"/>
        <item x="603"/>
        <item x="1009"/>
        <item x="650"/>
        <item x="440"/>
        <item x="674"/>
        <item x="210"/>
        <item x="619"/>
        <item x="186"/>
        <item x="497"/>
        <item x="479"/>
        <item x="919"/>
        <item x="803"/>
        <item x="315"/>
        <item x="45"/>
        <item x="1032"/>
        <item x="3"/>
        <item x="48"/>
        <item x="206"/>
        <item x="157"/>
        <item x="492"/>
        <item x="530"/>
        <item x="217"/>
        <item x="435"/>
        <item x="851"/>
        <item x="795"/>
        <item x="348"/>
        <item x="334"/>
        <item x="707"/>
        <item x="33"/>
        <item x="274"/>
        <item x="69"/>
        <item x="702"/>
        <item x="194"/>
        <item x="621"/>
        <item x="961"/>
        <item x="388"/>
        <item x="739"/>
        <item x="311"/>
        <item x="608"/>
        <item x="247"/>
        <item x="227"/>
        <item x="470"/>
        <item x="257"/>
        <item x="397"/>
        <item x="555"/>
        <item x="812"/>
        <item x="303"/>
        <item x="775"/>
        <item x="752"/>
        <item x="464"/>
        <item x="875"/>
        <item x="365"/>
        <item x="658"/>
        <item x="894"/>
        <item x="585"/>
        <item x="528"/>
        <item x="136"/>
        <item x="220"/>
        <item x="805"/>
        <item x="85"/>
        <item x="166"/>
        <item x="40"/>
        <item x="501"/>
        <item x="632"/>
        <item x="850"/>
        <item x="599"/>
        <item x="699"/>
        <item x="709"/>
        <item x="389"/>
        <item x="543"/>
        <item x="235"/>
        <item x="288"/>
        <item x="499"/>
        <item x="416"/>
        <item x="778"/>
        <item x="995"/>
        <item x="392"/>
        <item x="270"/>
        <item x="498"/>
        <item x="306"/>
        <item x="364"/>
        <item x="90"/>
        <item x="542"/>
        <item x="94"/>
        <item x="783"/>
        <item x="358"/>
        <item x="335"/>
        <item x="586"/>
        <item x="842"/>
        <item x="796"/>
        <item x="396"/>
        <item x="23"/>
        <item x="96"/>
        <item x="39"/>
        <item x="240"/>
        <item x="765"/>
        <item x="54"/>
        <item x="367"/>
        <item x="857"/>
        <item x="682"/>
        <item x="117"/>
        <item x="153"/>
        <item x="216"/>
        <item x="515"/>
        <item x="341"/>
        <item x="495"/>
        <item x="338"/>
        <item x="731"/>
        <item x="324"/>
        <item x="955"/>
        <item x="384"/>
        <item x="407"/>
        <item x="749"/>
        <item x="266"/>
        <item x="414"/>
        <item x="1007"/>
        <item x="949"/>
        <item x="150"/>
        <item x="66"/>
        <item x="913"/>
        <item x="191"/>
        <item x="950"/>
        <item x="8"/>
        <item x="162"/>
        <item x="895"/>
        <item x="635"/>
        <item x="84"/>
        <item x="260"/>
        <item x="169"/>
        <item x="477"/>
        <item x="178"/>
        <item x="936"/>
        <item x="806"/>
        <item x="720"/>
        <item x="983"/>
        <item x="188"/>
        <item x="589"/>
        <item x="229"/>
        <item x="292"/>
        <item x="832"/>
        <item x="526"/>
        <item x="885"/>
        <item x="195"/>
        <item x="404"/>
        <item x="965"/>
        <item x="610"/>
        <item x="74"/>
        <item x="261"/>
        <item x="405"/>
        <item x="638"/>
        <item x="910"/>
        <item x="163"/>
        <item x="989"/>
        <item x="148"/>
        <item x="286"/>
        <item x="696"/>
        <item x="87"/>
        <item x="836"/>
        <item x="180"/>
        <item x="119"/>
        <item x="76"/>
        <item x="444"/>
        <item x="788"/>
        <item x="104"/>
        <item x="541"/>
        <item x="412"/>
        <item x="289"/>
        <item x="538"/>
        <item x="375"/>
        <item x="703"/>
        <item x="176"/>
        <item x="945"/>
        <item x="798"/>
        <item x="858"/>
        <item x="438"/>
        <item x="620"/>
        <item x="59"/>
        <item x="179"/>
        <item x="986"/>
        <item x="18"/>
        <item x="244"/>
        <item x="1010"/>
        <item x="964"/>
        <item x="771"/>
        <item x="957"/>
        <item x="471"/>
        <item x="138"/>
        <item x="984"/>
        <item x="461"/>
        <item x="173"/>
        <item x="159"/>
        <item x="807"/>
        <item x="854"/>
        <item x="16"/>
        <item x="998"/>
        <item x="35"/>
        <item x="659"/>
        <item x="336"/>
        <item x="80"/>
        <item x="406"/>
        <item x="340"/>
        <item x="374"/>
        <item x="770"/>
        <item x="604"/>
        <item x="846"/>
        <item x="671"/>
        <item x="935"/>
        <item x="642"/>
        <item x="193"/>
        <item x="57"/>
        <item x="684"/>
        <item x="301"/>
        <item x="996"/>
        <item x="223"/>
        <item x="840"/>
        <item x="361"/>
        <item x="299"/>
        <item x="763"/>
        <item x="792"/>
        <item x="537"/>
        <item x="527"/>
        <item x="834"/>
        <item x="859"/>
        <item x="712"/>
        <item x="1019"/>
        <item x="613"/>
        <item x="25"/>
        <item x="167"/>
        <item x="533"/>
        <item x="172"/>
        <item x="387"/>
        <item x="911"/>
        <item x="819"/>
        <item x="929"/>
        <item x="241"/>
        <item x="139"/>
        <item x="845"/>
        <item x="171"/>
        <item x="573"/>
        <item x="243"/>
        <item x="381"/>
        <item x="634"/>
        <item x="68"/>
        <item x="113"/>
        <item x="663"/>
        <item x="77"/>
        <item x="177"/>
        <item x="346"/>
        <item x="601"/>
        <item x="263"/>
        <item x="491"/>
        <item x="906"/>
        <item x="343"/>
        <item x="664"/>
        <item x="155"/>
        <item x="657"/>
        <item x="496"/>
        <item x="748"/>
        <item x="512"/>
        <item x="29"/>
        <item x="944"/>
        <item x="780"/>
        <item x="968"/>
        <item x="647"/>
        <item x="617"/>
        <item x="668"/>
        <item x="183"/>
        <item x="980"/>
        <item x="934"/>
        <item x="489"/>
        <item x="956"/>
        <item x="967"/>
        <item x="784"/>
        <item x="458"/>
        <item x="804"/>
        <item x="853"/>
        <item x="691"/>
        <item x="73"/>
        <item x="258"/>
        <item x="426"/>
        <item x="233"/>
        <item x="687"/>
        <item x="717"/>
        <item x="242"/>
        <item x="558"/>
        <item x="88"/>
        <item x="65"/>
        <item x="831"/>
        <item x="483"/>
        <item x="817"/>
        <item x="606"/>
        <item x="383"/>
        <item x="34"/>
        <item x="953"/>
        <item x="942"/>
        <item x="813"/>
        <item x="393"/>
        <item x="727"/>
        <item x="485"/>
        <item x="979"/>
        <item x="837"/>
        <item x="456"/>
        <item x="700"/>
        <item x="768"/>
        <item x="478"/>
        <item x="762"/>
        <item x="713"/>
        <item x="908"/>
        <item x="716"/>
        <item x="484"/>
        <item x="633"/>
        <item x="170"/>
        <item x="704"/>
        <item x="459"/>
        <item x="164"/>
        <item x="64"/>
        <item x="999"/>
        <item x="941"/>
        <item x="670"/>
        <item x="91"/>
        <item x="245"/>
        <item x="402"/>
        <item x="46"/>
        <item x="981"/>
        <item x="797"/>
        <item x="960"/>
        <item x="184"/>
        <item x="933"/>
        <item x="725"/>
        <item x="904"/>
        <item x="781"/>
        <item x="890"/>
        <item x="772"/>
        <item x="347"/>
        <item x="377"/>
        <item x="755"/>
        <item x="42"/>
        <item x="232"/>
        <item x="637"/>
        <item x="891"/>
        <item x="556"/>
        <item x="937"/>
        <item x="793"/>
        <item x="1000"/>
        <item x="61"/>
        <item x="860"/>
        <item x="1020"/>
        <item x="181"/>
        <item x="52"/>
        <item x="758"/>
        <item x="254"/>
        <item x="871"/>
        <item x="525"/>
        <item x="411"/>
        <item x="896"/>
        <item x="786"/>
        <item x="951"/>
        <item x="962"/>
        <item x="988"/>
        <item x="975"/>
        <item x="143"/>
        <item x="754"/>
        <item x="1033"/>
        <item x="618"/>
        <item x="808"/>
        <item x="958"/>
        <item x="1013"/>
        <item x="380"/>
        <item x="1018"/>
        <item x="916"/>
        <item x="963"/>
        <item x="71"/>
        <item x="892"/>
        <item x="959"/>
        <item x="769"/>
        <item x="861"/>
        <item x="1005"/>
        <item x="253"/>
        <item x="544"/>
        <item x="970"/>
        <item x="897"/>
        <item x="189"/>
        <item x="824"/>
        <item x="158"/>
        <item x="893"/>
        <item x="889"/>
        <item x="376"/>
        <item x="952"/>
        <item x="767"/>
        <item x="711"/>
        <item x="900"/>
        <item x="660"/>
        <item x="943"/>
        <item x="1035"/>
        <item t="default"/>
      </items>
    </pivotField>
    <pivotField dataField="1" compact="0" showAll="0">
      <items count="2634"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459"/>
        <item x="701"/>
        <item x="496"/>
        <item x="1082"/>
        <item x="711"/>
        <item x="712"/>
        <item x="713"/>
        <item x="714"/>
        <item x="715"/>
        <item x="716"/>
        <item x="1083"/>
        <item x="717"/>
        <item x="1084"/>
        <item x="718"/>
        <item x="719"/>
        <item x="720"/>
        <item x="721"/>
        <item x="170"/>
        <item x="722"/>
        <item x="987"/>
        <item x="723"/>
        <item x="1085"/>
        <item x="988"/>
        <item x="724"/>
        <item x="1086"/>
        <item x="2549"/>
        <item x="725"/>
        <item x="726"/>
        <item x="989"/>
        <item x="727"/>
        <item x="1087"/>
        <item x="728"/>
        <item x="729"/>
        <item x="990"/>
        <item x="730"/>
        <item x="731"/>
        <item x="1088"/>
        <item x="1089"/>
        <item x="732"/>
        <item x="733"/>
        <item x="734"/>
        <item x="735"/>
        <item x="736"/>
        <item x="737"/>
        <item x="1090"/>
        <item x="738"/>
        <item x="1091"/>
        <item x="2612"/>
        <item x="739"/>
        <item x="171"/>
        <item x="2297"/>
        <item x="740"/>
        <item x="1460"/>
        <item x="741"/>
        <item x="1006"/>
        <item x="742"/>
        <item x="743"/>
        <item x="991"/>
        <item x="1092"/>
        <item x="744"/>
        <item x="992"/>
        <item x="745"/>
        <item x="2550"/>
        <item x="1093"/>
        <item x="2551"/>
        <item x="746"/>
        <item x="747"/>
        <item x="748"/>
        <item x="749"/>
        <item x="1094"/>
        <item x="750"/>
        <item x="1095"/>
        <item x="2245"/>
        <item x="751"/>
        <item x="2032"/>
        <item x="1096"/>
        <item x="1097"/>
        <item x="172"/>
        <item x="752"/>
        <item x="753"/>
        <item x="754"/>
        <item x="1461"/>
        <item x="1098"/>
        <item x="1007"/>
        <item x="755"/>
        <item x="1099"/>
        <item x="1462"/>
        <item x="756"/>
        <item x="757"/>
        <item x="758"/>
        <item x="1100"/>
        <item x="759"/>
        <item x="173"/>
        <item x="174"/>
        <item x="2552"/>
        <item x="1101"/>
        <item x="1102"/>
        <item x="760"/>
        <item x="993"/>
        <item x="761"/>
        <item x="762"/>
        <item x="763"/>
        <item x="764"/>
        <item x="765"/>
        <item x="175"/>
        <item x="766"/>
        <item x="767"/>
        <item x="768"/>
        <item x="769"/>
        <item x="1103"/>
        <item x="770"/>
        <item x="771"/>
        <item x="772"/>
        <item x="1104"/>
        <item x="773"/>
        <item x="2553"/>
        <item x="2394"/>
        <item x="1105"/>
        <item x="1106"/>
        <item x="1107"/>
        <item x="567"/>
        <item x="1108"/>
        <item x="1326"/>
        <item x="1159"/>
        <item x="774"/>
        <item x="775"/>
        <item x="776"/>
        <item x="777"/>
        <item x="778"/>
        <item x="2554"/>
        <item x="2555"/>
        <item x="779"/>
        <item x="1109"/>
        <item x="780"/>
        <item x="781"/>
        <item x="1463"/>
        <item x="1110"/>
        <item x="2499"/>
        <item x="2556"/>
        <item x="782"/>
        <item x="783"/>
        <item x="784"/>
        <item x="785"/>
        <item x="1257"/>
        <item x="786"/>
        <item x="1008"/>
        <item x="2500"/>
        <item x="176"/>
        <item x="177"/>
        <item x="178"/>
        <item x="994"/>
        <item x="787"/>
        <item x="1080"/>
        <item x="1009"/>
        <item x="788"/>
        <item x="789"/>
        <item x="1111"/>
        <item x="1112"/>
        <item x="790"/>
        <item x="791"/>
        <item x="179"/>
        <item x="995"/>
        <item x="792"/>
        <item x="2557"/>
        <item x="793"/>
        <item x="180"/>
        <item x="181"/>
        <item x="794"/>
        <item x="795"/>
        <item x="796"/>
        <item x="2254"/>
        <item x="797"/>
        <item x="1010"/>
        <item x="182"/>
        <item x="1113"/>
        <item x="1114"/>
        <item x="183"/>
        <item x="798"/>
        <item x="598"/>
        <item x="2197"/>
        <item x="1464"/>
        <item x="799"/>
        <item x="2558"/>
        <item x="1115"/>
        <item x="1011"/>
        <item x="184"/>
        <item x="568"/>
        <item x="1012"/>
        <item x="2559"/>
        <item x="800"/>
        <item x="1465"/>
        <item x="801"/>
        <item x="802"/>
        <item x="2255"/>
        <item x="1160"/>
        <item x="2412"/>
        <item x="1466"/>
        <item x="803"/>
        <item x="1013"/>
        <item x="1116"/>
        <item x="804"/>
        <item x="1467"/>
        <item x="1468"/>
        <item x="1161"/>
        <item x="805"/>
        <item x="1014"/>
        <item x="806"/>
        <item x="2413"/>
        <item x="1117"/>
        <item x="2033"/>
        <item x="807"/>
        <item x="1162"/>
        <item x="185"/>
        <item x="1469"/>
        <item x="1176"/>
        <item x="497"/>
        <item x="1470"/>
        <item x="2560"/>
        <item x="498"/>
        <item x="186"/>
        <item x="808"/>
        <item x="187"/>
        <item x="809"/>
        <item x="2414"/>
        <item x="1471"/>
        <item x="1163"/>
        <item x="188"/>
        <item x="810"/>
        <item x="1118"/>
        <item x="811"/>
        <item x="2561"/>
        <item x="1119"/>
        <item x="812"/>
        <item x="569"/>
        <item x="813"/>
        <item x="2268"/>
        <item x="1120"/>
        <item x="2198"/>
        <item x="1121"/>
        <item x="2034"/>
        <item x="2035"/>
        <item x="814"/>
        <item x="815"/>
        <item x="816"/>
        <item x="570"/>
        <item x="2501"/>
        <item x="1015"/>
        <item x="2369"/>
        <item x="817"/>
        <item x="818"/>
        <item x="819"/>
        <item x="820"/>
        <item x="1122"/>
        <item x="2298"/>
        <item x="821"/>
        <item x="822"/>
        <item x="1123"/>
        <item x="189"/>
        <item x="2036"/>
        <item x="823"/>
        <item x="824"/>
        <item x="1124"/>
        <item x="825"/>
        <item x="2199"/>
        <item x="1016"/>
        <item x="826"/>
        <item x="1472"/>
        <item x="827"/>
        <item x="1473"/>
        <item x="828"/>
        <item x="829"/>
        <item x="2483"/>
        <item x="2562"/>
        <item x="2563"/>
        <item x="1017"/>
        <item x="1474"/>
        <item x="499"/>
        <item x="1475"/>
        <item x="1018"/>
        <item x="1125"/>
        <item x="190"/>
        <item x="1019"/>
        <item x="191"/>
        <item x="2383"/>
        <item x="192"/>
        <item x="1476"/>
        <item x="2037"/>
        <item x="830"/>
        <item x="2564"/>
        <item x="193"/>
        <item x="194"/>
        <item x="2038"/>
        <item x="1126"/>
        <item x="2565"/>
        <item x="2039"/>
        <item x="2566"/>
        <item x="2567"/>
        <item x="2568"/>
        <item x="1127"/>
        <item x="1180"/>
        <item x="2415"/>
        <item x="831"/>
        <item x="832"/>
        <item x="1477"/>
        <item x="833"/>
        <item x="2200"/>
        <item x="834"/>
        <item x="2040"/>
        <item x="1478"/>
        <item x="835"/>
        <item x="1020"/>
        <item x="2041"/>
        <item x="195"/>
        <item x="836"/>
        <item x="2569"/>
        <item x="837"/>
        <item x="2042"/>
        <item x="1021"/>
        <item x="196"/>
        <item x="1164"/>
        <item x="838"/>
        <item x="197"/>
        <item x="1022"/>
        <item x="1479"/>
        <item x="2570"/>
        <item x="2269"/>
        <item x="996"/>
        <item x="2043"/>
        <item x="1480"/>
        <item x="1481"/>
        <item x="2395"/>
        <item x="198"/>
        <item x="839"/>
        <item x="2539"/>
        <item x="2044"/>
        <item x="2246"/>
        <item x="840"/>
        <item x="2502"/>
        <item x="1482"/>
        <item x="1165"/>
        <item x="2571"/>
        <item x="1128"/>
        <item x="1023"/>
        <item x="1483"/>
        <item x="841"/>
        <item x="1484"/>
        <item x="1129"/>
        <item x="1130"/>
        <item x="1485"/>
        <item x="2270"/>
        <item x="2572"/>
        <item x="1486"/>
        <item x="2045"/>
        <item x="842"/>
        <item x="2520"/>
        <item x="1487"/>
        <item x="1131"/>
        <item x="1132"/>
        <item x="199"/>
        <item x="843"/>
        <item x="1024"/>
        <item x="1133"/>
        <item x="1488"/>
        <item x="2046"/>
        <item x="844"/>
        <item x="200"/>
        <item x="845"/>
        <item x="2047"/>
        <item x="2201"/>
        <item x="1489"/>
        <item x="846"/>
        <item x="201"/>
        <item x="2048"/>
        <item x="2573"/>
        <item x="1025"/>
        <item x="847"/>
        <item x="848"/>
        <item x="849"/>
        <item x="850"/>
        <item x="651"/>
        <item x="202"/>
        <item x="2574"/>
        <item x="2049"/>
        <item x="1134"/>
        <item x="203"/>
        <item x="851"/>
        <item x="1135"/>
        <item x="204"/>
        <item x="571"/>
        <item x="205"/>
        <item x="1331"/>
        <item x="1490"/>
        <item x="206"/>
        <item x="2256"/>
        <item x="852"/>
        <item x="2484"/>
        <item x="1491"/>
        <item x="2202"/>
        <item x="853"/>
        <item x="2463"/>
        <item x="1492"/>
        <item x="2203"/>
        <item x="207"/>
        <item x="2050"/>
        <item x="2051"/>
        <item x="2204"/>
        <item x="2052"/>
        <item x="1026"/>
        <item x="1136"/>
        <item x="208"/>
        <item x="854"/>
        <item x="1493"/>
        <item x="1027"/>
        <item x="1494"/>
        <item x="2053"/>
        <item x="1495"/>
        <item x="1496"/>
        <item x="855"/>
        <item x="2054"/>
        <item x="209"/>
        <item x="1497"/>
        <item x="997"/>
        <item x="2271"/>
        <item x="2370"/>
        <item x="856"/>
        <item x="857"/>
        <item x="858"/>
        <item x="859"/>
        <item x="1498"/>
        <item x="2055"/>
        <item x="2056"/>
        <item x="1177"/>
        <item x="517"/>
        <item x="500"/>
        <item x="2299"/>
        <item x="860"/>
        <item x="2485"/>
        <item x="861"/>
        <item x="2575"/>
        <item x="2057"/>
        <item x="210"/>
        <item x="2464"/>
        <item x="1499"/>
        <item x="862"/>
        <item x="2205"/>
        <item x="1500"/>
        <item x="2272"/>
        <item x="863"/>
        <item x="2058"/>
        <item x="611"/>
        <item x="1137"/>
        <item x="2486"/>
        <item x="864"/>
        <item x="2059"/>
        <item x="1501"/>
        <item x="865"/>
        <item x="2273"/>
        <item x="1028"/>
        <item x="2576"/>
        <item x="1502"/>
        <item x="866"/>
        <item x="2384"/>
        <item x="211"/>
        <item x="867"/>
        <item x="2060"/>
        <item x="1503"/>
        <item x="1504"/>
        <item x="868"/>
        <item x="2206"/>
        <item x="2274"/>
        <item x="535"/>
        <item x="2577"/>
        <item x="1505"/>
        <item x="2487"/>
        <item x="212"/>
        <item x="2503"/>
        <item x="1506"/>
        <item x="1138"/>
        <item x="1139"/>
        <item x="869"/>
        <item x="870"/>
        <item x="1507"/>
        <item x="213"/>
        <item x="1508"/>
        <item x="214"/>
        <item x="1140"/>
        <item x="1509"/>
        <item x="1510"/>
        <item x="451"/>
        <item x="1511"/>
        <item x="871"/>
        <item x="2521"/>
        <item x="501"/>
        <item x="2416"/>
        <item x="518"/>
        <item x="215"/>
        <item x="2417"/>
        <item x="872"/>
        <item x="873"/>
        <item x="1029"/>
        <item x="2465"/>
        <item x="1512"/>
        <item x="2300"/>
        <item x="2371"/>
        <item x="2061"/>
        <item x="874"/>
        <item x="875"/>
        <item x="1332"/>
        <item x="1513"/>
        <item x="1514"/>
        <item x="1515"/>
        <item x="216"/>
        <item x="876"/>
        <item x="877"/>
        <item x="878"/>
        <item x="452"/>
        <item x="2578"/>
        <item x="879"/>
        <item x="880"/>
        <item x="2247"/>
        <item x="217"/>
        <item x="218"/>
        <item x="2062"/>
        <item x="1141"/>
        <item x="219"/>
        <item x="2242"/>
        <item x="1516"/>
        <item x="881"/>
        <item x="998"/>
        <item x="2301"/>
        <item x="220"/>
        <item x="221"/>
        <item x="2063"/>
        <item x="882"/>
        <item x="1517"/>
        <item x="2488"/>
        <item x="883"/>
        <item x="2257"/>
        <item x="884"/>
        <item x="885"/>
        <item x="2418"/>
        <item x="222"/>
        <item x="1333"/>
        <item x="599"/>
        <item x="886"/>
        <item x="223"/>
        <item x="224"/>
        <item x="2504"/>
        <item x="1518"/>
        <item x="2466"/>
        <item x="887"/>
        <item x="888"/>
        <item x="889"/>
        <item x="890"/>
        <item x="891"/>
        <item x="2207"/>
        <item x="1334"/>
        <item x="1519"/>
        <item x="2208"/>
        <item x="1520"/>
        <item x="2258"/>
        <item x="2064"/>
        <item x="2065"/>
        <item x="225"/>
        <item x="2419"/>
        <item x="226"/>
        <item x="453"/>
        <item x="892"/>
        <item x="1142"/>
        <item x="2579"/>
        <item x="1521"/>
        <item x="227"/>
        <item x="893"/>
        <item x="894"/>
        <item x="1522"/>
        <item x="1523"/>
        <item x="228"/>
        <item x="895"/>
        <item x="896"/>
        <item x="1524"/>
        <item x="2489"/>
        <item x="1181"/>
        <item x="2066"/>
        <item x="1525"/>
        <item x="1526"/>
        <item x="2067"/>
        <item x="1527"/>
        <item x="229"/>
        <item x="1143"/>
        <item x="1335"/>
        <item x="1528"/>
        <item x="230"/>
        <item x="1144"/>
        <item x="1529"/>
        <item x="1530"/>
        <item x="1531"/>
        <item x="2068"/>
        <item x="2420"/>
        <item x="2421"/>
        <item x="897"/>
        <item x="1532"/>
        <item x="231"/>
        <item x="232"/>
        <item x="1533"/>
        <item x="233"/>
        <item x="234"/>
        <item x="235"/>
        <item x="2490"/>
        <item x="2580"/>
        <item x="898"/>
        <item x="2069"/>
        <item x="899"/>
        <item x="236"/>
        <item x="628"/>
        <item x="1534"/>
        <item x="900"/>
        <item x="901"/>
        <item x="237"/>
        <item x="2422"/>
        <item x="902"/>
        <item x="1535"/>
        <item x="1536"/>
        <item x="2070"/>
        <item x="903"/>
        <item x="1336"/>
        <item x="1537"/>
        <item x="1538"/>
        <item x="1539"/>
        <item x="1030"/>
        <item x="2209"/>
        <item x="1031"/>
        <item x="2372"/>
        <item x="1540"/>
        <item x="1541"/>
        <item x="904"/>
        <item x="238"/>
        <item x="612"/>
        <item x="1337"/>
        <item x="2071"/>
        <item x="572"/>
        <item x="2467"/>
        <item x="905"/>
        <item x="1166"/>
        <item x="1542"/>
        <item x="1543"/>
        <item x="2441"/>
        <item x="906"/>
        <item x="907"/>
        <item x="239"/>
        <item x="2505"/>
        <item x="908"/>
        <item x="1544"/>
        <item x="2210"/>
        <item x="502"/>
        <item x="1545"/>
        <item x="1546"/>
        <item x="2385"/>
        <item x="2491"/>
        <item x="1547"/>
        <item x="1338"/>
        <item x="240"/>
        <item x="2072"/>
        <item x="1339"/>
        <item x="1548"/>
        <item x="909"/>
        <item x="1549"/>
        <item x="241"/>
        <item x="2581"/>
        <item x="1550"/>
        <item x="2396"/>
        <item x="1551"/>
        <item x="2073"/>
        <item x="1552"/>
        <item x="1553"/>
        <item x="1554"/>
        <item x="1555"/>
        <item x="910"/>
        <item x="242"/>
        <item x="243"/>
        <item x="244"/>
        <item x="245"/>
        <item x="2410"/>
        <item x="2302"/>
        <item x="2582"/>
        <item x="2583"/>
        <item x="911"/>
        <item x="246"/>
        <item x="1556"/>
        <item x="2584"/>
        <item x="247"/>
        <item x="248"/>
        <item x="912"/>
        <item x="1340"/>
        <item x="2585"/>
        <item x="2586"/>
        <item x="1557"/>
        <item x="913"/>
        <item x="2303"/>
        <item x="2468"/>
        <item x="1558"/>
        <item x="2587"/>
        <item x="1559"/>
        <item x="1560"/>
        <item x="2211"/>
        <item x="2074"/>
        <item x="914"/>
        <item x="2397"/>
        <item x="1208"/>
        <item x="1561"/>
        <item x="249"/>
        <item x="1341"/>
        <item x="2492"/>
        <item x="1562"/>
        <item x="250"/>
        <item x="2588"/>
        <item x="915"/>
        <item x="2304"/>
        <item x="2212"/>
        <item x="916"/>
        <item x="1563"/>
        <item x="251"/>
        <item x="1032"/>
        <item x="1033"/>
        <item x="1564"/>
        <item x="1565"/>
        <item x="1566"/>
        <item x="252"/>
        <item x="1567"/>
        <item x="1167"/>
        <item x="1034"/>
        <item x="613"/>
        <item x="1145"/>
        <item x="1568"/>
        <item x="2439"/>
        <item x="1569"/>
        <item x="2305"/>
        <item x="2075"/>
        <item x="1168"/>
        <item x="519"/>
        <item x="1570"/>
        <item x="253"/>
        <item x="1571"/>
        <item x="2306"/>
        <item x="1572"/>
        <item x="1146"/>
        <item x="1573"/>
        <item x="1035"/>
        <item x="917"/>
        <item x="2076"/>
        <item x="254"/>
        <item x="2307"/>
        <item x="1574"/>
        <item x="1169"/>
        <item x="918"/>
        <item x="999"/>
        <item x="1575"/>
        <item x="1576"/>
        <item x="2386"/>
        <item x="2077"/>
        <item x="1036"/>
        <item x="255"/>
        <item x="256"/>
        <item x="1342"/>
        <item x="2078"/>
        <item x="919"/>
        <item x="1577"/>
        <item x="1578"/>
        <item x="920"/>
        <item x="1037"/>
        <item x="1579"/>
        <item x="2308"/>
        <item x="2079"/>
        <item x="921"/>
        <item x="1580"/>
        <item x="1581"/>
        <item x="2080"/>
        <item x="1582"/>
        <item x="922"/>
        <item x="257"/>
        <item x="2081"/>
        <item x="1583"/>
        <item x="2589"/>
        <item x="2082"/>
        <item x="1584"/>
        <item x="1585"/>
        <item x="2590"/>
        <item x="2398"/>
        <item x="1586"/>
        <item x="1038"/>
        <item x="923"/>
        <item x="258"/>
        <item x="1343"/>
        <item x="1587"/>
        <item x="259"/>
        <item x="1588"/>
        <item x="2591"/>
        <item x="2213"/>
        <item x="2309"/>
        <item x="924"/>
        <item x="1589"/>
        <item x="260"/>
        <item x="1319"/>
        <item x="2083"/>
        <item x="1344"/>
        <item x="261"/>
        <item x="1590"/>
        <item x="1591"/>
        <item x="1592"/>
        <item x="1593"/>
        <item x="2493"/>
        <item x="600"/>
        <item x="925"/>
        <item x="262"/>
        <item x="2373"/>
        <item x="2592"/>
        <item x="1594"/>
        <item x="503"/>
        <item x="1595"/>
        <item x="486"/>
        <item x="2374"/>
        <item x="926"/>
        <item x="1596"/>
        <item x="1597"/>
        <item x="1598"/>
        <item x="1599"/>
        <item x="1182"/>
        <item x="2593"/>
        <item x="487"/>
        <item x="2594"/>
        <item x="2084"/>
        <item x="927"/>
        <item x="1600"/>
        <item x="263"/>
        <item x="1601"/>
        <item x="1000"/>
        <item x="1039"/>
        <item x="928"/>
        <item x="1602"/>
        <item x="1603"/>
        <item x="264"/>
        <item x="1604"/>
        <item x="1605"/>
        <item x="2085"/>
        <item x="265"/>
        <item x="929"/>
        <item x="2423"/>
        <item x="1606"/>
        <item x="266"/>
        <item x="2214"/>
        <item x="601"/>
        <item x="930"/>
        <item x="267"/>
        <item x="268"/>
        <item x="269"/>
        <item x="1240"/>
        <item x="1607"/>
        <item x="1001"/>
        <item x="1608"/>
        <item x="1609"/>
        <item x="1345"/>
        <item x="1170"/>
        <item x="2086"/>
        <item x="1346"/>
        <item x="2479"/>
        <item x="1347"/>
        <item x="2424"/>
        <item x="573"/>
        <item x="2310"/>
        <item x="1610"/>
        <item x="2311"/>
        <item x="270"/>
        <item x="1611"/>
        <item x="2275"/>
        <item x="2276"/>
        <item x="1348"/>
        <item x="1349"/>
        <item x="1222"/>
        <item x="2277"/>
        <item x="2595"/>
        <item x="1147"/>
        <item x="1350"/>
        <item x="1612"/>
        <item x="1613"/>
        <item x="2215"/>
        <item x="271"/>
        <item x="1614"/>
        <item x="2087"/>
        <item x="2425"/>
        <item x="2506"/>
        <item x="504"/>
        <item x="1615"/>
        <item x="272"/>
        <item x="2596"/>
        <item x="2088"/>
        <item x="1616"/>
        <item x="931"/>
        <item x="2089"/>
        <item x="1617"/>
        <item x="1618"/>
        <item x="1619"/>
        <item x="1620"/>
        <item x="932"/>
        <item x="933"/>
        <item x="2278"/>
        <item x="273"/>
        <item x="1621"/>
        <item x="2090"/>
        <item x="1148"/>
        <item x="274"/>
        <item x="2597"/>
        <item x="1622"/>
        <item x="2091"/>
        <item x="1351"/>
        <item x="1623"/>
        <item x="2216"/>
        <item x="934"/>
        <item x="2092"/>
        <item x="2442"/>
        <item x="1352"/>
        <item x="275"/>
        <item x="2469"/>
        <item x="1624"/>
        <item x="1625"/>
        <item x="454"/>
        <item x="2093"/>
        <item x="2279"/>
        <item x="2507"/>
        <item x="2243"/>
        <item x="276"/>
        <item x="277"/>
        <item x="1626"/>
        <item x="1627"/>
        <item x="935"/>
        <item x="505"/>
        <item x="2470"/>
        <item x="1628"/>
        <item x="1629"/>
        <item x="1630"/>
        <item x="1631"/>
        <item x="936"/>
        <item x="1632"/>
        <item x="278"/>
        <item x="2399"/>
        <item x="2312"/>
        <item x="279"/>
        <item x="1633"/>
        <item x="1634"/>
        <item x="1635"/>
        <item x="1040"/>
        <item x="609"/>
        <item x="1353"/>
        <item x="1636"/>
        <item x="2400"/>
        <item x="1354"/>
        <item x="2426"/>
        <item x="2259"/>
        <item x="1149"/>
        <item x="1637"/>
        <item x="1638"/>
        <item x="280"/>
        <item x="1171"/>
        <item x="1639"/>
        <item x="2313"/>
        <item x="2375"/>
        <item x="281"/>
        <item x="614"/>
        <item x="282"/>
        <item x="1640"/>
        <item x="2094"/>
        <item x="1641"/>
        <item x="520"/>
        <item x="574"/>
        <item x="2376"/>
        <item x="1642"/>
        <item x="2508"/>
        <item x="937"/>
        <item x="1355"/>
        <item x="1150"/>
        <item x="2217"/>
        <item x="1643"/>
        <item x="283"/>
        <item x="284"/>
        <item x="521"/>
        <item x="1644"/>
        <item x="938"/>
        <item x="2401"/>
        <item x="2095"/>
        <item x="939"/>
        <item x="2218"/>
        <item x="1645"/>
        <item x="2471"/>
        <item x="2096"/>
        <item x="2314"/>
        <item x="1646"/>
        <item x="2494"/>
        <item x="2472"/>
        <item x="1041"/>
        <item x="285"/>
        <item x="2097"/>
        <item x="286"/>
        <item x="602"/>
        <item x="1647"/>
        <item x="287"/>
        <item x="1648"/>
        <item x="2427"/>
        <item x="1649"/>
        <item x="1356"/>
        <item x="1650"/>
        <item x="940"/>
        <item x="1651"/>
        <item x="1652"/>
        <item x="1042"/>
        <item x="1653"/>
        <item x="941"/>
        <item x="1357"/>
        <item x="2609"/>
        <item x="1654"/>
        <item x="1655"/>
        <item x="288"/>
        <item x="1656"/>
        <item x="1657"/>
        <item x="2280"/>
        <item x="289"/>
        <item x="2098"/>
        <item x="1358"/>
        <item x="1658"/>
        <item x="2099"/>
        <item x="2428"/>
        <item x="1659"/>
        <item x="2100"/>
        <item x="290"/>
        <item x="2315"/>
        <item x="291"/>
        <item x="2377"/>
        <item x="2613"/>
        <item x="942"/>
        <item x="2316"/>
        <item x="1660"/>
        <item x="1043"/>
        <item x="1661"/>
        <item x="2101"/>
        <item x="1662"/>
        <item x="575"/>
        <item x="1663"/>
        <item x="292"/>
        <item x="293"/>
        <item x="294"/>
        <item x="1664"/>
        <item x="2317"/>
        <item x="1253"/>
        <item x="295"/>
        <item x="2102"/>
        <item x="1665"/>
        <item x="2103"/>
        <item x="943"/>
        <item x="1044"/>
        <item x="1151"/>
        <item x="1666"/>
        <item x="2598"/>
        <item x="603"/>
        <item x="1667"/>
        <item x="1668"/>
        <item x="944"/>
        <item x="2378"/>
        <item x="1359"/>
        <item x="2318"/>
        <item x="1152"/>
        <item x="2104"/>
        <item x="2319"/>
        <item x="2105"/>
        <item x="1669"/>
        <item x="1360"/>
        <item x="296"/>
        <item x="297"/>
        <item x="298"/>
        <item x="2106"/>
        <item x="299"/>
        <item x="506"/>
        <item x="300"/>
        <item x="2107"/>
        <item x="1670"/>
        <item x="2320"/>
        <item x="1671"/>
        <item x="1672"/>
        <item x="1673"/>
        <item x="945"/>
        <item x="1674"/>
        <item x="301"/>
        <item x="2321"/>
        <item x="1183"/>
        <item x="1675"/>
        <item x="1045"/>
        <item x="302"/>
        <item x="1676"/>
        <item x="2322"/>
        <item x="303"/>
        <item x="304"/>
        <item x="1677"/>
        <item x="305"/>
        <item x="306"/>
        <item x="2108"/>
        <item x="1678"/>
        <item x="2509"/>
        <item x="2323"/>
        <item x="1679"/>
        <item x="488"/>
        <item x="2387"/>
        <item x="307"/>
        <item x="2324"/>
        <item x="1046"/>
        <item x="1680"/>
        <item x="308"/>
        <item x="2510"/>
        <item x="1047"/>
        <item x="2248"/>
        <item x="309"/>
        <item x="310"/>
        <item x="1681"/>
        <item x="1682"/>
        <item x="311"/>
        <item x="1361"/>
        <item x="312"/>
        <item x="2219"/>
        <item x="313"/>
        <item x="1048"/>
        <item x="1683"/>
        <item x="1049"/>
        <item x="1050"/>
        <item x="946"/>
        <item x="947"/>
        <item x="2109"/>
        <item x="314"/>
        <item x="315"/>
        <item x="2460"/>
        <item x="316"/>
        <item x="2325"/>
        <item x="1684"/>
        <item x="1051"/>
        <item x="948"/>
        <item x="2110"/>
        <item x="1685"/>
        <item x="1686"/>
        <item x="317"/>
        <item x="318"/>
        <item x="1184"/>
        <item x="1687"/>
        <item x="319"/>
        <item x="1688"/>
        <item x="1689"/>
        <item x="1690"/>
        <item x="1691"/>
        <item x="1692"/>
        <item x="2220"/>
        <item x="1693"/>
        <item x="1694"/>
        <item x="1695"/>
        <item x="2111"/>
        <item x="1696"/>
        <item x="1362"/>
        <item x="1363"/>
        <item x="1697"/>
        <item x="949"/>
        <item x="320"/>
        <item x="950"/>
        <item x="2252"/>
        <item x="1698"/>
        <item x="1209"/>
        <item x="1052"/>
        <item x="2614"/>
        <item x="1172"/>
        <item x="1699"/>
        <item x="1700"/>
        <item x="1364"/>
        <item x="321"/>
        <item x="1701"/>
        <item x="1365"/>
        <item x="1702"/>
        <item x="1703"/>
        <item x="2599"/>
        <item x="1704"/>
        <item x="1705"/>
        <item x="1002"/>
        <item x="2221"/>
        <item x="455"/>
        <item x="2112"/>
        <item x="2113"/>
        <item x="2480"/>
        <item x="1706"/>
        <item x="1707"/>
        <item x="322"/>
        <item x="1708"/>
        <item x="1709"/>
        <item x="951"/>
        <item x="2222"/>
        <item x="323"/>
        <item x="1366"/>
        <item x="1710"/>
        <item x="2114"/>
        <item x="1210"/>
        <item x="2402"/>
        <item x="2326"/>
        <item x="2408"/>
        <item x="1711"/>
        <item x="1712"/>
        <item x="324"/>
        <item x="2115"/>
        <item x="1053"/>
        <item x="1713"/>
        <item x="1714"/>
        <item x="522"/>
        <item x="2388"/>
        <item x="1715"/>
        <item x="1716"/>
        <item x="1717"/>
        <item x="325"/>
        <item x="326"/>
        <item x="2403"/>
        <item x="327"/>
        <item x="1718"/>
        <item x="2116"/>
        <item x="1719"/>
        <item x="2327"/>
        <item x="1367"/>
        <item x="2281"/>
        <item x="328"/>
        <item x="2117"/>
        <item x="1720"/>
        <item x="1721"/>
        <item x="2118"/>
        <item x="1722"/>
        <item x="1368"/>
        <item x="2249"/>
        <item x="1723"/>
        <item x="329"/>
        <item x="1724"/>
        <item x="1725"/>
        <item x="1726"/>
        <item x="615"/>
        <item x="616"/>
        <item x="1727"/>
        <item x="1728"/>
        <item x="1369"/>
        <item x="1054"/>
        <item x="330"/>
        <item x="1729"/>
        <item x="1730"/>
        <item x="1370"/>
        <item x="1731"/>
        <item x="331"/>
        <item x="332"/>
        <item x="333"/>
        <item x="2119"/>
        <item x="1371"/>
        <item x="1732"/>
        <item x="334"/>
        <item x="1733"/>
        <item x="1734"/>
        <item x="1372"/>
        <item x="1735"/>
        <item x="1736"/>
        <item x="2120"/>
        <item x="1373"/>
        <item x="1737"/>
        <item x="335"/>
        <item x="456"/>
        <item x="1055"/>
        <item x="1258"/>
        <item x="2121"/>
        <item x="2511"/>
        <item x="1738"/>
        <item x="1739"/>
        <item x="1740"/>
        <item x="336"/>
        <item x="2328"/>
        <item x="2122"/>
        <item x="1741"/>
        <item x="457"/>
        <item x="337"/>
        <item x="2260"/>
        <item x="1742"/>
        <item x="1743"/>
        <item x="1744"/>
        <item x="1745"/>
        <item x="1746"/>
        <item x="338"/>
        <item x="1747"/>
        <item x="2123"/>
        <item x="1374"/>
        <item x="1748"/>
        <item x="527"/>
        <item x="1749"/>
        <item x="1750"/>
        <item x="1173"/>
        <item x="1375"/>
        <item x="1376"/>
        <item x="1751"/>
        <item x="339"/>
        <item x="1752"/>
        <item x="1753"/>
        <item x="2512"/>
        <item x="2282"/>
        <item x="2124"/>
        <item x="2125"/>
        <item x="340"/>
        <item x="952"/>
        <item x="2126"/>
        <item x="1754"/>
        <item x="2127"/>
        <item x="1755"/>
        <item x="2128"/>
        <item x="1756"/>
        <item x="2129"/>
        <item x="1757"/>
        <item x="1211"/>
        <item x="1758"/>
        <item x="2329"/>
        <item x="1178"/>
        <item x="341"/>
        <item x="2513"/>
        <item x="2330"/>
        <item x="342"/>
        <item x="1759"/>
        <item x="953"/>
        <item x="1003"/>
        <item x="523"/>
        <item x="1153"/>
        <item x="2130"/>
        <item x="1760"/>
        <item x="343"/>
        <item x="1154"/>
        <item x="2131"/>
        <item x="954"/>
        <item x="1761"/>
        <item x="524"/>
        <item x="955"/>
        <item x="956"/>
        <item x="1762"/>
        <item x="1763"/>
        <item x="2132"/>
        <item x="1155"/>
        <item x="344"/>
        <item x="2133"/>
        <item x="1764"/>
        <item x="2223"/>
        <item x="345"/>
        <item x="2134"/>
        <item x="2331"/>
        <item x="1765"/>
        <item x="1212"/>
        <item x="507"/>
        <item x="1766"/>
        <item x="346"/>
        <item x="1767"/>
        <item x="347"/>
        <item x="576"/>
        <item x="1768"/>
        <item x="2600"/>
        <item x="1769"/>
        <item x="2429"/>
        <item x="1056"/>
        <item x="957"/>
        <item x="1057"/>
        <item x="2430"/>
        <item x="348"/>
        <item x="2473"/>
        <item x="349"/>
        <item x="617"/>
        <item x="350"/>
        <item x="2135"/>
        <item x="1156"/>
        <item x="1770"/>
        <item x="1771"/>
        <item x="1377"/>
        <item x="1772"/>
        <item x="1773"/>
        <item x="618"/>
        <item x="2283"/>
        <item x="2284"/>
        <item x="1774"/>
        <item x="351"/>
        <item x="1775"/>
        <item x="2431"/>
        <item x="1776"/>
        <item x="1378"/>
        <item x="352"/>
        <item x="2495"/>
        <item x="353"/>
        <item x="2437"/>
        <item x="2136"/>
        <item x="1777"/>
        <item x="958"/>
        <item x="1778"/>
        <item x="354"/>
        <item x="1779"/>
        <item x="2137"/>
        <item x="1780"/>
        <item x="508"/>
        <item x="1781"/>
        <item x="2615"/>
        <item x="355"/>
        <item x="1782"/>
        <item x="458"/>
        <item x="2601"/>
        <item x="356"/>
        <item x="1783"/>
        <item x="1784"/>
        <item x="1785"/>
        <item x="357"/>
        <item x="528"/>
        <item x="1379"/>
        <item x="2391"/>
        <item x="959"/>
        <item x="358"/>
        <item x="2261"/>
        <item x="960"/>
        <item x="359"/>
        <item x="360"/>
        <item x="1380"/>
        <item x="1786"/>
        <item x="459"/>
        <item x="361"/>
        <item x="2138"/>
        <item x="961"/>
        <item x="1787"/>
        <item x="2404"/>
        <item x="1381"/>
        <item x="2139"/>
        <item x="1788"/>
        <item x="962"/>
        <item x="1789"/>
        <item x="2514"/>
        <item x="2332"/>
        <item x="2333"/>
        <item x="1382"/>
        <item x="362"/>
        <item x="363"/>
        <item x="1790"/>
        <item x="1791"/>
        <item x="364"/>
        <item x="1792"/>
        <item x="1793"/>
        <item x="365"/>
        <item x="963"/>
        <item x="2140"/>
        <item x="1794"/>
        <item x="2250"/>
        <item x="2334"/>
        <item x="2409"/>
        <item x="1795"/>
        <item x="1796"/>
        <item x="1797"/>
        <item x="1798"/>
        <item x="366"/>
        <item x="1383"/>
        <item x="1799"/>
        <item x="1800"/>
        <item x="1384"/>
        <item x="1801"/>
        <item x="1058"/>
        <item x="1802"/>
        <item x="367"/>
        <item x="368"/>
        <item x="2141"/>
        <item x="2616"/>
        <item x="1803"/>
        <item x="460"/>
        <item x="964"/>
        <item x="369"/>
        <item x="2142"/>
        <item x="1804"/>
        <item x="370"/>
        <item x="2602"/>
        <item x="1805"/>
        <item x="604"/>
        <item x="371"/>
        <item x="1806"/>
        <item x="1807"/>
        <item x="1808"/>
        <item x="2143"/>
        <item x="2603"/>
        <item x="2144"/>
        <item x="2335"/>
        <item x="1809"/>
        <item x="2285"/>
        <item x="2432"/>
        <item x="529"/>
        <item x="1810"/>
        <item x="1811"/>
        <item x="2336"/>
        <item x="1812"/>
        <item x="372"/>
        <item x="2145"/>
        <item x="1813"/>
        <item x="2146"/>
        <item x="2337"/>
        <item x="965"/>
        <item x="2496"/>
        <item x="966"/>
        <item x="629"/>
        <item x="605"/>
        <item x="1385"/>
        <item x="1814"/>
        <item x="2147"/>
        <item x="1815"/>
        <item x="1223"/>
        <item x="1816"/>
        <item x="2389"/>
        <item x="509"/>
        <item x="373"/>
        <item x="374"/>
        <item x="1386"/>
        <item x="1817"/>
        <item x="967"/>
        <item x="2481"/>
        <item x="2224"/>
        <item x="2474"/>
        <item x="375"/>
        <item x="376"/>
        <item x="1387"/>
        <item x="2148"/>
        <item x="1818"/>
        <item x="377"/>
        <item x="1819"/>
        <item x="2338"/>
        <item x="378"/>
        <item x="2610"/>
        <item x="1820"/>
        <item x="1821"/>
        <item x="1822"/>
        <item x="1823"/>
        <item x="1824"/>
        <item x="1825"/>
        <item x="2339"/>
        <item x="1388"/>
        <item x="1826"/>
        <item x="379"/>
        <item x="1827"/>
        <item x="1828"/>
        <item x="1389"/>
        <item x="461"/>
        <item x="2149"/>
        <item x="1829"/>
        <item x="1830"/>
        <item x="2150"/>
        <item x="2604"/>
        <item x="2151"/>
        <item x="2152"/>
        <item x="1831"/>
        <item x="380"/>
        <item x="1059"/>
        <item x="1390"/>
        <item x="1832"/>
        <item x="1833"/>
        <item x="1391"/>
        <item x="510"/>
        <item x="1157"/>
        <item x="381"/>
        <item x="1834"/>
        <item x="1060"/>
        <item x="382"/>
        <item x="2605"/>
        <item x="1835"/>
        <item x="1836"/>
        <item x="2515"/>
        <item x="1837"/>
        <item x="1061"/>
        <item x="2340"/>
        <item x="2262"/>
        <item x="1838"/>
        <item x="1839"/>
        <item x="383"/>
        <item x="1392"/>
        <item x="1840"/>
        <item x="511"/>
        <item x="512"/>
        <item x="1213"/>
        <item x="1259"/>
        <item x="384"/>
        <item x="385"/>
        <item x="386"/>
        <item x="1841"/>
        <item x="2225"/>
        <item x="1842"/>
        <item x="2617"/>
        <item x="1843"/>
        <item x="1844"/>
        <item x="1393"/>
        <item x="1845"/>
        <item x="387"/>
        <item x="2450"/>
        <item x="2341"/>
        <item x="1846"/>
        <item x="2522"/>
        <item x="2516"/>
        <item x="2342"/>
        <item x="2527"/>
        <item x="1081"/>
        <item x="2497"/>
        <item x="388"/>
        <item x="1847"/>
        <item x="2153"/>
        <item x="1848"/>
        <item x="1849"/>
        <item x="1850"/>
        <item x="1851"/>
        <item x="1852"/>
        <item x="1853"/>
        <item x="1394"/>
        <item x="1854"/>
        <item x="389"/>
        <item x="390"/>
        <item x="391"/>
        <item x="968"/>
        <item x="2154"/>
        <item x="392"/>
        <item x="1855"/>
        <item x="577"/>
        <item x="619"/>
        <item x="2286"/>
        <item x="462"/>
        <item x="2405"/>
        <item x="2253"/>
        <item x="620"/>
        <item x="1856"/>
        <item x="393"/>
        <item x="1224"/>
        <item x="394"/>
        <item x="1857"/>
        <item x="1395"/>
        <item x="1858"/>
        <item x="1179"/>
        <item x="1396"/>
        <item x="1859"/>
        <item x="1062"/>
        <item x="1004"/>
        <item x="2459"/>
        <item x="2343"/>
        <item x="2226"/>
        <item x="1860"/>
        <item x="1397"/>
        <item x="395"/>
        <item x="1398"/>
        <item x="1861"/>
        <item x="463"/>
        <item x="464"/>
        <item x="396"/>
        <item x="2344"/>
        <item x="2227"/>
        <item x="397"/>
        <item x="2345"/>
        <item x="398"/>
        <item x="465"/>
        <item x="2287"/>
        <item x="1862"/>
        <item x="466"/>
        <item x="1863"/>
        <item x="606"/>
        <item x="399"/>
        <item x="1864"/>
        <item x="1399"/>
        <item x="400"/>
        <item x="401"/>
        <item x="2228"/>
        <item x="2346"/>
        <item x="402"/>
        <item x="1865"/>
        <item x="1866"/>
        <item x="1867"/>
        <item x="1868"/>
        <item x="403"/>
        <item x="969"/>
        <item x="1869"/>
        <item x="2155"/>
        <item x="1063"/>
        <item x="1064"/>
        <item x="467"/>
        <item x="1870"/>
        <item x="1871"/>
        <item x="2156"/>
        <item x="1400"/>
        <item x="2157"/>
        <item x="2347"/>
        <item x="1872"/>
        <item x="1873"/>
        <item x="2158"/>
        <item x="2288"/>
        <item x="2159"/>
        <item x="2229"/>
        <item x="404"/>
        <item x="2379"/>
        <item x="2611"/>
        <item x="405"/>
        <item x="406"/>
        <item x="621"/>
        <item x="1874"/>
        <item x="970"/>
        <item x="1875"/>
        <item x="489"/>
        <item x="407"/>
        <item x="2433"/>
        <item x="610"/>
        <item x="2244"/>
        <item x="2438"/>
        <item x="1185"/>
        <item x="1876"/>
        <item x="1877"/>
        <item x="2160"/>
        <item x="1878"/>
        <item x="1879"/>
        <item x="2475"/>
        <item x="2348"/>
        <item x="1880"/>
        <item x="1065"/>
        <item x="1066"/>
        <item x="1881"/>
        <item x="2523"/>
        <item x="1882"/>
        <item x="971"/>
        <item x="2161"/>
        <item x="1883"/>
        <item x="2434"/>
        <item x="2162"/>
        <item x="2263"/>
        <item x="1401"/>
        <item x="2618"/>
        <item x="1067"/>
        <item x="2163"/>
        <item x="1402"/>
        <item x="408"/>
        <item x="1884"/>
        <item x="490"/>
        <item x="582"/>
        <item x="2164"/>
        <item x="1885"/>
        <item x="2165"/>
        <item x="409"/>
        <item x="1225"/>
        <item x="513"/>
        <item x="579"/>
        <item x="2230"/>
        <item x="2498"/>
        <item x="1886"/>
        <item x="1887"/>
        <item x="1888"/>
        <item x="1889"/>
        <item x="972"/>
        <item x="1890"/>
        <item x="410"/>
        <item x="1891"/>
        <item x="1403"/>
        <item x="411"/>
        <item x="630"/>
        <item x="1892"/>
        <item x="412"/>
        <item x="413"/>
        <item x="2619"/>
        <item x="1068"/>
        <item x="2289"/>
        <item x="2166"/>
        <item x="1893"/>
        <item x="1069"/>
        <item x="1894"/>
        <item x="1895"/>
        <item x="414"/>
        <item x="2476"/>
        <item x="2167"/>
        <item x="1896"/>
        <item x="1897"/>
        <item x="2606"/>
        <item x="415"/>
        <item x="416"/>
        <item x="417"/>
        <item x="2290"/>
        <item x="468"/>
        <item x="1898"/>
        <item x="1260"/>
        <item x="418"/>
        <item x="2524"/>
        <item x="1404"/>
        <item x="1899"/>
        <item x="2380"/>
        <item x="1900"/>
        <item x="1901"/>
        <item x="2168"/>
        <item x="1405"/>
        <item x="469"/>
        <item x="1902"/>
        <item x="1903"/>
        <item x="1070"/>
        <item x="2169"/>
        <item x="1406"/>
        <item x="419"/>
        <item x="1214"/>
        <item x="1261"/>
        <item x="1407"/>
        <item x="1904"/>
        <item x="1905"/>
        <item x="1071"/>
        <item x="420"/>
        <item x="1906"/>
        <item x="1907"/>
        <item x="1908"/>
        <item x="1408"/>
        <item x="2170"/>
        <item x="421"/>
        <item x="1409"/>
        <item x="422"/>
        <item x="2291"/>
        <item x="652"/>
        <item x="470"/>
        <item x="1909"/>
        <item x="1910"/>
        <item x="622"/>
        <item x="2171"/>
        <item x="1410"/>
        <item x="2411"/>
        <item x="1911"/>
        <item x="2172"/>
        <item x="2264"/>
        <item x="1912"/>
        <item x="2173"/>
        <item x="1215"/>
        <item x="1241"/>
        <item x="1913"/>
        <item x="514"/>
        <item x="1914"/>
        <item x="2440"/>
        <item x="1915"/>
        <item x="1411"/>
        <item x="1916"/>
        <item x="1917"/>
        <item x="1918"/>
        <item x="471"/>
        <item x="1072"/>
        <item x="2174"/>
        <item x="2443"/>
        <item x="2175"/>
        <item x="2540"/>
        <item x="1919"/>
        <item x="1412"/>
        <item x="1920"/>
        <item x="1262"/>
        <item x="472"/>
        <item x="2349"/>
        <item x="1921"/>
        <item x="973"/>
        <item x="1263"/>
        <item x="1922"/>
        <item x="2350"/>
        <item x="2231"/>
        <item x="974"/>
        <item x="1923"/>
        <item x="1413"/>
        <item x="423"/>
        <item x="2240"/>
        <item x="2176"/>
        <item x="1414"/>
        <item x="2292"/>
        <item x="1415"/>
        <item x="1924"/>
        <item x="1925"/>
        <item x="2406"/>
        <item x="1926"/>
        <item x="2482"/>
        <item x="1927"/>
        <item x="1928"/>
        <item x="623"/>
        <item x="2177"/>
        <item x="2381"/>
        <item x="1416"/>
        <item x="473"/>
        <item x="2407"/>
        <item x="424"/>
        <item x="1929"/>
        <item x="1930"/>
        <item x="2178"/>
        <item x="1226"/>
        <item x="425"/>
        <item x="1931"/>
        <item x="1186"/>
        <item x="681"/>
        <item x="426"/>
        <item x="975"/>
        <item x="1417"/>
        <item x="2232"/>
        <item x="427"/>
        <item x="1932"/>
        <item x="2390"/>
        <item x="1933"/>
        <item x="578"/>
        <item x="2351"/>
        <item x="1934"/>
        <item x="1935"/>
        <item x="2352"/>
        <item x="1936"/>
        <item x="1174"/>
        <item x="2265"/>
        <item x="494"/>
        <item x="1418"/>
        <item x="2179"/>
        <item x="2233"/>
        <item x="474"/>
        <item x="2461"/>
        <item x="1419"/>
        <item x="1937"/>
        <item x="491"/>
        <item x="976"/>
        <item x="1420"/>
        <item x="2353"/>
        <item x="428"/>
        <item x="429"/>
        <item x="1421"/>
        <item x="2293"/>
        <item x="1264"/>
        <item x="653"/>
        <item x="1422"/>
        <item x="1938"/>
        <item x="1265"/>
        <item x="1939"/>
        <item x="1940"/>
        <item x="1941"/>
        <item x="430"/>
        <item x="1942"/>
        <item x="431"/>
        <item x="475"/>
        <item x="476"/>
        <item x="1423"/>
        <item x="492"/>
        <item x="1943"/>
        <item x="1944"/>
        <item x="2517"/>
        <item x="2180"/>
        <item x="2444"/>
        <item x="432"/>
        <item x="1266"/>
        <item x="1945"/>
        <item x="1946"/>
        <item x="1227"/>
        <item x="2354"/>
        <item x="1947"/>
        <item x="2355"/>
        <item x="2294"/>
        <item x="2525"/>
        <item x="1948"/>
        <item x="2541"/>
        <item x="433"/>
        <item x="673"/>
        <item x="1949"/>
        <item x="1424"/>
        <item x="1950"/>
        <item x="977"/>
        <item x="1951"/>
        <item x="631"/>
        <item x="1952"/>
        <item x="1953"/>
        <item x="1954"/>
        <item x="1955"/>
        <item x="1242"/>
        <item x="2181"/>
        <item x="1956"/>
        <item x="2542"/>
        <item x="1228"/>
        <item x="978"/>
        <item x="2182"/>
        <item x="434"/>
        <item x="477"/>
        <item x="1957"/>
        <item x="1425"/>
        <item x="525"/>
        <item x="1958"/>
        <item x="1959"/>
        <item x="1229"/>
        <item x="1073"/>
        <item x="1005"/>
        <item x="2183"/>
        <item x="583"/>
        <item x="1960"/>
        <item x="1961"/>
        <item x="1962"/>
        <item x="1426"/>
        <item x="1963"/>
        <item x="1230"/>
        <item x="1964"/>
        <item x="2184"/>
        <item x="2234"/>
        <item x="1175"/>
        <item x="1965"/>
        <item x="1267"/>
        <item x="1074"/>
        <item x="1966"/>
        <item x="1967"/>
        <item x="1968"/>
        <item x="1427"/>
        <item x="2528"/>
        <item x="2356"/>
        <item x="1969"/>
        <item x="1428"/>
        <item x="2185"/>
        <item x="1970"/>
        <item x="2251"/>
        <item x="1075"/>
        <item x="435"/>
        <item x="531"/>
        <item x="1971"/>
        <item x="1216"/>
        <item x="1972"/>
        <item x="2357"/>
        <item x="1243"/>
        <item x="2266"/>
        <item x="2186"/>
        <item x="538"/>
        <item x="1429"/>
        <item x="1973"/>
        <item x="530"/>
        <item x="515"/>
        <item x="2187"/>
        <item x="478"/>
        <item x="979"/>
        <item x="2188"/>
        <item x="980"/>
        <item x="632"/>
        <item x="1231"/>
        <item x="2358"/>
        <item x="1974"/>
        <item x="1975"/>
        <item x="2189"/>
        <item x="1976"/>
        <item x="2435"/>
        <item x="1977"/>
        <item x="607"/>
        <item x="1232"/>
        <item x="1244"/>
        <item x="1430"/>
        <item x="1978"/>
        <item x="1979"/>
        <item x="1980"/>
        <item x="1431"/>
        <item x="436"/>
        <item x="1268"/>
        <item x="479"/>
        <item x="1981"/>
        <item x="1158"/>
        <item x="1432"/>
        <item x="1245"/>
        <item x="526"/>
        <item x="1076"/>
        <item x="1433"/>
        <item x="1246"/>
        <item x="1434"/>
        <item x="981"/>
        <item x="1435"/>
        <item x="539"/>
        <item x="1982"/>
        <item x="437"/>
        <item x="1983"/>
        <item x="682"/>
        <item x="536"/>
        <item x="1269"/>
        <item x="2607"/>
        <item x="2190"/>
        <item x="540"/>
        <item x="1984"/>
        <item x="2359"/>
        <item x="2235"/>
        <item x="1985"/>
        <item x="1986"/>
        <item x="1233"/>
        <item x="595"/>
        <item x="1270"/>
        <item x="480"/>
        <item x="982"/>
        <item x="481"/>
        <item x="1987"/>
        <item x="1436"/>
        <item x="1271"/>
        <item x="1437"/>
        <item x="1988"/>
        <item x="1272"/>
        <item x="683"/>
        <item x="2445"/>
        <item x="541"/>
        <item x="2360"/>
        <item x="1273"/>
        <item x="1274"/>
        <item x="702"/>
        <item x="1989"/>
        <item x="1234"/>
        <item x="1438"/>
        <item x="2462"/>
        <item x="1275"/>
        <item x="438"/>
        <item x="439"/>
        <item x="2620"/>
        <item x="1247"/>
        <item x="2477"/>
        <item x="1990"/>
        <item x="1439"/>
        <item x="2191"/>
        <item x="482"/>
        <item x="1991"/>
        <item x="440"/>
        <item x="1992"/>
        <item x="584"/>
        <item x="1077"/>
        <item x="1276"/>
        <item x="580"/>
        <item x="1440"/>
        <item x="483"/>
        <item x="441"/>
        <item x="1235"/>
        <item x="442"/>
        <item x="2267"/>
        <item x="1993"/>
        <item x="1994"/>
        <item x="1995"/>
        <item x="1996"/>
        <item x="624"/>
        <item x="1997"/>
        <item x="2361"/>
        <item x="1998"/>
        <item x="1441"/>
        <item x="2362"/>
        <item x="2363"/>
        <item x="1078"/>
        <item x="1999"/>
        <item x="1236"/>
        <item x="1277"/>
        <item x="1278"/>
        <item x="1442"/>
        <item x="2364"/>
        <item x="493"/>
        <item x="625"/>
        <item x="1279"/>
        <item x="1443"/>
        <item x="443"/>
        <item x="2000"/>
        <item x="2001"/>
        <item x="2236"/>
        <item x="2002"/>
        <item x="537"/>
        <item x="1444"/>
        <item x="1217"/>
        <item x="2003"/>
        <item x="2004"/>
        <item x="2005"/>
        <item x="654"/>
        <item x="2192"/>
        <item x="484"/>
        <item x="684"/>
        <item x="1280"/>
        <item x="444"/>
        <item x="2006"/>
        <item x="2365"/>
        <item x="1254"/>
        <item x="1445"/>
        <item x="2241"/>
        <item x="2007"/>
        <item x="1248"/>
        <item x="674"/>
        <item x="685"/>
        <item x="495"/>
        <item x="1281"/>
        <item x="1446"/>
        <item x="2543"/>
        <item x="2008"/>
        <item x="581"/>
        <item x="445"/>
        <item x="2366"/>
        <item x="1447"/>
        <item x="1218"/>
        <item x="2009"/>
        <item x="2010"/>
        <item x="2011"/>
        <item x="446"/>
        <item x="1219"/>
        <item x="2478"/>
        <item x="2012"/>
        <item x="2013"/>
        <item x="2237"/>
        <item x="1448"/>
        <item x="2014"/>
        <item x="1237"/>
        <item x="1449"/>
        <item x="1255"/>
        <item x="2015"/>
        <item x="1450"/>
        <item x="1220"/>
        <item x="2016"/>
        <item x="655"/>
        <item x="1282"/>
        <item x="1283"/>
        <item x="2518"/>
        <item x="79"/>
        <item x="533"/>
        <item x="154"/>
        <item x="675"/>
        <item x="542"/>
        <item x="2608"/>
        <item x="1451"/>
        <item x="633"/>
        <item x="2017"/>
        <item x="2018"/>
        <item x="1284"/>
        <item x="543"/>
        <item x="1327"/>
        <item x="1320"/>
        <item x="656"/>
        <item x="447"/>
        <item x="485"/>
        <item x="1285"/>
        <item x="657"/>
        <item x="2295"/>
        <item x="557"/>
        <item x="1452"/>
        <item x="1286"/>
        <item x="1287"/>
        <item x="2193"/>
        <item x="110"/>
        <item x="2019"/>
        <item x="983"/>
        <item x="2020"/>
        <item x="66"/>
        <item x="1249"/>
        <item x="2021"/>
        <item x="703"/>
        <item x="1288"/>
        <item x="2392"/>
        <item x="676"/>
        <item x="1238"/>
        <item x="2022"/>
        <item x="544"/>
        <item x="1289"/>
        <item x="585"/>
        <item x="2194"/>
        <item x="33"/>
        <item x="1290"/>
        <item x="1453"/>
        <item x="166"/>
        <item x="1291"/>
        <item x="2447"/>
        <item x="67"/>
        <item x="3"/>
        <item x="1079"/>
        <item x="2023"/>
        <item x="558"/>
        <item x="1239"/>
        <item x="448"/>
        <item x="559"/>
        <item x="2238"/>
        <item x="2544"/>
        <item x="1250"/>
        <item x="2296"/>
        <item x="545"/>
        <item x="2545"/>
        <item x="1292"/>
        <item x="1256"/>
        <item x="546"/>
        <item x="2519"/>
        <item x="1321"/>
        <item x="634"/>
        <item x="2526"/>
        <item x="2367"/>
        <item x="547"/>
        <item x="608"/>
        <item x="2436"/>
        <item x="548"/>
        <item x="2529"/>
        <item x="1293"/>
        <item x="1294"/>
        <item x="635"/>
        <item x="1454"/>
        <item x="549"/>
        <item x="2024"/>
        <item x="1295"/>
        <item x="1296"/>
        <item x="45"/>
        <item x="1221"/>
        <item x="2195"/>
        <item x="596"/>
        <item x="1297"/>
        <item x="2025"/>
        <item x="704"/>
        <item x="1455"/>
        <item x="1328"/>
        <item x="658"/>
        <item x="686"/>
        <item x="80"/>
        <item x="1298"/>
        <item x="560"/>
        <item x="636"/>
        <item x="1299"/>
        <item x="550"/>
        <item x="668"/>
        <item x="1456"/>
        <item x="13"/>
        <item x="659"/>
        <item x="2026"/>
        <item x="551"/>
        <item x="637"/>
        <item x="111"/>
        <item x="2027"/>
        <item x="449"/>
        <item x="2446"/>
        <item x="660"/>
        <item x="1322"/>
        <item x="669"/>
        <item x="2239"/>
        <item x="661"/>
        <item x="638"/>
        <item x="639"/>
        <item x="2548"/>
        <item x="597"/>
        <item x="2196"/>
        <item x="670"/>
        <item x="1300"/>
        <item x="1323"/>
        <item x="1301"/>
        <item x="155"/>
        <item x="1329"/>
        <item x="1324"/>
        <item x="2382"/>
        <item x="677"/>
        <item x="1302"/>
        <item x="586"/>
        <item x="68"/>
        <item x="671"/>
        <item x="4"/>
        <item x="156"/>
        <item x="662"/>
        <item x="146"/>
        <item x="1303"/>
        <item x="1304"/>
        <item x="2368"/>
        <item x="640"/>
        <item x="0"/>
        <item x="1305"/>
        <item x="157"/>
        <item x="687"/>
        <item x="46"/>
        <item x="158"/>
        <item x="688"/>
        <item x="2623"/>
        <item x="561"/>
        <item x="2028"/>
        <item x="705"/>
        <item x="984"/>
        <item x="7"/>
        <item x="1306"/>
        <item x="552"/>
        <item x="112"/>
        <item x="47"/>
        <item x="113"/>
        <item x="1251"/>
        <item x="562"/>
        <item x="641"/>
        <item x="1307"/>
        <item x="34"/>
        <item x="663"/>
        <item x="2530"/>
        <item x="1308"/>
        <item x="114"/>
        <item x="689"/>
        <item x="2393"/>
        <item x="2448"/>
        <item x="14"/>
        <item x="642"/>
        <item x="706"/>
        <item x="1309"/>
        <item x="2546"/>
        <item x="672"/>
        <item x="48"/>
        <item x="1310"/>
        <item x="5"/>
        <item x="643"/>
        <item x="49"/>
        <item x="2624"/>
        <item x="69"/>
        <item x="143"/>
        <item x="690"/>
        <item x="587"/>
        <item x="2547"/>
        <item x="691"/>
        <item x="563"/>
        <item x="2625"/>
        <item x="35"/>
        <item x="159"/>
        <item x="2531"/>
        <item x="692"/>
        <item x="553"/>
        <item x="50"/>
        <item x="2626"/>
        <item x="516"/>
        <item x="664"/>
        <item x="81"/>
        <item x="70"/>
        <item x="115"/>
        <item x="51"/>
        <item x="1311"/>
        <item x="82"/>
        <item x="36"/>
        <item x="15"/>
        <item x="708"/>
        <item x="52"/>
        <item x="116"/>
        <item x="117"/>
        <item x="678"/>
        <item x="144"/>
        <item x="679"/>
        <item x="83"/>
        <item x="118"/>
        <item x="71"/>
        <item x="16"/>
        <item x="17"/>
        <item x="53"/>
        <item x="588"/>
        <item x="564"/>
        <item x="18"/>
        <item x="644"/>
        <item x="2532"/>
        <item x="54"/>
        <item x="645"/>
        <item x="710"/>
        <item x="1457"/>
        <item x="119"/>
        <item x="1312"/>
        <item x="10"/>
        <item x="55"/>
        <item x="693"/>
        <item x="120"/>
        <item x="19"/>
        <item x="1313"/>
        <item x="554"/>
        <item x="72"/>
        <item x="121"/>
        <item x="84"/>
        <item x="160"/>
        <item x="167"/>
        <item x="56"/>
        <item x="694"/>
        <item x="20"/>
        <item x="555"/>
        <item x="57"/>
        <item x="122"/>
        <item x="589"/>
        <item x="450"/>
        <item x="1458"/>
        <item x="707"/>
        <item x="58"/>
        <item x="1314"/>
        <item x="85"/>
        <item x="2534"/>
        <item x="86"/>
        <item x="87"/>
        <item x="665"/>
        <item x="73"/>
        <item x="88"/>
        <item x="59"/>
        <item x="60"/>
        <item x="6"/>
        <item x="61"/>
        <item x="37"/>
        <item x="147"/>
        <item x="123"/>
        <item x="38"/>
        <item x="646"/>
        <item x="2029"/>
        <item x="2030"/>
        <item x="124"/>
        <item x="148"/>
        <item x="89"/>
        <item x="149"/>
        <item x="125"/>
        <item x="695"/>
        <item x="590"/>
        <item x="126"/>
        <item x="74"/>
        <item x="127"/>
        <item x="591"/>
        <item x="1315"/>
        <item x="150"/>
        <item x="128"/>
        <item x="21"/>
        <item x="151"/>
        <item x="22"/>
        <item x="23"/>
        <item x="90"/>
        <item x="129"/>
        <item x="2031"/>
        <item x="130"/>
        <item x="24"/>
        <item x="592"/>
        <item x="8"/>
        <item x="709"/>
        <item x="75"/>
        <item x="91"/>
        <item x="25"/>
        <item x="92"/>
        <item x="696"/>
        <item x="62"/>
        <item x="1330"/>
        <item x="63"/>
        <item x="26"/>
        <item x="64"/>
        <item x="93"/>
        <item x="94"/>
        <item x="2452"/>
        <item x="131"/>
        <item x="39"/>
        <item x="95"/>
        <item x="2627"/>
        <item x="2628"/>
        <item x="96"/>
        <item x="2533"/>
        <item x="532"/>
        <item x="647"/>
        <item x="697"/>
        <item x="698"/>
        <item x="2453"/>
        <item x="40"/>
        <item x="152"/>
        <item x="2629"/>
        <item x="132"/>
        <item x="626"/>
        <item x="97"/>
        <item x="98"/>
        <item x="1316"/>
        <item x="99"/>
        <item x="133"/>
        <item x="556"/>
        <item x="2454"/>
        <item x="27"/>
        <item x="41"/>
        <item x="2455"/>
        <item x="161"/>
        <item x="680"/>
        <item x="100"/>
        <item x="28"/>
        <item x="65"/>
        <item x="101"/>
        <item x="593"/>
        <item x="134"/>
        <item x="76"/>
        <item x="648"/>
        <item x="1317"/>
        <item x="168"/>
        <item x="565"/>
        <item x="135"/>
        <item x="136"/>
        <item x="2456"/>
        <item x="102"/>
        <item x="2451"/>
        <item x="103"/>
        <item x="9"/>
        <item x="2457"/>
        <item x="137"/>
        <item x="138"/>
        <item x="77"/>
        <item x="985"/>
        <item x="42"/>
        <item x="11"/>
        <item x="594"/>
        <item x="666"/>
        <item x="566"/>
        <item x="104"/>
        <item x="649"/>
        <item x="162"/>
        <item x="2535"/>
        <item x="2458"/>
        <item x="2621"/>
        <item x="2449"/>
        <item x="105"/>
        <item x="2630"/>
        <item x="139"/>
        <item x="534"/>
        <item x="29"/>
        <item x="106"/>
        <item x="2536"/>
        <item x="1318"/>
        <item x="699"/>
        <item x="78"/>
        <item x="43"/>
        <item x="153"/>
        <item x="650"/>
        <item x="140"/>
        <item x="163"/>
        <item x="145"/>
        <item x="12"/>
        <item x="164"/>
        <item x="141"/>
        <item x="1252"/>
        <item x="667"/>
        <item x="169"/>
        <item x="2537"/>
        <item x="30"/>
        <item x="2631"/>
        <item x="107"/>
        <item x="44"/>
        <item x="2538"/>
        <item x="700"/>
        <item x="142"/>
        <item x="1"/>
        <item x="31"/>
        <item x="986"/>
        <item x="627"/>
        <item x="1325"/>
        <item x="2"/>
        <item x="165"/>
        <item x="2622"/>
        <item x="32"/>
        <item x="108"/>
        <item x="109"/>
        <item x="2632"/>
        <item t="default"/>
      </items>
    </pivotField>
  </pivotFields>
  <rowFields count="1">
    <field x="0"/>
  </rowFields>
  <rowItems count="1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 t="grand">
      <x/>
    </i>
  </rowItems>
  <colItems count="1">
    <i/>
  </colItems>
  <dataFields count="1">
    <dataField name="平均值项:铝耗" fld="5" subtotal="average" baseField="0" baseItem="0"/>
  </dataFields>
  <formats count="1">
    <format dxfId="0">
      <pivotArea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F327"/>
  <sheetViews>
    <sheetView tabSelected="1" zoomScale="93" zoomScaleNormal="100" workbookViewId="0">
      <selection activeCell="AF1" sqref="AF1"/>
    </sheetView>
  </sheetViews>
  <sheetFormatPr defaultColWidth="9" defaultRowHeight="14.15" x14ac:dyDescent="0.3"/>
  <cols>
    <col min="1" max="1" width="8.69140625" style="1"/>
    <col min="2" max="2" width="12.15234375" style="1" customWidth="1"/>
    <col min="3" max="5" width="8.69140625" style="7" customWidth="1"/>
    <col min="6" max="6" width="13.53515625" style="7" customWidth="1"/>
    <col min="7" max="7" width="41.15234375" style="16" hidden="1" customWidth="1"/>
    <col min="8" max="8" width="8.69140625" style="7" hidden="1" customWidth="1"/>
    <col min="9" max="9" width="8.69140625" style="17" customWidth="1"/>
    <col min="10" max="11" width="8.69140625" style="18" customWidth="1"/>
    <col min="12" max="16" width="8.69140625" style="17" hidden="1" customWidth="1"/>
    <col min="17" max="18" width="8.69140625" style="17" customWidth="1"/>
    <col min="19" max="19" width="19.4609375" style="19" hidden="1" customWidth="1"/>
    <col min="20" max="23" width="8.69140625" style="18" hidden="1" customWidth="1"/>
    <col min="24" max="24" width="8.69140625" style="19" hidden="1" customWidth="1"/>
    <col min="25" max="25" width="8.69140625" style="1" hidden="1" customWidth="1"/>
    <col min="26" max="26" width="8.69140625" style="7" hidden="1" customWidth="1"/>
    <col min="27" max="27" width="12" style="1" hidden="1" customWidth="1"/>
    <col min="28" max="28" width="10.53515625" style="1" customWidth="1"/>
    <col min="30" max="30" width="7.69140625" style="20" customWidth="1"/>
    <col min="32" max="32" width="12.84375" style="20"/>
  </cols>
  <sheetData>
    <row r="1" spans="1:32" ht="42.45" x14ac:dyDescent="0.3">
      <c r="A1" s="71" t="s">
        <v>0</v>
      </c>
      <c r="B1" s="72" t="s">
        <v>1</v>
      </c>
      <c r="C1" s="72" t="s">
        <v>2</v>
      </c>
      <c r="D1" s="72" t="s">
        <v>3</v>
      </c>
      <c r="E1" s="72" t="s">
        <v>4</v>
      </c>
      <c r="F1" s="72" t="s">
        <v>652</v>
      </c>
      <c r="G1" s="74" t="s">
        <v>6</v>
      </c>
      <c r="H1" s="72" t="s">
        <v>7</v>
      </c>
      <c r="I1" s="67" t="s">
        <v>8</v>
      </c>
      <c r="J1" s="68"/>
      <c r="K1" s="68"/>
      <c r="L1" s="67"/>
      <c r="M1" s="67"/>
      <c r="N1" s="67"/>
      <c r="O1" s="67"/>
      <c r="P1" s="67"/>
      <c r="Q1" s="67"/>
      <c r="R1" s="67"/>
      <c r="S1" s="69"/>
      <c r="T1" s="68"/>
      <c r="U1" s="68"/>
      <c r="V1" s="68"/>
      <c r="W1" s="68"/>
      <c r="X1" s="69"/>
      <c r="Y1" s="70"/>
      <c r="Z1" s="70"/>
      <c r="AA1" s="65" t="s">
        <v>9</v>
      </c>
      <c r="AB1" s="23" t="s">
        <v>10</v>
      </c>
      <c r="AC1" s="23" t="s">
        <v>11</v>
      </c>
      <c r="AD1" s="24" t="s">
        <v>12</v>
      </c>
      <c r="AE1" s="24" t="s">
        <v>13</v>
      </c>
      <c r="AF1" s="75" t="s">
        <v>653</v>
      </c>
    </row>
    <row r="2" spans="1:32" ht="18.45" hidden="1" x14ac:dyDescent="0.3">
      <c r="A2" s="71"/>
      <c r="B2" s="73"/>
      <c r="C2" s="72"/>
      <c r="D2" s="72"/>
      <c r="E2" s="72"/>
      <c r="F2" s="72"/>
      <c r="G2" s="74"/>
      <c r="H2" s="72"/>
      <c r="I2" s="25" t="s">
        <v>14</v>
      </c>
      <c r="J2" s="26" t="s">
        <v>15</v>
      </c>
      <c r="K2" s="26" t="s">
        <v>16</v>
      </c>
      <c r="L2" s="25" t="s">
        <v>17</v>
      </c>
      <c r="M2" s="25" t="s">
        <v>18</v>
      </c>
      <c r="N2" s="25" t="s">
        <v>19</v>
      </c>
      <c r="O2" s="25" t="s">
        <v>20</v>
      </c>
      <c r="P2" s="25" t="s">
        <v>21</v>
      </c>
      <c r="Q2" s="25" t="s">
        <v>22</v>
      </c>
      <c r="R2" s="25" t="s">
        <v>23</v>
      </c>
      <c r="S2" s="27" t="s">
        <v>24</v>
      </c>
      <c r="T2" s="26" t="s">
        <v>25</v>
      </c>
      <c r="U2" s="26" t="s">
        <v>26</v>
      </c>
      <c r="V2" s="26" t="s">
        <v>27</v>
      </c>
      <c r="W2" s="26" t="s">
        <v>28</v>
      </c>
      <c r="X2" s="27" t="s">
        <v>29</v>
      </c>
      <c r="Y2" s="28" t="s">
        <v>30</v>
      </c>
      <c r="Z2" s="22" t="s">
        <v>31</v>
      </c>
      <c r="AA2" s="66"/>
      <c r="AB2" s="29">
        <v>99</v>
      </c>
    </row>
    <row r="3" spans="1:32" ht="30" hidden="1" x14ac:dyDescent="0.3">
      <c r="B3" s="30" t="s">
        <v>32</v>
      </c>
      <c r="C3" s="22"/>
      <c r="D3" s="22"/>
      <c r="E3" s="22"/>
      <c r="F3" s="22"/>
      <c r="G3" s="31"/>
      <c r="H3" s="22"/>
      <c r="I3" s="25"/>
      <c r="J3" s="26"/>
      <c r="K3" s="26"/>
      <c r="L3" s="25"/>
      <c r="M3" s="25"/>
      <c r="N3" s="25"/>
      <c r="O3" s="25"/>
      <c r="P3" s="25"/>
      <c r="Q3" s="25"/>
      <c r="R3" s="25"/>
      <c r="S3" s="27"/>
      <c r="T3" s="26"/>
      <c r="U3" s="26"/>
      <c r="V3" s="26"/>
      <c r="W3" s="26"/>
      <c r="X3" s="27"/>
      <c r="Y3" s="28"/>
      <c r="Z3" s="22"/>
      <c r="AA3" s="28"/>
      <c r="AB3" s="32">
        <f>'[1]6.合金辅料价格'!K8</f>
        <v>22337.168141592902</v>
      </c>
    </row>
    <row r="4" spans="1:32" hidden="1" x14ac:dyDescent="0.3">
      <c r="A4" s="7">
        <v>1</v>
      </c>
      <c r="B4" s="9" t="s">
        <v>33</v>
      </c>
      <c r="C4" s="9" t="s">
        <v>34</v>
      </c>
      <c r="D4" s="9">
        <v>1.5</v>
      </c>
      <c r="E4" s="9">
        <v>12</v>
      </c>
      <c r="F4" s="9" t="s">
        <v>35</v>
      </c>
      <c r="G4" s="33" t="s">
        <v>36</v>
      </c>
      <c r="H4" s="9">
        <v>1527</v>
      </c>
      <c r="I4" s="34">
        <v>7.0000000000000007E-2</v>
      </c>
      <c r="J4" s="35">
        <v>0.15</v>
      </c>
      <c r="K4" s="35">
        <v>0.25</v>
      </c>
      <c r="L4" s="34">
        <v>0.02</v>
      </c>
      <c r="M4" s="34">
        <v>1.4999999999999999E-2</v>
      </c>
      <c r="N4" s="34"/>
      <c r="O4" s="34"/>
      <c r="P4" s="34">
        <v>0.01</v>
      </c>
      <c r="Q4" s="34">
        <v>0.01</v>
      </c>
      <c r="R4" s="34"/>
      <c r="S4" s="21"/>
      <c r="T4" s="35"/>
      <c r="U4" s="35"/>
      <c r="V4" s="35"/>
      <c r="W4" s="35"/>
      <c r="X4" s="21"/>
      <c r="Y4" s="36"/>
      <c r="Z4" s="9">
        <v>60</v>
      </c>
      <c r="AA4" s="36"/>
      <c r="AB4" s="29" cm="1">
        <f t="array" ref="AB4">IF(R4="",IF(Q4="",0,(_xlfn.IFS(Q4=0.01,0.67,Q4=0.015,1,Q4=0.015,1.33,Q4=0.02,1.67,Q4=0.025,2,Q4=0.03,2.33,Q4=0.035,2.67,Q4=0.04,3)+IF(J4&lt;=0.03,"0.33",0))),(_xlfn.IFS(R4=0.01,0.67,R4=0.015,1,R4=0.015,1.33,R4=0.02,1.67,R4=0.025,2,R4=0.03,2.33,R4=0.035,2.67,R4=0.04,3)+IF(J4&lt;=0.03,"0.33",0)))</f>
        <v>0.67</v>
      </c>
      <c r="AC4" s="29">
        <f>IF(R4="",IF(Q4="",0.3,Q4/100/0.99/0.15*1000+IF(J4&lt;=0.03,"0.33",0)),R4/100/0.99/0.15*1000+IF(J4&lt;=0.03,"0.33",0))</f>
        <v>0.67340067340067344</v>
      </c>
      <c r="AD4" s="20" t="e">
        <f>VLOOKUP(F4,铝耗2026年!$A$2:$B$5000,2,0)</f>
        <v>#N/A</v>
      </c>
      <c r="AE4" s="20">
        <f>VLOOKUP(F4,铝耗2025年!$A$2:$B$5000,2,0)</f>
        <v>1.45</v>
      </c>
      <c r="AF4" s="20">
        <v>1.45</v>
      </c>
    </row>
    <row r="5" spans="1:32" hidden="1" x14ac:dyDescent="0.3">
      <c r="A5" s="7">
        <v>2</v>
      </c>
      <c r="B5" s="9" t="s">
        <v>33</v>
      </c>
      <c r="C5" s="9" t="s">
        <v>37</v>
      </c>
      <c r="D5" s="9">
        <v>12.01</v>
      </c>
      <c r="E5" s="9">
        <v>28</v>
      </c>
      <c r="F5" s="9" t="s">
        <v>38</v>
      </c>
      <c r="G5" s="33" t="s">
        <v>36</v>
      </c>
      <c r="H5" s="9">
        <v>1527</v>
      </c>
      <c r="I5" s="34">
        <v>7.0000000000000007E-2</v>
      </c>
      <c r="J5" s="35">
        <v>0.15</v>
      </c>
      <c r="K5" s="35">
        <v>0.32</v>
      </c>
      <c r="L5" s="34">
        <v>0.02</v>
      </c>
      <c r="M5" s="34">
        <v>1.4999999999999999E-2</v>
      </c>
      <c r="N5" s="34"/>
      <c r="O5" s="34" t="s">
        <v>39</v>
      </c>
      <c r="P5" s="34" t="s">
        <v>39</v>
      </c>
      <c r="Q5" s="34">
        <v>0.01</v>
      </c>
      <c r="R5" s="34" t="s">
        <v>39</v>
      </c>
      <c r="S5" s="21"/>
      <c r="T5" s="35"/>
      <c r="U5" s="35"/>
      <c r="V5" s="35"/>
      <c r="W5" s="35" t="s">
        <v>39</v>
      </c>
      <c r="X5" s="21" t="s">
        <v>39</v>
      </c>
      <c r="Y5" s="36" t="s">
        <v>39</v>
      </c>
      <c r="Z5" s="9">
        <v>60</v>
      </c>
      <c r="AA5" s="36"/>
      <c r="AB5" s="29" cm="1">
        <f t="array" ref="AB5">IF(R5="",IF(Q5="",0,(_xlfn.IFS(Q5=0.01,0.67,Q5=0.015,1,Q5=0.015,1.33,Q5=0.02,1.67,Q5=0.025,2,Q5=0.03,2.33,Q5=0.035,2.67,Q5=0.04,3)+IF(J5&lt;=0.03,"0.33",0))),(_xlfn.IFS(R5=0.01,0.67,R5=0.015,1,R5=0.015,1.33,R5=0.02,1.67,R5=0.025,2,R5=0.03,2.33,R5=0.035,2.67,R5=0.04,3)+IF(J5&lt;=0.03,"0.33",0)))</f>
        <v>0.67</v>
      </c>
      <c r="AC5" s="29">
        <f t="shared" ref="AC5:AC68" si="0">IF(R5="",IF(Q5="",0.3,Q5/100/0.99/0.15*1000+IF(J5&lt;=0.03,"0.33",0)),R5/100/0.99/0.15*1000+IF(J5&lt;=0.03,"0.33",0))</f>
        <v>0.67340067340067344</v>
      </c>
      <c r="AD5" s="20" t="e">
        <f>VLOOKUP(F5,铝耗2026年!$A$2:$B$5000,2,0)</f>
        <v>#N/A</v>
      </c>
      <c r="AE5" s="20" t="e">
        <f>VLOOKUP(F5,铝耗2025年!$A$2:$B$5000,2,0)</f>
        <v>#N/A</v>
      </c>
      <c r="AF5" s="37">
        <v>1.45</v>
      </c>
    </row>
    <row r="6" spans="1:32" hidden="1" x14ac:dyDescent="0.3">
      <c r="A6" s="7">
        <v>3</v>
      </c>
      <c r="B6" s="9" t="s">
        <v>40</v>
      </c>
      <c r="C6" s="9" t="s">
        <v>34</v>
      </c>
      <c r="D6" s="9">
        <v>1.45</v>
      </c>
      <c r="E6" s="9">
        <v>12</v>
      </c>
      <c r="F6" s="9" t="s">
        <v>41</v>
      </c>
      <c r="G6" s="33" t="s">
        <v>42</v>
      </c>
      <c r="H6" s="9">
        <v>1519</v>
      </c>
      <c r="I6" s="34">
        <v>0.16</v>
      </c>
      <c r="J6" s="35">
        <v>0.08</v>
      </c>
      <c r="K6" s="35">
        <v>0.23</v>
      </c>
      <c r="L6" s="34">
        <v>2.5000000000000001E-2</v>
      </c>
      <c r="M6" s="34">
        <v>0.02</v>
      </c>
      <c r="N6" s="34"/>
      <c r="O6" s="34" t="s">
        <v>39</v>
      </c>
      <c r="P6" s="34" t="s">
        <v>39</v>
      </c>
      <c r="Q6" s="34">
        <v>0.01</v>
      </c>
      <c r="R6" s="34" t="s">
        <v>39</v>
      </c>
      <c r="S6" s="21" t="s">
        <v>39</v>
      </c>
      <c r="T6" s="35"/>
      <c r="U6" s="35"/>
      <c r="V6" s="35"/>
      <c r="W6" s="35" t="s">
        <v>39</v>
      </c>
      <c r="X6" s="21" t="s">
        <v>39</v>
      </c>
      <c r="Y6" s="36" t="s">
        <v>39</v>
      </c>
      <c r="Z6" s="9" t="s">
        <v>39</v>
      </c>
      <c r="AA6" s="36"/>
      <c r="AB6" s="29" cm="1">
        <f t="array" ref="AB6">IF(R6="",IF(Q6="",0,(_xlfn.IFS(Q6=0.01,0.67,Q6=0.015,1,Q6=0.015,1.33,Q6=0.02,1.67,Q6=0.025,2,Q6=0.03,2.33,Q6=0.035,2.67,Q6=0.04,3)+IF(J6&lt;=0.03,"0.33",0))),(_xlfn.IFS(R6=0.01,0.67,R6=0.015,1,R6=0.015,1.33,R6=0.02,1.67,R6=0.025,2,R6=0.03,2.33,R6=0.035,2.67,R6=0.04,3)+IF(J6&lt;=0.03,"0.33",0)))</f>
        <v>0.67</v>
      </c>
      <c r="AC6" s="29">
        <f t="shared" si="0"/>
        <v>0.67340067340067344</v>
      </c>
      <c r="AD6" s="20">
        <f>VLOOKUP(F6,铝耗2026年!$A$2:$B$5000,2,0)</f>
        <v>1.20222580696115</v>
      </c>
      <c r="AE6" s="20">
        <f>VLOOKUP(F6,铝耗2025年!$A$2:$B$5000,2,0)</f>
        <v>1.2</v>
      </c>
      <c r="AF6" s="20">
        <f t="shared" ref="AF6:AF68" si="1">MAX(AD6:AE6)</f>
        <v>1.20222580696115</v>
      </c>
    </row>
    <row r="7" spans="1:32" hidden="1" x14ac:dyDescent="0.3">
      <c r="A7" s="7">
        <v>4</v>
      </c>
      <c r="B7" s="9" t="s">
        <v>40</v>
      </c>
      <c r="C7" s="9" t="s">
        <v>37</v>
      </c>
      <c r="D7" s="9">
        <v>12.01</v>
      </c>
      <c r="E7" s="9">
        <v>28</v>
      </c>
      <c r="F7" s="9" t="s">
        <v>43</v>
      </c>
      <c r="G7" s="33" t="s">
        <v>42</v>
      </c>
      <c r="H7" s="9">
        <v>1519</v>
      </c>
      <c r="I7" s="34">
        <v>0.16</v>
      </c>
      <c r="J7" s="35">
        <v>0.08</v>
      </c>
      <c r="K7" s="35">
        <v>0.38</v>
      </c>
      <c r="L7" s="34">
        <v>2.5000000000000001E-2</v>
      </c>
      <c r="M7" s="34">
        <v>0.02</v>
      </c>
      <c r="N7" s="34"/>
      <c r="O7" s="34" t="s">
        <v>39</v>
      </c>
      <c r="P7" s="34" t="s">
        <v>39</v>
      </c>
      <c r="Q7" s="34">
        <v>0.01</v>
      </c>
      <c r="R7" s="34" t="s">
        <v>39</v>
      </c>
      <c r="S7" s="21" t="s">
        <v>39</v>
      </c>
      <c r="T7" s="35"/>
      <c r="U7" s="35"/>
      <c r="V7" s="35"/>
      <c r="W7" s="35" t="s">
        <v>39</v>
      </c>
      <c r="X7" s="21" t="s">
        <v>39</v>
      </c>
      <c r="Y7" s="36" t="s">
        <v>39</v>
      </c>
      <c r="Z7" s="9" t="s">
        <v>39</v>
      </c>
      <c r="AA7" s="36"/>
      <c r="AB7" s="29" cm="1">
        <f t="array" ref="AB7">IF(R7="",IF(Q7="",0,(_xlfn.IFS(Q7=0.01,0.67,Q7=0.015,1,Q7=0.015,1.33,Q7=0.02,1.67,Q7=0.025,2,Q7=0.03,2.33,Q7=0.035,2.67,Q7=0.04,3)+IF(J7&lt;=0.03,"0.33",0))),(_xlfn.IFS(R7=0.01,0.67,R7=0.015,1,R7=0.015,1.33,R7=0.02,1.67,R7=0.025,2,R7=0.03,2.33,R7=0.035,2.67,R7=0.04,3)+IF(J7&lt;=0.03,"0.33",0)))</f>
        <v>0.67</v>
      </c>
      <c r="AC7" s="29">
        <f t="shared" si="0"/>
        <v>0.67340067340067344</v>
      </c>
      <c r="AD7" s="20">
        <f>VLOOKUP(F7,铝耗2026年!$A$2:$B$5000,2,0)</f>
        <v>1.1762267077631701</v>
      </c>
      <c r="AE7" s="20">
        <f>VLOOKUP(F7,铝耗2025年!$A$2:$B$5000,2,0)</f>
        <v>1.2</v>
      </c>
      <c r="AF7" s="20">
        <f t="shared" si="1"/>
        <v>1.2</v>
      </c>
    </row>
    <row r="8" spans="1:32" hidden="1" x14ac:dyDescent="0.3">
      <c r="A8" s="7">
        <v>5</v>
      </c>
      <c r="B8" s="9" t="s">
        <v>44</v>
      </c>
      <c r="C8" s="9" t="s">
        <v>34</v>
      </c>
      <c r="D8" s="9">
        <v>1.6</v>
      </c>
      <c r="E8" s="9">
        <v>12</v>
      </c>
      <c r="F8" s="9" t="s">
        <v>45</v>
      </c>
      <c r="G8" s="33" t="s">
        <v>46</v>
      </c>
      <c r="H8" s="9">
        <v>1519</v>
      </c>
      <c r="I8" s="34">
        <v>0.15</v>
      </c>
      <c r="J8" s="35">
        <v>0.1</v>
      </c>
      <c r="K8" s="35">
        <v>0.35</v>
      </c>
      <c r="L8" s="34">
        <v>1.4999999999999999E-2</v>
      </c>
      <c r="M8" s="34">
        <v>0.01</v>
      </c>
      <c r="N8" s="34"/>
      <c r="O8" s="34" t="s">
        <v>39</v>
      </c>
      <c r="P8" s="34" t="s">
        <v>39</v>
      </c>
      <c r="Q8" s="34">
        <v>2.5000000000000001E-2</v>
      </c>
      <c r="R8" s="34" t="s">
        <v>39</v>
      </c>
      <c r="S8" s="21" t="s">
        <v>39</v>
      </c>
      <c r="T8" s="35"/>
      <c r="U8" s="35"/>
      <c r="V8" s="35"/>
      <c r="W8" s="35" t="s">
        <v>39</v>
      </c>
      <c r="X8" s="21" t="s">
        <v>39</v>
      </c>
      <c r="Y8" s="36" t="s">
        <v>39</v>
      </c>
      <c r="Z8" s="9" t="s">
        <v>39</v>
      </c>
      <c r="AA8" s="36"/>
      <c r="AB8" s="29" cm="1">
        <f t="array" ref="AB8">IF(R8="",IF(Q8="",0,(_xlfn.IFS(Q8=0.01,0.67,Q8=0.015,1,Q8=0.015,1.33,Q8=0.02,1.67,Q8=0.025,2,Q8=0.03,2.33,Q8=0.035,2.67,Q8=0.04,3)+IF(J8&lt;=0.03,"0.33",0))),(_xlfn.IFS(R8=0.01,0.67,R8=0.015,1,R8=0.015,1.33,R8=0.02,1.67,R8=0.025,2,R8=0.03,2.33,R8=0.035,2.67,R8=0.04,3)+IF(J8&lt;=0.03,"0.33",0)))</f>
        <v>2</v>
      </c>
      <c r="AC8" s="29">
        <f t="shared" si="0"/>
        <v>1.6835016835016836</v>
      </c>
      <c r="AD8" s="20">
        <f>VLOOKUP(F8,铝耗2026年!$A$2:$B$5000,2,0)</f>
        <v>1.3187259864304599</v>
      </c>
      <c r="AE8" s="20">
        <f>VLOOKUP(F8,铝耗2025年!$A$2:$B$5000,2,0)</f>
        <v>1.33</v>
      </c>
      <c r="AF8" s="20">
        <f t="shared" si="1"/>
        <v>1.33</v>
      </c>
    </row>
    <row r="9" spans="1:32" hidden="1" x14ac:dyDescent="0.3">
      <c r="A9" s="7">
        <v>6</v>
      </c>
      <c r="B9" s="9" t="s">
        <v>44</v>
      </c>
      <c r="C9" s="9" t="s">
        <v>37</v>
      </c>
      <c r="D9" s="9">
        <v>12.01</v>
      </c>
      <c r="E9" s="9">
        <v>25.4</v>
      </c>
      <c r="F9" s="9" t="s">
        <v>47</v>
      </c>
      <c r="G9" s="33" t="s">
        <v>46</v>
      </c>
      <c r="H9" s="9">
        <v>1519</v>
      </c>
      <c r="I9" s="34">
        <v>0.15</v>
      </c>
      <c r="J9" s="35">
        <v>0.1</v>
      </c>
      <c r="K9" s="35">
        <v>0.5</v>
      </c>
      <c r="L9" s="34">
        <v>1.4999999999999999E-2</v>
      </c>
      <c r="M9" s="34">
        <v>0.01</v>
      </c>
      <c r="N9" s="34"/>
      <c r="O9" s="34" t="s">
        <v>39</v>
      </c>
      <c r="P9" s="34" t="s">
        <v>39</v>
      </c>
      <c r="Q9" s="34">
        <v>2.5000000000000001E-2</v>
      </c>
      <c r="R9" s="34" t="s">
        <v>39</v>
      </c>
      <c r="S9" s="21" t="s">
        <v>39</v>
      </c>
      <c r="T9" s="35"/>
      <c r="U9" s="35"/>
      <c r="V9" s="35"/>
      <c r="W9" s="35" t="s">
        <v>39</v>
      </c>
      <c r="X9" s="21" t="s">
        <v>39</v>
      </c>
      <c r="Y9" s="36" t="s">
        <v>39</v>
      </c>
      <c r="Z9" s="9" t="s">
        <v>39</v>
      </c>
      <c r="AA9" s="36"/>
      <c r="AB9" s="29" cm="1">
        <f t="array" ref="AB9">IF(R9="",IF(Q9="",0,(_xlfn.IFS(Q9=0.01,0.67,Q9=0.015,1,Q9=0.015,1.33,Q9=0.02,1.67,Q9=0.025,2,Q9=0.03,2.33,Q9=0.035,2.67,Q9=0.04,3)+IF(J9&lt;=0.03,"0.33",0))),(_xlfn.IFS(R9=0.01,0.67,R9=0.015,1,R9=0.015,1.33,R9=0.02,1.67,R9=0.025,2,R9=0.03,2.33,R9=0.035,2.67,R9=0.04,3)+IF(J9&lt;=0.03,"0.33",0)))</f>
        <v>2</v>
      </c>
      <c r="AC9" s="29">
        <f t="shared" si="0"/>
        <v>1.6835016835016836</v>
      </c>
      <c r="AD9" s="20" t="e">
        <f>VLOOKUP(F9,铝耗2026年!$A$2:$B$5000,2,0)</f>
        <v>#N/A</v>
      </c>
      <c r="AE9" s="20">
        <f>VLOOKUP(F9,铝耗2025年!$A$2:$B$5000,2,0)</f>
        <v>1.33</v>
      </c>
      <c r="AF9" s="20">
        <v>1.33</v>
      </c>
    </row>
    <row r="10" spans="1:32" hidden="1" x14ac:dyDescent="0.3">
      <c r="A10" s="7">
        <v>7</v>
      </c>
      <c r="B10" s="9" t="s">
        <v>48</v>
      </c>
      <c r="C10" s="9" t="s">
        <v>34</v>
      </c>
      <c r="D10" s="9">
        <v>1.45</v>
      </c>
      <c r="E10" s="9">
        <v>12</v>
      </c>
      <c r="F10" s="9" t="s">
        <v>41</v>
      </c>
      <c r="G10" s="33" t="s">
        <v>42</v>
      </c>
      <c r="H10" s="9">
        <v>1519</v>
      </c>
      <c r="I10" s="34">
        <v>0.16</v>
      </c>
      <c r="J10" s="35">
        <v>0.08</v>
      </c>
      <c r="K10" s="35">
        <v>0.23</v>
      </c>
      <c r="L10" s="34">
        <v>2.5000000000000001E-2</v>
      </c>
      <c r="M10" s="34">
        <v>0.02</v>
      </c>
      <c r="N10" s="34"/>
      <c r="O10" s="34" t="s">
        <v>39</v>
      </c>
      <c r="P10" s="34" t="s">
        <v>39</v>
      </c>
      <c r="Q10" s="34">
        <v>0.01</v>
      </c>
      <c r="R10" s="34" t="s">
        <v>39</v>
      </c>
      <c r="S10" s="21" t="s">
        <v>39</v>
      </c>
      <c r="T10" s="35"/>
      <c r="U10" s="35"/>
      <c r="V10" s="35"/>
      <c r="W10" s="35" t="s">
        <v>39</v>
      </c>
      <c r="X10" s="21" t="s">
        <v>39</v>
      </c>
      <c r="Y10" s="36" t="s">
        <v>39</v>
      </c>
      <c r="Z10" s="9" t="s">
        <v>39</v>
      </c>
      <c r="AA10" s="36" t="s">
        <v>39</v>
      </c>
      <c r="AB10" s="29" cm="1">
        <f t="array" ref="AB10">IF(R10="",IF(Q10="",0,(_xlfn.IFS(Q10=0.01,0.67,Q10=0.015,1,Q10=0.015,1.33,Q10=0.02,1.67,Q10=0.025,2,Q10=0.03,2.33,Q10=0.035,2.67,Q10=0.04,3)+IF(J10&lt;=0.03,"0.33",0))),(_xlfn.IFS(R10=0.01,0.67,R10=0.015,1,R10=0.015,1.33,R10=0.02,1.67,R10=0.025,2,R10=0.03,2.33,R10=0.035,2.67,R10=0.04,3)+IF(J10&lt;=0.03,"0.33",0)))</f>
        <v>0.67</v>
      </c>
      <c r="AC10" s="29">
        <f t="shared" si="0"/>
        <v>0.67340067340067344</v>
      </c>
      <c r="AD10" s="20">
        <f>VLOOKUP(F10,铝耗2026年!$A$2:$B$5000,2,0)</f>
        <v>1.20222580696115</v>
      </c>
      <c r="AE10" s="20">
        <f>VLOOKUP(F10,铝耗2025年!$A$2:$B$5000,2,0)</f>
        <v>1.2</v>
      </c>
      <c r="AF10" s="20">
        <f t="shared" si="1"/>
        <v>1.20222580696115</v>
      </c>
    </row>
    <row r="11" spans="1:32" hidden="1" x14ac:dyDescent="0.3">
      <c r="A11" s="7">
        <v>8</v>
      </c>
      <c r="B11" s="9" t="s">
        <v>48</v>
      </c>
      <c r="C11" s="9" t="s">
        <v>37</v>
      </c>
      <c r="D11" s="9">
        <v>12.01</v>
      </c>
      <c r="E11" s="9">
        <v>28</v>
      </c>
      <c r="F11" s="9" t="s">
        <v>43</v>
      </c>
      <c r="G11" s="33" t="s">
        <v>42</v>
      </c>
      <c r="H11" s="9">
        <v>1519</v>
      </c>
      <c r="I11" s="34">
        <v>0.16</v>
      </c>
      <c r="J11" s="35">
        <v>0.08</v>
      </c>
      <c r="K11" s="35">
        <v>0.38</v>
      </c>
      <c r="L11" s="34">
        <v>2.5000000000000001E-2</v>
      </c>
      <c r="M11" s="34">
        <v>0.02</v>
      </c>
      <c r="N11" s="34"/>
      <c r="O11" s="34" t="s">
        <v>39</v>
      </c>
      <c r="P11" s="34" t="s">
        <v>39</v>
      </c>
      <c r="Q11" s="34">
        <v>0.01</v>
      </c>
      <c r="R11" s="34" t="s">
        <v>39</v>
      </c>
      <c r="S11" s="21" t="s">
        <v>39</v>
      </c>
      <c r="T11" s="35"/>
      <c r="U11" s="35"/>
      <c r="V11" s="35"/>
      <c r="W11" s="35" t="s">
        <v>39</v>
      </c>
      <c r="X11" s="21" t="s">
        <v>39</v>
      </c>
      <c r="Y11" s="36" t="s">
        <v>39</v>
      </c>
      <c r="Z11" s="9" t="s">
        <v>39</v>
      </c>
      <c r="AA11" s="36" t="s">
        <v>39</v>
      </c>
      <c r="AB11" s="29" cm="1">
        <f t="array" ref="AB11">IF(R11="",IF(Q11="",0,(_xlfn.IFS(Q11=0.01,0.67,Q11=0.015,1,Q11=0.015,1.33,Q11=0.02,1.67,Q11=0.025,2,Q11=0.03,2.33,Q11=0.035,2.67,Q11=0.04,3)+IF(J11&lt;=0.03,"0.33",0))),(_xlfn.IFS(R11=0.01,0.67,R11=0.015,1,R11=0.015,1.33,R11=0.02,1.67,R11=0.025,2,R11=0.03,2.33,R11=0.035,2.67,R11=0.04,3)+IF(J11&lt;=0.03,"0.33",0)))</f>
        <v>0.67</v>
      </c>
      <c r="AC11" s="29">
        <f t="shared" si="0"/>
        <v>0.67340067340067344</v>
      </c>
      <c r="AD11" s="20">
        <f>VLOOKUP(F11,铝耗2026年!$A$2:$B$5000,2,0)</f>
        <v>1.1762267077631701</v>
      </c>
      <c r="AE11" s="20">
        <f>VLOOKUP(F11,铝耗2025年!$A$2:$B$5000,2,0)</f>
        <v>1.2</v>
      </c>
      <c r="AF11" s="20">
        <f t="shared" si="1"/>
        <v>1.2</v>
      </c>
    </row>
    <row r="12" spans="1:32" hidden="1" x14ac:dyDescent="0.3">
      <c r="A12" s="7">
        <v>9</v>
      </c>
      <c r="B12" s="9" t="s">
        <v>49</v>
      </c>
      <c r="C12" s="9" t="s">
        <v>34</v>
      </c>
      <c r="D12" s="9">
        <v>1.45</v>
      </c>
      <c r="E12" s="9">
        <v>12</v>
      </c>
      <c r="F12" s="9" t="s">
        <v>41</v>
      </c>
      <c r="G12" s="33" t="s">
        <v>42</v>
      </c>
      <c r="H12" s="9">
        <v>1519</v>
      </c>
      <c r="I12" s="34">
        <v>0.16</v>
      </c>
      <c r="J12" s="35">
        <v>0.08</v>
      </c>
      <c r="K12" s="35">
        <v>0.23</v>
      </c>
      <c r="L12" s="34">
        <v>2.5000000000000001E-2</v>
      </c>
      <c r="M12" s="34">
        <v>0.02</v>
      </c>
      <c r="N12" s="34"/>
      <c r="O12" s="34" t="s">
        <v>39</v>
      </c>
      <c r="P12" s="34" t="s">
        <v>39</v>
      </c>
      <c r="Q12" s="34">
        <v>0.01</v>
      </c>
      <c r="R12" s="34" t="s">
        <v>39</v>
      </c>
      <c r="S12" s="21" t="s">
        <v>39</v>
      </c>
      <c r="T12" s="35"/>
      <c r="U12" s="35"/>
      <c r="V12" s="35"/>
      <c r="W12" s="35" t="s">
        <v>39</v>
      </c>
      <c r="X12" s="21" t="s">
        <v>39</v>
      </c>
      <c r="Y12" s="36" t="s">
        <v>39</v>
      </c>
      <c r="Z12" s="9" t="s">
        <v>39</v>
      </c>
      <c r="AA12" s="36" t="s">
        <v>39</v>
      </c>
      <c r="AB12" s="29" cm="1">
        <f t="array" ref="AB12">IF(R12="",IF(Q12="",0,(_xlfn.IFS(Q12=0.01,0.67,Q12=0.015,1,Q12=0.015,1.33,Q12=0.02,1.67,Q12=0.025,2,Q12=0.03,2.33,Q12=0.035,2.67,Q12=0.04,3)+IF(J12&lt;=0.03,"0.33",0))),(_xlfn.IFS(R12=0.01,0.67,R12=0.015,1,R12=0.015,1.33,R12=0.02,1.67,R12=0.025,2,R12=0.03,2.33,R12=0.035,2.67,R12=0.04,3)+IF(J12&lt;=0.03,"0.33",0)))</f>
        <v>0.67</v>
      </c>
      <c r="AC12" s="29">
        <f t="shared" si="0"/>
        <v>0.67340067340067344</v>
      </c>
      <c r="AD12" s="20">
        <f>VLOOKUP(F12,铝耗2026年!$A$2:$B$5000,2,0)</f>
        <v>1.20222580696115</v>
      </c>
      <c r="AE12" s="20">
        <f>VLOOKUP(F12,铝耗2025年!$A$2:$B$5000,2,0)</f>
        <v>1.2</v>
      </c>
      <c r="AF12" s="20">
        <f t="shared" si="1"/>
        <v>1.20222580696115</v>
      </c>
    </row>
    <row r="13" spans="1:32" hidden="1" x14ac:dyDescent="0.3">
      <c r="A13" s="7">
        <v>10</v>
      </c>
      <c r="B13" s="9" t="s">
        <v>49</v>
      </c>
      <c r="C13" s="9" t="s">
        <v>37</v>
      </c>
      <c r="D13" s="9">
        <v>12.01</v>
      </c>
      <c r="E13" s="9">
        <v>28</v>
      </c>
      <c r="F13" s="9" t="s">
        <v>43</v>
      </c>
      <c r="G13" s="33" t="s">
        <v>42</v>
      </c>
      <c r="H13" s="9">
        <v>1519</v>
      </c>
      <c r="I13" s="34">
        <v>0.16</v>
      </c>
      <c r="J13" s="35">
        <v>0.08</v>
      </c>
      <c r="K13" s="35">
        <v>0.38</v>
      </c>
      <c r="L13" s="34">
        <v>2.5000000000000001E-2</v>
      </c>
      <c r="M13" s="34">
        <v>0.02</v>
      </c>
      <c r="N13" s="34"/>
      <c r="O13" s="34" t="s">
        <v>39</v>
      </c>
      <c r="P13" s="34" t="s">
        <v>39</v>
      </c>
      <c r="Q13" s="34">
        <v>0.01</v>
      </c>
      <c r="R13" s="34" t="s">
        <v>39</v>
      </c>
      <c r="S13" s="21" t="s">
        <v>39</v>
      </c>
      <c r="T13" s="35"/>
      <c r="U13" s="35"/>
      <c r="V13" s="35"/>
      <c r="W13" s="35" t="s">
        <v>39</v>
      </c>
      <c r="X13" s="21" t="s">
        <v>39</v>
      </c>
      <c r="Y13" s="36" t="s">
        <v>39</v>
      </c>
      <c r="Z13" s="9" t="s">
        <v>39</v>
      </c>
      <c r="AA13" s="36" t="s">
        <v>39</v>
      </c>
      <c r="AB13" s="29" cm="1">
        <f t="array" ref="AB13">IF(R13="",IF(Q13="",0,(_xlfn.IFS(Q13=0.01,0.67,Q13=0.015,1,Q13=0.015,1.33,Q13=0.02,1.67,Q13=0.025,2,Q13=0.03,2.33,Q13=0.035,2.67,Q13=0.04,3)+IF(J13&lt;=0.03,"0.33",0))),(_xlfn.IFS(R13=0.01,0.67,R13=0.015,1,R13=0.015,1.33,R13=0.02,1.67,R13=0.025,2,R13=0.03,2.33,R13=0.035,2.67,R13=0.04,3)+IF(J13&lt;=0.03,"0.33",0)))</f>
        <v>0.67</v>
      </c>
      <c r="AC13" s="29">
        <f t="shared" si="0"/>
        <v>0.67340067340067344</v>
      </c>
      <c r="AD13" s="20">
        <f>VLOOKUP(F13,铝耗2026年!$A$2:$B$5000,2,0)</f>
        <v>1.1762267077631701</v>
      </c>
      <c r="AE13" s="20">
        <f>VLOOKUP(F13,铝耗2025年!$A$2:$B$5000,2,0)</f>
        <v>1.2</v>
      </c>
      <c r="AF13" s="20">
        <f t="shared" si="1"/>
        <v>1.2</v>
      </c>
    </row>
    <row r="14" spans="1:32" hidden="1" x14ac:dyDescent="0.3">
      <c r="A14" s="7">
        <v>11</v>
      </c>
      <c r="B14" s="9" t="s">
        <v>50</v>
      </c>
      <c r="C14" s="9" t="s">
        <v>34</v>
      </c>
      <c r="D14" s="9">
        <v>1.45</v>
      </c>
      <c r="E14" s="9">
        <v>12</v>
      </c>
      <c r="F14" s="9" t="s">
        <v>41</v>
      </c>
      <c r="G14" s="33" t="s">
        <v>42</v>
      </c>
      <c r="H14" s="9">
        <v>1519</v>
      </c>
      <c r="I14" s="34">
        <v>0.16</v>
      </c>
      <c r="J14" s="35">
        <v>0.08</v>
      </c>
      <c r="K14" s="35">
        <v>0.23</v>
      </c>
      <c r="L14" s="34">
        <v>2.5000000000000001E-2</v>
      </c>
      <c r="M14" s="34">
        <v>0.02</v>
      </c>
      <c r="N14" s="34"/>
      <c r="O14" s="34" t="s">
        <v>39</v>
      </c>
      <c r="P14" s="34" t="s">
        <v>39</v>
      </c>
      <c r="Q14" s="34">
        <v>0.01</v>
      </c>
      <c r="R14" s="34" t="s">
        <v>39</v>
      </c>
      <c r="S14" s="21" t="s">
        <v>39</v>
      </c>
      <c r="T14" s="35"/>
      <c r="U14" s="35"/>
      <c r="V14" s="35"/>
      <c r="W14" s="35" t="s">
        <v>39</v>
      </c>
      <c r="X14" s="21" t="s">
        <v>39</v>
      </c>
      <c r="Y14" s="36" t="s">
        <v>39</v>
      </c>
      <c r="Z14" s="9" t="s">
        <v>39</v>
      </c>
      <c r="AA14" s="36" t="s">
        <v>39</v>
      </c>
      <c r="AB14" s="29" cm="1">
        <f t="array" ref="AB14">IF(R14="",IF(Q14="",0,(_xlfn.IFS(Q14=0.01,0.67,Q14=0.015,1,Q14=0.015,1.33,Q14=0.02,1.67,Q14=0.025,2,Q14=0.03,2.33,Q14=0.035,2.67,Q14=0.04,3)+IF(J14&lt;=0.03,"0.33",0))),(_xlfn.IFS(R14=0.01,0.67,R14=0.015,1,R14=0.015,1.33,R14=0.02,1.67,R14=0.025,2,R14=0.03,2.33,R14=0.035,2.67,R14=0.04,3)+IF(J14&lt;=0.03,"0.33",0)))</f>
        <v>0.67</v>
      </c>
      <c r="AC14" s="29">
        <f t="shared" si="0"/>
        <v>0.67340067340067344</v>
      </c>
      <c r="AD14" s="20">
        <f>VLOOKUP(F14,铝耗2026年!$A$2:$B$5000,2,0)</f>
        <v>1.20222580696115</v>
      </c>
      <c r="AE14" s="20">
        <f>VLOOKUP(F14,铝耗2025年!$A$2:$B$5000,2,0)</f>
        <v>1.2</v>
      </c>
      <c r="AF14" s="20">
        <f t="shared" si="1"/>
        <v>1.20222580696115</v>
      </c>
    </row>
    <row r="15" spans="1:32" hidden="1" x14ac:dyDescent="0.3">
      <c r="A15" s="7">
        <v>12</v>
      </c>
      <c r="B15" s="9" t="s">
        <v>50</v>
      </c>
      <c r="C15" s="9" t="s">
        <v>37</v>
      </c>
      <c r="D15" s="9">
        <v>12.01</v>
      </c>
      <c r="E15" s="9">
        <v>28</v>
      </c>
      <c r="F15" s="9" t="s">
        <v>43</v>
      </c>
      <c r="G15" s="33" t="s">
        <v>42</v>
      </c>
      <c r="H15" s="9">
        <v>1519</v>
      </c>
      <c r="I15" s="34">
        <v>0.16</v>
      </c>
      <c r="J15" s="35">
        <v>0.08</v>
      </c>
      <c r="K15" s="35">
        <v>0.38</v>
      </c>
      <c r="L15" s="34">
        <v>2.5000000000000001E-2</v>
      </c>
      <c r="M15" s="34">
        <v>0.02</v>
      </c>
      <c r="N15" s="34"/>
      <c r="O15" s="34" t="s">
        <v>39</v>
      </c>
      <c r="P15" s="34" t="s">
        <v>39</v>
      </c>
      <c r="Q15" s="34">
        <v>0.01</v>
      </c>
      <c r="R15" s="34" t="s">
        <v>39</v>
      </c>
      <c r="S15" s="21" t="s">
        <v>39</v>
      </c>
      <c r="T15" s="35"/>
      <c r="U15" s="35"/>
      <c r="V15" s="35"/>
      <c r="W15" s="35" t="s">
        <v>39</v>
      </c>
      <c r="X15" s="21" t="s">
        <v>39</v>
      </c>
      <c r="Y15" s="36" t="s">
        <v>39</v>
      </c>
      <c r="Z15" s="9" t="s">
        <v>39</v>
      </c>
      <c r="AA15" s="36" t="s">
        <v>39</v>
      </c>
      <c r="AB15" s="29" cm="1">
        <f t="array" ref="AB15">IF(R15="",IF(Q15="",0,(_xlfn.IFS(Q15=0.01,0.67,Q15=0.015,1,Q15=0.015,1.33,Q15=0.02,1.67,Q15=0.025,2,Q15=0.03,2.33,Q15=0.035,2.67,Q15=0.04,3)+IF(J15&lt;=0.03,"0.33",0))),(_xlfn.IFS(R15=0.01,0.67,R15=0.015,1,R15=0.015,1.33,R15=0.02,1.67,R15=0.025,2,R15=0.03,2.33,R15=0.035,2.67,R15=0.04,3)+IF(J15&lt;=0.03,"0.33",0)))</f>
        <v>0.67</v>
      </c>
      <c r="AC15" s="29">
        <f t="shared" si="0"/>
        <v>0.67340067340067344</v>
      </c>
      <c r="AD15" s="20">
        <f>VLOOKUP(F15,铝耗2026年!$A$2:$B$5000,2,0)</f>
        <v>1.1762267077631701</v>
      </c>
      <c r="AE15" s="20">
        <f>VLOOKUP(F15,铝耗2025年!$A$2:$B$5000,2,0)</f>
        <v>1.2</v>
      </c>
      <c r="AF15" s="20">
        <f t="shared" si="1"/>
        <v>1.2</v>
      </c>
    </row>
    <row r="16" spans="1:32" hidden="1" x14ac:dyDescent="0.3">
      <c r="A16" s="7">
        <v>13</v>
      </c>
      <c r="B16" s="9" t="s">
        <v>51</v>
      </c>
      <c r="C16" s="9" t="s">
        <v>34</v>
      </c>
      <c r="D16" s="9">
        <v>1.6</v>
      </c>
      <c r="E16" s="9">
        <v>5</v>
      </c>
      <c r="F16" s="9" t="s">
        <v>52</v>
      </c>
      <c r="G16" s="33" t="s">
        <v>53</v>
      </c>
      <c r="H16" s="9">
        <v>1520</v>
      </c>
      <c r="I16" s="34">
        <v>0.15</v>
      </c>
      <c r="J16" s="35">
        <v>0.12</v>
      </c>
      <c r="K16" s="35">
        <v>0.25</v>
      </c>
      <c r="L16" s="34">
        <v>1.4999999999999999E-2</v>
      </c>
      <c r="M16" s="34">
        <v>5.0000000000000001E-3</v>
      </c>
      <c r="N16" s="34"/>
      <c r="O16" s="34" t="s">
        <v>39</v>
      </c>
      <c r="P16" s="34" t="s">
        <v>39</v>
      </c>
      <c r="Q16" s="34">
        <v>1.4999999999999999E-2</v>
      </c>
      <c r="R16" s="34" t="s">
        <v>39</v>
      </c>
      <c r="S16" s="21"/>
      <c r="T16" s="35"/>
      <c r="U16" s="35"/>
      <c r="V16" s="35"/>
      <c r="W16" s="35" t="s">
        <v>39</v>
      </c>
      <c r="X16" s="21" t="s">
        <v>39</v>
      </c>
      <c r="Y16" s="36" t="s">
        <v>39</v>
      </c>
      <c r="Z16" s="9" t="s">
        <v>39</v>
      </c>
      <c r="AA16" s="36" t="s">
        <v>39</v>
      </c>
      <c r="AB16" s="29" cm="1">
        <f t="array" ref="AB16">IF(R16="",IF(Q16="",0,(_xlfn.IFS(Q16=0.01,0.67,Q16=0.015,1,Q16=0.015,1.33,Q16=0.02,1.67,Q16=0.025,2,Q16=0.03,2.33,Q16=0.035,2.67,Q16=0.04,3)+IF(J16&lt;=0.03,"0.33",0))),(_xlfn.IFS(R16=0.01,0.67,R16=0.015,1,R16=0.015,1.33,R16=0.02,1.67,R16=0.025,2,R16=0.03,2.33,R16=0.035,2.67,R16=0.04,3)+IF(J16&lt;=0.03,"0.33",0)))</f>
        <v>1</v>
      </c>
      <c r="AC16" s="29">
        <f t="shared" si="0"/>
        <v>1.0101010101010102</v>
      </c>
      <c r="AD16" s="20" t="e">
        <f>VLOOKUP(F16,铝耗2026年!$A$2:$B$5000,2,0)</f>
        <v>#N/A</v>
      </c>
      <c r="AE16" s="20" t="e">
        <f>VLOOKUP(F16,铝耗2025年!$A$2:$B$5000,2,0)</f>
        <v>#N/A</v>
      </c>
      <c r="AF16" s="37">
        <v>1.3</v>
      </c>
    </row>
    <row r="17" spans="1:32" hidden="1" x14ac:dyDescent="0.3">
      <c r="A17" s="7">
        <v>14</v>
      </c>
      <c r="B17" s="9" t="s">
        <v>51</v>
      </c>
      <c r="C17" s="9" t="s">
        <v>37</v>
      </c>
      <c r="D17" s="9">
        <v>5.01</v>
      </c>
      <c r="E17" s="9">
        <v>14</v>
      </c>
      <c r="F17" s="9" t="s">
        <v>54</v>
      </c>
      <c r="G17" s="33" t="s">
        <v>53</v>
      </c>
      <c r="H17" s="9">
        <v>1520</v>
      </c>
      <c r="I17" s="34">
        <v>0.15</v>
      </c>
      <c r="J17" s="35">
        <v>0.12</v>
      </c>
      <c r="K17" s="35">
        <v>0.35</v>
      </c>
      <c r="L17" s="34">
        <v>1.4999999999999999E-2</v>
      </c>
      <c r="M17" s="34">
        <v>5.0000000000000001E-3</v>
      </c>
      <c r="N17" s="34"/>
      <c r="O17" s="34" t="s">
        <v>39</v>
      </c>
      <c r="P17" s="34" t="s">
        <v>39</v>
      </c>
      <c r="Q17" s="34">
        <v>1.4999999999999999E-2</v>
      </c>
      <c r="R17" s="34" t="s">
        <v>39</v>
      </c>
      <c r="S17" s="21"/>
      <c r="T17" s="35"/>
      <c r="U17" s="35"/>
      <c r="V17" s="35"/>
      <c r="W17" s="35" t="s">
        <v>39</v>
      </c>
      <c r="X17" s="21" t="s">
        <v>39</v>
      </c>
      <c r="Y17" s="36" t="s">
        <v>39</v>
      </c>
      <c r="Z17" s="9" t="s">
        <v>39</v>
      </c>
      <c r="AA17" s="36" t="s">
        <v>39</v>
      </c>
      <c r="AB17" s="29" cm="1">
        <f t="array" ref="AB17">IF(R17="",IF(Q17="",0,(_xlfn.IFS(Q17=0.01,0.67,Q17=0.015,1,Q17=0.015,1.33,Q17=0.02,1.67,Q17=0.025,2,Q17=0.03,2.33,Q17=0.035,2.67,Q17=0.04,3)+IF(J17&lt;=0.03,"0.33",0))),(_xlfn.IFS(R17=0.01,0.67,R17=0.015,1,R17=0.015,1.33,R17=0.02,1.67,R17=0.025,2,R17=0.03,2.33,R17=0.035,2.67,R17=0.04,3)+IF(J17&lt;=0.03,"0.33",0)))</f>
        <v>1</v>
      </c>
      <c r="AC17" s="29">
        <f t="shared" si="0"/>
        <v>1.0101010101010102</v>
      </c>
      <c r="AD17" s="20" t="e">
        <f>VLOOKUP(F17,铝耗2026年!$A$2:$B$5000,2,0)</f>
        <v>#N/A</v>
      </c>
      <c r="AE17" s="20" t="e">
        <f>VLOOKUP(F17,铝耗2025年!$A$2:$B$5000,2,0)</f>
        <v>#N/A</v>
      </c>
      <c r="AF17" s="37">
        <v>1.3</v>
      </c>
    </row>
    <row r="18" spans="1:32" hidden="1" x14ac:dyDescent="0.3">
      <c r="A18" s="7">
        <v>15</v>
      </c>
      <c r="B18" s="9" t="s">
        <v>55</v>
      </c>
      <c r="C18" s="9" t="s">
        <v>34</v>
      </c>
      <c r="D18" s="9">
        <v>3</v>
      </c>
      <c r="E18" s="9">
        <v>12</v>
      </c>
      <c r="F18" s="9" t="s">
        <v>56</v>
      </c>
      <c r="G18" s="33" t="s">
        <v>57</v>
      </c>
      <c r="H18" s="9">
        <v>1519</v>
      </c>
      <c r="I18" s="34">
        <v>0.15</v>
      </c>
      <c r="J18" s="35">
        <v>0.05</v>
      </c>
      <c r="K18" s="35">
        <v>0.25</v>
      </c>
      <c r="L18" s="34">
        <v>1.7999999999999999E-2</v>
      </c>
      <c r="M18" s="34">
        <v>8.0000000000000002E-3</v>
      </c>
      <c r="N18" s="34"/>
      <c r="O18" s="34" t="s">
        <v>39</v>
      </c>
      <c r="P18" s="34" t="s">
        <v>39</v>
      </c>
      <c r="Q18" s="34">
        <v>0.01</v>
      </c>
      <c r="R18" s="34" t="s">
        <v>39</v>
      </c>
      <c r="S18" s="21" t="s">
        <v>39</v>
      </c>
      <c r="T18" s="35"/>
      <c r="U18" s="35"/>
      <c r="V18" s="35"/>
      <c r="W18" s="35" t="s">
        <v>39</v>
      </c>
      <c r="X18" s="21" t="s">
        <v>39</v>
      </c>
      <c r="Y18" s="36" t="s">
        <v>39</v>
      </c>
      <c r="Z18" s="9"/>
      <c r="AA18" s="36"/>
      <c r="AB18" s="29" cm="1">
        <f t="array" ref="AB18">IF(R18="",IF(Q18="",0,(_xlfn.IFS(Q18=0.01,0.67,Q18=0.015,1,Q18=0.015,1.33,Q18=0.02,1.67,Q18=0.025,2,Q18=0.03,2.33,Q18=0.035,2.67,Q18=0.04,3)+IF(J18&lt;=0.03,"0.33",0))),(_xlfn.IFS(R18=0.01,0.67,R18=0.015,1,R18=0.015,1.33,R18=0.02,1.67,R18=0.025,2,R18=0.03,2.33,R18=0.035,2.67,R18=0.04,3)+IF(J18&lt;=0.03,"0.33",0)))</f>
        <v>0.67</v>
      </c>
      <c r="AC18" s="29">
        <f t="shared" si="0"/>
        <v>0.67340067340067344</v>
      </c>
      <c r="AD18" s="20">
        <f>VLOOKUP(F18,铝耗2026年!$A$2:$B$5000,2,0)</f>
        <v>1.3043909837672001</v>
      </c>
      <c r="AE18" s="20">
        <f>VLOOKUP(F18,铝耗2025年!$A$2:$B$5000,2,0)</f>
        <v>1.3</v>
      </c>
      <c r="AF18" s="20">
        <f t="shared" si="1"/>
        <v>1.3043909837672001</v>
      </c>
    </row>
    <row r="19" spans="1:32" hidden="1" x14ac:dyDescent="0.3">
      <c r="A19" s="7">
        <v>16</v>
      </c>
      <c r="B19" s="9" t="s">
        <v>55</v>
      </c>
      <c r="C19" s="9" t="s">
        <v>37</v>
      </c>
      <c r="D19" s="9">
        <v>12.01</v>
      </c>
      <c r="E19" s="9">
        <v>25.4</v>
      </c>
      <c r="F19" s="9" t="s">
        <v>58</v>
      </c>
      <c r="G19" s="33" t="s">
        <v>57</v>
      </c>
      <c r="H19" s="9">
        <v>1519</v>
      </c>
      <c r="I19" s="34">
        <v>0.15</v>
      </c>
      <c r="J19" s="35">
        <v>0.05</v>
      </c>
      <c r="K19" s="35">
        <v>0.38</v>
      </c>
      <c r="L19" s="34">
        <v>1.7999999999999999E-2</v>
      </c>
      <c r="M19" s="34">
        <v>8.0000000000000002E-3</v>
      </c>
      <c r="N19" s="34"/>
      <c r="O19" s="34" t="s">
        <v>39</v>
      </c>
      <c r="P19" s="34" t="s">
        <v>39</v>
      </c>
      <c r="Q19" s="34">
        <v>0.01</v>
      </c>
      <c r="R19" s="34" t="s">
        <v>39</v>
      </c>
      <c r="S19" s="21" t="s">
        <v>39</v>
      </c>
      <c r="T19" s="35"/>
      <c r="U19" s="35"/>
      <c r="V19" s="35"/>
      <c r="W19" s="35" t="s">
        <v>39</v>
      </c>
      <c r="X19" s="21" t="s">
        <v>39</v>
      </c>
      <c r="Y19" s="36" t="s">
        <v>39</v>
      </c>
      <c r="Z19" s="9"/>
      <c r="AA19" s="36"/>
      <c r="AB19" s="29" cm="1">
        <f t="array" ref="AB19">IF(R19="",IF(Q19="",0,(_xlfn.IFS(Q19=0.01,0.67,Q19=0.015,1,Q19=0.015,1.33,Q19=0.02,1.67,Q19=0.025,2,Q19=0.03,2.33,Q19=0.035,2.67,Q19=0.04,3)+IF(J19&lt;=0.03,"0.33",0))),(_xlfn.IFS(R19=0.01,0.67,R19=0.015,1,R19=0.015,1.33,R19=0.02,1.67,R19=0.025,2,R19=0.03,2.33,R19=0.035,2.67,R19=0.04,3)+IF(J19&lt;=0.03,"0.33",0)))</f>
        <v>0.67</v>
      </c>
      <c r="AC19" s="29">
        <f t="shared" si="0"/>
        <v>0.67340067340067344</v>
      </c>
      <c r="AD19" s="20">
        <f>VLOOKUP(F19,铝耗2026年!$A$2:$B$5000,2,0)</f>
        <v>1.2566435341461499</v>
      </c>
      <c r="AE19" s="20" t="e">
        <f>VLOOKUP(F19,铝耗2025年!$A$2:$B$5000,2,0)</f>
        <v>#N/A</v>
      </c>
      <c r="AF19" s="37">
        <v>1.3</v>
      </c>
    </row>
    <row r="20" spans="1:32" hidden="1" x14ac:dyDescent="0.3">
      <c r="A20" s="7">
        <v>17</v>
      </c>
      <c r="B20" s="9" t="s">
        <v>59</v>
      </c>
      <c r="C20" s="9" t="s">
        <v>34</v>
      </c>
      <c r="D20" s="9">
        <v>3</v>
      </c>
      <c r="E20" s="9">
        <v>12</v>
      </c>
      <c r="F20" s="9" t="s">
        <v>60</v>
      </c>
      <c r="G20" s="33" t="s">
        <v>61</v>
      </c>
      <c r="H20" s="9">
        <v>1519</v>
      </c>
      <c r="I20" s="34">
        <v>0.15</v>
      </c>
      <c r="J20" s="35">
        <v>0.05</v>
      </c>
      <c r="K20" s="35">
        <v>0.25</v>
      </c>
      <c r="L20" s="34">
        <v>1.7999999999999999E-2</v>
      </c>
      <c r="M20" s="34">
        <v>8.0000000000000002E-3</v>
      </c>
      <c r="N20" s="34"/>
      <c r="O20" s="34" t="s">
        <v>39</v>
      </c>
      <c r="P20" s="34" t="s">
        <v>39</v>
      </c>
      <c r="Q20" s="34">
        <v>0.01</v>
      </c>
      <c r="R20" s="34" t="s">
        <v>39</v>
      </c>
      <c r="S20" s="21" t="s">
        <v>39</v>
      </c>
      <c r="T20" s="35"/>
      <c r="U20" s="35"/>
      <c r="V20" s="35"/>
      <c r="W20" s="35" t="s">
        <v>39</v>
      </c>
      <c r="X20" s="21" t="s">
        <v>39</v>
      </c>
      <c r="Y20" s="36" t="s">
        <v>39</v>
      </c>
      <c r="Z20" s="9"/>
      <c r="AA20" s="36"/>
      <c r="AB20" s="29" cm="1">
        <f t="array" ref="AB20">IF(R20="",IF(Q20="",0,(_xlfn.IFS(Q20=0.01,0.67,Q20=0.015,1,Q20=0.015,1.33,Q20=0.02,1.67,Q20=0.025,2,Q20=0.03,2.33,Q20=0.035,2.67,Q20=0.04,3)+IF(J20&lt;=0.03,"0.33",0))),(_xlfn.IFS(R20=0.01,0.67,R20=0.015,1,R20=0.015,1.33,R20=0.02,1.67,R20=0.025,2,R20=0.03,2.33,R20=0.035,2.67,R20=0.04,3)+IF(J20&lt;=0.03,"0.33",0)))</f>
        <v>0.67</v>
      </c>
      <c r="AC20" s="29">
        <f t="shared" si="0"/>
        <v>0.67340067340067344</v>
      </c>
      <c r="AD20" s="20">
        <f>VLOOKUP(F20,铝耗2026年!$A$2:$B$5000,2,0)</f>
        <v>1.2553618365097301</v>
      </c>
      <c r="AE20" s="20">
        <f>VLOOKUP(F20,铝耗2025年!$A$2:$B$5000,2,0)</f>
        <v>1.3</v>
      </c>
      <c r="AF20" s="20">
        <f t="shared" si="1"/>
        <v>1.3</v>
      </c>
    </row>
    <row r="21" spans="1:32" hidden="1" x14ac:dyDescent="0.3">
      <c r="A21" s="7">
        <v>18</v>
      </c>
      <c r="B21" s="9" t="s">
        <v>59</v>
      </c>
      <c r="C21" s="9" t="s">
        <v>37</v>
      </c>
      <c r="D21" s="9">
        <v>12.01</v>
      </c>
      <c r="E21" s="9">
        <v>25.4</v>
      </c>
      <c r="F21" s="9" t="s">
        <v>62</v>
      </c>
      <c r="G21" s="33" t="s">
        <v>61</v>
      </c>
      <c r="H21" s="9">
        <v>1519</v>
      </c>
      <c r="I21" s="34">
        <v>0.15</v>
      </c>
      <c r="J21" s="35">
        <v>0.05</v>
      </c>
      <c r="K21" s="35">
        <v>0.38</v>
      </c>
      <c r="L21" s="34">
        <v>1.7999999999999999E-2</v>
      </c>
      <c r="M21" s="34">
        <v>8.0000000000000002E-3</v>
      </c>
      <c r="N21" s="34" t="s">
        <v>39</v>
      </c>
      <c r="O21" s="34" t="s">
        <v>39</v>
      </c>
      <c r="P21" s="34" t="s">
        <v>39</v>
      </c>
      <c r="Q21" s="34">
        <v>0.01</v>
      </c>
      <c r="R21" s="34" t="s">
        <v>39</v>
      </c>
      <c r="S21" s="21" t="s">
        <v>39</v>
      </c>
      <c r="T21" s="35"/>
      <c r="U21" s="35"/>
      <c r="V21" s="35"/>
      <c r="W21" s="35" t="s">
        <v>39</v>
      </c>
      <c r="X21" s="21" t="s">
        <v>39</v>
      </c>
      <c r="Y21" s="36" t="s">
        <v>39</v>
      </c>
      <c r="Z21" s="9"/>
      <c r="AA21" s="36"/>
      <c r="AB21" s="29" cm="1">
        <f t="array" ref="AB21">IF(R21="",IF(Q21="",0,(_xlfn.IFS(Q21=0.01,0.67,Q21=0.015,1,Q21=0.015,1.33,Q21=0.02,1.67,Q21=0.025,2,Q21=0.03,2.33,Q21=0.035,2.67,Q21=0.04,3)+IF(J21&lt;=0.03,"0.33",0))),(_xlfn.IFS(R21=0.01,0.67,R21=0.015,1,R21=0.015,1.33,R21=0.02,1.67,R21=0.025,2,R21=0.03,2.33,R21=0.035,2.67,R21=0.04,3)+IF(J21&lt;=0.03,"0.33",0)))</f>
        <v>0.67</v>
      </c>
      <c r="AC21" s="29">
        <f t="shared" si="0"/>
        <v>0.67340067340067344</v>
      </c>
      <c r="AD21" s="20">
        <f>VLOOKUP(F21,铝耗2026年!$A$2:$B$5000,2,0)</f>
        <v>1.2798339017640199</v>
      </c>
      <c r="AE21" s="20">
        <f>VLOOKUP(F21,铝耗2025年!$A$2:$B$5000,2,0)</f>
        <v>1.3</v>
      </c>
      <c r="AF21" s="20">
        <f t="shared" si="1"/>
        <v>1.3</v>
      </c>
    </row>
    <row r="22" spans="1:32" hidden="1" x14ac:dyDescent="0.3">
      <c r="A22" s="7">
        <v>19</v>
      </c>
      <c r="B22" s="9" t="s">
        <v>63</v>
      </c>
      <c r="C22" s="9" t="s">
        <v>34</v>
      </c>
      <c r="D22" s="9">
        <v>1.5</v>
      </c>
      <c r="E22" s="9">
        <v>28</v>
      </c>
      <c r="F22" s="9" t="s">
        <v>63</v>
      </c>
      <c r="G22" s="33" t="s">
        <v>64</v>
      </c>
      <c r="H22" s="9">
        <v>1519</v>
      </c>
      <c r="I22" s="34">
        <v>0.16</v>
      </c>
      <c r="J22" s="35">
        <v>0.1</v>
      </c>
      <c r="K22" s="35">
        <v>0.4</v>
      </c>
      <c r="L22" s="34">
        <v>2.5000000000000001E-2</v>
      </c>
      <c r="M22" s="34">
        <v>0.02</v>
      </c>
      <c r="N22" s="34" t="s">
        <v>39</v>
      </c>
      <c r="O22" s="34" t="s">
        <v>39</v>
      </c>
      <c r="P22" s="34" t="s">
        <v>39</v>
      </c>
      <c r="Q22" s="34">
        <v>0.01</v>
      </c>
      <c r="R22" s="34" t="s">
        <v>39</v>
      </c>
      <c r="S22" s="21"/>
      <c r="T22" s="35"/>
      <c r="U22" s="35"/>
      <c r="V22" s="35"/>
      <c r="W22" s="35" t="s">
        <v>39</v>
      </c>
      <c r="X22" s="21" t="s">
        <v>39</v>
      </c>
      <c r="Y22" s="36" t="s">
        <v>39</v>
      </c>
      <c r="Z22" s="9" t="s">
        <v>39</v>
      </c>
      <c r="AA22" s="36"/>
      <c r="AB22" s="29" cm="1">
        <f t="array" ref="AB22">IF(R22="",IF(Q22="",0,(_xlfn.IFS(Q22=0.01,0.67,Q22=0.015,1,Q22=0.015,1.33,Q22=0.02,1.67,Q22=0.025,2,Q22=0.03,2.33,Q22=0.035,2.67,Q22=0.04,3)+IF(J22&lt;=0.03,"0.33",0))),(_xlfn.IFS(R22=0.01,0.67,R22=0.015,1,R22=0.015,1.33,R22=0.02,1.67,R22=0.025,2,R22=0.03,2.33,R22=0.035,2.67,R22=0.04,3)+IF(J22&lt;=0.03,"0.33",0)))</f>
        <v>0.67</v>
      </c>
      <c r="AC22" s="29">
        <f t="shared" si="0"/>
        <v>0.67340067340067344</v>
      </c>
      <c r="AD22" s="20">
        <f>VLOOKUP(F22,铝耗2026年!$A$2:$B$5000,2,0)</f>
        <v>1.1547190166786001</v>
      </c>
      <c r="AE22" s="20">
        <f>VLOOKUP(F22,铝耗2025年!$A$2:$B$5000,2,0)</f>
        <v>1.25</v>
      </c>
      <c r="AF22" s="20">
        <f t="shared" si="1"/>
        <v>1.25</v>
      </c>
    </row>
    <row r="23" spans="1:32" hidden="1" x14ac:dyDescent="0.3">
      <c r="A23" s="7">
        <v>20</v>
      </c>
      <c r="B23" s="9" t="s">
        <v>65</v>
      </c>
      <c r="C23" s="9" t="s">
        <v>34</v>
      </c>
      <c r="D23" s="9">
        <v>1.5</v>
      </c>
      <c r="E23" s="9">
        <v>12</v>
      </c>
      <c r="F23" s="9" t="s">
        <v>66</v>
      </c>
      <c r="G23" s="33" t="s">
        <v>67</v>
      </c>
      <c r="H23" s="9">
        <v>1519</v>
      </c>
      <c r="I23" s="34">
        <v>0.16</v>
      </c>
      <c r="J23" s="35">
        <v>0.08</v>
      </c>
      <c r="K23" s="35">
        <v>0.25</v>
      </c>
      <c r="L23" s="34">
        <v>1.4999999999999999E-2</v>
      </c>
      <c r="M23" s="34">
        <v>0.01</v>
      </c>
      <c r="N23" s="34" t="s">
        <v>39</v>
      </c>
      <c r="O23" s="34" t="s">
        <v>39</v>
      </c>
      <c r="P23" s="34" t="s">
        <v>39</v>
      </c>
      <c r="Q23" s="34">
        <v>0.02</v>
      </c>
      <c r="R23" s="34" t="s">
        <v>39</v>
      </c>
      <c r="S23" s="21" t="s">
        <v>39</v>
      </c>
      <c r="T23" s="35"/>
      <c r="U23" s="35"/>
      <c r="V23" s="35"/>
      <c r="W23" s="35" t="s">
        <v>39</v>
      </c>
      <c r="X23" s="21" t="s">
        <v>39</v>
      </c>
      <c r="Y23" s="36" t="s">
        <v>39</v>
      </c>
      <c r="Z23" s="9"/>
      <c r="AA23" s="36"/>
      <c r="AB23" s="29" cm="1">
        <f t="array" ref="AB23">IF(R23="",IF(Q23="",0,(_xlfn.IFS(Q23=0.01,0.67,Q23=0.015,1,Q23=0.015,1.33,Q23=0.02,1.67,Q23=0.025,2,Q23=0.03,2.33,Q23=0.035,2.67,Q23=0.04,3)+IF(J23&lt;=0.03,"0.33",0))),(_xlfn.IFS(R23=0.01,0.67,R23=0.015,1,R23=0.015,1.33,R23=0.02,1.67,R23=0.025,2,R23=0.03,2.33,R23=0.035,2.67,R23=0.04,3)+IF(J23&lt;=0.03,"0.33",0)))</f>
        <v>1.67</v>
      </c>
      <c r="AC23" s="29">
        <f t="shared" si="0"/>
        <v>1.3468013468013469</v>
      </c>
      <c r="AD23" s="20">
        <f>VLOOKUP(F23,铝耗2026年!$A$2:$B$5000,2,0)</f>
        <v>1.43200191897628</v>
      </c>
      <c r="AE23" s="20">
        <f>VLOOKUP(F23,铝耗2025年!$A$2:$B$5000,2,0)</f>
        <v>1.45</v>
      </c>
      <c r="AF23" s="20">
        <f t="shared" si="1"/>
        <v>1.45</v>
      </c>
    </row>
    <row r="24" spans="1:32" hidden="1" x14ac:dyDescent="0.3">
      <c r="A24" s="7">
        <v>21</v>
      </c>
      <c r="B24" s="9" t="s">
        <v>65</v>
      </c>
      <c r="C24" s="9" t="s">
        <v>37</v>
      </c>
      <c r="D24" s="9">
        <v>12.01</v>
      </c>
      <c r="E24" s="9">
        <v>25</v>
      </c>
      <c r="F24" s="9" t="s">
        <v>68</v>
      </c>
      <c r="G24" s="33" t="s">
        <v>67</v>
      </c>
      <c r="H24" s="9">
        <v>1519</v>
      </c>
      <c r="I24" s="34">
        <v>0.16</v>
      </c>
      <c r="J24" s="35">
        <v>0.08</v>
      </c>
      <c r="K24" s="35">
        <v>0.38</v>
      </c>
      <c r="L24" s="34">
        <v>1.4999999999999999E-2</v>
      </c>
      <c r="M24" s="34">
        <v>0.01</v>
      </c>
      <c r="N24" s="34" t="s">
        <v>39</v>
      </c>
      <c r="O24" s="34" t="s">
        <v>39</v>
      </c>
      <c r="P24" s="34" t="s">
        <v>39</v>
      </c>
      <c r="Q24" s="34">
        <v>0.02</v>
      </c>
      <c r="R24" s="34" t="s">
        <v>39</v>
      </c>
      <c r="S24" s="21" t="s">
        <v>39</v>
      </c>
      <c r="T24" s="35"/>
      <c r="U24" s="35"/>
      <c r="V24" s="35"/>
      <c r="W24" s="35" t="s">
        <v>39</v>
      </c>
      <c r="X24" s="21" t="s">
        <v>39</v>
      </c>
      <c r="Y24" s="36" t="s">
        <v>39</v>
      </c>
      <c r="Z24" s="9"/>
      <c r="AA24" s="36"/>
      <c r="AB24" s="29" cm="1">
        <f t="array" ref="AB24">IF(R24="",IF(Q24="",0,(_xlfn.IFS(Q24=0.01,0.67,Q24=0.015,1,Q24=0.015,1.33,Q24=0.02,1.67,Q24=0.025,2,Q24=0.03,2.33,Q24=0.035,2.67,Q24=0.04,3)+IF(J24&lt;=0.03,"0.33",0))),(_xlfn.IFS(R24=0.01,0.67,R24=0.015,1,R24=0.015,1.33,R24=0.02,1.67,R24=0.025,2,R24=0.03,2.33,R24=0.035,2.67,R24=0.04,3)+IF(J24&lt;=0.03,"0.33",0)))</f>
        <v>1.67</v>
      </c>
      <c r="AC24" s="29">
        <f t="shared" si="0"/>
        <v>1.3468013468013469</v>
      </c>
      <c r="AD24" s="20">
        <f>VLOOKUP(F24,铝耗2026年!$A$2:$B$5000,2,0)</f>
        <v>1.4091815256509701</v>
      </c>
      <c r="AE24" s="20">
        <f>VLOOKUP(F24,铝耗2025年!$A$2:$B$5000,2,0)</f>
        <v>1.45</v>
      </c>
      <c r="AF24" s="20">
        <f t="shared" si="1"/>
        <v>1.45</v>
      </c>
    </row>
    <row r="25" spans="1:32" hidden="1" x14ac:dyDescent="0.3">
      <c r="A25" s="7">
        <v>22</v>
      </c>
      <c r="B25" s="9" t="s">
        <v>69</v>
      </c>
      <c r="C25" s="9" t="s">
        <v>34</v>
      </c>
      <c r="D25" s="9">
        <v>1.5</v>
      </c>
      <c r="E25" s="9">
        <v>12</v>
      </c>
      <c r="F25" s="9" t="s">
        <v>70</v>
      </c>
      <c r="G25" s="33" t="s">
        <v>71</v>
      </c>
      <c r="H25" s="9">
        <v>1519</v>
      </c>
      <c r="I25" s="34">
        <v>0.16</v>
      </c>
      <c r="J25" s="35">
        <v>0</v>
      </c>
      <c r="K25" s="35">
        <v>0.3</v>
      </c>
      <c r="L25" s="34">
        <v>0.02</v>
      </c>
      <c r="M25" s="34">
        <v>1.4999999999999999E-2</v>
      </c>
      <c r="N25" s="34" t="s">
        <v>39</v>
      </c>
      <c r="O25" s="34" t="s">
        <v>39</v>
      </c>
      <c r="P25" s="34" t="s">
        <v>39</v>
      </c>
      <c r="Q25" s="34">
        <v>0.02</v>
      </c>
      <c r="R25" s="34" t="s">
        <v>39</v>
      </c>
      <c r="S25" s="21" t="s">
        <v>39</v>
      </c>
      <c r="T25" s="35"/>
      <c r="U25" s="35"/>
      <c r="V25" s="35"/>
      <c r="W25" s="35" t="s">
        <v>39</v>
      </c>
      <c r="X25" s="21" t="s">
        <v>39</v>
      </c>
      <c r="Y25" s="36" t="s">
        <v>39</v>
      </c>
      <c r="Z25" s="9" t="s">
        <v>39</v>
      </c>
      <c r="AA25" s="36"/>
      <c r="AB25" s="29" cm="1">
        <f t="array" ref="AB25">IF(R25="",IF(Q25="",0,(_xlfn.IFS(Q25=0.01,0.67,Q25=0.015,1,Q25=0.015,1.33,Q25=0.02,1.67,Q25=0.025,2,Q25=0.03,2.33,Q25=0.035,2.67,Q25=0.04,3)+IF(J25&lt;=0.03,"0.33",0))),(_xlfn.IFS(R25=0.01,0.67,R25=0.015,1,R25=0.015,1.33,R25=0.02,1.67,R25=0.025,2,R25=0.03,2.33,R25=0.035,2.67,R25=0.04,3)+IF(J25&lt;=0.03,"0.33",0)))</f>
        <v>2</v>
      </c>
      <c r="AC25" s="29">
        <f t="shared" si="0"/>
        <v>1.676801346801347</v>
      </c>
      <c r="AD25" s="20">
        <f>VLOOKUP(F25,铝耗2026年!$A$2:$B$5000,2,0)</f>
        <v>1.54045227077714</v>
      </c>
      <c r="AE25" s="20">
        <f>VLOOKUP(F25,铝耗2025年!$A$2:$B$5000,2,0)</f>
        <v>1.6</v>
      </c>
      <c r="AF25" s="20">
        <f t="shared" si="1"/>
        <v>1.6</v>
      </c>
    </row>
    <row r="26" spans="1:32" hidden="1" x14ac:dyDescent="0.3">
      <c r="A26" s="7">
        <v>23</v>
      </c>
      <c r="B26" s="9" t="s">
        <v>69</v>
      </c>
      <c r="C26" s="9" t="s">
        <v>37</v>
      </c>
      <c r="D26" s="9">
        <v>12.01</v>
      </c>
      <c r="E26" s="9">
        <v>20</v>
      </c>
      <c r="F26" s="9" t="s">
        <v>72</v>
      </c>
      <c r="G26" s="33" t="s">
        <v>71</v>
      </c>
      <c r="H26" s="9">
        <v>1519</v>
      </c>
      <c r="I26" s="34">
        <v>0.16</v>
      </c>
      <c r="J26" s="35">
        <v>0</v>
      </c>
      <c r="K26" s="35">
        <v>0.4</v>
      </c>
      <c r="L26" s="34">
        <v>0.02</v>
      </c>
      <c r="M26" s="34">
        <v>1.4999999999999999E-2</v>
      </c>
      <c r="N26" s="34" t="s">
        <v>39</v>
      </c>
      <c r="O26" s="34" t="s">
        <v>39</v>
      </c>
      <c r="P26" s="34" t="s">
        <v>39</v>
      </c>
      <c r="Q26" s="34">
        <v>0.02</v>
      </c>
      <c r="R26" s="34" t="s">
        <v>39</v>
      </c>
      <c r="S26" s="21" t="s">
        <v>39</v>
      </c>
      <c r="T26" s="35"/>
      <c r="U26" s="35"/>
      <c r="V26" s="35"/>
      <c r="W26" s="35" t="s">
        <v>39</v>
      </c>
      <c r="X26" s="21" t="s">
        <v>39</v>
      </c>
      <c r="Y26" s="36" t="s">
        <v>39</v>
      </c>
      <c r="Z26" s="9" t="s">
        <v>39</v>
      </c>
      <c r="AA26" s="36"/>
      <c r="AB26" s="29" cm="1">
        <f t="array" ref="AB26">IF(R26="",IF(Q26="",0,(_xlfn.IFS(Q26=0.01,0.67,Q26=0.015,1,Q26=0.015,1.33,Q26=0.02,1.67,Q26=0.025,2,Q26=0.03,2.33,Q26=0.035,2.67,Q26=0.04,3)+IF(J26&lt;=0.03,"0.33",0))),(_xlfn.IFS(R26=0.01,0.67,R26=0.015,1,R26=0.015,1.33,R26=0.02,1.67,R26=0.025,2,R26=0.03,2.33,R26=0.035,2.67,R26=0.04,3)+IF(J26&lt;=0.03,"0.33",0)))</f>
        <v>2</v>
      </c>
      <c r="AC26" s="29">
        <f t="shared" si="0"/>
        <v>1.676801346801347</v>
      </c>
      <c r="AD26" s="20" t="e">
        <f>VLOOKUP(F26,铝耗2026年!$A$2:$B$5000,2,0)</f>
        <v>#N/A</v>
      </c>
      <c r="AE26" s="20">
        <f>VLOOKUP(F26,铝耗2025年!$A$2:$B$5000,2,0)</f>
        <v>1.6</v>
      </c>
      <c r="AF26" s="37">
        <f>AE26</f>
        <v>1.6</v>
      </c>
    </row>
    <row r="27" spans="1:32" hidden="1" x14ac:dyDescent="0.3">
      <c r="A27" s="7">
        <v>24</v>
      </c>
      <c r="B27" s="9" t="s">
        <v>73</v>
      </c>
      <c r="C27" s="9" t="s">
        <v>34</v>
      </c>
      <c r="D27" s="9">
        <v>1.6</v>
      </c>
      <c r="E27" s="9">
        <v>12</v>
      </c>
      <c r="F27" s="9" t="s">
        <v>74</v>
      </c>
      <c r="G27" s="33" t="s">
        <v>75</v>
      </c>
      <c r="H27" s="9">
        <v>1519</v>
      </c>
      <c r="I27" s="34">
        <v>0.16</v>
      </c>
      <c r="J27" s="35">
        <v>0.08</v>
      </c>
      <c r="K27" s="35">
        <v>0.35</v>
      </c>
      <c r="L27" s="34">
        <v>0.02</v>
      </c>
      <c r="M27" s="34">
        <v>1.4999999999999999E-2</v>
      </c>
      <c r="N27" s="34" t="s">
        <v>39</v>
      </c>
      <c r="O27" s="34" t="s">
        <v>39</v>
      </c>
      <c r="P27" s="34" t="s">
        <v>39</v>
      </c>
      <c r="Q27" s="34">
        <v>0.01</v>
      </c>
      <c r="R27" s="34" t="s">
        <v>39</v>
      </c>
      <c r="S27" s="21" t="s">
        <v>39</v>
      </c>
      <c r="T27" s="35"/>
      <c r="U27" s="35"/>
      <c r="V27" s="35"/>
      <c r="W27" s="35" t="s">
        <v>39</v>
      </c>
      <c r="X27" s="21" t="s">
        <v>39</v>
      </c>
      <c r="Y27" s="36" t="s">
        <v>39</v>
      </c>
      <c r="Z27" s="9" t="s">
        <v>39</v>
      </c>
      <c r="AA27" s="36" t="s">
        <v>39</v>
      </c>
      <c r="AB27" s="29" cm="1">
        <f t="array" ref="AB27">IF(R27="",IF(Q27="",0,(_xlfn.IFS(Q27=0.01,0.67,Q27=0.015,1,Q27=0.015,1.33,Q27=0.02,1.67,Q27=0.025,2,Q27=0.03,2.33,Q27=0.035,2.67,Q27=0.04,3)+IF(J27&lt;=0.03,"0.33",0))),(_xlfn.IFS(R27=0.01,0.67,R27=0.015,1,R27=0.015,1.33,R27=0.02,1.67,R27=0.025,2,R27=0.03,2.33,R27=0.035,2.67,R27=0.04,3)+IF(J27&lt;=0.03,"0.33",0)))</f>
        <v>0.67</v>
      </c>
      <c r="AC27" s="29">
        <f t="shared" si="0"/>
        <v>0.67340067340067344</v>
      </c>
      <c r="AD27" s="20">
        <f>VLOOKUP(F27,铝耗2026年!$A$2:$B$5000,2,0)</f>
        <v>1.2356426481335201</v>
      </c>
      <c r="AE27" s="20">
        <f>VLOOKUP(F27,铝耗2025年!$A$2:$B$5000,2,0)</f>
        <v>1.2</v>
      </c>
      <c r="AF27" s="20">
        <f t="shared" si="1"/>
        <v>1.2356426481335201</v>
      </c>
    </row>
    <row r="28" spans="1:32" hidden="1" x14ac:dyDescent="0.3">
      <c r="A28" s="7">
        <v>25</v>
      </c>
      <c r="B28" s="9" t="s">
        <v>73</v>
      </c>
      <c r="C28" s="9" t="s">
        <v>37</v>
      </c>
      <c r="D28" s="9">
        <v>12.01</v>
      </c>
      <c r="E28" s="9">
        <v>25.4</v>
      </c>
      <c r="F28" s="9" t="s">
        <v>76</v>
      </c>
      <c r="G28" s="33" t="s">
        <v>75</v>
      </c>
      <c r="H28" s="9">
        <v>1519</v>
      </c>
      <c r="I28" s="34">
        <v>0.16</v>
      </c>
      <c r="J28" s="35">
        <v>0.08</v>
      </c>
      <c r="K28" s="35">
        <v>0.5</v>
      </c>
      <c r="L28" s="34">
        <v>0.02</v>
      </c>
      <c r="M28" s="34">
        <v>1.4999999999999999E-2</v>
      </c>
      <c r="N28" s="34" t="s">
        <v>39</v>
      </c>
      <c r="O28" s="34" t="s">
        <v>39</v>
      </c>
      <c r="P28" s="34" t="s">
        <v>39</v>
      </c>
      <c r="Q28" s="34">
        <v>2.5000000000000001E-2</v>
      </c>
      <c r="R28" s="34" t="s">
        <v>39</v>
      </c>
      <c r="S28" s="21" t="s">
        <v>39</v>
      </c>
      <c r="T28" s="35"/>
      <c r="U28" s="35"/>
      <c r="V28" s="35"/>
      <c r="W28" s="35" t="s">
        <v>39</v>
      </c>
      <c r="X28" s="21" t="s">
        <v>39</v>
      </c>
      <c r="Y28" s="36" t="s">
        <v>39</v>
      </c>
      <c r="Z28" s="9" t="s">
        <v>39</v>
      </c>
      <c r="AA28" s="36" t="s">
        <v>39</v>
      </c>
      <c r="AB28" s="29" cm="1">
        <f t="array" ref="AB28">IF(R28="",IF(Q28="",0,(_xlfn.IFS(Q28=0.01,0.67,Q28=0.015,1,Q28=0.015,1.33,Q28=0.02,1.67,Q28=0.025,2,Q28=0.03,2.33,Q28=0.035,2.67,Q28=0.04,3)+IF(J28&lt;=0.03,"0.33",0))),(_xlfn.IFS(R28=0.01,0.67,R28=0.015,1,R28=0.015,1.33,R28=0.02,1.67,R28=0.025,2,R28=0.03,2.33,R28=0.035,2.67,R28=0.04,3)+IF(J28&lt;=0.03,"0.33",0)))</f>
        <v>2</v>
      </c>
      <c r="AC28" s="29">
        <f t="shared" si="0"/>
        <v>1.6835016835016836</v>
      </c>
      <c r="AD28" s="20">
        <f>VLOOKUP(F28,铝耗2026年!$A$2:$B$5000,2,0)</f>
        <v>1.3715182629774101</v>
      </c>
      <c r="AE28" s="20">
        <f>VLOOKUP(F28,铝耗2025年!$A$2:$B$5000,2,0)</f>
        <v>1.4</v>
      </c>
      <c r="AF28" s="20">
        <f t="shared" si="1"/>
        <v>1.4</v>
      </c>
    </row>
    <row r="29" spans="1:32" hidden="1" x14ac:dyDescent="0.3">
      <c r="A29" s="7">
        <v>26</v>
      </c>
      <c r="B29" s="9" t="s">
        <v>77</v>
      </c>
      <c r="C29" s="9" t="s">
        <v>34</v>
      </c>
      <c r="D29" s="9">
        <v>1.5</v>
      </c>
      <c r="E29" s="9">
        <v>12</v>
      </c>
      <c r="F29" s="9" t="s">
        <v>66</v>
      </c>
      <c r="G29" s="33" t="s">
        <v>67</v>
      </c>
      <c r="H29" s="9">
        <v>1519</v>
      </c>
      <c r="I29" s="34">
        <v>0.16</v>
      </c>
      <c r="J29" s="35">
        <v>0.08</v>
      </c>
      <c r="K29" s="35">
        <v>0.25</v>
      </c>
      <c r="L29" s="34">
        <v>1.4999999999999999E-2</v>
      </c>
      <c r="M29" s="34">
        <v>0.01</v>
      </c>
      <c r="N29" s="34" t="s">
        <v>39</v>
      </c>
      <c r="O29" s="34" t="s">
        <v>39</v>
      </c>
      <c r="P29" s="34" t="s">
        <v>39</v>
      </c>
      <c r="Q29" s="34">
        <v>0.02</v>
      </c>
      <c r="R29" s="34" t="s">
        <v>39</v>
      </c>
      <c r="S29" s="21" t="s">
        <v>39</v>
      </c>
      <c r="T29" s="35"/>
      <c r="U29" s="35"/>
      <c r="V29" s="35"/>
      <c r="W29" s="35" t="s">
        <v>39</v>
      </c>
      <c r="X29" s="21" t="s">
        <v>39</v>
      </c>
      <c r="Y29" s="36" t="s">
        <v>39</v>
      </c>
      <c r="Z29" s="9"/>
      <c r="AA29" s="36"/>
      <c r="AB29" s="29" cm="1">
        <f t="array" ref="AB29">IF(R29="",IF(Q29="",0,(_xlfn.IFS(Q29=0.01,0.67,Q29=0.015,1,Q29=0.015,1.33,Q29=0.02,1.67,Q29=0.025,2,Q29=0.03,2.33,Q29=0.035,2.67,Q29=0.04,3)+IF(J29&lt;=0.03,"0.33",0))),(_xlfn.IFS(R29=0.01,0.67,R29=0.015,1,R29=0.015,1.33,R29=0.02,1.67,R29=0.025,2,R29=0.03,2.33,R29=0.035,2.67,R29=0.04,3)+IF(J29&lt;=0.03,"0.33",0)))</f>
        <v>1.67</v>
      </c>
      <c r="AC29" s="29">
        <f t="shared" si="0"/>
        <v>1.3468013468013469</v>
      </c>
      <c r="AD29" s="20">
        <f>VLOOKUP(F29,铝耗2026年!$A$2:$B$5000,2,0)</f>
        <v>1.43200191897628</v>
      </c>
      <c r="AE29" s="20">
        <f>VLOOKUP(F29,铝耗2025年!$A$2:$B$5000,2,0)</f>
        <v>1.45</v>
      </c>
      <c r="AF29" s="20">
        <f t="shared" si="1"/>
        <v>1.45</v>
      </c>
    </row>
    <row r="30" spans="1:32" hidden="1" x14ac:dyDescent="0.3">
      <c r="A30" s="7">
        <v>27</v>
      </c>
      <c r="B30" s="9" t="s">
        <v>78</v>
      </c>
      <c r="C30" s="9" t="s">
        <v>34</v>
      </c>
      <c r="D30" s="9">
        <v>1.5</v>
      </c>
      <c r="E30" s="9">
        <v>16</v>
      </c>
      <c r="F30" s="9" t="s">
        <v>78</v>
      </c>
      <c r="G30" s="33" t="s">
        <v>79</v>
      </c>
      <c r="H30" s="9">
        <v>1519</v>
      </c>
      <c r="I30" s="34">
        <v>0.16</v>
      </c>
      <c r="J30" s="35">
        <v>0.1</v>
      </c>
      <c r="K30" s="35">
        <v>0.25</v>
      </c>
      <c r="L30" s="34">
        <v>3.5000000000000003E-2</v>
      </c>
      <c r="M30" s="34">
        <v>0.02</v>
      </c>
      <c r="N30" s="34"/>
      <c r="O30" s="34"/>
      <c r="P30" s="34"/>
      <c r="Q30" s="34" t="s">
        <v>39</v>
      </c>
      <c r="R30" s="34" t="s">
        <v>39</v>
      </c>
      <c r="S30" s="21"/>
      <c r="T30" s="35"/>
      <c r="U30" s="35"/>
      <c r="V30" s="35"/>
      <c r="W30" s="35" t="s">
        <v>39</v>
      </c>
      <c r="X30" s="21" t="s">
        <v>39</v>
      </c>
      <c r="Y30" s="36" t="s">
        <v>39</v>
      </c>
      <c r="Z30" s="9" t="s">
        <v>39</v>
      </c>
      <c r="AA30" s="36"/>
      <c r="AB30" s="29" cm="1">
        <f t="array" ref="AB30">IF(R30="",IF(Q30="",0,(_xlfn.IFS(Q30=0.01,0.67,Q30=0.015,1,Q30=0.015,1.33,Q30=0.02,1.67,Q30=0.025,2,Q30=0.03,2.33,Q30=0.035,2.67,Q30=0.04,3)+IF(J30&lt;=0.03,"0.33",0))),(_xlfn.IFS(R30=0.01,0.67,R30=0.015,1,R30=0.015,1.33,R30=0.02,1.67,R30=0.025,2,R30=0.03,2.33,R30=0.035,2.67,R30=0.04,3)+IF(J30&lt;=0.03,"0.33",0)))</f>
        <v>0</v>
      </c>
      <c r="AC30" s="29">
        <f t="shared" si="0"/>
        <v>0.3</v>
      </c>
      <c r="AD30" s="20">
        <f>VLOOKUP(F30,铝耗2026年!$A$2:$B$5000,2,0)</f>
        <v>0.225545744442711</v>
      </c>
      <c r="AE30" s="20">
        <f>VLOOKUP(F30,铝耗2025年!$A$2:$B$5000,2,0)</f>
        <v>0.25</v>
      </c>
      <c r="AF30" s="20">
        <f t="shared" si="1"/>
        <v>0.25</v>
      </c>
    </row>
    <row r="31" spans="1:32" hidden="1" x14ac:dyDescent="0.3">
      <c r="A31" s="7">
        <v>28</v>
      </c>
      <c r="B31" s="9" t="s">
        <v>80</v>
      </c>
      <c r="C31" s="9" t="s">
        <v>34</v>
      </c>
      <c r="D31" s="9">
        <v>3</v>
      </c>
      <c r="E31" s="9">
        <v>6</v>
      </c>
      <c r="F31" s="9" t="s">
        <v>81</v>
      </c>
      <c r="G31" s="33" t="s">
        <v>82</v>
      </c>
      <c r="H31" s="9">
        <v>1518</v>
      </c>
      <c r="I31" s="34">
        <v>0.16</v>
      </c>
      <c r="J31" s="35">
        <v>0.08</v>
      </c>
      <c r="K31" s="35">
        <v>0.35</v>
      </c>
      <c r="L31" s="34">
        <v>0.02</v>
      </c>
      <c r="M31" s="34">
        <v>0.01</v>
      </c>
      <c r="N31" s="34"/>
      <c r="O31" s="34"/>
      <c r="P31" s="34">
        <v>0.04</v>
      </c>
      <c r="Q31" s="34">
        <v>0.02</v>
      </c>
      <c r="R31" s="34" t="s">
        <v>39</v>
      </c>
      <c r="S31" s="21"/>
      <c r="T31" s="35"/>
      <c r="U31" s="35"/>
      <c r="V31" s="35"/>
      <c r="W31" s="35" t="s">
        <v>39</v>
      </c>
      <c r="X31" s="21" t="s">
        <v>39</v>
      </c>
      <c r="Y31" s="36" t="s">
        <v>39</v>
      </c>
      <c r="Z31" s="9" t="s">
        <v>39</v>
      </c>
      <c r="AA31" s="36" t="s">
        <v>83</v>
      </c>
      <c r="AB31" s="29" cm="1">
        <f t="array" ref="AB31">IF(R31="",IF(Q31="",0,(_xlfn.IFS(Q31=0.01,0.67,Q31=0.015,1,Q31=0.015,1.33,Q31=0.02,1.67,Q31=0.025,2,Q31=0.03,2.33,Q31=0.035,2.67,Q31=0.04,3)+IF(J31&lt;=0.03,"0.33",0))),(_xlfn.IFS(R31=0.01,0.67,R31=0.015,1,R31=0.015,1.33,R31=0.02,1.67,R31=0.025,2,R31=0.03,2.33,R31=0.035,2.67,R31=0.04,3)+IF(J31&lt;=0.03,"0.33",0)))</f>
        <v>1.67</v>
      </c>
      <c r="AC31" s="29">
        <f t="shared" si="0"/>
        <v>1.3468013468013469</v>
      </c>
      <c r="AD31" s="20" t="e">
        <f>VLOOKUP(F31,铝耗2026年!$A$2:$B$5000,2,0)</f>
        <v>#N/A</v>
      </c>
      <c r="AE31" s="20" t="e">
        <f>VLOOKUP(F31,铝耗2025年!$A$2:$B$5000,2,0)</f>
        <v>#N/A</v>
      </c>
      <c r="AF31" s="38">
        <v>1.4</v>
      </c>
    </row>
    <row r="32" spans="1:32" hidden="1" x14ac:dyDescent="0.3">
      <c r="A32" s="7">
        <v>29</v>
      </c>
      <c r="B32" s="9" t="s">
        <v>80</v>
      </c>
      <c r="C32" s="9" t="s">
        <v>37</v>
      </c>
      <c r="D32" s="9">
        <v>6.01</v>
      </c>
      <c r="E32" s="9">
        <v>10</v>
      </c>
      <c r="F32" s="9" t="s">
        <v>84</v>
      </c>
      <c r="G32" s="33" t="s">
        <v>82</v>
      </c>
      <c r="H32" s="9">
        <v>1517</v>
      </c>
      <c r="I32" s="34">
        <v>0.16</v>
      </c>
      <c r="J32" s="35">
        <v>0.08</v>
      </c>
      <c r="K32" s="35">
        <v>0.5</v>
      </c>
      <c r="L32" s="34">
        <v>0.02</v>
      </c>
      <c r="M32" s="34">
        <v>0.01</v>
      </c>
      <c r="N32" s="34"/>
      <c r="O32" s="34"/>
      <c r="P32" s="34">
        <v>0.04</v>
      </c>
      <c r="Q32" s="34">
        <v>0.02</v>
      </c>
      <c r="R32" s="34" t="s">
        <v>39</v>
      </c>
      <c r="S32" s="21"/>
      <c r="T32" s="35"/>
      <c r="U32" s="35"/>
      <c r="V32" s="35"/>
      <c r="W32" s="35" t="s">
        <v>39</v>
      </c>
      <c r="X32" s="21" t="s">
        <v>39</v>
      </c>
      <c r="Y32" s="36" t="s">
        <v>39</v>
      </c>
      <c r="Z32" s="9" t="s">
        <v>39</v>
      </c>
      <c r="AA32" s="36" t="s">
        <v>83</v>
      </c>
      <c r="AB32" s="29" cm="1">
        <f t="array" ref="AB32">IF(R32="",IF(Q32="",0,(_xlfn.IFS(Q32=0.01,0.67,Q32=0.015,1,Q32=0.015,1.33,Q32=0.02,1.67,Q32=0.025,2,Q32=0.03,2.33,Q32=0.035,2.67,Q32=0.04,3)+IF(J32&lt;=0.03,"0.33",0))),(_xlfn.IFS(R32=0.01,0.67,R32=0.015,1,R32=0.015,1.33,R32=0.02,1.67,R32=0.025,2,R32=0.03,2.33,R32=0.035,2.67,R32=0.04,3)+IF(J32&lt;=0.03,"0.33",0)))</f>
        <v>1.67</v>
      </c>
      <c r="AC32" s="29">
        <f t="shared" si="0"/>
        <v>1.3468013468013469</v>
      </c>
      <c r="AD32" s="20" t="e">
        <f>VLOOKUP(F32,铝耗2026年!$A$2:$B$5000,2,0)</f>
        <v>#N/A</v>
      </c>
      <c r="AE32" s="20" t="e">
        <f>VLOOKUP(F32,铝耗2025年!$A$2:$B$5000,2,0)</f>
        <v>#N/A</v>
      </c>
      <c r="AF32" s="38">
        <v>1.4</v>
      </c>
    </row>
    <row r="33" spans="1:32" hidden="1" x14ac:dyDescent="0.3">
      <c r="A33" s="7">
        <v>30</v>
      </c>
      <c r="B33" s="9" t="s">
        <v>85</v>
      </c>
      <c r="C33" s="9" t="s">
        <v>34</v>
      </c>
      <c r="D33" s="9">
        <v>1.6</v>
      </c>
      <c r="E33" s="9">
        <v>8</v>
      </c>
      <c r="F33" s="9" t="s">
        <v>86</v>
      </c>
      <c r="G33" s="33" t="s">
        <v>87</v>
      </c>
      <c r="H33" s="9">
        <v>1531</v>
      </c>
      <c r="I33" s="34">
        <v>0.05</v>
      </c>
      <c r="J33" s="35">
        <v>1.4999999999999999E-2</v>
      </c>
      <c r="K33" s="35">
        <v>0.23</v>
      </c>
      <c r="L33" s="34">
        <v>1.4999999999999999E-2</v>
      </c>
      <c r="M33" s="34">
        <v>0.01</v>
      </c>
      <c r="N33" s="34" t="s">
        <v>39</v>
      </c>
      <c r="O33" s="34"/>
      <c r="P33" s="34"/>
      <c r="Q33" s="34">
        <v>2.5000000000000001E-2</v>
      </c>
      <c r="R33" s="34" t="s">
        <v>39</v>
      </c>
      <c r="S33" s="21"/>
      <c r="T33" s="35"/>
      <c r="U33" s="35"/>
      <c r="V33" s="35"/>
      <c r="W33" s="35" t="s">
        <v>39</v>
      </c>
      <c r="X33" s="21" t="s">
        <v>39</v>
      </c>
      <c r="Y33" s="36" t="s">
        <v>39</v>
      </c>
      <c r="Z33" s="9">
        <v>40</v>
      </c>
      <c r="AA33" s="36" t="s">
        <v>39</v>
      </c>
      <c r="AB33" s="29" cm="1">
        <f t="array" ref="AB33">IF(R33="",IF(Q33="",0,(_xlfn.IFS(Q33=0.01,0.67,Q33=0.015,1,Q33=0.015,1.33,Q33=0.02,1.67,Q33=0.025,2,Q33=0.03,2.33,Q33=0.035,2.67,Q33=0.04,3)+IF(J33&lt;=0.03,"0.33",0))),(_xlfn.IFS(R33=0.01,0.67,R33=0.015,1,R33=0.015,1.33,R33=0.02,1.67,R33=0.025,2,R33=0.03,2.33,R33=0.035,2.67,R33=0.04,3)+IF(J33&lt;=0.03,"0.33",0)))</f>
        <v>2.33</v>
      </c>
      <c r="AC33" s="29">
        <f t="shared" si="0"/>
        <v>2.0135016835016835</v>
      </c>
      <c r="AD33" s="20" t="e">
        <f>VLOOKUP(F33,铝耗2026年!$A$2:$B$5000,2,0)</f>
        <v>#N/A</v>
      </c>
      <c r="AE33" s="20" t="e">
        <f>VLOOKUP(F33,铝耗2025年!$A$2:$B$5000,2,0)</f>
        <v>#N/A</v>
      </c>
      <c r="AF33" s="37">
        <v>1.2</v>
      </c>
    </row>
    <row r="34" spans="1:32" hidden="1" x14ac:dyDescent="0.3">
      <c r="A34" s="7">
        <v>31</v>
      </c>
      <c r="B34" s="9" t="s">
        <v>85</v>
      </c>
      <c r="C34" s="9" t="s">
        <v>37</v>
      </c>
      <c r="D34" s="9">
        <v>8.01</v>
      </c>
      <c r="E34" s="9">
        <v>16</v>
      </c>
      <c r="F34" s="9" t="s">
        <v>88</v>
      </c>
      <c r="G34" s="33" t="s">
        <v>87</v>
      </c>
      <c r="H34" s="9">
        <v>1531</v>
      </c>
      <c r="I34" s="34">
        <v>0.05</v>
      </c>
      <c r="J34" s="35">
        <v>1.4999999999999999E-2</v>
      </c>
      <c r="K34" s="35">
        <v>0.23</v>
      </c>
      <c r="L34" s="34">
        <v>1.4999999999999999E-2</v>
      </c>
      <c r="M34" s="34">
        <v>0.01</v>
      </c>
      <c r="N34" s="34" t="s">
        <v>39</v>
      </c>
      <c r="O34" s="34"/>
      <c r="P34" s="34"/>
      <c r="Q34" s="34">
        <v>2.5000000000000001E-2</v>
      </c>
      <c r="R34" s="34" t="s">
        <v>39</v>
      </c>
      <c r="S34" s="21"/>
      <c r="T34" s="35"/>
      <c r="U34" s="35"/>
      <c r="V34" s="35"/>
      <c r="W34" s="35" t="s">
        <v>39</v>
      </c>
      <c r="X34" s="21" t="s">
        <v>39</v>
      </c>
      <c r="Y34" s="36" t="s">
        <v>39</v>
      </c>
      <c r="Z34" s="9">
        <v>40</v>
      </c>
      <c r="AA34" s="36" t="s">
        <v>39</v>
      </c>
      <c r="AB34" s="29" cm="1">
        <f t="array" ref="AB34">IF(R34="",IF(Q34="",0,(_xlfn.IFS(Q34=0.01,0.67,Q34=0.015,1,Q34=0.015,1.33,Q34=0.02,1.67,Q34=0.025,2,Q34=0.03,2.33,Q34=0.035,2.67,Q34=0.04,3)+IF(J34&lt;=0.03,"0.33",0))),(_xlfn.IFS(R34=0.01,0.67,R34=0.015,1,R34=0.015,1.33,R34=0.02,1.67,R34=0.025,2,R34=0.03,2.33,R34=0.035,2.67,R34=0.04,3)+IF(J34&lt;=0.03,"0.33",0)))</f>
        <v>2.33</v>
      </c>
      <c r="AC34" s="29">
        <f t="shared" si="0"/>
        <v>2.0135016835016835</v>
      </c>
      <c r="AD34" s="20" t="e">
        <f>VLOOKUP(F34,铝耗2026年!$A$2:$B$5000,2,0)</f>
        <v>#N/A</v>
      </c>
      <c r="AE34" s="20">
        <f>VLOOKUP(F34,铝耗2025年!$A$2:$B$5000,2,0)</f>
        <v>2.5</v>
      </c>
      <c r="AF34" s="37">
        <v>1.2</v>
      </c>
    </row>
    <row r="35" spans="1:32" hidden="1" x14ac:dyDescent="0.3">
      <c r="A35" s="7">
        <v>32</v>
      </c>
      <c r="B35" s="9" t="s">
        <v>85</v>
      </c>
      <c r="C35" s="9" t="s">
        <v>34</v>
      </c>
      <c r="D35" s="9">
        <v>8.01</v>
      </c>
      <c r="E35" s="9">
        <v>16</v>
      </c>
      <c r="F35" s="9" t="s">
        <v>88</v>
      </c>
      <c r="G35" s="33" t="s">
        <v>87</v>
      </c>
      <c r="H35" s="9">
        <v>1531</v>
      </c>
      <c r="I35" s="34">
        <v>0.05</v>
      </c>
      <c r="J35" s="35">
        <v>1.4999999999999999E-2</v>
      </c>
      <c r="K35" s="35">
        <v>0.23</v>
      </c>
      <c r="L35" s="34">
        <v>1.4999999999999999E-2</v>
      </c>
      <c r="M35" s="34">
        <v>0.01</v>
      </c>
      <c r="N35" s="34" t="s">
        <v>39</v>
      </c>
      <c r="O35" s="34"/>
      <c r="P35" s="34"/>
      <c r="Q35" s="34">
        <v>2.5000000000000001E-2</v>
      </c>
      <c r="R35" s="34" t="s">
        <v>39</v>
      </c>
      <c r="S35" s="21"/>
      <c r="T35" s="35"/>
      <c r="U35" s="35"/>
      <c r="V35" s="35"/>
      <c r="W35" s="35" t="s">
        <v>39</v>
      </c>
      <c r="X35" s="21" t="s">
        <v>39</v>
      </c>
      <c r="Y35" s="36" t="s">
        <v>39</v>
      </c>
      <c r="Z35" s="9">
        <v>40</v>
      </c>
      <c r="AA35" s="36" t="s">
        <v>88</v>
      </c>
      <c r="AB35" s="29" cm="1">
        <f t="array" ref="AB35">IF(R35="",IF(Q35="",0,(_xlfn.IFS(Q35=0.01,0.67,Q35=0.015,1,Q35=0.015,1.33,Q35=0.02,1.67,Q35=0.025,2,Q35=0.03,2.33,Q35=0.035,2.67,Q35=0.04,3)+IF(J35&lt;=0.03,"0.33",0))),(_xlfn.IFS(R35=0.01,0.67,R35=0.015,1,R35=0.015,1.33,R35=0.02,1.67,R35=0.025,2,R35=0.03,2.33,R35=0.035,2.67,R35=0.04,3)+IF(J35&lt;=0.03,"0.33",0)))</f>
        <v>2.33</v>
      </c>
      <c r="AC35" s="29">
        <f t="shared" si="0"/>
        <v>2.0135016835016835</v>
      </c>
      <c r="AD35" s="20" t="e">
        <f>VLOOKUP(F35,铝耗2026年!$A$2:$B$5000,2,0)</f>
        <v>#N/A</v>
      </c>
      <c r="AE35" s="20">
        <f>VLOOKUP(F35,铝耗2025年!$A$2:$B$5000,2,0)</f>
        <v>2.5</v>
      </c>
      <c r="AF35" s="37">
        <v>1.2</v>
      </c>
    </row>
    <row r="36" spans="1:32" hidden="1" x14ac:dyDescent="0.3">
      <c r="A36" s="7">
        <v>33</v>
      </c>
      <c r="B36" s="9" t="s">
        <v>89</v>
      </c>
      <c r="C36" s="9" t="s">
        <v>34</v>
      </c>
      <c r="D36" s="9">
        <v>2.5</v>
      </c>
      <c r="E36" s="9">
        <v>5</v>
      </c>
      <c r="F36" s="9" t="s">
        <v>89</v>
      </c>
      <c r="G36" s="33" t="s">
        <v>90</v>
      </c>
      <c r="H36" s="9">
        <v>1531</v>
      </c>
      <c r="I36" s="34">
        <v>4.4999999999999998E-2</v>
      </c>
      <c r="J36" s="35">
        <v>0.02</v>
      </c>
      <c r="K36" s="35">
        <v>0.25</v>
      </c>
      <c r="L36" s="34">
        <v>1.4999999999999999E-2</v>
      </c>
      <c r="M36" s="34">
        <v>6.0000000000000001E-3</v>
      </c>
      <c r="N36" s="34"/>
      <c r="O36" s="34"/>
      <c r="P36" s="34"/>
      <c r="Q36" s="34">
        <v>2.5000000000000001E-2</v>
      </c>
      <c r="R36" s="34" t="s">
        <v>39</v>
      </c>
      <c r="S36" s="21" t="s">
        <v>39</v>
      </c>
      <c r="T36" s="35"/>
      <c r="U36" s="35"/>
      <c r="V36" s="35"/>
      <c r="W36" s="35"/>
      <c r="X36" s="21" t="s">
        <v>39</v>
      </c>
      <c r="Y36" s="36" t="s">
        <v>39</v>
      </c>
      <c r="Z36" s="9">
        <v>45</v>
      </c>
      <c r="AA36" s="36" t="s">
        <v>39</v>
      </c>
      <c r="AB36" s="29" cm="1">
        <f t="array" ref="AB36">IF(R36="",IF(Q36="",0,(_xlfn.IFS(Q36=0.01,0.67,Q36=0.015,1,Q36=0.015,1.33,Q36=0.02,1.67,Q36=0.025,2,Q36=0.03,2.33,Q36=0.035,2.67,Q36=0.04,3)+IF(J36&lt;=0.03,"0.33",0))),(_xlfn.IFS(R36=0.01,0.67,R36=0.015,1,R36=0.015,1.33,R36=0.02,1.67,R36=0.025,2,R36=0.03,2.33,R36=0.035,2.67,R36=0.04,3)+IF(J36&lt;=0.03,"0.33",0)))</f>
        <v>2.33</v>
      </c>
      <c r="AC36" s="29">
        <f t="shared" si="0"/>
        <v>2.0135016835016835</v>
      </c>
      <c r="AD36" s="20" t="e">
        <f>VLOOKUP(F36,铝耗2026年!$A$2:$B$5000,2,0)</f>
        <v>#N/A</v>
      </c>
      <c r="AE36" s="20">
        <f>VLOOKUP(F36,铝耗2025年!$A$2:$B$5000,2,0)</f>
        <v>2.5</v>
      </c>
      <c r="AF36" s="37">
        <v>1.2</v>
      </c>
    </row>
    <row r="37" spans="1:32" hidden="1" x14ac:dyDescent="0.3">
      <c r="A37" s="7">
        <v>34</v>
      </c>
      <c r="B37" s="9" t="s">
        <v>91</v>
      </c>
      <c r="C37" s="9" t="s">
        <v>34</v>
      </c>
      <c r="D37" s="9">
        <v>2.5</v>
      </c>
      <c r="E37" s="9">
        <v>6</v>
      </c>
      <c r="F37" s="9" t="s">
        <v>91</v>
      </c>
      <c r="G37" s="33" t="s">
        <v>92</v>
      </c>
      <c r="H37" s="9">
        <v>1531</v>
      </c>
      <c r="I37" s="34">
        <v>4.4999999999999998E-2</v>
      </c>
      <c r="J37" s="35">
        <v>0.02</v>
      </c>
      <c r="K37" s="35">
        <v>0.25</v>
      </c>
      <c r="L37" s="34">
        <v>1.4999999999999999E-2</v>
      </c>
      <c r="M37" s="34">
        <v>6.0000000000000001E-3</v>
      </c>
      <c r="N37" s="34"/>
      <c r="O37" s="34"/>
      <c r="P37" s="34"/>
      <c r="Q37" s="34">
        <v>2.5000000000000001E-2</v>
      </c>
      <c r="R37" s="34" t="s">
        <v>39</v>
      </c>
      <c r="S37" s="21" t="s">
        <v>39</v>
      </c>
      <c r="T37" s="35"/>
      <c r="U37" s="35"/>
      <c r="V37" s="35"/>
      <c r="W37" s="35"/>
      <c r="X37" s="21">
        <v>1.4E-3</v>
      </c>
      <c r="Y37" s="36" t="s">
        <v>39</v>
      </c>
      <c r="Z37" s="9"/>
      <c r="AA37" s="36" t="s">
        <v>93</v>
      </c>
      <c r="AB37" s="29" cm="1">
        <f t="array" ref="AB37">IF(R37="",IF(Q37="",0,(_xlfn.IFS(Q37=0.01,0.67,Q37=0.015,1,Q37=0.015,1.33,Q37=0.02,1.67,Q37=0.025,2,Q37=0.03,2.33,Q37=0.035,2.67,Q37=0.04,3)+IF(J37&lt;=0.03,"0.33",0))),(_xlfn.IFS(R37=0.01,0.67,R37=0.015,1,R37=0.015,1.33,R37=0.02,1.67,R37=0.025,2,R37=0.03,2.33,R37=0.035,2.67,R37=0.04,3)+IF(J37&lt;=0.03,"0.33",0)))</f>
        <v>2.33</v>
      </c>
      <c r="AC37" s="29">
        <f t="shared" si="0"/>
        <v>2.0135016835016835</v>
      </c>
      <c r="AD37" s="20" t="e">
        <f>VLOOKUP(F37,铝耗2026年!$A$2:$B$5000,2,0)</f>
        <v>#N/A</v>
      </c>
      <c r="AE37" s="20" t="e">
        <f>VLOOKUP(F37,铝耗2025年!$A$2:$B$5000,2,0)</f>
        <v>#N/A</v>
      </c>
      <c r="AF37" s="37">
        <v>1.2</v>
      </c>
    </row>
    <row r="38" spans="1:32" hidden="1" x14ac:dyDescent="0.3">
      <c r="A38" s="7">
        <v>35</v>
      </c>
      <c r="B38" s="9" t="s">
        <v>94</v>
      </c>
      <c r="C38" s="9" t="s">
        <v>34</v>
      </c>
      <c r="D38" s="9">
        <v>2.5</v>
      </c>
      <c r="E38" s="9">
        <v>6</v>
      </c>
      <c r="F38" s="9" t="s">
        <v>94</v>
      </c>
      <c r="G38" s="33" t="s">
        <v>95</v>
      </c>
      <c r="H38" s="9">
        <v>1529</v>
      </c>
      <c r="I38" s="34">
        <v>0.06</v>
      </c>
      <c r="J38" s="35">
        <v>0</v>
      </c>
      <c r="K38" s="35">
        <v>0.28000000000000003</v>
      </c>
      <c r="L38" s="34">
        <v>1.4999999999999999E-2</v>
      </c>
      <c r="M38" s="34">
        <v>6.0000000000000001E-3</v>
      </c>
      <c r="N38" s="34"/>
      <c r="O38" s="34"/>
      <c r="P38" s="34"/>
      <c r="Q38" s="34">
        <v>0.03</v>
      </c>
      <c r="R38" s="34" t="s">
        <v>39</v>
      </c>
      <c r="S38" s="21" t="s">
        <v>39</v>
      </c>
      <c r="T38" s="35"/>
      <c r="U38" s="35"/>
      <c r="V38" s="35"/>
      <c r="W38" s="35"/>
      <c r="X38" s="21"/>
      <c r="Y38" s="36" t="s">
        <v>39</v>
      </c>
      <c r="Z38" s="9"/>
      <c r="AA38" s="36" t="s">
        <v>96</v>
      </c>
      <c r="AB38" s="29" cm="1">
        <f t="array" ref="AB38">IF(R38="",IF(Q38="",0,(_xlfn.IFS(Q38=0.01,0.67,Q38=0.015,1,Q38=0.015,1.33,Q38=0.02,1.67,Q38=0.025,2,Q38=0.03,2.33,Q38=0.035,2.67,Q38=0.04,3)+IF(J38&lt;=0.03,"0.33",0))),(_xlfn.IFS(R38=0.01,0.67,R38=0.015,1,R38=0.015,1.33,R38=0.02,1.67,R38=0.025,2,R38=0.03,2.33,R38=0.035,2.67,R38=0.04,3)+IF(J38&lt;=0.03,"0.33",0)))</f>
        <v>2.66</v>
      </c>
      <c r="AC38" s="29">
        <f t="shared" si="0"/>
        <v>2.3502020202020204</v>
      </c>
      <c r="AD38" s="20">
        <f>VLOOKUP(F38,铝耗2026年!$A$2:$B$5000,2,0)</f>
        <v>2.8450492575671</v>
      </c>
      <c r="AE38" s="20">
        <f>VLOOKUP(F38,铝耗2025年!$A$2:$B$5000,2,0)</f>
        <v>2.5</v>
      </c>
      <c r="AF38" s="37">
        <v>1.2</v>
      </c>
    </row>
    <row r="39" spans="1:32" hidden="1" x14ac:dyDescent="0.3">
      <c r="A39" s="7">
        <v>36</v>
      </c>
      <c r="B39" s="9" t="s">
        <v>97</v>
      </c>
      <c r="C39" s="9" t="s">
        <v>34</v>
      </c>
      <c r="D39" s="9">
        <v>2.5</v>
      </c>
      <c r="E39" s="9">
        <v>6</v>
      </c>
      <c r="F39" s="9" t="s">
        <v>97</v>
      </c>
      <c r="G39" s="33" t="s">
        <v>98</v>
      </c>
      <c r="H39" s="9">
        <v>1529</v>
      </c>
      <c r="I39" s="34">
        <v>0.06</v>
      </c>
      <c r="J39" s="35">
        <v>0</v>
      </c>
      <c r="K39" s="35">
        <v>0.28000000000000003</v>
      </c>
      <c r="L39" s="34">
        <v>1.4999999999999999E-2</v>
      </c>
      <c r="M39" s="34">
        <v>6.0000000000000001E-3</v>
      </c>
      <c r="N39" s="34"/>
      <c r="O39" s="34"/>
      <c r="P39" s="34"/>
      <c r="Q39" s="34">
        <v>0.03</v>
      </c>
      <c r="R39" s="34" t="s">
        <v>39</v>
      </c>
      <c r="S39" s="21" t="s">
        <v>39</v>
      </c>
      <c r="T39" s="35"/>
      <c r="U39" s="35"/>
      <c r="V39" s="35"/>
      <c r="W39" s="35"/>
      <c r="X39" s="21"/>
      <c r="Y39" s="36" t="s">
        <v>39</v>
      </c>
      <c r="Z39" s="9"/>
      <c r="AA39" s="36" t="s">
        <v>99</v>
      </c>
      <c r="AB39" s="29" cm="1">
        <f t="array" ref="AB39">IF(R39="",IF(Q39="",0,(_xlfn.IFS(Q39=0.01,0.67,Q39=0.015,1,Q39=0.015,1.33,Q39=0.02,1.67,Q39=0.025,2,Q39=0.03,2.33,Q39=0.035,2.67,Q39=0.04,3)+IF(J39&lt;=0.03,"0.33",0))),(_xlfn.IFS(R39=0.01,0.67,R39=0.015,1,R39=0.015,1.33,R39=0.02,1.67,R39=0.025,2,R39=0.03,2.33,R39=0.035,2.67,R39=0.04,3)+IF(J39&lt;=0.03,"0.33",0)))</f>
        <v>2.66</v>
      </c>
      <c r="AC39" s="29">
        <f t="shared" si="0"/>
        <v>2.3502020202020204</v>
      </c>
      <c r="AD39" s="20" t="e">
        <f>VLOOKUP(F39,铝耗2026年!$A$2:$B$5000,2,0)</f>
        <v>#N/A</v>
      </c>
      <c r="AE39" s="20">
        <f>VLOOKUP(F39,铝耗2025年!$A$2:$B$5000,2,0)</f>
        <v>2.5</v>
      </c>
      <c r="AF39" s="37">
        <v>1.2</v>
      </c>
    </row>
    <row r="40" spans="1:32" hidden="1" x14ac:dyDescent="0.3">
      <c r="A40" s="7">
        <v>37</v>
      </c>
      <c r="B40" s="9" t="s">
        <v>100</v>
      </c>
      <c r="C40" s="9" t="s">
        <v>34</v>
      </c>
      <c r="D40" s="9">
        <v>2.5</v>
      </c>
      <c r="E40" s="9">
        <v>3.5</v>
      </c>
      <c r="F40" s="9" t="s">
        <v>100</v>
      </c>
      <c r="G40" s="33" t="s">
        <v>101</v>
      </c>
      <c r="H40" s="9">
        <v>1528</v>
      </c>
      <c r="I40" s="34">
        <v>7.0000000000000007E-2</v>
      </c>
      <c r="J40" s="35">
        <v>0</v>
      </c>
      <c r="K40" s="35">
        <v>0.35</v>
      </c>
      <c r="L40" s="34">
        <v>1.4999999999999999E-2</v>
      </c>
      <c r="M40" s="34">
        <v>6.0000000000000001E-3</v>
      </c>
      <c r="N40" s="34"/>
      <c r="O40" s="34"/>
      <c r="P40" s="34"/>
      <c r="Q40" s="34">
        <v>0.03</v>
      </c>
      <c r="R40" s="34" t="s">
        <v>39</v>
      </c>
      <c r="S40" s="21" t="s">
        <v>39</v>
      </c>
      <c r="T40" s="35"/>
      <c r="U40" s="35"/>
      <c r="V40" s="35"/>
      <c r="W40" s="35"/>
      <c r="X40" s="21"/>
      <c r="Y40" s="36" t="s">
        <v>39</v>
      </c>
      <c r="Z40" s="9"/>
      <c r="AA40" s="36" t="s">
        <v>96</v>
      </c>
      <c r="AB40" s="29" cm="1">
        <f t="array" ref="AB40">IF(R40="",IF(Q40="",0,(_xlfn.IFS(Q40=0.01,0.67,Q40=0.015,1,Q40=0.015,1.33,Q40=0.02,1.67,Q40=0.025,2,Q40=0.03,2.33,Q40=0.035,2.67,Q40=0.04,3)+IF(J40&lt;=0.03,"0.33",0))),(_xlfn.IFS(R40=0.01,0.67,R40=0.015,1,R40=0.015,1.33,R40=0.02,1.67,R40=0.025,2,R40=0.03,2.33,R40=0.035,2.67,R40=0.04,3)+IF(J40&lt;=0.03,"0.33",0)))</f>
        <v>2.66</v>
      </c>
      <c r="AC40" s="29">
        <f t="shared" si="0"/>
        <v>2.3502020202020204</v>
      </c>
      <c r="AD40" s="20" t="e">
        <f>VLOOKUP(F40,铝耗2026年!$A$2:$B$5000,2,0)</f>
        <v>#N/A</v>
      </c>
      <c r="AE40" s="20" t="e">
        <f>VLOOKUP(F40,铝耗2025年!$A$2:$B$5000,2,0)</f>
        <v>#N/A</v>
      </c>
      <c r="AF40" s="37">
        <v>1.2</v>
      </c>
    </row>
    <row r="41" spans="1:32" hidden="1" x14ac:dyDescent="0.3">
      <c r="A41" s="7">
        <v>38</v>
      </c>
      <c r="B41" s="10" t="s">
        <v>102</v>
      </c>
      <c r="C41" s="10" t="s">
        <v>37</v>
      </c>
      <c r="D41" s="10">
        <v>0.1</v>
      </c>
      <c r="E41" s="10">
        <v>5.99</v>
      </c>
      <c r="F41" s="10" t="s">
        <v>103</v>
      </c>
      <c r="G41" s="39" t="s">
        <v>104</v>
      </c>
      <c r="H41" s="10">
        <v>1518</v>
      </c>
      <c r="I41" s="40">
        <v>0.16</v>
      </c>
      <c r="J41" s="41">
        <v>0.08</v>
      </c>
      <c r="K41" s="41">
        <v>0.35</v>
      </c>
      <c r="L41" s="40">
        <v>0.02</v>
      </c>
      <c r="M41" s="40">
        <v>0.01</v>
      </c>
      <c r="N41" s="40"/>
      <c r="O41" s="40"/>
      <c r="P41" s="40">
        <v>0.04</v>
      </c>
      <c r="Q41" s="40">
        <v>0.02</v>
      </c>
      <c r="R41" s="40" t="s">
        <v>39</v>
      </c>
      <c r="S41" s="42"/>
      <c r="T41" s="41"/>
      <c r="U41" s="41"/>
      <c r="V41" s="41"/>
      <c r="W41" s="41" t="s">
        <v>39</v>
      </c>
      <c r="X41" s="42" t="s">
        <v>39</v>
      </c>
      <c r="Y41" s="43" t="s">
        <v>39</v>
      </c>
      <c r="Z41" s="10" t="s">
        <v>39</v>
      </c>
      <c r="AA41" s="43" t="s">
        <v>39</v>
      </c>
      <c r="AB41" s="29" cm="1">
        <f t="array" ref="AB41">IF(R41="",IF(Q41="",0,(_xlfn.IFS(Q41=0.01,0.67,Q41=0.015,1,Q41=0.015,1.33,Q41=0.02,1.67,Q41=0.025,2,Q41=0.03,2.33,Q41=0.035,2.67,Q41=0.04,3)+IF(J41&lt;=0.03,"0.33",0))),(_xlfn.IFS(R41=0.01,0.67,R41=0.015,1,R41=0.015,1.33,R41=0.02,1.67,R41=0.025,2,R41=0.03,2.33,R41=0.035,2.67,R41=0.04,3)+IF(J41&lt;=0.03,"0.33",0)))</f>
        <v>1.67</v>
      </c>
      <c r="AC41" s="29">
        <f t="shared" si="0"/>
        <v>1.3468013468013469</v>
      </c>
      <c r="AD41" s="20">
        <f>VLOOKUP(F41,铝耗2026年!$A$2:$B$5000,2,0)</f>
        <v>1.4277684582087</v>
      </c>
      <c r="AE41" s="20">
        <f>VLOOKUP(F41,铝耗2025年!$A$2:$B$5000,2,0)</f>
        <v>1.4</v>
      </c>
      <c r="AF41" s="20">
        <f t="shared" si="1"/>
        <v>1.4277684582087</v>
      </c>
    </row>
    <row r="42" spans="1:32" hidden="1" x14ac:dyDescent="0.3">
      <c r="A42" s="7">
        <v>39</v>
      </c>
      <c r="B42" s="10" t="s">
        <v>102</v>
      </c>
      <c r="C42" s="10" t="s">
        <v>34</v>
      </c>
      <c r="D42" s="10">
        <v>6</v>
      </c>
      <c r="E42" s="10">
        <v>15.99</v>
      </c>
      <c r="F42" s="10" t="s">
        <v>105</v>
      </c>
      <c r="G42" s="39" t="s">
        <v>104</v>
      </c>
      <c r="H42" s="10">
        <v>1517</v>
      </c>
      <c r="I42" s="40">
        <v>0.16</v>
      </c>
      <c r="J42" s="41">
        <v>0.08</v>
      </c>
      <c r="K42" s="41">
        <v>0.5</v>
      </c>
      <c r="L42" s="40">
        <v>0.02</v>
      </c>
      <c r="M42" s="40">
        <v>0.01</v>
      </c>
      <c r="N42" s="40"/>
      <c r="O42" s="40"/>
      <c r="P42" s="40">
        <v>0.04</v>
      </c>
      <c r="Q42" s="40">
        <v>0.02</v>
      </c>
      <c r="R42" s="40" t="s">
        <v>39</v>
      </c>
      <c r="S42" s="42"/>
      <c r="T42" s="41"/>
      <c r="U42" s="41"/>
      <c r="V42" s="41"/>
      <c r="W42" s="41" t="s">
        <v>39</v>
      </c>
      <c r="X42" s="42" t="s">
        <v>39</v>
      </c>
      <c r="Y42" s="43" t="s">
        <v>39</v>
      </c>
      <c r="Z42" s="10" t="s">
        <v>39</v>
      </c>
      <c r="AA42" s="43" t="s">
        <v>39</v>
      </c>
      <c r="AB42" s="29" cm="1">
        <f t="array" ref="AB42">IF(R42="",IF(Q42="",0,(_xlfn.IFS(Q42=0.01,0.67,Q42=0.015,1,Q42=0.015,1.33,Q42=0.02,1.67,Q42=0.025,2,Q42=0.03,2.33,Q42=0.035,2.67,Q42=0.04,3)+IF(J42&lt;=0.03,"0.33",0))),(_xlfn.IFS(R42=0.01,0.67,R42=0.015,1,R42=0.015,1.33,R42=0.02,1.67,R42=0.025,2,R42=0.03,2.33,R42=0.035,2.67,R42=0.04,3)+IF(J42&lt;=0.03,"0.33",0)))</f>
        <v>1.67</v>
      </c>
      <c r="AC42" s="29">
        <f t="shared" si="0"/>
        <v>1.3468013468013469</v>
      </c>
      <c r="AD42" s="20">
        <f>VLOOKUP(F42,铝耗2026年!$A$2:$B$5000,2,0)</f>
        <v>1.3656841648889999</v>
      </c>
      <c r="AE42" s="20">
        <f>VLOOKUP(F42,铝耗2025年!$A$2:$B$5000,2,0)</f>
        <v>1.4</v>
      </c>
      <c r="AF42" s="20">
        <f t="shared" si="1"/>
        <v>1.4</v>
      </c>
    </row>
    <row r="43" spans="1:32" hidden="1" x14ac:dyDescent="0.3">
      <c r="A43" s="7">
        <v>40</v>
      </c>
      <c r="B43" s="10" t="s">
        <v>102</v>
      </c>
      <c r="C43" s="10" t="s">
        <v>106</v>
      </c>
      <c r="D43" s="10">
        <v>16</v>
      </c>
      <c r="E43" s="10">
        <v>28</v>
      </c>
      <c r="F43" s="10" t="s">
        <v>107</v>
      </c>
      <c r="G43" s="39" t="s">
        <v>108</v>
      </c>
      <c r="H43" s="10">
        <v>1514</v>
      </c>
      <c r="I43" s="40">
        <v>0.16</v>
      </c>
      <c r="J43" s="41">
        <v>0.18</v>
      </c>
      <c r="K43" s="41">
        <v>1.1000000000000001</v>
      </c>
      <c r="L43" s="40">
        <v>0.02</v>
      </c>
      <c r="M43" s="40">
        <v>0.01</v>
      </c>
      <c r="N43" s="40"/>
      <c r="O43" s="40">
        <v>8.0000000000000002E-3</v>
      </c>
      <c r="P43" s="40">
        <v>2.5000000000000001E-2</v>
      </c>
      <c r="Q43" s="40">
        <v>0.02</v>
      </c>
      <c r="R43" s="40" t="s">
        <v>39</v>
      </c>
      <c r="S43" s="42"/>
      <c r="T43" s="41"/>
      <c r="U43" s="41"/>
      <c r="V43" s="41"/>
      <c r="W43" s="41" t="s">
        <v>39</v>
      </c>
      <c r="X43" s="42" t="s">
        <v>39</v>
      </c>
      <c r="Y43" s="43" t="s">
        <v>39</v>
      </c>
      <c r="Z43" s="10" t="s">
        <v>39</v>
      </c>
      <c r="AA43" s="43" t="s">
        <v>39</v>
      </c>
      <c r="AB43" s="29" cm="1">
        <f t="array" ref="AB43">IF(R43="",IF(Q43="",0,(_xlfn.IFS(Q43=0.01,0.67,Q43=0.015,1,Q43=0.015,1.33,Q43=0.02,1.67,Q43=0.025,2,Q43=0.03,2.33,Q43=0.035,2.67,Q43=0.04,3)+IF(J43&lt;=0.03,"0.33",0))),(_xlfn.IFS(R43=0.01,0.67,R43=0.015,1,R43=0.015,1.33,R43=0.02,1.67,R43=0.025,2,R43=0.03,2.33,R43=0.035,2.67,R43=0.04,3)+IF(J43&lt;=0.03,"0.33",0)))</f>
        <v>1.67</v>
      </c>
      <c r="AC43" s="29">
        <f t="shared" si="0"/>
        <v>1.3468013468013469</v>
      </c>
      <c r="AD43" s="20">
        <f>VLOOKUP(F43,铝耗2026年!$A$2:$B$5000,2,0)</f>
        <v>1.3446612685295001</v>
      </c>
      <c r="AE43" s="20">
        <f>VLOOKUP(F43,铝耗2025年!$A$2:$B$5000,2,0)</f>
        <v>1.4</v>
      </c>
      <c r="AF43" s="20">
        <f t="shared" si="1"/>
        <v>1.4</v>
      </c>
    </row>
    <row r="44" spans="1:32" hidden="1" x14ac:dyDescent="0.3">
      <c r="A44" s="7">
        <v>41</v>
      </c>
      <c r="B44" s="10" t="s">
        <v>109</v>
      </c>
      <c r="C44" s="10" t="s">
        <v>34</v>
      </c>
      <c r="D44" s="10">
        <v>2</v>
      </c>
      <c r="E44" s="10">
        <v>12</v>
      </c>
      <c r="F44" s="10" t="s">
        <v>110</v>
      </c>
      <c r="G44" s="10" t="s">
        <v>111</v>
      </c>
      <c r="H44" s="10">
        <v>1517</v>
      </c>
      <c r="I44" s="10">
        <v>0.16</v>
      </c>
      <c r="J44" s="10">
        <v>0.15</v>
      </c>
      <c r="K44" s="10">
        <v>1</v>
      </c>
      <c r="L44" s="10">
        <v>1.7999999999999999E-2</v>
      </c>
      <c r="M44" s="10">
        <v>0.01</v>
      </c>
      <c r="N44" s="10" t="s">
        <v>39</v>
      </c>
      <c r="O44" s="10"/>
      <c r="P44" s="10">
        <v>0.03</v>
      </c>
      <c r="Q44" s="10">
        <v>2.5000000000000001E-2</v>
      </c>
      <c r="R44" s="10" t="s">
        <v>39</v>
      </c>
      <c r="S44" s="10">
        <v>0</v>
      </c>
      <c r="T44" s="10">
        <v>0</v>
      </c>
      <c r="U44" s="10">
        <v>0</v>
      </c>
      <c r="V44" s="10">
        <v>0</v>
      </c>
      <c r="W44" s="10" t="s">
        <v>39</v>
      </c>
      <c r="X44" s="10" t="s">
        <v>39</v>
      </c>
      <c r="Y44" s="9"/>
      <c r="Z44" s="10">
        <v>40</v>
      </c>
      <c r="AA44" s="44" t="s">
        <v>39</v>
      </c>
      <c r="AB44" s="45" cm="1">
        <f t="array" ref="AB44">IF(R44="",IF(Q44="",0,(_xlfn.IFS(Q44=0.01,0.67,Q44=0.015,1,Q44=0.015,1.33,Q44=0.02,1.67,Q44=0.025,2,Q44=0.03,2.33,Q44=0.035,2.67,Q44=0.04,3)+IF(J44&lt;=0.03,"0.33",0))),(_xlfn.IFS(R44=0.01,0.67,R44=0.015,1,R44=0.015,1.33,R44=0.02,1.67,R44=0.025,2,R44=0.03,2.33,R44=0.035,2.67,R44=0.04,3)+IF(J44&lt;=0.03,"0.33",0)))</f>
        <v>2</v>
      </c>
      <c r="AC44" s="29">
        <f t="shared" si="0"/>
        <v>1.6835016835016836</v>
      </c>
      <c r="AD44" s="20">
        <f>VLOOKUP(F44,铝耗2026年!$A$2:$B$5000,2,0)</f>
        <v>1.34080911647249</v>
      </c>
      <c r="AE44" s="20">
        <f>VLOOKUP(F44,铝耗2025年!$A$2:$B$5000,2,0)</f>
        <v>1.4</v>
      </c>
      <c r="AF44" s="20">
        <f t="shared" si="1"/>
        <v>1.4</v>
      </c>
    </row>
    <row r="45" spans="1:32" hidden="1" x14ac:dyDescent="0.3">
      <c r="A45" s="7">
        <v>42</v>
      </c>
      <c r="B45" s="10" t="s">
        <v>109</v>
      </c>
      <c r="C45" s="10" t="s">
        <v>37</v>
      </c>
      <c r="D45" s="10">
        <v>12.01</v>
      </c>
      <c r="E45" s="10">
        <v>19</v>
      </c>
      <c r="F45" s="10" t="s">
        <v>112</v>
      </c>
      <c r="G45" s="10" t="s">
        <v>111</v>
      </c>
      <c r="H45" s="10">
        <v>1517</v>
      </c>
      <c r="I45" s="10">
        <v>0.16</v>
      </c>
      <c r="J45" s="10">
        <v>0.15</v>
      </c>
      <c r="K45" s="10">
        <v>1.25</v>
      </c>
      <c r="L45" s="10">
        <v>1.7999999999999999E-2</v>
      </c>
      <c r="M45" s="10">
        <v>5.0000000000000001E-3</v>
      </c>
      <c r="N45" s="10" t="s">
        <v>39</v>
      </c>
      <c r="O45" s="10">
        <v>8.0000000000000002E-3</v>
      </c>
      <c r="P45" s="10">
        <v>1.4999999999999999E-2</v>
      </c>
      <c r="Q45" s="10">
        <v>2.5000000000000001E-2</v>
      </c>
      <c r="R45" s="10" t="s">
        <v>39</v>
      </c>
      <c r="S45" s="10">
        <v>0</v>
      </c>
      <c r="T45" s="10">
        <v>0</v>
      </c>
      <c r="U45" s="10">
        <v>0</v>
      </c>
      <c r="V45" s="10">
        <v>0</v>
      </c>
      <c r="W45" s="10" t="s">
        <v>39</v>
      </c>
      <c r="X45" s="10" t="s">
        <v>39</v>
      </c>
      <c r="Y45" s="9"/>
      <c r="Z45" s="10">
        <v>40</v>
      </c>
      <c r="AA45" s="44" t="s">
        <v>39</v>
      </c>
      <c r="AB45" s="45" cm="1">
        <f t="array" ref="AB45">IF(R45="",IF(Q45="",0,(_xlfn.IFS(Q45=0.01,0.67,Q45=0.015,1,Q45=0.015,1.33,Q45=0.02,1.67,Q45=0.025,2,Q45=0.03,2.33,Q45=0.035,2.67,Q45=0.04,3)+IF(J45&lt;=0.03,"0.33",0))),(_xlfn.IFS(R45=0.01,0.67,R45=0.015,1,R45=0.015,1.33,R45=0.02,1.67,R45=0.025,2,R45=0.03,2.33,R45=0.035,2.67,R45=0.04,3)+IF(J45&lt;=0.03,"0.33",0)))</f>
        <v>2</v>
      </c>
      <c r="AC45" s="29">
        <f t="shared" si="0"/>
        <v>1.6835016835016836</v>
      </c>
      <c r="AD45" s="20">
        <f>VLOOKUP(F45,铝耗2026年!$A$2:$B$5000,2,0)</f>
        <v>1.35534144189313</v>
      </c>
      <c r="AE45" s="20">
        <f>VLOOKUP(F45,铝耗2025年!$A$2:$B$5000,2,0)</f>
        <v>1.4</v>
      </c>
      <c r="AF45" s="20">
        <f t="shared" si="1"/>
        <v>1.4</v>
      </c>
    </row>
    <row r="46" spans="1:32" hidden="1" x14ac:dyDescent="0.3">
      <c r="A46" s="7">
        <v>43</v>
      </c>
      <c r="B46" s="10" t="s">
        <v>109</v>
      </c>
      <c r="C46" s="10" t="s">
        <v>106</v>
      </c>
      <c r="D46" s="10">
        <v>19.010000000000002</v>
      </c>
      <c r="E46" s="10">
        <v>29</v>
      </c>
      <c r="F46" s="10" t="s">
        <v>113</v>
      </c>
      <c r="G46" s="10" t="s">
        <v>111</v>
      </c>
      <c r="H46" s="10">
        <v>1517</v>
      </c>
      <c r="I46" s="10">
        <v>0.16</v>
      </c>
      <c r="J46" s="10">
        <v>0.15</v>
      </c>
      <c r="K46" s="10">
        <v>1.35</v>
      </c>
      <c r="L46" s="10">
        <v>1.7999999999999999E-2</v>
      </c>
      <c r="M46" s="10">
        <v>5.0000000000000001E-3</v>
      </c>
      <c r="N46" s="10" t="s">
        <v>39</v>
      </c>
      <c r="O46" s="10">
        <v>0.01</v>
      </c>
      <c r="P46" s="10">
        <v>2.5000000000000001E-2</v>
      </c>
      <c r="Q46" s="10">
        <v>2.5000000000000001E-2</v>
      </c>
      <c r="R46" s="10" t="s">
        <v>39</v>
      </c>
      <c r="S46" s="10">
        <v>0</v>
      </c>
      <c r="T46" s="10">
        <v>0</v>
      </c>
      <c r="U46" s="10">
        <v>0</v>
      </c>
      <c r="V46" s="10">
        <v>0</v>
      </c>
      <c r="W46" s="10" t="s">
        <v>39</v>
      </c>
      <c r="X46" s="10" t="s">
        <v>39</v>
      </c>
      <c r="Y46" s="9"/>
      <c r="Z46" s="10">
        <v>40</v>
      </c>
      <c r="AA46" s="44" t="s">
        <v>39</v>
      </c>
      <c r="AB46" s="45" cm="1">
        <f t="array" ref="AB46">IF(R46="",IF(Q46="",0,(_xlfn.IFS(Q46=0.01,0.67,Q46=0.015,1,Q46=0.015,1.33,Q46=0.02,1.67,Q46=0.025,2,Q46=0.03,2.33,Q46=0.035,2.67,Q46=0.04,3)+IF(J46&lt;=0.03,"0.33",0))),(_xlfn.IFS(R46=0.01,0.67,R46=0.015,1,R46=0.015,1.33,R46=0.02,1.67,R46=0.025,2,R46=0.03,2.33,R46=0.035,2.67,R46=0.04,3)+IF(J46&lt;=0.03,"0.33",0)))</f>
        <v>2</v>
      </c>
      <c r="AC46" s="29">
        <f t="shared" si="0"/>
        <v>1.6835016835016836</v>
      </c>
      <c r="AD46" s="20">
        <f>VLOOKUP(F46,铝耗2026年!$A$2:$B$5000,2,0)</f>
        <v>1.3861706334359001</v>
      </c>
      <c r="AE46" s="20">
        <f>VLOOKUP(F46,铝耗2025年!$A$2:$B$5000,2,0)</f>
        <v>1.4</v>
      </c>
      <c r="AF46" s="20">
        <f t="shared" si="1"/>
        <v>1.4</v>
      </c>
    </row>
    <row r="47" spans="1:32" hidden="1" x14ac:dyDescent="0.3">
      <c r="A47" s="7">
        <v>44</v>
      </c>
      <c r="B47" s="10" t="s">
        <v>114</v>
      </c>
      <c r="C47" s="10" t="s">
        <v>34</v>
      </c>
      <c r="D47" s="10">
        <v>2</v>
      </c>
      <c r="E47" s="10">
        <v>12</v>
      </c>
      <c r="F47" s="10" t="s">
        <v>115</v>
      </c>
      <c r="G47" s="39" t="s">
        <v>116</v>
      </c>
      <c r="H47" s="10">
        <v>1517</v>
      </c>
      <c r="I47" s="40">
        <v>0.16</v>
      </c>
      <c r="J47" s="41">
        <v>0.15</v>
      </c>
      <c r="K47" s="41">
        <v>1</v>
      </c>
      <c r="L47" s="40">
        <v>1.7999999999999999E-2</v>
      </c>
      <c r="M47" s="40">
        <v>8.0000000000000002E-3</v>
      </c>
      <c r="N47" s="40"/>
      <c r="O47" s="40"/>
      <c r="P47" s="40">
        <v>0.03</v>
      </c>
      <c r="Q47" s="40">
        <v>2.5000000000000001E-2</v>
      </c>
      <c r="R47" s="40" t="s">
        <v>39</v>
      </c>
      <c r="S47" s="42"/>
      <c r="T47" s="41"/>
      <c r="U47" s="41"/>
      <c r="V47" s="41"/>
      <c r="W47" s="41" t="s">
        <v>39</v>
      </c>
      <c r="X47" s="42" t="s">
        <v>39</v>
      </c>
      <c r="Y47" s="43" t="s">
        <v>39</v>
      </c>
      <c r="Z47" s="10"/>
      <c r="AA47" s="43"/>
      <c r="AB47" s="29" cm="1">
        <f t="array" ref="AB47">IF(R47="",IF(Q47="",0,(_xlfn.IFS(Q47=0.01,0.67,Q47=0.015,1,Q47=0.015,1.33,Q47=0.02,1.67,Q47=0.025,2,Q47=0.03,2.33,Q47=0.035,2.67,Q47=0.04,3)+IF(J47&lt;=0.03,"0.33",0))),(_xlfn.IFS(R47=0.01,0.67,R47=0.015,1,R47=0.015,1.33,R47=0.02,1.67,R47=0.025,2,R47=0.03,2.33,R47=0.035,2.67,R47=0.04,3)+IF(J47&lt;=0.03,"0.33",0)))</f>
        <v>2</v>
      </c>
      <c r="AC47" s="29">
        <f t="shared" si="0"/>
        <v>1.6835016835016836</v>
      </c>
      <c r="AD47" s="20">
        <f>VLOOKUP(F47,铝耗2026年!$A$2:$B$5000,2,0)</f>
        <v>1.3391827255208999</v>
      </c>
      <c r="AE47" s="20">
        <f>VLOOKUP(F47,铝耗2025年!$A$2:$B$5000,2,0)</f>
        <v>1.4</v>
      </c>
      <c r="AF47" s="20">
        <f t="shared" si="1"/>
        <v>1.4</v>
      </c>
    </row>
    <row r="48" spans="1:32" hidden="1" x14ac:dyDescent="0.3">
      <c r="A48" s="7">
        <v>45</v>
      </c>
      <c r="B48" s="10" t="s">
        <v>114</v>
      </c>
      <c r="C48" s="10" t="s">
        <v>37</v>
      </c>
      <c r="D48" s="10">
        <v>12.01</v>
      </c>
      <c r="E48" s="10">
        <v>19</v>
      </c>
      <c r="F48" s="10" t="s">
        <v>117</v>
      </c>
      <c r="G48" s="39" t="s">
        <v>116</v>
      </c>
      <c r="H48" s="10">
        <v>1521</v>
      </c>
      <c r="I48" s="40">
        <v>0.16</v>
      </c>
      <c r="J48" s="41">
        <v>0.15</v>
      </c>
      <c r="K48" s="41">
        <v>1.1499999999999999</v>
      </c>
      <c r="L48" s="40">
        <v>1.7999999999999999E-2</v>
      </c>
      <c r="M48" s="40">
        <v>8.0000000000000002E-3</v>
      </c>
      <c r="N48" s="40"/>
      <c r="O48" s="40">
        <v>1.2E-2</v>
      </c>
      <c r="P48" s="40">
        <v>1.4999999999999999E-2</v>
      </c>
      <c r="Q48" s="40">
        <v>2.5000000000000001E-2</v>
      </c>
      <c r="R48" s="40" t="s">
        <v>39</v>
      </c>
      <c r="S48" s="42"/>
      <c r="T48" s="41"/>
      <c r="U48" s="41"/>
      <c r="V48" s="41"/>
      <c r="W48" s="41" t="s">
        <v>39</v>
      </c>
      <c r="X48" s="42" t="s">
        <v>39</v>
      </c>
      <c r="Y48" s="43" t="s">
        <v>39</v>
      </c>
      <c r="Z48" s="10">
        <v>40</v>
      </c>
      <c r="AA48" s="43"/>
      <c r="AB48" s="29" cm="1">
        <f t="array" ref="AB48">IF(R48="",IF(Q48="",0,(_xlfn.IFS(Q48=0.01,0.67,Q48=0.015,1,Q48=0.015,1.33,Q48=0.02,1.67,Q48=0.025,2,Q48=0.03,2.33,Q48=0.035,2.67,Q48=0.04,3)+IF(J48&lt;=0.03,"0.33",0))),(_xlfn.IFS(R48=0.01,0.67,R48=0.015,1,R48=0.015,1.33,R48=0.02,1.67,R48=0.025,2,R48=0.03,2.33,R48=0.035,2.67,R48=0.04,3)+IF(J48&lt;=0.03,"0.33",0)))</f>
        <v>2</v>
      </c>
      <c r="AC48" s="29">
        <f t="shared" si="0"/>
        <v>1.6835016835016836</v>
      </c>
      <c r="AD48" s="20">
        <f>VLOOKUP(F48,铝耗2026年!$A$2:$B$5000,2,0)</f>
        <v>1.30304976893941</v>
      </c>
      <c r="AE48" s="20">
        <f>VLOOKUP(F48,铝耗2025年!$A$2:$B$5000,2,0)</f>
        <v>1.4</v>
      </c>
      <c r="AF48" s="20">
        <f t="shared" si="1"/>
        <v>1.4</v>
      </c>
    </row>
    <row r="49" spans="1:32" hidden="1" x14ac:dyDescent="0.3">
      <c r="A49" s="7">
        <v>46</v>
      </c>
      <c r="B49" s="10" t="s">
        <v>114</v>
      </c>
      <c r="C49" s="10" t="s">
        <v>106</v>
      </c>
      <c r="D49" s="10">
        <v>19.010000000000002</v>
      </c>
      <c r="E49" s="10">
        <v>29</v>
      </c>
      <c r="F49" s="10" t="s">
        <v>118</v>
      </c>
      <c r="G49" s="39" t="s">
        <v>116</v>
      </c>
      <c r="H49" s="10">
        <v>1521</v>
      </c>
      <c r="I49" s="40">
        <v>0.16</v>
      </c>
      <c r="J49" s="41">
        <v>0.15</v>
      </c>
      <c r="K49" s="41">
        <v>1.3</v>
      </c>
      <c r="L49" s="40">
        <v>1.7999999999999999E-2</v>
      </c>
      <c r="M49" s="40">
        <v>8.0000000000000002E-3</v>
      </c>
      <c r="N49" s="40"/>
      <c r="O49" s="40">
        <v>1.4999999999999999E-2</v>
      </c>
      <c r="P49" s="40">
        <v>1.4999999999999999E-2</v>
      </c>
      <c r="Q49" s="40">
        <v>2.5000000000000001E-2</v>
      </c>
      <c r="R49" s="40" t="s">
        <v>39</v>
      </c>
      <c r="S49" s="42"/>
      <c r="T49" s="41"/>
      <c r="U49" s="41"/>
      <c r="V49" s="41"/>
      <c r="W49" s="41" t="s">
        <v>39</v>
      </c>
      <c r="X49" s="42" t="s">
        <v>39</v>
      </c>
      <c r="Y49" s="43" t="s">
        <v>39</v>
      </c>
      <c r="Z49" s="10">
        <v>40</v>
      </c>
      <c r="AA49" s="43"/>
      <c r="AB49" s="29" cm="1">
        <f t="array" ref="AB49">IF(R49="",IF(Q49="",0,(_xlfn.IFS(Q49=0.01,0.67,Q49=0.015,1,Q49=0.015,1.33,Q49=0.02,1.67,Q49=0.025,2,Q49=0.03,2.33,Q49=0.035,2.67,Q49=0.04,3)+IF(J49&lt;=0.03,"0.33",0))),(_xlfn.IFS(R49=0.01,0.67,R49=0.015,1,R49=0.015,1.33,R49=0.02,1.67,R49=0.025,2,R49=0.03,2.33,R49=0.035,2.67,R49=0.04,3)+IF(J49&lt;=0.03,"0.33",0)))</f>
        <v>2</v>
      </c>
      <c r="AC49" s="29">
        <f t="shared" si="0"/>
        <v>1.6835016835016836</v>
      </c>
      <c r="AD49" s="20">
        <f>VLOOKUP(F49,铝耗2026年!$A$2:$B$5000,2,0)</f>
        <v>1.36937615288128</v>
      </c>
      <c r="AE49" s="20">
        <f>VLOOKUP(F49,铝耗2025年!$A$2:$B$5000,2,0)</f>
        <v>1.4</v>
      </c>
      <c r="AF49" s="20">
        <f t="shared" si="1"/>
        <v>1.4</v>
      </c>
    </row>
    <row r="50" spans="1:32" hidden="1" x14ac:dyDescent="0.3">
      <c r="A50" s="7">
        <v>47</v>
      </c>
      <c r="B50" s="10" t="s">
        <v>119</v>
      </c>
      <c r="C50" s="10" t="s">
        <v>34</v>
      </c>
      <c r="D50" s="10">
        <v>2</v>
      </c>
      <c r="E50" s="10">
        <v>7.55</v>
      </c>
      <c r="F50" s="10" t="s">
        <v>120</v>
      </c>
      <c r="G50" s="39" t="s">
        <v>121</v>
      </c>
      <c r="H50" s="10">
        <v>1514</v>
      </c>
      <c r="I50" s="40">
        <v>0.16</v>
      </c>
      <c r="J50" s="41">
        <v>0.15</v>
      </c>
      <c r="K50" s="41">
        <v>1.1000000000000001</v>
      </c>
      <c r="L50" s="40">
        <v>1.4999999999999999E-2</v>
      </c>
      <c r="M50" s="40">
        <v>0.01</v>
      </c>
      <c r="N50" s="40"/>
      <c r="O50" s="40"/>
      <c r="P50" s="40">
        <v>2.5000000000000001E-2</v>
      </c>
      <c r="Q50" s="40">
        <v>0.02</v>
      </c>
      <c r="R50" s="40" t="s">
        <v>39</v>
      </c>
      <c r="S50" s="42"/>
      <c r="T50" s="41"/>
      <c r="U50" s="41"/>
      <c r="V50" s="41"/>
      <c r="W50" s="41" t="s">
        <v>39</v>
      </c>
      <c r="X50" s="42" t="s">
        <v>39</v>
      </c>
      <c r="Y50" s="43" t="s">
        <v>39</v>
      </c>
      <c r="Z50" s="10" t="s">
        <v>39</v>
      </c>
      <c r="AA50" s="43" t="s">
        <v>39</v>
      </c>
      <c r="AB50" s="29" cm="1">
        <f t="array" ref="AB50">IF(R50="",IF(Q50="",0,(_xlfn.IFS(Q50=0.01,0.67,Q50=0.015,1,Q50=0.015,1.33,Q50=0.02,1.67,Q50=0.025,2,Q50=0.03,2.33,Q50=0.035,2.67,Q50=0.04,3)+IF(J50&lt;=0.03,"0.33",0))),(_xlfn.IFS(R50=0.01,0.67,R50=0.015,1,R50=0.015,1.33,R50=0.02,1.67,R50=0.025,2,R50=0.03,2.33,R50=0.035,2.67,R50=0.04,3)+IF(J50&lt;=0.03,"0.33",0)))</f>
        <v>1.67</v>
      </c>
      <c r="AC50" s="29">
        <f t="shared" si="0"/>
        <v>1.3468013468013469</v>
      </c>
      <c r="AD50" s="20" t="e">
        <f>VLOOKUP(F50,铝耗2026年!$A$2:$B$5000,2,0)</f>
        <v>#N/A</v>
      </c>
      <c r="AE50" s="20">
        <f>VLOOKUP(F50,铝耗2025年!$A$2:$B$5000,2,0)</f>
        <v>1.4</v>
      </c>
      <c r="AF50" s="37">
        <v>1.4</v>
      </c>
    </row>
    <row r="51" spans="1:32" hidden="1" x14ac:dyDescent="0.3">
      <c r="A51" s="7">
        <v>48</v>
      </c>
      <c r="B51" s="10" t="s">
        <v>119</v>
      </c>
      <c r="C51" s="10" t="s">
        <v>37</v>
      </c>
      <c r="D51" s="10">
        <v>7.56</v>
      </c>
      <c r="E51" s="10">
        <v>16</v>
      </c>
      <c r="F51" s="10" t="s">
        <v>122</v>
      </c>
      <c r="G51" s="39" t="s">
        <v>121</v>
      </c>
      <c r="H51" s="10">
        <v>1514</v>
      </c>
      <c r="I51" s="40">
        <v>0.16</v>
      </c>
      <c r="J51" s="41">
        <v>0.15</v>
      </c>
      <c r="K51" s="41">
        <v>1.1000000000000001</v>
      </c>
      <c r="L51" s="40">
        <v>1.4999999999999999E-2</v>
      </c>
      <c r="M51" s="40">
        <v>0.01</v>
      </c>
      <c r="N51" s="40"/>
      <c r="O51" s="40"/>
      <c r="P51" s="40">
        <v>3.5000000000000003E-2</v>
      </c>
      <c r="Q51" s="40">
        <v>0.02</v>
      </c>
      <c r="R51" s="40" t="s">
        <v>39</v>
      </c>
      <c r="S51" s="42"/>
      <c r="T51" s="41"/>
      <c r="U51" s="41"/>
      <c r="V51" s="41"/>
      <c r="W51" s="41" t="s">
        <v>39</v>
      </c>
      <c r="X51" s="42" t="s">
        <v>39</v>
      </c>
      <c r="Y51" s="43" t="s">
        <v>39</v>
      </c>
      <c r="Z51" s="10" t="s">
        <v>39</v>
      </c>
      <c r="AA51" s="43" t="s">
        <v>39</v>
      </c>
      <c r="AB51" s="29" cm="1">
        <f t="array" ref="AB51">IF(R51="",IF(Q51="",0,(_xlfn.IFS(Q51=0.01,0.67,Q51=0.015,1,Q51=0.015,1.33,Q51=0.02,1.67,Q51=0.025,2,Q51=0.03,2.33,Q51=0.035,2.67,Q51=0.04,3)+IF(J51&lt;=0.03,"0.33",0))),(_xlfn.IFS(R51=0.01,0.67,R51=0.015,1,R51=0.015,1.33,R51=0.02,1.67,R51=0.025,2,R51=0.03,2.33,R51=0.035,2.67,R51=0.04,3)+IF(J51&lt;=0.03,"0.33",0)))</f>
        <v>1.67</v>
      </c>
      <c r="AC51" s="29">
        <f t="shared" si="0"/>
        <v>1.3468013468013469</v>
      </c>
      <c r="AD51" s="20">
        <f>VLOOKUP(F51,铝耗2026年!$A$2:$B$5000,2,0)</f>
        <v>1.28872437570779</v>
      </c>
      <c r="AE51" s="20">
        <f>VLOOKUP(F51,铝耗2025年!$A$2:$B$5000,2,0)</f>
        <v>1.4</v>
      </c>
      <c r="AF51" s="20">
        <f t="shared" si="1"/>
        <v>1.4</v>
      </c>
    </row>
    <row r="52" spans="1:32" hidden="1" x14ac:dyDescent="0.3">
      <c r="A52" s="7">
        <v>49</v>
      </c>
      <c r="B52" s="10" t="s">
        <v>119</v>
      </c>
      <c r="C52" s="10" t="s">
        <v>106</v>
      </c>
      <c r="D52" s="10">
        <v>16.010000000000002</v>
      </c>
      <c r="E52" s="10">
        <v>28</v>
      </c>
      <c r="F52" s="10" t="s">
        <v>123</v>
      </c>
      <c r="G52" s="39" t="s">
        <v>121</v>
      </c>
      <c r="H52" s="10">
        <v>1514</v>
      </c>
      <c r="I52" s="40">
        <v>0.16</v>
      </c>
      <c r="J52" s="41">
        <v>0.15</v>
      </c>
      <c r="K52" s="41">
        <v>1.1499999999999999</v>
      </c>
      <c r="L52" s="40">
        <v>1.4999999999999999E-2</v>
      </c>
      <c r="M52" s="40">
        <v>0.01</v>
      </c>
      <c r="N52" s="40"/>
      <c r="O52" s="40">
        <v>1.4999999999999999E-2</v>
      </c>
      <c r="P52" s="40">
        <v>2.5000000000000001E-2</v>
      </c>
      <c r="Q52" s="40">
        <v>0.02</v>
      </c>
      <c r="R52" s="40" t="s">
        <v>39</v>
      </c>
      <c r="S52" s="42"/>
      <c r="T52" s="41"/>
      <c r="U52" s="41"/>
      <c r="V52" s="41"/>
      <c r="W52" s="41" t="s">
        <v>39</v>
      </c>
      <c r="X52" s="42" t="s">
        <v>39</v>
      </c>
      <c r="Y52" s="43" t="s">
        <v>39</v>
      </c>
      <c r="Z52" s="10" t="s">
        <v>39</v>
      </c>
      <c r="AA52" s="43" t="s">
        <v>39</v>
      </c>
      <c r="AB52" s="29" cm="1">
        <f t="array" ref="AB52">IF(R52="",IF(Q52="",0,(_xlfn.IFS(Q52=0.01,0.67,Q52=0.015,1,Q52=0.015,1.33,Q52=0.02,1.67,Q52=0.025,2,Q52=0.03,2.33,Q52=0.035,2.67,Q52=0.04,3)+IF(J52&lt;=0.03,"0.33",0))),(_xlfn.IFS(R52=0.01,0.67,R52=0.015,1,R52=0.015,1.33,R52=0.02,1.67,R52=0.025,2,R52=0.03,2.33,R52=0.035,2.67,R52=0.04,3)+IF(J52&lt;=0.03,"0.33",0)))</f>
        <v>1.67</v>
      </c>
      <c r="AC52" s="29">
        <f t="shared" si="0"/>
        <v>1.3468013468013469</v>
      </c>
      <c r="AD52" s="20">
        <f>VLOOKUP(F52,铝耗2026年!$A$2:$B$5000,2,0)</f>
        <v>1.3688677399801601</v>
      </c>
      <c r="AE52" s="20">
        <f>VLOOKUP(F52,铝耗2025年!$A$2:$B$5000,2,0)</f>
        <v>1.4</v>
      </c>
      <c r="AF52" s="20">
        <f t="shared" si="1"/>
        <v>1.4</v>
      </c>
    </row>
    <row r="53" spans="1:32" hidden="1" x14ac:dyDescent="0.3">
      <c r="A53" s="7">
        <v>50</v>
      </c>
      <c r="B53" s="10" t="s">
        <v>124</v>
      </c>
      <c r="C53" s="10" t="s">
        <v>37</v>
      </c>
      <c r="D53" s="10">
        <v>2</v>
      </c>
      <c r="E53" s="10">
        <v>5</v>
      </c>
      <c r="F53" s="10" t="s">
        <v>125</v>
      </c>
      <c r="G53" s="39" t="s">
        <v>126</v>
      </c>
      <c r="H53" s="10">
        <v>1522</v>
      </c>
      <c r="I53" s="40">
        <v>7.4999999999999997E-2</v>
      </c>
      <c r="J53" s="41">
        <v>0.15</v>
      </c>
      <c r="K53" s="41">
        <v>1.1000000000000001</v>
      </c>
      <c r="L53" s="40">
        <v>1.4999999999999999E-2</v>
      </c>
      <c r="M53" s="40">
        <v>4.0000000000000001E-3</v>
      </c>
      <c r="N53" s="40"/>
      <c r="O53" s="40">
        <v>0.01</v>
      </c>
      <c r="P53" s="40">
        <v>0.02</v>
      </c>
      <c r="Q53" s="40">
        <v>2.5000000000000001E-2</v>
      </c>
      <c r="R53" s="40" t="s">
        <v>39</v>
      </c>
      <c r="S53" s="42"/>
      <c r="T53" s="41"/>
      <c r="U53" s="41"/>
      <c r="V53" s="41"/>
      <c r="W53" s="41"/>
      <c r="X53" s="42"/>
      <c r="Y53" s="43" t="s">
        <v>39</v>
      </c>
      <c r="Z53" s="10">
        <v>45</v>
      </c>
      <c r="AA53" s="43" t="s">
        <v>39</v>
      </c>
      <c r="AB53" s="29" cm="1">
        <f t="array" ref="AB53">IF(R53="",IF(Q53="",0,(_xlfn.IFS(Q53=0.01,0.67,Q53=0.015,1,Q53=0.015,1.33,Q53=0.02,1.67,Q53=0.025,2,Q53=0.03,2.33,Q53=0.035,2.67,Q53=0.04,3)+IF(J53&lt;=0.03,"0.33",0))),(_xlfn.IFS(R53=0.01,0.67,R53=0.015,1,R53=0.015,1.33,R53=0.02,1.67,R53=0.025,2,R53=0.03,2.33,R53=0.035,2.67,R53=0.04,3)+IF(J53&lt;=0.03,"0.33",0)))</f>
        <v>2</v>
      </c>
      <c r="AC53" s="29">
        <f t="shared" si="0"/>
        <v>1.6835016835016836</v>
      </c>
      <c r="AD53" s="20" t="e">
        <f>VLOOKUP(F53,铝耗2026年!$A$2:$B$5000,2,0)</f>
        <v>#N/A</v>
      </c>
      <c r="AE53" s="20" t="e">
        <f>VLOOKUP(F53,铝耗2025年!$A$2:$B$5000,2,0)</f>
        <v>#N/A</v>
      </c>
      <c r="AF53" s="37">
        <v>1.7</v>
      </c>
    </row>
    <row r="54" spans="1:32" hidden="1" x14ac:dyDescent="0.3">
      <c r="A54" s="7">
        <v>51</v>
      </c>
      <c r="B54" s="10" t="s">
        <v>124</v>
      </c>
      <c r="C54" s="10" t="s">
        <v>34</v>
      </c>
      <c r="D54" s="10">
        <v>5.01</v>
      </c>
      <c r="E54" s="10">
        <v>12</v>
      </c>
      <c r="F54" s="10" t="s">
        <v>127</v>
      </c>
      <c r="G54" s="39" t="s">
        <v>126</v>
      </c>
      <c r="H54" s="10">
        <v>1522</v>
      </c>
      <c r="I54" s="40">
        <v>7.4999999999999997E-2</v>
      </c>
      <c r="J54" s="41">
        <v>0.15</v>
      </c>
      <c r="K54" s="41">
        <v>1.25</v>
      </c>
      <c r="L54" s="40">
        <v>1.4999999999999999E-2</v>
      </c>
      <c r="M54" s="40">
        <v>4.0000000000000001E-3</v>
      </c>
      <c r="N54" s="40"/>
      <c r="O54" s="40">
        <v>1.4999999999999999E-2</v>
      </c>
      <c r="P54" s="40">
        <v>0.02</v>
      </c>
      <c r="Q54" s="40">
        <v>2.5000000000000001E-2</v>
      </c>
      <c r="R54" s="40" t="s">
        <v>39</v>
      </c>
      <c r="S54" s="42"/>
      <c r="T54" s="41"/>
      <c r="U54" s="41"/>
      <c r="V54" s="41"/>
      <c r="W54" s="41"/>
      <c r="X54" s="42"/>
      <c r="Y54" s="43" t="s">
        <v>39</v>
      </c>
      <c r="Z54" s="10">
        <v>45</v>
      </c>
      <c r="AA54" s="43" t="s">
        <v>39</v>
      </c>
      <c r="AB54" s="29" cm="1">
        <f t="array" ref="AB54">IF(R54="",IF(Q54="",0,(_xlfn.IFS(Q54=0.01,0.67,Q54=0.015,1,Q54=0.015,1.33,Q54=0.02,1.67,Q54=0.025,2,Q54=0.03,2.33,Q54=0.035,2.67,Q54=0.04,3)+IF(J54&lt;=0.03,"0.33",0))),(_xlfn.IFS(R54=0.01,0.67,R54=0.015,1,R54=0.015,1.33,R54=0.02,1.67,R54=0.025,2,R54=0.03,2.33,R54=0.035,2.67,R54=0.04,3)+IF(J54&lt;=0.03,"0.33",0)))</f>
        <v>2</v>
      </c>
      <c r="AC54" s="29">
        <f t="shared" si="0"/>
        <v>1.6835016835016836</v>
      </c>
      <c r="AD54" s="20">
        <f>VLOOKUP(F54,铝耗2026年!$A$2:$B$5000,2,0)</f>
        <v>1.76751789876439</v>
      </c>
      <c r="AE54" s="20" t="e">
        <f>VLOOKUP(F54,铝耗2025年!$A$2:$B$5000,2,0)</f>
        <v>#N/A</v>
      </c>
      <c r="AF54" s="37">
        <v>1.7</v>
      </c>
    </row>
    <row r="55" spans="1:32" hidden="1" x14ac:dyDescent="0.3">
      <c r="A55" s="7">
        <v>52</v>
      </c>
      <c r="B55" s="10" t="s">
        <v>124</v>
      </c>
      <c r="C55" s="10" t="s">
        <v>106</v>
      </c>
      <c r="D55" s="10">
        <v>12.01</v>
      </c>
      <c r="E55" s="10">
        <v>25.4</v>
      </c>
      <c r="F55" s="10" t="s">
        <v>128</v>
      </c>
      <c r="G55" s="39" t="s">
        <v>126</v>
      </c>
      <c r="H55" s="10">
        <v>1522</v>
      </c>
      <c r="I55" s="40">
        <v>7.4999999999999997E-2</v>
      </c>
      <c r="J55" s="41">
        <v>0.15</v>
      </c>
      <c r="K55" s="41">
        <v>1.35</v>
      </c>
      <c r="L55" s="40">
        <v>1.4999999999999999E-2</v>
      </c>
      <c r="M55" s="40">
        <v>4.0000000000000001E-3</v>
      </c>
      <c r="N55" s="40"/>
      <c r="O55" s="40">
        <v>1.4999999999999999E-2</v>
      </c>
      <c r="P55" s="40">
        <v>0.02</v>
      </c>
      <c r="Q55" s="40">
        <v>2.5000000000000001E-2</v>
      </c>
      <c r="R55" s="40" t="s">
        <v>39</v>
      </c>
      <c r="S55" s="42"/>
      <c r="T55" s="41"/>
      <c r="U55" s="41"/>
      <c r="V55" s="41"/>
      <c r="W55" s="41"/>
      <c r="X55" s="42"/>
      <c r="Y55" s="43" t="s">
        <v>39</v>
      </c>
      <c r="Z55" s="10">
        <v>45</v>
      </c>
      <c r="AA55" s="43" t="s">
        <v>39</v>
      </c>
      <c r="AB55" s="29" cm="1">
        <f t="array" ref="AB55">IF(R55="",IF(Q55="",0,(_xlfn.IFS(Q55=0.01,0.67,Q55=0.015,1,Q55=0.015,1.33,Q55=0.02,1.67,Q55=0.025,2,Q55=0.03,2.33,Q55=0.035,2.67,Q55=0.04,3)+IF(J55&lt;=0.03,"0.33",0))),(_xlfn.IFS(R55=0.01,0.67,R55=0.015,1,R55=0.015,1.33,R55=0.02,1.67,R55=0.025,2,R55=0.03,2.33,R55=0.035,2.67,R55=0.04,3)+IF(J55&lt;=0.03,"0.33",0)))</f>
        <v>2</v>
      </c>
      <c r="AC55" s="29">
        <f t="shared" si="0"/>
        <v>1.6835016835016836</v>
      </c>
      <c r="AD55" s="20" t="e">
        <f>VLOOKUP(F55,铝耗2026年!$A$2:$B$5000,2,0)</f>
        <v>#N/A</v>
      </c>
      <c r="AE55" s="20">
        <f>VLOOKUP(F55,铝耗2025年!$A$2:$B$5000,2,0)</f>
        <v>1.6</v>
      </c>
      <c r="AF55" s="37">
        <v>1.7</v>
      </c>
    </row>
    <row r="56" spans="1:32" hidden="1" x14ac:dyDescent="0.3">
      <c r="A56" s="7">
        <v>53</v>
      </c>
      <c r="B56" s="10" t="s">
        <v>129</v>
      </c>
      <c r="C56" s="10" t="s">
        <v>34</v>
      </c>
      <c r="D56" s="10">
        <v>1.8</v>
      </c>
      <c r="E56" s="10">
        <v>5.99</v>
      </c>
      <c r="F56" s="10" t="s">
        <v>129</v>
      </c>
      <c r="G56" s="39" t="s">
        <v>130</v>
      </c>
      <c r="H56" s="10">
        <v>1525</v>
      </c>
      <c r="I56" s="40">
        <v>7.0000000000000007E-2</v>
      </c>
      <c r="J56" s="41">
        <v>0.1</v>
      </c>
      <c r="K56" s="41">
        <v>0.95</v>
      </c>
      <c r="L56" s="40">
        <v>0.02</v>
      </c>
      <c r="M56" s="40">
        <v>6.0000000000000001E-3</v>
      </c>
      <c r="N56" s="40"/>
      <c r="O56" s="40">
        <v>0.01</v>
      </c>
      <c r="P56" s="40">
        <v>0.03</v>
      </c>
      <c r="Q56" s="40">
        <v>2.5000000000000001E-2</v>
      </c>
      <c r="R56" s="40" t="s">
        <v>39</v>
      </c>
      <c r="S56" s="42"/>
      <c r="T56" s="41"/>
      <c r="U56" s="41"/>
      <c r="V56" s="41"/>
      <c r="W56" s="41"/>
      <c r="X56" s="42" t="s">
        <v>39</v>
      </c>
      <c r="Y56" s="43" t="s">
        <v>39</v>
      </c>
      <c r="Z56" s="10">
        <v>45</v>
      </c>
      <c r="AA56" s="43" t="s">
        <v>39</v>
      </c>
      <c r="AB56" s="29" cm="1">
        <f t="array" ref="AB56">IF(R56="",IF(Q56="",0,(_xlfn.IFS(Q56=0.01,0.67,Q56=0.015,1,Q56=0.015,1.33,Q56=0.02,1.67,Q56=0.025,2,Q56=0.03,2.33,Q56=0.035,2.67,Q56=0.04,3)+IF(J56&lt;=0.03,"0.33",0))),(_xlfn.IFS(R56=0.01,0.67,R56=0.015,1,R56=0.015,1.33,R56=0.02,1.67,R56=0.025,2,R56=0.03,2.33,R56=0.035,2.67,R56=0.04,3)+IF(J56&lt;=0.03,"0.33",0)))</f>
        <v>2</v>
      </c>
      <c r="AC56" s="29">
        <f t="shared" si="0"/>
        <v>1.6835016835016836</v>
      </c>
      <c r="AD56" s="20" t="e">
        <f>VLOOKUP(F56,铝耗2026年!$A$2:$B$5000,2,0)</f>
        <v>#N/A</v>
      </c>
      <c r="AE56" s="20">
        <f>VLOOKUP(F56,铝耗2025年!$A$2:$B$5000,2,0)</f>
        <v>1.8</v>
      </c>
      <c r="AF56" s="20">
        <v>1.8</v>
      </c>
    </row>
    <row r="57" spans="1:32" hidden="1" x14ac:dyDescent="0.3">
      <c r="A57" s="7">
        <v>54</v>
      </c>
      <c r="B57" s="10" t="s">
        <v>131</v>
      </c>
      <c r="C57" s="10" t="s">
        <v>37</v>
      </c>
      <c r="D57" s="10">
        <v>0.1</v>
      </c>
      <c r="E57" s="10">
        <v>5.99</v>
      </c>
      <c r="F57" s="10" t="s">
        <v>103</v>
      </c>
      <c r="G57" s="39" t="s">
        <v>104</v>
      </c>
      <c r="H57" s="10">
        <v>1518</v>
      </c>
      <c r="I57" s="40">
        <v>0.16</v>
      </c>
      <c r="J57" s="41">
        <v>0.08</v>
      </c>
      <c r="K57" s="41">
        <v>0.35</v>
      </c>
      <c r="L57" s="40">
        <v>0.02</v>
      </c>
      <c r="M57" s="40">
        <v>0.01</v>
      </c>
      <c r="N57" s="40"/>
      <c r="O57" s="40"/>
      <c r="P57" s="40">
        <v>0.04</v>
      </c>
      <c r="Q57" s="40">
        <v>0.02</v>
      </c>
      <c r="R57" s="40" t="s">
        <v>39</v>
      </c>
      <c r="S57" s="42"/>
      <c r="T57" s="41"/>
      <c r="U57" s="41"/>
      <c r="V57" s="41"/>
      <c r="W57" s="41"/>
      <c r="X57" s="42" t="s">
        <v>39</v>
      </c>
      <c r="Y57" s="43" t="s">
        <v>39</v>
      </c>
      <c r="Z57" s="10" t="s">
        <v>39</v>
      </c>
      <c r="AA57" s="43" t="s">
        <v>39</v>
      </c>
      <c r="AB57" s="29" cm="1">
        <f t="array" ref="AB57">IF(R57="",IF(Q57="",0,(_xlfn.IFS(Q57=0.01,0.67,Q57=0.015,1,Q57=0.015,1.33,Q57=0.02,1.67,Q57=0.025,2,Q57=0.03,2.33,Q57=0.035,2.67,Q57=0.04,3)+IF(J57&lt;=0.03,"0.33",0))),(_xlfn.IFS(R57=0.01,0.67,R57=0.015,1,R57=0.015,1.33,R57=0.02,1.67,R57=0.025,2,R57=0.03,2.33,R57=0.035,2.67,R57=0.04,3)+IF(J57&lt;=0.03,"0.33",0)))</f>
        <v>1.67</v>
      </c>
      <c r="AC57" s="29">
        <f t="shared" si="0"/>
        <v>1.3468013468013469</v>
      </c>
      <c r="AD57" s="20">
        <f>VLOOKUP(F57,铝耗2026年!$A$2:$B$5000,2,0)</f>
        <v>1.4277684582087</v>
      </c>
      <c r="AE57" s="20">
        <f>VLOOKUP(F57,铝耗2025年!$A$2:$B$5000,2,0)</f>
        <v>1.4</v>
      </c>
      <c r="AF57" s="20">
        <v>1.4</v>
      </c>
    </row>
    <row r="58" spans="1:32" hidden="1" x14ac:dyDescent="0.3">
      <c r="A58" s="7">
        <v>55</v>
      </c>
      <c r="B58" s="10" t="s">
        <v>131</v>
      </c>
      <c r="C58" s="10" t="s">
        <v>34</v>
      </c>
      <c r="D58" s="10">
        <v>6</v>
      </c>
      <c r="E58" s="10">
        <v>15.99</v>
      </c>
      <c r="F58" s="10" t="s">
        <v>105</v>
      </c>
      <c r="G58" s="39" t="s">
        <v>104</v>
      </c>
      <c r="H58" s="10">
        <v>1517</v>
      </c>
      <c r="I58" s="40">
        <v>0.16</v>
      </c>
      <c r="J58" s="41">
        <v>0.08</v>
      </c>
      <c r="K58" s="41">
        <v>0.5</v>
      </c>
      <c r="L58" s="40">
        <v>0.02</v>
      </c>
      <c r="M58" s="40">
        <v>0.01</v>
      </c>
      <c r="N58" s="40"/>
      <c r="O58" s="40"/>
      <c r="P58" s="40">
        <v>0.04</v>
      </c>
      <c r="Q58" s="40">
        <v>0.02</v>
      </c>
      <c r="R58" s="40" t="s">
        <v>39</v>
      </c>
      <c r="S58" s="42"/>
      <c r="T58" s="41"/>
      <c r="U58" s="41"/>
      <c r="V58" s="41"/>
      <c r="W58" s="41"/>
      <c r="X58" s="42" t="s">
        <v>39</v>
      </c>
      <c r="Y58" s="43" t="s">
        <v>39</v>
      </c>
      <c r="Z58" s="10" t="s">
        <v>39</v>
      </c>
      <c r="AA58" s="43" t="s">
        <v>39</v>
      </c>
      <c r="AB58" s="29" cm="1">
        <f t="array" ref="AB58">IF(R58="",IF(Q58="",0,(_xlfn.IFS(Q58=0.01,0.67,Q58=0.015,1,Q58=0.015,1.33,Q58=0.02,1.67,Q58=0.025,2,Q58=0.03,2.33,Q58=0.035,2.67,Q58=0.04,3)+IF(J58&lt;=0.03,"0.33",0))),(_xlfn.IFS(R58=0.01,0.67,R58=0.015,1,R58=0.015,1.33,R58=0.02,1.67,R58=0.025,2,R58=0.03,2.33,R58=0.035,2.67,R58=0.04,3)+IF(J58&lt;=0.03,"0.33",0)))</f>
        <v>1.67</v>
      </c>
      <c r="AC58" s="29">
        <f t="shared" si="0"/>
        <v>1.3468013468013469</v>
      </c>
      <c r="AD58" s="20">
        <f>VLOOKUP(F58,铝耗2026年!$A$2:$B$5000,2,0)</f>
        <v>1.3656841648889999</v>
      </c>
      <c r="AE58" s="20">
        <f>VLOOKUP(F58,铝耗2025年!$A$2:$B$5000,2,0)</f>
        <v>1.4</v>
      </c>
      <c r="AF58" s="20">
        <f t="shared" si="1"/>
        <v>1.4</v>
      </c>
    </row>
    <row r="59" spans="1:32" hidden="1" x14ac:dyDescent="0.3">
      <c r="A59" s="7">
        <v>56</v>
      </c>
      <c r="B59" s="10" t="s">
        <v>131</v>
      </c>
      <c r="C59" s="10" t="s">
        <v>106</v>
      </c>
      <c r="D59" s="10">
        <v>16</v>
      </c>
      <c r="E59" s="10">
        <v>28</v>
      </c>
      <c r="F59" s="10" t="s">
        <v>107</v>
      </c>
      <c r="G59" s="39" t="s">
        <v>108</v>
      </c>
      <c r="H59" s="10">
        <v>1514</v>
      </c>
      <c r="I59" s="40">
        <v>0.16</v>
      </c>
      <c r="J59" s="41">
        <v>0.18</v>
      </c>
      <c r="K59" s="41">
        <v>1.1000000000000001</v>
      </c>
      <c r="L59" s="40">
        <v>0.02</v>
      </c>
      <c r="M59" s="40">
        <v>0.01</v>
      </c>
      <c r="N59" s="40"/>
      <c r="O59" s="40">
        <v>8.0000000000000002E-3</v>
      </c>
      <c r="P59" s="40">
        <v>2.5000000000000001E-2</v>
      </c>
      <c r="Q59" s="40">
        <v>0.02</v>
      </c>
      <c r="R59" s="40" t="s">
        <v>39</v>
      </c>
      <c r="S59" s="42"/>
      <c r="T59" s="41"/>
      <c r="U59" s="41"/>
      <c r="V59" s="41"/>
      <c r="W59" s="41"/>
      <c r="X59" s="42" t="s">
        <v>39</v>
      </c>
      <c r="Y59" s="43" t="s">
        <v>39</v>
      </c>
      <c r="Z59" s="10" t="s">
        <v>39</v>
      </c>
      <c r="AA59" s="43" t="s">
        <v>39</v>
      </c>
      <c r="AB59" s="29" cm="1">
        <f t="array" ref="AB59">IF(R59="",IF(Q59="",0,(_xlfn.IFS(Q59=0.01,0.67,Q59=0.015,1,Q59=0.015,1.33,Q59=0.02,1.67,Q59=0.025,2,Q59=0.03,2.33,Q59=0.035,2.67,Q59=0.04,3)+IF(J59&lt;=0.03,"0.33",0))),(_xlfn.IFS(R59=0.01,0.67,R59=0.015,1,R59=0.015,1.33,R59=0.02,1.67,R59=0.025,2,R59=0.03,2.33,R59=0.035,2.67,R59=0.04,3)+IF(J59&lt;=0.03,"0.33",0)))</f>
        <v>1.67</v>
      </c>
      <c r="AC59" s="29">
        <f t="shared" si="0"/>
        <v>1.3468013468013469</v>
      </c>
      <c r="AD59" s="20">
        <f>VLOOKUP(F59,铝耗2026年!$A$2:$B$5000,2,0)</f>
        <v>1.3446612685295001</v>
      </c>
      <c r="AE59" s="20">
        <f>VLOOKUP(F59,铝耗2025年!$A$2:$B$5000,2,0)</f>
        <v>1.4</v>
      </c>
      <c r="AF59" s="20">
        <f t="shared" si="1"/>
        <v>1.4</v>
      </c>
    </row>
    <row r="60" spans="1:32" hidden="1" x14ac:dyDescent="0.3">
      <c r="A60" s="7">
        <v>57</v>
      </c>
      <c r="B60" s="10" t="s">
        <v>132</v>
      </c>
      <c r="C60" s="10" t="s">
        <v>34</v>
      </c>
      <c r="D60" s="10">
        <v>1.5</v>
      </c>
      <c r="E60" s="10">
        <v>5.99</v>
      </c>
      <c r="F60" s="10" t="s">
        <v>133</v>
      </c>
      <c r="G60" s="39" t="s">
        <v>134</v>
      </c>
      <c r="H60" s="10">
        <v>1517</v>
      </c>
      <c r="I60" s="40">
        <v>0.16</v>
      </c>
      <c r="J60" s="41">
        <v>7.0000000000000007E-2</v>
      </c>
      <c r="K60" s="41">
        <v>0.35</v>
      </c>
      <c r="L60" s="40">
        <v>0.02</v>
      </c>
      <c r="M60" s="40">
        <v>0.01</v>
      </c>
      <c r="N60" s="40"/>
      <c r="O60" s="40"/>
      <c r="P60" s="40">
        <v>0.04</v>
      </c>
      <c r="Q60" s="40">
        <v>0.02</v>
      </c>
      <c r="R60" s="40" t="s">
        <v>39</v>
      </c>
      <c r="S60" s="42"/>
      <c r="T60" s="41"/>
      <c r="U60" s="41"/>
      <c r="V60" s="41"/>
      <c r="W60" s="41"/>
      <c r="X60" s="42" t="s">
        <v>39</v>
      </c>
      <c r="Y60" s="43" t="s">
        <v>39</v>
      </c>
      <c r="Z60" s="10" t="s">
        <v>39</v>
      </c>
      <c r="AA60" s="43"/>
      <c r="AB60" s="29" cm="1">
        <f t="array" ref="AB60">IF(R60="",IF(Q60="",0,(_xlfn.IFS(Q60=0.01,0.67,Q60=0.015,1,Q60=0.015,1.33,Q60=0.02,1.67,Q60=0.025,2,Q60=0.03,2.33,Q60=0.035,2.67,Q60=0.04,3)+IF(J60&lt;=0.03,"0.33",0))),(_xlfn.IFS(R60=0.01,0.67,R60=0.015,1,R60=0.015,1.33,R60=0.02,1.67,R60=0.025,2,R60=0.03,2.33,R60=0.035,2.67,R60=0.04,3)+IF(J60&lt;=0.03,"0.33",0)))</f>
        <v>1.67</v>
      </c>
      <c r="AC60" s="29">
        <f t="shared" si="0"/>
        <v>1.3468013468013469</v>
      </c>
      <c r="AD60" s="20" t="e">
        <f>VLOOKUP(F60,铝耗2026年!$A$2:$B$5000,2,0)</f>
        <v>#N/A</v>
      </c>
      <c r="AE60" s="20" t="e">
        <f>VLOOKUP(F60,铝耗2025年!$A$2:$B$5000,2,0)</f>
        <v>#N/A</v>
      </c>
      <c r="AF60" s="37">
        <v>1.4</v>
      </c>
    </row>
    <row r="61" spans="1:32" hidden="1" x14ac:dyDescent="0.3">
      <c r="A61" s="7">
        <v>58</v>
      </c>
      <c r="B61" s="10" t="s">
        <v>132</v>
      </c>
      <c r="C61" s="10" t="s">
        <v>37</v>
      </c>
      <c r="D61" s="10">
        <v>6</v>
      </c>
      <c r="E61" s="10">
        <v>15.99</v>
      </c>
      <c r="F61" s="10" t="s">
        <v>135</v>
      </c>
      <c r="G61" s="39" t="s">
        <v>134</v>
      </c>
      <c r="H61" s="10">
        <v>1517</v>
      </c>
      <c r="I61" s="40">
        <v>0.16</v>
      </c>
      <c r="J61" s="41">
        <v>7.0000000000000007E-2</v>
      </c>
      <c r="K61" s="41">
        <v>0.5</v>
      </c>
      <c r="L61" s="40">
        <v>0.02</v>
      </c>
      <c r="M61" s="40">
        <v>0.01</v>
      </c>
      <c r="N61" s="40"/>
      <c r="O61" s="40"/>
      <c r="P61" s="40">
        <v>0.04</v>
      </c>
      <c r="Q61" s="40">
        <v>0.02</v>
      </c>
      <c r="R61" s="40" t="s">
        <v>39</v>
      </c>
      <c r="S61" s="42"/>
      <c r="T61" s="41"/>
      <c r="U61" s="41"/>
      <c r="V61" s="41"/>
      <c r="W61" s="41"/>
      <c r="X61" s="42" t="s">
        <v>39</v>
      </c>
      <c r="Y61" s="43" t="s">
        <v>39</v>
      </c>
      <c r="Z61" s="10" t="s">
        <v>39</v>
      </c>
      <c r="AA61" s="43"/>
      <c r="AB61" s="29" cm="1">
        <f t="array" ref="AB61">IF(R61="",IF(Q61="",0,(_xlfn.IFS(Q61=0.01,0.67,Q61=0.015,1,Q61=0.015,1.33,Q61=0.02,1.67,Q61=0.025,2,Q61=0.03,2.33,Q61=0.035,2.67,Q61=0.04,3)+IF(J61&lt;=0.03,"0.33",0))),(_xlfn.IFS(R61=0.01,0.67,R61=0.015,1,R61=0.015,1.33,R61=0.02,1.67,R61=0.025,2,R61=0.03,2.33,R61=0.035,2.67,R61=0.04,3)+IF(J61&lt;=0.03,"0.33",0)))</f>
        <v>1.67</v>
      </c>
      <c r="AC61" s="29">
        <f t="shared" si="0"/>
        <v>1.3468013468013469</v>
      </c>
      <c r="AD61" s="20">
        <f>VLOOKUP(F61,铝耗2026年!$A$2:$B$5000,2,0)</f>
        <v>1.31652842759885</v>
      </c>
      <c r="AE61" s="20">
        <f>VLOOKUP(F61,铝耗2025年!$A$2:$B$5000,2,0)</f>
        <v>1.4</v>
      </c>
      <c r="AF61" s="20">
        <f t="shared" si="1"/>
        <v>1.4</v>
      </c>
    </row>
    <row r="62" spans="1:32" hidden="1" x14ac:dyDescent="0.3">
      <c r="A62" s="7">
        <v>59</v>
      </c>
      <c r="B62" s="10" t="s">
        <v>132</v>
      </c>
      <c r="C62" s="10" t="s">
        <v>106</v>
      </c>
      <c r="D62" s="10">
        <v>16</v>
      </c>
      <c r="E62" s="10">
        <v>28</v>
      </c>
      <c r="F62" s="10" t="s">
        <v>136</v>
      </c>
      <c r="G62" s="39" t="s">
        <v>134</v>
      </c>
      <c r="H62" s="10">
        <v>1514</v>
      </c>
      <c r="I62" s="40">
        <v>0.16</v>
      </c>
      <c r="J62" s="41">
        <v>7.0000000000000007E-2</v>
      </c>
      <c r="K62" s="41">
        <v>1.1000000000000001</v>
      </c>
      <c r="L62" s="40">
        <v>0.02</v>
      </c>
      <c r="M62" s="40">
        <v>0.01</v>
      </c>
      <c r="N62" s="40"/>
      <c r="O62" s="40">
        <v>8.0000000000000002E-3</v>
      </c>
      <c r="P62" s="40">
        <v>2.5000000000000001E-2</v>
      </c>
      <c r="Q62" s="40">
        <v>0.02</v>
      </c>
      <c r="R62" s="40" t="s">
        <v>39</v>
      </c>
      <c r="S62" s="42"/>
      <c r="T62" s="41"/>
      <c r="U62" s="41"/>
      <c r="V62" s="41"/>
      <c r="W62" s="41"/>
      <c r="X62" s="42" t="s">
        <v>39</v>
      </c>
      <c r="Y62" s="43" t="s">
        <v>39</v>
      </c>
      <c r="Z62" s="10" t="s">
        <v>39</v>
      </c>
      <c r="AA62" s="43"/>
      <c r="AB62" s="29" cm="1">
        <f t="array" ref="AB62">IF(R62="",IF(Q62="",0,(_xlfn.IFS(Q62=0.01,0.67,Q62=0.015,1,Q62=0.015,1.33,Q62=0.02,1.67,Q62=0.025,2,Q62=0.03,2.33,Q62=0.035,2.67,Q62=0.04,3)+IF(J62&lt;=0.03,"0.33",0))),(_xlfn.IFS(R62=0.01,0.67,R62=0.015,1,R62=0.015,1.33,R62=0.02,1.67,R62=0.025,2,R62=0.03,2.33,R62=0.035,2.67,R62=0.04,3)+IF(J62&lt;=0.03,"0.33",0)))</f>
        <v>1.67</v>
      </c>
      <c r="AC62" s="29">
        <f t="shared" si="0"/>
        <v>1.3468013468013469</v>
      </c>
      <c r="AD62" s="20" t="e">
        <f>VLOOKUP(F62,铝耗2026年!$A$2:$B$5000,2,0)</f>
        <v>#N/A</v>
      </c>
      <c r="AE62" s="20" t="e">
        <f>VLOOKUP(F62,铝耗2025年!$A$2:$B$5000,2,0)</f>
        <v>#N/A</v>
      </c>
      <c r="AF62" s="20">
        <v>1.4</v>
      </c>
    </row>
    <row r="63" spans="1:32" hidden="1" x14ac:dyDescent="0.3">
      <c r="A63" s="7">
        <v>60</v>
      </c>
      <c r="B63" s="10" t="s">
        <v>137</v>
      </c>
      <c r="C63" s="10" t="s">
        <v>34</v>
      </c>
      <c r="D63" s="10">
        <v>1.5</v>
      </c>
      <c r="E63" s="10">
        <v>8</v>
      </c>
      <c r="F63" s="10" t="s">
        <v>138</v>
      </c>
      <c r="G63" s="39" t="s">
        <v>139</v>
      </c>
      <c r="H63" s="10">
        <v>1518</v>
      </c>
      <c r="I63" s="40">
        <v>0.16</v>
      </c>
      <c r="J63" s="41">
        <v>0.02</v>
      </c>
      <c r="K63" s="41">
        <v>0.6</v>
      </c>
      <c r="L63" s="40">
        <v>0.01</v>
      </c>
      <c r="M63" s="40">
        <v>8.0000000000000002E-3</v>
      </c>
      <c r="N63" s="40"/>
      <c r="O63" s="40"/>
      <c r="P63" s="40">
        <v>0.04</v>
      </c>
      <c r="Q63" s="40">
        <v>0.02</v>
      </c>
      <c r="R63" s="40" t="s">
        <v>39</v>
      </c>
      <c r="S63" s="42"/>
      <c r="T63" s="41"/>
      <c r="U63" s="41"/>
      <c r="V63" s="41"/>
      <c r="W63" s="41"/>
      <c r="X63" s="42" t="s">
        <v>39</v>
      </c>
      <c r="Y63" s="43" t="s">
        <v>39</v>
      </c>
      <c r="Z63" s="10">
        <v>45</v>
      </c>
      <c r="AA63" s="43" t="s">
        <v>39</v>
      </c>
      <c r="AB63" s="29" cm="1">
        <f t="array" ref="AB63">IF(R63="",IF(Q63="",0,(_xlfn.IFS(Q63=0.01,0.67,Q63=0.015,1,Q63=0.015,1.33,Q63=0.02,1.67,Q63=0.025,2,Q63=0.03,2.33,Q63=0.035,2.67,Q63=0.04,3)+IF(J63&lt;=0.03,"0.33",0))),(_xlfn.IFS(R63=0.01,0.67,R63=0.015,1,R63=0.015,1.33,R63=0.02,1.67,R63=0.025,2,R63=0.03,2.33,R63=0.035,2.67,R63=0.04,3)+IF(J63&lt;=0.03,"0.33",0)))</f>
        <v>2</v>
      </c>
      <c r="AC63" s="29">
        <f t="shared" si="0"/>
        <v>1.676801346801347</v>
      </c>
      <c r="AD63" s="20">
        <f>VLOOKUP(F63,铝耗2026年!$A$2:$B$5000,2,0)</f>
        <v>1.52999615571829</v>
      </c>
      <c r="AE63" s="20">
        <f>VLOOKUP(F63,铝耗2025年!$A$2:$B$5000,2,0)</f>
        <v>1.5</v>
      </c>
      <c r="AF63" s="20">
        <f t="shared" si="1"/>
        <v>1.52999615571829</v>
      </c>
    </row>
    <row r="64" spans="1:32" hidden="1" x14ac:dyDescent="0.3">
      <c r="A64" s="7">
        <v>61</v>
      </c>
      <c r="B64" s="10" t="s">
        <v>140</v>
      </c>
      <c r="C64" s="10" t="s">
        <v>34</v>
      </c>
      <c r="D64" s="10">
        <v>12</v>
      </c>
      <c r="E64" s="10">
        <v>19</v>
      </c>
      <c r="F64" s="10" t="s">
        <v>141</v>
      </c>
      <c r="G64" s="39" t="s">
        <v>142</v>
      </c>
      <c r="H64" s="10">
        <v>1516</v>
      </c>
      <c r="I64" s="40">
        <v>0.15</v>
      </c>
      <c r="J64" s="41">
        <v>0.1</v>
      </c>
      <c r="K64" s="41">
        <v>1</v>
      </c>
      <c r="L64" s="40">
        <v>0.02</v>
      </c>
      <c r="M64" s="40">
        <v>0.01</v>
      </c>
      <c r="N64" s="40"/>
      <c r="O64" s="40">
        <v>8.0000000000000002E-3</v>
      </c>
      <c r="P64" s="40">
        <v>0.03</v>
      </c>
      <c r="Q64" s="40">
        <v>0.02</v>
      </c>
      <c r="R64" s="40" t="s">
        <v>39</v>
      </c>
      <c r="S64" s="42"/>
      <c r="T64" s="41"/>
      <c r="U64" s="41"/>
      <c r="V64" s="41"/>
      <c r="W64" s="41"/>
      <c r="X64" s="42" t="s">
        <v>39</v>
      </c>
      <c r="Y64" s="43" t="s">
        <v>39</v>
      </c>
      <c r="Z64" s="10">
        <v>45</v>
      </c>
      <c r="AA64" s="43" t="s">
        <v>39</v>
      </c>
      <c r="AB64" s="29" cm="1">
        <f t="array" ref="AB64">IF(R64="",IF(Q64="",0,(_xlfn.IFS(Q64=0.01,0.67,Q64=0.015,1,Q64=0.015,1.33,Q64=0.02,1.67,Q64=0.025,2,Q64=0.03,2.33,Q64=0.035,2.67,Q64=0.04,3)+IF(J64&lt;=0.03,"0.33",0))),(_xlfn.IFS(R64=0.01,0.67,R64=0.015,1,R64=0.015,1.33,R64=0.02,1.67,R64=0.025,2,R64=0.03,2.33,R64=0.035,2.67,R64=0.04,3)+IF(J64&lt;=0.03,"0.33",0)))</f>
        <v>1.67</v>
      </c>
      <c r="AC64" s="29">
        <f t="shared" si="0"/>
        <v>1.3468013468013469</v>
      </c>
      <c r="AD64" s="20" t="e">
        <f>VLOOKUP(F64,铝耗2026年!$A$2:$B$5000,2,0)</f>
        <v>#N/A</v>
      </c>
      <c r="AE64" s="20" t="e">
        <f>VLOOKUP(F64,铝耗2025年!$A$2:$B$5000,2,0)</f>
        <v>#N/A</v>
      </c>
      <c r="AF64" s="37">
        <v>1.4</v>
      </c>
    </row>
    <row r="65" spans="1:32" hidden="1" x14ac:dyDescent="0.3">
      <c r="A65" s="7">
        <v>62</v>
      </c>
      <c r="B65" s="10" t="s">
        <v>140</v>
      </c>
      <c r="C65" s="10" t="s">
        <v>37</v>
      </c>
      <c r="D65" s="10">
        <v>19.010000000000002</v>
      </c>
      <c r="E65" s="10">
        <v>28</v>
      </c>
      <c r="F65" s="10" t="s">
        <v>143</v>
      </c>
      <c r="G65" s="39" t="s">
        <v>142</v>
      </c>
      <c r="H65" s="10">
        <v>1516</v>
      </c>
      <c r="I65" s="40">
        <v>0.15</v>
      </c>
      <c r="J65" s="41">
        <v>0.1</v>
      </c>
      <c r="K65" s="41">
        <v>1.1000000000000001</v>
      </c>
      <c r="L65" s="40">
        <v>0.02</v>
      </c>
      <c r="M65" s="40">
        <v>0.01</v>
      </c>
      <c r="N65" s="40"/>
      <c r="O65" s="40">
        <v>8.0000000000000002E-3</v>
      </c>
      <c r="P65" s="40">
        <v>0.03</v>
      </c>
      <c r="Q65" s="40">
        <v>0.02</v>
      </c>
      <c r="R65" s="40" t="s">
        <v>39</v>
      </c>
      <c r="S65" s="42"/>
      <c r="T65" s="41"/>
      <c r="U65" s="41"/>
      <c r="V65" s="41"/>
      <c r="W65" s="41"/>
      <c r="X65" s="42" t="s">
        <v>39</v>
      </c>
      <c r="Y65" s="43" t="s">
        <v>39</v>
      </c>
      <c r="Z65" s="10">
        <v>45</v>
      </c>
      <c r="AA65" s="43" t="s">
        <v>39</v>
      </c>
      <c r="AB65" s="29" cm="1">
        <f t="array" ref="AB65">IF(R65="",IF(Q65="",0,(_xlfn.IFS(Q65=0.01,0.67,Q65=0.015,1,Q65=0.015,1.33,Q65=0.02,1.67,Q65=0.025,2,Q65=0.03,2.33,Q65=0.035,2.67,Q65=0.04,3)+IF(J65&lt;=0.03,"0.33",0))),(_xlfn.IFS(R65=0.01,0.67,R65=0.015,1,R65=0.015,1.33,R65=0.02,1.67,R65=0.025,2,R65=0.03,2.33,R65=0.035,2.67,R65=0.04,3)+IF(J65&lt;=0.03,"0.33",0)))</f>
        <v>1.67</v>
      </c>
      <c r="AC65" s="29">
        <f t="shared" si="0"/>
        <v>1.3468013468013469</v>
      </c>
      <c r="AD65" s="20" t="e">
        <f>VLOOKUP(F65,铝耗2026年!$A$2:$B$5000,2,0)</f>
        <v>#N/A</v>
      </c>
      <c r="AE65" s="20" t="e">
        <f>VLOOKUP(F65,铝耗2025年!$A$2:$B$5000,2,0)</f>
        <v>#N/A</v>
      </c>
      <c r="AF65" s="37">
        <v>1.4</v>
      </c>
    </row>
    <row r="66" spans="1:32" hidden="1" x14ac:dyDescent="0.3">
      <c r="A66" s="7">
        <v>63</v>
      </c>
      <c r="B66" s="10" t="s">
        <v>144</v>
      </c>
      <c r="C66" s="10" t="s">
        <v>106</v>
      </c>
      <c r="D66" s="10">
        <v>0.1</v>
      </c>
      <c r="E66" s="10">
        <v>6</v>
      </c>
      <c r="F66" s="10" t="s">
        <v>103</v>
      </c>
      <c r="G66" s="39" t="s">
        <v>104</v>
      </c>
      <c r="H66" s="10">
        <v>1518</v>
      </c>
      <c r="I66" s="40">
        <v>0.16</v>
      </c>
      <c r="J66" s="41">
        <v>0.08</v>
      </c>
      <c r="K66" s="41">
        <v>0.35</v>
      </c>
      <c r="L66" s="40">
        <v>0.02</v>
      </c>
      <c r="M66" s="40">
        <v>0.01</v>
      </c>
      <c r="N66" s="40"/>
      <c r="O66" s="40"/>
      <c r="P66" s="40">
        <v>0.04</v>
      </c>
      <c r="Q66" s="40">
        <v>0.02</v>
      </c>
      <c r="R66" s="40" t="s">
        <v>39</v>
      </c>
      <c r="S66" s="42"/>
      <c r="T66" s="41"/>
      <c r="U66" s="41"/>
      <c r="V66" s="41"/>
      <c r="W66" s="41"/>
      <c r="X66" s="42" t="s">
        <v>39</v>
      </c>
      <c r="Y66" s="43" t="s">
        <v>39</v>
      </c>
      <c r="Z66" s="10" t="s">
        <v>39</v>
      </c>
      <c r="AA66" s="43" t="s">
        <v>39</v>
      </c>
      <c r="AB66" s="29" cm="1">
        <f t="array" ref="AB66">IF(R66="",IF(Q66="",0,(_xlfn.IFS(Q66=0.01,0.67,Q66=0.015,1,Q66=0.015,1.33,Q66=0.02,1.67,Q66=0.025,2,Q66=0.03,2.33,Q66=0.035,2.67,Q66=0.04,3)+IF(J66&lt;=0.03,"0.33",0))),(_xlfn.IFS(R66=0.01,0.67,R66=0.015,1,R66=0.015,1.33,R66=0.02,1.67,R66=0.025,2,R66=0.03,2.33,R66=0.035,2.67,R66=0.04,3)+IF(J66&lt;=0.03,"0.33",0)))</f>
        <v>1.67</v>
      </c>
      <c r="AC66" s="29">
        <f t="shared" si="0"/>
        <v>1.3468013468013469</v>
      </c>
      <c r="AD66" s="20">
        <f>VLOOKUP(F66,铝耗2026年!$A$2:$B$5000,2,0)</f>
        <v>1.4277684582087</v>
      </c>
      <c r="AE66" s="20">
        <f>VLOOKUP(F66,铝耗2025年!$A$2:$B$5000,2,0)</f>
        <v>1.4</v>
      </c>
      <c r="AF66" s="20">
        <f t="shared" si="1"/>
        <v>1.4277684582087</v>
      </c>
    </row>
    <row r="67" spans="1:32" hidden="1" x14ac:dyDescent="0.3">
      <c r="A67" s="7">
        <v>64</v>
      </c>
      <c r="B67" s="10" t="s">
        <v>144</v>
      </c>
      <c r="C67" s="10" t="s">
        <v>34</v>
      </c>
      <c r="D67" s="10">
        <v>6.01</v>
      </c>
      <c r="E67" s="10">
        <v>16.440000000000001</v>
      </c>
      <c r="F67" s="10" t="s">
        <v>105</v>
      </c>
      <c r="G67" s="39" t="s">
        <v>104</v>
      </c>
      <c r="H67" s="10">
        <v>1517</v>
      </c>
      <c r="I67" s="40">
        <v>0.16</v>
      </c>
      <c r="J67" s="41">
        <v>0.08</v>
      </c>
      <c r="K67" s="41">
        <v>0.5</v>
      </c>
      <c r="L67" s="40">
        <v>0.02</v>
      </c>
      <c r="M67" s="40">
        <v>0.01</v>
      </c>
      <c r="N67" s="40"/>
      <c r="O67" s="40"/>
      <c r="P67" s="40">
        <v>0.04</v>
      </c>
      <c r="Q67" s="40">
        <v>0.02</v>
      </c>
      <c r="R67" s="40" t="s">
        <v>39</v>
      </c>
      <c r="S67" s="42"/>
      <c r="T67" s="41"/>
      <c r="U67" s="41"/>
      <c r="V67" s="41"/>
      <c r="W67" s="41"/>
      <c r="X67" s="42" t="s">
        <v>39</v>
      </c>
      <c r="Y67" s="43" t="s">
        <v>39</v>
      </c>
      <c r="Z67" s="10" t="s">
        <v>39</v>
      </c>
      <c r="AA67" s="43" t="s">
        <v>39</v>
      </c>
      <c r="AB67" s="29" cm="1">
        <f t="array" ref="AB67">IF(R67="",IF(Q67="",0,(_xlfn.IFS(Q67=0.01,0.67,Q67=0.015,1,Q67=0.015,1.33,Q67=0.02,1.67,Q67=0.025,2,Q67=0.03,2.33,Q67=0.035,2.67,Q67=0.04,3)+IF(J67&lt;=0.03,"0.33",0))),(_xlfn.IFS(R67=0.01,0.67,R67=0.015,1,R67=0.015,1.33,R67=0.02,1.67,R67=0.025,2,R67=0.03,2.33,R67=0.035,2.67,R67=0.04,3)+IF(J67&lt;=0.03,"0.33",0)))</f>
        <v>1.67</v>
      </c>
      <c r="AC67" s="29">
        <f t="shared" si="0"/>
        <v>1.3468013468013469</v>
      </c>
      <c r="AD67" s="20">
        <f>VLOOKUP(F67,铝耗2026年!$A$2:$B$5000,2,0)</f>
        <v>1.3656841648889999</v>
      </c>
      <c r="AE67" s="20">
        <f>VLOOKUP(F67,铝耗2025年!$A$2:$B$5000,2,0)</f>
        <v>1.4</v>
      </c>
      <c r="AF67" s="20">
        <f t="shared" si="1"/>
        <v>1.4</v>
      </c>
    </row>
    <row r="68" spans="1:32" hidden="1" x14ac:dyDescent="0.3">
      <c r="A68" s="7">
        <v>65</v>
      </c>
      <c r="B68" s="10" t="s">
        <v>144</v>
      </c>
      <c r="C68" s="10" t="s">
        <v>37</v>
      </c>
      <c r="D68" s="10">
        <v>16.45</v>
      </c>
      <c r="E68" s="10">
        <v>30</v>
      </c>
      <c r="F68" s="10" t="s">
        <v>145</v>
      </c>
      <c r="G68" s="39" t="s">
        <v>108</v>
      </c>
      <c r="H68" s="10">
        <v>1515</v>
      </c>
      <c r="I68" s="40">
        <v>0.16</v>
      </c>
      <c r="J68" s="41">
        <v>0.18</v>
      </c>
      <c r="K68" s="41">
        <v>0.8</v>
      </c>
      <c r="L68" s="40">
        <v>0.02</v>
      </c>
      <c r="M68" s="40">
        <v>0.01</v>
      </c>
      <c r="N68" s="40"/>
      <c r="O68" s="40"/>
      <c r="P68" s="40">
        <v>3.5000000000000003E-2</v>
      </c>
      <c r="Q68" s="40">
        <v>0.02</v>
      </c>
      <c r="R68" s="40" t="s">
        <v>39</v>
      </c>
      <c r="S68" s="42"/>
      <c r="T68" s="41"/>
      <c r="U68" s="41"/>
      <c r="V68" s="41"/>
      <c r="W68" s="41"/>
      <c r="X68" s="42" t="s">
        <v>39</v>
      </c>
      <c r="Y68" s="43" t="s">
        <v>39</v>
      </c>
      <c r="Z68" s="10" t="s">
        <v>39</v>
      </c>
      <c r="AA68" s="43" t="s">
        <v>39</v>
      </c>
      <c r="AB68" s="29" cm="1">
        <f t="array" ref="AB68">IF(R68="",IF(Q68="",0,(_xlfn.IFS(Q68=0.01,0.67,Q68=0.015,1,Q68=0.015,1.33,Q68=0.02,1.67,Q68=0.025,2,Q68=0.03,2.33,Q68=0.035,2.67,Q68=0.04,3)+IF(J68&lt;=0.03,"0.33",0))),(_xlfn.IFS(R68=0.01,0.67,R68=0.015,1,R68=0.015,1.33,R68=0.02,1.67,R68=0.025,2,R68=0.03,2.33,R68=0.035,2.67,R68=0.04,3)+IF(J68&lt;=0.03,"0.33",0)))</f>
        <v>1.67</v>
      </c>
      <c r="AC68" s="29">
        <f t="shared" si="0"/>
        <v>1.3468013468013469</v>
      </c>
      <c r="AD68" s="20">
        <f>VLOOKUP(F68,铝耗2026年!$A$2:$B$5000,2,0)</f>
        <v>1.33966801444215</v>
      </c>
      <c r="AE68" s="20">
        <f>VLOOKUP(F68,铝耗2025年!$A$2:$B$5000,2,0)</f>
        <v>1.4</v>
      </c>
      <c r="AF68" s="20">
        <f t="shared" si="1"/>
        <v>1.4</v>
      </c>
    </row>
    <row r="69" spans="1:32" hidden="1" x14ac:dyDescent="0.3">
      <c r="A69" s="7">
        <v>66</v>
      </c>
      <c r="B69" s="10" t="s">
        <v>146</v>
      </c>
      <c r="C69" s="10" t="s">
        <v>34</v>
      </c>
      <c r="D69" s="10">
        <v>0.1</v>
      </c>
      <c r="E69" s="10">
        <v>6</v>
      </c>
      <c r="F69" s="10" t="s">
        <v>103</v>
      </c>
      <c r="G69" s="39" t="s">
        <v>104</v>
      </c>
      <c r="H69" s="10">
        <v>1518</v>
      </c>
      <c r="I69" s="40">
        <v>0.16</v>
      </c>
      <c r="J69" s="41">
        <v>0.08</v>
      </c>
      <c r="K69" s="41">
        <v>0.35</v>
      </c>
      <c r="L69" s="40">
        <v>0.02</v>
      </c>
      <c r="M69" s="40">
        <v>0.01</v>
      </c>
      <c r="N69" s="40"/>
      <c r="O69" s="40"/>
      <c r="P69" s="40">
        <v>0.04</v>
      </c>
      <c r="Q69" s="40">
        <v>0.02</v>
      </c>
      <c r="R69" s="40" t="s">
        <v>39</v>
      </c>
      <c r="S69" s="42"/>
      <c r="T69" s="41"/>
      <c r="U69" s="41"/>
      <c r="V69" s="41"/>
      <c r="W69" s="41"/>
      <c r="X69" s="42" t="s">
        <v>39</v>
      </c>
      <c r="Y69" s="43" t="s">
        <v>39</v>
      </c>
      <c r="Z69" s="10" t="s">
        <v>39</v>
      </c>
      <c r="AA69" s="43" t="s">
        <v>39</v>
      </c>
      <c r="AB69" s="29" cm="1">
        <f t="array" ref="AB69">IF(R69="",IF(Q69="",0,(_xlfn.IFS(Q69=0.01,0.67,Q69=0.015,1,Q69=0.015,1.33,Q69=0.02,1.67,Q69=0.025,2,Q69=0.03,2.33,Q69=0.035,2.67,Q69=0.04,3)+IF(J69&lt;=0.03,"0.33",0))),(_xlfn.IFS(R69=0.01,0.67,R69=0.015,1,R69=0.015,1.33,R69=0.02,1.67,R69=0.025,2,R69=0.03,2.33,R69=0.035,2.67,R69=0.04,3)+IF(J69&lt;=0.03,"0.33",0)))</f>
        <v>1.67</v>
      </c>
      <c r="AC69" s="29">
        <f t="shared" ref="AC69:AC132" si="2">IF(R69="",IF(Q69="",0.3,Q69/100/0.99/0.15*1000+IF(J69&lt;=0.03,"0.33",0)),R69/100/0.99/0.15*1000+IF(J69&lt;=0.03,"0.33",0))</f>
        <v>1.3468013468013469</v>
      </c>
      <c r="AD69" s="20">
        <f>VLOOKUP(F69,铝耗2026年!$A$2:$B$5000,2,0)</f>
        <v>1.4277684582087</v>
      </c>
      <c r="AE69" s="20">
        <f>VLOOKUP(F69,铝耗2025年!$A$2:$B$5000,2,0)</f>
        <v>1.4</v>
      </c>
      <c r="AF69" s="20">
        <f t="shared" ref="AF69:AF121" si="3">MAX(AD69:AE69)</f>
        <v>1.4277684582087</v>
      </c>
    </row>
    <row r="70" spans="1:32" hidden="1" x14ac:dyDescent="0.3">
      <c r="A70" s="7">
        <v>67</v>
      </c>
      <c r="B70" s="10" t="s">
        <v>146</v>
      </c>
      <c r="C70" s="10" t="s">
        <v>37</v>
      </c>
      <c r="D70" s="10">
        <v>6.01</v>
      </c>
      <c r="E70" s="10">
        <v>16.29</v>
      </c>
      <c r="F70" s="10" t="s">
        <v>105</v>
      </c>
      <c r="G70" s="39" t="s">
        <v>104</v>
      </c>
      <c r="H70" s="10">
        <v>1517</v>
      </c>
      <c r="I70" s="40">
        <v>0.16</v>
      </c>
      <c r="J70" s="41">
        <v>0.08</v>
      </c>
      <c r="K70" s="41">
        <v>0.5</v>
      </c>
      <c r="L70" s="40">
        <v>0.02</v>
      </c>
      <c r="M70" s="40">
        <v>0.01</v>
      </c>
      <c r="N70" s="40"/>
      <c r="O70" s="40"/>
      <c r="P70" s="40">
        <v>0.04</v>
      </c>
      <c r="Q70" s="40">
        <v>0.02</v>
      </c>
      <c r="R70" s="40" t="s">
        <v>39</v>
      </c>
      <c r="S70" s="42"/>
      <c r="T70" s="41"/>
      <c r="U70" s="41"/>
      <c r="V70" s="41"/>
      <c r="W70" s="41"/>
      <c r="X70" s="42" t="s">
        <v>39</v>
      </c>
      <c r="Y70" s="43" t="s">
        <v>39</v>
      </c>
      <c r="Z70" s="10" t="s">
        <v>39</v>
      </c>
      <c r="AA70" s="43" t="s">
        <v>39</v>
      </c>
      <c r="AB70" s="29" cm="1">
        <f t="array" ref="AB70">IF(R70="",IF(Q70="",0,(_xlfn.IFS(Q70=0.01,0.67,Q70=0.015,1,Q70=0.015,1.33,Q70=0.02,1.67,Q70=0.025,2,Q70=0.03,2.33,Q70=0.035,2.67,Q70=0.04,3)+IF(J70&lt;=0.03,"0.33",0))),(_xlfn.IFS(R70=0.01,0.67,R70=0.015,1,R70=0.015,1.33,R70=0.02,1.67,R70=0.025,2,R70=0.03,2.33,R70=0.035,2.67,R70=0.04,3)+IF(J70&lt;=0.03,"0.33",0)))</f>
        <v>1.67</v>
      </c>
      <c r="AC70" s="29">
        <f t="shared" si="2"/>
        <v>1.3468013468013469</v>
      </c>
      <c r="AD70" s="20">
        <f>VLOOKUP(F70,铝耗2026年!$A$2:$B$5000,2,0)</f>
        <v>1.3656841648889999</v>
      </c>
      <c r="AE70" s="20">
        <f>VLOOKUP(F70,铝耗2025年!$A$2:$B$5000,2,0)</f>
        <v>1.4</v>
      </c>
      <c r="AF70" s="20">
        <f t="shared" si="3"/>
        <v>1.4</v>
      </c>
    </row>
    <row r="71" spans="1:32" hidden="1" x14ac:dyDescent="0.3">
      <c r="A71" s="7">
        <v>68</v>
      </c>
      <c r="B71" s="10" t="s">
        <v>146</v>
      </c>
      <c r="C71" s="10" t="s">
        <v>106</v>
      </c>
      <c r="D71" s="10">
        <v>16.3</v>
      </c>
      <c r="E71" s="10">
        <v>30</v>
      </c>
      <c r="F71" s="10" t="s">
        <v>145</v>
      </c>
      <c r="G71" s="39" t="s">
        <v>108</v>
      </c>
      <c r="H71" s="10">
        <v>1515</v>
      </c>
      <c r="I71" s="40">
        <v>0.16</v>
      </c>
      <c r="J71" s="41">
        <v>0.18</v>
      </c>
      <c r="K71" s="41">
        <v>0.8</v>
      </c>
      <c r="L71" s="40">
        <v>0.02</v>
      </c>
      <c r="M71" s="40">
        <v>0.01</v>
      </c>
      <c r="N71" s="40"/>
      <c r="O71" s="40"/>
      <c r="P71" s="40">
        <v>3.5000000000000003E-2</v>
      </c>
      <c r="Q71" s="40">
        <v>0.02</v>
      </c>
      <c r="R71" s="40" t="s">
        <v>39</v>
      </c>
      <c r="S71" s="42"/>
      <c r="T71" s="41"/>
      <c r="U71" s="41"/>
      <c r="V71" s="41"/>
      <c r="W71" s="41"/>
      <c r="X71" s="42" t="s">
        <v>39</v>
      </c>
      <c r="Y71" s="43" t="s">
        <v>39</v>
      </c>
      <c r="Z71" s="10" t="s">
        <v>39</v>
      </c>
      <c r="AA71" s="43" t="s">
        <v>39</v>
      </c>
      <c r="AB71" s="29" cm="1">
        <f t="array" ref="AB71">IF(R71="",IF(Q71="",0,(_xlfn.IFS(Q71=0.01,0.67,Q71=0.015,1,Q71=0.015,1.33,Q71=0.02,1.67,Q71=0.025,2,Q71=0.03,2.33,Q71=0.035,2.67,Q71=0.04,3)+IF(J71&lt;=0.03,"0.33",0))),(_xlfn.IFS(R71=0.01,0.67,R71=0.015,1,R71=0.015,1.33,R71=0.02,1.67,R71=0.025,2,R71=0.03,2.33,R71=0.035,2.67,R71=0.04,3)+IF(J71&lt;=0.03,"0.33",0)))</f>
        <v>1.67</v>
      </c>
      <c r="AC71" s="29">
        <f t="shared" si="2"/>
        <v>1.3468013468013469</v>
      </c>
      <c r="AD71" s="20">
        <f>VLOOKUP(F71,铝耗2026年!$A$2:$B$5000,2,0)</f>
        <v>1.33966801444215</v>
      </c>
      <c r="AE71" s="20">
        <f>VLOOKUP(F71,铝耗2025年!$A$2:$B$5000,2,0)</f>
        <v>1.4</v>
      </c>
      <c r="AF71" s="20">
        <f t="shared" si="3"/>
        <v>1.4</v>
      </c>
    </row>
    <row r="72" spans="1:32" hidden="1" x14ac:dyDescent="0.3">
      <c r="A72" s="7">
        <v>69</v>
      </c>
      <c r="B72" s="10" t="s">
        <v>147</v>
      </c>
      <c r="C72" s="10" t="s">
        <v>106</v>
      </c>
      <c r="D72" s="10">
        <v>0.1</v>
      </c>
      <c r="E72" s="10">
        <v>6</v>
      </c>
      <c r="F72" s="10" t="s">
        <v>103</v>
      </c>
      <c r="G72" s="39" t="s">
        <v>104</v>
      </c>
      <c r="H72" s="10">
        <v>1518</v>
      </c>
      <c r="I72" s="40">
        <v>0.16</v>
      </c>
      <c r="J72" s="41">
        <v>0.08</v>
      </c>
      <c r="K72" s="41">
        <v>0.35</v>
      </c>
      <c r="L72" s="40">
        <v>0.02</v>
      </c>
      <c r="M72" s="40">
        <v>0.01</v>
      </c>
      <c r="N72" s="40"/>
      <c r="O72" s="40"/>
      <c r="P72" s="40">
        <v>0.04</v>
      </c>
      <c r="Q72" s="40">
        <v>0.02</v>
      </c>
      <c r="R72" s="40" t="s">
        <v>39</v>
      </c>
      <c r="S72" s="42"/>
      <c r="T72" s="41"/>
      <c r="U72" s="41"/>
      <c r="V72" s="41"/>
      <c r="W72" s="41"/>
      <c r="X72" s="42" t="s">
        <v>39</v>
      </c>
      <c r="Y72" s="43" t="s">
        <v>39</v>
      </c>
      <c r="Z72" s="10" t="s">
        <v>39</v>
      </c>
      <c r="AA72" s="43" t="s">
        <v>39</v>
      </c>
      <c r="AB72" s="29" cm="1">
        <f t="array" ref="AB72">IF(R72="",IF(Q72="",0,(_xlfn.IFS(Q72=0.01,0.67,Q72=0.015,1,Q72=0.015,1.33,Q72=0.02,1.67,Q72=0.025,2,Q72=0.03,2.33,Q72=0.035,2.67,Q72=0.04,3)+IF(J72&lt;=0.03,"0.33",0))),(_xlfn.IFS(R72=0.01,0.67,R72=0.015,1,R72=0.015,1.33,R72=0.02,1.67,R72=0.025,2,R72=0.03,2.33,R72=0.035,2.67,R72=0.04,3)+IF(J72&lt;=0.03,"0.33",0)))</f>
        <v>1.67</v>
      </c>
      <c r="AC72" s="29">
        <f t="shared" si="2"/>
        <v>1.3468013468013469</v>
      </c>
      <c r="AD72" s="20">
        <f>VLOOKUP(F72,铝耗2026年!$A$2:$B$5000,2,0)</f>
        <v>1.4277684582087</v>
      </c>
      <c r="AE72" s="20">
        <f>VLOOKUP(F72,铝耗2025年!$A$2:$B$5000,2,0)</f>
        <v>1.4</v>
      </c>
      <c r="AF72" s="20">
        <f t="shared" si="3"/>
        <v>1.4277684582087</v>
      </c>
    </row>
    <row r="73" spans="1:32" hidden="1" x14ac:dyDescent="0.3">
      <c r="A73" s="7">
        <v>70</v>
      </c>
      <c r="B73" s="10" t="s">
        <v>147</v>
      </c>
      <c r="C73" s="10" t="s">
        <v>37</v>
      </c>
      <c r="D73" s="10">
        <v>6.01</v>
      </c>
      <c r="E73" s="10">
        <v>16.239999999999998</v>
      </c>
      <c r="F73" s="10" t="s">
        <v>105</v>
      </c>
      <c r="G73" s="39" t="s">
        <v>104</v>
      </c>
      <c r="H73" s="10">
        <v>1517</v>
      </c>
      <c r="I73" s="40">
        <v>0.16</v>
      </c>
      <c r="J73" s="41">
        <v>0.08</v>
      </c>
      <c r="K73" s="41">
        <v>0.5</v>
      </c>
      <c r="L73" s="40">
        <v>0.02</v>
      </c>
      <c r="M73" s="40">
        <v>0.01</v>
      </c>
      <c r="N73" s="40"/>
      <c r="O73" s="40"/>
      <c r="P73" s="40">
        <v>0.04</v>
      </c>
      <c r="Q73" s="40">
        <v>0.02</v>
      </c>
      <c r="R73" s="40" t="s">
        <v>39</v>
      </c>
      <c r="S73" s="42"/>
      <c r="T73" s="41"/>
      <c r="U73" s="41"/>
      <c r="V73" s="41"/>
      <c r="W73" s="41"/>
      <c r="X73" s="42" t="s">
        <v>39</v>
      </c>
      <c r="Y73" s="43" t="s">
        <v>39</v>
      </c>
      <c r="Z73" s="10" t="s">
        <v>39</v>
      </c>
      <c r="AA73" s="43" t="s">
        <v>39</v>
      </c>
      <c r="AB73" s="29" cm="1">
        <f t="array" ref="AB73">IF(R73="",IF(Q73="",0,(_xlfn.IFS(Q73=0.01,0.67,Q73=0.015,1,Q73=0.015,1.33,Q73=0.02,1.67,Q73=0.025,2,Q73=0.03,2.33,Q73=0.035,2.67,Q73=0.04,3)+IF(J73&lt;=0.03,"0.33",0))),(_xlfn.IFS(R73=0.01,0.67,R73=0.015,1,R73=0.015,1.33,R73=0.02,1.67,R73=0.025,2,R73=0.03,2.33,R73=0.035,2.67,R73=0.04,3)+IF(J73&lt;=0.03,"0.33",0)))</f>
        <v>1.67</v>
      </c>
      <c r="AC73" s="29">
        <f t="shared" si="2"/>
        <v>1.3468013468013469</v>
      </c>
      <c r="AD73" s="20">
        <f>VLOOKUP(F73,铝耗2026年!$A$2:$B$5000,2,0)</f>
        <v>1.3656841648889999</v>
      </c>
      <c r="AE73" s="20">
        <f>VLOOKUP(F73,铝耗2025年!$A$2:$B$5000,2,0)</f>
        <v>1.4</v>
      </c>
      <c r="AF73" s="20">
        <f t="shared" si="3"/>
        <v>1.4</v>
      </c>
    </row>
    <row r="74" spans="1:32" hidden="1" x14ac:dyDescent="0.3">
      <c r="A74" s="7">
        <v>71</v>
      </c>
      <c r="B74" s="10" t="s">
        <v>147</v>
      </c>
      <c r="C74" s="10" t="s">
        <v>34</v>
      </c>
      <c r="D74" s="10">
        <v>16.25</v>
      </c>
      <c r="E74" s="10">
        <v>30</v>
      </c>
      <c r="F74" s="10" t="s">
        <v>145</v>
      </c>
      <c r="G74" s="39" t="s">
        <v>108</v>
      </c>
      <c r="H74" s="10">
        <v>1515</v>
      </c>
      <c r="I74" s="40">
        <v>0.16</v>
      </c>
      <c r="J74" s="41">
        <v>0.18</v>
      </c>
      <c r="K74" s="41">
        <v>0.8</v>
      </c>
      <c r="L74" s="40">
        <v>0.02</v>
      </c>
      <c r="M74" s="40">
        <v>0.01</v>
      </c>
      <c r="N74" s="40"/>
      <c r="O74" s="40"/>
      <c r="P74" s="40">
        <v>3.5000000000000003E-2</v>
      </c>
      <c r="Q74" s="40">
        <v>0.02</v>
      </c>
      <c r="R74" s="40" t="s">
        <v>39</v>
      </c>
      <c r="S74" s="42"/>
      <c r="T74" s="41"/>
      <c r="U74" s="41"/>
      <c r="V74" s="41"/>
      <c r="W74" s="41"/>
      <c r="X74" s="42" t="s">
        <v>39</v>
      </c>
      <c r="Y74" s="43" t="s">
        <v>39</v>
      </c>
      <c r="Z74" s="10" t="s">
        <v>39</v>
      </c>
      <c r="AA74" s="43" t="s">
        <v>39</v>
      </c>
      <c r="AB74" s="29" cm="1">
        <f t="array" ref="AB74">IF(R74="",IF(Q74="",0,(_xlfn.IFS(Q74=0.01,0.67,Q74=0.015,1,Q74=0.015,1.33,Q74=0.02,1.67,Q74=0.025,2,Q74=0.03,2.33,Q74=0.035,2.67,Q74=0.04,3)+IF(J74&lt;=0.03,"0.33",0))),(_xlfn.IFS(R74=0.01,0.67,R74=0.015,1,R74=0.015,1.33,R74=0.02,1.67,R74=0.025,2,R74=0.03,2.33,R74=0.035,2.67,R74=0.04,3)+IF(J74&lt;=0.03,"0.33",0)))</f>
        <v>1.67</v>
      </c>
      <c r="AC74" s="29">
        <f t="shared" si="2"/>
        <v>1.3468013468013469</v>
      </c>
      <c r="AD74" s="20">
        <f>VLOOKUP(F74,铝耗2026年!$A$2:$B$5000,2,0)</f>
        <v>1.33966801444215</v>
      </c>
      <c r="AE74" s="20">
        <f>VLOOKUP(F74,铝耗2025年!$A$2:$B$5000,2,0)</f>
        <v>1.4</v>
      </c>
      <c r="AF74" s="20">
        <f t="shared" si="3"/>
        <v>1.4</v>
      </c>
    </row>
    <row r="75" spans="1:32" hidden="1" x14ac:dyDescent="0.3">
      <c r="A75" s="7">
        <v>72</v>
      </c>
      <c r="B75" s="10" t="s">
        <v>148</v>
      </c>
      <c r="C75" s="10" t="s">
        <v>34</v>
      </c>
      <c r="D75" s="10">
        <v>0.1</v>
      </c>
      <c r="E75" s="10">
        <v>6</v>
      </c>
      <c r="F75" s="10" t="s">
        <v>103</v>
      </c>
      <c r="G75" s="39" t="s">
        <v>104</v>
      </c>
      <c r="H75" s="10">
        <v>1518</v>
      </c>
      <c r="I75" s="40">
        <v>0.16</v>
      </c>
      <c r="J75" s="41">
        <v>0.08</v>
      </c>
      <c r="K75" s="41">
        <v>0.35</v>
      </c>
      <c r="L75" s="40">
        <v>0.02</v>
      </c>
      <c r="M75" s="40">
        <v>0.01</v>
      </c>
      <c r="N75" s="40"/>
      <c r="O75" s="40"/>
      <c r="P75" s="40">
        <v>0.04</v>
      </c>
      <c r="Q75" s="40">
        <v>0.02</v>
      </c>
      <c r="R75" s="40" t="s">
        <v>39</v>
      </c>
      <c r="S75" s="42"/>
      <c r="T75" s="41"/>
      <c r="U75" s="41"/>
      <c r="V75" s="41"/>
      <c r="W75" s="41"/>
      <c r="X75" s="42" t="s">
        <v>39</v>
      </c>
      <c r="Y75" s="43" t="s">
        <v>39</v>
      </c>
      <c r="Z75" s="10" t="s">
        <v>39</v>
      </c>
      <c r="AA75" s="43" t="s">
        <v>39</v>
      </c>
      <c r="AB75" s="29" cm="1">
        <f t="array" ref="AB75">IF(R75="",IF(Q75="",0,(_xlfn.IFS(Q75=0.01,0.67,Q75=0.015,1,Q75=0.015,1.33,Q75=0.02,1.67,Q75=0.025,2,Q75=0.03,2.33,Q75=0.035,2.67,Q75=0.04,3)+IF(J75&lt;=0.03,"0.33",0))),(_xlfn.IFS(R75=0.01,0.67,R75=0.015,1,R75=0.015,1.33,R75=0.02,1.67,R75=0.025,2,R75=0.03,2.33,R75=0.035,2.67,R75=0.04,3)+IF(J75&lt;=0.03,"0.33",0)))</f>
        <v>1.67</v>
      </c>
      <c r="AC75" s="29">
        <f t="shared" si="2"/>
        <v>1.3468013468013469</v>
      </c>
      <c r="AD75" s="20">
        <f>VLOOKUP(F75,铝耗2026年!$A$2:$B$5000,2,0)</f>
        <v>1.4277684582087</v>
      </c>
      <c r="AE75" s="20">
        <f>VLOOKUP(F75,铝耗2025年!$A$2:$B$5000,2,0)</f>
        <v>1.4</v>
      </c>
      <c r="AF75" s="20">
        <f t="shared" si="3"/>
        <v>1.4277684582087</v>
      </c>
    </row>
    <row r="76" spans="1:32" hidden="1" x14ac:dyDescent="0.3">
      <c r="A76" s="7">
        <v>73</v>
      </c>
      <c r="B76" s="10" t="s">
        <v>148</v>
      </c>
      <c r="C76" s="10" t="s">
        <v>106</v>
      </c>
      <c r="D76" s="10">
        <v>6.01</v>
      </c>
      <c r="E76" s="10">
        <v>15.99</v>
      </c>
      <c r="F76" s="10" t="s">
        <v>105</v>
      </c>
      <c r="G76" s="39" t="s">
        <v>104</v>
      </c>
      <c r="H76" s="10">
        <v>1517</v>
      </c>
      <c r="I76" s="40">
        <v>0.16</v>
      </c>
      <c r="J76" s="41">
        <v>0.08</v>
      </c>
      <c r="K76" s="41">
        <v>0.5</v>
      </c>
      <c r="L76" s="40">
        <v>0.02</v>
      </c>
      <c r="M76" s="40">
        <v>0.01</v>
      </c>
      <c r="N76" s="40"/>
      <c r="O76" s="40"/>
      <c r="P76" s="40">
        <v>0.04</v>
      </c>
      <c r="Q76" s="40">
        <v>0.02</v>
      </c>
      <c r="R76" s="40" t="s">
        <v>39</v>
      </c>
      <c r="S76" s="42"/>
      <c r="T76" s="41"/>
      <c r="U76" s="41"/>
      <c r="V76" s="41"/>
      <c r="W76" s="41"/>
      <c r="X76" s="42" t="s">
        <v>39</v>
      </c>
      <c r="Y76" s="43" t="s">
        <v>39</v>
      </c>
      <c r="Z76" s="10" t="s">
        <v>39</v>
      </c>
      <c r="AA76" s="43" t="s">
        <v>39</v>
      </c>
      <c r="AB76" s="29" cm="1">
        <f t="array" ref="AB76">IF(R76="",IF(Q76="",0,(_xlfn.IFS(Q76=0.01,0.67,Q76=0.015,1,Q76=0.015,1.33,Q76=0.02,1.67,Q76=0.025,2,Q76=0.03,2.33,Q76=0.035,2.67,Q76=0.04,3)+IF(J76&lt;=0.03,"0.33",0))),(_xlfn.IFS(R76=0.01,0.67,R76=0.015,1,R76=0.015,1.33,R76=0.02,1.67,R76=0.025,2,R76=0.03,2.33,R76=0.035,2.67,R76=0.04,3)+IF(J76&lt;=0.03,"0.33",0)))</f>
        <v>1.67</v>
      </c>
      <c r="AC76" s="29">
        <f t="shared" si="2"/>
        <v>1.3468013468013469</v>
      </c>
      <c r="AD76" s="20">
        <f>VLOOKUP(F76,铝耗2026年!$A$2:$B$5000,2,0)</f>
        <v>1.3656841648889999</v>
      </c>
      <c r="AE76" s="20">
        <f>VLOOKUP(F76,铝耗2025年!$A$2:$B$5000,2,0)</f>
        <v>1.4</v>
      </c>
      <c r="AF76" s="20">
        <f t="shared" si="3"/>
        <v>1.4</v>
      </c>
    </row>
    <row r="77" spans="1:32" hidden="1" x14ac:dyDescent="0.3">
      <c r="A77" s="7">
        <v>74</v>
      </c>
      <c r="B77" s="10" t="s">
        <v>148</v>
      </c>
      <c r="C77" s="10" t="s">
        <v>37</v>
      </c>
      <c r="D77" s="10">
        <v>16</v>
      </c>
      <c r="E77" s="10">
        <v>30</v>
      </c>
      <c r="F77" s="10" t="s">
        <v>145</v>
      </c>
      <c r="G77" s="39" t="s">
        <v>108</v>
      </c>
      <c r="H77" s="10">
        <v>1515</v>
      </c>
      <c r="I77" s="40">
        <v>0.16</v>
      </c>
      <c r="J77" s="41">
        <v>0.18</v>
      </c>
      <c r="K77" s="41">
        <v>0.8</v>
      </c>
      <c r="L77" s="40">
        <v>0.02</v>
      </c>
      <c r="M77" s="40">
        <v>0.01</v>
      </c>
      <c r="N77" s="40"/>
      <c r="O77" s="40"/>
      <c r="P77" s="40">
        <v>3.5000000000000003E-2</v>
      </c>
      <c r="Q77" s="40">
        <v>0.02</v>
      </c>
      <c r="R77" s="40" t="s">
        <v>39</v>
      </c>
      <c r="S77" s="42"/>
      <c r="T77" s="41"/>
      <c r="U77" s="41"/>
      <c r="V77" s="41"/>
      <c r="W77" s="41"/>
      <c r="X77" s="42" t="s">
        <v>39</v>
      </c>
      <c r="Y77" s="43" t="s">
        <v>39</v>
      </c>
      <c r="Z77" s="10" t="s">
        <v>39</v>
      </c>
      <c r="AA77" s="43" t="s">
        <v>39</v>
      </c>
      <c r="AB77" s="29" cm="1">
        <f t="array" ref="AB77">IF(R77="",IF(Q77="",0,(_xlfn.IFS(Q77=0.01,0.67,Q77=0.015,1,Q77=0.015,1.33,Q77=0.02,1.67,Q77=0.025,2,Q77=0.03,2.33,Q77=0.035,2.67,Q77=0.04,3)+IF(J77&lt;=0.03,"0.33",0))),(_xlfn.IFS(R77=0.01,0.67,R77=0.015,1,R77=0.015,1.33,R77=0.02,1.67,R77=0.025,2,R77=0.03,2.33,R77=0.035,2.67,R77=0.04,3)+IF(J77&lt;=0.03,"0.33",0)))</f>
        <v>1.67</v>
      </c>
      <c r="AC77" s="29">
        <f t="shared" si="2"/>
        <v>1.3468013468013469</v>
      </c>
      <c r="AD77" s="20">
        <f>VLOOKUP(F77,铝耗2026年!$A$2:$B$5000,2,0)</f>
        <v>1.33966801444215</v>
      </c>
      <c r="AE77" s="20">
        <f>VLOOKUP(F77,铝耗2025年!$A$2:$B$5000,2,0)</f>
        <v>1.4</v>
      </c>
      <c r="AF77" s="20">
        <f t="shared" si="3"/>
        <v>1.4</v>
      </c>
    </row>
    <row r="78" spans="1:32" hidden="1" x14ac:dyDescent="0.3">
      <c r="A78" s="7">
        <v>75</v>
      </c>
      <c r="B78" s="10" t="s">
        <v>149</v>
      </c>
      <c r="C78" s="10" t="s">
        <v>34</v>
      </c>
      <c r="D78" s="10">
        <v>2</v>
      </c>
      <c r="E78" s="10">
        <v>12</v>
      </c>
      <c r="F78" s="10" t="s">
        <v>110</v>
      </c>
      <c r="G78" s="10" t="s">
        <v>111</v>
      </c>
      <c r="H78" s="10">
        <v>1517</v>
      </c>
      <c r="I78" s="10">
        <v>0.16</v>
      </c>
      <c r="J78" s="10">
        <v>0.15</v>
      </c>
      <c r="K78" s="10">
        <v>1</v>
      </c>
      <c r="L78" s="10">
        <v>1.7999999999999999E-2</v>
      </c>
      <c r="M78" s="10">
        <v>0.01</v>
      </c>
      <c r="N78" s="10" t="s">
        <v>39</v>
      </c>
      <c r="O78" s="10"/>
      <c r="P78" s="10">
        <v>0.03</v>
      </c>
      <c r="Q78" s="10">
        <v>2.5000000000000001E-2</v>
      </c>
      <c r="R78" s="10" t="s">
        <v>39</v>
      </c>
      <c r="S78" s="10">
        <v>0</v>
      </c>
      <c r="T78" s="10">
        <v>0</v>
      </c>
      <c r="U78" s="10">
        <v>0</v>
      </c>
      <c r="V78" s="10">
        <v>0</v>
      </c>
      <c r="W78" s="10" t="s">
        <v>39</v>
      </c>
      <c r="X78" s="10" t="s">
        <v>39</v>
      </c>
      <c r="Y78" s="9"/>
      <c r="Z78" s="10">
        <v>40</v>
      </c>
      <c r="AA78" s="10">
        <v>0</v>
      </c>
      <c r="AB78" s="29" cm="1">
        <f t="array" ref="AB78">IF(R78="",IF(Q78="",0,(_xlfn.IFS(Q78=0.01,0.67,Q78=0.015,1,Q78=0.015,1.33,Q78=0.02,1.67,Q78=0.025,2,Q78=0.03,2.33,Q78=0.035,2.67,Q78=0.04,3)+IF(J78&lt;=0.03,"0.33",0))),(_xlfn.IFS(R78=0.01,0.67,R78=0.015,1,R78=0.015,1.33,R78=0.02,1.67,R78=0.025,2,R78=0.03,2.33,R78=0.035,2.67,R78=0.04,3)+IF(J78&lt;=0.03,"0.33",0)))</f>
        <v>2</v>
      </c>
      <c r="AC78" s="29">
        <f t="shared" si="2"/>
        <v>1.6835016835016836</v>
      </c>
      <c r="AD78" s="20">
        <f>VLOOKUP(F78,铝耗2026年!$A$2:$B$5000,2,0)</f>
        <v>1.34080911647249</v>
      </c>
      <c r="AE78" s="20">
        <f>VLOOKUP(F78,铝耗2025年!$A$2:$B$5000,2,0)</f>
        <v>1.4</v>
      </c>
      <c r="AF78" s="20">
        <f t="shared" si="3"/>
        <v>1.4</v>
      </c>
    </row>
    <row r="79" spans="1:32" hidden="1" x14ac:dyDescent="0.3">
      <c r="A79" s="7">
        <v>76</v>
      </c>
      <c r="B79" s="10" t="s">
        <v>149</v>
      </c>
      <c r="C79" s="10" t="s">
        <v>37</v>
      </c>
      <c r="D79" s="10">
        <v>12.01</v>
      </c>
      <c r="E79" s="10">
        <v>19</v>
      </c>
      <c r="F79" s="10" t="s">
        <v>112</v>
      </c>
      <c r="G79" s="10" t="s">
        <v>111</v>
      </c>
      <c r="H79" s="10">
        <v>1517</v>
      </c>
      <c r="I79" s="10">
        <v>0.16</v>
      </c>
      <c r="J79" s="10">
        <v>0.15</v>
      </c>
      <c r="K79" s="10">
        <v>1.25</v>
      </c>
      <c r="L79" s="10">
        <v>1.7999999999999999E-2</v>
      </c>
      <c r="M79" s="10">
        <v>5.0000000000000001E-3</v>
      </c>
      <c r="N79" s="10" t="s">
        <v>39</v>
      </c>
      <c r="O79" s="10">
        <v>8.0000000000000002E-3</v>
      </c>
      <c r="P79" s="10">
        <v>1.4999999999999999E-2</v>
      </c>
      <c r="Q79" s="10">
        <v>2.5000000000000001E-2</v>
      </c>
      <c r="R79" s="10" t="s">
        <v>39</v>
      </c>
      <c r="S79" s="10">
        <v>0</v>
      </c>
      <c r="T79" s="10">
        <v>0</v>
      </c>
      <c r="U79" s="10">
        <v>0</v>
      </c>
      <c r="V79" s="10">
        <v>0</v>
      </c>
      <c r="W79" s="10" t="s">
        <v>39</v>
      </c>
      <c r="X79" s="10" t="s">
        <v>39</v>
      </c>
      <c r="Y79" s="9"/>
      <c r="Z79" s="10">
        <v>40</v>
      </c>
      <c r="AA79" s="10">
        <v>0</v>
      </c>
      <c r="AB79" s="29" cm="1">
        <f t="array" ref="AB79">IF(R79="",IF(Q79="",0,(_xlfn.IFS(Q79=0.01,0.67,Q79=0.015,1,Q79=0.015,1.33,Q79=0.02,1.67,Q79=0.025,2,Q79=0.03,2.33,Q79=0.035,2.67,Q79=0.04,3)+IF(J79&lt;=0.03,"0.33",0))),(_xlfn.IFS(R79=0.01,0.67,R79=0.015,1,R79=0.015,1.33,R79=0.02,1.67,R79=0.025,2,R79=0.03,2.33,R79=0.035,2.67,R79=0.04,3)+IF(J79&lt;=0.03,"0.33",0)))</f>
        <v>2</v>
      </c>
      <c r="AC79" s="29">
        <f t="shared" si="2"/>
        <v>1.6835016835016836</v>
      </c>
      <c r="AD79" s="20">
        <f>VLOOKUP(F79,铝耗2026年!$A$2:$B$5000,2,0)</f>
        <v>1.35534144189313</v>
      </c>
      <c r="AE79" s="20">
        <f>VLOOKUP(F79,铝耗2025年!$A$2:$B$5000,2,0)</f>
        <v>1.4</v>
      </c>
      <c r="AF79" s="20">
        <f t="shared" si="3"/>
        <v>1.4</v>
      </c>
    </row>
    <row r="80" spans="1:32" hidden="1" x14ac:dyDescent="0.3">
      <c r="A80" s="7">
        <v>77</v>
      </c>
      <c r="B80" s="10" t="s">
        <v>149</v>
      </c>
      <c r="C80" s="10" t="s">
        <v>106</v>
      </c>
      <c r="D80" s="10">
        <v>19.010000000000002</v>
      </c>
      <c r="E80" s="10">
        <v>29</v>
      </c>
      <c r="F80" s="10" t="s">
        <v>113</v>
      </c>
      <c r="G80" s="10" t="s">
        <v>111</v>
      </c>
      <c r="H80" s="10">
        <v>1517</v>
      </c>
      <c r="I80" s="10">
        <v>0.16</v>
      </c>
      <c r="J80" s="10">
        <v>0.15</v>
      </c>
      <c r="K80" s="10">
        <v>1.35</v>
      </c>
      <c r="L80" s="10">
        <v>1.7999999999999999E-2</v>
      </c>
      <c r="M80" s="10">
        <v>5.0000000000000001E-3</v>
      </c>
      <c r="N80" s="10" t="s">
        <v>39</v>
      </c>
      <c r="O80" s="10">
        <v>0.01</v>
      </c>
      <c r="P80" s="10">
        <v>2.5000000000000001E-2</v>
      </c>
      <c r="Q80" s="10">
        <v>2.5000000000000001E-2</v>
      </c>
      <c r="R80" s="10" t="s">
        <v>39</v>
      </c>
      <c r="S80" s="10">
        <v>0</v>
      </c>
      <c r="T80" s="10">
        <v>0</v>
      </c>
      <c r="U80" s="10">
        <v>0</v>
      </c>
      <c r="V80" s="10">
        <v>0</v>
      </c>
      <c r="W80" s="10" t="s">
        <v>39</v>
      </c>
      <c r="X80" s="10" t="s">
        <v>39</v>
      </c>
      <c r="Y80" s="9"/>
      <c r="Z80" s="10">
        <v>40</v>
      </c>
      <c r="AA80" s="10">
        <v>0</v>
      </c>
      <c r="AB80" s="46" cm="1">
        <f t="array" ref="AB80">IF(R80="",IF(Q80="",0,(_xlfn.IFS(Q80=0.01,0.67,Q80=0.015,1,Q80=0.015,1.33,Q80=0.02,1.67,Q80=0.025,2,Q80=0.03,2.33,Q80=0.035,2.67,Q80=0.04,3)+IF(J80&lt;=0.03,"0.33",0))),(_xlfn.IFS(R80=0.01,0.67,R80=0.015,1,R80=0.015,1.33,R80=0.02,1.67,R80=0.025,2,R80=0.03,2.33,R80=0.035,2.67,R80=0.04,3)+IF(J80&lt;=0.03,"0.33",0)))</f>
        <v>2</v>
      </c>
      <c r="AC80" s="29">
        <f t="shared" si="2"/>
        <v>1.6835016835016836</v>
      </c>
      <c r="AD80" s="20">
        <f>VLOOKUP(F80,铝耗2026年!$A$2:$B$5000,2,0)</f>
        <v>1.3861706334359001</v>
      </c>
      <c r="AE80" s="20">
        <f>VLOOKUP(F80,铝耗2025年!$A$2:$B$5000,2,0)</f>
        <v>1.4</v>
      </c>
      <c r="AF80" s="20">
        <f t="shared" si="3"/>
        <v>1.4</v>
      </c>
    </row>
    <row r="81" spans="1:32" hidden="1" x14ac:dyDescent="0.3">
      <c r="A81" s="7">
        <v>78</v>
      </c>
      <c r="B81" s="11" t="s">
        <v>150</v>
      </c>
      <c r="C81" s="11" t="s">
        <v>34</v>
      </c>
      <c r="D81" s="11">
        <v>3</v>
      </c>
      <c r="E81" s="11">
        <v>5</v>
      </c>
      <c r="F81" s="11" t="s">
        <v>150</v>
      </c>
      <c r="G81" s="11" t="s">
        <v>151</v>
      </c>
      <c r="H81" s="11">
        <v>1515</v>
      </c>
      <c r="I81" s="44">
        <v>0.17499999999999999</v>
      </c>
      <c r="J81" s="44">
        <v>0.15</v>
      </c>
      <c r="K81" s="44">
        <v>0.7</v>
      </c>
      <c r="L81" s="11">
        <v>0</v>
      </c>
      <c r="M81" s="11">
        <v>0</v>
      </c>
      <c r="N81" s="11" t="s">
        <v>39</v>
      </c>
      <c r="O81" s="11" t="s">
        <v>39</v>
      </c>
      <c r="P81" s="11">
        <v>0.03</v>
      </c>
      <c r="Q81" s="11">
        <v>0.02</v>
      </c>
      <c r="R81" s="44" t="s">
        <v>39</v>
      </c>
      <c r="S81" s="44" t="s">
        <v>39</v>
      </c>
      <c r="T81" s="44">
        <v>0</v>
      </c>
      <c r="U81" s="44" t="s">
        <v>39</v>
      </c>
      <c r="V81" s="44" t="s">
        <v>39</v>
      </c>
      <c r="W81" s="44" t="s">
        <v>39</v>
      </c>
      <c r="X81" s="44">
        <v>0</v>
      </c>
      <c r="Y81" s="44" t="s">
        <v>39</v>
      </c>
      <c r="Z81" s="44" t="s">
        <v>39</v>
      </c>
      <c r="AA81" s="44" t="s">
        <v>39</v>
      </c>
      <c r="AB81" s="45" cm="1">
        <f t="array" ref="AB81">IF(R81="",IF(Q81="",0,(_xlfn.IFS(Q81=0.01,0.67,Q81=0.015,1,Q81=0.015,1.33,Q81=0.02,1.67,Q81=0.025,2,Q81=0.03,2.33,Q81=0.035,2.67,Q81=0.04,3)+IF(J81&lt;=0.03,"0.33",0))),(_xlfn.IFS(R81=0.01,0.67,R81=0.015,1,R81=0.015,1.33,R81=0.02,1.67,R81=0.025,2,R81=0.03,2.33,R81=0.035,2.67,R81=0.04,3)+IF(J81&lt;=0.03,"0.33",0)))</f>
        <v>1.67</v>
      </c>
      <c r="AC81" s="29">
        <f t="shared" si="2"/>
        <v>1.3468013468013469</v>
      </c>
      <c r="AD81" s="20">
        <f>VLOOKUP(F81,铝耗2026年!$A$2:$B$5000,2,0)</f>
        <v>1.3581424989295401</v>
      </c>
      <c r="AE81" s="20" t="e">
        <f>VLOOKUP(F81,铝耗2025年!$A$2:$B$5000,2,0)</f>
        <v>#N/A</v>
      </c>
      <c r="AF81" s="37">
        <v>1.4</v>
      </c>
    </row>
    <row r="82" spans="1:32" hidden="1" x14ac:dyDescent="0.3">
      <c r="A82" s="7">
        <v>79</v>
      </c>
      <c r="B82" s="10" t="s">
        <v>152</v>
      </c>
      <c r="C82" s="10" t="s">
        <v>37</v>
      </c>
      <c r="D82" s="10">
        <v>3</v>
      </c>
      <c r="E82" s="10">
        <v>10</v>
      </c>
      <c r="F82" s="10" t="s">
        <v>153</v>
      </c>
      <c r="G82" s="39" t="s">
        <v>154</v>
      </c>
      <c r="H82" s="10">
        <v>1515</v>
      </c>
      <c r="I82" s="40">
        <v>0.16</v>
      </c>
      <c r="J82" s="41">
        <v>0.15</v>
      </c>
      <c r="K82" s="41">
        <v>0.9</v>
      </c>
      <c r="L82" s="40">
        <v>1.4999999999999999E-2</v>
      </c>
      <c r="M82" s="40">
        <v>0.01</v>
      </c>
      <c r="N82" s="40"/>
      <c r="O82" s="40"/>
      <c r="P82" s="40">
        <v>4.4999999999999998E-2</v>
      </c>
      <c r="Q82" s="40">
        <v>0.02</v>
      </c>
      <c r="R82" s="40" t="s">
        <v>39</v>
      </c>
      <c r="S82" s="42"/>
      <c r="T82" s="41"/>
      <c r="U82" s="41"/>
      <c r="V82" s="41"/>
      <c r="W82" s="41"/>
      <c r="X82" s="42" t="s">
        <v>39</v>
      </c>
      <c r="Y82" s="43" t="s">
        <v>39</v>
      </c>
      <c r="Z82" s="10">
        <v>45</v>
      </c>
      <c r="AA82" s="43" t="s">
        <v>39</v>
      </c>
      <c r="AB82" s="29" cm="1">
        <f t="array" ref="AB82">IF(R82="",IF(Q82="",0,(_xlfn.IFS(Q82=0.01,0.67,Q82=0.015,1,Q82=0.015,1.33,Q82=0.02,1.67,Q82=0.025,2,Q82=0.03,2.33,Q82=0.035,2.67,Q82=0.04,3)+IF(J82&lt;=0.03,"0.33",0))),(_xlfn.IFS(R82=0.01,0.67,R82=0.015,1,R82=0.015,1.33,R82=0.02,1.67,R82=0.025,2,R82=0.03,2.33,R82=0.035,2.67,R82=0.04,3)+IF(J82&lt;=0.03,"0.33",0)))</f>
        <v>1.67</v>
      </c>
      <c r="AC82" s="29">
        <f t="shared" si="2"/>
        <v>1.3468013468013469</v>
      </c>
      <c r="AD82" s="20" t="e">
        <f>VLOOKUP(F82,铝耗2026年!$A$2:$B$5000,2,0)</f>
        <v>#N/A</v>
      </c>
      <c r="AE82" s="20">
        <f>VLOOKUP(F82,铝耗2025年!$A$2:$B$5000,2,0)</f>
        <v>1.33</v>
      </c>
      <c r="AF82" s="37">
        <v>1.4</v>
      </c>
    </row>
    <row r="83" spans="1:32" hidden="1" x14ac:dyDescent="0.3">
      <c r="A83" s="7">
        <v>80</v>
      </c>
      <c r="B83" s="47" t="s">
        <v>152</v>
      </c>
      <c r="C83" s="47" t="s">
        <v>106</v>
      </c>
      <c r="D83" s="47">
        <v>10.01</v>
      </c>
      <c r="E83" s="47">
        <v>16.5</v>
      </c>
      <c r="F83" s="47" t="s">
        <v>155</v>
      </c>
      <c r="G83" s="48" t="s">
        <v>154</v>
      </c>
      <c r="H83" s="47">
        <v>1515</v>
      </c>
      <c r="I83" s="49">
        <v>0.16</v>
      </c>
      <c r="J83" s="50">
        <v>0.15</v>
      </c>
      <c r="K83" s="50">
        <v>1.05</v>
      </c>
      <c r="L83" s="49">
        <v>1.4999999999999999E-2</v>
      </c>
      <c r="M83" s="49">
        <v>0.01</v>
      </c>
      <c r="N83" s="49"/>
      <c r="O83" s="49"/>
      <c r="P83" s="49">
        <v>4.4999999999999998E-2</v>
      </c>
      <c r="Q83" s="49">
        <v>0.02</v>
      </c>
      <c r="R83" s="49" t="s">
        <v>39</v>
      </c>
      <c r="S83" s="51"/>
      <c r="T83" s="50"/>
      <c r="U83" s="50"/>
      <c r="V83" s="50"/>
      <c r="W83" s="50"/>
      <c r="X83" s="51" t="s">
        <v>39</v>
      </c>
      <c r="Y83" s="52" t="s">
        <v>39</v>
      </c>
      <c r="Z83" s="47">
        <v>45</v>
      </c>
      <c r="AA83" s="52" t="s">
        <v>39</v>
      </c>
      <c r="AB83" s="53" cm="1">
        <f t="array" ref="AB83">IF(R83="",IF(Q83="",0,(_xlfn.IFS(Q83=0.01,0.67,Q83=0.015,1,Q83=0.015,1.33,Q83=0.02,1.67,Q83=0.025,2,Q83=0.03,2.33,Q83=0.035,2.67,Q83=0.04,3)+IF(J83&lt;=0.03,"0.33",0))),(_xlfn.IFS(R83=0.01,0.67,R83=0.015,1,R83=0.015,1.33,R83=0.02,1.67,R83=0.025,2,R83=0.03,2.33,R83=0.035,2.67,R83=0.04,3)+IF(J83&lt;=0.03,"0.33",0)))</f>
        <v>1.67</v>
      </c>
      <c r="AC83" s="29">
        <f t="shared" si="2"/>
        <v>1.3468013468013469</v>
      </c>
      <c r="AD83" s="20">
        <f>VLOOKUP(F83,铝耗2026年!$A$2:$B$5000,2,0)</f>
        <v>1.0926789822237699</v>
      </c>
      <c r="AE83" s="20">
        <f>VLOOKUP(F83,铝耗2025年!$A$2:$B$5000,2,0)</f>
        <v>1.33</v>
      </c>
      <c r="AF83" s="20">
        <f t="shared" si="3"/>
        <v>1.33</v>
      </c>
    </row>
    <row r="84" spans="1:32" hidden="1" x14ac:dyDescent="0.3">
      <c r="A84" s="7">
        <v>81</v>
      </c>
      <c r="B84" s="10" t="s">
        <v>152</v>
      </c>
      <c r="C84" s="10" t="s">
        <v>34</v>
      </c>
      <c r="D84" s="10">
        <v>16.510000000000002</v>
      </c>
      <c r="E84" s="10">
        <v>28</v>
      </c>
      <c r="F84" s="10" t="s">
        <v>156</v>
      </c>
      <c r="G84" s="39" t="s">
        <v>154</v>
      </c>
      <c r="H84" s="10">
        <v>1515</v>
      </c>
      <c r="I84" s="40">
        <v>0.16</v>
      </c>
      <c r="J84" s="41">
        <v>0.15</v>
      </c>
      <c r="K84" s="41">
        <v>1.1000000000000001</v>
      </c>
      <c r="L84" s="40">
        <v>1.4999999999999999E-2</v>
      </c>
      <c r="M84" s="40">
        <v>6.0000000000000001E-3</v>
      </c>
      <c r="N84" s="40"/>
      <c r="O84" s="40">
        <v>1.4999999999999999E-2</v>
      </c>
      <c r="P84" s="40">
        <v>0.04</v>
      </c>
      <c r="Q84" s="40">
        <v>0.02</v>
      </c>
      <c r="R84" s="40" t="s">
        <v>39</v>
      </c>
      <c r="S84" s="42"/>
      <c r="T84" s="41"/>
      <c r="U84" s="41"/>
      <c r="V84" s="41"/>
      <c r="W84" s="41"/>
      <c r="X84" s="42" t="s">
        <v>39</v>
      </c>
      <c r="Y84" s="43" t="s">
        <v>39</v>
      </c>
      <c r="Z84" s="10">
        <v>45</v>
      </c>
      <c r="AA84" s="43" t="s">
        <v>39</v>
      </c>
      <c r="AB84" s="29" cm="1">
        <f t="array" ref="AB84">IF(R84="",IF(Q84="",0,(_xlfn.IFS(Q84=0.01,0.67,Q84=0.015,1,Q84=0.015,1.33,Q84=0.02,1.67,Q84=0.025,2,Q84=0.03,2.33,Q84=0.035,2.67,Q84=0.04,3)+IF(J84&lt;=0.03,"0.33",0))),(_xlfn.IFS(R84=0.01,0.67,R84=0.015,1,R84=0.015,1.33,R84=0.02,1.67,R84=0.025,2,R84=0.03,2.33,R84=0.035,2.67,R84=0.04,3)+IF(J84&lt;=0.03,"0.33",0)))</f>
        <v>1.67</v>
      </c>
      <c r="AC84" s="29">
        <f t="shared" si="2"/>
        <v>1.3468013468013469</v>
      </c>
      <c r="AD84" s="20">
        <f>VLOOKUP(F84,铝耗2026年!$A$2:$B$5000,2,0)</f>
        <v>1.3275423546278999</v>
      </c>
      <c r="AE84" s="20">
        <f>VLOOKUP(F84,铝耗2025年!$A$2:$B$5000,2,0)</f>
        <v>1.33</v>
      </c>
      <c r="AF84" s="20">
        <f t="shared" si="3"/>
        <v>1.33</v>
      </c>
    </row>
    <row r="85" spans="1:32" hidden="1" x14ac:dyDescent="0.3">
      <c r="A85" s="7">
        <v>82</v>
      </c>
      <c r="B85" s="10" t="s">
        <v>157</v>
      </c>
      <c r="C85" s="10" t="s">
        <v>34</v>
      </c>
      <c r="D85" s="10">
        <v>3</v>
      </c>
      <c r="E85" s="10">
        <v>10</v>
      </c>
      <c r="F85" s="10" t="s">
        <v>158</v>
      </c>
      <c r="G85" s="39" t="s">
        <v>159</v>
      </c>
      <c r="H85" s="10">
        <v>1516</v>
      </c>
      <c r="I85" s="40">
        <v>0.14000000000000001</v>
      </c>
      <c r="J85" s="41">
        <v>0.15</v>
      </c>
      <c r="K85" s="41">
        <v>1.1000000000000001</v>
      </c>
      <c r="L85" s="40">
        <v>1.4999999999999999E-2</v>
      </c>
      <c r="M85" s="40">
        <v>0.01</v>
      </c>
      <c r="N85" s="40"/>
      <c r="O85" s="40">
        <v>1.2E-2</v>
      </c>
      <c r="P85" s="40">
        <v>0.04</v>
      </c>
      <c r="Q85" s="40">
        <v>0.02</v>
      </c>
      <c r="R85" s="40" t="s">
        <v>39</v>
      </c>
      <c r="S85" s="42"/>
      <c r="T85" s="41"/>
      <c r="U85" s="41"/>
      <c r="V85" s="41"/>
      <c r="W85" s="41"/>
      <c r="X85" s="42" t="s">
        <v>39</v>
      </c>
      <c r="Y85" s="43" t="s">
        <v>39</v>
      </c>
      <c r="Z85" s="10">
        <v>45</v>
      </c>
      <c r="AA85" s="43"/>
      <c r="AB85" s="29" cm="1">
        <f t="array" ref="AB85">IF(R85="",IF(Q85="",0,(_xlfn.IFS(Q85=0.01,0.67,Q85=0.015,1,Q85=0.015,1.33,Q85=0.02,1.67,Q85=0.025,2,Q85=0.03,2.33,Q85=0.035,2.67,Q85=0.04,3)+IF(J85&lt;=0.03,"0.33",0))),(_xlfn.IFS(R85=0.01,0.67,R85=0.015,1,R85=0.015,1.33,R85=0.02,1.67,R85=0.025,2,R85=0.03,2.33,R85=0.035,2.67,R85=0.04,3)+IF(J85&lt;=0.03,"0.33",0)))</f>
        <v>1.67</v>
      </c>
      <c r="AC85" s="29">
        <f t="shared" si="2"/>
        <v>1.3468013468013469</v>
      </c>
      <c r="AD85" s="20">
        <f>VLOOKUP(F85,铝耗2026年!$A$2:$B$5000,2,0)</f>
        <v>1.3508811360283699</v>
      </c>
      <c r="AE85" s="20">
        <f>VLOOKUP(F85,铝耗2025年!$A$2:$B$5000,2,0)</f>
        <v>1.33</v>
      </c>
      <c r="AF85" s="20">
        <f t="shared" si="3"/>
        <v>1.3508811360283699</v>
      </c>
    </row>
    <row r="86" spans="1:32" hidden="1" x14ac:dyDescent="0.3">
      <c r="A86" s="7">
        <v>83</v>
      </c>
      <c r="B86" s="10" t="s">
        <v>157</v>
      </c>
      <c r="C86" s="10" t="s">
        <v>37</v>
      </c>
      <c r="D86" s="10">
        <v>10.01</v>
      </c>
      <c r="E86" s="10">
        <v>25</v>
      </c>
      <c r="F86" s="10" t="s">
        <v>160</v>
      </c>
      <c r="G86" s="39" t="s">
        <v>159</v>
      </c>
      <c r="H86" s="10">
        <v>1516</v>
      </c>
      <c r="I86" s="40">
        <v>0.14000000000000001</v>
      </c>
      <c r="J86" s="41">
        <v>0.15</v>
      </c>
      <c r="K86" s="41">
        <v>1.2</v>
      </c>
      <c r="L86" s="40">
        <v>1.4999999999999999E-2</v>
      </c>
      <c r="M86" s="40">
        <v>0.01</v>
      </c>
      <c r="N86" s="40"/>
      <c r="O86" s="40">
        <v>1.2E-2</v>
      </c>
      <c r="P86" s="40">
        <v>0.04</v>
      </c>
      <c r="Q86" s="40">
        <v>0.02</v>
      </c>
      <c r="R86" s="40" t="s">
        <v>39</v>
      </c>
      <c r="S86" s="42"/>
      <c r="T86" s="41"/>
      <c r="U86" s="41"/>
      <c r="V86" s="41"/>
      <c r="W86" s="41"/>
      <c r="X86" s="42" t="s">
        <v>39</v>
      </c>
      <c r="Y86" s="43" t="s">
        <v>39</v>
      </c>
      <c r="Z86" s="10">
        <v>45</v>
      </c>
      <c r="AA86" s="43"/>
      <c r="AB86" s="29" cm="1">
        <f t="array" ref="AB86">IF(R86="",IF(Q86="",0,(_xlfn.IFS(Q86=0.01,0.67,Q86=0.015,1,Q86=0.015,1.33,Q86=0.02,1.67,Q86=0.025,2,Q86=0.03,2.33,Q86=0.035,2.67,Q86=0.04,3)+IF(J86&lt;=0.03,"0.33",0))),(_xlfn.IFS(R86=0.01,0.67,R86=0.015,1,R86=0.015,1.33,R86=0.02,1.67,R86=0.025,2,R86=0.03,2.33,R86=0.035,2.67,R86=0.04,3)+IF(J86&lt;=0.03,"0.33",0)))</f>
        <v>1.67</v>
      </c>
      <c r="AC86" s="29">
        <f t="shared" si="2"/>
        <v>1.3468013468013469</v>
      </c>
      <c r="AD86" s="20">
        <f>VLOOKUP(F86,铝耗2026年!$A$2:$B$5000,2,0)</f>
        <v>1.3041365135473799</v>
      </c>
      <c r="AE86" s="20">
        <f>VLOOKUP(F86,铝耗2025年!$A$2:$B$5000,2,0)</f>
        <v>1.33</v>
      </c>
      <c r="AF86" s="20">
        <f t="shared" si="3"/>
        <v>1.33</v>
      </c>
    </row>
    <row r="87" spans="1:32" hidden="1" x14ac:dyDescent="0.3">
      <c r="A87" s="7">
        <v>84</v>
      </c>
      <c r="B87" s="10" t="s">
        <v>161</v>
      </c>
      <c r="C87" s="10" t="s">
        <v>34</v>
      </c>
      <c r="D87" s="10">
        <v>3</v>
      </c>
      <c r="E87" s="10">
        <v>10</v>
      </c>
      <c r="F87" s="10" t="s">
        <v>158</v>
      </c>
      <c r="G87" s="39" t="s">
        <v>159</v>
      </c>
      <c r="H87" s="10">
        <v>1516</v>
      </c>
      <c r="I87" s="40">
        <v>0.14000000000000001</v>
      </c>
      <c r="J87" s="41">
        <v>0.15</v>
      </c>
      <c r="K87" s="41">
        <v>1.1000000000000001</v>
      </c>
      <c r="L87" s="40">
        <v>1.4999999999999999E-2</v>
      </c>
      <c r="M87" s="40">
        <v>0.01</v>
      </c>
      <c r="N87" s="40"/>
      <c r="O87" s="40">
        <v>1.2E-2</v>
      </c>
      <c r="P87" s="40">
        <v>0.04</v>
      </c>
      <c r="Q87" s="40">
        <v>0.02</v>
      </c>
      <c r="R87" s="40" t="s">
        <v>39</v>
      </c>
      <c r="S87" s="42"/>
      <c r="T87" s="41"/>
      <c r="U87" s="41"/>
      <c r="V87" s="41"/>
      <c r="W87" s="41"/>
      <c r="X87" s="42" t="s">
        <v>39</v>
      </c>
      <c r="Y87" s="43" t="s">
        <v>39</v>
      </c>
      <c r="Z87" s="10">
        <v>45</v>
      </c>
      <c r="AA87" s="43"/>
      <c r="AB87" s="29" cm="1">
        <f t="array" ref="AB87">IF(R87="",IF(Q87="",0,(_xlfn.IFS(Q87=0.01,0.67,Q87=0.015,1,Q87=0.015,1.33,Q87=0.02,1.67,Q87=0.025,2,Q87=0.03,2.33,Q87=0.035,2.67,Q87=0.04,3)+IF(J87&lt;=0.03,"0.33",0))),(_xlfn.IFS(R87=0.01,0.67,R87=0.015,1,R87=0.015,1.33,R87=0.02,1.67,R87=0.025,2,R87=0.03,2.33,R87=0.035,2.67,R87=0.04,3)+IF(J87&lt;=0.03,"0.33",0)))</f>
        <v>1.67</v>
      </c>
      <c r="AC87" s="29">
        <f t="shared" si="2"/>
        <v>1.3468013468013469</v>
      </c>
      <c r="AD87" s="20">
        <f>VLOOKUP(F87,铝耗2026年!$A$2:$B$5000,2,0)</f>
        <v>1.3508811360283699</v>
      </c>
      <c r="AE87" s="20">
        <f>VLOOKUP(F87,铝耗2025年!$A$2:$B$5000,2,0)</f>
        <v>1.33</v>
      </c>
      <c r="AF87" s="20">
        <f t="shared" si="3"/>
        <v>1.3508811360283699</v>
      </c>
    </row>
    <row r="88" spans="1:32" hidden="1" x14ac:dyDescent="0.3">
      <c r="A88" s="7">
        <v>85</v>
      </c>
      <c r="B88" s="10" t="s">
        <v>161</v>
      </c>
      <c r="C88" s="10" t="s">
        <v>37</v>
      </c>
      <c r="D88" s="10">
        <v>10.01</v>
      </c>
      <c r="E88" s="10">
        <v>25</v>
      </c>
      <c r="F88" s="10" t="s">
        <v>160</v>
      </c>
      <c r="G88" s="39" t="s">
        <v>159</v>
      </c>
      <c r="H88" s="10">
        <v>1516</v>
      </c>
      <c r="I88" s="40">
        <v>0.14000000000000001</v>
      </c>
      <c r="J88" s="41">
        <v>0.15</v>
      </c>
      <c r="K88" s="41">
        <v>1.2</v>
      </c>
      <c r="L88" s="40">
        <v>1.4999999999999999E-2</v>
      </c>
      <c r="M88" s="40">
        <v>0.01</v>
      </c>
      <c r="N88" s="40"/>
      <c r="O88" s="40">
        <v>1.2E-2</v>
      </c>
      <c r="P88" s="40">
        <v>0.04</v>
      </c>
      <c r="Q88" s="40">
        <v>0.02</v>
      </c>
      <c r="R88" s="40" t="s">
        <v>39</v>
      </c>
      <c r="S88" s="42"/>
      <c r="T88" s="41"/>
      <c r="U88" s="41"/>
      <c r="V88" s="41"/>
      <c r="W88" s="41"/>
      <c r="X88" s="42" t="s">
        <v>39</v>
      </c>
      <c r="Y88" s="43" t="s">
        <v>39</v>
      </c>
      <c r="Z88" s="10">
        <v>45</v>
      </c>
      <c r="AA88" s="43"/>
      <c r="AB88" s="29" cm="1">
        <f t="array" ref="AB88">IF(R88="",IF(Q88="",0,(_xlfn.IFS(Q88=0.01,0.67,Q88=0.015,1,Q88=0.015,1.33,Q88=0.02,1.67,Q88=0.025,2,Q88=0.03,2.33,Q88=0.035,2.67,Q88=0.04,3)+IF(J88&lt;=0.03,"0.33",0))),(_xlfn.IFS(R88=0.01,0.67,R88=0.015,1,R88=0.015,1.33,R88=0.02,1.67,R88=0.025,2,R88=0.03,2.33,R88=0.035,2.67,R88=0.04,3)+IF(J88&lt;=0.03,"0.33",0)))</f>
        <v>1.67</v>
      </c>
      <c r="AC88" s="29">
        <f t="shared" si="2"/>
        <v>1.3468013468013469</v>
      </c>
      <c r="AD88" s="20">
        <f>VLOOKUP(F88,铝耗2026年!$A$2:$B$5000,2,0)</f>
        <v>1.3041365135473799</v>
      </c>
      <c r="AE88" s="20">
        <f>VLOOKUP(F88,铝耗2025年!$A$2:$B$5000,2,0)</f>
        <v>1.33</v>
      </c>
      <c r="AF88" s="20">
        <f t="shared" si="3"/>
        <v>1.33</v>
      </c>
    </row>
    <row r="89" spans="1:32" hidden="1" x14ac:dyDescent="0.3">
      <c r="A89" s="7">
        <v>86</v>
      </c>
      <c r="B89" s="10" t="s">
        <v>162</v>
      </c>
      <c r="C89" s="10" t="s">
        <v>34</v>
      </c>
      <c r="D89" s="10">
        <v>3</v>
      </c>
      <c r="E89" s="10">
        <v>10</v>
      </c>
      <c r="F89" s="10" t="s">
        <v>158</v>
      </c>
      <c r="G89" s="39" t="s">
        <v>159</v>
      </c>
      <c r="H89" s="10">
        <v>1516</v>
      </c>
      <c r="I89" s="40">
        <v>0.14000000000000001</v>
      </c>
      <c r="J89" s="41">
        <v>0.15</v>
      </c>
      <c r="K89" s="41">
        <v>1.1000000000000001</v>
      </c>
      <c r="L89" s="40">
        <v>1.4999999999999999E-2</v>
      </c>
      <c r="M89" s="40">
        <v>0.01</v>
      </c>
      <c r="N89" s="40"/>
      <c r="O89" s="40">
        <v>1.2E-2</v>
      </c>
      <c r="P89" s="40">
        <v>0.04</v>
      </c>
      <c r="Q89" s="40">
        <v>0.02</v>
      </c>
      <c r="R89" s="40" t="s">
        <v>39</v>
      </c>
      <c r="S89" s="42"/>
      <c r="T89" s="41"/>
      <c r="U89" s="41"/>
      <c r="V89" s="41"/>
      <c r="W89" s="41"/>
      <c r="X89" s="42" t="s">
        <v>39</v>
      </c>
      <c r="Y89" s="43" t="s">
        <v>39</v>
      </c>
      <c r="Z89" s="10">
        <v>45</v>
      </c>
      <c r="AA89" s="43"/>
      <c r="AB89" s="29" cm="1">
        <f t="array" ref="AB89">IF(R89="",IF(Q89="",0,(_xlfn.IFS(Q89=0.01,0.67,Q89=0.015,1,Q89=0.015,1.33,Q89=0.02,1.67,Q89=0.025,2,Q89=0.03,2.33,Q89=0.035,2.67,Q89=0.04,3)+IF(J89&lt;=0.03,"0.33",0))),(_xlfn.IFS(R89=0.01,0.67,R89=0.015,1,R89=0.015,1.33,R89=0.02,1.67,R89=0.025,2,R89=0.03,2.33,R89=0.035,2.67,R89=0.04,3)+IF(J89&lt;=0.03,"0.33",0)))</f>
        <v>1.67</v>
      </c>
      <c r="AC89" s="29">
        <f t="shared" si="2"/>
        <v>1.3468013468013469</v>
      </c>
      <c r="AD89" s="20">
        <f>VLOOKUP(F89,铝耗2026年!$A$2:$B$5000,2,0)</f>
        <v>1.3508811360283699</v>
      </c>
      <c r="AE89" s="20">
        <f>VLOOKUP(F89,铝耗2025年!$A$2:$B$5000,2,0)</f>
        <v>1.33</v>
      </c>
      <c r="AF89" s="20">
        <f t="shared" si="3"/>
        <v>1.3508811360283699</v>
      </c>
    </row>
    <row r="90" spans="1:32" hidden="1" x14ac:dyDescent="0.3">
      <c r="A90" s="7">
        <v>87</v>
      </c>
      <c r="B90" s="10" t="s">
        <v>162</v>
      </c>
      <c r="C90" s="10" t="s">
        <v>37</v>
      </c>
      <c r="D90" s="10">
        <v>10.01</v>
      </c>
      <c r="E90" s="10">
        <v>25</v>
      </c>
      <c r="F90" s="10" t="s">
        <v>160</v>
      </c>
      <c r="G90" s="39" t="s">
        <v>159</v>
      </c>
      <c r="H90" s="10">
        <v>1516</v>
      </c>
      <c r="I90" s="40">
        <v>0.14000000000000001</v>
      </c>
      <c r="J90" s="41">
        <v>0.15</v>
      </c>
      <c r="K90" s="41">
        <v>1.2</v>
      </c>
      <c r="L90" s="40">
        <v>1.4999999999999999E-2</v>
      </c>
      <c r="M90" s="40">
        <v>0.01</v>
      </c>
      <c r="N90" s="40"/>
      <c r="O90" s="40">
        <v>1.2E-2</v>
      </c>
      <c r="P90" s="40">
        <v>0.04</v>
      </c>
      <c r="Q90" s="40">
        <v>0.02</v>
      </c>
      <c r="R90" s="40" t="s">
        <v>39</v>
      </c>
      <c r="S90" s="42"/>
      <c r="T90" s="41"/>
      <c r="U90" s="41"/>
      <c r="V90" s="41"/>
      <c r="W90" s="41"/>
      <c r="X90" s="42" t="s">
        <v>39</v>
      </c>
      <c r="Y90" s="43" t="s">
        <v>39</v>
      </c>
      <c r="Z90" s="10">
        <v>45</v>
      </c>
      <c r="AA90" s="43"/>
      <c r="AB90" s="29" cm="1">
        <f t="array" ref="AB90">IF(R90="",IF(Q90="",0,(_xlfn.IFS(Q90=0.01,0.67,Q90=0.015,1,Q90=0.015,1.33,Q90=0.02,1.67,Q90=0.025,2,Q90=0.03,2.33,Q90=0.035,2.67,Q90=0.04,3)+IF(J90&lt;=0.03,"0.33",0))),(_xlfn.IFS(R90=0.01,0.67,R90=0.015,1,R90=0.015,1.33,R90=0.02,1.67,R90=0.025,2,R90=0.03,2.33,R90=0.035,2.67,R90=0.04,3)+IF(J90&lt;=0.03,"0.33",0)))</f>
        <v>1.67</v>
      </c>
      <c r="AC90" s="29">
        <f t="shared" si="2"/>
        <v>1.3468013468013469</v>
      </c>
      <c r="AD90" s="20">
        <f>VLOOKUP(F90,铝耗2026年!$A$2:$B$5000,2,0)</f>
        <v>1.3041365135473799</v>
      </c>
      <c r="AE90" s="20">
        <f>VLOOKUP(F90,铝耗2025年!$A$2:$B$5000,2,0)</f>
        <v>1.33</v>
      </c>
      <c r="AF90" s="20">
        <f t="shared" si="3"/>
        <v>1.33</v>
      </c>
    </row>
    <row r="91" spans="1:32" hidden="1" x14ac:dyDescent="0.3">
      <c r="A91" s="7">
        <v>88</v>
      </c>
      <c r="B91" s="10" t="s">
        <v>163</v>
      </c>
      <c r="C91" s="10" t="s">
        <v>34</v>
      </c>
      <c r="D91" s="10">
        <v>3</v>
      </c>
      <c r="E91" s="10">
        <v>10</v>
      </c>
      <c r="F91" s="10" t="s">
        <v>158</v>
      </c>
      <c r="G91" s="39" t="s">
        <v>159</v>
      </c>
      <c r="H91" s="10">
        <v>1516</v>
      </c>
      <c r="I91" s="40">
        <v>0.14000000000000001</v>
      </c>
      <c r="J91" s="41">
        <v>0.15</v>
      </c>
      <c r="K91" s="41">
        <v>1.1000000000000001</v>
      </c>
      <c r="L91" s="40">
        <v>1.4999999999999999E-2</v>
      </c>
      <c r="M91" s="40">
        <v>0.01</v>
      </c>
      <c r="N91" s="40"/>
      <c r="O91" s="40">
        <v>1.2E-2</v>
      </c>
      <c r="P91" s="40">
        <v>0.04</v>
      </c>
      <c r="Q91" s="40">
        <v>0.02</v>
      </c>
      <c r="R91" s="40" t="s">
        <v>39</v>
      </c>
      <c r="S91" s="42"/>
      <c r="T91" s="41"/>
      <c r="U91" s="41"/>
      <c r="V91" s="41"/>
      <c r="W91" s="41"/>
      <c r="X91" s="42" t="s">
        <v>39</v>
      </c>
      <c r="Y91" s="43" t="s">
        <v>39</v>
      </c>
      <c r="Z91" s="10">
        <v>45</v>
      </c>
      <c r="AA91" s="43"/>
      <c r="AB91" s="29" cm="1">
        <f t="array" ref="AB91">IF(R91="",IF(Q91="",0,(_xlfn.IFS(Q91=0.01,0.67,Q91=0.015,1,Q91=0.015,1.33,Q91=0.02,1.67,Q91=0.025,2,Q91=0.03,2.33,Q91=0.035,2.67,Q91=0.04,3)+IF(J91&lt;=0.03,"0.33",0))),(_xlfn.IFS(R91=0.01,0.67,R91=0.015,1,R91=0.015,1.33,R91=0.02,1.67,R91=0.025,2,R91=0.03,2.33,R91=0.035,2.67,R91=0.04,3)+IF(J91&lt;=0.03,"0.33",0)))</f>
        <v>1.67</v>
      </c>
      <c r="AC91" s="29">
        <f t="shared" si="2"/>
        <v>1.3468013468013469</v>
      </c>
      <c r="AD91" s="20">
        <f>VLOOKUP(F91,铝耗2026年!$A$2:$B$5000,2,0)</f>
        <v>1.3508811360283699</v>
      </c>
      <c r="AE91" s="20">
        <f>VLOOKUP(F91,铝耗2025年!$A$2:$B$5000,2,0)</f>
        <v>1.33</v>
      </c>
      <c r="AF91" s="20">
        <f t="shared" si="3"/>
        <v>1.3508811360283699</v>
      </c>
    </row>
    <row r="92" spans="1:32" hidden="1" x14ac:dyDescent="0.3">
      <c r="A92" s="7">
        <v>89</v>
      </c>
      <c r="B92" s="10" t="s">
        <v>163</v>
      </c>
      <c r="C92" s="10" t="s">
        <v>37</v>
      </c>
      <c r="D92" s="10">
        <v>10.01</v>
      </c>
      <c r="E92" s="10">
        <v>25</v>
      </c>
      <c r="F92" s="10" t="s">
        <v>160</v>
      </c>
      <c r="G92" s="39" t="s">
        <v>159</v>
      </c>
      <c r="H92" s="10">
        <v>1516</v>
      </c>
      <c r="I92" s="40">
        <v>0.14000000000000001</v>
      </c>
      <c r="J92" s="41">
        <v>0.15</v>
      </c>
      <c r="K92" s="41">
        <v>1.2</v>
      </c>
      <c r="L92" s="40">
        <v>1.4999999999999999E-2</v>
      </c>
      <c r="M92" s="40">
        <v>0.01</v>
      </c>
      <c r="N92" s="40"/>
      <c r="O92" s="40">
        <v>1.2E-2</v>
      </c>
      <c r="P92" s="40">
        <v>0.04</v>
      </c>
      <c r="Q92" s="40">
        <v>0.02</v>
      </c>
      <c r="R92" s="40" t="s">
        <v>39</v>
      </c>
      <c r="S92" s="42"/>
      <c r="T92" s="41"/>
      <c r="U92" s="41"/>
      <c r="V92" s="41"/>
      <c r="W92" s="41"/>
      <c r="X92" s="42" t="s">
        <v>39</v>
      </c>
      <c r="Y92" s="43" t="s">
        <v>39</v>
      </c>
      <c r="Z92" s="10">
        <v>45</v>
      </c>
      <c r="AA92" s="43"/>
      <c r="AB92" s="29" cm="1">
        <f t="array" ref="AB92">IF(R92="",IF(Q92="",0,(_xlfn.IFS(Q92=0.01,0.67,Q92=0.015,1,Q92=0.015,1.33,Q92=0.02,1.67,Q92=0.025,2,Q92=0.03,2.33,Q92=0.035,2.67,Q92=0.04,3)+IF(J92&lt;=0.03,"0.33",0))),(_xlfn.IFS(R92=0.01,0.67,R92=0.015,1,R92=0.015,1.33,R92=0.02,1.67,R92=0.025,2,R92=0.03,2.33,R92=0.035,2.67,R92=0.04,3)+IF(J92&lt;=0.03,"0.33",0)))</f>
        <v>1.67</v>
      </c>
      <c r="AC92" s="29">
        <f t="shared" si="2"/>
        <v>1.3468013468013469</v>
      </c>
      <c r="AD92" s="20">
        <f>VLOOKUP(F92,铝耗2026年!$A$2:$B$5000,2,0)</f>
        <v>1.3041365135473799</v>
      </c>
      <c r="AE92" s="20">
        <f>VLOOKUP(F92,铝耗2025年!$A$2:$B$5000,2,0)</f>
        <v>1.33</v>
      </c>
      <c r="AF92" s="20">
        <f t="shared" si="3"/>
        <v>1.33</v>
      </c>
    </row>
    <row r="93" spans="1:32" hidden="1" x14ac:dyDescent="0.3">
      <c r="A93" s="7">
        <v>90</v>
      </c>
      <c r="B93" s="10" t="s">
        <v>164</v>
      </c>
      <c r="C93" s="10" t="s">
        <v>34</v>
      </c>
      <c r="D93" s="10">
        <v>3</v>
      </c>
      <c r="E93" s="10">
        <v>10</v>
      </c>
      <c r="F93" s="10" t="s">
        <v>165</v>
      </c>
      <c r="G93" s="39" t="s">
        <v>166</v>
      </c>
      <c r="H93" s="10">
        <v>1516</v>
      </c>
      <c r="I93" s="40">
        <v>0.14000000000000001</v>
      </c>
      <c r="J93" s="41">
        <v>0.15</v>
      </c>
      <c r="K93" s="41">
        <v>1.1000000000000001</v>
      </c>
      <c r="L93" s="40">
        <v>1.4999999999999999E-2</v>
      </c>
      <c r="M93" s="40">
        <v>6.0000000000000001E-3</v>
      </c>
      <c r="N93" s="40"/>
      <c r="O93" s="40">
        <v>0.02</v>
      </c>
      <c r="P93" s="40">
        <v>3.5000000000000003E-2</v>
      </c>
      <c r="Q93" s="40">
        <v>0.02</v>
      </c>
      <c r="R93" s="40" t="s">
        <v>39</v>
      </c>
      <c r="S93" s="42"/>
      <c r="T93" s="41"/>
      <c r="U93" s="41"/>
      <c r="V93" s="41"/>
      <c r="W93" s="41"/>
      <c r="X93" s="42" t="s">
        <v>39</v>
      </c>
      <c r="Y93" s="43" t="s">
        <v>39</v>
      </c>
      <c r="Z93" s="10">
        <v>45</v>
      </c>
      <c r="AA93" s="43"/>
      <c r="AB93" s="29" cm="1">
        <f t="array" ref="AB93">IF(R93="",IF(Q93="",0,(_xlfn.IFS(Q93=0.01,0.67,Q93=0.015,1,Q93=0.015,1.33,Q93=0.02,1.67,Q93=0.025,2,Q93=0.03,2.33,Q93=0.035,2.67,Q93=0.04,3)+IF(J93&lt;=0.03,"0.33",0))),(_xlfn.IFS(R93=0.01,0.67,R93=0.015,1,R93=0.015,1.33,R93=0.02,1.67,R93=0.025,2,R93=0.03,2.33,R93=0.035,2.67,R93=0.04,3)+IF(J93&lt;=0.03,"0.33",0)))</f>
        <v>1.67</v>
      </c>
      <c r="AC93" s="29">
        <f t="shared" si="2"/>
        <v>1.3468013468013469</v>
      </c>
      <c r="AD93" s="20">
        <f>VLOOKUP(F93,铝耗2026年!$A$2:$B$5000,2,0)</f>
        <v>1.3662663130713899</v>
      </c>
      <c r="AE93" s="20">
        <f>VLOOKUP(F93,铝耗2025年!$A$2:$B$5000,2,0)</f>
        <v>1.33</v>
      </c>
      <c r="AF93" s="20">
        <f t="shared" si="3"/>
        <v>1.3662663130713899</v>
      </c>
    </row>
    <row r="94" spans="1:32" hidden="1" x14ac:dyDescent="0.3">
      <c r="A94" s="7">
        <v>91</v>
      </c>
      <c r="B94" s="10" t="s">
        <v>164</v>
      </c>
      <c r="C94" s="10" t="s">
        <v>37</v>
      </c>
      <c r="D94" s="10">
        <v>10.01</v>
      </c>
      <c r="E94" s="10">
        <v>24</v>
      </c>
      <c r="F94" s="10" t="s">
        <v>167</v>
      </c>
      <c r="G94" s="39" t="s">
        <v>166</v>
      </c>
      <c r="H94" s="10">
        <v>1516</v>
      </c>
      <c r="I94" s="40">
        <v>0.14000000000000001</v>
      </c>
      <c r="J94" s="41">
        <v>0.15</v>
      </c>
      <c r="K94" s="41">
        <v>1.2</v>
      </c>
      <c r="L94" s="40">
        <v>1.4999999999999999E-2</v>
      </c>
      <c r="M94" s="40">
        <v>5.0000000000000001E-3</v>
      </c>
      <c r="N94" s="40"/>
      <c r="O94" s="40">
        <v>0.02</v>
      </c>
      <c r="P94" s="40">
        <v>3.5000000000000003E-2</v>
      </c>
      <c r="Q94" s="40">
        <v>0.02</v>
      </c>
      <c r="R94" s="40" t="s">
        <v>39</v>
      </c>
      <c r="S94" s="42"/>
      <c r="T94" s="41"/>
      <c r="U94" s="41"/>
      <c r="V94" s="41"/>
      <c r="W94" s="41"/>
      <c r="X94" s="42" t="s">
        <v>39</v>
      </c>
      <c r="Y94" s="43" t="s">
        <v>39</v>
      </c>
      <c r="Z94" s="10">
        <v>45</v>
      </c>
      <c r="AA94" s="43"/>
      <c r="AB94" s="29" cm="1">
        <f t="array" ref="AB94">IF(R94="",IF(Q94="",0,(_xlfn.IFS(Q94=0.01,0.67,Q94=0.015,1,Q94=0.015,1.33,Q94=0.02,1.67,Q94=0.025,2,Q94=0.03,2.33,Q94=0.035,2.67,Q94=0.04,3)+IF(J94&lt;=0.03,"0.33",0))),(_xlfn.IFS(R94=0.01,0.67,R94=0.015,1,R94=0.015,1.33,R94=0.02,1.67,R94=0.025,2,R94=0.03,2.33,R94=0.035,2.67,R94=0.04,3)+IF(J94&lt;=0.03,"0.33",0)))</f>
        <v>1.67</v>
      </c>
      <c r="AC94" s="29">
        <f t="shared" si="2"/>
        <v>1.3468013468013469</v>
      </c>
      <c r="AD94" s="20">
        <f>VLOOKUP(F94,铝耗2026年!$A$2:$B$5000,2,0)</f>
        <v>1.42001633532601</v>
      </c>
      <c r="AE94" s="20">
        <f>VLOOKUP(F94,铝耗2025年!$A$2:$B$5000,2,0)</f>
        <v>1.33</v>
      </c>
      <c r="AF94" s="20">
        <f t="shared" si="3"/>
        <v>1.42001633532601</v>
      </c>
    </row>
    <row r="95" spans="1:32" hidden="1" x14ac:dyDescent="0.3">
      <c r="A95" s="7">
        <v>92</v>
      </c>
      <c r="B95" s="11" t="s">
        <v>168</v>
      </c>
      <c r="C95" s="11" t="s">
        <v>34</v>
      </c>
      <c r="D95" s="11">
        <v>3</v>
      </c>
      <c r="E95" s="11">
        <v>10</v>
      </c>
      <c r="F95" s="11" t="s">
        <v>165</v>
      </c>
      <c r="G95" s="11" t="s">
        <v>166</v>
      </c>
      <c r="H95" s="11">
        <v>1516</v>
      </c>
      <c r="I95" s="11">
        <v>0.14000000000000001</v>
      </c>
      <c r="J95" s="11">
        <v>0.15</v>
      </c>
      <c r="K95" s="11">
        <v>1.1000000000000001</v>
      </c>
      <c r="L95" s="11">
        <v>1.4999999999999999E-2</v>
      </c>
      <c r="M95" s="11">
        <v>6.0000000000000001E-3</v>
      </c>
      <c r="N95" s="11">
        <v>0</v>
      </c>
      <c r="O95" s="11">
        <v>0.02</v>
      </c>
      <c r="P95" s="11">
        <v>3.5000000000000003E-2</v>
      </c>
      <c r="Q95" s="11">
        <v>0.02</v>
      </c>
      <c r="R95" s="11" t="s">
        <v>39</v>
      </c>
      <c r="S95" s="11">
        <v>0</v>
      </c>
      <c r="T95" s="11">
        <v>0</v>
      </c>
      <c r="U95" s="11">
        <v>0</v>
      </c>
      <c r="V95" s="11">
        <v>0</v>
      </c>
      <c r="W95" s="11" t="s">
        <v>39</v>
      </c>
      <c r="X95" s="11" t="s">
        <v>39</v>
      </c>
      <c r="Y95" s="11"/>
      <c r="Z95" s="11">
        <v>45</v>
      </c>
      <c r="AA95" s="44"/>
      <c r="AB95" s="29" cm="1">
        <f t="array" ref="AB95">IF(R95="",IF(Q95="",0,(_xlfn.IFS(Q95=0.01,0.67,Q95=0.015,1,Q95=0.015,1.33,Q95=0.02,1.67,Q95=0.025,2,Q95=0.03,2.33,Q95=0.035,2.67,Q95=0.04,3)+IF(J95&lt;=0.03,"0.33",0))),(_xlfn.IFS(R95=0.01,0.67,R95=0.015,1,R95=0.015,1.33,R95=0.02,1.67,R95=0.025,2,R95=0.03,2.33,R95=0.035,2.67,R95=0.04,3)+IF(J95&lt;=0.03,"0.33",0)))</f>
        <v>1.67</v>
      </c>
      <c r="AC95" s="29">
        <f t="shared" si="2"/>
        <v>1.3468013468013469</v>
      </c>
      <c r="AD95" s="20">
        <f>VLOOKUP(F95,铝耗2026年!$A$2:$B$5000,2,0)</f>
        <v>1.3662663130713899</v>
      </c>
      <c r="AE95" s="20">
        <f>VLOOKUP(F95,铝耗2025年!$A$2:$B$5000,2,0)</f>
        <v>1.33</v>
      </c>
      <c r="AF95" s="20">
        <f t="shared" si="3"/>
        <v>1.3662663130713899</v>
      </c>
    </row>
    <row r="96" spans="1:32" hidden="1" x14ac:dyDescent="0.3">
      <c r="A96" s="7">
        <v>93</v>
      </c>
      <c r="B96" s="11" t="s">
        <v>168</v>
      </c>
      <c r="C96" s="11" t="s">
        <v>37</v>
      </c>
      <c r="D96" s="11">
        <v>10.01</v>
      </c>
      <c r="E96" s="11">
        <v>24</v>
      </c>
      <c r="F96" s="11" t="s">
        <v>167</v>
      </c>
      <c r="G96" s="11" t="s">
        <v>166</v>
      </c>
      <c r="H96" s="11">
        <v>1516</v>
      </c>
      <c r="I96" s="11">
        <v>0.14000000000000001</v>
      </c>
      <c r="J96" s="11">
        <v>0.15</v>
      </c>
      <c r="K96" s="11">
        <v>1.2</v>
      </c>
      <c r="L96" s="11">
        <v>1.4999999999999999E-2</v>
      </c>
      <c r="M96" s="11">
        <v>5.0000000000000001E-3</v>
      </c>
      <c r="N96" s="11">
        <v>0</v>
      </c>
      <c r="O96" s="11">
        <v>0.02</v>
      </c>
      <c r="P96" s="11">
        <v>3.5000000000000003E-2</v>
      </c>
      <c r="Q96" s="11">
        <v>0.02</v>
      </c>
      <c r="R96" s="11" t="s">
        <v>39</v>
      </c>
      <c r="S96" s="11">
        <v>0</v>
      </c>
      <c r="T96" s="11">
        <v>0</v>
      </c>
      <c r="U96" s="11">
        <v>0</v>
      </c>
      <c r="V96" s="11">
        <v>0</v>
      </c>
      <c r="W96" s="11" t="s">
        <v>39</v>
      </c>
      <c r="X96" s="11" t="s">
        <v>39</v>
      </c>
      <c r="Y96" s="11"/>
      <c r="Z96" s="11">
        <v>45</v>
      </c>
      <c r="AA96" s="44"/>
      <c r="AB96" s="29" cm="1">
        <f t="array" ref="AB96">IF(R96="",IF(Q96="",0,(_xlfn.IFS(Q96=0.01,0.67,Q96=0.015,1,Q96=0.015,1.33,Q96=0.02,1.67,Q96=0.025,2,Q96=0.03,2.33,Q96=0.035,2.67,Q96=0.04,3)+IF(J96&lt;=0.03,"0.33",0))),(_xlfn.IFS(R96=0.01,0.67,R96=0.015,1,R96=0.015,1.33,R96=0.02,1.67,R96=0.025,2,R96=0.03,2.33,R96=0.035,2.67,R96=0.04,3)+IF(J96&lt;=0.03,"0.33",0)))</f>
        <v>1.67</v>
      </c>
      <c r="AC96" s="29">
        <f t="shared" si="2"/>
        <v>1.3468013468013469</v>
      </c>
      <c r="AD96" s="20">
        <f>VLOOKUP(F96,铝耗2026年!$A$2:$B$5000,2,0)</f>
        <v>1.42001633532601</v>
      </c>
      <c r="AE96" s="20">
        <f>VLOOKUP(F96,铝耗2025年!$A$2:$B$5000,2,0)</f>
        <v>1.33</v>
      </c>
      <c r="AF96" s="20">
        <f t="shared" si="3"/>
        <v>1.42001633532601</v>
      </c>
    </row>
    <row r="97" spans="1:32" hidden="1" x14ac:dyDescent="0.3">
      <c r="A97" s="7">
        <v>94</v>
      </c>
      <c r="B97" s="10" t="s">
        <v>169</v>
      </c>
      <c r="C97" s="10" t="s">
        <v>34</v>
      </c>
      <c r="D97" s="10">
        <v>3</v>
      </c>
      <c r="E97" s="10">
        <v>10</v>
      </c>
      <c r="F97" s="10" t="s">
        <v>170</v>
      </c>
      <c r="G97" s="39" t="s">
        <v>171</v>
      </c>
      <c r="H97" s="10">
        <v>1516</v>
      </c>
      <c r="I97" s="40">
        <v>0.14000000000000001</v>
      </c>
      <c r="J97" s="41">
        <v>0.15</v>
      </c>
      <c r="K97" s="41">
        <v>1.1000000000000001</v>
      </c>
      <c r="L97" s="40">
        <v>1.2E-2</v>
      </c>
      <c r="M97" s="40">
        <v>5.0000000000000001E-3</v>
      </c>
      <c r="N97" s="40"/>
      <c r="O97" s="40">
        <v>0.02</v>
      </c>
      <c r="P97" s="40">
        <v>3.5000000000000003E-2</v>
      </c>
      <c r="Q97" s="40">
        <v>0.02</v>
      </c>
      <c r="R97" s="40" t="s">
        <v>39</v>
      </c>
      <c r="S97" s="42"/>
      <c r="T97" s="41"/>
      <c r="U97" s="41"/>
      <c r="V97" s="41"/>
      <c r="W97" s="41"/>
      <c r="X97" s="42" t="s">
        <v>39</v>
      </c>
      <c r="Y97" s="43" t="s">
        <v>39</v>
      </c>
      <c r="Z97" s="10">
        <v>45</v>
      </c>
      <c r="AA97" s="43"/>
      <c r="AB97" s="29" cm="1">
        <f t="array" ref="AB97">IF(R97="",IF(Q97="",0,(_xlfn.IFS(Q97=0.01,0.67,Q97=0.015,1,Q97=0.015,1.33,Q97=0.02,1.67,Q97=0.025,2,Q97=0.03,2.33,Q97=0.035,2.67,Q97=0.04,3)+IF(J97&lt;=0.03,"0.33",0))),(_xlfn.IFS(R97=0.01,0.67,R97=0.015,1,R97=0.015,1.33,R97=0.02,1.67,R97=0.025,2,R97=0.03,2.33,R97=0.035,2.67,R97=0.04,3)+IF(J97&lt;=0.03,"0.33",0)))</f>
        <v>1.67</v>
      </c>
      <c r="AC97" s="29">
        <f t="shared" si="2"/>
        <v>1.3468013468013469</v>
      </c>
      <c r="AD97" s="20">
        <f>VLOOKUP(F97,铝耗2026年!$A$2:$B$5000,2,0)</f>
        <v>1.2673983914979201</v>
      </c>
      <c r="AE97" s="20">
        <f>VLOOKUP(F97,铝耗2025年!$A$2:$B$5000,2,0)</f>
        <v>1.33</v>
      </c>
      <c r="AF97" s="20">
        <f t="shared" si="3"/>
        <v>1.33</v>
      </c>
    </row>
    <row r="98" spans="1:32" hidden="1" x14ac:dyDescent="0.3">
      <c r="A98" s="7">
        <v>95</v>
      </c>
      <c r="B98" s="10" t="s">
        <v>169</v>
      </c>
      <c r="C98" s="10" t="s">
        <v>37</v>
      </c>
      <c r="D98" s="10">
        <v>10.01</v>
      </c>
      <c r="E98" s="10">
        <v>25</v>
      </c>
      <c r="F98" s="10" t="s">
        <v>172</v>
      </c>
      <c r="G98" s="39" t="s">
        <v>171</v>
      </c>
      <c r="H98" s="10">
        <v>1516</v>
      </c>
      <c r="I98" s="40">
        <v>0.14000000000000001</v>
      </c>
      <c r="J98" s="41">
        <v>0.15</v>
      </c>
      <c r="K98" s="41">
        <v>1.2</v>
      </c>
      <c r="L98" s="40">
        <v>1.2E-2</v>
      </c>
      <c r="M98" s="40">
        <v>5.0000000000000001E-3</v>
      </c>
      <c r="N98" s="40"/>
      <c r="O98" s="40">
        <v>0.02</v>
      </c>
      <c r="P98" s="40">
        <v>3.5000000000000003E-2</v>
      </c>
      <c r="Q98" s="40">
        <v>0.02</v>
      </c>
      <c r="R98" s="40" t="s">
        <v>39</v>
      </c>
      <c r="S98" s="42"/>
      <c r="T98" s="41"/>
      <c r="U98" s="41"/>
      <c r="V98" s="41"/>
      <c r="W98" s="41"/>
      <c r="X98" s="42" t="s">
        <v>39</v>
      </c>
      <c r="Y98" s="43" t="s">
        <v>39</v>
      </c>
      <c r="Z98" s="10">
        <v>45</v>
      </c>
      <c r="AA98" s="43"/>
      <c r="AB98" s="29" cm="1">
        <f t="array" ref="AB98">IF(R98="",IF(Q98="",0,(_xlfn.IFS(Q98=0.01,0.67,Q98=0.015,1,Q98=0.015,1.33,Q98=0.02,1.67,Q98=0.025,2,Q98=0.03,2.33,Q98=0.035,2.67,Q98=0.04,3)+IF(J98&lt;=0.03,"0.33",0))),(_xlfn.IFS(R98=0.01,0.67,R98=0.015,1,R98=0.015,1.33,R98=0.02,1.67,R98=0.025,2,R98=0.03,2.33,R98=0.035,2.67,R98=0.04,3)+IF(J98&lt;=0.03,"0.33",0)))</f>
        <v>1.67</v>
      </c>
      <c r="AC98" s="29">
        <f t="shared" si="2"/>
        <v>1.3468013468013469</v>
      </c>
      <c r="AD98" s="20" t="e">
        <f>VLOOKUP(F98,铝耗2026年!$A$2:$B$5000,2,0)</f>
        <v>#N/A</v>
      </c>
      <c r="AE98" s="20">
        <f>VLOOKUP(F98,铝耗2025年!$A$2:$B$5000,2,0)</f>
        <v>1.33</v>
      </c>
      <c r="AF98" s="37">
        <v>1.33</v>
      </c>
    </row>
    <row r="99" spans="1:32" hidden="1" x14ac:dyDescent="0.3">
      <c r="A99" s="7">
        <v>96</v>
      </c>
      <c r="B99" s="10" t="s">
        <v>173</v>
      </c>
      <c r="C99" s="10" t="s">
        <v>34</v>
      </c>
      <c r="D99" s="10">
        <v>3</v>
      </c>
      <c r="E99" s="10">
        <v>10</v>
      </c>
      <c r="F99" s="10" t="s">
        <v>170</v>
      </c>
      <c r="G99" s="39" t="s">
        <v>171</v>
      </c>
      <c r="H99" s="10">
        <v>1516</v>
      </c>
      <c r="I99" s="40">
        <v>0.14000000000000001</v>
      </c>
      <c r="J99" s="41">
        <v>0.15</v>
      </c>
      <c r="K99" s="41">
        <v>1.1000000000000001</v>
      </c>
      <c r="L99" s="40">
        <v>1.2E-2</v>
      </c>
      <c r="M99" s="40">
        <v>5.0000000000000001E-3</v>
      </c>
      <c r="N99" s="40"/>
      <c r="O99" s="40">
        <v>0.02</v>
      </c>
      <c r="P99" s="40">
        <v>3.5000000000000003E-2</v>
      </c>
      <c r="Q99" s="40">
        <v>0.02</v>
      </c>
      <c r="R99" s="40" t="s">
        <v>39</v>
      </c>
      <c r="S99" s="42"/>
      <c r="T99" s="41"/>
      <c r="U99" s="41"/>
      <c r="V99" s="41"/>
      <c r="W99" s="41"/>
      <c r="X99" s="42" t="s">
        <v>39</v>
      </c>
      <c r="Y99" s="43" t="s">
        <v>39</v>
      </c>
      <c r="Z99" s="10">
        <v>45</v>
      </c>
      <c r="AA99" s="43"/>
      <c r="AB99" s="29" cm="1">
        <f t="array" ref="AB99">IF(R99="",IF(Q99="",0,(_xlfn.IFS(Q99=0.01,0.67,Q99=0.015,1,Q99=0.015,1.33,Q99=0.02,1.67,Q99=0.025,2,Q99=0.03,2.33,Q99=0.035,2.67,Q99=0.04,3)+IF(J99&lt;=0.03,"0.33",0))),(_xlfn.IFS(R99=0.01,0.67,R99=0.015,1,R99=0.015,1.33,R99=0.02,1.67,R99=0.025,2,R99=0.03,2.33,R99=0.035,2.67,R99=0.04,3)+IF(J99&lt;=0.03,"0.33",0)))</f>
        <v>1.67</v>
      </c>
      <c r="AC99" s="29">
        <f t="shared" si="2"/>
        <v>1.3468013468013469</v>
      </c>
      <c r="AD99" s="20">
        <f>VLOOKUP(F99,铝耗2026年!$A$2:$B$5000,2,0)</f>
        <v>1.2673983914979201</v>
      </c>
      <c r="AE99" s="20">
        <f>VLOOKUP(F99,铝耗2025年!$A$2:$B$5000,2,0)</f>
        <v>1.33</v>
      </c>
      <c r="AF99" s="20">
        <f t="shared" si="3"/>
        <v>1.33</v>
      </c>
    </row>
    <row r="100" spans="1:32" hidden="1" x14ac:dyDescent="0.3">
      <c r="A100" s="7">
        <v>97</v>
      </c>
      <c r="B100" s="10" t="s">
        <v>173</v>
      </c>
      <c r="C100" s="10" t="s">
        <v>37</v>
      </c>
      <c r="D100" s="10">
        <v>10.01</v>
      </c>
      <c r="E100" s="10">
        <v>25</v>
      </c>
      <c r="F100" s="10" t="s">
        <v>172</v>
      </c>
      <c r="G100" s="39" t="s">
        <v>171</v>
      </c>
      <c r="H100" s="10">
        <v>1516</v>
      </c>
      <c r="I100" s="40">
        <v>0.14000000000000001</v>
      </c>
      <c r="J100" s="41">
        <v>0.15</v>
      </c>
      <c r="K100" s="41">
        <v>1.2</v>
      </c>
      <c r="L100" s="40">
        <v>1.2E-2</v>
      </c>
      <c r="M100" s="40">
        <v>5.0000000000000001E-3</v>
      </c>
      <c r="N100" s="40"/>
      <c r="O100" s="40">
        <v>0.02</v>
      </c>
      <c r="P100" s="40">
        <v>3.5000000000000003E-2</v>
      </c>
      <c r="Q100" s="40">
        <v>0.02</v>
      </c>
      <c r="R100" s="40" t="s">
        <v>39</v>
      </c>
      <c r="S100" s="42"/>
      <c r="T100" s="41"/>
      <c r="U100" s="41"/>
      <c r="V100" s="41"/>
      <c r="W100" s="41"/>
      <c r="X100" s="42" t="s">
        <v>39</v>
      </c>
      <c r="Y100" s="43" t="s">
        <v>39</v>
      </c>
      <c r="Z100" s="10">
        <v>45</v>
      </c>
      <c r="AA100" s="43"/>
      <c r="AB100" s="29" cm="1">
        <f t="array" ref="AB100">IF(R100="",IF(Q100="",0,(_xlfn.IFS(Q100=0.01,0.67,Q100=0.015,1,Q100=0.015,1.33,Q100=0.02,1.67,Q100=0.025,2,Q100=0.03,2.33,Q100=0.035,2.67,Q100=0.04,3)+IF(J100&lt;=0.03,"0.33",0))),(_xlfn.IFS(R100=0.01,0.67,R100=0.015,1,R100=0.015,1.33,R100=0.02,1.67,R100=0.025,2,R100=0.03,2.33,R100=0.035,2.67,R100=0.04,3)+IF(J100&lt;=0.03,"0.33",0)))</f>
        <v>1.67</v>
      </c>
      <c r="AC100" s="29">
        <f t="shared" si="2"/>
        <v>1.3468013468013469</v>
      </c>
      <c r="AD100" s="20" t="e">
        <f>VLOOKUP(F100,铝耗2026年!$A$2:$B$5000,2,0)</f>
        <v>#N/A</v>
      </c>
      <c r="AE100" s="20">
        <f>VLOOKUP(F100,铝耗2025年!$A$2:$B$5000,2,0)</f>
        <v>1.33</v>
      </c>
      <c r="AF100" s="37">
        <v>1.33</v>
      </c>
    </row>
    <row r="101" spans="1:32" hidden="1" x14ac:dyDescent="0.3">
      <c r="A101" s="7">
        <v>98</v>
      </c>
      <c r="B101" s="10" t="s">
        <v>174</v>
      </c>
      <c r="C101" s="10" t="s">
        <v>34</v>
      </c>
      <c r="D101" s="10">
        <v>3</v>
      </c>
      <c r="E101" s="10">
        <v>10</v>
      </c>
      <c r="F101" s="10" t="s">
        <v>170</v>
      </c>
      <c r="G101" s="39" t="s">
        <v>171</v>
      </c>
      <c r="H101" s="10">
        <v>1516</v>
      </c>
      <c r="I101" s="40">
        <v>0.14000000000000001</v>
      </c>
      <c r="J101" s="41">
        <v>0.15</v>
      </c>
      <c r="K101" s="41">
        <v>1.1000000000000001</v>
      </c>
      <c r="L101" s="40">
        <v>1.2E-2</v>
      </c>
      <c r="M101" s="40">
        <v>5.0000000000000001E-3</v>
      </c>
      <c r="N101" s="40"/>
      <c r="O101" s="40">
        <v>0.02</v>
      </c>
      <c r="P101" s="40">
        <v>3.5000000000000003E-2</v>
      </c>
      <c r="Q101" s="40">
        <v>0.02</v>
      </c>
      <c r="R101" s="40" t="s">
        <v>39</v>
      </c>
      <c r="S101" s="42"/>
      <c r="T101" s="41"/>
      <c r="U101" s="41"/>
      <c r="V101" s="41"/>
      <c r="W101" s="41"/>
      <c r="X101" s="42" t="s">
        <v>39</v>
      </c>
      <c r="Y101" s="43" t="s">
        <v>39</v>
      </c>
      <c r="Z101" s="10">
        <v>45</v>
      </c>
      <c r="AA101" s="43"/>
      <c r="AB101" s="29" cm="1">
        <f t="array" ref="AB101">IF(R101="",IF(Q101="",0,(_xlfn.IFS(Q101=0.01,0.67,Q101=0.015,1,Q101=0.015,1.33,Q101=0.02,1.67,Q101=0.025,2,Q101=0.03,2.33,Q101=0.035,2.67,Q101=0.04,3)+IF(J101&lt;=0.03,"0.33",0))),(_xlfn.IFS(R101=0.01,0.67,R101=0.015,1,R101=0.015,1.33,R101=0.02,1.67,R101=0.025,2,R101=0.03,2.33,R101=0.035,2.67,R101=0.04,3)+IF(J101&lt;=0.03,"0.33",0)))</f>
        <v>1.67</v>
      </c>
      <c r="AC101" s="29">
        <f t="shared" si="2"/>
        <v>1.3468013468013469</v>
      </c>
      <c r="AD101" s="20">
        <f>VLOOKUP(F101,铝耗2026年!$A$2:$B$5000,2,0)</f>
        <v>1.2673983914979201</v>
      </c>
      <c r="AE101" s="20">
        <f>VLOOKUP(F101,铝耗2025年!$A$2:$B$5000,2,0)</f>
        <v>1.33</v>
      </c>
      <c r="AF101" s="20">
        <f t="shared" si="3"/>
        <v>1.33</v>
      </c>
    </row>
    <row r="102" spans="1:32" hidden="1" x14ac:dyDescent="0.3">
      <c r="A102" s="7">
        <v>99</v>
      </c>
      <c r="B102" s="10" t="s">
        <v>174</v>
      </c>
      <c r="C102" s="10" t="s">
        <v>37</v>
      </c>
      <c r="D102" s="10">
        <v>10.01</v>
      </c>
      <c r="E102" s="10">
        <v>25</v>
      </c>
      <c r="F102" s="10" t="s">
        <v>172</v>
      </c>
      <c r="G102" s="39" t="s">
        <v>171</v>
      </c>
      <c r="H102" s="10">
        <v>1516</v>
      </c>
      <c r="I102" s="40">
        <v>0.14000000000000001</v>
      </c>
      <c r="J102" s="41">
        <v>0.15</v>
      </c>
      <c r="K102" s="41">
        <v>1.2</v>
      </c>
      <c r="L102" s="40">
        <v>1.2E-2</v>
      </c>
      <c r="M102" s="40">
        <v>5.0000000000000001E-3</v>
      </c>
      <c r="N102" s="40"/>
      <c r="O102" s="40">
        <v>0.02</v>
      </c>
      <c r="P102" s="40">
        <v>3.5000000000000003E-2</v>
      </c>
      <c r="Q102" s="40">
        <v>0.02</v>
      </c>
      <c r="R102" s="40" t="s">
        <v>39</v>
      </c>
      <c r="S102" s="42"/>
      <c r="T102" s="41"/>
      <c r="U102" s="41"/>
      <c r="V102" s="41"/>
      <c r="W102" s="41"/>
      <c r="X102" s="42" t="s">
        <v>39</v>
      </c>
      <c r="Y102" s="43" t="s">
        <v>39</v>
      </c>
      <c r="Z102" s="10">
        <v>45</v>
      </c>
      <c r="AA102" s="43"/>
      <c r="AB102" s="29" cm="1">
        <f t="array" ref="AB102">IF(R102="",IF(Q102="",0,(_xlfn.IFS(Q102=0.01,0.67,Q102=0.015,1,Q102=0.015,1.33,Q102=0.02,1.67,Q102=0.025,2,Q102=0.03,2.33,Q102=0.035,2.67,Q102=0.04,3)+IF(J102&lt;=0.03,"0.33",0))),(_xlfn.IFS(R102=0.01,0.67,R102=0.015,1,R102=0.015,1.33,R102=0.02,1.67,R102=0.025,2,R102=0.03,2.33,R102=0.035,2.67,R102=0.04,3)+IF(J102&lt;=0.03,"0.33",0)))</f>
        <v>1.67</v>
      </c>
      <c r="AC102" s="29">
        <f t="shared" si="2"/>
        <v>1.3468013468013469</v>
      </c>
      <c r="AD102" s="20" t="e">
        <f>VLOOKUP(F102,铝耗2026年!$A$2:$B$5000,2,0)</f>
        <v>#N/A</v>
      </c>
      <c r="AE102" s="20">
        <f>VLOOKUP(F102,铝耗2025年!$A$2:$B$5000,2,0)</f>
        <v>1.33</v>
      </c>
      <c r="AF102" s="37">
        <v>1.33</v>
      </c>
    </row>
    <row r="103" spans="1:32" hidden="1" x14ac:dyDescent="0.3">
      <c r="A103" s="7">
        <v>100</v>
      </c>
      <c r="B103" s="10" t="s">
        <v>175</v>
      </c>
      <c r="C103" s="10" t="s">
        <v>34</v>
      </c>
      <c r="D103" s="10">
        <v>3</v>
      </c>
      <c r="E103" s="10">
        <v>10.49</v>
      </c>
      <c r="F103" s="10" t="s">
        <v>176</v>
      </c>
      <c r="G103" s="39" t="s">
        <v>177</v>
      </c>
      <c r="H103" s="10">
        <v>1516</v>
      </c>
      <c r="I103" s="40">
        <v>0.13</v>
      </c>
      <c r="J103" s="41">
        <v>0.15</v>
      </c>
      <c r="K103" s="41">
        <v>1.35</v>
      </c>
      <c r="L103" s="40">
        <v>0.01</v>
      </c>
      <c r="M103" s="40">
        <v>4.0000000000000001E-3</v>
      </c>
      <c r="N103" s="40"/>
      <c r="O103" s="40">
        <v>2.5000000000000001E-2</v>
      </c>
      <c r="P103" s="40">
        <v>1.4999999999999999E-2</v>
      </c>
      <c r="Q103" s="40">
        <v>0.02</v>
      </c>
      <c r="R103" s="40" t="s">
        <v>39</v>
      </c>
      <c r="S103" s="42"/>
      <c r="T103" s="41"/>
      <c r="U103" s="41"/>
      <c r="V103" s="41"/>
      <c r="W103" s="41"/>
      <c r="X103" s="42" t="s">
        <v>39</v>
      </c>
      <c r="Y103" s="43" t="s">
        <v>39</v>
      </c>
      <c r="Z103" s="10">
        <v>45</v>
      </c>
      <c r="AA103" s="43"/>
      <c r="AB103" s="29" cm="1">
        <f t="array" ref="AB103">IF(R103="",IF(Q103="",0,(_xlfn.IFS(Q103=0.01,0.67,Q103=0.015,1,Q103=0.015,1.33,Q103=0.02,1.67,Q103=0.025,2,Q103=0.03,2.33,Q103=0.035,2.67,Q103=0.04,3)+IF(J103&lt;=0.03,"0.33",0))),(_xlfn.IFS(R103=0.01,0.67,R103=0.015,1,R103=0.015,1.33,R103=0.02,1.67,R103=0.025,2,R103=0.03,2.33,R103=0.035,2.67,R103=0.04,3)+IF(J103&lt;=0.03,"0.33",0)))</f>
        <v>1.67</v>
      </c>
      <c r="AC103" s="29">
        <f t="shared" si="2"/>
        <v>1.3468013468013469</v>
      </c>
      <c r="AD103" s="20">
        <f>VLOOKUP(F103,铝耗2026年!$A$2:$B$5000,2,0)</f>
        <v>1.4455751247978601</v>
      </c>
      <c r="AE103" s="20">
        <f>VLOOKUP(F103,铝耗2025年!$A$2:$B$5000,2,0)</f>
        <v>1.33</v>
      </c>
      <c r="AF103" s="37">
        <v>1.33</v>
      </c>
    </row>
    <row r="104" spans="1:32" hidden="1" x14ac:dyDescent="0.3">
      <c r="A104" s="7">
        <v>101</v>
      </c>
      <c r="B104" s="10" t="s">
        <v>175</v>
      </c>
      <c r="C104" s="10" t="s">
        <v>37</v>
      </c>
      <c r="D104" s="10">
        <v>10.5</v>
      </c>
      <c r="E104" s="10">
        <v>20</v>
      </c>
      <c r="F104" s="10" t="s">
        <v>178</v>
      </c>
      <c r="G104" s="39" t="s">
        <v>177</v>
      </c>
      <c r="H104" s="10">
        <v>1516</v>
      </c>
      <c r="I104" s="40">
        <v>0.13</v>
      </c>
      <c r="J104" s="41">
        <v>0.15</v>
      </c>
      <c r="K104" s="41">
        <v>1.45</v>
      </c>
      <c r="L104" s="40">
        <v>0.01</v>
      </c>
      <c r="M104" s="40">
        <v>4.0000000000000001E-3</v>
      </c>
      <c r="N104" s="40"/>
      <c r="O104" s="40">
        <v>0.03</v>
      </c>
      <c r="P104" s="40">
        <v>1.4999999999999999E-2</v>
      </c>
      <c r="Q104" s="40">
        <v>0.02</v>
      </c>
      <c r="R104" s="40" t="s">
        <v>39</v>
      </c>
      <c r="S104" s="42"/>
      <c r="T104" s="41"/>
      <c r="U104" s="41"/>
      <c r="V104" s="41"/>
      <c r="W104" s="41"/>
      <c r="X104" s="42" t="s">
        <v>39</v>
      </c>
      <c r="Y104" s="43" t="s">
        <v>39</v>
      </c>
      <c r="Z104" s="10">
        <v>45</v>
      </c>
      <c r="AA104" s="43"/>
      <c r="AB104" s="29" cm="1">
        <f t="array" ref="AB104">IF(R104="",IF(Q104="",0,(_xlfn.IFS(Q104=0.01,0.67,Q104=0.015,1,Q104=0.015,1.33,Q104=0.02,1.67,Q104=0.025,2,Q104=0.03,2.33,Q104=0.035,2.67,Q104=0.04,3)+IF(J104&lt;=0.03,"0.33",0))),(_xlfn.IFS(R104=0.01,0.67,R104=0.015,1,R104=0.015,1.33,R104=0.02,1.67,R104=0.025,2,R104=0.03,2.33,R104=0.035,2.67,R104=0.04,3)+IF(J104&lt;=0.03,"0.33",0)))</f>
        <v>1.67</v>
      </c>
      <c r="AC104" s="29">
        <f t="shared" si="2"/>
        <v>1.3468013468013469</v>
      </c>
      <c r="AD104" s="20" t="e">
        <f>VLOOKUP(F104,铝耗2026年!$A$2:$B$5000,2,0)</f>
        <v>#N/A</v>
      </c>
      <c r="AE104" s="20" t="e">
        <f>VLOOKUP(F104,铝耗2025年!$A$2:$B$5000,2,0)</f>
        <v>#N/A</v>
      </c>
      <c r="AF104" s="37">
        <v>1.33</v>
      </c>
    </row>
    <row r="105" spans="1:32" hidden="1" x14ac:dyDescent="0.3">
      <c r="A105" s="7">
        <v>102</v>
      </c>
      <c r="B105" s="10" t="s">
        <v>179</v>
      </c>
      <c r="C105" s="10" t="s">
        <v>34</v>
      </c>
      <c r="D105" s="10">
        <v>3</v>
      </c>
      <c r="E105" s="10">
        <v>10.3</v>
      </c>
      <c r="F105" s="10" t="s">
        <v>180</v>
      </c>
      <c r="G105" s="39" t="s">
        <v>181</v>
      </c>
      <c r="H105" s="10">
        <v>1520</v>
      </c>
      <c r="I105" s="40">
        <v>7.0000000000000007E-2</v>
      </c>
      <c r="J105" s="41">
        <v>0.16</v>
      </c>
      <c r="K105" s="41">
        <v>1.1499999999999999</v>
      </c>
      <c r="L105" s="40">
        <v>1.7999999999999999E-2</v>
      </c>
      <c r="M105" s="40">
        <v>5.0000000000000001E-3</v>
      </c>
      <c r="N105" s="40"/>
      <c r="O105" s="40">
        <v>1.4999999999999999E-2</v>
      </c>
      <c r="P105" s="40">
        <v>0.05</v>
      </c>
      <c r="Q105" s="40">
        <v>2.5000000000000001E-2</v>
      </c>
      <c r="R105" s="40" t="s">
        <v>39</v>
      </c>
      <c r="S105" s="42"/>
      <c r="T105" s="41"/>
      <c r="U105" s="41"/>
      <c r="V105" s="41"/>
      <c r="W105" s="41"/>
      <c r="X105" s="42" t="s">
        <v>39</v>
      </c>
      <c r="Y105" s="43" t="s">
        <v>39</v>
      </c>
      <c r="Z105" s="10">
        <v>50</v>
      </c>
      <c r="AA105" s="43"/>
      <c r="AB105" s="29" cm="1">
        <f t="array" ref="AB105">IF(R105="",IF(Q105="",0,(_xlfn.IFS(Q105=0.01,0.67,Q105=0.015,1,Q105=0.015,1.33,Q105=0.02,1.67,Q105=0.025,2,Q105=0.03,2.33,Q105=0.035,2.67,Q105=0.04,3)+IF(J105&lt;=0.03,"0.33",0))),(_xlfn.IFS(R105=0.01,0.67,R105=0.015,1,R105=0.015,1.33,R105=0.02,1.67,R105=0.025,2,R105=0.03,2.33,R105=0.035,2.67,R105=0.04,3)+IF(J105&lt;=0.03,"0.33",0)))</f>
        <v>2</v>
      </c>
      <c r="AC105" s="29">
        <f t="shared" si="2"/>
        <v>1.6835016835016836</v>
      </c>
      <c r="AD105" s="20" t="e">
        <f>VLOOKUP(F105,铝耗2026年!$A$2:$B$5000,2,0)</f>
        <v>#N/A</v>
      </c>
      <c r="AE105" s="20" t="e">
        <f>VLOOKUP(F105,铝耗2025年!$A$2:$B$5000,2,0)</f>
        <v>#N/A</v>
      </c>
      <c r="AF105" s="20">
        <v>1.9</v>
      </c>
    </row>
    <row r="106" spans="1:32" hidden="1" x14ac:dyDescent="0.3">
      <c r="A106" s="7">
        <v>103</v>
      </c>
      <c r="B106" s="10" t="s">
        <v>179</v>
      </c>
      <c r="C106" s="10" t="s">
        <v>37</v>
      </c>
      <c r="D106" s="10">
        <v>10.31</v>
      </c>
      <c r="E106" s="10">
        <v>16.5</v>
      </c>
      <c r="F106" s="10" t="s">
        <v>182</v>
      </c>
      <c r="G106" s="39" t="s">
        <v>181</v>
      </c>
      <c r="H106" s="10">
        <v>1520</v>
      </c>
      <c r="I106" s="40">
        <v>7.0000000000000007E-2</v>
      </c>
      <c r="J106" s="41">
        <v>0.16</v>
      </c>
      <c r="K106" s="41">
        <v>1.1499999999999999</v>
      </c>
      <c r="L106" s="40">
        <v>1.7999999999999999E-2</v>
      </c>
      <c r="M106" s="40">
        <v>5.0000000000000001E-3</v>
      </c>
      <c r="N106" s="40"/>
      <c r="O106" s="40">
        <v>0.02</v>
      </c>
      <c r="P106" s="40">
        <v>5.5E-2</v>
      </c>
      <c r="Q106" s="40">
        <v>2.5000000000000001E-2</v>
      </c>
      <c r="R106" s="40" t="s">
        <v>39</v>
      </c>
      <c r="S106" s="42"/>
      <c r="T106" s="41"/>
      <c r="U106" s="41"/>
      <c r="V106" s="41"/>
      <c r="W106" s="41"/>
      <c r="X106" s="42" t="s">
        <v>39</v>
      </c>
      <c r="Y106" s="43" t="s">
        <v>39</v>
      </c>
      <c r="Z106" s="10">
        <v>50</v>
      </c>
      <c r="AA106" s="43"/>
      <c r="AB106" s="29" cm="1">
        <f t="array" ref="AB106">IF(R106="",IF(Q106="",0,(_xlfn.IFS(Q106=0.01,0.67,Q106=0.015,1,Q106=0.015,1.33,Q106=0.02,1.67,Q106=0.025,2,Q106=0.03,2.33,Q106=0.035,2.67,Q106=0.04,3)+IF(J106&lt;=0.03,"0.33",0))),(_xlfn.IFS(R106=0.01,0.67,R106=0.015,1,R106=0.015,1.33,R106=0.02,1.67,R106=0.025,2,R106=0.03,2.33,R106=0.035,2.67,R106=0.04,3)+IF(J106&lt;=0.03,"0.33",0)))</f>
        <v>2</v>
      </c>
      <c r="AC106" s="29">
        <f t="shared" si="2"/>
        <v>1.6835016835016836</v>
      </c>
      <c r="AD106" s="20" t="e">
        <f>VLOOKUP(F106,铝耗2026年!$A$2:$B$5000,2,0)</f>
        <v>#N/A</v>
      </c>
      <c r="AE106" s="20">
        <f>VLOOKUP(F106,铝耗2025年!$A$2:$B$5000,2,0)</f>
        <v>1.6</v>
      </c>
      <c r="AF106" s="20">
        <v>1.9</v>
      </c>
    </row>
    <row r="107" spans="1:32" hidden="1" x14ac:dyDescent="0.3">
      <c r="A107" s="7">
        <v>104</v>
      </c>
      <c r="B107" s="10" t="s">
        <v>183</v>
      </c>
      <c r="C107" s="10" t="s">
        <v>34</v>
      </c>
      <c r="D107" s="10">
        <v>1.5</v>
      </c>
      <c r="E107" s="10">
        <v>10.3</v>
      </c>
      <c r="F107" s="10" t="s">
        <v>184</v>
      </c>
      <c r="G107" s="39" t="s">
        <v>185</v>
      </c>
      <c r="H107" s="10">
        <v>1520</v>
      </c>
      <c r="I107" s="40">
        <v>7.0000000000000007E-2</v>
      </c>
      <c r="J107" s="41">
        <v>0.16</v>
      </c>
      <c r="K107" s="41">
        <v>1.1499999999999999</v>
      </c>
      <c r="L107" s="40">
        <v>1.7999999999999999E-2</v>
      </c>
      <c r="M107" s="40">
        <v>5.0000000000000001E-3</v>
      </c>
      <c r="N107" s="40"/>
      <c r="O107" s="40">
        <v>1.4999999999999999E-2</v>
      </c>
      <c r="P107" s="40">
        <v>0.05</v>
      </c>
      <c r="Q107" s="40">
        <v>2.5000000000000001E-2</v>
      </c>
      <c r="R107" s="40" t="s">
        <v>39</v>
      </c>
      <c r="S107" s="42"/>
      <c r="T107" s="41"/>
      <c r="U107" s="41"/>
      <c r="V107" s="41"/>
      <c r="W107" s="41"/>
      <c r="X107" s="42" t="s">
        <v>39</v>
      </c>
      <c r="Y107" s="43" t="s">
        <v>39</v>
      </c>
      <c r="Z107" s="10">
        <v>50</v>
      </c>
      <c r="AA107" s="43"/>
      <c r="AB107" s="29" cm="1">
        <f t="array" ref="AB107">IF(R107="",IF(Q107="",0,(_xlfn.IFS(Q107=0.01,0.67,Q107=0.015,1,Q107=0.015,1.33,Q107=0.02,1.67,Q107=0.025,2,Q107=0.03,2.33,Q107=0.035,2.67,Q107=0.04,3)+IF(J107&lt;=0.03,"0.33",0))),(_xlfn.IFS(R107=0.01,0.67,R107=0.015,1,R107=0.015,1.33,R107=0.02,1.67,R107=0.025,2,R107=0.03,2.33,R107=0.035,2.67,R107=0.04,3)+IF(J107&lt;=0.03,"0.33",0)))</f>
        <v>2</v>
      </c>
      <c r="AC107" s="29">
        <f t="shared" si="2"/>
        <v>1.6835016835016836</v>
      </c>
      <c r="AD107" s="20">
        <f>VLOOKUP(F107,铝耗2026年!$A$2:$B$5000,2,0)</f>
        <v>1.7778989600949899</v>
      </c>
      <c r="AE107" s="20" t="e">
        <f>VLOOKUP(F107,铝耗2025年!$A$2:$B$5000,2,0)</f>
        <v>#N/A</v>
      </c>
      <c r="AF107" s="20">
        <v>1.9</v>
      </c>
    </row>
    <row r="108" spans="1:32" hidden="1" x14ac:dyDescent="0.3">
      <c r="A108" s="7">
        <v>105</v>
      </c>
      <c r="B108" s="10" t="s">
        <v>183</v>
      </c>
      <c r="C108" s="10" t="s">
        <v>37</v>
      </c>
      <c r="D108" s="10">
        <v>10.31</v>
      </c>
      <c r="E108" s="10">
        <v>16.5</v>
      </c>
      <c r="F108" s="10" t="s">
        <v>186</v>
      </c>
      <c r="G108" s="39" t="s">
        <v>185</v>
      </c>
      <c r="H108" s="10">
        <v>1520</v>
      </c>
      <c r="I108" s="40">
        <v>7.0000000000000007E-2</v>
      </c>
      <c r="J108" s="41">
        <v>0.16</v>
      </c>
      <c r="K108" s="41">
        <v>1.1499999999999999</v>
      </c>
      <c r="L108" s="40">
        <v>1.7999999999999999E-2</v>
      </c>
      <c r="M108" s="40">
        <v>5.0000000000000001E-3</v>
      </c>
      <c r="N108" s="40"/>
      <c r="O108" s="40">
        <v>0.02</v>
      </c>
      <c r="P108" s="40">
        <v>5.5E-2</v>
      </c>
      <c r="Q108" s="40">
        <v>2.5000000000000001E-2</v>
      </c>
      <c r="R108" s="40" t="s">
        <v>39</v>
      </c>
      <c r="S108" s="42"/>
      <c r="T108" s="41"/>
      <c r="U108" s="41"/>
      <c r="V108" s="41"/>
      <c r="W108" s="41"/>
      <c r="X108" s="42" t="s">
        <v>39</v>
      </c>
      <c r="Y108" s="43" t="s">
        <v>39</v>
      </c>
      <c r="Z108" s="10">
        <v>50</v>
      </c>
      <c r="AA108" s="43"/>
      <c r="AB108" s="29" cm="1">
        <f t="array" ref="AB108">IF(R108="",IF(Q108="",0,(_xlfn.IFS(Q108=0.01,0.67,Q108=0.015,1,Q108=0.015,1.33,Q108=0.02,1.67,Q108=0.025,2,Q108=0.03,2.33,Q108=0.035,2.67,Q108=0.04,3)+IF(J108&lt;=0.03,"0.33",0))),(_xlfn.IFS(R108=0.01,0.67,R108=0.015,1,R108=0.015,1.33,R108=0.02,1.67,R108=0.025,2,R108=0.03,2.33,R108=0.035,2.67,R108=0.04,3)+IF(J108&lt;=0.03,"0.33",0)))</f>
        <v>2</v>
      </c>
      <c r="AC108" s="29">
        <f t="shared" si="2"/>
        <v>1.6835016835016836</v>
      </c>
      <c r="AD108" s="20">
        <f>VLOOKUP(F108,铝耗2026年!$A$2:$B$5000,2,0)</f>
        <v>1.92695411051479</v>
      </c>
      <c r="AE108" s="20" t="e">
        <f>VLOOKUP(F108,铝耗2025年!$A$2:$B$5000,2,0)</f>
        <v>#N/A</v>
      </c>
      <c r="AF108" s="20">
        <v>1.9</v>
      </c>
    </row>
    <row r="109" spans="1:32" hidden="1" x14ac:dyDescent="0.3">
      <c r="A109" s="7">
        <v>106</v>
      </c>
      <c r="B109" s="10" t="s">
        <v>187</v>
      </c>
      <c r="C109" s="10" t="s">
        <v>34</v>
      </c>
      <c r="D109" s="10">
        <v>16.010000000000002</v>
      </c>
      <c r="E109" s="10">
        <v>25.4</v>
      </c>
      <c r="F109" s="10" t="s">
        <v>188</v>
      </c>
      <c r="G109" s="10" t="s">
        <v>189</v>
      </c>
      <c r="H109" s="10">
        <v>1520</v>
      </c>
      <c r="I109" s="10">
        <v>0.14000000000000001</v>
      </c>
      <c r="J109" s="10">
        <v>0.16</v>
      </c>
      <c r="K109" s="10">
        <v>1.4</v>
      </c>
      <c r="L109" s="10">
        <v>1.4999999999999999E-2</v>
      </c>
      <c r="M109" s="10">
        <v>5.0000000000000001E-3</v>
      </c>
      <c r="N109" s="10">
        <v>0</v>
      </c>
      <c r="O109" s="10">
        <v>0.03</v>
      </c>
      <c r="P109" s="10">
        <v>0.03</v>
      </c>
      <c r="Q109" s="10" t="s">
        <v>39</v>
      </c>
      <c r="R109" s="10">
        <v>2.5000000000000001E-2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/>
      <c r="Y109" s="10" t="s">
        <v>39</v>
      </c>
      <c r="Z109" s="10">
        <v>40</v>
      </c>
      <c r="AA109" s="43"/>
      <c r="AB109" s="29" cm="1">
        <f t="array" ref="AB109">IF(R109="",IF(Q109="",0,(_xlfn.IFS(Q109=0.01,0.67,Q109=0.015,1,Q109=0.015,1.33,Q109=0.02,1.67,Q109=0.025,2,Q109=0.03,2.33,Q109=0.035,2.67,Q109=0.04,3)+IF(J109&lt;=0.03,"0.33",0))),(_xlfn.IFS(R109=0.01,0.67,R109=0.015,1,R109=0.015,1.33,R109=0.02,1.67,R109=0.025,2,R109=0.03,2.33,R109=0.035,2.67,R109=0.04,3)+IF(J109&lt;=0.03,"0.33",0)))</f>
        <v>2</v>
      </c>
      <c r="AC109" s="29">
        <f t="shared" si="2"/>
        <v>1.6835016835016836</v>
      </c>
      <c r="AD109" s="20">
        <f>VLOOKUP(F109,铝耗2026年!$A$2:$B$5000,2,0)</f>
        <v>1.40624418410161</v>
      </c>
      <c r="AE109" s="20" t="e">
        <f>VLOOKUP(F109,铝耗2025年!$A$2:$B$5000,2,0)</f>
        <v>#N/A</v>
      </c>
      <c r="AF109" s="37">
        <v>1.4</v>
      </c>
    </row>
    <row r="110" spans="1:32" hidden="1" x14ac:dyDescent="0.3">
      <c r="A110" s="7">
        <v>107</v>
      </c>
      <c r="B110" s="10" t="s">
        <v>190</v>
      </c>
      <c r="C110" s="10" t="s">
        <v>34</v>
      </c>
      <c r="D110" s="10">
        <v>3</v>
      </c>
      <c r="E110" s="10">
        <v>10.3</v>
      </c>
      <c r="F110" s="10" t="s">
        <v>191</v>
      </c>
      <c r="G110" s="39" t="s">
        <v>192</v>
      </c>
      <c r="H110" s="10">
        <v>1520</v>
      </c>
      <c r="I110" s="40">
        <v>7.0000000000000007E-2</v>
      </c>
      <c r="J110" s="41">
        <v>0.16</v>
      </c>
      <c r="K110" s="41">
        <v>1.3</v>
      </c>
      <c r="L110" s="40">
        <v>1.7999999999999999E-2</v>
      </c>
      <c r="M110" s="40">
        <v>3.0000000000000001E-3</v>
      </c>
      <c r="N110" s="40"/>
      <c r="O110" s="40">
        <v>1.4999999999999999E-2</v>
      </c>
      <c r="P110" s="40">
        <v>5.5E-2</v>
      </c>
      <c r="Q110" s="40">
        <v>2.5000000000000001E-2</v>
      </c>
      <c r="R110" s="40" t="s">
        <v>39</v>
      </c>
      <c r="S110" s="42"/>
      <c r="T110" s="41"/>
      <c r="U110" s="41"/>
      <c r="V110" s="41"/>
      <c r="W110" s="41"/>
      <c r="X110" s="42" t="s">
        <v>39</v>
      </c>
      <c r="Y110" s="43" t="s">
        <v>39</v>
      </c>
      <c r="Z110" s="10">
        <v>50</v>
      </c>
      <c r="AA110" s="43"/>
      <c r="AB110" s="29" cm="1">
        <f t="array" ref="AB110">IF(R110="",IF(Q110="",0,(_xlfn.IFS(Q110=0.01,0.67,Q110=0.015,1,Q110=0.015,1.33,Q110=0.02,1.67,Q110=0.025,2,Q110=0.03,2.33,Q110=0.035,2.67,Q110=0.04,3)+IF(J110&lt;=0.03,"0.33",0))),(_xlfn.IFS(R110=0.01,0.67,R110=0.015,1,R110=0.015,1.33,R110=0.02,1.67,R110=0.025,2,R110=0.03,2.33,R110=0.035,2.67,R110=0.04,3)+IF(J110&lt;=0.03,"0.33",0)))</f>
        <v>2</v>
      </c>
      <c r="AC110" s="29">
        <f t="shared" si="2"/>
        <v>1.6835016835016836</v>
      </c>
      <c r="AD110" s="20" t="e">
        <f>VLOOKUP(F110,铝耗2026年!$A$2:$B$5000,2,0)</f>
        <v>#N/A</v>
      </c>
      <c r="AE110" s="20" t="e">
        <f>VLOOKUP(F110,铝耗2025年!$A$2:$B$5000,2,0)</f>
        <v>#N/A</v>
      </c>
      <c r="AF110" s="37">
        <v>1.9</v>
      </c>
    </row>
    <row r="111" spans="1:32" hidden="1" x14ac:dyDescent="0.3">
      <c r="A111" s="7">
        <v>108</v>
      </c>
      <c r="B111" s="10" t="s">
        <v>190</v>
      </c>
      <c r="C111" s="10" t="s">
        <v>37</v>
      </c>
      <c r="D111" s="10">
        <v>10.31</v>
      </c>
      <c r="E111" s="10">
        <v>16.5</v>
      </c>
      <c r="F111" s="10" t="s">
        <v>193</v>
      </c>
      <c r="G111" s="39" t="s">
        <v>192</v>
      </c>
      <c r="H111" s="10">
        <v>1520</v>
      </c>
      <c r="I111" s="40">
        <v>7.0000000000000007E-2</v>
      </c>
      <c r="J111" s="41">
        <v>0.16</v>
      </c>
      <c r="K111" s="41">
        <v>1.35</v>
      </c>
      <c r="L111" s="40">
        <v>1.7999999999999999E-2</v>
      </c>
      <c r="M111" s="40">
        <v>3.0000000000000001E-3</v>
      </c>
      <c r="N111" s="40"/>
      <c r="O111" s="40">
        <v>1.4999999999999999E-2</v>
      </c>
      <c r="P111" s="40">
        <v>6.5000000000000002E-2</v>
      </c>
      <c r="Q111" s="40">
        <v>2.5000000000000001E-2</v>
      </c>
      <c r="R111" s="40" t="s">
        <v>39</v>
      </c>
      <c r="S111" s="42"/>
      <c r="T111" s="41"/>
      <c r="U111" s="41"/>
      <c r="V111" s="41"/>
      <c r="W111" s="41"/>
      <c r="X111" s="42" t="s">
        <v>39</v>
      </c>
      <c r="Y111" s="43" t="s">
        <v>39</v>
      </c>
      <c r="Z111" s="10"/>
      <c r="AA111" s="43"/>
      <c r="AB111" s="29" cm="1">
        <f t="array" ref="AB111">IF(R111="",IF(Q111="",0,(_xlfn.IFS(Q111=0.01,0.67,Q111=0.015,1,Q111=0.015,1.33,Q111=0.02,1.67,Q111=0.025,2,Q111=0.03,2.33,Q111=0.035,2.67,Q111=0.04,3)+IF(J111&lt;=0.03,"0.33",0))),(_xlfn.IFS(R111=0.01,0.67,R111=0.015,1,R111=0.015,1.33,R111=0.02,1.67,R111=0.025,2,R111=0.03,2.33,R111=0.035,2.67,R111=0.04,3)+IF(J111&lt;=0.03,"0.33",0)))</f>
        <v>2</v>
      </c>
      <c r="AC111" s="29">
        <f t="shared" si="2"/>
        <v>1.6835016835016836</v>
      </c>
      <c r="AD111" s="20" t="e">
        <f>VLOOKUP(F111,铝耗2026年!$A$2:$B$5000,2,0)</f>
        <v>#N/A</v>
      </c>
      <c r="AE111" s="20" t="e">
        <f>VLOOKUP(F111,铝耗2025年!$A$2:$B$5000,2,0)</f>
        <v>#N/A</v>
      </c>
      <c r="AF111" s="37">
        <v>1.9</v>
      </c>
    </row>
    <row r="112" spans="1:32" hidden="1" x14ac:dyDescent="0.3">
      <c r="A112" s="7">
        <v>109</v>
      </c>
      <c r="B112" s="10" t="s">
        <v>194</v>
      </c>
      <c r="C112" s="10" t="s">
        <v>34</v>
      </c>
      <c r="D112" s="10">
        <v>3</v>
      </c>
      <c r="E112" s="10">
        <v>10.3</v>
      </c>
      <c r="F112" s="10" t="s">
        <v>195</v>
      </c>
      <c r="G112" s="39" t="s">
        <v>196</v>
      </c>
      <c r="H112" s="10">
        <v>1521</v>
      </c>
      <c r="I112" s="40">
        <v>7.0000000000000007E-2</v>
      </c>
      <c r="J112" s="41">
        <v>0.15</v>
      </c>
      <c r="K112" s="41">
        <v>1.4</v>
      </c>
      <c r="L112" s="40">
        <v>0.02</v>
      </c>
      <c r="M112" s="40">
        <v>0.01</v>
      </c>
      <c r="N112" s="40" t="s">
        <v>39</v>
      </c>
      <c r="O112" s="40">
        <v>0.02</v>
      </c>
      <c r="P112" s="40">
        <v>5.5E-2</v>
      </c>
      <c r="Q112" s="40">
        <v>2.5000000000000001E-2</v>
      </c>
      <c r="R112" s="40" t="s">
        <v>39</v>
      </c>
      <c r="S112" s="42" t="s">
        <v>39</v>
      </c>
      <c r="T112" s="41"/>
      <c r="U112" s="41"/>
      <c r="V112" s="41"/>
      <c r="W112" s="41"/>
      <c r="X112" s="42" t="s">
        <v>39</v>
      </c>
      <c r="Y112" s="43" t="s">
        <v>39</v>
      </c>
      <c r="Z112" s="10"/>
      <c r="AA112" s="43"/>
      <c r="AB112" s="29" cm="1">
        <f t="array" ref="AB112">IF(R112="",IF(Q112="",0,(_xlfn.IFS(Q112=0.01,0.67,Q112=0.015,1,Q112=0.015,1.33,Q112=0.02,1.67,Q112=0.025,2,Q112=0.03,2.33,Q112=0.035,2.67,Q112=0.04,3)+IF(J112&lt;=0.03,"0.33",0))),(_xlfn.IFS(R112=0.01,0.67,R112=0.015,1,R112=0.015,1.33,R112=0.02,1.67,R112=0.025,2,R112=0.03,2.33,R112=0.035,2.67,R112=0.04,3)+IF(J112&lt;=0.03,"0.33",0)))</f>
        <v>2</v>
      </c>
      <c r="AC112" s="29">
        <f t="shared" si="2"/>
        <v>1.6835016835016836</v>
      </c>
      <c r="AD112" s="20" t="e">
        <f>VLOOKUP(F112,铝耗2026年!$A$2:$B$5000,2,0)</f>
        <v>#N/A</v>
      </c>
      <c r="AE112" s="20" t="e">
        <f>VLOOKUP(F112,铝耗2025年!$A$2:$B$5000,2,0)</f>
        <v>#N/A</v>
      </c>
      <c r="AF112" s="37">
        <v>1.9</v>
      </c>
    </row>
    <row r="113" spans="1:32" hidden="1" x14ac:dyDescent="0.3">
      <c r="A113" s="7">
        <v>110</v>
      </c>
      <c r="B113" s="10" t="s">
        <v>194</v>
      </c>
      <c r="C113" s="10" t="s">
        <v>37</v>
      </c>
      <c r="D113" s="10">
        <v>10.31</v>
      </c>
      <c r="E113" s="10">
        <v>16.5</v>
      </c>
      <c r="F113" s="10" t="s">
        <v>197</v>
      </c>
      <c r="G113" s="39" t="s">
        <v>196</v>
      </c>
      <c r="H113" s="10">
        <v>1521</v>
      </c>
      <c r="I113" s="40">
        <v>7.0000000000000007E-2</v>
      </c>
      <c r="J113" s="41">
        <v>0.15</v>
      </c>
      <c r="K113" s="41">
        <v>1.5</v>
      </c>
      <c r="L113" s="40">
        <v>0.02</v>
      </c>
      <c r="M113" s="40">
        <v>0.01</v>
      </c>
      <c r="N113" s="40" t="s">
        <v>39</v>
      </c>
      <c r="O113" s="40">
        <v>0.02</v>
      </c>
      <c r="P113" s="40">
        <v>5.5E-2</v>
      </c>
      <c r="Q113" s="40">
        <v>2.5000000000000001E-2</v>
      </c>
      <c r="R113" s="40" t="s">
        <v>39</v>
      </c>
      <c r="S113" s="42" t="s">
        <v>39</v>
      </c>
      <c r="T113" s="41"/>
      <c r="U113" s="41"/>
      <c r="V113" s="41"/>
      <c r="W113" s="41"/>
      <c r="X113" s="42" t="s">
        <v>39</v>
      </c>
      <c r="Y113" s="43" t="s">
        <v>39</v>
      </c>
      <c r="Z113" s="10"/>
      <c r="AA113" s="43"/>
      <c r="AB113" s="29" cm="1">
        <f t="array" ref="AB113">IF(R113="",IF(Q113="",0,(_xlfn.IFS(Q113=0.01,0.67,Q113=0.015,1,Q113=0.015,1.33,Q113=0.02,1.67,Q113=0.025,2,Q113=0.03,2.33,Q113=0.035,2.67,Q113=0.04,3)+IF(J113&lt;=0.03,"0.33",0))),(_xlfn.IFS(R113=0.01,0.67,R113=0.015,1,R113=0.015,1.33,R113=0.02,1.67,R113=0.025,2,R113=0.03,2.33,R113=0.035,2.67,R113=0.04,3)+IF(J113&lt;=0.03,"0.33",0)))</f>
        <v>2</v>
      </c>
      <c r="AC113" s="29">
        <f t="shared" si="2"/>
        <v>1.6835016835016836</v>
      </c>
      <c r="AD113" s="20" t="e">
        <f>VLOOKUP(F113,铝耗2026年!$A$2:$B$5000,2,0)</f>
        <v>#N/A</v>
      </c>
      <c r="AE113" s="20">
        <f>VLOOKUP(F113,铝耗2025年!$A$2:$B$5000,2,0)</f>
        <v>1.9</v>
      </c>
      <c r="AF113" s="37">
        <v>1.9</v>
      </c>
    </row>
    <row r="114" spans="1:32" hidden="1" x14ac:dyDescent="0.3">
      <c r="A114" s="7">
        <v>111</v>
      </c>
      <c r="B114" s="10" t="s">
        <v>198</v>
      </c>
      <c r="C114" s="10" t="s">
        <v>34</v>
      </c>
      <c r="D114" s="10">
        <v>3</v>
      </c>
      <c r="E114" s="10">
        <v>10.3</v>
      </c>
      <c r="F114" s="10" t="s">
        <v>199</v>
      </c>
      <c r="G114" s="39" t="s">
        <v>200</v>
      </c>
      <c r="H114" s="10">
        <v>1521</v>
      </c>
      <c r="I114" s="40">
        <v>7.0000000000000007E-2</v>
      </c>
      <c r="J114" s="41">
        <v>0.15</v>
      </c>
      <c r="K114" s="41">
        <v>1.2</v>
      </c>
      <c r="L114" s="40">
        <v>1.4999999999999999E-2</v>
      </c>
      <c r="M114" s="40">
        <v>5.0000000000000001E-3</v>
      </c>
      <c r="N114" s="40" t="s">
        <v>39</v>
      </c>
      <c r="O114" s="40">
        <v>0.03</v>
      </c>
      <c r="P114" s="40">
        <v>0.04</v>
      </c>
      <c r="Q114" s="40">
        <v>2.5000000000000001E-2</v>
      </c>
      <c r="R114" s="40" t="s">
        <v>39</v>
      </c>
      <c r="S114" s="42" t="s">
        <v>39</v>
      </c>
      <c r="T114" s="41"/>
      <c r="U114" s="41"/>
      <c r="V114" s="41"/>
      <c r="W114" s="41"/>
      <c r="X114" s="42" t="s">
        <v>39</v>
      </c>
      <c r="Y114" s="43" t="s">
        <v>39</v>
      </c>
      <c r="Z114" s="10"/>
      <c r="AA114" s="43"/>
      <c r="AB114" s="29" cm="1">
        <f t="array" ref="AB114">IF(R114="",IF(Q114="",0,(_xlfn.IFS(Q114=0.01,0.67,Q114=0.015,1,Q114=0.015,1.33,Q114=0.02,1.67,Q114=0.025,2,Q114=0.03,2.33,Q114=0.035,2.67,Q114=0.04,3)+IF(J114&lt;=0.03,"0.33",0))),(_xlfn.IFS(R114=0.01,0.67,R114=0.015,1,R114=0.015,1.33,R114=0.02,1.67,R114=0.025,2,R114=0.03,2.33,R114=0.035,2.67,R114=0.04,3)+IF(J114&lt;=0.03,"0.33",0)))</f>
        <v>2</v>
      </c>
      <c r="AC114" s="29">
        <f t="shared" si="2"/>
        <v>1.6835016835016836</v>
      </c>
      <c r="AD114" s="20" t="e">
        <f>VLOOKUP(F114,铝耗2026年!$A$2:$B$5000,2,0)</f>
        <v>#N/A</v>
      </c>
      <c r="AE114" s="20" t="e">
        <f>VLOOKUP(F114,铝耗2025年!$A$2:$B$5000,2,0)</f>
        <v>#N/A</v>
      </c>
      <c r="AF114" s="37">
        <v>1.9</v>
      </c>
    </row>
    <row r="115" spans="1:32" hidden="1" x14ac:dyDescent="0.3">
      <c r="A115" s="7">
        <v>112</v>
      </c>
      <c r="B115" s="10" t="s">
        <v>198</v>
      </c>
      <c r="C115" s="10" t="s">
        <v>37</v>
      </c>
      <c r="D115" s="10">
        <v>10.31</v>
      </c>
      <c r="E115" s="10">
        <v>16.5</v>
      </c>
      <c r="F115" s="10" t="s">
        <v>201</v>
      </c>
      <c r="G115" s="39" t="s">
        <v>200</v>
      </c>
      <c r="H115" s="10">
        <v>1521</v>
      </c>
      <c r="I115" s="40">
        <v>7.0000000000000007E-2</v>
      </c>
      <c r="J115" s="41">
        <v>0.15</v>
      </c>
      <c r="K115" s="41">
        <v>1.3</v>
      </c>
      <c r="L115" s="40">
        <v>1.4999999999999999E-2</v>
      </c>
      <c r="M115" s="40">
        <v>5.0000000000000001E-3</v>
      </c>
      <c r="N115" s="40" t="s">
        <v>39</v>
      </c>
      <c r="O115" s="40">
        <v>0.03</v>
      </c>
      <c r="P115" s="40">
        <v>0.04</v>
      </c>
      <c r="Q115" s="40">
        <v>2.5000000000000001E-2</v>
      </c>
      <c r="R115" s="40" t="s">
        <v>39</v>
      </c>
      <c r="S115" s="42" t="s">
        <v>39</v>
      </c>
      <c r="T115" s="41"/>
      <c r="U115" s="41"/>
      <c r="V115" s="41"/>
      <c r="W115" s="41"/>
      <c r="X115" s="42" t="s">
        <v>39</v>
      </c>
      <c r="Y115" s="43" t="s">
        <v>39</v>
      </c>
      <c r="Z115" s="10"/>
      <c r="AA115" s="43"/>
      <c r="AB115" s="29" cm="1">
        <f t="array" ref="AB115">IF(R115="",IF(Q115="",0,(_xlfn.IFS(Q115=0.01,0.67,Q115=0.015,1,Q115=0.015,1.33,Q115=0.02,1.67,Q115=0.025,2,Q115=0.03,2.33,Q115=0.035,2.67,Q115=0.04,3)+IF(J115&lt;=0.03,"0.33",0))),(_xlfn.IFS(R115=0.01,0.67,R115=0.015,1,R115=0.015,1.33,R115=0.02,1.67,R115=0.025,2,R115=0.03,2.33,R115=0.035,2.67,R115=0.04,3)+IF(J115&lt;=0.03,"0.33",0)))</f>
        <v>2</v>
      </c>
      <c r="AC115" s="29">
        <f t="shared" si="2"/>
        <v>1.6835016835016836</v>
      </c>
      <c r="AD115" s="20" t="e">
        <f>VLOOKUP(F115,铝耗2026年!$A$2:$B$5000,2,0)</f>
        <v>#N/A</v>
      </c>
      <c r="AE115" s="20" t="e">
        <f>VLOOKUP(F115,铝耗2025年!$A$2:$B$5000,2,0)</f>
        <v>#N/A</v>
      </c>
      <c r="AF115" s="37">
        <v>1.9</v>
      </c>
    </row>
    <row r="116" spans="1:32" hidden="1" x14ac:dyDescent="0.3">
      <c r="A116" s="7">
        <v>113</v>
      </c>
      <c r="B116" s="10" t="s">
        <v>202</v>
      </c>
      <c r="C116" s="10" t="s">
        <v>34</v>
      </c>
      <c r="D116" s="10">
        <v>3</v>
      </c>
      <c r="E116" s="10">
        <v>12</v>
      </c>
      <c r="F116" s="10" t="s">
        <v>202</v>
      </c>
      <c r="G116" s="39" t="s">
        <v>203</v>
      </c>
      <c r="H116" s="10">
        <v>1520</v>
      </c>
      <c r="I116" s="40">
        <v>7.0000000000000007E-2</v>
      </c>
      <c r="J116" s="41">
        <v>0.15</v>
      </c>
      <c r="K116" s="41">
        <v>1.45</v>
      </c>
      <c r="L116" s="40">
        <v>1.4999999999999999E-2</v>
      </c>
      <c r="M116" s="40">
        <v>4.0000000000000001E-3</v>
      </c>
      <c r="N116" s="40"/>
      <c r="O116" s="40">
        <v>0.02</v>
      </c>
      <c r="P116" s="40">
        <v>0.08</v>
      </c>
      <c r="Q116" s="40">
        <v>2.5000000000000001E-2</v>
      </c>
      <c r="R116" s="40" t="s">
        <v>39</v>
      </c>
      <c r="S116" s="42"/>
      <c r="T116" s="41"/>
      <c r="U116" s="41"/>
      <c r="V116" s="41"/>
      <c r="W116" s="41"/>
      <c r="X116" s="42" t="s">
        <v>39</v>
      </c>
      <c r="Y116" s="43" t="s">
        <v>39</v>
      </c>
      <c r="Z116" s="10">
        <v>50</v>
      </c>
      <c r="AA116" s="43"/>
      <c r="AB116" s="29" cm="1">
        <f t="array" ref="AB116">IF(R116="",IF(Q116="",0,(_xlfn.IFS(Q116=0.01,0.67,Q116=0.015,1,Q116=0.015,1.33,Q116=0.02,1.67,Q116=0.025,2,Q116=0.03,2.33,Q116=0.035,2.67,Q116=0.04,3)+IF(J116&lt;=0.03,"0.33",0))),(_xlfn.IFS(R116=0.01,0.67,R116=0.015,1,R116=0.015,1.33,R116=0.02,1.67,R116=0.025,2,R116=0.03,2.33,R116=0.035,2.67,R116=0.04,3)+IF(J116&lt;=0.03,"0.33",0)))</f>
        <v>2</v>
      </c>
      <c r="AC116" s="29">
        <f t="shared" si="2"/>
        <v>1.6835016835016836</v>
      </c>
      <c r="AD116" s="20" t="e">
        <f>VLOOKUP(F116,铝耗2026年!$A$2:$B$5000,2,0)</f>
        <v>#N/A</v>
      </c>
      <c r="AE116" s="20" t="e">
        <f>VLOOKUP(F116,铝耗2025年!$A$2:$B$5000,2,0)</f>
        <v>#N/A</v>
      </c>
      <c r="AF116" s="37">
        <v>1.9</v>
      </c>
    </row>
    <row r="117" spans="1:32" hidden="1" x14ac:dyDescent="0.3">
      <c r="A117" s="7">
        <v>114</v>
      </c>
      <c r="B117" s="10" t="s">
        <v>204</v>
      </c>
      <c r="C117" s="10" t="s">
        <v>34</v>
      </c>
      <c r="D117" s="10">
        <v>3</v>
      </c>
      <c r="E117" s="10">
        <v>10</v>
      </c>
      <c r="F117" s="10" t="s">
        <v>205</v>
      </c>
      <c r="G117" s="39" t="s">
        <v>206</v>
      </c>
      <c r="H117" s="10">
        <v>1514</v>
      </c>
      <c r="I117" s="40">
        <v>0.15</v>
      </c>
      <c r="J117" s="41">
        <v>0.2</v>
      </c>
      <c r="K117" s="41">
        <v>1.35</v>
      </c>
      <c r="L117" s="40">
        <v>1.4999999999999999E-2</v>
      </c>
      <c r="M117" s="40">
        <v>5.0000000000000001E-3</v>
      </c>
      <c r="N117" s="40"/>
      <c r="O117" s="40">
        <v>1.4999999999999999E-2</v>
      </c>
      <c r="P117" s="40">
        <v>1.4999999999999999E-2</v>
      </c>
      <c r="Q117" s="40">
        <v>2.5000000000000001E-2</v>
      </c>
      <c r="R117" s="40" t="s">
        <v>39</v>
      </c>
      <c r="S117" s="42"/>
      <c r="T117" s="41"/>
      <c r="U117" s="41"/>
      <c r="V117" s="41"/>
      <c r="W117" s="41"/>
      <c r="X117" s="42" t="s">
        <v>39</v>
      </c>
      <c r="Y117" s="43" t="s">
        <v>39</v>
      </c>
      <c r="Z117" s="10">
        <v>45</v>
      </c>
      <c r="AA117" s="43"/>
      <c r="AB117" s="29" cm="1">
        <f t="array" ref="AB117">IF(R117="",IF(Q117="",0,(_xlfn.IFS(Q117=0.01,0.67,Q117=0.015,1,Q117=0.015,1.33,Q117=0.02,1.67,Q117=0.025,2,Q117=0.03,2.33,Q117=0.035,2.67,Q117=0.04,3)+IF(J117&lt;=0.03,"0.33",0))),(_xlfn.IFS(R117=0.01,0.67,R117=0.015,1,R117=0.015,1.33,R117=0.02,1.67,R117=0.025,2,R117=0.03,2.33,R117=0.035,2.67,R117=0.04,3)+IF(J117&lt;=0.03,"0.33",0)))</f>
        <v>2</v>
      </c>
      <c r="AC117" s="29">
        <f t="shared" si="2"/>
        <v>1.6835016835016836</v>
      </c>
      <c r="AD117" s="20" t="e">
        <f>VLOOKUP(F117,铝耗2026年!$A$2:$B$5000,2,0)</f>
        <v>#N/A</v>
      </c>
      <c r="AE117" s="20">
        <f>VLOOKUP(F117,铝耗2025年!$A$2:$B$5000,2,0)</f>
        <v>1.4</v>
      </c>
      <c r="AF117" s="20">
        <v>1.4</v>
      </c>
    </row>
    <row r="118" spans="1:32" hidden="1" x14ac:dyDescent="0.3">
      <c r="A118" s="7">
        <v>115</v>
      </c>
      <c r="B118" s="10" t="s">
        <v>204</v>
      </c>
      <c r="C118" s="10" t="s">
        <v>37</v>
      </c>
      <c r="D118" s="10">
        <v>10.01</v>
      </c>
      <c r="E118" s="10">
        <v>25.4</v>
      </c>
      <c r="F118" s="10" t="s">
        <v>207</v>
      </c>
      <c r="G118" s="39" t="s">
        <v>206</v>
      </c>
      <c r="H118" s="10">
        <v>1514</v>
      </c>
      <c r="I118" s="40">
        <v>0.15</v>
      </c>
      <c r="J118" s="41">
        <v>0.2</v>
      </c>
      <c r="K118" s="41">
        <v>1.45</v>
      </c>
      <c r="L118" s="40">
        <v>1.4999999999999999E-2</v>
      </c>
      <c r="M118" s="40">
        <v>5.0000000000000001E-3</v>
      </c>
      <c r="N118" s="40"/>
      <c r="O118" s="40">
        <v>1.7999999999999999E-2</v>
      </c>
      <c r="P118" s="40">
        <v>1.4999999999999999E-2</v>
      </c>
      <c r="Q118" s="40">
        <v>2.5000000000000001E-2</v>
      </c>
      <c r="R118" s="40" t="s">
        <v>39</v>
      </c>
      <c r="S118" s="42"/>
      <c r="T118" s="41"/>
      <c r="U118" s="41"/>
      <c r="V118" s="41"/>
      <c r="W118" s="41"/>
      <c r="X118" s="42" t="s">
        <v>39</v>
      </c>
      <c r="Y118" s="43" t="s">
        <v>39</v>
      </c>
      <c r="Z118" s="10">
        <v>45</v>
      </c>
      <c r="AA118" s="43"/>
      <c r="AB118" s="29" cm="1">
        <f t="array" ref="AB118">IF(R118="",IF(Q118="",0,(_xlfn.IFS(Q118=0.01,0.67,Q118=0.015,1,Q118=0.015,1.33,Q118=0.02,1.67,Q118=0.025,2,Q118=0.03,2.33,Q118=0.035,2.67,Q118=0.04,3)+IF(J118&lt;=0.03,"0.33",0))),(_xlfn.IFS(R118=0.01,0.67,R118=0.015,1,R118=0.015,1.33,R118=0.02,1.67,R118=0.025,2,R118=0.03,2.33,R118=0.035,2.67,R118=0.04,3)+IF(J118&lt;=0.03,"0.33",0)))</f>
        <v>2</v>
      </c>
      <c r="AC118" s="29">
        <f t="shared" si="2"/>
        <v>1.6835016835016836</v>
      </c>
      <c r="AD118" s="20">
        <f>VLOOKUP(F118,铝耗2026年!$A$2:$B$5000,2,0)</f>
        <v>1.3566108007361899</v>
      </c>
      <c r="AE118" s="20">
        <f>VLOOKUP(F118,铝耗2025年!$A$2:$B$5000,2,0)</f>
        <v>1.4</v>
      </c>
      <c r="AF118" s="20">
        <f t="shared" si="3"/>
        <v>1.4</v>
      </c>
    </row>
    <row r="119" spans="1:32" hidden="1" x14ac:dyDescent="0.3">
      <c r="A119" s="7">
        <v>116</v>
      </c>
      <c r="B119" s="10" t="s">
        <v>208</v>
      </c>
      <c r="C119" s="10" t="s">
        <v>37</v>
      </c>
      <c r="D119" s="10">
        <v>2</v>
      </c>
      <c r="E119" s="10">
        <v>9.99</v>
      </c>
      <c r="F119" s="10" t="s">
        <v>209</v>
      </c>
      <c r="G119" s="39" t="s">
        <v>210</v>
      </c>
      <c r="H119" s="10">
        <v>1517</v>
      </c>
      <c r="I119" s="40">
        <v>0.16</v>
      </c>
      <c r="J119" s="41">
        <v>0.1</v>
      </c>
      <c r="K119" s="41">
        <v>0.7</v>
      </c>
      <c r="L119" s="40">
        <v>1.4999999999999999E-2</v>
      </c>
      <c r="M119" s="40">
        <v>8.0000000000000002E-3</v>
      </c>
      <c r="N119" s="40" t="s">
        <v>39</v>
      </c>
      <c r="O119" s="40">
        <v>6.0000000000000001E-3</v>
      </c>
      <c r="P119" s="40">
        <v>0.03</v>
      </c>
      <c r="Q119" s="40">
        <v>0.02</v>
      </c>
      <c r="R119" s="40" t="s">
        <v>39</v>
      </c>
      <c r="S119" s="42"/>
      <c r="T119" s="41"/>
      <c r="U119" s="41"/>
      <c r="V119" s="41"/>
      <c r="W119" s="41"/>
      <c r="X119" s="42"/>
      <c r="Y119" s="43" t="s">
        <v>39</v>
      </c>
      <c r="Z119" s="10"/>
      <c r="AA119" s="43" t="s">
        <v>39</v>
      </c>
      <c r="AB119" s="29" cm="1">
        <f t="array" ref="AB119">IF(R119="",IF(Q119="",0,(_xlfn.IFS(Q119=0.01,0.67,Q119=0.015,1,Q119=0.015,1.33,Q119=0.02,1.67,Q119=0.025,2,Q119=0.03,2.33,Q119=0.035,2.67,Q119=0.04,3)+IF(J119&lt;=0.03,"0.33",0))),(_xlfn.IFS(R119=0.01,0.67,R119=0.015,1,R119=0.015,1.33,R119=0.02,1.67,R119=0.025,2,R119=0.03,2.33,R119=0.035,2.67,R119=0.04,3)+IF(J119&lt;=0.03,"0.33",0)))</f>
        <v>1.67</v>
      </c>
      <c r="AC119" s="29">
        <f t="shared" si="2"/>
        <v>1.3468013468013469</v>
      </c>
      <c r="AD119" s="20">
        <f>VLOOKUP(F119,铝耗2026年!$A$2:$B$5000,2,0)</f>
        <v>1.31813235080755</v>
      </c>
      <c r="AE119" s="20">
        <f>VLOOKUP(F119,铝耗2025年!$A$2:$B$5000,2,0)</f>
        <v>1.4</v>
      </c>
      <c r="AF119" s="20">
        <f t="shared" si="3"/>
        <v>1.4</v>
      </c>
    </row>
    <row r="120" spans="1:32" hidden="1" x14ac:dyDescent="0.3">
      <c r="A120" s="7">
        <v>117</v>
      </c>
      <c r="B120" s="10" t="s">
        <v>208</v>
      </c>
      <c r="C120" s="10" t="s">
        <v>34</v>
      </c>
      <c r="D120" s="10">
        <v>10</v>
      </c>
      <c r="E120" s="10">
        <v>15.99</v>
      </c>
      <c r="F120" s="10" t="s">
        <v>211</v>
      </c>
      <c r="G120" s="39" t="s">
        <v>210</v>
      </c>
      <c r="H120" s="10">
        <v>1516</v>
      </c>
      <c r="I120" s="40">
        <v>0.16</v>
      </c>
      <c r="J120" s="41">
        <v>0.1</v>
      </c>
      <c r="K120" s="41">
        <v>0.85</v>
      </c>
      <c r="L120" s="40">
        <v>1.4999999999999999E-2</v>
      </c>
      <c r="M120" s="40">
        <v>0.01</v>
      </c>
      <c r="N120" s="40" t="s">
        <v>39</v>
      </c>
      <c r="O120" s="40">
        <v>6.0000000000000001E-3</v>
      </c>
      <c r="P120" s="40">
        <v>0.03</v>
      </c>
      <c r="Q120" s="40">
        <v>0.02</v>
      </c>
      <c r="R120" s="40" t="s">
        <v>39</v>
      </c>
      <c r="S120" s="42"/>
      <c r="T120" s="41"/>
      <c r="U120" s="41"/>
      <c r="V120" s="41"/>
      <c r="W120" s="41"/>
      <c r="X120" s="42"/>
      <c r="Y120" s="43" t="s">
        <v>39</v>
      </c>
      <c r="Z120" s="10"/>
      <c r="AA120" s="43" t="s">
        <v>39</v>
      </c>
      <c r="AB120" s="29" cm="1">
        <f t="array" ref="AB120">IF(R120="",IF(Q120="",0,(_xlfn.IFS(Q120=0.01,0.67,Q120=0.015,1,Q120=0.015,1.33,Q120=0.02,1.67,Q120=0.025,2,Q120=0.03,2.33,Q120=0.035,2.67,Q120=0.04,3)+IF(J120&lt;=0.03,"0.33",0))),(_xlfn.IFS(R120=0.01,0.67,R120=0.015,1,R120=0.015,1.33,R120=0.02,1.67,R120=0.025,2,R120=0.03,2.33,R120=0.035,2.67,R120=0.04,3)+IF(J120&lt;=0.03,"0.33",0)))</f>
        <v>1.67</v>
      </c>
      <c r="AC120" s="29">
        <f t="shared" si="2"/>
        <v>1.3468013468013469</v>
      </c>
      <c r="AD120" s="20">
        <f>VLOOKUP(F120,铝耗2026年!$A$2:$B$5000,2,0)</f>
        <v>1.33897634381913</v>
      </c>
      <c r="AE120" s="20">
        <f>VLOOKUP(F120,铝耗2025年!$A$2:$B$5000,2,0)</f>
        <v>1.4</v>
      </c>
      <c r="AF120" s="20">
        <f t="shared" si="3"/>
        <v>1.4</v>
      </c>
    </row>
    <row r="121" spans="1:32" hidden="1" x14ac:dyDescent="0.3">
      <c r="A121" s="7">
        <v>118</v>
      </c>
      <c r="B121" s="10" t="s">
        <v>208</v>
      </c>
      <c r="C121" s="10" t="s">
        <v>106</v>
      </c>
      <c r="D121" s="10">
        <v>16</v>
      </c>
      <c r="E121" s="10">
        <v>28</v>
      </c>
      <c r="F121" s="10" t="s">
        <v>212</v>
      </c>
      <c r="G121" s="39" t="s">
        <v>210</v>
      </c>
      <c r="H121" s="10">
        <v>1515</v>
      </c>
      <c r="I121" s="40">
        <v>0.16</v>
      </c>
      <c r="J121" s="41">
        <v>0.1</v>
      </c>
      <c r="K121" s="41">
        <v>1.1499999999999999</v>
      </c>
      <c r="L121" s="40">
        <v>1.4999999999999999E-2</v>
      </c>
      <c r="M121" s="40">
        <v>8.0000000000000002E-3</v>
      </c>
      <c r="N121" s="40" t="s">
        <v>39</v>
      </c>
      <c r="O121" s="40">
        <v>1.4999999999999999E-2</v>
      </c>
      <c r="P121" s="40">
        <v>2.5000000000000001E-2</v>
      </c>
      <c r="Q121" s="40">
        <v>0.02</v>
      </c>
      <c r="R121" s="40" t="s">
        <v>39</v>
      </c>
      <c r="S121" s="42"/>
      <c r="T121" s="41"/>
      <c r="U121" s="41"/>
      <c r="V121" s="41"/>
      <c r="W121" s="41"/>
      <c r="X121" s="42"/>
      <c r="Y121" s="43" t="s">
        <v>39</v>
      </c>
      <c r="Z121" s="10"/>
      <c r="AA121" s="43" t="s">
        <v>39</v>
      </c>
      <c r="AB121" s="29" cm="1">
        <f t="array" ref="AB121">IF(R121="",IF(Q121="",0,(_xlfn.IFS(Q121=0.01,0.67,Q121=0.015,1,Q121=0.015,1.33,Q121=0.02,1.67,Q121=0.025,2,Q121=0.03,2.33,Q121=0.035,2.67,Q121=0.04,3)+IF(J121&lt;=0.03,"0.33",0))),(_xlfn.IFS(R121=0.01,0.67,R121=0.015,1,R121=0.015,1.33,R121=0.02,1.67,R121=0.025,2,R121=0.03,2.33,R121=0.035,2.67,R121=0.04,3)+IF(J121&lt;=0.03,"0.33",0)))</f>
        <v>1.67</v>
      </c>
      <c r="AC121" s="29">
        <f t="shared" si="2"/>
        <v>1.3468013468013469</v>
      </c>
      <c r="AD121" s="20">
        <f>VLOOKUP(F121,铝耗2026年!$A$2:$B$5000,2,0)</f>
        <v>1.40380370176341</v>
      </c>
      <c r="AE121" s="20">
        <f>VLOOKUP(F121,铝耗2025年!$A$2:$B$5000,2,0)</f>
        <v>1.4</v>
      </c>
      <c r="AF121" s="20">
        <f t="shared" si="3"/>
        <v>1.40380370176341</v>
      </c>
    </row>
    <row r="122" spans="1:32" hidden="1" x14ac:dyDescent="0.3">
      <c r="A122" s="7">
        <v>119</v>
      </c>
      <c r="B122" s="10" t="s">
        <v>213</v>
      </c>
      <c r="C122" s="10" t="s">
        <v>37</v>
      </c>
      <c r="D122" s="10">
        <v>2</v>
      </c>
      <c r="E122" s="10">
        <v>9.99</v>
      </c>
      <c r="F122" s="10" t="s">
        <v>214</v>
      </c>
      <c r="G122" s="39" t="s">
        <v>215</v>
      </c>
      <c r="H122" s="10">
        <v>1517</v>
      </c>
      <c r="I122" s="40">
        <v>0.16</v>
      </c>
      <c r="J122" s="41">
        <v>0.02</v>
      </c>
      <c r="K122" s="41">
        <v>0.7</v>
      </c>
      <c r="L122" s="40">
        <v>1.4999999999999999E-2</v>
      </c>
      <c r="M122" s="40">
        <v>8.0000000000000002E-3</v>
      </c>
      <c r="N122" s="40" t="s">
        <v>39</v>
      </c>
      <c r="O122" s="40">
        <v>6.0000000000000001E-3</v>
      </c>
      <c r="P122" s="40">
        <v>0.03</v>
      </c>
      <c r="Q122" s="40">
        <v>0.02</v>
      </c>
      <c r="R122" s="40" t="s">
        <v>39</v>
      </c>
      <c r="S122" s="42"/>
      <c r="T122" s="41"/>
      <c r="U122" s="41"/>
      <c r="V122" s="41"/>
      <c r="W122" s="41"/>
      <c r="X122" s="42"/>
      <c r="Y122" s="43" t="s">
        <v>39</v>
      </c>
      <c r="Z122" s="10">
        <v>45</v>
      </c>
      <c r="AA122" s="43" t="s">
        <v>39</v>
      </c>
      <c r="AB122" s="29" cm="1">
        <f t="array" ref="AB122">IF(R122="",IF(Q122="",0,(_xlfn.IFS(Q122=0.01,0.67,Q122=0.015,1,Q122=0.015,1.33,Q122=0.02,1.67,Q122=0.025,2,Q122=0.03,2.33,Q122=0.035,2.67,Q122=0.04,3)+IF(J122&lt;=0.03,"0.33",0))),(_xlfn.IFS(R122=0.01,0.67,R122=0.015,1,R122=0.015,1.33,R122=0.02,1.67,R122=0.025,2,R122=0.03,2.33,R122=0.035,2.67,R122=0.04,3)+IF(J122&lt;=0.03,"0.33",0)))</f>
        <v>2</v>
      </c>
      <c r="AC122" s="29">
        <f t="shared" si="2"/>
        <v>1.676801346801347</v>
      </c>
      <c r="AD122" s="20" t="e">
        <f>VLOOKUP(F122,铝耗2026年!$A$2:$B$5000,2,0)</f>
        <v>#N/A</v>
      </c>
      <c r="AE122" s="20">
        <f>VLOOKUP(F122,铝耗2025年!$A$2:$B$5000,2,0)</f>
        <v>1.8</v>
      </c>
      <c r="AF122" s="20">
        <v>1.8</v>
      </c>
    </row>
    <row r="123" spans="1:32" hidden="1" x14ac:dyDescent="0.3">
      <c r="A123" s="7">
        <v>120</v>
      </c>
      <c r="B123" s="10" t="s">
        <v>213</v>
      </c>
      <c r="C123" s="10" t="s">
        <v>34</v>
      </c>
      <c r="D123" s="10">
        <v>10</v>
      </c>
      <c r="E123" s="10">
        <v>15.99</v>
      </c>
      <c r="F123" s="10" t="s">
        <v>216</v>
      </c>
      <c r="G123" s="39" t="s">
        <v>215</v>
      </c>
      <c r="H123" s="10">
        <v>1516</v>
      </c>
      <c r="I123" s="40">
        <v>0.16</v>
      </c>
      <c r="J123" s="41">
        <v>0.02</v>
      </c>
      <c r="K123" s="41">
        <v>0.85</v>
      </c>
      <c r="L123" s="40">
        <v>1.4999999999999999E-2</v>
      </c>
      <c r="M123" s="40">
        <v>0.01</v>
      </c>
      <c r="N123" s="40" t="s">
        <v>39</v>
      </c>
      <c r="O123" s="40">
        <v>6.0000000000000001E-3</v>
      </c>
      <c r="P123" s="40">
        <v>0.03</v>
      </c>
      <c r="Q123" s="40">
        <v>0.02</v>
      </c>
      <c r="R123" s="40" t="s">
        <v>39</v>
      </c>
      <c r="S123" s="42"/>
      <c r="T123" s="41"/>
      <c r="U123" s="41"/>
      <c r="V123" s="41"/>
      <c r="W123" s="41"/>
      <c r="X123" s="42"/>
      <c r="Y123" s="43" t="s">
        <v>39</v>
      </c>
      <c r="Z123" s="10"/>
      <c r="AA123" s="43" t="s">
        <v>39</v>
      </c>
      <c r="AB123" s="29" cm="1">
        <f t="array" ref="AB123">IF(R123="",IF(Q123="",0,(_xlfn.IFS(Q123=0.01,0.67,Q123=0.015,1,Q123=0.015,1.33,Q123=0.02,1.67,Q123=0.025,2,Q123=0.03,2.33,Q123=0.035,2.67,Q123=0.04,3)+IF(J123&lt;=0.03,"0.33",0))),(_xlfn.IFS(R123=0.01,0.67,R123=0.015,1,R123=0.015,1.33,R123=0.02,1.67,R123=0.025,2,R123=0.03,2.33,R123=0.035,2.67,R123=0.04,3)+IF(J123&lt;=0.03,"0.33",0)))</f>
        <v>2</v>
      </c>
      <c r="AC123" s="29">
        <f t="shared" si="2"/>
        <v>1.676801346801347</v>
      </c>
      <c r="AD123" s="20" t="e">
        <f>VLOOKUP(F123,铝耗2026年!$A$2:$B$5000,2,0)</f>
        <v>#N/A</v>
      </c>
      <c r="AE123" s="20" t="e">
        <f>VLOOKUP(F123,铝耗2025年!$A$2:$B$5000,2,0)</f>
        <v>#N/A</v>
      </c>
      <c r="AF123" s="20">
        <v>1.8</v>
      </c>
    </row>
    <row r="124" spans="1:32" hidden="1" x14ac:dyDescent="0.3">
      <c r="A124" s="7">
        <v>121</v>
      </c>
      <c r="B124" s="10" t="s">
        <v>213</v>
      </c>
      <c r="C124" s="10" t="s">
        <v>106</v>
      </c>
      <c r="D124" s="10">
        <v>16</v>
      </c>
      <c r="E124" s="10">
        <v>28</v>
      </c>
      <c r="F124" s="10" t="s">
        <v>217</v>
      </c>
      <c r="G124" s="39" t="s">
        <v>215</v>
      </c>
      <c r="H124" s="10">
        <v>1515</v>
      </c>
      <c r="I124" s="40">
        <v>0.16</v>
      </c>
      <c r="J124" s="41">
        <v>0.02</v>
      </c>
      <c r="K124" s="41">
        <v>1.1499999999999999</v>
      </c>
      <c r="L124" s="40">
        <v>1.4999999999999999E-2</v>
      </c>
      <c r="M124" s="40">
        <v>8.0000000000000002E-3</v>
      </c>
      <c r="N124" s="40" t="s">
        <v>39</v>
      </c>
      <c r="O124" s="40">
        <v>1.4999999999999999E-2</v>
      </c>
      <c r="P124" s="40">
        <v>2.5000000000000001E-2</v>
      </c>
      <c r="Q124" s="40">
        <v>0.02</v>
      </c>
      <c r="R124" s="40" t="s">
        <v>39</v>
      </c>
      <c r="S124" s="42"/>
      <c r="T124" s="41"/>
      <c r="U124" s="41"/>
      <c r="V124" s="41"/>
      <c r="W124" s="41"/>
      <c r="X124" s="42"/>
      <c r="Y124" s="43" t="s">
        <v>39</v>
      </c>
      <c r="Z124" s="10"/>
      <c r="AA124" s="43" t="s">
        <v>39</v>
      </c>
      <c r="AB124" s="29" cm="1">
        <f t="array" ref="AB124">IF(R124="",IF(Q124="",0,(_xlfn.IFS(Q124=0.01,0.67,Q124=0.015,1,Q124=0.015,1.33,Q124=0.02,1.67,Q124=0.025,2,Q124=0.03,2.33,Q124=0.035,2.67,Q124=0.04,3)+IF(J124&lt;=0.03,"0.33",0))),(_xlfn.IFS(R124=0.01,0.67,R124=0.015,1,R124=0.015,1.33,R124=0.02,1.67,R124=0.025,2,R124=0.03,2.33,R124=0.035,2.67,R124=0.04,3)+IF(J124&lt;=0.03,"0.33",0)))</f>
        <v>2</v>
      </c>
      <c r="AC124" s="29">
        <f t="shared" si="2"/>
        <v>1.676801346801347</v>
      </c>
      <c r="AD124" s="20" t="e">
        <f>VLOOKUP(F124,铝耗2026年!$A$2:$B$5000,2,0)</f>
        <v>#N/A</v>
      </c>
      <c r="AE124" s="20" t="e">
        <f>VLOOKUP(F124,铝耗2025年!$A$2:$B$5000,2,0)</f>
        <v>#N/A</v>
      </c>
      <c r="AF124" s="20">
        <v>1.8</v>
      </c>
    </row>
    <row r="125" spans="1:32" hidden="1" x14ac:dyDescent="0.3">
      <c r="A125" s="7">
        <v>122</v>
      </c>
      <c r="B125" s="10" t="s">
        <v>218</v>
      </c>
      <c r="C125" s="10" t="s">
        <v>34</v>
      </c>
      <c r="D125" s="10">
        <v>2</v>
      </c>
      <c r="E125" s="10">
        <v>9.99</v>
      </c>
      <c r="F125" s="10" t="s">
        <v>219</v>
      </c>
      <c r="G125" s="39" t="s">
        <v>220</v>
      </c>
      <c r="H125" s="10">
        <v>1515</v>
      </c>
      <c r="I125" s="40">
        <v>0.16</v>
      </c>
      <c r="J125" s="41">
        <v>0.1</v>
      </c>
      <c r="K125" s="41">
        <v>0.85</v>
      </c>
      <c r="L125" s="40">
        <v>1.4999999999999999E-2</v>
      </c>
      <c r="M125" s="40">
        <v>8.0000000000000002E-3</v>
      </c>
      <c r="N125" s="40" t="s">
        <v>39</v>
      </c>
      <c r="O125" s="40">
        <v>1.4999999999999999E-2</v>
      </c>
      <c r="P125" s="40">
        <v>0.03</v>
      </c>
      <c r="Q125" s="40">
        <v>0.02</v>
      </c>
      <c r="R125" s="40" t="s">
        <v>39</v>
      </c>
      <c r="S125" s="42" t="s">
        <v>39</v>
      </c>
      <c r="T125" s="41"/>
      <c r="U125" s="41"/>
      <c r="V125" s="41"/>
      <c r="W125" s="41"/>
      <c r="X125" s="42" t="s">
        <v>39</v>
      </c>
      <c r="Y125" s="43" t="s">
        <v>39</v>
      </c>
      <c r="Z125" s="10"/>
      <c r="AA125" s="43"/>
      <c r="AB125" s="29" cm="1">
        <f t="array" ref="AB125">IF(R125="",IF(Q125="",0,(_xlfn.IFS(Q125=0.01,0.67,Q125=0.015,1,Q125=0.015,1.33,Q125=0.02,1.67,Q125=0.025,2,Q125=0.03,2.33,Q125=0.035,2.67,Q125=0.04,3)+IF(J125&lt;=0.03,"0.33",0))),(_xlfn.IFS(R125=0.01,0.67,R125=0.015,1,R125=0.015,1.33,R125=0.02,1.67,R125=0.025,2,R125=0.03,2.33,R125=0.035,2.67,R125=0.04,3)+IF(J125&lt;=0.03,"0.33",0)))</f>
        <v>1.67</v>
      </c>
      <c r="AC125" s="29">
        <f t="shared" si="2"/>
        <v>1.3468013468013469</v>
      </c>
      <c r="AD125" s="20" t="e">
        <f>VLOOKUP(F125,铝耗2026年!$A$2:$B$5000,2,0)</f>
        <v>#N/A</v>
      </c>
      <c r="AE125" s="20" t="e">
        <f>VLOOKUP(F125,铝耗2025年!$A$2:$B$5000,2,0)</f>
        <v>#N/A</v>
      </c>
      <c r="AF125" s="20">
        <v>1.6</v>
      </c>
    </row>
    <row r="126" spans="1:32" hidden="1" x14ac:dyDescent="0.3">
      <c r="A126" s="7">
        <v>123</v>
      </c>
      <c r="B126" s="10" t="s">
        <v>218</v>
      </c>
      <c r="C126" s="10" t="s">
        <v>37</v>
      </c>
      <c r="D126" s="10">
        <v>10</v>
      </c>
      <c r="E126" s="10">
        <v>15.99</v>
      </c>
      <c r="F126" s="10" t="s">
        <v>221</v>
      </c>
      <c r="G126" s="39" t="s">
        <v>220</v>
      </c>
      <c r="H126" s="10">
        <v>1515</v>
      </c>
      <c r="I126" s="40">
        <v>0.16</v>
      </c>
      <c r="J126" s="41">
        <v>0.1</v>
      </c>
      <c r="K126" s="41">
        <v>0.95</v>
      </c>
      <c r="L126" s="40">
        <v>1.4999999999999999E-2</v>
      </c>
      <c r="M126" s="40">
        <v>8.0000000000000002E-3</v>
      </c>
      <c r="N126" s="40" t="s">
        <v>39</v>
      </c>
      <c r="O126" s="40">
        <v>0.02</v>
      </c>
      <c r="P126" s="40">
        <v>0.03</v>
      </c>
      <c r="Q126" s="40">
        <v>0.02</v>
      </c>
      <c r="R126" s="40" t="s">
        <v>39</v>
      </c>
      <c r="S126" s="42" t="s">
        <v>39</v>
      </c>
      <c r="T126" s="41"/>
      <c r="U126" s="41"/>
      <c r="V126" s="41"/>
      <c r="W126" s="41"/>
      <c r="X126" s="42" t="s">
        <v>39</v>
      </c>
      <c r="Y126" s="43" t="s">
        <v>39</v>
      </c>
      <c r="Z126" s="10"/>
      <c r="AA126" s="43"/>
      <c r="AB126" s="29" cm="1">
        <f t="array" ref="AB126">IF(R126="",IF(Q126="",0,(_xlfn.IFS(Q126=0.01,0.67,Q126=0.015,1,Q126=0.015,1.33,Q126=0.02,1.67,Q126=0.025,2,Q126=0.03,2.33,Q126=0.035,2.67,Q126=0.04,3)+IF(J126&lt;=0.03,"0.33",0))),(_xlfn.IFS(R126=0.01,0.67,R126=0.015,1,R126=0.015,1.33,R126=0.02,1.67,R126=0.025,2,R126=0.03,2.33,R126=0.035,2.67,R126=0.04,3)+IF(J126&lt;=0.03,"0.33",0)))</f>
        <v>1.67</v>
      </c>
      <c r="AC126" s="29">
        <f t="shared" si="2"/>
        <v>1.3468013468013469</v>
      </c>
      <c r="AD126" s="20" t="e">
        <f>VLOOKUP(F126,铝耗2026年!$A$2:$B$5000,2,0)</f>
        <v>#N/A</v>
      </c>
      <c r="AE126" s="20">
        <f>VLOOKUP(F126,铝耗2025年!$A$2:$B$5000,2,0)</f>
        <v>1.6</v>
      </c>
      <c r="AF126" s="20">
        <v>1.6</v>
      </c>
    </row>
    <row r="127" spans="1:32" hidden="1" x14ac:dyDescent="0.3">
      <c r="A127" s="7">
        <v>124</v>
      </c>
      <c r="B127" s="10" t="s">
        <v>218</v>
      </c>
      <c r="C127" s="10" t="s">
        <v>106</v>
      </c>
      <c r="D127" s="10">
        <v>16</v>
      </c>
      <c r="E127" s="10">
        <v>28</v>
      </c>
      <c r="F127" s="10" t="s">
        <v>222</v>
      </c>
      <c r="G127" s="39" t="s">
        <v>220</v>
      </c>
      <c r="H127" s="10">
        <v>1515</v>
      </c>
      <c r="I127" s="40">
        <v>0.16</v>
      </c>
      <c r="J127" s="41">
        <v>0.1</v>
      </c>
      <c r="K127" s="41">
        <v>1.1499999999999999</v>
      </c>
      <c r="L127" s="40">
        <v>1.4999999999999999E-2</v>
      </c>
      <c r="M127" s="40">
        <v>8.0000000000000002E-3</v>
      </c>
      <c r="N127" s="40" t="s">
        <v>39</v>
      </c>
      <c r="O127" s="40">
        <v>0.02</v>
      </c>
      <c r="P127" s="40">
        <v>0.03</v>
      </c>
      <c r="Q127" s="40">
        <v>0.02</v>
      </c>
      <c r="R127" s="40" t="s">
        <v>39</v>
      </c>
      <c r="S127" s="42" t="s">
        <v>39</v>
      </c>
      <c r="T127" s="41"/>
      <c r="U127" s="41"/>
      <c r="V127" s="41"/>
      <c r="W127" s="41"/>
      <c r="X127" s="42" t="s">
        <v>39</v>
      </c>
      <c r="Y127" s="43" t="s">
        <v>39</v>
      </c>
      <c r="Z127" s="10"/>
      <c r="AA127" s="43"/>
      <c r="AB127" s="29" cm="1">
        <f t="array" ref="AB127">IF(R127="",IF(Q127="",0,(_xlfn.IFS(Q127=0.01,0.67,Q127=0.015,1,Q127=0.015,1.33,Q127=0.02,1.67,Q127=0.025,2,Q127=0.03,2.33,Q127=0.035,2.67,Q127=0.04,3)+IF(J127&lt;=0.03,"0.33",0))),(_xlfn.IFS(R127=0.01,0.67,R127=0.015,1,R127=0.015,1.33,R127=0.02,1.67,R127=0.025,2,R127=0.03,2.33,R127=0.035,2.67,R127=0.04,3)+IF(J127&lt;=0.03,"0.33",0)))</f>
        <v>1.67</v>
      </c>
      <c r="AC127" s="29">
        <f t="shared" si="2"/>
        <v>1.3468013468013469</v>
      </c>
      <c r="AD127" s="20" t="e">
        <f>VLOOKUP(F127,铝耗2026年!$A$2:$B$5000,2,0)</f>
        <v>#N/A</v>
      </c>
      <c r="AE127" s="20" t="e">
        <f>VLOOKUP(F127,铝耗2025年!$A$2:$B$5000,2,0)</f>
        <v>#N/A</v>
      </c>
      <c r="AF127" s="20">
        <v>1.6</v>
      </c>
    </row>
    <row r="128" spans="1:32" hidden="1" x14ac:dyDescent="0.3">
      <c r="A128" s="7">
        <v>125</v>
      </c>
      <c r="B128" s="54" t="s">
        <v>223</v>
      </c>
      <c r="C128" s="54" t="s">
        <v>34</v>
      </c>
      <c r="D128" s="54">
        <v>3</v>
      </c>
      <c r="E128" s="54">
        <v>9.99</v>
      </c>
      <c r="F128" s="54" t="s">
        <v>224</v>
      </c>
      <c r="G128" s="55" t="s">
        <v>225</v>
      </c>
      <c r="H128" s="54">
        <v>1516</v>
      </c>
      <c r="I128" s="56">
        <v>0.15</v>
      </c>
      <c r="J128" s="57">
        <v>0.2</v>
      </c>
      <c r="K128" s="57">
        <v>1.25</v>
      </c>
      <c r="L128" s="56">
        <v>0.01</v>
      </c>
      <c r="M128" s="56">
        <v>4.0000000000000001E-3</v>
      </c>
      <c r="N128" s="56" t="s">
        <v>39</v>
      </c>
      <c r="O128" s="56">
        <v>2.5000000000000001E-2</v>
      </c>
      <c r="P128" s="56">
        <v>2.5000000000000001E-2</v>
      </c>
      <c r="Q128" s="56">
        <v>0.02</v>
      </c>
      <c r="R128" s="56" t="s">
        <v>39</v>
      </c>
      <c r="S128" s="58"/>
      <c r="T128" s="57"/>
      <c r="U128" s="57"/>
      <c r="V128" s="57"/>
      <c r="W128" s="57"/>
      <c r="X128" s="58" t="s">
        <v>39</v>
      </c>
      <c r="Y128" s="59" t="s">
        <v>39</v>
      </c>
      <c r="Z128" s="54">
        <v>40</v>
      </c>
      <c r="AA128" s="59" t="s">
        <v>39</v>
      </c>
      <c r="AB128" s="29" cm="1">
        <f t="array" ref="AB128">IF(R128="",IF(Q128="",0,(_xlfn.IFS(Q128=0.01,0.67,Q128=0.015,1,Q128=0.015,1.33,Q128=0.02,1.67,Q128=0.025,2,Q128=0.03,2.33,Q128=0.035,2.67,Q128=0.04,3)+IF(J128&lt;=0.03,"0.33",0))),(_xlfn.IFS(R128=0.01,0.67,R128=0.015,1,R128=0.015,1.33,R128=0.02,1.67,R128=0.025,2,R128=0.03,2.33,R128=0.035,2.67,R128=0.04,3)+IF(J128&lt;=0.03,"0.33",0)))</f>
        <v>1.67</v>
      </c>
      <c r="AC128" s="29">
        <f t="shared" si="2"/>
        <v>1.3468013468013469</v>
      </c>
      <c r="AD128" s="20" t="e">
        <f>VLOOKUP(F128,铝耗2026年!$A$2:$B$5000,2,0)</f>
        <v>#N/A</v>
      </c>
      <c r="AE128" s="20">
        <f>VLOOKUP(F128,铝耗2025年!$A$2:$B$5000,2,0)</f>
        <v>1.4</v>
      </c>
      <c r="AF128" s="20">
        <v>1.4</v>
      </c>
    </row>
    <row r="129" spans="1:32" hidden="1" x14ac:dyDescent="0.3">
      <c r="A129" s="7">
        <v>126</v>
      </c>
      <c r="B129" s="10" t="s">
        <v>223</v>
      </c>
      <c r="C129" s="10" t="s">
        <v>37</v>
      </c>
      <c r="D129" s="10">
        <v>10</v>
      </c>
      <c r="E129" s="10">
        <v>20</v>
      </c>
      <c r="F129" s="10" t="s">
        <v>226</v>
      </c>
      <c r="G129" s="39" t="s">
        <v>225</v>
      </c>
      <c r="H129" s="10">
        <v>1515</v>
      </c>
      <c r="I129" s="40">
        <v>0.15</v>
      </c>
      <c r="J129" s="41">
        <v>0.2</v>
      </c>
      <c r="K129" s="41">
        <v>1.35</v>
      </c>
      <c r="L129" s="40">
        <v>0.01</v>
      </c>
      <c r="M129" s="40">
        <v>4.0000000000000001E-3</v>
      </c>
      <c r="N129" s="40" t="s">
        <v>39</v>
      </c>
      <c r="O129" s="40">
        <v>0.03</v>
      </c>
      <c r="P129" s="40">
        <v>2.5000000000000001E-2</v>
      </c>
      <c r="Q129" s="40">
        <v>0.02</v>
      </c>
      <c r="R129" s="40" t="s">
        <v>39</v>
      </c>
      <c r="S129" s="42"/>
      <c r="T129" s="41"/>
      <c r="U129" s="41"/>
      <c r="V129" s="41"/>
      <c r="W129" s="41"/>
      <c r="X129" s="42" t="s">
        <v>39</v>
      </c>
      <c r="Y129" s="43" t="s">
        <v>39</v>
      </c>
      <c r="Z129" s="10">
        <v>40</v>
      </c>
      <c r="AA129" s="43" t="s">
        <v>39</v>
      </c>
      <c r="AB129" s="29" cm="1">
        <f t="array" ref="AB129">IF(R129="",IF(Q129="",0,(_xlfn.IFS(Q129=0.01,0.67,Q129=0.015,1,Q129=0.015,1.33,Q129=0.02,1.67,Q129=0.025,2,Q129=0.03,2.33,Q129=0.035,2.67,Q129=0.04,3)+IF(J129&lt;=0.03,"0.33",0))),(_xlfn.IFS(R129=0.01,0.67,R129=0.015,1,R129=0.015,1.33,R129=0.02,1.67,R129=0.025,2,R129=0.03,2.33,R129=0.035,2.67,R129=0.04,3)+IF(J129&lt;=0.03,"0.33",0)))</f>
        <v>1.67</v>
      </c>
      <c r="AC129" s="29">
        <f t="shared" si="2"/>
        <v>1.3468013468013469</v>
      </c>
      <c r="AD129" s="20">
        <f>VLOOKUP(F129,铝耗2026年!$A$2:$B$5000,2,0)</f>
        <v>1.8013959116360601</v>
      </c>
      <c r="AE129" s="20">
        <f>VLOOKUP(F129,铝耗2025年!$A$2:$B$5000,2,0)</f>
        <v>1.4</v>
      </c>
      <c r="AF129" s="20">
        <v>1.4</v>
      </c>
    </row>
    <row r="130" spans="1:32" hidden="1" x14ac:dyDescent="0.3">
      <c r="A130" s="7">
        <v>127</v>
      </c>
      <c r="B130" s="10" t="s">
        <v>227</v>
      </c>
      <c r="C130" s="10" t="s">
        <v>34</v>
      </c>
      <c r="D130" s="10">
        <v>3</v>
      </c>
      <c r="E130" s="10">
        <v>9.99</v>
      </c>
      <c r="F130" s="10" t="s">
        <v>228</v>
      </c>
      <c r="G130" s="39" t="s">
        <v>229</v>
      </c>
      <c r="H130" s="10">
        <v>1516</v>
      </c>
      <c r="I130" s="40">
        <v>0.15</v>
      </c>
      <c r="J130" s="41">
        <v>0.02</v>
      </c>
      <c r="K130" s="41">
        <v>1.25</v>
      </c>
      <c r="L130" s="40">
        <v>0.01</v>
      </c>
      <c r="M130" s="40">
        <v>4.0000000000000001E-3</v>
      </c>
      <c r="N130" s="40" t="s">
        <v>39</v>
      </c>
      <c r="O130" s="40">
        <v>2.5000000000000001E-2</v>
      </c>
      <c r="P130" s="40">
        <v>2.5000000000000001E-2</v>
      </c>
      <c r="Q130" s="40">
        <v>0.02</v>
      </c>
      <c r="R130" s="40" t="s">
        <v>39</v>
      </c>
      <c r="S130" s="42"/>
      <c r="T130" s="41"/>
      <c r="U130" s="41"/>
      <c r="V130" s="41"/>
      <c r="W130" s="41"/>
      <c r="X130" s="42" t="s">
        <v>39</v>
      </c>
      <c r="Y130" s="43" t="s">
        <v>39</v>
      </c>
      <c r="Z130" s="10">
        <v>40</v>
      </c>
      <c r="AA130" s="43" t="s">
        <v>39</v>
      </c>
      <c r="AB130" s="29" cm="1">
        <f t="array" ref="AB130">IF(R130="",IF(Q130="",0,(_xlfn.IFS(Q130=0.01,0.67,Q130=0.015,1,Q130=0.015,1.33,Q130=0.02,1.67,Q130=0.025,2,Q130=0.03,2.33,Q130=0.035,2.67,Q130=0.04,3)+IF(J130&lt;=0.03,"0.33",0))),(_xlfn.IFS(R130=0.01,0.67,R130=0.015,1,R130=0.015,1.33,R130=0.02,1.67,R130=0.025,2,R130=0.03,2.33,R130=0.035,2.67,R130=0.04,3)+IF(J130&lt;=0.03,"0.33",0)))</f>
        <v>2</v>
      </c>
      <c r="AC130" s="29">
        <f t="shared" si="2"/>
        <v>1.676801346801347</v>
      </c>
      <c r="AD130" s="20">
        <f>VLOOKUP(F130,铝耗2026年!$A$2:$B$5000,2,0)</f>
        <v>1.64963165572575</v>
      </c>
      <c r="AE130" s="20">
        <f>VLOOKUP(F130,铝耗2025年!$A$2:$B$5000,2,0)</f>
        <v>1.6</v>
      </c>
      <c r="AF130" s="20">
        <v>2.2000000000000002</v>
      </c>
    </row>
    <row r="131" spans="1:32" hidden="1" x14ac:dyDescent="0.3">
      <c r="A131" s="7">
        <v>128</v>
      </c>
      <c r="B131" s="10" t="s">
        <v>227</v>
      </c>
      <c r="C131" s="10" t="s">
        <v>37</v>
      </c>
      <c r="D131" s="10">
        <v>10</v>
      </c>
      <c r="E131" s="10">
        <v>20</v>
      </c>
      <c r="F131" s="10" t="s">
        <v>230</v>
      </c>
      <c r="G131" s="39" t="s">
        <v>229</v>
      </c>
      <c r="H131" s="10">
        <v>1515</v>
      </c>
      <c r="I131" s="40">
        <v>0.15</v>
      </c>
      <c r="J131" s="41">
        <v>0.02</v>
      </c>
      <c r="K131" s="41">
        <v>1.35</v>
      </c>
      <c r="L131" s="40">
        <v>0.01</v>
      </c>
      <c r="M131" s="40">
        <v>4.0000000000000001E-3</v>
      </c>
      <c r="N131" s="40" t="s">
        <v>39</v>
      </c>
      <c r="O131" s="40">
        <v>0.03</v>
      </c>
      <c r="P131" s="40">
        <v>2.5000000000000001E-2</v>
      </c>
      <c r="Q131" s="40">
        <v>0.02</v>
      </c>
      <c r="R131" s="40" t="s">
        <v>39</v>
      </c>
      <c r="S131" s="42"/>
      <c r="T131" s="41"/>
      <c r="U131" s="41"/>
      <c r="V131" s="41"/>
      <c r="W131" s="41"/>
      <c r="X131" s="42" t="s">
        <v>39</v>
      </c>
      <c r="Y131" s="43" t="s">
        <v>39</v>
      </c>
      <c r="Z131" s="10">
        <v>40</v>
      </c>
      <c r="AA131" s="43" t="s">
        <v>39</v>
      </c>
      <c r="AB131" s="29" cm="1">
        <f t="array" ref="AB131">IF(R131="",IF(Q131="",0,(_xlfn.IFS(Q131=0.01,0.67,Q131=0.015,1,Q131=0.015,1.33,Q131=0.02,1.67,Q131=0.025,2,Q131=0.03,2.33,Q131=0.035,2.67,Q131=0.04,3)+IF(J131&lt;=0.03,"0.33",0))),(_xlfn.IFS(R131=0.01,0.67,R131=0.015,1,R131=0.015,1.33,R131=0.02,1.67,R131=0.025,2,R131=0.03,2.33,R131=0.035,2.67,R131=0.04,3)+IF(J131&lt;=0.03,"0.33",0)))</f>
        <v>2</v>
      </c>
      <c r="AC131" s="29">
        <f t="shared" si="2"/>
        <v>1.676801346801347</v>
      </c>
      <c r="AD131" s="20">
        <f>VLOOKUP(F131,铝耗2026年!$A$2:$B$5000,2,0)</f>
        <v>2.2570315384313302</v>
      </c>
      <c r="AE131" s="20">
        <f>VLOOKUP(F131,铝耗2025年!$A$2:$B$5000,2,0)</f>
        <v>1.6</v>
      </c>
      <c r="AF131" s="20">
        <v>2.2000000000000002</v>
      </c>
    </row>
    <row r="132" spans="1:32" hidden="1" x14ac:dyDescent="0.3">
      <c r="A132" s="7">
        <v>129</v>
      </c>
      <c r="B132" s="10" t="s">
        <v>231</v>
      </c>
      <c r="C132" s="10" t="s">
        <v>34</v>
      </c>
      <c r="D132" s="10">
        <v>3</v>
      </c>
      <c r="E132" s="10">
        <v>10</v>
      </c>
      <c r="F132" s="10" t="s">
        <v>231</v>
      </c>
      <c r="G132" s="10" t="s">
        <v>232</v>
      </c>
      <c r="H132" s="10">
        <v>1504</v>
      </c>
      <c r="I132" s="10">
        <v>0.26</v>
      </c>
      <c r="J132" s="10">
        <v>0.23</v>
      </c>
      <c r="K132" s="10">
        <v>1.25</v>
      </c>
      <c r="L132" s="10">
        <v>0</v>
      </c>
      <c r="M132" s="10">
        <v>0</v>
      </c>
      <c r="N132" s="10" t="s">
        <v>39</v>
      </c>
      <c r="O132" s="10" t="s">
        <v>39</v>
      </c>
      <c r="P132" s="10">
        <v>2.5000000000000001E-2</v>
      </c>
      <c r="Q132" s="10" t="s">
        <v>39</v>
      </c>
      <c r="R132" s="10">
        <v>0.03</v>
      </c>
      <c r="S132" s="10" t="s">
        <v>39</v>
      </c>
      <c r="T132" s="10">
        <v>0.16</v>
      </c>
      <c r="U132" s="10">
        <v>0</v>
      </c>
      <c r="V132" s="10">
        <v>0</v>
      </c>
      <c r="W132" s="10" t="s">
        <v>39</v>
      </c>
      <c r="X132" s="10">
        <v>2.3E-3</v>
      </c>
      <c r="Y132" s="10" t="s">
        <v>39</v>
      </c>
      <c r="Z132" s="10" t="s">
        <v>39</v>
      </c>
      <c r="AA132" s="43"/>
      <c r="AB132" s="29" cm="1">
        <f t="array" ref="AB132">IF(R132="",IF(Q132="",0,(_xlfn.IFS(Q132=0.01,0.67,Q132=0.015,1,Q132=0.015,1.33,Q132=0.02,1.67,Q132=0.025,2,Q132=0.03,2.33,Q132=0.035,2.67,Q132=0.04,3)+IF(J132&lt;=0.03,"0.33",0))),(_xlfn.IFS(R132=0.01,0.67,R132=0.015,1,R132=0.015,1.33,R132=0.02,1.67,R132=0.025,2,R132=0.03,2.33,R132=0.035,2.67,R132=0.04,3)+IF(J132&lt;=0.03,"0.33",0)))</f>
        <v>2.33</v>
      </c>
      <c r="AC132" s="29">
        <f t="shared" si="2"/>
        <v>2.0202020202020203</v>
      </c>
      <c r="AD132" s="20">
        <f>VLOOKUP(F132,铝耗2026年!$A$2:$B$5000,2,0)</f>
        <v>1.8156195356170299</v>
      </c>
      <c r="AE132" s="20" t="e">
        <f>VLOOKUP(F132,铝耗2025年!$A$2:$B$5000,2,0)</f>
        <v>#N/A</v>
      </c>
      <c r="AF132" s="20">
        <v>1.8</v>
      </c>
    </row>
    <row r="133" spans="1:32" hidden="1" x14ac:dyDescent="0.3">
      <c r="A133" s="7">
        <v>130</v>
      </c>
      <c r="B133" s="10" t="s">
        <v>233</v>
      </c>
      <c r="C133" s="63" t="s">
        <v>34</v>
      </c>
      <c r="D133" s="10">
        <v>3</v>
      </c>
      <c r="E133" s="10">
        <v>12.5</v>
      </c>
      <c r="F133" s="10" t="s">
        <v>234</v>
      </c>
      <c r="G133" s="39" t="s">
        <v>235</v>
      </c>
      <c r="H133" s="10">
        <v>1514</v>
      </c>
      <c r="I133" s="40">
        <v>0.16</v>
      </c>
      <c r="J133" s="41">
        <v>0.23</v>
      </c>
      <c r="K133" s="41">
        <v>1.1499999999999999</v>
      </c>
      <c r="L133" s="40">
        <v>1.4999999999999999E-2</v>
      </c>
      <c r="M133" s="40">
        <v>3.0000000000000001E-3</v>
      </c>
      <c r="N133" s="40" t="s">
        <v>39</v>
      </c>
      <c r="O133" s="40">
        <v>0.01</v>
      </c>
      <c r="P133" s="40">
        <v>1.4999999999999999E-2</v>
      </c>
      <c r="Q133" s="40">
        <v>0.03</v>
      </c>
      <c r="R133" s="40" t="s">
        <v>39</v>
      </c>
      <c r="S133" s="42"/>
      <c r="T133" s="41"/>
      <c r="U133" s="41"/>
      <c r="V133" s="41"/>
      <c r="W133" s="41"/>
      <c r="X133" s="42" t="s">
        <v>39</v>
      </c>
      <c r="Y133" s="43" t="s">
        <v>39</v>
      </c>
      <c r="Z133" s="10">
        <v>45</v>
      </c>
      <c r="AA133" s="43" t="s">
        <v>39</v>
      </c>
      <c r="AB133" s="29" cm="1">
        <f t="array" ref="AB133">IF(R133="",IF(Q133="",0,(_xlfn.IFS(Q133=0.01,0.67,Q133=0.015,1,Q133=0.015,1.33,Q133=0.02,1.67,Q133=0.025,2,Q133=0.03,2.33,Q133=0.035,2.67,Q133=0.04,3)+IF(J133&lt;=0.03,"0.33",0))),(_xlfn.IFS(R133=0.01,0.67,R133=0.015,1,R133=0.015,1.33,R133=0.02,1.67,R133=0.025,2,R133=0.03,2.33,R133=0.035,2.67,R133=0.04,3)+IF(J133&lt;=0.03,"0.33",0)))</f>
        <v>2.33</v>
      </c>
      <c r="AC133" s="29">
        <f t="shared" ref="AC133:AC196" si="4">IF(R133="",IF(Q133="",0.3,Q133/100/0.99/0.15*1000+IF(J133&lt;=0.03,"0.33",0)),R133/100/0.99/0.15*1000+IF(J133&lt;=0.03,"0.33",0))</f>
        <v>2.0202020202020203</v>
      </c>
      <c r="AD133" s="20">
        <f>VLOOKUP(F133,铝耗2026年!$A$2:$B$5000,2,0)</f>
        <v>1.59700361896184</v>
      </c>
      <c r="AE133" s="20" t="e">
        <f>VLOOKUP(F133,铝耗2025年!$A$2:$B$5000,2,0)</f>
        <v>#N/A</v>
      </c>
      <c r="AF133" s="20">
        <v>1.6</v>
      </c>
    </row>
    <row r="134" spans="1:32" hidden="1" x14ac:dyDescent="0.3">
      <c r="A134" s="7">
        <v>131</v>
      </c>
      <c r="B134" s="10" t="s">
        <v>236</v>
      </c>
      <c r="C134" s="10" t="s">
        <v>34</v>
      </c>
      <c r="D134" s="10">
        <v>1.5</v>
      </c>
      <c r="E134" s="10">
        <v>12</v>
      </c>
      <c r="F134" s="10" t="s">
        <v>237</v>
      </c>
      <c r="G134" s="39" t="s">
        <v>238</v>
      </c>
      <c r="H134" s="10">
        <v>1520</v>
      </c>
      <c r="I134" s="40">
        <v>0.15</v>
      </c>
      <c r="J134" s="41">
        <v>0.1</v>
      </c>
      <c r="K134" s="41">
        <v>0.3</v>
      </c>
      <c r="L134" s="40">
        <v>0.02</v>
      </c>
      <c r="M134" s="40">
        <v>0.01</v>
      </c>
      <c r="N134" s="40"/>
      <c r="O134" s="40" t="s">
        <v>39</v>
      </c>
      <c r="P134" s="40" t="s">
        <v>39</v>
      </c>
      <c r="Q134" s="40">
        <v>1.4999999999999999E-2</v>
      </c>
      <c r="R134" s="40" t="s">
        <v>39</v>
      </c>
      <c r="S134" s="42"/>
      <c r="T134" s="41"/>
      <c r="U134" s="41"/>
      <c r="V134" s="41"/>
      <c r="W134" s="41"/>
      <c r="X134" s="42" t="s">
        <v>39</v>
      </c>
      <c r="Y134" s="43" t="s">
        <v>39</v>
      </c>
      <c r="Z134" s="10">
        <v>50</v>
      </c>
      <c r="AA134" s="43" t="s">
        <v>239</v>
      </c>
      <c r="AB134" s="29" cm="1">
        <f t="array" ref="AB134">IF(R134="",IF(Q134="",0,(_xlfn.IFS(Q134=0.01,0.67,Q134=0.015,1,Q134=0.015,1.33,Q134=0.02,1.67,Q134=0.025,2,Q134=0.03,2.33,Q134=0.035,2.67,Q134=0.04,3)+IF(J134&lt;=0.03,"0.33",0))),(_xlfn.IFS(R134=0.01,0.67,R134=0.015,1,R134=0.015,1.33,R134=0.02,1.67,R134=0.025,2,R134=0.03,2.33,R134=0.035,2.67,R134=0.04,3)+IF(J134&lt;=0.03,"0.33",0)))</f>
        <v>1</v>
      </c>
      <c r="AC134" s="29">
        <f t="shared" si="4"/>
        <v>1.0101010101010102</v>
      </c>
      <c r="AD134" s="20">
        <f>VLOOKUP(F134,铝耗2026年!$A$2:$B$5000,2,0)</f>
        <v>1.3176186768043301</v>
      </c>
      <c r="AE134" s="20">
        <f>VLOOKUP(F134,铝耗2025年!$A$2:$B$5000,2,0)</f>
        <v>1.3</v>
      </c>
      <c r="AF134" s="20">
        <v>1.3</v>
      </c>
    </row>
    <row r="135" spans="1:32" hidden="1" x14ac:dyDescent="0.3">
      <c r="A135" s="7">
        <v>132</v>
      </c>
      <c r="B135" s="10" t="s">
        <v>236</v>
      </c>
      <c r="C135" s="10" t="s">
        <v>37</v>
      </c>
      <c r="D135" s="10">
        <v>12.01</v>
      </c>
      <c r="E135" s="10">
        <v>25.4</v>
      </c>
      <c r="F135" s="10" t="s">
        <v>240</v>
      </c>
      <c r="G135" s="39" t="s">
        <v>238</v>
      </c>
      <c r="H135" s="10">
        <v>1521</v>
      </c>
      <c r="I135" s="40">
        <v>0.15</v>
      </c>
      <c r="J135" s="41">
        <v>0.1</v>
      </c>
      <c r="K135" s="41">
        <v>0.4</v>
      </c>
      <c r="L135" s="40">
        <v>0.02</v>
      </c>
      <c r="M135" s="40">
        <v>0.01</v>
      </c>
      <c r="N135" s="40"/>
      <c r="O135" s="40" t="s">
        <v>39</v>
      </c>
      <c r="P135" s="40" t="s">
        <v>39</v>
      </c>
      <c r="Q135" s="40">
        <v>1.4999999999999999E-2</v>
      </c>
      <c r="R135" s="40" t="s">
        <v>39</v>
      </c>
      <c r="S135" s="42"/>
      <c r="T135" s="41"/>
      <c r="U135" s="41"/>
      <c r="V135" s="41"/>
      <c r="W135" s="41"/>
      <c r="X135" s="42" t="s">
        <v>39</v>
      </c>
      <c r="Y135" s="43" t="s">
        <v>39</v>
      </c>
      <c r="Z135" s="10">
        <v>50</v>
      </c>
      <c r="AA135" s="43" t="s">
        <v>239</v>
      </c>
      <c r="AB135" s="29" cm="1">
        <f t="array" ref="AB135">IF(R135="",IF(Q135="",0,(_xlfn.IFS(Q135=0.01,0.67,Q135=0.015,1,Q135=0.015,1.33,Q135=0.02,1.67,Q135=0.025,2,Q135=0.03,2.33,Q135=0.035,2.67,Q135=0.04,3)+IF(J135&lt;=0.03,"0.33",0))),(_xlfn.IFS(R135=0.01,0.67,R135=0.015,1,R135=0.015,1.33,R135=0.02,1.67,R135=0.025,2,R135=0.03,2.33,R135=0.035,2.67,R135=0.04,3)+IF(J135&lt;=0.03,"0.33",0)))</f>
        <v>1</v>
      </c>
      <c r="AC135" s="29">
        <f t="shared" si="4"/>
        <v>1.0101010101010102</v>
      </c>
      <c r="AD135" s="20">
        <f>VLOOKUP(F135,铝耗2026年!$A$2:$B$5000,2,0)</f>
        <v>1.6323495650933999</v>
      </c>
      <c r="AE135" s="20">
        <f>VLOOKUP(F135,铝耗2025年!$A$2:$B$5000,2,0)</f>
        <v>1.3</v>
      </c>
      <c r="AF135" s="20">
        <v>1.3</v>
      </c>
    </row>
    <row r="136" spans="1:32" hidden="1" x14ac:dyDescent="0.3">
      <c r="A136" s="7">
        <v>133</v>
      </c>
      <c r="B136" s="10" t="s">
        <v>241</v>
      </c>
      <c r="C136" s="10" t="s">
        <v>34</v>
      </c>
      <c r="D136" s="10">
        <v>1.5</v>
      </c>
      <c r="E136" s="10">
        <v>12</v>
      </c>
      <c r="F136" s="10" t="s">
        <v>242</v>
      </c>
      <c r="G136" s="39" t="s">
        <v>243</v>
      </c>
      <c r="H136" s="10">
        <v>1521</v>
      </c>
      <c r="I136" s="40">
        <v>0.15</v>
      </c>
      <c r="J136" s="41">
        <v>0.02</v>
      </c>
      <c r="K136" s="41">
        <v>0.35</v>
      </c>
      <c r="L136" s="40">
        <v>0.02</v>
      </c>
      <c r="M136" s="40">
        <v>0.01</v>
      </c>
      <c r="N136" s="40"/>
      <c r="O136" s="40" t="s">
        <v>39</v>
      </c>
      <c r="P136" s="40" t="s">
        <v>39</v>
      </c>
      <c r="Q136" s="40">
        <v>1.4999999999999999E-2</v>
      </c>
      <c r="R136" s="40" t="s">
        <v>39</v>
      </c>
      <c r="S136" s="42"/>
      <c r="T136" s="41"/>
      <c r="U136" s="41"/>
      <c r="V136" s="41"/>
      <c r="W136" s="41"/>
      <c r="X136" s="42" t="s">
        <v>39</v>
      </c>
      <c r="Y136" s="43" t="s">
        <v>39</v>
      </c>
      <c r="Z136" s="10">
        <v>50</v>
      </c>
      <c r="AA136" s="43"/>
      <c r="AB136" s="29" cm="1">
        <f t="array" ref="AB136">IF(R136="",IF(Q136="",0,(_xlfn.IFS(Q136=0.01,0.67,Q136=0.015,1,Q136=0.015,1.33,Q136=0.02,1.67,Q136=0.025,2,Q136=0.03,2.33,Q136=0.035,2.67,Q136=0.04,3)+IF(J136&lt;=0.03,"0.33",0))),(_xlfn.IFS(R136=0.01,0.67,R136=0.015,1,R136=0.015,1.33,R136=0.02,1.67,R136=0.025,2,R136=0.03,2.33,R136=0.035,2.67,R136=0.04,3)+IF(J136&lt;=0.03,"0.33",0)))</f>
        <v>1.33</v>
      </c>
      <c r="AC136" s="29">
        <f t="shared" si="4"/>
        <v>1.3401010101010102</v>
      </c>
      <c r="AD136" s="20" t="e">
        <f>VLOOKUP(F136,铝耗2026年!$A$2:$B$5000,2,0)</f>
        <v>#N/A</v>
      </c>
      <c r="AE136" s="20">
        <f>VLOOKUP(F136,铝耗2025年!$A$2:$B$5000,2,0)</f>
        <v>1.68</v>
      </c>
      <c r="AF136" s="20">
        <v>1.7</v>
      </c>
    </row>
    <row r="137" spans="1:32" hidden="1" x14ac:dyDescent="0.3">
      <c r="A137" s="7">
        <v>134</v>
      </c>
      <c r="B137" s="10" t="s">
        <v>241</v>
      </c>
      <c r="C137" s="10" t="s">
        <v>37</v>
      </c>
      <c r="D137" s="10">
        <v>12.01</v>
      </c>
      <c r="E137" s="10">
        <v>25.4</v>
      </c>
      <c r="F137" s="10" t="s">
        <v>244</v>
      </c>
      <c r="G137" s="39" t="s">
        <v>243</v>
      </c>
      <c r="H137" s="10">
        <v>1521</v>
      </c>
      <c r="I137" s="40">
        <v>0.15</v>
      </c>
      <c r="J137" s="41">
        <v>0.02</v>
      </c>
      <c r="K137" s="41">
        <v>0.45</v>
      </c>
      <c r="L137" s="40">
        <v>0.02</v>
      </c>
      <c r="M137" s="40">
        <v>0.01</v>
      </c>
      <c r="N137" s="40"/>
      <c r="O137" s="40" t="s">
        <v>39</v>
      </c>
      <c r="P137" s="40" t="s">
        <v>39</v>
      </c>
      <c r="Q137" s="40">
        <v>1.4999999999999999E-2</v>
      </c>
      <c r="R137" s="40" t="s">
        <v>39</v>
      </c>
      <c r="S137" s="42"/>
      <c r="T137" s="41"/>
      <c r="U137" s="41"/>
      <c r="V137" s="41"/>
      <c r="W137" s="41"/>
      <c r="X137" s="42" t="s">
        <v>39</v>
      </c>
      <c r="Y137" s="43" t="s">
        <v>39</v>
      </c>
      <c r="Z137" s="10">
        <v>50</v>
      </c>
      <c r="AA137" s="43"/>
      <c r="AB137" s="29" cm="1">
        <f t="array" ref="AB137">IF(R137="",IF(Q137="",0,(_xlfn.IFS(Q137=0.01,0.67,Q137=0.015,1,Q137=0.015,1.33,Q137=0.02,1.67,Q137=0.025,2,Q137=0.03,2.33,Q137=0.035,2.67,Q137=0.04,3)+IF(J137&lt;=0.03,"0.33",0))),(_xlfn.IFS(R137=0.01,0.67,R137=0.015,1,R137=0.015,1.33,R137=0.02,1.67,R137=0.025,2,R137=0.03,2.33,R137=0.035,2.67,R137=0.04,3)+IF(J137&lt;=0.03,"0.33",0)))</f>
        <v>1.33</v>
      </c>
      <c r="AC137" s="29">
        <f t="shared" si="4"/>
        <v>1.3401010101010102</v>
      </c>
      <c r="AD137" s="20" t="e">
        <f>VLOOKUP(F137,铝耗2026年!$A$2:$B$5000,2,0)</f>
        <v>#N/A</v>
      </c>
      <c r="AE137" s="20" t="e">
        <f>VLOOKUP(F137,铝耗2025年!$A$2:$B$5000,2,0)</f>
        <v>#N/A</v>
      </c>
      <c r="AF137" s="20">
        <v>1.7</v>
      </c>
    </row>
    <row r="138" spans="1:32" hidden="1" x14ac:dyDescent="0.3">
      <c r="A138" s="7">
        <v>135</v>
      </c>
      <c r="B138" s="10" t="s">
        <v>245</v>
      </c>
      <c r="C138" s="10" t="s">
        <v>34</v>
      </c>
      <c r="D138" s="10">
        <v>1.5</v>
      </c>
      <c r="E138" s="10">
        <v>12</v>
      </c>
      <c r="F138" s="10" t="s">
        <v>246</v>
      </c>
      <c r="G138" s="39" t="s">
        <v>247</v>
      </c>
      <c r="H138" s="10">
        <v>1520</v>
      </c>
      <c r="I138" s="40">
        <v>0.15</v>
      </c>
      <c r="J138" s="41">
        <v>0.1</v>
      </c>
      <c r="K138" s="41">
        <v>0.4</v>
      </c>
      <c r="L138" s="40">
        <v>1.4999999999999999E-2</v>
      </c>
      <c r="M138" s="40">
        <v>8.0000000000000002E-3</v>
      </c>
      <c r="N138" s="40"/>
      <c r="O138" s="40" t="s">
        <v>39</v>
      </c>
      <c r="P138" s="40" t="s">
        <v>39</v>
      </c>
      <c r="Q138" s="40">
        <v>2.5000000000000001E-2</v>
      </c>
      <c r="R138" s="40" t="s">
        <v>39</v>
      </c>
      <c r="S138" s="42" t="s">
        <v>39</v>
      </c>
      <c r="T138" s="41"/>
      <c r="U138" s="41"/>
      <c r="V138" s="41"/>
      <c r="W138" s="41"/>
      <c r="X138" s="42" t="s">
        <v>39</v>
      </c>
      <c r="Y138" s="43" t="s">
        <v>39</v>
      </c>
      <c r="Z138" s="10">
        <v>50</v>
      </c>
      <c r="AA138" s="43"/>
      <c r="AB138" s="29" cm="1">
        <f t="array" ref="AB138">IF(R138="",IF(Q138="",0,(_xlfn.IFS(Q138=0.01,0.67,Q138=0.015,1,Q138=0.015,1.33,Q138=0.02,1.67,Q138=0.025,2,Q138=0.03,2.33,Q138=0.035,2.67,Q138=0.04,3)+IF(J138&lt;=0.03,"0.33",0))),(_xlfn.IFS(R138=0.01,0.67,R138=0.015,1,R138=0.015,1.33,R138=0.02,1.67,R138=0.025,2,R138=0.03,2.33,R138=0.035,2.67,R138=0.04,3)+IF(J138&lt;=0.03,"0.33",0)))</f>
        <v>2</v>
      </c>
      <c r="AC138" s="29">
        <f t="shared" si="4"/>
        <v>1.6835016835016836</v>
      </c>
      <c r="AD138" s="20">
        <f>VLOOKUP(F138,铝耗2026年!$A$2:$B$5000,2,0)</f>
        <v>1.40798604394086</v>
      </c>
      <c r="AE138" s="20" t="e">
        <f>VLOOKUP(F138,铝耗2025年!$A$2:$B$5000,2,0)</f>
        <v>#N/A</v>
      </c>
      <c r="AF138" s="20">
        <v>1.4</v>
      </c>
    </row>
    <row r="139" spans="1:32" hidden="1" x14ac:dyDescent="0.3">
      <c r="A139" s="7">
        <v>136</v>
      </c>
      <c r="B139" s="10" t="s">
        <v>245</v>
      </c>
      <c r="C139" s="10" t="s">
        <v>37</v>
      </c>
      <c r="D139" s="10">
        <v>12.01</v>
      </c>
      <c r="E139" s="10">
        <v>25.4</v>
      </c>
      <c r="F139" s="10" t="s">
        <v>248</v>
      </c>
      <c r="G139" s="39" t="s">
        <v>247</v>
      </c>
      <c r="H139" s="10">
        <v>1520</v>
      </c>
      <c r="I139" s="40">
        <v>0.15</v>
      </c>
      <c r="J139" s="41">
        <v>0.1</v>
      </c>
      <c r="K139" s="41">
        <v>0.5</v>
      </c>
      <c r="L139" s="40">
        <v>1.4999999999999999E-2</v>
      </c>
      <c r="M139" s="40">
        <v>8.0000000000000002E-3</v>
      </c>
      <c r="N139" s="40"/>
      <c r="O139" s="40" t="s">
        <v>39</v>
      </c>
      <c r="P139" s="40" t="s">
        <v>39</v>
      </c>
      <c r="Q139" s="40">
        <v>2.5000000000000001E-2</v>
      </c>
      <c r="R139" s="40" t="s">
        <v>39</v>
      </c>
      <c r="S139" s="42" t="s">
        <v>39</v>
      </c>
      <c r="T139" s="41"/>
      <c r="U139" s="41"/>
      <c r="V139" s="41"/>
      <c r="W139" s="41"/>
      <c r="X139" s="42" t="s">
        <v>39</v>
      </c>
      <c r="Y139" s="43" t="s">
        <v>39</v>
      </c>
      <c r="Z139" s="10">
        <v>50</v>
      </c>
      <c r="AA139" s="43"/>
      <c r="AB139" s="29" cm="1">
        <f t="array" ref="AB139">IF(R139="",IF(Q139="",0,(_xlfn.IFS(Q139=0.01,0.67,Q139=0.015,1,Q139=0.015,1.33,Q139=0.02,1.67,Q139=0.025,2,Q139=0.03,2.33,Q139=0.035,2.67,Q139=0.04,3)+IF(J139&lt;=0.03,"0.33",0))),(_xlfn.IFS(R139=0.01,0.67,R139=0.015,1,R139=0.015,1.33,R139=0.02,1.67,R139=0.025,2,R139=0.03,2.33,R139=0.035,2.67,R139=0.04,3)+IF(J139&lt;=0.03,"0.33",0)))</f>
        <v>2</v>
      </c>
      <c r="AC139" s="29">
        <f t="shared" si="4"/>
        <v>1.6835016835016836</v>
      </c>
      <c r="AD139" s="20">
        <f>VLOOKUP(F139,铝耗2026年!$A$2:$B$5000,2,0)</f>
        <v>1.45221013038905</v>
      </c>
      <c r="AE139" s="20" t="e">
        <f>VLOOKUP(F139,铝耗2025年!$A$2:$B$5000,2,0)</f>
        <v>#N/A</v>
      </c>
      <c r="AF139" s="20">
        <v>1.4</v>
      </c>
    </row>
    <row r="140" spans="1:32" hidden="1" x14ac:dyDescent="0.3">
      <c r="A140" s="7">
        <v>137</v>
      </c>
      <c r="B140" s="10" t="s">
        <v>249</v>
      </c>
      <c r="C140" s="10" t="s">
        <v>34</v>
      </c>
      <c r="D140" s="10">
        <v>1.5</v>
      </c>
      <c r="E140" s="10">
        <v>12</v>
      </c>
      <c r="F140" s="10" t="s">
        <v>250</v>
      </c>
      <c r="G140" s="39" t="s">
        <v>251</v>
      </c>
      <c r="H140" s="10">
        <v>1520</v>
      </c>
      <c r="I140" s="40">
        <v>0.15</v>
      </c>
      <c r="J140" s="41">
        <v>0.1</v>
      </c>
      <c r="K140" s="41">
        <v>0.4</v>
      </c>
      <c r="L140" s="40">
        <v>0.01</v>
      </c>
      <c r="M140" s="40">
        <v>5.0000000000000001E-3</v>
      </c>
      <c r="N140" s="40"/>
      <c r="O140" s="40" t="s">
        <v>39</v>
      </c>
      <c r="P140" s="40" t="s">
        <v>39</v>
      </c>
      <c r="Q140" s="40">
        <v>2.5000000000000001E-2</v>
      </c>
      <c r="R140" s="40" t="s">
        <v>39</v>
      </c>
      <c r="S140" s="42" t="s">
        <v>39</v>
      </c>
      <c r="T140" s="41"/>
      <c r="U140" s="41"/>
      <c r="V140" s="41"/>
      <c r="W140" s="41"/>
      <c r="X140" s="42" t="s">
        <v>39</v>
      </c>
      <c r="Y140" s="43" t="s">
        <v>39</v>
      </c>
      <c r="Z140" s="10">
        <v>50</v>
      </c>
      <c r="AA140" s="43"/>
      <c r="AB140" s="29" cm="1">
        <f t="array" ref="AB140">IF(R140="",IF(Q140="",0,(_xlfn.IFS(Q140=0.01,0.67,Q140=0.015,1,Q140=0.015,1.33,Q140=0.02,1.67,Q140=0.025,2,Q140=0.03,2.33,Q140=0.035,2.67,Q140=0.04,3)+IF(J140&lt;=0.03,"0.33",0))),(_xlfn.IFS(R140=0.01,0.67,R140=0.015,1,R140=0.015,1.33,R140=0.02,1.67,R140=0.025,2,R140=0.03,2.33,R140=0.035,2.67,R140=0.04,3)+IF(J140&lt;=0.03,"0.33",0)))</f>
        <v>2</v>
      </c>
      <c r="AC140" s="29">
        <f t="shared" si="4"/>
        <v>1.6835016835016836</v>
      </c>
      <c r="AD140" s="20" t="e">
        <f>VLOOKUP(F140,铝耗2026年!$A$2:$B$5000,2,0)</f>
        <v>#N/A</v>
      </c>
      <c r="AE140" s="20" t="e">
        <f>VLOOKUP(F140,铝耗2025年!$A$2:$B$5000,2,0)</f>
        <v>#N/A</v>
      </c>
      <c r="AF140" s="20">
        <v>1.4</v>
      </c>
    </row>
    <row r="141" spans="1:32" hidden="1" x14ac:dyDescent="0.3">
      <c r="A141" s="7">
        <v>138</v>
      </c>
      <c r="B141" s="10" t="s">
        <v>249</v>
      </c>
      <c r="C141" s="10" t="s">
        <v>37</v>
      </c>
      <c r="D141" s="10">
        <v>12.01</v>
      </c>
      <c r="E141" s="10">
        <v>25.4</v>
      </c>
      <c r="F141" s="10" t="s">
        <v>252</v>
      </c>
      <c r="G141" s="39" t="s">
        <v>251</v>
      </c>
      <c r="H141" s="10">
        <v>1520</v>
      </c>
      <c r="I141" s="40">
        <v>0.15</v>
      </c>
      <c r="J141" s="41">
        <v>0.1</v>
      </c>
      <c r="K141" s="41">
        <v>0.5</v>
      </c>
      <c r="L141" s="40">
        <v>0.01</v>
      </c>
      <c r="M141" s="40">
        <v>5.0000000000000001E-3</v>
      </c>
      <c r="N141" s="40"/>
      <c r="O141" s="40" t="s">
        <v>39</v>
      </c>
      <c r="P141" s="40" t="s">
        <v>39</v>
      </c>
      <c r="Q141" s="40">
        <v>2.5000000000000001E-2</v>
      </c>
      <c r="R141" s="40" t="s">
        <v>39</v>
      </c>
      <c r="S141" s="42" t="s">
        <v>39</v>
      </c>
      <c r="T141" s="41"/>
      <c r="U141" s="41"/>
      <c r="V141" s="41"/>
      <c r="W141" s="41"/>
      <c r="X141" s="42" t="s">
        <v>39</v>
      </c>
      <c r="Y141" s="43" t="s">
        <v>39</v>
      </c>
      <c r="Z141" s="10">
        <v>50</v>
      </c>
      <c r="AA141" s="43"/>
      <c r="AB141" s="29" cm="1">
        <f t="array" ref="AB141">IF(R141="",IF(Q141="",0,(_xlfn.IFS(Q141=0.01,0.67,Q141=0.015,1,Q141=0.015,1.33,Q141=0.02,1.67,Q141=0.025,2,Q141=0.03,2.33,Q141=0.035,2.67,Q141=0.04,3)+IF(J141&lt;=0.03,"0.33",0))),(_xlfn.IFS(R141=0.01,0.67,R141=0.015,1,R141=0.015,1.33,R141=0.02,1.67,R141=0.025,2,R141=0.03,2.33,R141=0.035,2.67,R141=0.04,3)+IF(J141&lt;=0.03,"0.33",0)))</f>
        <v>2</v>
      </c>
      <c r="AC141" s="29">
        <f t="shared" si="4"/>
        <v>1.6835016835016836</v>
      </c>
      <c r="AD141" s="20" t="e">
        <f>VLOOKUP(F141,铝耗2026年!$A$2:$B$5000,2,0)</f>
        <v>#N/A</v>
      </c>
      <c r="AE141" s="20" t="e">
        <f>VLOOKUP(F141,铝耗2025年!$A$2:$B$5000,2,0)</f>
        <v>#N/A</v>
      </c>
      <c r="AF141" s="20">
        <v>1.4</v>
      </c>
    </row>
    <row r="142" spans="1:32" hidden="1" x14ac:dyDescent="0.3">
      <c r="A142" s="7">
        <v>139</v>
      </c>
      <c r="B142" s="10" t="s">
        <v>253</v>
      </c>
      <c r="C142" s="10" t="s">
        <v>34</v>
      </c>
      <c r="D142" s="10">
        <v>1.5</v>
      </c>
      <c r="E142" s="10">
        <v>12</v>
      </c>
      <c r="F142" s="10" t="s">
        <v>254</v>
      </c>
      <c r="G142" s="39" t="s">
        <v>255</v>
      </c>
      <c r="H142" s="10">
        <v>1519</v>
      </c>
      <c r="I142" s="40">
        <v>0.16</v>
      </c>
      <c r="J142" s="41">
        <v>0.15</v>
      </c>
      <c r="K142" s="41">
        <v>0.4</v>
      </c>
      <c r="L142" s="40">
        <v>0.02</v>
      </c>
      <c r="M142" s="40">
        <v>0.01</v>
      </c>
      <c r="N142" s="40"/>
      <c r="O142" s="40" t="s">
        <v>39</v>
      </c>
      <c r="P142" s="40"/>
      <c r="Q142" s="40">
        <v>0.02</v>
      </c>
      <c r="R142" s="40" t="s">
        <v>39</v>
      </c>
      <c r="S142" s="42"/>
      <c r="T142" s="41"/>
      <c r="U142" s="41"/>
      <c r="V142" s="41"/>
      <c r="W142" s="41"/>
      <c r="X142" s="42" t="s">
        <v>39</v>
      </c>
      <c r="Y142" s="43" t="s">
        <v>39</v>
      </c>
      <c r="Z142" s="10">
        <v>50</v>
      </c>
      <c r="AA142" s="43"/>
      <c r="AB142" s="29" cm="1">
        <f t="array" ref="AB142">IF(R142="",IF(Q142="",0,(_xlfn.IFS(Q142=0.01,0.67,Q142=0.015,1,Q142=0.015,1.33,Q142=0.02,1.67,Q142=0.025,2,Q142=0.03,2.33,Q142=0.035,2.67,Q142=0.04,3)+IF(J142&lt;=0.03,"0.33",0))),(_xlfn.IFS(R142=0.01,0.67,R142=0.015,1,R142=0.015,1.33,R142=0.02,1.67,R142=0.025,2,R142=0.03,2.33,R142=0.035,2.67,R142=0.04,3)+IF(J142&lt;=0.03,"0.33",0)))</f>
        <v>1.67</v>
      </c>
      <c r="AC142" s="29">
        <f t="shared" si="4"/>
        <v>1.3468013468013469</v>
      </c>
      <c r="AD142" s="20">
        <f>VLOOKUP(F142,铝耗2026年!$A$2:$B$5000,2,0)</f>
        <v>1.36742117191473</v>
      </c>
      <c r="AE142" s="20">
        <f>VLOOKUP(F142,铝耗2025年!$A$2:$B$5000,2,0)</f>
        <v>1.36</v>
      </c>
      <c r="AF142" s="20">
        <f>MAX(AD142:AE142)</f>
        <v>1.36742117191473</v>
      </c>
    </row>
    <row r="143" spans="1:32" hidden="1" x14ac:dyDescent="0.3">
      <c r="A143" s="7">
        <v>140</v>
      </c>
      <c r="B143" s="10" t="s">
        <v>253</v>
      </c>
      <c r="C143" s="10" t="s">
        <v>37</v>
      </c>
      <c r="D143" s="10">
        <v>12.01</v>
      </c>
      <c r="E143" s="10">
        <v>16</v>
      </c>
      <c r="F143" s="10" t="s">
        <v>256</v>
      </c>
      <c r="G143" s="39" t="s">
        <v>255</v>
      </c>
      <c r="H143" s="10">
        <v>1519</v>
      </c>
      <c r="I143" s="40">
        <v>0.16</v>
      </c>
      <c r="J143" s="41">
        <v>0.15</v>
      </c>
      <c r="K143" s="41">
        <v>0.45</v>
      </c>
      <c r="L143" s="40">
        <v>0.02</v>
      </c>
      <c r="M143" s="40">
        <v>0.01</v>
      </c>
      <c r="N143" s="40"/>
      <c r="O143" s="40" t="s">
        <v>39</v>
      </c>
      <c r="P143" s="40">
        <v>0.01</v>
      </c>
      <c r="Q143" s="40">
        <v>0.02</v>
      </c>
      <c r="R143" s="40" t="s">
        <v>39</v>
      </c>
      <c r="S143" s="42"/>
      <c r="T143" s="41"/>
      <c r="U143" s="41"/>
      <c r="V143" s="41"/>
      <c r="W143" s="41"/>
      <c r="X143" s="42" t="s">
        <v>39</v>
      </c>
      <c r="Y143" s="43" t="s">
        <v>39</v>
      </c>
      <c r="Z143" s="10">
        <v>50</v>
      </c>
      <c r="AA143" s="43"/>
      <c r="AB143" s="29" cm="1">
        <f t="array" ref="AB143">IF(R143="",IF(Q143="",0,(_xlfn.IFS(Q143=0.01,0.67,Q143=0.015,1,Q143=0.015,1.33,Q143=0.02,1.67,Q143=0.025,2,Q143=0.03,2.33,Q143=0.035,2.67,Q143=0.04,3)+IF(J143&lt;=0.03,"0.33",0))),(_xlfn.IFS(R143=0.01,0.67,R143=0.015,1,R143=0.015,1.33,R143=0.02,1.67,R143=0.025,2,R143=0.03,2.33,R143=0.035,2.67,R143=0.04,3)+IF(J143&lt;=0.03,"0.33",0)))</f>
        <v>1.67</v>
      </c>
      <c r="AC143" s="29">
        <f t="shared" si="4"/>
        <v>1.3468013468013469</v>
      </c>
      <c r="AD143" s="20" t="e">
        <f>VLOOKUP(F143,铝耗2026年!$A$2:$B$5000,2,0)</f>
        <v>#N/A</v>
      </c>
      <c r="AE143" s="20">
        <f>VLOOKUP(F143,铝耗2025年!$A$2:$B$5000,2,0)</f>
        <v>1.36</v>
      </c>
      <c r="AF143" s="20">
        <v>1.37</v>
      </c>
    </row>
    <row r="144" spans="1:32" hidden="1" x14ac:dyDescent="0.3">
      <c r="A144" s="7">
        <v>141</v>
      </c>
      <c r="B144" s="10" t="s">
        <v>253</v>
      </c>
      <c r="C144" s="10" t="s">
        <v>106</v>
      </c>
      <c r="D144" s="10">
        <v>16.010000000000002</v>
      </c>
      <c r="E144" s="10">
        <v>25.4</v>
      </c>
      <c r="F144" s="10" t="s">
        <v>257</v>
      </c>
      <c r="G144" s="39" t="s">
        <v>255</v>
      </c>
      <c r="H144" s="10">
        <v>1519</v>
      </c>
      <c r="I144" s="40">
        <v>0.16</v>
      </c>
      <c r="J144" s="41">
        <v>0.15</v>
      </c>
      <c r="K144" s="41">
        <v>0.65</v>
      </c>
      <c r="L144" s="40">
        <v>0.02</v>
      </c>
      <c r="M144" s="40">
        <v>0.01</v>
      </c>
      <c r="N144" s="40"/>
      <c r="O144" s="40" t="s">
        <v>39</v>
      </c>
      <c r="P144" s="40">
        <v>0.01</v>
      </c>
      <c r="Q144" s="40">
        <v>0.02</v>
      </c>
      <c r="R144" s="40" t="s">
        <v>39</v>
      </c>
      <c r="S144" s="42"/>
      <c r="T144" s="41"/>
      <c r="U144" s="41"/>
      <c r="V144" s="41"/>
      <c r="W144" s="41"/>
      <c r="X144" s="42" t="s">
        <v>39</v>
      </c>
      <c r="Y144" s="43" t="s">
        <v>39</v>
      </c>
      <c r="Z144" s="10">
        <v>50</v>
      </c>
      <c r="AA144" s="43"/>
      <c r="AB144" s="29" cm="1">
        <f t="array" ref="AB144">IF(R144="",IF(Q144="",0,(_xlfn.IFS(Q144=0.01,0.67,Q144=0.015,1,Q144=0.015,1.33,Q144=0.02,1.67,Q144=0.025,2,Q144=0.03,2.33,Q144=0.035,2.67,Q144=0.04,3)+IF(J144&lt;=0.03,"0.33",0))),(_xlfn.IFS(R144=0.01,0.67,R144=0.015,1,R144=0.015,1.33,R144=0.02,1.67,R144=0.025,2,R144=0.03,2.33,R144=0.035,2.67,R144=0.04,3)+IF(J144&lt;=0.03,"0.33",0)))</f>
        <v>1.67</v>
      </c>
      <c r="AC144" s="29">
        <f t="shared" si="4"/>
        <v>1.3468013468013469</v>
      </c>
      <c r="AD144" s="20" t="e">
        <f>VLOOKUP(F144,铝耗2026年!$A$2:$B$5000,2,0)</f>
        <v>#N/A</v>
      </c>
      <c r="AE144" s="20">
        <f>VLOOKUP(F144,铝耗2025年!$A$2:$B$5000,2,0)</f>
        <v>1.36</v>
      </c>
      <c r="AF144" s="20">
        <v>1.37</v>
      </c>
    </row>
    <row r="145" spans="1:32" hidden="1" x14ac:dyDescent="0.3">
      <c r="A145" s="7">
        <v>142</v>
      </c>
      <c r="B145" s="10" t="s">
        <v>258</v>
      </c>
      <c r="C145" s="10" t="s">
        <v>34</v>
      </c>
      <c r="D145" s="10">
        <v>1.5</v>
      </c>
      <c r="E145" s="10">
        <v>12</v>
      </c>
      <c r="F145" s="10" t="s">
        <v>259</v>
      </c>
      <c r="G145" s="39" t="s">
        <v>260</v>
      </c>
      <c r="H145" s="10">
        <v>1519</v>
      </c>
      <c r="I145" s="40">
        <v>0.16</v>
      </c>
      <c r="J145" s="41">
        <v>0.02</v>
      </c>
      <c r="K145" s="41">
        <v>0.45</v>
      </c>
      <c r="L145" s="40">
        <v>0.02</v>
      </c>
      <c r="M145" s="40">
        <v>0.01</v>
      </c>
      <c r="N145" s="40"/>
      <c r="O145" s="40" t="s">
        <v>39</v>
      </c>
      <c r="P145" s="40"/>
      <c r="Q145" s="40">
        <v>0.02</v>
      </c>
      <c r="R145" s="40" t="s">
        <v>39</v>
      </c>
      <c r="S145" s="42"/>
      <c r="T145" s="41"/>
      <c r="U145" s="41"/>
      <c r="V145" s="41"/>
      <c r="W145" s="41"/>
      <c r="X145" s="42" t="s">
        <v>39</v>
      </c>
      <c r="Y145" s="43" t="s">
        <v>39</v>
      </c>
      <c r="Z145" s="10">
        <v>50</v>
      </c>
      <c r="AA145" s="43"/>
      <c r="AB145" s="29" cm="1">
        <f t="array" ref="AB145">IF(R145="",IF(Q145="",0,(_xlfn.IFS(Q145=0.01,0.67,Q145=0.015,1,Q145=0.015,1.33,Q145=0.02,1.67,Q145=0.025,2,Q145=0.03,2.33,Q145=0.035,2.67,Q145=0.04,3)+IF(J145&lt;=0.03,"0.33",0))),(_xlfn.IFS(R145=0.01,0.67,R145=0.015,1,R145=0.015,1.33,R145=0.02,1.67,R145=0.025,2,R145=0.03,2.33,R145=0.035,2.67,R145=0.04,3)+IF(J145&lt;=0.03,"0.33",0)))</f>
        <v>2</v>
      </c>
      <c r="AC145" s="29">
        <f t="shared" si="4"/>
        <v>1.676801346801347</v>
      </c>
      <c r="AD145" s="20" t="e">
        <f>VLOOKUP(F145,铝耗2026年!$A$2:$B$5000,2,0)</f>
        <v>#N/A</v>
      </c>
      <c r="AE145" s="20">
        <f>VLOOKUP(F145,铝耗2025年!$A$2:$B$5000,2,0)</f>
        <v>1.62</v>
      </c>
      <c r="AF145" s="20">
        <v>1.62</v>
      </c>
    </row>
    <row r="146" spans="1:32" hidden="1" x14ac:dyDescent="0.3">
      <c r="A146" s="7">
        <v>143</v>
      </c>
      <c r="B146" s="10" t="s">
        <v>258</v>
      </c>
      <c r="C146" s="10" t="s">
        <v>37</v>
      </c>
      <c r="D146" s="10">
        <v>12.01</v>
      </c>
      <c r="E146" s="10">
        <v>25.4</v>
      </c>
      <c r="F146" s="10" t="s">
        <v>261</v>
      </c>
      <c r="G146" s="39" t="s">
        <v>260</v>
      </c>
      <c r="H146" s="10">
        <v>1519</v>
      </c>
      <c r="I146" s="40">
        <v>0.16</v>
      </c>
      <c r="J146" s="41">
        <v>0.02</v>
      </c>
      <c r="K146" s="41">
        <v>0.5</v>
      </c>
      <c r="L146" s="40">
        <v>0.02</v>
      </c>
      <c r="M146" s="40">
        <v>0.01</v>
      </c>
      <c r="N146" s="40"/>
      <c r="O146" s="40" t="s">
        <v>39</v>
      </c>
      <c r="P146" s="40">
        <v>0.01</v>
      </c>
      <c r="Q146" s="40">
        <v>0.02</v>
      </c>
      <c r="R146" s="40" t="s">
        <v>39</v>
      </c>
      <c r="S146" s="42"/>
      <c r="T146" s="41"/>
      <c r="U146" s="41"/>
      <c r="V146" s="41"/>
      <c r="W146" s="41"/>
      <c r="X146" s="42" t="s">
        <v>39</v>
      </c>
      <c r="Y146" s="43" t="s">
        <v>39</v>
      </c>
      <c r="Z146" s="10">
        <v>50</v>
      </c>
      <c r="AA146" s="43"/>
      <c r="AB146" s="29" cm="1">
        <f t="array" ref="AB146">IF(R146="",IF(Q146="",0,(_xlfn.IFS(Q146=0.01,0.67,Q146=0.015,1,Q146=0.015,1.33,Q146=0.02,1.67,Q146=0.025,2,Q146=0.03,2.33,Q146=0.035,2.67,Q146=0.04,3)+IF(J146&lt;=0.03,"0.33",0))),(_xlfn.IFS(R146=0.01,0.67,R146=0.015,1,R146=0.015,1.33,R146=0.02,1.67,R146=0.025,2,R146=0.03,2.33,R146=0.035,2.67,R146=0.04,3)+IF(J146&lt;=0.03,"0.33",0)))</f>
        <v>2</v>
      </c>
      <c r="AC146" s="29">
        <f t="shared" si="4"/>
        <v>1.676801346801347</v>
      </c>
      <c r="AD146" s="20" t="e">
        <f>VLOOKUP(F146,铝耗2026年!$A$2:$B$5000,2,0)</f>
        <v>#N/A</v>
      </c>
      <c r="AE146" s="20" t="e">
        <f>VLOOKUP(F146,铝耗2025年!$A$2:$B$5000,2,0)</f>
        <v>#N/A</v>
      </c>
      <c r="AF146" s="20">
        <v>1.62</v>
      </c>
    </row>
    <row r="147" spans="1:32" hidden="1" x14ac:dyDescent="0.3">
      <c r="A147" s="7">
        <v>144</v>
      </c>
      <c r="B147" s="10" t="s">
        <v>262</v>
      </c>
      <c r="C147" s="10" t="s">
        <v>34</v>
      </c>
      <c r="D147" s="10">
        <v>2</v>
      </c>
      <c r="E147" s="10">
        <v>12</v>
      </c>
      <c r="F147" s="10" t="s">
        <v>263</v>
      </c>
      <c r="G147" s="39" t="s">
        <v>264</v>
      </c>
      <c r="H147" s="10">
        <v>1520</v>
      </c>
      <c r="I147" s="40">
        <v>0.14000000000000001</v>
      </c>
      <c r="J147" s="41">
        <v>0.15</v>
      </c>
      <c r="K147" s="41">
        <v>0.4</v>
      </c>
      <c r="L147" s="40">
        <v>0.02</v>
      </c>
      <c r="M147" s="40">
        <v>0.01</v>
      </c>
      <c r="N147" s="40"/>
      <c r="O147" s="40" t="s">
        <v>39</v>
      </c>
      <c r="P147" s="40"/>
      <c r="Q147" s="40">
        <v>0.02</v>
      </c>
      <c r="R147" s="40" t="s">
        <v>39</v>
      </c>
      <c r="S147" s="42"/>
      <c r="T147" s="41"/>
      <c r="U147" s="41"/>
      <c r="V147" s="41"/>
      <c r="W147" s="41"/>
      <c r="X147" s="42" t="s">
        <v>39</v>
      </c>
      <c r="Y147" s="43" t="s">
        <v>39</v>
      </c>
      <c r="Z147" s="10">
        <v>45</v>
      </c>
      <c r="AA147" s="43"/>
      <c r="AB147" s="29" cm="1">
        <f t="array" ref="AB147">IF(R147="",IF(Q147="",0,(_xlfn.IFS(Q147=0.01,0.67,Q147=0.015,1,Q147=0.015,1.33,Q147=0.02,1.67,Q147=0.025,2,Q147=0.03,2.33,Q147=0.035,2.67,Q147=0.04,3)+IF(J147&lt;=0.03,"0.33",0))),(_xlfn.IFS(R147=0.01,0.67,R147=0.015,1,R147=0.015,1.33,R147=0.02,1.67,R147=0.025,2,R147=0.03,2.33,R147=0.035,2.67,R147=0.04,3)+IF(J147&lt;=0.03,"0.33",0)))</f>
        <v>1.67</v>
      </c>
      <c r="AC147" s="29">
        <f t="shared" si="4"/>
        <v>1.3468013468013469</v>
      </c>
      <c r="AD147" s="20" t="e">
        <f>VLOOKUP(F147,铝耗2026年!$A$2:$B$5000,2,0)</f>
        <v>#N/A</v>
      </c>
      <c r="AE147" s="20" t="e">
        <f>VLOOKUP(F147,铝耗2025年!$A$2:$B$5000,2,0)</f>
        <v>#N/A</v>
      </c>
      <c r="AF147" s="20">
        <v>1.36</v>
      </c>
    </row>
    <row r="148" spans="1:32" hidden="1" x14ac:dyDescent="0.3">
      <c r="A148" s="7">
        <v>145</v>
      </c>
      <c r="B148" s="10" t="s">
        <v>262</v>
      </c>
      <c r="C148" s="10" t="s">
        <v>37</v>
      </c>
      <c r="D148" s="10">
        <v>12.01</v>
      </c>
      <c r="E148" s="10">
        <v>25.4</v>
      </c>
      <c r="F148" s="10" t="s">
        <v>265</v>
      </c>
      <c r="G148" s="39" t="s">
        <v>264</v>
      </c>
      <c r="H148" s="10">
        <v>1520</v>
      </c>
      <c r="I148" s="40">
        <v>0.14000000000000001</v>
      </c>
      <c r="J148" s="41">
        <v>0.15</v>
      </c>
      <c r="K148" s="41">
        <v>0.45</v>
      </c>
      <c r="L148" s="40">
        <v>0.02</v>
      </c>
      <c r="M148" s="40">
        <v>0.01</v>
      </c>
      <c r="N148" s="40"/>
      <c r="O148" s="40" t="s">
        <v>39</v>
      </c>
      <c r="P148" s="40">
        <v>0.01</v>
      </c>
      <c r="Q148" s="40">
        <v>0.02</v>
      </c>
      <c r="R148" s="40" t="s">
        <v>39</v>
      </c>
      <c r="S148" s="42"/>
      <c r="T148" s="41"/>
      <c r="U148" s="41"/>
      <c r="V148" s="41"/>
      <c r="W148" s="41"/>
      <c r="X148" s="42" t="s">
        <v>39</v>
      </c>
      <c r="Y148" s="43" t="s">
        <v>39</v>
      </c>
      <c r="Z148" s="10">
        <v>50</v>
      </c>
      <c r="AA148" s="43"/>
      <c r="AB148" s="29" cm="1">
        <f t="array" ref="AB148">IF(R148="",IF(Q148="",0,(_xlfn.IFS(Q148=0.01,0.67,Q148=0.015,1,Q148=0.015,1.33,Q148=0.02,1.67,Q148=0.025,2,Q148=0.03,2.33,Q148=0.035,2.67,Q148=0.04,3)+IF(J148&lt;=0.03,"0.33",0))),(_xlfn.IFS(R148=0.01,0.67,R148=0.015,1,R148=0.015,1.33,R148=0.02,1.67,R148=0.025,2,R148=0.03,2.33,R148=0.035,2.67,R148=0.04,3)+IF(J148&lt;=0.03,"0.33",0)))</f>
        <v>1.67</v>
      </c>
      <c r="AC148" s="29">
        <f t="shared" si="4"/>
        <v>1.3468013468013469</v>
      </c>
      <c r="AD148" s="20" t="e">
        <f>VLOOKUP(F148,铝耗2026年!$A$2:$B$5000,2,0)</f>
        <v>#N/A</v>
      </c>
      <c r="AE148" s="20" t="e">
        <f>VLOOKUP(F148,铝耗2025年!$A$2:$B$5000,2,0)</f>
        <v>#N/A</v>
      </c>
      <c r="AF148" s="20">
        <v>1.36</v>
      </c>
    </row>
    <row r="149" spans="1:32" hidden="1" x14ac:dyDescent="0.3">
      <c r="A149" s="7">
        <v>146</v>
      </c>
      <c r="B149" s="10" t="s">
        <v>266</v>
      </c>
      <c r="C149" s="10" t="s">
        <v>34</v>
      </c>
      <c r="D149" s="10">
        <v>1.5</v>
      </c>
      <c r="E149" s="10">
        <v>12</v>
      </c>
      <c r="F149" s="10" t="s">
        <v>267</v>
      </c>
      <c r="G149" s="39" t="s">
        <v>268</v>
      </c>
      <c r="H149" s="10">
        <v>1520</v>
      </c>
      <c r="I149" s="40">
        <v>0.14000000000000001</v>
      </c>
      <c r="J149" s="41">
        <v>0.15</v>
      </c>
      <c r="K149" s="41">
        <v>0.4</v>
      </c>
      <c r="L149" s="40">
        <v>1.4999999999999999E-2</v>
      </c>
      <c r="M149" s="40">
        <v>0.01</v>
      </c>
      <c r="N149" s="40"/>
      <c r="O149" s="40" t="s">
        <v>39</v>
      </c>
      <c r="P149" s="40"/>
      <c r="Q149" s="40">
        <v>0.02</v>
      </c>
      <c r="R149" s="40" t="s">
        <v>39</v>
      </c>
      <c r="S149" s="42"/>
      <c r="T149" s="41"/>
      <c r="U149" s="41"/>
      <c r="V149" s="41"/>
      <c r="W149" s="41"/>
      <c r="X149" s="42" t="s">
        <v>39</v>
      </c>
      <c r="Y149" s="43" t="s">
        <v>39</v>
      </c>
      <c r="Z149" s="10">
        <v>45</v>
      </c>
      <c r="AA149" s="43"/>
      <c r="AB149" s="29" cm="1">
        <f t="array" ref="AB149">IF(R149="",IF(Q149="",0,(_xlfn.IFS(Q149=0.01,0.67,Q149=0.015,1,Q149=0.015,1.33,Q149=0.02,1.67,Q149=0.025,2,Q149=0.03,2.33,Q149=0.035,2.67,Q149=0.04,3)+IF(J149&lt;=0.03,"0.33",0))),(_xlfn.IFS(R149=0.01,0.67,R149=0.015,1,R149=0.015,1.33,R149=0.02,1.67,R149=0.025,2,R149=0.03,2.33,R149=0.035,2.67,R149=0.04,3)+IF(J149&lt;=0.03,"0.33",0)))</f>
        <v>1.67</v>
      </c>
      <c r="AC149" s="29">
        <f t="shared" si="4"/>
        <v>1.3468013468013469</v>
      </c>
      <c r="AD149" s="20" t="e">
        <f>VLOOKUP(F149,铝耗2026年!$A$2:$B$5000,2,0)</f>
        <v>#N/A</v>
      </c>
      <c r="AE149" s="20" t="e">
        <f>VLOOKUP(F149,铝耗2025年!$A$2:$B$5000,2,0)</f>
        <v>#N/A</v>
      </c>
      <c r="AF149" s="20">
        <v>1.36</v>
      </c>
    </row>
    <row r="150" spans="1:32" hidden="1" x14ac:dyDescent="0.3">
      <c r="A150" s="7">
        <v>147</v>
      </c>
      <c r="B150" s="10" t="s">
        <v>266</v>
      </c>
      <c r="C150" s="10" t="s">
        <v>37</v>
      </c>
      <c r="D150" s="10">
        <v>12.01</v>
      </c>
      <c r="E150" s="10">
        <v>25.4</v>
      </c>
      <c r="F150" s="10" t="s">
        <v>269</v>
      </c>
      <c r="G150" s="39" t="s">
        <v>268</v>
      </c>
      <c r="H150" s="10">
        <v>1520</v>
      </c>
      <c r="I150" s="40">
        <v>0.14000000000000001</v>
      </c>
      <c r="J150" s="41">
        <v>0.15</v>
      </c>
      <c r="K150" s="41">
        <v>0.45</v>
      </c>
      <c r="L150" s="40">
        <v>1.4999999999999999E-2</v>
      </c>
      <c r="M150" s="40">
        <v>0.01</v>
      </c>
      <c r="N150" s="40"/>
      <c r="O150" s="40" t="s">
        <v>39</v>
      </c>
      <c r="P150" s="40">
        <v>0.01</v>
      </c>
      <c r="Q150" s="40">
        <v>0.02</v>
      </c>
      <c r="R150" s="40" t="s">
        <v>39</v>
      </c>
      <c r="S150" s="42"/>
      <c r="T150" s="41"/>
      <c r="U150" s="41"/>
      <c r="V150" s="41"/>
      <c r="W150" s="41"/>
      <c r="X150" s="42" t="s">
        <v>39</v>
      </c>
      <c r="Y150" s="43" t="s">
        <v>39</v>
      </c>
      <c r="Z150" s="10">
        <v>45</v>
      </c>
      <c r="AA150" s="43"/>
      <c r="AB150" s="29" cm="1">
        <f t="array" ref="AB150">IF(R150="",IF(Q150="",0,(_xlfn.IFS(Q150=0.01,0.67,Q150=0.015,1,Q150=0.015,1.33,Q150=0.02,1.67,Q150=0.025,2,Q150=0.03,2.33,Q150=0.035,2.67,Q150=0.04,3)+IF(J150&lt;=0.03,"0.33",0))),(_xlfn.IFS(R150=0.01,0.67,R150=0.015,1,R150=0.015,1.33,R150=0.02,1.67,R150=0.025,2,R150=0.03,2.33,R150=0.035,2.67,R150=0.04,3)+IF(J150&lt;=0.03,"0.33",0)))</f>
        <v>1.67</v>
      </c>
      <c r="AC150" s="29">
        <f t="shared" si="4"/>
        <v>1.3468013468013469</v>
      </c>
      <c r="AD150" s="20" t="e">
        <f>VLOOKUP(F150,铝耗2026年!$A$2:$B$5000,2,0)</f>
        <v>#N/A</v>
      </c>
      <c r="AE150" s="20" t="e">
        <f>VLOOKUP(F150,铝耗2025年!$A$2:$B$5000,2,0)</f>
        <v>#N/A</v>
      </c>
      <c r="AF150" s="20">
        <v>1.36</v>
      </c>
    </row>
    <row r="151" spans="1:32" hidden="1" x14ac:dyDescent="0.3">
      <c r="A151" s="7">
        <v>148</v>
      </c>
      <c r="B151" s="10" t="s">
        <v>270</v>
      </c>
      <c r="C151" s="10" t="s">
        <v>37</v>
      </c>
      <c r="D151" s="10">
        <v>1.5</v>
      </c>
      <c r="E151" s="10">
        <v>12</v>
      </c>
      <c r="F151" s="10" t="s">
        <v>271</v>
      </c>
      <c r="G151" s="39" t="s">
        <v>272</v>
      </c>
      <c r="H151" s="10">
        <v>1518</v>
      </c>
      <c r="I151" s="40">
        <v>0.14499999999999999</v>
      </c>
      <c r="J151" s="41">
        <v>0.15</v>
      </c>
      <c r="K151" s="41">
        <v>0.7</v>
      </c>
      <c r="L151" s="40">
        <v>1.4999999999999999E-2</v>
      </c>
      <c r="M151" s="40">
        <v>0.01</v>
      </c>
      <c r="N151" s="40" t="s">
        <v>39</v>
      </c>
      <c r="O151" s="40">
        <v>8.0000000000000002E-3</v>
      </c>
      <c r="P151" s="40">
        <v>0.03</v>
      </c>
      <c r="Q151" s="40">
        <v>0.02</v>
      </c>
      <c r="R151" s="40" t="s">
        <v>39</v>
      </c>
      <c r="S151" s="42"/>
      <c r="T151" s="41"/>
      <c r="U151" s="41"/>
      <c r="V151" s="41"/>
      <c r="W151" s="41"/>
      <c r="X151" s="42" t="s">
        <v>39</v>
      </c>
      <c r="Y151" s="43" t="s">
        <v>39</v>
      </c>
      <c r="Z151" s="10">
        <v>45</v>
      </c>
      <c r="AA151" s="43"/>
      <c r="AB151" s="29" cm="1">
        <f t="array" ref="AB151">IF(R151="",IF(Q151="",0,(_xlfn.IFS(Q151=0.01,0.67,Q151=0.015,1,Q151=0.015,1.33,Q151=0.02,1.67,Q151=0.025,2,Q151=0.03,2.33,Q151=0.035,2.67,Q151=0.04,3)+IF(J151&lt;=0.03,"0.33",0))),(_xlfn.IFS(R151=0.01,0.67,R151=0.015,1,R151=0.015,1.33,R151=0.02,1.67,R151=0.025,2,R151=0.03,2.33,R151=0.035,2.67,R151=0.04,3)+IF(J151&lt;=0.03,"0.33",0)))</f>
        <v>1.67</v>
      </c>
      <c r="AC151" s="29">
        <f t="shared" si="4"/>
        <v>1.3468013468013469</v>
      </c>
      <c r="AD151" s="20">
        <f>VLOOKUP(F151,铝耗2026年!$A$2:$B$5000,2,0)</f>
        <v>1.3274681626570199</v>
      </c>
      <c r="AE151" s="20">
        <f>VLOOKUP(F151,铝耗2025年!$A$2:$B$5000,2,0)</f>
        <v>1.31</v>
      </c>
      <c r="AF151" s="20">
        <v>1.36</v>
      </c>
    </row>
    <row r="152" spans="1:32" hidden="1" x14ac:dyDescent="0.3">
      <c r="A152" s="7">
        <v>149</v>
      </c>
      <c r="B152" s="10" t="s">
        <v>270</v>
      </c>
      <c r="C152" s="10" t="s">
        <v>34</v>
      </c>
      <c r="D152" s="10">
        <v>12.01</v>
      </c>
      <c r="E152" s="10">
        <v>19</v>
      </c>
      <c r="F152" s="10" t="s">
        <v>273</v>
      </c>
      <c r="G152" s="39" t="s">
        <v>272</v>
      </c>
      <c r="H152" s="10">
        <v>1518</v>
      </c>
      <c r="I152" s="40">
        <v>0.14499999999999999</v>
      </c>
      <c r="J152" s="41">
        <v>0.15</v>
      </c>
      <c r="K152" s="41">
        <v>0.8</v>
      </c>
      <c r="L152" s="40">
        <v>1.4999999999999999E-2</v>
      </c>
      <c r="M152" s="40">
        <v>0.01</v>
      </c>
      <c r="N152" s="40" t="s">
        <v>39</v>
      </c>
      <c r="O152" s="40">
        <v>8.0000000000000002E-3</v>
      </c>
      <c r="P152" s="40">
        <v>0.03</v>
      </c>
      <c r="Q152" s="40">
        <v>0.02</v>
      </c>
      <c r="R152" s="40" t="s">
        <v>39</v>
      </c>
      <c r="S152" s="42"/>
      <c r="T152" s="41"/>
      <c r="U152" s="41"/>
      <c r="V152" s="41"/>
      <c r="W152" s="41"/>
      <c r="X152" s="42" t="s">
        <v>39</v>
      </c>
      <c r="Y152" s="43" t="s">
        <v>39</v>
      </c>
      <c r="Z152" s="10">
        <v>45</v>
      </c>
      <c r="AA152" s="43"/>
      <c r="AB152" s="29" cm="1">
        <f t="array" ref="AB152">IF(R152="",IF(Q152="",0,(_xlfn.IFS(Q152=0.01,0.67,Q152=0.015,1,Q152=0.015,1.33,Q152=0.02,1.67,Q152=0.025,2,Q152=0.03,2.33,Q152=0.035,2.67,Q152=0.04,3)+IF(J152&lt;=0.03,"0.33",0))),(_xlfn.IFS(R152=0.01,0.67,R152=0.015,1,R152=0.015,1.33,R152=0.02,1.67,R152=0.025,2,R152=0.03,2.33,R152=0.035,2.67,R152=0.04,3)+IF(J152&lt;=0.03,"0.33",0)))</f>
        <v>1.67</v>
      </c>
      <c r="AC152" s="29">
        <f t="shared" si="4"/>
        <v>1.3468013468013469</v>
      </c>
      <c r="AD152" s="20">
        <f>VLOOKUP(F152,铝耗2026年!$A$2:$B$5000,2,0)</f>
        <v>1.35958662814058</v>
      </c>
      <c r="AE152" s="20">
        <f>VLOOKUP(F152,铝耗2025年!$A$2:$B$5000,2,0)</f>
        <v>1.31</v>
      </c>
      <c r="AF152" s="20">
        <f>MAX(AD152:AE152)</f>
        <v>1.35958662814058</v>
      </c>
    </row>
    <row r="153" spans="1:32" hidden="1" x14ac:dyDescent="0.3">
      <c r="A153" s="7">
        <v>150</v>
      </c>
      <c r="B153" s="10" t="s">
        <v>270</v>
      </c>
      <c r="C153" s="10" t="s">
        <v>106</v>
      </c>
      <c r="D153" s="10">
        <v>19.010000000000002</v>
      </c>
      <c r="E153" s="10">
        <v>25.4</v>
      </c>
      <c r="F153" s="10" t="s">
        <v>274</v>
      </c>
      <c r="G153" s="39" t="s">
        <v>272</v>
      </c>
      <c r="H153" s="10">
        <v>1518</v>
      </c>
      <c r="I153" s="40">
        <v>0.14499999999999999</v>
      </c>
      <c r="J153" s="41">
        <v>0.15</v>
      </c>
      <c r="K153" s="41">
        <v>0.8</v>
      </c>
      <c r="L153" s="40">
        <v>1.4999999999999999E-2</v>
      </c>
      <c r="M153" s="40">
        <v>0.01</v>
      </c>
      <c r="N153" s="40" t="s">
        <v>39</v>
      </c>
      <c r="O153" s="40">
        <v>1.4999999999999999E-2</v>
      </c>
      <c r="P153" s="40">
        <v>2.5000000000000001E-2</v>
      </c>
      <c r="Q153" s="40">
        <v>0.02</v>
      </c>
      <c r="R153" s="40" t="s">
        <v>39</v>
      </c>
      <c r="S153" s="42"/>
      <c r="T153" s="41"/>
      <c r="U153" s="41"/>
      <c r="V153" s="41"/>
      <c r="W153" s="41"/>
      <c r="X153" s="42" t="s">
        <v>39</v>
      </c>
      <c r="Y153" s="43" t="s">
        <v>39</v>
      </c>
      <c r="Z153" s="10">
        <v>45</v>
      </c>
      <c r="AA153" s="43"/>
      <c r="AB153" s="29" cm="1">
        <f t="array" ref="AB153">IF(R153="",IF(Q153="",0,(_xlfn.IFS(Q153=0.01,0.67,Q153=0.015,1,Q153=0.015,1.33,Q153=0.02,1.67,Q153=0.025,2,Q153=0.03,2.33,Q153=0.035,2.67,Q153=0.04,3)+IF(J153&lt;=0.03,"0.33",0))),(_xlfn.IFS(R153=0.01,0.67,R153=0.015,1,R153=0.015,1.33,R153=0.02,1.67,R153=0.025,2,R153=0.03,2.33,R153=0.035,2.67,R153=0.04,3)+IF(J153&lt;=0.03,"0.33",0)))</f>
        <v>1.67</v>
      </c>
      <c r="AC153" s="29">
        <f t="shared" si="4"/>
        <v>1.3468013468013469</v>
      </c>
      <c r="AD153" s="20">
        <f>VLOOKUP(F153,铝耗2026年!$A$2:$B$5000,2,0)</f>
        <v>1.72080384615385</v>
      </c>
      <c r="AE153" s="20">
        <f>VLOOKUP(F153,铝耗2025年!$A$2:$B$5000,2,0)</f>
        <v>1.31</v>
      </c>
      <c r="AF153" s="20">
        <v>1.36</v>
      </c>
    </row>
    <row r="154" spans="1:32" hidden="1" x14ac:dyDescent="0.3">
      <c r="A154" s="7">
        <v>151</v>
      </c>
      <c r="B154" s="10" t="s">
        <v>275</v>
      </c>
      <c r="C154" s="10" t="s">
        <v>34</v>
      </c>
      <c r="D154" s="10">
        <v>2</v>
      </c>
      <c r="E154" s="10">
        <v>12</v>
      </c>
      <c r="F154" s="10" t="s">
        <v>276</v>
      </c>
      <c r="G154" s="39" t="s">
        <v>277</v>
      </c>
      <c r="H154" s="10">
        <v>1518</v>
      </c>
      <c r="I154" s="40">
        <v>0.15</v>
      </c>
      <c r="J154" s="41">
        <v>0</v>
      </c>
      <c r="K154" s="41">
        <v>0.7</v>
      </c>
      <c r="L154" s="40">
        <v>0.02</v>
      </c>
      <c r="M154" s="40">
        <v>1.4999999999999999E-2</v>
      </c>
      <c r="N154" s="40" t="s">
        <v>39</v>
      </c>
      <c r="O154" s="40"/>
      <c r="P154" s="40">
        <v>3.5000000000000003E-2</v>
      </c>
      <c r="Q154" s="40">
        <v>0.02</v>
      </c>
      <c r="R154" s="40" t="s">
        <v>39</v>
      </c>
      <c r="S154" s="42"/>
      <c r="T154" s="41"/>
      <c r="U154" s="41"/>
      <c r="V154" s="41"/>
      <c r="W154" s="41"/>
      <c r="X154" s="42" t="s">
        <v>39</v>
      </c>
      <c r="Y154" s="43" t="s">
        <v>39</v>
      </c>
      <c r="Z154" s="10">
        <v>45</v>
      </c>
      <c r="AA154" s="43"/>
      <c r="AB154" s="29" cm="1">
        <f t="array" ref="AB154">IF(R154="",IF(Q154="",0,(_xlfn.IFS(Q154=0.01,0.67,Q154=0.015,1,Q154=0.015,1.33,Q154=0.02,1.67,Q154=0.025,2,Q154=0.03,2.33,Q154=0.035,2.67,Q154=0.04,3)+IF(J154&lt;=0.03,"0.33",0))),(_xlfn.IFS(R154=0.01,0.67,R154=0.015,1,R154=0.015,1.33,R154=0.02,1.67,R154=0.025,2,R154=0.03,2.33,R154=0.035,2.67,R154=0.04,3)+IF(J154&lt;=0.03,"0.33",0)))</f>
        <v>2</v>
      </c>
      <c r="AC154" s="29">
        <f t="shared" si="4"/>
        <v>1.676801346801347</v>
      </c>
      <c r="AD154" s="20">
        <f>VLOOKUP(F154,铝耗2026年!$A$2:$B$5000,2,0)</f>
        <v>1.54369705536415</v>
      </c>
      <c r="AE154" s="20">
        <f>VLOOKUP(F154,铝耗2025年!$A$2:$B$5000,2,0)</f>
        <v>1.71</v>
      </c>
      <c r="AF154" s="20">
        <f>MAX(AD154:AE154)</f>
        <v>1.71</v>
      </c>
    </row>
    <row r="155" spans="1:32" hidden="1" x14ac:dyDescent="0.3">
      <c r="A155" s="7">
        <v>152</v>
      </c>
      <c r="B155" s="10" t="s">
        <v>275</v>
      </c>
      <c r="C155" s="10" t="s">
        <v>37</v>
      </c>
      <c r="D155" s="10">
        <v>12.01</v>
      </c>
      <c r="E155" s="10">
        <v>25.4</v>
      </c>
      <c r="F155" s="10" t="s">
        <v>278</v>
      </c>
      <c r="G155" s="39" t="s">
        <v>277</v>
      </c>
      <c r="H155" s="10">
        <v>1518</v>
      </c>
      <c r="I155" s="40">
        <v>0.15</v>
      </c>
      <c r="J155" s="41">
        <v>0</v>
      </c>
      <c r="K155" s="41">
        <v>0.8</v>
      </c>
      <c r="L155" s="40">
        <v>0.02</v>
      </c>
      <c r="M155" s="40">
        <v>1.4999999999999999E-2</v>
      </c>
      <c r="N155" s="40" t="s">
        <v>39</v>
      </c>
      <c r="O155" s="40">
        <v>5.0000000000000001E-3</v>
      </c>
      <c r="P155" s="40">
        <v>3.5000000000000003E-2</v>
      </c>
      <c r="Q155" s="40">
        <v>0.02</v>
      </c>
      <c r="R155" s="40" t="s">
        <v>39</v>
      </c>
      <c r="S155" s="42"/>
      <c r="T155" s="41"/>
      <c r="U155" s="41"/>
      <c r="V155" s="41"/>
      <c r="W155" s="41"/>
      <c r="X155" s="42" t="s">
        <v>39</v>
      </c>
      <c r="Y155" s="43" t="s">
        <v>39</v>
      </c>
      <c r="Z155" s="10">
        <v>45</v>
      </c>
      <c r="AA155" s="43"/>
      <c r="AB155" s="29" cm="1">
        <f t="array" ref="AB155">IF(R155="",IF(Q155="",0,(_xlfn.IFS(Q155=0.01,0.67,Q155=0.015,1,Q155=0.015,1.33,Q155=0.02,1.67,Q155=0.025,2,Q155=0.03,2.33,Q155=0.035,2.67,Q155=0.04,3)+IF(J155&lt;=0.03,"0.33",0))),(_xlfn.IFS(R155=0.01,0.67,R155=0.015,1,R155=0.015,1.33,R155=0.02,1.67,R155=0.025,2,R155=0.03,2.33,R155=0.035,2.67,R155=0.04,3)+IF(J155&lt;=0.03,"0.33",0)))</f>
        <v>2</v>
      </c>
      <c r="AC155" s="29">
        <f t="shared" si="4"/>
        <v>1.676801346801347</v>
      </c>
      <c r="AD155" s="20" t="e">
        <f>VLOOKUP(F155,铝耗2026年!$A$2:$B$5000,2,0)</f>
        <v>#N/A</v>
      </c>
      <c r="AE155" s="20" t="e">
        <f>VLOOKUP(F155,铝耗2025年!$A$2:$B$5000,2,0)</f>
        <v>#N/A</v>
      </c>
      <c r="AF155" s="20">
        <v>1.71</v>
      </c>
    </row>
    <row r="156" spans="1:32" hidden="1" x14ac:dyDescent="0.3">
      <c r="A156" s="7">
        <v>153</v>
      </c>
      <c r="B156" s="10" t="s">
        <v>279</v>
      </c>
      <c r="C156" s="10" t="s">
        <v>37</v>
      </c>
      <c r="D156" s="10">
        <v>1.5</v>
      </c>
      <c r="E156" s="10">
        <v>12</v>
      </c>
      <c r="F156" s="10" t="s">
        <v>280</v>
      </c>
      <c r="G156" s="39" t="s">
        <v>281</v>
      </c>
      <c r="H156" s="10">
        <v>1518</v>
      </c>
      <c r="I156" s="40">
        <v>0.14499999999999999</v>
      </c>
      <c r="J156" s="41">
        <v>0.15</v>
      </c>
      <c r="K156" s="41">
        <v>0.85</v>
      </c>
      <c r="L156" s="40">
        <v>1.4999999999999999E-2</v>
      </c>
      <c r="M156" s="40">
        <v>0.01</v>
      </c>
      <c r="N156" s="40" t="s">
        <v>39</v>
      </c>
      <c r="O156" s="40">
        <v>1.4999999999999999E-2</v>
      </c>
      <c r="P156" s="40">
        <v>2.5000000000000001E-2</v>
      </c>
      <c r="Q156" s="40">
        <v>0.02</v>
      </c>
      <c r="R156" s="40" t="s">
        <v>39</v>
      </c>
      <c r="S156" s="42"/>
      <c r="T156" s="41"/>
      <c r="U156" s="41"/>
      <c r="V156" s="41"/>
      <c r="W156" s="41"/>
      <c r="X156" s="42" t="s">
        <v>39</v>
      </c>
      <c r="Y156" s="43" t="s">
        <v>39</v>
      </c>
      <c r="Z156" s="10">
        <v>45</v>
      </c>
      <c r="AA156" s="43"/>
      <c r="AB156" s="29" cm="1">
        <f t="array" ref="AB156">IF(R156="",IF(Q156="",0,(_xlfn.IFS(Q156=0.01,0.67,Q156=0.015,1,Q156=0.015,1.33,Q156=0.02,1.67,Q156=0.025,2,Q156=0.03,2.33,Q156=0.035,2.67,Q156=0.04,3)+IF(J156&lt;=0.03,"0.33",0))),(_xlfn.IFS(R156=0.01,0.67,R156=0.015,1,R156=0.015,1.33,R156=0.02,1.67,R156=0.025,2,R156=0.03,2.33,R156=0.035,2.67,R156=0.04,3)+IF(J156&lt;=0.03,"0.33",0)))</f>
        <v>1.67</v>
      </c>
      <c r="AC156" s="29">
        <f t="shared" si="4"/>
        <v>1.3468013468013469</v>
      </c>
      <c r="AD156" s="20" t="e">
        <f>VLOOKUP(F156,铝耗2026年!$A$2:$B$5000,2,0)</f>
        <v>#N/A</v>
      </c>
      <c r="AE156" s="20">
        <f>VLOOKUP(F156,铝耗2025年!$A$2:$B$5000,2,0)</f>
        <v>1.42</v>
      </c>
      <c r="AF156" s="20">
        <v>1.42</v>
      </c>
    </row>
    <row r="157" spans="1:32" hidden="1" x14ac:dyDescent="0.3">
      <c r="A157" s="7">
        <v>154</v>
      </c>
      <c r="B157" s="10" t="s">
        <v>279</v>
      </c>
      <c r="C157" s="10" t="s">
        <v>34</v>
      </c>
      <c r="D157" s="10">
        <v>12.01</v>
      </c>
      <c r="E157" s="10">
        <v>19</v>
      </c>
      <c r="F157" s="10" t="s">
        <v>282</v>
      </c>
      <c r="G157" s="39" t="s">
        <v>281</v>
      </c>
      <c r="H157" s="10">
        <v>1518</v>
      </c>
      <c r="I157" s="40">
        <v>0.14499999999999999</v>
      </c>
      <c r="J157" s="41">
        <v>0.15</v>
      </c>
      <c r="K157" s="41">
        <v>1</v>
      </c>
      <c r="L157" s="40">
        <v>1.4999999999999999E-2</v>
      </c>
      <c r="M157" s="40">
        <v>0.01</v>
      </c>
      <c r="N157" s="40" t="s">
        <v>39</v>
      </c>
      <c r="O157" s="40">
        <v>1.4999999999999999E-2</v>
      </c>
      <c r="P157" s="40">
        <v>2.5000000000000001E-2</v>
      </c>
      <c r="Q157" s="40">
        <v>0.02</v>
      </c>
      <c r="R157" s="40" t="s">
        <v>39</v>
      </c>
      <c r="S157" s="42"/>
      <c r="T157" s="41"/>
      <c r="U157" s="41"/>
      <c r="V157" s="41"/>
      <c r="W157" s="41"/>
      <c r="X157" s="42" t="s">
        <v>39</v>
      </c>
      <c r="Y157" s="43" t="s">
        <v>39</v>
      </c>
      <c r="Z157" s="10">
        <v>45</v>
      </c>
      <c r="AA157" s="43"/>
      <c r="AB157" s="29" cm="1">
        <f t="array" ref="AB157">IF(R157="",IF(Q157="",0,(_xlfn.IFS(Q157=0.01,0.67,Q157=0.015,1,Q157=0.015,1.33,Q157=0.02,1.67,Q157=0.025,2,Q157=0.03,2.33,Q157=0.035,2.67,Q157=0.04,3)+IF(J157&lt;=0.03,"0.33",0))),(_xlfn.IFS(R157=0.01,0.67,R157=0.015,1,R157=0.015,1.33,R157=0.02,1.67,R157=0.025,2,R157=0.03,2.33,R157=0.035,2.67,R157=0.04,3)+IF(J157&lt;=0.03,"0.33",0)))</f>
        <v>1.67</v>
      </c>
      <c r="AC157" s="29">
        <f t="shared" si="4"/>
        <v>1.3468013468013469</v>
      </c>
      <c r="AD157" s="20" t="e">
        <f>VLOOKUP(F157,铝耗2026年!$A$2:$B$5000,2,0)</f>
        <v>#N/A</v>
      </c>
      <c r="AE157" s="20">
        <f>VLOOKUP(F157,铝耗2025年!$A$2:$B$5000,2,0)</f>
        <v>1.42</v>
      </c>
      <c r="AF157" s="20">
        <v>1.42</v>
      </c>
    </row>
    <row r="158" spans="1:32" hidden="1" x14ac:dyDescent="0.3">
      <c r="A158" s="7">
        <v>155</v>
      </c>
      <c r="B158" s="54" t="s">
        <v>279</v>
      </c>
      <c r="C158" s="54" t="s">
        <v>106</v>
      </c>
      <c r="D158" s="54">
        <v>19.010000000000002</v>
      </c>
      <c r="E158" s="54">
        <v>25.4</v>
      </c>
      <c r="F158" s="54" t="s">
        <v>283</v>
      </c>
      <c r="G158" s="55" t="s">
        <v>281</v>
      </c>
      <c r="H158" s="54">
        <v>1518</v>
      </c>
      <c r="I158" s="56">
        <v>0.14499999999999999</v>
      </c>
      <c r="J158" s="57">
        <v>0.15</v>
      </c>
      <c r="K158" s="57">
        <v>1.2</v>
      </c>
      <c r="L158" s="56">
        <v>1.4999999999999999E-2</v>
      </c>
      <c r="M158" s="56">
        <v>0.01</v>
      </c>
      <c r="N158" s="56" t="s">
        <v>39</v>
      </c>
      <c r="O158" s="56">
        <v>1.4999999999999999E-2</v>
      </c>
      <c r="P158" s="56">
        <v>2.5000000000000001E-2</v>
      </c>
      <c r="Q158" s="56">
        <v>0.02</v>
      </c>
      <c r="R158" s="56" t="s">
        <v>39</v>
      </c>
      <c r="S158" s="58"/>
      <c r="T158" s="57"/>
      <c r="U158" s="57"/>
      <c r="V158" s="57"/>
      <c r="W158" s="57"/>
      <c r="X158" s="58" t="s">
        <v>39</v>
      </c>
      <c r="Y158" s="59" t="s">
        <v>39</v>
      </c>
      <c r="Z158" s="54">
        <v>45</v>
      </c>
      <c r="AA158" s="59"/>
      <c r="AB158" s="60" cm="1">
        <f t="array" ref="AB158">IF(R158="",IF(Q158="",0,(_xlfn.IFS(Q158=0.01,0.67,Q158=0.015,1,Q158=0.015,1.33,Q158=0.02,1.67,Q158=0.025,2,Q158=0.03,2.33,Q158=0.035,2.67,Q158=0.04,3)+IF(J158&lt;=0.03,"0.33",0))),(_xlfn.IFS(R158=0.01,0.67,R158=0.015,1,R158=0.015,1.33,R158=0.02,1.67,R158=0.025,2,R158=0.03,2.33,R158=0.035,2.67,R158=0.04,3)+IF(J158&lt;=0.03,"0.33",0)))</f>
        <v>1.67</v>
      </c>
      <c r="AC158" s="29">
        <f t="shared" si="4"/>
        <v>1.3468013468013469</v>
      </c>
      <c r="AD158" s="20">
        <f>VLOOKUP(F158,铝耗2026年!$A$2:$B$5000,2,0)</f>
        <v>1.2759929583976399</v>
      </c>
      <c r="AE158" s="20">
        <f>VLOOKUP(F158,铝耗2025年!$A$2:$B$5000,2,0)</f>
        <v>1.42</v>
      </c>
      <c r="AF158" s="20">
        <f>MAX(AD158:AE158)</f>
        <v>1.42</v>
      </c>
    </row>
    <row r="159" spans="1:32" hidden="1" x14ac:dyDescent="0.3">
      <c r="A159" s="7">
        <v>156</v>
      </c>
      <c r="B159" s="10" t="s">
        <v>284</v>
      </c>
      <c r="C159" s="10" t="s">
        <v>34</v>
      </c>
      <c r="D159" s="10">
        <v>1.2</v>
      </c>
      <c r="E159" s="10">
        <v>12</v>
      </c>
      <c r="F159" s="10" t="s">
        <v>285</v>
      </c>
      <c r="G159" s="39" t="s">
        <v>286</v>
      </c>
      <c r="H159" s="10">
        <v>1518</v>
      </c>
      <c r="I159" s="40">
        <v>0.15</v>
      </c>
      <c r="J159" s="41">
        <v>0</v>
      </c>
      <c r="K159" s="41">
        <v>0.7</v>
      </c>
      <c r="L159" s="40">
        <v>1.4999999999999999E-2</v>
      </c>
      <c r="M159" s="40">
        <v>0.01</v>
      </c>
      <c r="N159" s="40" t="s">
        <v>39</v>
      </c>
      <c r="O159" s="40">
        <v>5.0000000000000001E-3</v>
      </c>
      <c r="P159" s="40">
        <v>0.03</v>
      </c>
      <c r="Q159" s="40">
        <v>0.02</v>
      </c>
      <c r="R159" s="40" t="s">
        <v>39</v>
      </c>
      <c r="S159" s="42"/>
      <c r="T159" s="41"/>
      <c r="U159" s="41"/>
      <c r="V159" s="41"/>
      <c r="W159" s="41"/>
      <c r="X159" s="42" t="s">
        <v>39</v>
      </c>
      <c r="Y159" s="43" t="s">
        <v>39</v>
      </c>
      <c r="Z159" s="10">
        <v>45</v>
      </c>
      <c r="AA159" s="43" t="s">
        <v>287</v>
      </c>
      <c r="AB159" s="29" cm="1">
        <f t="array" ref="AB159">IF(R159="",IF(Q159="",0,(_xlfn.IFS(Q159=0.01,0.67,Q159=0.015,1,Q159=0.015,1.33,Q159=0.02,1.67,Q159=0.025,2,Q159=0.03,2.33,Q159=0.035,2.67,Q159=0.04,3)+IF(J159&lt;=0.03,"0.33",0))),(_xlfn.IFS(R159=0.01,0.67,R159=0.015,1,R159=0.015,1.33,R159=0.02,1.67,R159=0.025,2,R159=0.03,2.33,R159=0.035,2.67,R159=0.04,3)+IF(J159&lt;=0.03,"0.33",0)))</f>
        <v>2</v>
      </c>
      <c r="AC159" s="29">
        <f t="shared" si="4"/>
        <v>1.676801346801347</v>
      </c>
      <c r="AD159" s="20" t="e">
        <f>VLOOKUP(F159,铝耗2026年!$A$2:$B$5000,2,0)</f>
        <v>#N/A</v>
      </c>
      <c r="AE159" s="20" t="e">
        <f>VLOOKUP(F159,铝耗2025年!$A$2:$B$5000,2,0)</f>
        <v>#N/A</v>
      </c>
      <c r="AF159" s="20">
        <v>1.71</v>
      </c>
    </row>
    <row r="160" spans="1:32" hidden="1" x14ac:dyDescent="0.3">
      <c r="A160" s="7">
        <v>157</v>
      </c>
      <c r="B160" s="10" t="s">
        <v>284</v>
      </c>
      <c r="C160" s="10" t="s">
        <v>37</v>
      </c>
      <c r="D160" s="10">
        <v>12.01</v>
      </c>
      <c r="E160" s="10">
        <v>25.4</v>
      </c>
      <c r="F160" s="10" t="s">
        <v>288</v>
      </c>
      <c r="G160" s="39" t="s">
        <v>286</v>
      </c>
      <c r="H160" s="10">
        <v>1518</v>
      </c>
      <c r="I160" s="40">
        <v>0.15</v>
      </c>
      <c r="J160" s="41">
        <v>0</v>
      </c>
      <c r="K160" s="41">
        <v>0.8</v>
      </c>
      <c r="L160" s="40">
        <v>1.4999999999999999E-2</v>
      </c>
      <c r="M160" s="40">
        <v>0.01</v>
      </c>
      <c r="N160" s="40" t="s">
        <v>39</v>
      </c>
      <c r="O160" s="40">
        <v>5.0000000000000001E-3</v>
      </c>
      <c r="P160" s="40">
        <v>3.5000000000000003E-2</v>
      </c>
      <c r="Q160" s="40">
        <v>0.02</v>
      </c>
      <c r="R160" s="40" t="s">
        <v>39</v>
      </c>
      <c r="S160" s="42"/>
      <c r="T160" s="41"/>
      <c r="U160" s="41"/>
      <c r="V160" s="41"/>
      <c r="W160" s="41"/>
      <c r="X160" s="42" t="s">
        <v>39</v>
      </c>
      <c r="Y160" s="43" t="s">
        <v>39</v>
      </c>
      <c r="Z160" s="10">
        <v>45</v>
      </c>
      <c r="AA160" s="43" t="s">
        <v>287</v>
      </c>
      <c r="AB160" s="29" cm="1">
        <f t="array" ref="AB160">IF(R160="",IF(Q160="",0,(_xlfn.IFS(Q160=0.01,0.67,Q160=0.015,1,Q160=0.015,1.33,Q160=0.02,1.67,Q160=0.025,2,Q160=0.03,2.33,Q160=0.035,2.67,Q160=0.04,3)+IF(J160&lt;=0.03,"0.33",0))),(_xlfn.IFS(R160=0.01,0.67,R160=0.015,1,R160=0.015,1.33,R160=0.02,1.67,R160=0.025,2,R160=0.03,2.33,R160=0.035,2.67,R160=0.04,3)+IF(J160&lt;=0.03,"0.33",0)))</f>
        <v>2</v>
      </c>
      <c r="AC160" s="29">
        <f t="shared" si="4"/>
        <v>1.676801346801347</v>
      </c>
      <c r="AD160" s="20" t="e">
        <f>VLOOKUP(F160,铝耗2026年!$A$2:$B$5000,2,0)</f>
        <v>#N/A</v>
      </c>
      <c r="AE160" s="20" t="e">
        <f>VLOOKUP(F160,铝耗2025年!$A$2:$B$5000,2,0)</f>
        <v>#N/A</v>
      </c>
      <c r="AF160" s="20">
        <v>1.71</v>
      </c>
    </row>
    <row r="161" spans="1:32" hidden="1" x14ac:dyDescent="0.3">
      <c r="A161" s="7">
        <v>158</v>
      </c>
      <c r="B161" s="10" t="s">
        <v>289</v>
      </c>
      <c r="C161" s="10" t="s">
        <v>34</v>
      </c>
      <c r="D161" s="10">
        <v>1.5</v>
      </c>
      <c r="E161" s="10">
        <v>12</v>
      </c>
      <c r="F161" s="10" t="s">
        <v>290</v>
      </c>
      <c r="G161" s="39" t="s">
        <v>291</v>
      </c>
      <c r="H161" s="10">
        <v>1513</v>
      </c>
      <c r="I161" s="40">
        <v>0.14499999999999999</v>
      </c>
      <c r="J161" s="41">
        <v>0.15</v>
      </c>
      <c r="K161" s="41">
        <v>0.9</v>
      </c>
      <c r="L161" s="40">
        <v>1.2999999999999999E-2</v>
      </c>
      <c r="M161" s="40">
        <v>5.0000000000000001E-3</v>
      </c>
      <c r="N161" s="40" t="s">
        <v>39</v>
      </c>
      <c r="O161" s="40">
        <v>0.01</v>
      </c>
      <c r="P161" s="40">
        <v>2.5000000000000001E-2</v>
      </c>
      <c r="Q161" s="40">
        <v>0.02</v>
      </c>
      <c r="R161" s="40" t="s">
        <v>39</v>
      </c>
      <c r="S161" s="42"/>
      <c r="T161" s="41"/>
      <c r="U161" s="41"/>
      <c r="V161" s="41"/>
      <c r="W161" s="41"/>
      <c r="X161" s="42" t="s">
        <v>39</v>
      </c>
      <c r="Y161" s="43" t="s">
        <v>39</v>
      </c>
      <c r="Z161" s="10">
        <v>45</v>
      </c>
      <c r="AA161" s="43"/>
      <c r="AB161" s="29" cm="1">
        <f t="array" ref="AB161">IF(R161="",IF(Q161="",0,(_xlfn.IFS(Q161=0.01,0.67,Q161=0.015,1,Q161=0.015,1.33,Q161=0.02,1.67,Q161=0.025,2,Q161=0.03,2.33,Q161=0.035,2.67,Q161=0.04,3)+IF(J161&lt;=0.03,"0.33",0))),(_xlfn.IFS(R161=0.01,0.67,R161=0.015,1,R161=0.015,1.33,R161=0.02,1.67,R161=0.025,2,R161=0.03,2.33,R161=0.035,2.67,R161=0.04,3)+IF(J161&lt;=0.03,"0.33",0)))</f>
        <v>1.67</v>
      </c>
      <c r="AC161" s="29">
        <f t="shared" si="4"/>
        <v>1.3468013468013469</v>
      </c>
      <c r="AD161" s="20" t="e">
        <f>VLOOKUP(F161,铝耗2026年!$A$2:$B$5000,2,0)</f>
        <v>#N/A</v>
      </c>
      <c r="AE161" s="20">
        <f>VLOOKUP(F161,铝耗2025年!$A$2:$B$5000,2,0)</f>
        <v>1.42</v>
      </c>
      <c r="AF161" s="20">
        <v>1.42</v>
      </c>
    </row>
    <row r="162" spans="1:32" hidden="1" x14ac:dyDescent="0.3">
      <c r="A162" s="7">
        <v>159</v>
      </c>
      <c r="B162" s="10" t="s">
        <v>289</v>
      </c>
      <c r="C162" s="10" t="s">
        <v>37</v>
      </c>
      <c r="D162" s="10">
        <v>12.01</v>
      </c>
      <c r="E162" s="10">
        <v>19</v>
      </c>
      <c r="F162" s="10" t="s">
        <v>292</v>
      </c>
      <c r="G162" s="39" t="s">
        <v>291</v>
      </c>
      <c r="H162" s="10">
        <v>1518</v>
      </c>
      <c r="I162" s="40">
        <v>0.14499999999999999</v>
      </c>
      <c r="J162" s="41">
        <v>0.15</v>
      </c>
      <c r="K162" s="41">
        <v>1</v>
      </c>
      <c r="L162" s="40">
        <v>1.2999999999999999E-2</v>
      </c>
      <c r="M162" s="40">
        <v>5.0000000000000001E-3</v>
      </c>
      <c r="N162" s="40" t="s">
        <v>39</v>
      </c>
      <c r="O162" s="40">
        <v>1.4999999999999999E-2</v>
      </c>
      <c r="P162" s="40">
        <v>2.5000000000000001E-2</v>
      </c>
      <c r="Q162" s="40">
        <v>0.02</v>
      </c>
      <c r="R162" s="40" t="s">
        <v>39</v>
      </c>
      <c r="S162" s="42"/>
      <c r="T162" s="41"/>
      <c r="U162" s="41"/>
      <c r="V162" s="41"/>
      <c r="W162" s="41"/>
      <c r="X162" s="42" t="s">
        <v>39</v>
      </c>
      <c r="Y162" s="43" t="s">
        <v>39</v>
      </c>
      <c r="Z162" s="10">
        <v>45</v>
      </c>
      <c r="AA162" s="43"/>
      <c r="AB162" s="29" cm="1">
        <f t="array" ref="AB162">IF(R162="",IF(Q162="",0,(_xlfn.IFS(Q162=0.01,0.67,Q162=0.015,1,Q162=0.015,1.33,Q162=0.02,1.67,Q162=0.025,2,Q162=0.03,2.33,Q162=0.035,2.67,Q162=0.04,3)+IF(J162&lt;=0.03,"0.33",0))),(_xlfn.IFS(R162=0.01,0.67,R162=0.015,1,R162=0.015,1.33,R162=0.02,1.67,R162=0.025,2,R162=0.03,2.33,R162=0.035,2.67,R162=0.04,3)+IF(J162&lt;=0.03,"0.33",0)))</f>
        <v>1.67</v>
      </c>
      <c r="AC162" s="29">
        <f t="shared" si="4"/>
        <v>1.3468013468013469</v>
      </c>
      <c r="AD162" s="20" t="e">
        <f>VLOOKUP(F162,铝耗2026年!$A$2:$B$5000,2,0)</f>
        <v>#N/A</v>
      </c>
      <c r="AE162" s="20">
        <f>VLOOKUP(F162,铝耗2025年!$A$2:$B$5000,2,0)</f>
        <v>1.42</v>
      </c>
      <c r="AF162" s="20">
        <v>1.42</v>
      </c>
    </row>
    <row r="163" spans="1:32" hidden="1" x14ac:dyDescent="0.3">
      <c r="A163" s="7">
        <v>160</v>
      </c>
      <c r="B163" s="10" t="s">
        <v>289</v>
      </c>
      <c r="C163" s="10" t="s">
        <v>106</v>
      </c>
      <c r="D163" s="10">
        <v>19.010000000000002</v>
      </c>
      <c r="E163" s="10">
        <v>25.4</v>
      </c>
      <c r="F163" s="10" t="s">
        <v>293</v>
      </c>
      <c r="G163" s="39" t="s">
        <v>291</v>
      </c>
      <c r="H163" s="10">
        <v>1518</v>
      </c>
      <c r="I163" s="40">
        <v>0.14499999999999999</v>
      </c>
      <c r="J163" s="41">
        <v>0.15</v>
      </c>
      <c r="K163" s="41">
        <v>1.2</v>
      </c>
      <c r="L163" s="40">
        <v>1.4999999999999999E-2</v>
      </c>
      <c r="M163" s="40">
        <v>8.0000000000000002E-3</v>
      </c>
      <c r="N163" s="40" t="s">
        <v>39</v>
      </c>
      <c r="O163" s="40">
        <v>0.02</v>
      </c>
      <c r="P163" s="40">
        <v>0.02</v>
      </c>
      <c r="Q163" s="40">
        <v>0.02</v>
      </c>
      <c r="R163" s="40" t="s">
        <v>39</v>
      </c>
      <c r="S163" s="42"/>
      <c r="T163" s="41"/>
      <c r="U163" s="41"/>
      <c r="V163" s="41"/>
      <c r="W163" s="41"/>
      <c r="X163" s="42" t="s">
        <v>39</v>
      </c>
      <c r="Y163" s="43" t="s">
        <v>39</v>
      </c>
      <c r="Z163" s="10">
        <v>45</v>
      </c>
      <c r="AA163" s="43"/>
      <c r="AB163" s="29" cm="1">
        <f t="array" ref="AB163">IF(R163="",IF(Q163="",0,(_xlfn.IFS(Q163=0.01,0.67,Q163=0.015,1,Q163=0.015,1.33,Q163=0.02,1.67,Q163=0.025,2,Q163=0.03,2.33,Q163=0.035,2.67,Q163=0.04,3)+IF(J163&lt;=0.03,"0.33",0))),(_xlfn.IFS(R163=0.01,0.67,R163=0.015,1,R163=0.015,1.33,R163=0.02,1.67,R163=0.025,2,R163=0.03,2.33,R163=0.035,2.67,R163=0.04,3)+IF(J163&lt;=0.03,"0.33",0)))</f>
        <v>1.67</v>
      </c>
      <c r="AC163" s="29">
        <f t="shared" si="4"/>
        <v>1.3468013468013469</v>
      </c>
      <c r="AD163" s="20" t="e">
        <f>VLOOKUP(F163,铝耗2026年!$A$2:$B$5000,2,0)</f>
        <v>#N/A</v>
      </c>
      <c r="AE163" s="20">
        <f>VLOOKUP(F163,铝耗2025年!$A$2:$B$5000,2,0)</f>
        <v>1.42</v>
      </c>
      <c r="AF163" s="20">
        <v>1.42</v>
      </c>
    </row>
    <row r="164" spans="1:32" hidden="1" x14ac:dyDescent="0.3">
      <c r="A164" s="7">
        <v>161</v>
      </c>
      <c r="B164" s="10" t="s">
        <v>294</v>
      </c>
      <c r="C164" s="10" t="s">
        <v>37</v>
      </c>
      <c r="D164" s="10">
        <v>4</v>
      </c>
      <c r="E164" s="10">
        <v>12</v>
      </c>
      <c r="F164" s="10" t="s">
        <v>295</v>
      </c>
      <c r="G164" s="39" t="s">
        <v>296</v>
      </c>
      <c r="H164" s="10">
        <v>1524</v>
      </c>
      <c r="I164" s="40">
        <v>7.0000000000000007E-2</v>
      </c>
      <c r="J164" s="41">
        <v>0.15</v>
      </c>
      <c r="K164" s="41">
        <v>0.8</v>
      </c>
      <c r="L164" s="40">
        <v>1.4999999999999999E-2</v>
      </c>
      <c r="M164" s="40">
        <v>8.0000000000000002E-3</v>
      </c>
      <c r="N164" s="40"/>
      <c r="O164" s="40">
        <v>8.0000000000000002E-3</v>
      </c>
      <c r="P164" s="40">
        <v>3.5000000000000003E-2</v>
      </c>
      <c r="Q164" s="40" t="s">
        <v>39</v>
      </c>
      <c r="R164" s="40">
        <v>0.03</v>
      </c>
      <c r="S164" s="42"/>
      <c r="T164" s="41"/>
      <c r="U164" s="41"/>
      <c r="V164" s="41"/>
      <c r="W164" s="41"/>
      <c r="X164" s="42" t="s">
        <v>39</v>
      </c>
      <c r="Y164" s="43" t="s">
        <v>39</v>
      </c>
      <c r="Z164" s="10">
        <v>45</v>
      </c>
      <c r="AA164" s="43"/>
      <c r="AB164" s="29" cm="1">
        <f t="array" ref="AB164">IF(R164="",IF(Q164="",0,(_xlfn.IFS(Q164=0.01,0.67,Q164=0.015,1,Q164=0.015,1.33,Q164=0.02,1.67,Q164=0.025,2,Q164=0.03,2.33,Q164=0.035,2.67,Q164=0.04,3)+IF(J164&lt;=0.03,"0.33",0))),(_xlfn.IFS(R164=0.01,0.67,R164=0.015,1,R164=0.015,1.33,R164=0.02,1.67,R164=0.025,2,R164=0.03,2.33,R164=0.035,2.67,R164=0.04,3)+IF(J164&lt;=0.03,"0.33",0)))</f>
        <v>2.33</v>
      </c>
      <c r="AC164" s="29">
        <f t="shared" si="4"/>
        <v>2.0202020202020203</v>
      </c>
      <c r="AD164" s="20" t="e">
        <f>VLOOKUP(F164,铝耗2026年!$A$2:$B$5000,2,0)</f>
        <v>#N/A</v>
      </c>
      <c r="AE164" s="20" t="e">
        <f>VLOOKUP(F164,铝耗2025年!$A$2:$B$5000,2,0)</f>
        <v>#N/A</v>
      </c>
      <c r="AF164" s="20">
        <v>2.2999999999999998</v>
      </c>
    </row>
    <row r="165" spans="1:32" hidden="1" x14ac:dyDescent="0.3">
      <c r="A165" s="7">
        <v>162</v>
      </c>
      <c r="B165" s="10" t="s">
        <v>294</v>
      </c>
      <c r="C165" s="10" t="s">
        <v>34</v>
      </c>
      <c r="D165" s="10">
        <v>12.01</v>
      </c>
      <c r="E165" s="10">
        <v>19</v>
      </c>
      <c r="F165" s="10" t="s">
        <v>297</v>
      </c>
      <c r="G165" s="39" t="s">
        <v>296</v>
      </c>
      <c r="H165" s="10">
        <v>1524</v>
      </c>
      <c r="I165" s="40">
        <v>7.0000000000000007E-2</v>
      </c>
      <c r="J165" s="41">
        <v>0.15</v>
      </c>
      <c r="K165" s="41">
        <v>1</v>
      </c>
      <c r="L165" s="40">
        <v>1.4999999999999999E-2</v>
      </c>
      <c r="M165" s="40">
        <v>8.0000000000000002E-3</v>
      </c>
      <c r="N165" s="40"/>
      <c r="O165" s="40">
        <v>8.0000000000000002E-3</v>
      </c>
      <c r="P165" s="40">
        <v>3.5000000000000003E-2</v>
      </c>
      <c r="Q165" s="40" t="s">
        <v>39</v>
      </c>
      <c r="R165" s="40">
        <v>0.03</v>
      </c>
      <c r="S165" s="42"/>
      <c r="T165" s="41"/>
      <c r="U165" s="41"/>
      <c r="V165" s="41"/>
      <c r="W165" s="41"/>
      <c r="X165" s="42" t="s">
        <v>39</v>
      </c>
      <c r="Y165" s="43" t="s">
        <v>39</v>
      </c>
      <c r="Z165" s="10">
        <v>45</v>
      </c>
      <c r="AA165" s="43"/>
      <c r="AB165" s="29" cm="1">
        <f t="array" ref="AB165">IF(R165="",IF(Q165="",0,(_xlfn.IFS(Q165=0.01,0.67,Q165=0.015,1,Q165=0.015,1.33,Q165=0.02,1.67,Q165=0.025,2,Q165=0.03,2.33,Q165=0.035,2.67,Q165=0.04,3)+IF(J165&lt;=0.03,"0.33",0))),(_xlfn.IFS(R165=0.01,0.67,R165=0.015,1,R165=0.015,1.33,R165=0.02,1.67,R165=0.025,2,R165=0.03,2.33,R165=0.035,2.67,R165=0.04,3)+IF(J165&lt;=0.03,"0.33",0)))</f>
        <v>2.33</v>
      </c>
      <c r="AC165" s="29">
        <f t="shared" si="4"/>
        <v>2.0202020202020203</v>
      </c>
      <c r="AD165" s="20" t="e">
        <f>VLOOKUP(F165,铝耗2026年!$A$2:$B$5000,2,0)</f>
        <v>#N/A</v>
      </c>
      <c r="AE165" s="20" t="e">
        <f>VLOOKUP(F165,铝耗2025年!$A$2:$B$5000,2,0)</f>
        <v>#N/A</v>
      </c>
      <c r="AF165" s="20">
        <v>2.2999999999999998</v>
      </c>
    </row>
    <row r="166" spans="1:32" hidden="1" x14ac:dyDescent="0.3">
      <c r="A166" s="7">
        <v>163</v>
      </c>
      <c r="B166" s="10" t="s">
        <v>298</v>
      </c>
      <c r="C166" s="10" t="s">
        <v>37</v>
      </c>
      <c r="D166" s="10">
        <v>5</v>
      </c>
      <c r="E166" s="10">
        <v>12</v>
      </c>
      <c r="F166" s="10" t="s">
        <v>299</v>
      </c>
      <c r="G166" s="39" t="s">
        <v>300</v>
      </c>
      <c r="H166" s="10">
        <v>1524</v>
      </c>
      <c r="I166" s="40">
        <v>7.0000000000000007E-2</v>
      </c>
      <c r="J166" s="41">
        <v>0.16</v>
      </c>
      <c r="K166" s="41">
        <v>1.3</v>
      </c>
      <c r="L166" s="40">
        <v>1.4999999999999999E-2</v>
      </c>
      <c r="M166" s="40">
        <v>5.0000000000000001E-3</v>
      </c>
      <c r="N166" s="40"/>
      <c r="O166" s="40">
        <v>2.5000000000000001E-2</v>
      </c>
      <c r="P166" s="40">
        <v>0.03</v>
      </c>
      <c r="Q166" s="40" t="s">
        <v>39</v>
      </c>
      <c r="R166" s="40">
        <v>0.03</v>
      </c>
      <c r="S166" s="42"/>
      <c r="T166" s="41"/>
      <c r="U166" s="41"/>
      <c r="V166" s="41"/>
      <c r="W166" s="41"/>
      <c r="X166" s="42" t="s">
        <v>39</v>
      </c>
      <c r="Y166" s="43" t="s">
        <v>39</v>
      </c>
      <c r="Z166" s="10">
        <v>45</v>
      </c>
      <c r="AA166" s="43"/>
      <c r="AB166" s="29" cm="1">
        <f t="array" ref="AB166">IF(R166="",IF(Q166="",0,(_xlfn.IFS(Q166=0.01,0.67,Q166=0.015,1,Q166=0.015,1.33,Q166=0.02,1.67,Q166=0.025,2,Q166=0.03,2.33,Q166=0.035,2.67,Q166=0.04,3)+IF(J166&lt;=0.03,"0.33",0))),(_xlfn.IFS(R166=0.01,0.67,R166=0.015,1,R166=0.015,1.33,R166=0.02,1.67,R166=0.025,2,R166=0.03,2.33,R166=0.035,2.67,R166=0.04,3)+IF(J166&lt;=0.03,"0.33",0)))</f>
        <v>2.33</v>
      </c>
      <c r="AC166" s="29">
        <f t="shared" si="4"/>
        <v>2.0202020202020203</v>
      </c>
      <c r="AD166" s="20" t="e">
        <f>VLOOKUP(F166,铝耗2026年!$A$2:$B$5000,2,0)</f>
        <v>#N/A</v>
      </c>
      <c r="AE166" s="20" t="e">
        <f>VLOOKUP(F166,铝耗2025年!$A$2:$B$5000,2,0)</f>
        <v>#N/A</v>
      </c>
      <c r="AF166" s="20">
        <v>2.2999999999999998</v>
      </c>
    </row>
    <row r="167" spans="1:32" hidden="1" x14ac:dyDescent="0.3">
      <c r="A167" s="7">
        <v>164</v>
      </c>
      <c r="B167" s="10" t="s">
        <v>298</v>
      </c>
      <c r="C167" s="10" t="s">
        <v>34</v>
      </c>
      <c r="D167" s="10">
        <v>12.01</v>
      </c>
      <c r="E167" s="10">
        <v>20</v>
      </c>
      <c r="F167" s="10" t="s">
        <v>301</v>
      </c>
      <c r="G167" s="39" t="s">
        <v>300</v>
      </c>
      <c r="H167" s="10">
        <v>1524</v>
      </c>
      <c r="I167" s="40">
        <v>7.0000000000000007E-2</v>
      </c>
      <c r="J167" s="41">
        <v>0.16</v>
      </c>
      <c r="K167" s="41">
        <v>1.45</v>
      </c>
      <c r="L167" s="40">
        <v>1.4999999999999999E-2</v>
      </c>
      <c r="M167" s="40">
        <v>5.0000000000000001E-3</v>
      </c>
      <c r="N167" s="40"/>
      <c r="O167" s="40">
        <v>0.03</v>
      </c>
      <c r="P167" s="40">
        <v>0.03</v>
      </c>
      <c r="Q167" s="40" t="s">
        <v>39</v>
      </c>
      <c r="R167" s="40">
        <v>0.03</v>
      </c>
      <c r="S167" s="42"/>
      <c r="T167" s="41"/>
      <c r="U167" s="41"/>
      <c r="V167" s="41"/>
      <c r="W167" s="41"/>
      <c r="X167" s="42" t="s">
        <v>39</v>
      </c>
      <c r="Y167" s="43" t="s">
        <v>39</v>
      </c>
      <c r="Z167" s="10">
        <v>45</v>
      </c>
      <c r="AA167" s="43"/>
      <c r="AB167" s="29" cm="1">
        <f t="array" ref="AB167">IF(R167="",IF(Q167="",0,(_xlfn.IFS(Q167=0.01,0.67,Q167=0.015,1,Q167=0.015,1.33,Q167=0.02,1.67,Q167=0.025,2,Q167=0.03,2.33,Q167=0.035,2.67,Q167=0.04,3)+IF(J167&lt;=0.03,"0.33",0))),(_xlfn.IFS(R167=0.01,0.67,R167=0.015,1,R167=0.015,1.33,R167=0.02,1.67,R167=0.025,2,R167=0.03,2.33,R167=0.035,2.67,R167=0.04,3)+IF(J167&lt;=0.03,"0.33",0)))</f>
        <v>2.33</v>
      </c>
      <c r="AC167" s="29">
        <f t="shared" si="4"/>
        <v>2.0202020202020203</v>
      </c>
      <c r="AD167" s="20" t="e">
        <f>VLOOKUP(F167,铝耗2026年!$A$2:$B$5000,2,0)</f>
        <v>#N/A</v>
      </c>
      <c r="AE167" s="20" t="e">
        <f>VLOOKUP(F167,铝耗2025年!$A$2:$B$5000,2,0)</f>
        <v>#N/A</v>
      </c>
      <c r="AF167" s="20">
        <v>2.2999999999999998</v>
      </c>
    </row>
    <row r="168" spans="1:32" hidden="1" x14ac:dyDescent="0.3">
      <c r="A168" s="7">
        <v>165</v>
      </c>
      <c r="B168" s="10" t="s">
        <v>302</v>
      </c>
      <c r="C168" s="10" t="s">
        <v>34</v>
      </c>
      <c r="D168" s="10">
        <v>2</v>
      </c>
      <c r="E168" s="10">
        <v>5.99</v>
      </c>
      <c r="F168" s="10" t="s">
        <v>303</v>
      </c>
      <c r="G168" s="39" t="s">
        <v>304</v>
      </c>
      <c r="H168" s="10">
        <v>1524</v>
      </c>
      <c r="I168" s="40">
        <v>7.0000000000000007E-2</v>
      </c>
      <c r="J168" s="41">
        <v>0.08</v>
      </c>
      <c r="K168" s="41">
        <v>0.95</v>
      </c>
      <c r="L168" s="40">
        <v>1.4999999999999999E-2</v>
      </c>
      <c r="M168" s="40">
        <v>4.0000000000000001E-3</v>
      </c>
      <c r="N168" s="40"/>
      <c r="O168" s="40">
        <v>0.01</v>
      </c>
      <c r="P168" s="40">
        <v>0.04</v>
      </c>
      <c r="Q168" s="40">
        <v>2.5000000000000001E-2</v>
      </c>
      <c r="R168" s="40" t="s">
        <v>39</v>
      </c>
      <c r="S168" s="42"/>
      <c r="T168" s="41"/>
      <c r="U168" s="41"/>
      <c r="V168" s="41"/>
      <c r="W168" s="41"/>
      <c r="X168" s="42" t="s">
        <v>39</v>
      </c>
      <c r="Y168" s="43" t="s">
        <v>39</v>
      </c>
      <c r="Z168" s="10">
        <v>45</v>
      </c>
      <c r="AA168" s="43"/>
      <c r="AB168" s="29" cm="1">
        <f t="array" ref="AB168">IF(R168="",IF(Q168="",0,(_xlfn.IFS(Q168=0.01,0.67,Q168=0.015,1,Q168=0.015,1.33,Q168=0.02,1.67,Q168=0.025,2,Q168=0.03,2.33,Q168=0.035,2.67,Q168=0.04,3)+IF(J168&lt;=0.03,"0.33",0))),(_xlfn.IFS(R168=0.01,0.67,R168=0.015,1,R168=0.015,1.33,R168=0.02,1.67,R168=0.025,2,R168=0.03,2.33,R168=0.035,2.67,R168=0.04,3)+IF(J168&lt;=0.03,"0.33",0)))</f>
        <v>2</v>
      </c>
      <c r="AC168" s="29">
        <f t="shared" si="4"/>
        <v>1.6835016835016836</v>
      </c>
      <c r="AD168" s="20" t="e">
        <f>VLOOKUP(F168,铝耗2026年!$A$2:$B$5000,2,0)</f>
        <v>#N/A</v>
      </c>
      <c r="AE168" s="20" t="e">
        <f>VLOOKUP(F168,铝耗2025年!$A$2:$B$5000,2,0)</f>
        <v>#N/A</v>
      </c>
      <c r="AF168" s="20">
        <v>2.1</v>
      </c>
    </row>
    <row r="169" spans="1:32" hidden="1" x14ac:dyDescent="0.3">
      <c r="A169" s="7">
        <v>166</v>
      </c>
      <c r="B169" s="10" t="s">
        <v>302</v>
      </c>
      <c r="C169" s="10" t="s">
        <v>37</v>
      </c>
      <c r="D169" s="10">
        <v>6</v>
      </c>
      <c r="E169" s="10">
        <v>16</v>
      </c>
      <c r="F169" s="10" t="s">
        <v>305</v>
      </c>
      <c r="G169" s="39" t="s">
        <v>304</v>
      </c>
      <c r="H169" s="10">
        <v>1524</v>
      </c>
      <c r="I169" s="40">
        <v>7.0000000000000007E-2</v>
      </c>
      <c r="J169" s="41">
        <v>0.08</v>
      </c>
      <c r="K169" s="41">
        <v>1</v>
      </c>
      <c r="L169" s="40">
        <v>1.4999999999999999E-2</v>
      </c>
      <c r="M169" s="40">
        <v>4.0000000000000001E-3</v>
      </c>
      <c r="N169" s="40"/>
      <c r="O169" s="40">
        <v>1.4999999999999999E-2</v>
      </c>
      <c r="P169" s="40">
        <v>0.04</v>
      </c>
      <c r="Q169" s="40">
        <v>2.5000000000000001E-2</v>
      </c>
      <c r="R169" s="40" t="s">
        <v>39</v>
      </c>
      <c r="S169" s="42"/>
      <c r="T169" s="41"/>
      <c r="U169" s="41"/>
      <c r="V169" s="41"/>
      <c r="W169" s="41"/>
      <c r="X169" s="42" t="s">
        <v>39</v>
      </c>
      <c r="Y169" s="43" t="s">
        <v>39</v>
      </c>
      <c r="Z169" s="10">
        <v>45</v>
      </c>
      <c r="AA169" s="43"/>
      <c r="AB169" s="29" cm="1">
        <f t="array" ref="AB169">IF(R169="",IF(Q169="",0,(_xlfn.IFS(Q169=0.01,0.67,Q169=0.015,1,Q169=0.015,1.33,Q169=0.02,1.67,Q169=0.025,2,Q169=0.03,2.33,Q169=0.035,2.67,Q169=0.04,3)+IF(J169&lt;=0.03,"0.33",0))),(_xlfn.IFS(R169=0.01,0.67,R169=0.015,1,R169=0.015,1.33,R169=0.02,1.67,R169=0.025,2,R169=0.03,2.33,R169=0.035,2.67,R169=0.04,3)+IF(J169&lt;=0.03,"0.33",0)))</f>
        <v>2</v>
      </c>
      <c r="AC169" s="29">
        <f t="shared" si="4"/>
        <v>1.6835016835016836</v>
      </c>
      <c r="AD169" s="20" t="e">
        <f>VLOOKUP(F169,铝耗2026年!$A$2:$B$5000,2,0)</f>
        <v>#N/A</v>
      </c>
      <c r="AE169" s="20">
        <f>VLOOKUP(F169,铝耗2025年!$A$2:$B$5000,2,0)</f>
        <v>2.1</v>
      </c>
      <c r="AF169" s="20">
        <v>2.1</v>
      </c>
    </row>
    <row r="170" spans="1:32" hidden="1" x14ac:dyDescent="0.3">
      <c r="A170" s="7">
        <v>167</v>
      </c>
      <c r="B170" s="10" t="s">
        <v>306</v>
      </c>
      <c r="C170" s="10" t="s">
        <v>34</v>
      </c>
      <c r="D170" s="10">
        <v>2</v>
      </c>
      <c r="E170" s="10">
        <v>5.99</v>
      </c>
      <c r="F170" s="10" t="s">
        <v>307</v>
      </c>
      <c r="G170" s="39" t="s">
        <v>308</v>
      </c>
      <c r="H170" s="10">
        <v>1524</v>
      </c>
      <c r="I170" s="40">
        <v>7.0000000000000007E-2</v>
      </c>
      <c r="J170" s="41">
        <v>0.08</v>
      </c>
      <c r="K170" s="41">
        <v>1.2</v>
      </c>
      <c r="L170" s="40">
        <v>1.4999999999999999E-2</v>
      </c>
      <c r="M170" s="40">
        <v>3.0000000000000001E-3</v>
      </c>
      <c r="N170" s="40"/>
      <c r="O170" s="40">
        <v>1.4999999999999999E-2</v>
      </c>
      <c r="P170" s="40">
        <v>5.5E-2</v>
      </c>
      <c r="Q170" s="40">
        <v>2.5000000000000001E-2</v>
      </c>
      <c r="R170" s="40" t="s">
        <v>39</v>
      </c>
      <c r="S170" s="42"/>
      <c r="T170" s="41"/>
      <c r="U170" s="41"/>
      <c r="V170" s="41"/>
      <c r="W170" s="41"/>
      <c r="X170" s="42" t="s">
        <v>39</v>
      </c>
      <c r="Y170" s="43" t="s">
        <v>39</v>
      </c>
      <c r="Z170" s="10">
        <v>45</v>
      </c>
      <c r="AA170" s="43"/>
      <c r="AB170" s="29" cm="1">
        <f t="array" ref="AB170">IF(R170="",IF(Q170="",0,(_xlfn.IFS(Q170=0.01,0.67,Q170=0.015,1,Q170=0.015,1.33,Q170=0.02,1.67,Q170=0.025,2,Q170=0.03,2.33,Q170=0.035,2.67,Q170=0.04,3)+IF(J170&lt;=0.03,"0.33",0))),(_xlfn.IFS(R170=0.01,0.67,R170=0.015,1,R170=0.015,1.33,R170=0.02,1.67,R170=0.025,2,R170=0.03,2.33,R170=0.035,2.67,R170=0.04,3)+IF(J170&lt;=0.03,"0.33",0)))</f>
        <v>2</v>
      </c>
      <c r="AC170" s="29">
        <f t="shared" si="4"/>
        <v>1.6835016835016836</v>
      </c>
      <c r="AD170" s="20">
        <f>VLOOKUP(F170,铝耗2026年!$A$2:$B$5000,2,0)</f>
        <v>1.9395329449772101</v>
      </c>
      <c r="AE170" s="20" t="e">
        <f>VLOOKUP(F170,铝耗2025年!$A$2:$B$5000,2,0)</f>
        <v>#N/A</v>
      </c>
      <c r="AF170" s="20">
        <v>2.1</v>
      </c>
    </row>
    <row r="171" spans="1:32" hidden="1" x14ac:dyDescent="0.3">
      <c r="A171" s="7">
        <v>168</v>
      </c>
      <c r="B171" s="10" t="s">
        <v>306</v>
      </c>
      <c r="C171" s="10" t="s">
        <v>37</v>
      </c>
      <c r="D171" s="10">
        <v>6</v>
      </c>
      <c r="E171" s="10">
        <v>20</v>
      </c>
      <c r="F171" s="10" t="s">
        <v>309</v>
      </c>
      <c r="G171" s="39" t="s">
        <v>308</v>
      </c>
      <c r="H171" s="10">
        <v>1524</v>
      </c>
      <c r="I171" s="40">
        <v>7.0000000000000007E-2</v>
      </c>
      <c r="J171" s="41">
        <v>0.08</v>
      </c>
      <c r="K171" s="41">
        <v>1.35</v>
      </c>
      <c r="L171" s="40">
        <v>1.4999999999999999E-2</v>
      </c>
      <c r="M171" s="40">
        <v>3.0000000000000001E-3</v>
      </c>
      <c r="N171" s="40"/>
      <c r="O171" s="40">
        <v>0.03</v>
      </c>
      <c r="P171" s="40">
        <v>0.04</v>
      </c>
      <c r="Q171" s="40">
        <v>2.5000000000000001E-2</v>
      </c>
      <c r="R171" s="40" t="s">
        <v>39</v>
      </c>
      <c r="S171" s="42"/>
      <c r="T171" s="41"/>
      <c r="U171" s="41"/>
      <c r="V171" s="41"/>
      <c r="W171" s="41"/>
      <c r="X171" s="42" t="s">
        <v>39</v>
      </c>
      <c r="Y171" s="43" t="s">
        <v>39</v>
      </c>
      <c r="Z171" s="10">
        <v>45</v>
      </c>
      <c r="AA171" s="43"/>
      <c r="AB171" s="29" cm="1">
        <f t="array" ref="AB171">IF(R171="",IF(Q171="",0,(_xlfn.IFS(Q171=0.01,0.67,Q171=0.015,1,Q171=0.015,1.33,Q171=0.02,1.67,Q171=0.025,2,Q171=0.03,2.33,Q171=0.035,2.67,Q171=0.04,3)+IF(J171&lt;=0.03,"0.33",0))),(_xlfn.IFS(R171=0.01,0.67,R171=0.015,1,R171=0.015,1.33,R171=0.02,1.67,R171=0.025,2,R171=0.03,2.33,R171=0.035,2.67,R171=0.04,3)+IF(J171&lt;=0.03,"0.33",0)))</f>
        <v>2</v>
      </c>
      <c r="AC171" s="29">
        <f t="shared" si="4"/>
        <v>1.6835016835016836</v>
      </c>
      <c r="AD171" s="20">
        <f>VLOOKUP(F171,铝耗2026年!$A$2:$B$5000,2,0)</f>
        <v>2.3015382516395499</v>
      </c>
      <c r="AE171" s="20">
        <f>VLOOKUP(F171,铝耗2025年!$A$2:$B$5000,2,0)</f>
        <v>2.1</v>
      </c>
      <c r="AF171" s="20">
        <v>2.1</v>
      </c>
    </row>
    <row r="172" spans="1:32" hidden="1" x14ac:dyDescent="0.3">
      <c r="A172" s="7">
        <v>169</v>
      </c>
      <c r="B172" s="10" t="s">
        <v>310</v>
      </c>
      <c r="C172" s="10" t="s">
        <v>34</v>
      </c>
      <c r="D172" s="10">
        <v>2</v>
      </c>
      <c r="E172" s="10">
        <v>5.99</v>
      </c>
      <c r="F172" s="10" t="s">
        <v>311</v>
      </c>
      <c r="G172" s="39" t="s">
        <v>312</v>
      </c>
      <c r="H172" s="10">
        <v>1523</v>
      </c>
      <c r="I172" s="40">
        <v>7.4999999999999997E-2</v>
      </c>
      <c r="J172" s="41">
        <v>0.1</v>
      </c>
      <c r="K172" s="41">
        <v>1</v>
      </c>
      <c r="L172" s="40">
        <v>1.4999999999999999E-2</v>
      </c>
      <c r="M172" s="40">
        <v>5.0000000000000001E-3</v>
      </c>
      <c r="N172" s="40"/>
      <c r="O172" s="40">
        <v>0.01</v>
      </c>
      <c r="P172" s="40">
        <v>0.06</v>
      </c>
      <c r="Q172" s="40">
        <v>0.03</v>
      </c>
      <c r="R172" s="40" t="s">
        <v>39</v>
      </c>
      <c r="S172" s="42">
        <v>2E-3</v>
      </c>
      <c r="T172" s="41"/>
      <c r="U172" s="41"/>
      <c r="V172" s="41"/>
      <c r="W172" s="41"/>
      <c r="X172" s="42" t="s">
        <v>39</v>
      </c>
      <c r="Y172" s="43" t="s">
        <v>39</v>
      </c>
      <c r="Z172" s="10">
        <v>45</v>
      </c>
      <c r="AA172" s="43"/>
      <c r="AB172" s="29" cm="1">
        <f t="array" ref="AB172">IF(R172="",IF(Q172="",0,(_xlfn.IFS(Q172=0.01,0.67,Q172=0.015,1,Q172=0.015,1.33,Q172=0.02,1.67,Q172=0.025,2,Q172=0.03,2.33,Q172=0.035,2.67,Q172=0.04,3)+IF(J172&lt;=0.03,"0.33",0))),(_xlfn.IFS(R172=0.01,0.67,R172=0.015,1,R172=0.015,1.33,R172=0.02,1.67,R172=0.025,2,R172=0.03,2.33,R172=0.035,2.67,R172=0.04,3)+IF(J172&lt;=0.03,"0.33",0)))</f>
        <v>2.33</v>
      </c>
      <c r="AC172" s="29">
        <f t="shared" si="4"/>
        <v>2.0202020202020203</v>
      </c>
      <c r="AD172" s="20" t="e">
        <f>VLOOKUP(F172,铝耗2026年!$A$2:$B$5000,2,0)</f>
        <v>#N/A</v>
      </c>
      <c r="AE172" s="20" t="e">
        <f>VLOOKUP(F172,铝耗2025年!$A$2:$B$5000,2,0)</f>
        <v>#N/A</v>
      </c>
      <c r="AF172" s="20">
        <v>2.2999999999999998</v>
      </c>
    </row>
    <row r="173" spans="1:32" hidden="1" x14ac:dyDescent="0.3">
      <c r="A173" s="7">
        <v>170</v>
      </c>
      <c r="B173" s="10" t="s">
        <v>310</v>
      </c>
      <c r="C173" s="10" t="s">
        <v>37</v>
      </c>
      <c r="D173" s="10">
        <v>6</v>
      </c>
      <c r="E173" s="10">
        <v>14</v>
      </c>
      <c r="F173" s="10" t="s">
        <v>313</v>
      </c>
      <c r="G173" s="39" t="s">
        <v>312</v>
      </c>
      <c r="H173" s="10">
        <v>1523</v>
      </c>
      <c r="I173" s="40">
        <v>7.4999999999999997E-2</v>
      </c>
      <c r="J173" s="41">
        <v>0.1</v>
      </c>
      <c r="K173" s="41">
        <v>1.1000000000000001</v>
      </c>
      <c r="L173" s="40">
        <v>1.4999999999999999E-2</v>
      </c>
      <c r="M173" s="40">
        <v>5.0000000000000001E-3</v>
      </c>
      <c r="N173" s="40"/>
      <c r="O173" s="40">
        <v>0.01</v>
      </c>
      <c r="P173" s="40">
        <v>7.0000000000000007E-2</v>
      </c>
      <c r="Q173" s="40">
        <v>0.03</v>
      </c>
      <c r="R173" s="40" t="s">
        <v>39</v>
      </c>
      <c r="S173" s="42">
        <v>2E-3</v>
      </c>
      <c r="T173" s="41"/>
      <c r="U173" s="41"/>
      <c r="V173" s="41"/>
      <c r="W173" s="41"/>
      <c r="X173" s="42" t="s">
        <v>39</v>
      </c>
      <c r="Y173" s="43" t="s">
        <v>39</v>
      </c>
      <c r="Z173" s="10">
        <v>45</v>
      </c>
      <c r="AA173" s="43"/>
      <c r="AB173" s="29" cm="1">
        <f t="array" ref="AB173">IF(R173="",IF(Q173="",0,(_xlfn.IFS(Q173=0.01,0.67,Q173=0.015,1,Q173=0.015,1.33,Q173=0.02,1.67,Q173=0.025,2,Q173=0.03,2.33,Q173=0.035,2.67,Q173=0.04,3)+IF(J173&lt;=0.03,"0.33",0))),(_xlfn.IFS(R173=0.01,0.67,R173=0.015,1,R173=0.015,1.33,R173=0.02,1.67,R173=0.025,2,R173=0.03,2.33,R173=0.035,2.67,R173=0.04,3)+IF(J173&lt;=0.03,"0.33",0)))</f>
        <v>2.33</v>
      </c>
      <c r="AC173" s="29">
        <f t="shared" si="4"/>
        <v>2.0202020202020203</v>
      </c>
      <c r="AD173" s="20" t="e">
        <f>VLOOKUP(F173,铝耗2026年!$A$2:$B$5000,2,0)</f>
        <v>#N/A</v>
      </c>
      <c r="AE173" s="20" t="e">
        <f>VLOOKUP(F173,铝耗2025年!$A$2:$B$5000,2,0)</f>
        <v>#N/A</v>
      </c>
      <c r="AF173" s="20">
        <v>2.2999999999999998</v>
      </c>
    </row>
    <row r="174" spans="1:32" hidden="1" x14ac:dyDescent="0.3">
      <c r="A174" s="7">
        <v>171</v>
      </c>
      <c r="B174" s="10" t="s">
        <v>314</v>
      </c>
      <c r="C174" s="10" t="s">
        <v>34</v>
      </c>
      <c r="D174" s="10">
        <v>2</v>
      </c>
      <c r="E174" s="10">
        <v>5.99</v>
      </c>
      <c r="F174" s="10" t="s">
        <v>315</v>
      </c>
      <c r="G174" s="39" t="s">
        <v>316</v>
      </c>
      <c r="H174" s="10">
        <v>1524</v>
      </c>
      <c r="I174" s="40">
        <v>7.0000000000000007E-2</v>
      </c>
      <c r="J174" s="41">
        <v>0.08</v>
      </c>
      <c r="K174" s="41">
        <v>0.95</v>
      </c>
      <c r="L174" s="40">
        <v>1.4999999999999999E-2</v>
      </c>
      <c r="M174" s="40">
        <v>4.0000000000000001E-3</v>
      </c>
      <c r="N174" s="40"/>
      <c r="O174" s="40">
        <v>0.01</v>
      </c>
      <c r="P174" s="40">
        <v>0.04</v>
      </c>
      <c r="Q174" s="40">
        <v>2.5000000000000001E-2</v>
      </c>
      <c r="R174" s="40" t="s">
        <v>39</v>
      </c>
      <c r="S174" s="42"/>
      <c r="T174" s="41"/>
      <c r="U174" s="41"/>
      <c r="V174" s="41"/>
      <c r="W174" s="41"/>
      <c r="X174" s="42" t="s">
        <v>39</v>
      </c>
      <c r="Y174" s="43" t="s">
        <v>39</v>
      </c>
      <c r="Z174" s="10">
        <v>45</v>
      </c>
      <c r="AA174" s="43"/>
      <c r="AB174" s="29" cm="1">
        <f t="array" ref="AB174">IF(R174="",IF(Q174="",0,(_xlfn.IFS(Q174=0.01,0.67,Q174=0.015,1,Q174=0.015,1.33,Q174=0.02,1.67,Q174=0.025,2,Q174=0.03,2.33,Q174=0.035,2.67,Q174=0.04,3)+IF(J174&lt;=0.03,"0.33",0))),(_xlfn.IFS(R174=0.01,0.67,R174=0.015,1,R174=0.015,1.33,R174=0.02,1.67,R174=0.025,2,R174=0.03,2.33,R174=0.035,2.67,R174=0.04,3)+IF(J174&lt;=0.03,"0.33",0)))</f>
        <v>2</v>
      </c>
      <c r="AC174" s="29">
        <f t="shared" si="4"/>
        <v>1.6835016835016836</v>
      </c>
      <c r="AD174" s="20" t="e">
        <f>VLOOKUP(F174,铝耗2026年!$A$2:$B$5000,2,0)</f>
        <v>#N/A</v>
      </c>
      <c r="AE174" s="20" t="e">
        <f>VLOOKUP(F174,铝耗2025年!$A$2:$B$5000,2,0)</f>
        <v>#N/A</v>
      </c>
      <c r="AF174" s="20">
        <v>2.1</v>
      </c>
    </row>
    <row r="175" spans="1:32" hidden="1" x14ac:dyDescent="0.3">
      <c r="A175" s="7">
        <v>172</v>
      </c>
      <c r="B175" s="10" t="s">
        <v>314</v>
      </c>
      <c r="C175" s="10" t="s">
        <v>37</v>
      </c>
      <c r="D175" s="10">
        <v>6</v>
      </c>
      <c r="E175" s="10">
        <v>12</v>
      </c>
      <c r="F175" s="10" t="s">
        <v>317</v>
      </c>
      <c r="G175" s="39" t="s">
        <v>316</v>
      </c>
      <c r="H175" s="10">
        <v>1524</v>
      </c>
      <c r="I175" s="40">
        <v>7.0000000000000007E-2</v>
      </c>
      <c r="J175" s="41">
        <v>0.08</v>
      </c>
      <c r="K175" s="41">
        <v>1</v>
      </c>
      <c r="L175" s="40">
        <v>1.4999999999999999E-2</v>
      </c>
      <c r="M175" s="40">
        <v>4.0000000000000001E-3</v>
      </c>
      <c r="N175" s="40"/>
      <c r="O175" s="40">
        <v>1.4999999999999999E-2</v>
      </c>
      <c r="P175" s="40">
        <v>0.04</v>
      </c>
      <c r="Q175" s="40">
        <v>2.5000000000000001E-2</v>
      </c>
      <c r="R175" s="40" t="s">
        <v>39</v>
      </c>
      <c r="S175" s="42"/>
      <c r="T175" s="41"/>
      <c r="U175" s="41"/>
      <c r="V175" s="41"/>
      <c r="W175" s="41"/>
      <c r="X175" s="42" t="s">
        <v>39</v>
      </c>
      <c r="Y175" s="43" t="s">
        <v>39</v>
      </c>
      <c r="Z175" s="10">
        <v>45</v>
      </c>
      <c r="AA175" s="43"/>
      <c r="AB175" s="29" cm="1">
        <f t="array" ref="AB175">IF(R175="",IF(Q175="",0,(_xlfn.IFS(Q175=0.01,0.67,Q175=0.015,1,Q175=0.015,1.33,Q175=0.02,1.67,Q175=0.025,2,Q175=0.03,2.33,Q175=0.035,2.67,Q175=0.04,3)+IF(J175&lt;=0.03,"0.33",0))),(_xlfn.IFS(R175=0.01,0.67,R175=0.015,1,R175=0.015,1.33,R175=0.02,1.67,R175=0.025,2,R175=0.03,2.33,R175=0.035,2.67,R175=0.04,3)+IF(J175&lt;=0.03,"0.33",0)))</f>
        <v>2</v>
      </c>
      <c r="AC175" s="29">
        <f t="shared" si="4"/>
        <v>1.6835016835016836</v>
      </c>
      <c r="AD175" s="20" t="e">
        <f>VLOOKUP(F175,铝耗2026年!$A$2:$B$5000,2,0)</f>
        <v>#N/A</v>
      </c>
      <c r="AE175" s="20">
        <f>VLOOKUP(F175,铝耗2025年!$A$2:$B$5000,2,0)</f>
        <v>2.1</v>
      </c>
      <c r="AF175" s="20">
        <v>2.1</v>
      </c>
    </row>
    <row r="176" spans="1:32" hidden="1" x14ac:dyDescent="0.3">
      <c r="A176" s="7">
        <v>173</v>
      </c>
      <c r="B176" s="10" t="s">
        <v>318</v>
      </c>
      <c r="C176" s="10" t="s">
        <v>34</v>
      </c>
      <c r="D176" s="10">
        <v>2</v>
      </c>
      <c r="E176" s="10">
        <v>5.99</v>
      </c>
      <c r="F176" s="10" t="s">
        <v>319</v>
      </c>
      <c r="G176" s="39" t="s">
        <v>320</v>
      </c>
      <c r="H176" s="10">
        <v>1523</v>
      </c>
      <c r="I176" s="40">
        <v>7.4999999999999997E-2</v>
      </c>
      <c r="J176" s="41">
        <v>0.1</v>
      </c>
      <c r="K176" s="41">
        <v>1</v>
      </c>
      <c r="L176" s="40">
        <v>1.4999999999999999E-2</v>
      </c>
      <c r="M176" s="40">
        <v>5.0000000000000001E-3</v>
      </c>
      <c r="N176" s="40"/>
      <c r="O176" s="40">
        <v>0.01</v>
      </c>
      <c r="P176" s="40">
        <v>0.06</v>
      </c>
      <c r="Q176" s="40">
        <v>0.03</v>
      </c>
      <c r="R176" s="40" t="s">
        <v>39</v>
      </c>
      <c r="S176" s="42">
        <v>2E-3</v>
      </c>
      <c r="T176" s="41"/>
      <c r="U176" s="41"/>
      <c r="V176" s="41"/>
      <c r="W176" s="41"/>
      <c r="X176" s="42" t="s">
        <v>39</v>
      </c>
      <c r="Y176" s="43" t="s">
        <v>39</v>
      </c>
      <c r="Z176" s="10">
        <v>45</v>
      </c>
      <c r="AA176" s="43"/>
      <c r="AB176" s="29" cm="1">
        <f t="array" ref="AB176">IF(R176="",IF(Q176="",0,(_xlfn.IFS(Q176=0.01,0.67,Q176=0.015,1,Q176=0.015,1.33,Q176=0.02,1.67,Q176=0.025,2,Q176=0.03,2.33,Q176=0.035,2.67,Q176=0.04,3)+IF(J176&lt;=0.03,"0.33",0))),(_xlfn.IFS(R176=0.01,0.67,R176=0.015,1,R176=0.015,1.33,R176=0.02,1.67,R176=0.025,2,R176=0.03,2.33,R176=0.035,2.67,R176=0.04,3)+IF(J176&lt;=0.03,"0.33",0)))</f>
        <v>2.33</v>
      </c>
      <c r="AC176" s="29">
        <f t="shared" si="4"/>
        <v>2.0202020202020203</v>
      </c>
      <c r="AD176" s="20">
        <f>VLOOKUP(F176,铝耗2026年!$A$2:$B$5000,2,0)</f>
        <v>2.1431120775989099</v>
      </c>
      <c r="AE176" s="20">
        <f>VLOOKUP(F176,铝耗2025年!$A$2:$B$5000,2,0)</f>
        <v>2.1</v>
      </c>
      <c r="AF176" s="37">
        <v>2.1</v>
      </c>
    </row>
    <row r="177" spans="1:32" hidden="1" x14ac:dyDescent="0.3">
      <c r="A177" s="7">
        <v>174</v>
      </c>
      <c r="B177" s="10" t="s">
        <v>318</v>
      </c>
      <c r="C177" s="10" t="s">
        <v>37</v>
      </c>
      <c r="D177" s="10">
        <v>6</v>
      </c>
      <c r="E177" s="10">
        <v>14</v>
      </c>
      <c r="F177" s="10" t="s">
        <v>321</v>
      </c>
      <c r="G177" s="39" t="s">
        <v>320</v>
      </c>
      <c r="H177" s="10">
        <v>1523</v>
      </c>
      <c r="I177" s="40">
        <v>7.4999999999999997E-2</v>
      </c>
      <c r="J177" s="41">
        <v>0.1</v>
      </c>
      <c r="K177" s="41">
        <v>1.1000000000000001</v>
      </c>
      <c r="L177" s="40">
        <v>1.4999999999999999E-2</v>
      </c>
      <c r="M177" s="40">
        <v>5.0000000000000001E-3</v>
      </c>
      <c r="N177" s="40"/>
      <c r="O177" s="40">
        <v>0.01</v>
      </c>
      <c r="P177" s="40">
        <v>7.0000000000000007E-2</v>
      </c>
      <c r="Q177" s="40">
        <v>0.03</v>
      </c>
      <c r="R177" s="40" t="s">
        <v>39</v>
      </c>
      <c r="S177" s="42">
        <v>2E-3</v>
      </c>
      <c r="T177" s="41"/>
      <c r="U177" s="41"/>
      <c r="V177" s="41"/>
      <c r="W177" s="41"/>
      <c r="X177" s="42" t="s">
        <v>39</v>
      </c>
      <c r="Y177" s="43" t="s">
        <v>39</v>
      </c>
      <c r="Z177" s="10">
        <v>45</v>
      </c>
      <c r="AA177" s="43"/>
      <c r="AB177" s="29" cm="1">
        <f t="array" ref="AB177">IF(R177="",IF(Q177="",0,(_xlfn.IFS(Q177=0.01,0.67,Q177=0.015,1,Q177=0.015,1.33,Q177=0.02,1.67,Q177=0.025,2,Q177=0.03,2.33,Q177=0.035,2.67,Q177=0.04,3)+IF(J177&lt;=0.03,"0.33",0))),(_xlfn.IFS(R177=0.01,0.67,R177=0.015,1,R177=0.015,1.33,R177=0.02,1.67,R177=0.025,2,R177=0.03,2.33,R177=0.035,2.67,R177=0.04,3)+IF(J177&lt;=0.03,"0.33",0)))</f>
        <v>2.33</v>
      </c>
      <c r="AC177" s="29">
        <f t="shared" si="4"/>
        <v>2.0202020202020203</v>
      </c>
      <c r="AD177" s="20" t="e">
        <f>VLOOKUP(F177,铝耗2026年!$A$2:$B$5000,2,0)</f>
        <v>#N/A</v>
      </c>
      <c r="AE177" s="20" t="e">
        <f>VLOOKUP(F177,铝耗2025年!$A$2:$B$5000,2,0)</f>
        <v>#N/A</v>
      </c>
      <c r="AF177" s="37">
        <v>2.1</v>
      </c>
    </row>
    <row r="178" spans="1:32" hidden="1" x14ac:dyDescent="0.3">
      <c r="A178" s="7">
        <v>175</v>
      </c>
      <c r="B178" s="10" t="s">
        <v>322</v>
      </c>
      <c r="C178" s="10" t="s">
        <v>34</v>
      </c>
      <c r="D178" s="10">
        <v>2.5</v>
      </c>
      <c r="E178" s="10">
        <v>5.99</v>
      </c>
      <c r="F178" s="10" t="s">
        <v>323</v>
      </c>
      <c r="G178" s="39" t="s">
        <v>324</v>
      </c>
      <c r="H178" s="10">
        <v>1516</v>
      </c>
      <c r="I178" s="40">
        <v>7.4999999999999997E-2</v>
      </c>
      <c r="J178" s="41">
        <v>0.2</v>
      </c>
      <c r="K178" s="41">
        <v>1.75</v>
      </c>
      <c r="L178" s="40">
        <v>1.4999999999999999E-2</v>
      </c>
      <c r="M178" s="40">
        <v>5.0000000000000001E-3</v>
      </c>
      <c r="N178" s="40"/>
      <c r="O178" s="40">
        <v>7.0000000000000007E-2</v>
      </c>
      <c r="P178" s="40">
        <v>0.115</v>
      </c>
      <c r="Q178" s="40">
        <v>0.03</v>
      </c>
      <c r="R178" s="40" t="s">
        <v>39</v>
      </c>
      <c r="S178" s="42">
        <v>2E-3</v>
      </c>
      <c r="T178" s="41"/>
      <c r="U178" s="41"/>
      <c r="V178" s="41"/>
      <c r="W178" s="41"/>
      <c r="X178" s="42" t="s">
        <v>39</v>
      </c>
      <c r="Y178" s="43" t="s">
        <v>39</v>
      </c>
      <c r="Z178" s="10">
        <v>45</v>
      </c>
      <c r="AA178" s="43"/>
      <c r="AB178" s="29" cm="1">
        <f t="array" ref="AB178">IF(R178="",IF(Q178="",0,(_xlfn.IFS(Q178=0.01,0.67,Q178=0.015,1,Q178=0.015,1.33,Q178=0.02,1.67,Q178=0.025,2,Q178=0.03,2.33,Q178=0.035,2.67,Q178=0.04,3)+IF(J178&lt;=0.03,"0.33",0))),(_xlfn.IFS(R178=0.01,0.67,R178=0.015,1,R178=0.015,1.33,R178=0.02,1.67,R178=0.025,2,R178=0.03,2.33,R178=0.035,2.67,R178=0.04,3)+IF(J178&lt;=0.03,"0.33",0)))</f>
        <v>2.33</v>
      </c>
      <c r="AC178" s="29">
        <f t="shared" si="4"/>
        <v>2.0202020202020203</v>
      </c>
      <c r="AD178" s="20" t="e">
        <f>VLOOKUP(F178,铝耗2026年!$A$2:$B$5000,2,0)</f>
        <v>#N/A</v>
      </c>
      <c r="AE178" s="20">
        <f>VLOOKUP(F178,铝耗2025年!$A$2:$B$5000,2,0)</f>
        <v>2.1</v>
      </c>
      <c r="AF178" s="37">
        <v>2.1</v>
      </c>
    </row>
    <row r="179" spans="1:32" hidden="1" x14ac:dyDescent="0.3">
      <c r="A179" s="7">
        <v>176</v>
      </c>
      <c r="B179" s="10" t="s">
        <v>322</v>
      </c>
      <c r="C179" s="10" t="s">
        <v>37</v>
      </c>
      <c r="D179" s="10">
        <v>6</v>
      </c>
      <c r="E179" s="10">
        <v>14</v>
      </c>
      <c r="F179" s="10" t="s">
        <v>325</v>
      </c>
      <c r="G179" s="39" t="s">
        <v>324</v>
      </c>
      <c r="H179" s="10">
        <v>1516</v>
      </c>
      <c r="I179" s="40">
        <v>7.4999999999999997E-2</v>
      </c>
      <c r="J179" s="41">
        <v>0.2</v>
      </c>
      <c r="K179" s="41">
        <v>1.85</v>
      </c>
      <c r="L179" s="40">
        <v>1.4999999999999999E-2</v>
      </c>
      <c r="M179" s="40">
        <v>5.0000000000000001E-3</v>
      </c>
      <c r="N179" s="40"/>
      <c r="O179" s="40">
        <v>7.4999999999999997E-2</v>
      </c>
      <c r="P179" s="40">
        <v>0.115</v>
      </c>
      <c r="Q179" s="40">
        <v>0.03</v>
      </c>
      <c r="R179" s="40" t="s">
        <v>39</v>
      </c>
      <c r="S179" s="42">
        <v>2E-3</v>
      </c>
      <c r="T179" s="41"/>
      <c r="U179" s="41"/>
      <c r="V179" s="41"/>
      <c r="W179" s="41"/>
      <c r="X179" s="42" t="s">
        <v>39</v>
      </c>
      <c r="Y179" s="43" t="s">
        <v>39</v>
      </c>
      <c r="Z179" s="10">
        <v>45</v>
      </c>
      <c r="AA179" s="43"/>
      <c r="AB179" s="29" cm="1">
        <f t="array" ref="AB179">IF(R179="",IF(Q179="",0,(_xlfn.IFS(Q179=0.01,0.67,Q179=0.015,1,Q179=0.015,1.33,Q179=0.02,1.67,Q179=0.025,2,Q179=0.03,2.33,Q179=0.035,2.67,Q179=0.04,3)+IF(J179&lt;=0.03,"0.33",0))),(_xlfn.IFS(R179=0.01,0.67,R179=0.015,1,R179=0.015,1.33,R179=0.02,1.67,R179=0.025,2,R179=0.03,2.33,R179=0.035,2.67,R179=0.04,3)+IF(J179&lt;=0.03,"0.33",0)))</f>
        <v>2.33</v>
      </c>
      <c r="AC179" s="29">
        <f t="shared" si="4"/>
        <v>2.0202020202020203</v>
      </c>
      <c r="AD179" s="20" t="e">
        <f>VLOOKUP(F179,铝耗2026年!$A$2:$B$5000,2,0)</f>
        <v>#N/A</v>
      </c>
      <c r="AE179" s="20">
        <f>VLOOKUP(F179,铝耗2025年!$A$2:$B$5000,2,0)</f>
        <v>2.1</v>
      </c>
      <c r="AF179" s="37">
        <v>2.1</v>
      </c>
    </row>
    <row r="180" spans="1:32" hidden="1" x14ac:dyDescent="0.3">
      <c r="A180" s="7">
        <v>177</v>
      </c>
      <c r="B180" s="10" t="s">
        <v>326</v>
      </c>
      <c r="C180" s="10" t="s">
        <v>34</v>
      </c>
      <c r="D180" s="10">
        <v>8</v>
      </c>
      <c r="E180" s="10">
        <v>14</v>
      </c>
      <c r="F180" s="10" t="s">
        <v>326</v>
      </c>
      <c r="G180" s="39" t="s">
        <v>327</v>
      </c>
      <c r="H180" s="10">
        <v>1516</v>
      </c>
      <c r="I180" s="40">
        <v>7.4999999999999997E-2</v>
      </c>
      <c r="J180" s="41">
        <v>0.25</v>
      </c>
      <c r="K180" s="41">
        <v>1.8</v>
      </c>
      <c r="L180" s="40">
        <v>0.02</v>
      </c>
      <c r="M180" s="40">
        <v>0.01</v>
      </c>
      <c r="N180" s="40" t="s">
        <v>39</v>
      </c>
      <c r="O180" s="40">
        <v>0.01</v>
      </c>
      <c r="P180" s="40">
        <v>9.5000000000000001E-2</v>
      </c>
      <c r="Q180" s="40">
        <v>0.03</v>
      </c>
      <c r="R180" s="40" t="s">
        <v>39</v>
      </c>
      <c r="S180" s="42" t="s">
        <v>39</v>
      </c>
      <c r="T180" s="41" t="s">
        <v>39</v>
      </c>
      <c r="U180" s="41" t="s">
        <v>39</v>
      </c>
      <c r="V180" s="41" t="s">
        <v>39</v>
      </c>
      <c r="W180" s="41"/>
      <c r="X180" s="42" t="s">
        <v>39</v>
      </c>
      <c r="Y180" s="43" t="s">
        <v>39</v>
      </c>
      <c r="Z180" s="10">
        <v>45</v>
      </c>
      <c r="AA180" s="43"/>
      <c r="AB180" s="29" cm="1">
        <f t="array" ref="AB180">IF(R180="",IF(Q180="",0,(_xlfn.IFS(Q180=0.01,0.67,Q180=0.015,1,Q180=0.015,1.33,Q180=0.02,1.67,Q180=0.025,2,Q180=0.03,2.33,Q180=0.035,2.67,Q180=0.04,3)+IF(J180&lt;=0.03,"0.33",0))),(_xlfn.IFS(R180=0.01,0.67,R180=0.015,1,R180=0.015,1.33,R180=0.02,1.67,R180=0.025,2,R180=0.03,2.33,R180=0.035,2.67,R180=0.04,3)+IF(J180&lt;=0.03,"0.33",0)))</f>
        <v>2.33</v>
      </c>
      <c r="AC180" s="29">
        <f t="shared" si="4"/>
        <v>2.0202020202020203</v>
      </c>
      <c r="AD180" s="20" t="e">
        <f>VLOOKUP(F180,铝耗2026年!$A$2:$B$5000,2,0)</f>
        <v>#N/A</v>
      </c>
      <c r="AE180" s="20">
        <f>VLOOKUP(F180,铝耗2025年!$A$2:$B$5000,2,0)</f>
        <v>1.8</v>
      </c>
      <c r="AF180" s="37">
        <v>2.1</v>
      </c>
    </row>
    <row r="181" spans="1:32" hidden="1" x14ac:dyDescent="0.3">
      <c r="A181" s="7">
        <v>178</v>
      </c>
      <c r="B181" s="11" t="s">
        <v>328</v>
      </c>
      <c r="C181" s="11" t="s">
        <v>34</v>
      </c>
      <c r="D181" s="11">
        <v>8</v>
      </c>
      <c r="E181" s="11">
        <v>14</v>
      </c>
      <c r="F181" s="11" t="s">
        <v>328</v>
      </c>
      <c r="G181" s="11" t="s">
        <v>329</v>
      </c>
      <c r="H181" s="11">
        <v>1516</v>
      </c>
      <c r="I181" s="11">
        <v>7.4999999999999997E-2</v>
      </c>
      <c r="J181" s="11">
        <v>0.25</v>
      </c>
      <c r="K181" s="11">
        <v>1.8</v>
      </c>
      <c r="L181" s="11">
        <v>0.02</v>
      </c>
      <c r="M181" s="11">
        <v>0.01</v>
      </c>
      <c r="N181" s="11" t="s">
        <v>39</v>
      </c>
      <c r="O181" s="11">
        <v>0.01</v>
      </c>
      <c r="P181" s="11">
        <v>9.5000000000000001E-2</v>
      </c>
      <c r="Q181" s="11">
        <v>0.03</v>
      </c>
      <c r="R181" s="11" t="s">
        <v>39</v>
      </c>
      <c r="S181" s="11" t="s">
        <v>39</v>
      </c>
      <c r="T181" s="11" t="s">
        <v>39</v>
      </c>
      <c r="U181" s="11" t="s">
        <v>39</v>
      </c>
      <c r="V181" s="11" t="s">
        <v>39</v>
      </c>
      <c r="W181" s="11" t="s">
        <v>39</v>
      </c>
      <c r="X181" s="11" t="s">
        <v>39</v>
      </c>
      <c r="Y181" s="11"/>
      <c r="Z181" s="11">
        <v>45</v>
      </c>
      <c r="AA181" s="43"/>
      <c r="AB181" s="29" cm="1">
        <f t="array" ref="AB181">IF(R181="",IF(Q181="",0,(_xlfn.IFS(Q181=0.01,0.67,Q181=0.015,1,Q181=0.015,1.33,Q181=0.02,1.67,Q181=0.025,2,Q181=0.03,2.33,Q181=0.035,2.67,Q181=0.04,3)+IF(J181&lt;=0.03,"0.33",0))),(_xlfn.IFS(R181=0.01,0.67,R181=0.015,1,R181=0.015,1.33,R181=0.02,1.67,R181=0.025,2,R181=0.03,2.33,R181=0.035,2.67,R181=0.04,3)+IF(J181&lt;=0.03,"0.33",0)))</f>
        <v>2.33</v>
      </c>
      <c r="AC181" s="29">
        <f t="shared" si="4"/>
        <v>2.0202020202020203</v>
      </c>
      <c r="AD181" s="20">
        <f>VLOOKUP(F181,铝耗2026年!$A$2:$B$5000,2,0)</f>
        <v>1.78500400787</v>
      </c>
      <c r="AE181" s="20" t="e">
        <f>VLOOKUP(F181,铝耗2025年!$A$2:$B$5000,2,0)</f>
        <v>#N/A</v>
      </c>
      <c r="AF181" s="37">
        <v>2.1</v>
      </c>
    </row>
    <row r="182" spans="1:32" hidden="1" x14ac:dyDescent="0.3">
      <c r="A182" s="7">
        <v>179</v>
      </c>
      <c r="B182" s="10" t="s">
        <v>330</v>
      </c>
      <c r="C182" s="10" t="s">
        <v>34</v>
      </c>
      <c r="D182" s="10">
        <v>3</v>
      </c>
      <c r="E182" s="10">
        <v>12</v>
      </c>
      <c r="F182" s="10" t="s">
        <v>330</v>
      </c>
      <c r="G182" s="39" t="s">
        <v>331</v>
      </c>
      <c r="H182" s="10">
        <v>1520</v>
      </c>
      <c r="I182" s="40">
        <v>0.08</v>
      </c>
      <c r="J182" s="41">
        <v>0.25</v>
      </c>
      <c r="K182" s="41">
        <v>1.3</v>
      </c>
      <c r="L182" s="40">
        <v>1.7999999999999999E-2</v>
      </c>
      <c r="M182" s="40">
        <v>0.01</v>
      </c>
      <c r="N182" s="40" t="s">
        <v>39</v>
      </c>
      <c r="O182" s="40">
        <v>0.01</v>
      </c>
      <c r="P182" s="40">
        <v>0.02</v>
      </c>
      <c r="Q182" s="40">
        <v>0.03</v>
      </c>
      <c r="R182" s="40" t="s">
        <v>39</v>
      </c>
      <c r="S182" s="42"/>
      <c r="T182" s="41"/>
      <c r="U182" s="41"/>
      <c r="V182" s="41"/>
      <c r="W182" s="41"/>
      <c r="X182" s="42" t="s">
        <v>39</v>
      </c>
      <c r="Y182" s="43" t="s">
        <v>39</v>
      </c>
      <c r="Z182" s="10">
        <v>45</v>
      </c>
      <c r="AA182" s="43"/>
      <c r="AB182" s="29" cm="1">
        <f t="array" ref="AB182">IF(R182="",IF(Q182="",0,(_xlfn.IFS(Q182=0.01,0.67,Q182=0.015,1,Q182=0.015,1.33,Q182=0.02,1.67,Q182=0.025,2,Q182=0.03,2.33,Q182=0.035,2.67,Q182=0.04,3)+IF(J182&lt;=0.03,"0.33",0))),(_xlfn.IFS(R182=0.01,0.67,R182=0.015,1,R182=0.015,1.33,R182=0.02,1.67,R182=0.025,2,R182=0.03,2.33,R182=0.035,2.67,R182=0.04,3)+IF(J182&lt;=0.03,"0.33",0)))</f>
        <v>2.33</v>
      </c>
      <c r="AC182" s="29">
        <f t="shared" si="4"/>
        <v>2.0202020202020203</v>
      </c>
      <c r="AD182" s="20" t="e">
        <f>VLOOKUP(F182,铝耗2026年!$A$2:$B$5000,2,0)</f>
        <v>#N/A</v>
      </c>
      <c r="AE182" s="20">
        <f>VLOOKUP(F182,铝耗2025年!$A$2:$B$5000,2,0)</f>
        <v>1.8</v>
      </c>
      <c r="AF182" s="37">
        <v>2.1</v>
      </c>
    </row>
    <row r="183" spans="1:32" hidden="1" x14ac:dyDescent="0.3">
      <c r="A183" s="7">
        <v>180</v>
      </c>
      <c r="B183" s="10" t="s">
        <v>332</v>
      </c>
      <c r="C183" s="10" t="s">
        <v>34</v>
      </c>
      <c r="D183" s="10">
        <v>2.5</v>
      </c>
      <c r="E183" s="10">
        <v>8</v>
      </c>
      <c r="F183" s="10" t="s">
        <v>332</v>
      </c>
      <c r="G183" s="39" t="s">
        <v>333</v>
      </c>
      <c r="H183" s="10">
        <v>1514</v>
      </c>
      <c r="I183" s="40">
        <v>0.15</v>
      </c>
      <c r="J183" s="41">
        <v>0.15</v>
      </c>
      <c r="K183" s="41">
        <v>1</v>
      </c>
      <c r="L183" s="40">
        <v>1.4999999999999999E-2</v>
      </c>
      <c r="M183" s="40">
        <v>4.0000000000000001E-3</v>
      </c>
      <c r="N183" s="40" t="s">
        <v>39</v>
      </c>
      <c r="O183" s="40">
        <v>1.4999999999999999E-2</v>
      </c>
      <c r="P183" s="40">
        <v>0.105</v>
      </c>
      <c r="Q183" s="40">
        <v>0.03</v>
      </c>
      <c r="R183" s="40" t="s">
        <v>39</v>
      </c>
      <c r="S183" s="42" t="s">
        <v>39</v>
      </c>
      <c r="T183" s="41"/>
      <c r="U183" s="41"/>
      <c r="V183" s="41"/>
      <c r="W183" s="41"/>
      <c r="X183" s="42" t="s">
        <v>39</v>
      </c>
      <c r="Y183" s="43" t="s">
        <v>39</v>
      </c>
      <c r="Z183" s="10">
        <v>40</v>
      </c>
      <c r="AA183" s="43" t="s">
        <v>334</v>
      </c>
      <c r="AB183" s="29" cm="1">
        <f t="array" ref="AB183">IF(R183="",IF(Q183="",0,(_xlfn.IFS(Q183=0.01,0.67,Q183=0.015,1,Q183=0.015,1.33,Q183=0.02,1.67,Q183=0.025,2,Q183=0.03,2.33,Q183=0.035,2.67,Q183=0.04,3)+IF(J183&lt;=0.03,"0.33",0))),(_xlfn.IFS(R183=0.01,0.67,R183=0.015,1,R183=0.015,1.33,R183=0.02,1.67,R183=0.025,2,R183=0.03,2.33,R183=0.035,2.67,R183=0.04,3)+IF(J183&lt;=0.03,"0.33",0)))</f>
        <v>2.33</v>
      </c>
      <c r="AC183" s="29">
        <f t="shared" si="4"/>
        <v>2.0202020202020203</v>
      </c>
      <c r="AD183" s="20" t="e">
        <f>VLOOKUP(F183,铝耗2026年!$A$2:$B$5000,2,0)</f>
        <v>#N/A</v>
      </c>
      <c r="AE183" s="20" t="e">
        <f>VLOOKUP(F183,铝耗2025年!$A$2:$B$5000,2,0)</f>
        <v>#N/A</v>
      </c>
      <c r="AF183" s="37">
        <v>2.1</v>
      </c>
    </row>
    <row r="184" spans="1:32" hidden="1" x14ac:dyDescent="0.3">
      <c r="A184" s="7">
        <v>181</v>
      </c>
      <c r="B184" s="10" t="s">
        <v>335</v>
      </c>
      <c r="C184" s="10" t="s">
        <v>34</v>
      </c>
      <c r="D184" s="10">
        <v>3</v>
      </c>
      <c r="E184" s="10">
        <v>14</v>
      </c>
      <c r="F184" s="10" t="s">
        <v>336</v>
      </c>
      <c r="G184" s="39" t="s">
        <v>337</v>
      </c>
      <c r="H184" s="10">
        <v>1518</v>
      </c>
      <c r="I184" s="40">
        <v>0.16</v>
      </c>
      <c r="J184" s="41">
        <v>0.1</v>
      </c>
      <c r="K184" s="41">
        <v>0.65</v>
      </c>
      <c r="L184" s="40">
        <v>1.4999999999999999E-2</v>
      </c>
      <c r="M184" s="40">
        <v>4.0000000000000001E-3</v>
      </c>
      <c r="N184" s="40"/>
      <c r="O184" s="40"/>
      <c r="P184" s="40">
        <v>0.01</v>
      </c>
      <c r="Q184" s="40">
        <v>0.02</v>
      </c>
      <c r="R184" s="40" t="s">
        <v>39</v>
      </c>
      <c r="S184" s="42"/>
      <c r="T184" s="41"/>
      <c r="U184" s="41"/>
      <c r="V184" s="41"/>
      <c r="W184" s="41"/>
      <c r="X184" s="42" t="s">
        <v>39</v>
      </c>
      <c r="Y184" s="43" t="s">
        <v>39</v>
      </c>
      <c r="Z184" s="10">
        <v>45</v>
      </c>
      <c r="AA184" s="43" t="s">
        <v>39</v>
      </c>
      <c r="AB184" s="29" cm="1">
        <f t="array" ref="AB184">IF(R184="",IF(Q184="",0,(_xlfn.IFS(Q184=0.01,0.67,Q184=0.015,1,Q184=0.015,1.33,Q184=0.02,1.67,Q184=0.025,2,Q184=0.03,2.33,Q184=0.035,2.67,Q184=0.04,3)+IF(J184&lt;=0.03,"0.33",0))),(_xlfn.IFS(R184=0.01,0.67,R184=0.015,1,R184=0.015,1.33,R184=0.02,1.67,R184=0.025,2,R184=0.03,2.33,R184=0.035,2.67,R184=0.04,3)+IF(J184&lt;=0.03,"0.33",0)))</f>
        <v>1.67</v>
      </c>
      <c r="AC184" s="29">
        <f t="shared" si="4"/>
        <v>1.3468013468013469</v>
      </c>
      <c r="AD184" s="20">
        <f>VLOOKUP(F184,铝耗2026年!$A$2:$B$5000,2,0)</f>
        <v>1.6225024934636201</v>
      </c>
      <c r="AE184" s="20">
        <f>VLOOKUP(F184,铝耗2025年!$A$2:$B$5000,2,0)</f>
        <v>1.65</v>
      </c>
      <c r="AF184" s="20">
        <f>MAX(AD184:AE184)</f>
        <v>1.65</v>
      </c>
    </row>
    <row r="185" spans="1:32" hidden="1" x14ac:dyDescent="0.3">
      <c r="A185" s="7">
        <v>182</v>
      </c>
      <c r="B185" s="10" t="s">
        <v>335</v>
      </c>
      <c r="C185" s="10" t="s">
        <v>37</v>
      </c>
      <c r="D185" s="10">
        <v>14.01</v>
      </c>
      <c r="E185" s="10">
        <v>25.4</v>
      </c>
      <c r="F185" s="10" t="s">
        <v>338</v>
      </c>
      <c r="G185" s="39" t="s">
        <v>337</v>
      </c>
      <c r="H185" s="10">
        <v>1518</v>
      </c>
      <c r="I185" s="40">
        <v>0.16</v>
      </c>
      <c r="J185" s="41">
        <v>0.1</v>
      </c>
      <c r="K185" s="41">
        <v>0.65</v>
      </c>
      <c r="L185" s="40">
        <v>1.4999999999999999E-2</v>
      </c>
      <c r="M185" s="40">
        <v>4.0000000000000001E-3</v>
      </c>
      <c r="N185" s="40"/>
      <c r="O185" s="40">
        <v>6.0000000000000001E-3</v>
      </c>
      <c r="P185" s="40">
        <v>1.2E-2</v>
      </c>
      <c r="Q185" s="40">
        <v>0.02</v>
      </c>
      <c r="R185" s="40" t="s">
        <v>39</v>
      </c>
      <c r="S185" s="42"/>
      <c r="T185" s="41"/>
      <c r="U185" s="41"/>
      <c r="V185" s="41"/>
      <c r="W185" s="41"/>
      <c r="X185" s="42" t="s">
        <v>39</v>
      </c>
      <c r="Y185" s="43" t="s">
        <v>39</v>
      </c>
      <c r="Z185" s="10">
        <v>45</v>
      </c>
      <c r="AA185" s="43" t="s">
        <v>39</v>
      </c>
      <c r="AB185" s="29" cm="1">
        <f t="array" ref="AB185">IF(R185="",IF(Q185="",0,(_xlfn.IFS(Q185=0.01,0.67,Q185=0.015,1,Q185=0.015,1.33,Q185=0.02,1.67,Q185=0.025,2,Q185=0.03,2.33,Q185=0.035,2.67,Q185=0.04,3)+IF(J185&lt;=0.03,"0.33",0))),(_xlfn.IFS(R185=0.01,0.67,R185=0.015,1,R185=0.015,1.33,R185=0.02,1.67,R185=0.025,2,R185=0.03,2.33,R185=0.035,2.67,R185=0.04,3)+IF(J185&lt;=0.03,"0.33",0)))</f>
        <v>1.67</v>
      </c>
      <c r="AC185" s="29">
        <f t="shared" si="4"/>
        <v>1.3468013468013469</v>
      </c>
      <c r="AD185" s="20">
        <f>VLOOKUP(F185,铝耗2026年!$A$2:$B$5000,2,0)</f>
        <v>1.56790872710847</v>
      </c>
      <c r="AE185" s="20">
        <f>VLOOKUP(F185,铝耗2025年!$A$2:$B$5000,2,0)</f>
        <v>1.65</v>
      </c>
      <c r="AF185" s="20">
        <f>MAX(AD185:AE185)</f>
        <v>1.65</v>
      </c>
    </row>
    <row r="186" spans="1:32" hidden="1" x14ac:dyDescent="0.3">
      <c r="A186" s="7">
        <v>183</v>
      </c>
      <c r="B186" s="10" t="s">
        <v>339</v>
      </c>
      <c r="C186" s="10" t="s">
        <v>34</v>
      </c>
      <c r="D186" s="10">
        <v>3</v>
      </c>
      <c r="E186" s="10">
        <v>14</v>
      </c>
      <c r="F186" s="10" t="s">
        <v>339</v>
      </c>
      <c r="G186" s="39" t="s">
        <v>340</v>
      </c>
      <c r="H186" s="10">
        <v>1513</v>
      </c>
      <c r="I186" s="40">
        <v>0.15</v>
      </c>
      <c r="J186" s="41">
        <v>0.1</v>
      </c>
      <c r="K186" s="41">
        <v>1.3</v>
      </c>
      <c r="L186" s="40">
        <v>1.4999999999999999E-2</v>
      </c>
      <c r="M186" s="40">
        <v>4.0000000000000001E-3</v>
      </c>
      <c r="N186" s="40"/>
      <c r="O186" s="40">
        <v>6.0000000000000001E-3</v>
      </c>
      <c r="P186" s="40">
        <v>2.5000000000000001E-2</v>
      </c>
      <c r="Q186" s="40">
        <v>2.5000000000000001E-2</v>
      </c>
      <c r="R186" s="40" t="s">
        <v>39</v>
      </c>
      <c r="S186" s="42" t="s">
        <v>39</v>
      </c>
      <c r="T186" s="41"/>
      <c r="U186" s="41"/>
      <c r="V186" s="41"/>
      <c r="W186" s="41"/>
      <c r="X186" s="42" t="s">
        <v>39</v>
      </c>
      <c r="Y186" s="43" t="s">
        <v>39</v>
      </c>
      <c r="Z186" s="10"/>
      <c r="AA186" s="43" t="s">
        <v>39</v>
      </c>
      <c r="AB186" s="29" cm="1">
        <f t="array" ref="AB186">IF(R186="",IF(Q186="",0,(_xlfn.IFS(Q186=0.01,0.67,Q186=0.015,1,Q186=0.015,1.33,Q186=0.02,1.67,Q186=0.025,2,Q186=0.03,2.33,Q186=0.035,2.67,Q186=0.04,3)+IF(J186&lt;=0.03,"0.33",0))),(_xlfn.IFS(R186=0.01,0.67,R186=0.015,1,R186=0.015,1.33,R186=0.02,1.67,R186=0.025,2,R186=0.03,2.33,R186=0.035,2.67,R186=0.04,3)+IF(J186&lt;=0.03,"0.33",0)))</f>
        <v>2</v>
      </c>
      <c r="AC186" s="29">
        <f t="shared" si="4"/>
        <v>1.6835016835016836</v>
      </c>
      <c r="AD186" s="20">
        <f>VLOOKUP(F186,铝耗2026年!$A$2:$B$5000,2,0)</f>
        <v>1.6857285312271399</v>
      </c>
      <c r="AE186" s="20">
        <f>VLOOKUP(F186,铝耗2025年!$A$2:$B$5000,2,0)</f>
        <v>1.71</v>
      </c>
      <c r="AF186" s="20">
        <f>MAX(AD186:AE186)</f>
        <v>1.71</v>
      </c>
    </row>
    <row r="187" spans="1:32" hidden="1" x14ac:dyDescent="0.3">
      <c r="A187" s="7">
        <v>184</v>
      </c>
      <c r="B187" s="10" t="s">
        <v>339</v>
      </c>
      <c r="C187" s="10" t="s">
        <v>37</v>
      </c>
      <c r="D187" s="10">
        <v>14.01</v>
      </c>
      <c r="E187" s="10">
        <v>28</v>
      </c>
      <c r="F187" s="10" t="s">
        <v>341</v>
      </c>
      <c r="G187" s="39" t="s">
        <v>340</v>
      </c>
      <c r="H187" s="10">
        <v>1513</v>
      </c>
      <c r="I187" s="40">
        <v>0.16</v>
      </c>
      <c r="J187" s="41">
        <v>0.1</v>
      </c>
      <c r="K187" s="41">
        <v>1.4</v>
      </c>
      <c r="L187" s="40">
        <v>1.4999999999999999E-2</v>
      </c>
      <c r="M187" s="40">
        <v>4.0000000000000001E-3</v>
      </c>
      <c r="N187" s="40"/>
      <c r="O187" s="40">
        <v>1.4999999999999999E-2</v>
      </c>
      <c r="P187" s="40">
        <v>0.02</v>
      </c>
      <c r="Q187" s="40">
        <v>2.5000000000000001E-2</v>
      </c>
      <c r="R187" s="40" t="s">
        <v>39</v>
      </c>
      <c r="S187" s="42" t="s">
        <v>39</v>
      </c>
      <c r="T187" s="41"/>
      <c r="U187" s="41"/>
      <c r="V187" s="41"/>
      <c r="W187" s="41"/>
      <c r="X187" s="42" t="s">
        <v>39</v>
      </c>
      <c r="Y187" s="43" t="s">
        <v>39</v>
      </c>
      <c r="Z187" s="10">
        <v>50</v>
      </c>
      <c r="AA187" s="43" t="s">
        <v>39</v>
      </c>
      <c r="AB187" s="29" cm="1">
        <f t="array" ref="AB187">IF(R187="",IF(Q187="",0,(_xlfn.IFS(Q187=0.01,0.67,Q187=0.015,1,Q187=0.015,1.33,Q187=0.02,1.67,Q187=0.025,2,Q187=0.03,2.33,Q187=0.035,2.67,Q187=0.04,3)+IF(J187&lt;=0.03,"0.33",0))),(_xlfn.IFS(R187=0.01,0.67,R187=0.015,1,R187=0.015,1.33,R187=0.02,1.67,R187=0.025,2,R187=0.03,2.33,R187=0.035,2.67,R187=0.04,3)+IF(J187&lt;=0.03,"0.33",0)))</f>
        <v>2</v>
      </c>
      <c r="AC187" s="29">
        <f t="shared" si="4"/>
        <v>1.6835016835016836</v>
      </c>
      <c r="AD187" s="20">
        <f>VLOOKUP(F187,铝耗2026年!$A$2:$B$5000,2,0)</f>
        <v>1.84437138911967</v>
      </c>
      <c r="AE187" s="20">
        <f>VLOOKUP(F187,铝耗2025年!$A$2:$B$5000,2,0)</f>
        <v>1.71</v>
      </c>
      <c r="AF187" s="20">
        <f>MAX(AD187:AE187)</f>
        <v>1.84437138911967</v>
      </c>
    </row>
    <row r="188" spans="1:32" hidden="1" x14ac:dyDescent="0.3">
      <c r="A188" s="7">
        <v>185</v>
      </c>
      <c r="B188" s="10" t="s">
        <v>342</v>
      </c>
      <c r="C188" s="10" t="s">
        <v>34</v>
      </c>
      <c r="D188" s="10">
        <v>3</v>
      </c>
      <c r="E188" s="10">
        <v>14</v>
      </c>
      <c r="F188" s="10" t="s">
        <v>343</v>
      </c>
      <c r="G188" s="39" t="s">
        <v>344</v>
      </c>
      <c r="H188" s="10">
        <v>1513</v>
      </c>
      <c r="I188" s="10">
        <v>0.15</v>
      </c>
      <c r="J188" s="10">
        <v>0.1</v>
      </c>
      <c r="K188" s="10">
        <v>1.3</v>
      </c>
      <c r="L188" s="10">
        <v>1.2E-2</v>
      </c>
      <c r="M188" s="10">
        <v>2E-3</v>
      </c>
      <c r="N188" s="10">
        <v>0</v>
      </c>
      <c r="O188" s="10">
        <v>0.02</v>
      </c>
      <c r="P188" s="10">
        <v>1.4999999999999999E-2</v>
      </c>
      <c r="Q188" s="10">
        <v>2.5000000000000001E-2</v>
      </c>
      <c r="R188" s="10" t="s">
        <v>39</v>
      </c>
      <c r="S188" s="10" t="s">
        <v>39</v>
      </c>
      <c r="T188" s="10">
        <v>0</v>
      </c>
      <c r="U188" s="10">
        <v>0</v>
      </c>
      <c r="V188" s="10">
        <v>0</v>
      </c>
      <c r="W188" s="10">
        <v>0</v>
      </c>
      <c r="X188" s="10" t="s">
        <v>39</v>
      </c>
      <c r="Y188" s="10" t="s">
        <v>39</v>
      </c>
      <c r="Z188" s="10">
        <v>40</v>
      </c>
      <c r="AA188" s="43"/>
      <c r="AB188" s="29" cm="1">
        <f t="array" ref="AB188">IF(R188="",IF(Q188="",0,(_xlfn.IFS(Q188=0.01,0.67,Q188=0.015,1,Q188=0.015,1.33,Q188=0.02,1.67,Q188=0.025,2,Q188=0.03,2.33,Q188=0.035,2.67,Q188=0.04,3)+IF(J188&lt;=0.03,"0.33",0))),(_xlfn.IFS(R188=0.01,0.67,R188=0.015,1,R188=0.015,1.33,R188=0.02,1.67,R188=0.025,2,R188=0.03,2.33,R188=0.035,2.67,R188=0.04,3)+IF(J188&lt;=0.03,"0.33",0)))</f>
        <v>2</v>
      </c>
      <c r="AC188" s="29">
        <f t="shared" si="4"/>
        <v>1.6835016835016836</v>
      </c>
      <c r="AD188" s="20">
        <f>VLOOKUP(F188,铝耗2026年!$A$2:$B$5000,2,0)</f>
        <v>1.67564984715565</v>
      </c>
      <c r="AE188" s="20" t="e">
        <f>VLOOKUP(F188,铝耗2025年!$A$2:$B$5000,2,0)</f>
        <v>#N/A</v>
      </c>
      <c r="AF188" s="20">
        <v>1.7</v>
      </c>
    </row>
    <row r="189" spans="1:32" hidden="1" x14ac:dyDescent="0.3">
      <c r="A189" s="7">
        <v>186</v>
      </c>
      <c r="B189" s="10" t="s">
        <v>342</v>
      </c>
      <c r="C189" s="10" t="s">
        <v>37</v>
      </c>
      <c r="D189" s="10">
        <v>14.01</v>
      </c>
      <c r="E189" s="10">
        <v>25</v>
      </c>
      <c r="F189" s="10" t="s">
        <v>345</v>
      </c>
      <c r="G189" s="39" t="s">
        <v>344</v>
      </c>
      <c r="H189" s="10">
        <v>1513</v>
      </c>
      <c r="I189" s="10">
        <v>0.15</v>
      </c>
      <c r="J189" s="10">
        <v>0.15</v>
      </c>
      <c r="K189" s="10">
        <v>1.4</v>
      </c>
      <c r="L189" s="10">
        <v>1.2E-2</v>
      </c>
      <c r="M189" s="10">
        <v>2E-3</v>
      </c>
      <c r="N189" s="10">
        <v>0</v>
      </c>
      <c r="O189" s="10">
        <v>2.5000000000000001E-2</v>
      </c>
      <c r="P189" s="10">
        <v>1.4999999999999999E-2</v>
      </c>
      <c r="Q189" s="10">
        <v>2.5000000000000001E-2</v>
      </c>
      <c r="R189" s="10" t="s">
        <v>39</v>
      </c>
      <c r="S189" s="10" t="s">
        <v>39</v>
      </c>
      <c r="T189" s="10">
        <v>0</v>
      </c>
      <c r="U189" s="10">
        <v>0</v>
      </c>
      <c r="V189" s="10">
        <v>0</v>
      </c>
      <c r="W189" s="10">
        <v>0</v>
      </c>
      <c r="X189" s="10" t="s">
        <v>39</v>
      </c>
      <c r="Y189" s="10" t="s">
        <v>39</v>
      </c>
      <c r="Z189" s="10">
        <v>40</v>
      </c>
      <c r="AA189" s="43"/>
      <c r="AB189" s="29" cm="1">
        <f t="array" ref="AB189">IF(R189="",IF(Q189="",0,(_xlfn.IFS(Q189=0.01,0.67,Q189=0.015,1,Q189=0.015,1.33,Q189=0.02,1.67,Q189=0.025,2,Q189=0.03,2.33,Q189=0.035,2.67,Q189=0.04,3)+IF(J189&lt;=0.03,"0.33",0))),(_xlfn.IFS(R189=0.01,0.67,R189=0.015,1,R189=0.015,1.33,R189=0.02,1.67,R189=0.025,2,R189=0.03,2.33,R189=0.035,2.67,R189=0.04,3)+IF(J189&lt;=0.03,"0.33",0)))</f>
        <v>2</v>
      </c>
      <c r="AC189" s="29">
        <f t="shared" si="4"/>
        <v>1.6835016835016836</v>
      </c>
      <c r="AD189" s="20" t="e">
        <f>VLOOKUP(F189,铝耗2026年!$A$2:$B$5000,2,0)</f>
        <v>#N/A</v>
      </c>
      <c r="AE189" s="20" t="e">
        <f>VLOOKUP(F189,铝耗2025年!$A$2:$B$5000,2,0)</f>
        <v>#N/A</v>
      </c>
      <c r="AF189" s="20">
        <v>1.7</v>
      </c>
    </row>
    <row r="190" spans="1:32" hidden="1" x14ac:dyDescent="0.3">
      <c r="A190" s="7">
        <v>187</v>
      </c>
      <c r="B190" s="10" t="s">
        <v>233</v>
      </c>
      <c r="C190" s="10" t="s">
        <v>34</v>
      </c>
      <c r="D190" s="10">
        <v>3</v>
      </c>
      <c r="E190" s="10">
        <v>12.5</v>
      </c>
      <c r="F190" s="10" t="s">
        <v>234</v>
      </c>
      <c r="G190" s="39" t="s">
        <v>235</v>
      </c>
      <c r="H190" s="10">
        <v>1514</v>
      </c>
      <c r="I190" s="10">
        <v>0.16</v>
      </c>
      <c r="J190" s="10">
        <v>0.23</v>
      </c>
      <c r="K190" s="10">
        <v>1.1499999999999999</v>
      </c>
      <c r="L190" s="10">
        <v>0</v>
      </c>
      <c r="M190" s="10">
        <v>0</v>
      </c>
      <c r="N190" s="10">
        <v>0</v>
      </c>
      <c r="O190" s="10">
        <v>0.01</v>
      </c>
      <c r="P190" s="10">
        <v>1.4999999999999999E-2</v>
      </c>
      <c r="Q190" s="10">
        <v>0.03</v>
      </c>
      <c r="R190" s="10" t="s">
        <v>39</v>
      </c>
      <c r="S190" s="10" t="s">
        <v>39</v>
      </c>
      <c r="T190" s="10">
        <v>0</v>
      </c>
      <c r="U190" s="10">
        <v>0</v>
      </c>
      <c r="V190" s="10">
        <v>0</v>
      </c>
      <c r="W190" s="10">
        <v>0</v>
      </c>
      <c r="X190" s="10">
        <v>0</v>
      </c>
      <c r="Y190" s="10" t="s">
        <v>39</v>
      </c>
      <c r="Z190" s="10" t="s">
        <v>39</v>
      </c>
      <c r="AA190" s="10"/>
      <c r="AB190" s="29" cm="1">
        <f t="array" ref="AB190">IF(R190="",IF(Q190="",0,(_xlfn.IFS(Q190=0.01,0.67,Q190=0.015,1,Q190=0.015,1.33,Q190=0.02,1.67,Q190=0.025,2,Q190=0.03,2.33,Q190=0.035,2.67,Q190=0.04,3)+IF(J190&lt;=0.03,"0.33",0))),(_xlfn.IFS(R190=0.01,0.67,R190=0.015,1,R190=0.015,1.33,R190=0.02,1.67,R190=0.025,2,R190=0.03,2.33,R190=0.035,2.67,R190=0.04,3)+IF(J190&lt;=0.03,"0.33",0)))</f>
        <v>2.33</v>
      </c>
      <c r="AC190" s="29">
        <f t="shared" si="4"/>
        <v>2.0202020202020203</v>
      </c>
      <c r="AD190" s="20">
        <f>VLOOKUP(F190,铝耗2026年!$A$2:$B$5000,2,0)</f>
        <v>1.59700361896184</v>
      </c>
      <c r="AE190" s="20" t="e">
        <f>VLOOKUP(F190,铝耗2025年!$A$2:$B$5000,2,0)</f>
        <v>#N/A</v>
      </c>
      <c r="AF190" s="20">
        <v>1.7</v>
      </c>
    </row>
    <row r="191" spans="1:32" hidden="1" x14ac:dyDescent="0.3">
      <c r="A191" s="7">
        <v>188</v>
      </c>
      <c r="B191" s="10" t="s">
        <v>346</v>
      </c>
      <c r="C191" s="10" t="s">
        <v>34</v>
      </c>
      <c r="D191" s="10">
        <v>4</v>
      </c>
      <c r="E191" s="10">
        <v>16</v>
      </c>
      <c r="F191" s="10" t="s">
        <v>346</v>
      </c>
      <c r="G191" s="39" t="s">
        <v>347</v>
      </c>
      <c r="H191" s="10">
        <v>1522</v>
      </c>
      <c r="I191" s="40">
        <v>7.0000000000000007E-2</v>
      </c>
      <c r="J191" s="41">
        <v>0.2</v>
      </c>
      <c r="K191" s="41">
        <v>1.2</v>
      </c>
      <c r="L191" s="40">
        <v>1.4999999999999999E-2</v>
      </c>
      <c r="M191" s="40">
        <v>0.01</v>
      </c>
      <c r="N191" s="40" t="s">
        <v>39</v>
      </c>
      <c r="O191" s="40">
        <v>1.4999999999999999E-2</v>
      </c>
      <c r="P191" s="40">
        <v>1.4999999999999999E-2</v>
      </c>
      <c r="Q191" s="40">
        <v>0.02</v>
      </c>
      <c r="R191" s="40" t="s">
        <v>39</v>
      </c>
      <c r="S191" s="42"/>
      <c r="T191" s="41"/>
      <c r="U191" s="41"/>
      <c r="V191" s="41"/>
      <c r="W191" s="41"/>
      <c r="X191" s="42"/>
      <c r="Y191" s="43" t="s">
        <v>39</v>
      </c>
      <c r="Z191" s="10">
        <v>50</v>
      </c>
      <c r="AA191" s="43"/>
      <c r="AB191" s="29" cm="1">
        <f t="array" ref="AB191">IF(R191="",IF(Q191="",0,(_xlfn.IFS(Q191=0.01,0.67,Q191=0.015,1,Q191=0.015,1.33,Q191=0.02,1.67,Q191=0.025,2,Q191=0.03,2.33,Q191=0.035,2.67,Q191=0.04,3)+IF(J191&lt;=0.03,"0.33",0))),(_xlfn.IFS(R191=0.01,0.67,R191=0.015,1,R191=0.015,1.33,R191=0.02,1.67,R191=0.025,2,R191=0.03,2.33,R191=0.035,2.67,R191=0.04,3)+IF(J191&lt;=0.03,"0.33",0)))</f>
        <v>1.67</v>
      </c>
      <c r="AC191" s="29">
        <f t="shared" si="4"/>
        <v>1.3468013468013469</v>
      </c>
      <c r="AD191" s="20" t="e">
        <f>VLOOKUP(F191,铝耗2026年!$A$2:$B$5000,2,0)</f>
        <v>#N/A</v>
      </c>
      <c r="AE191" s="20" t="e">
        <f>VLOOKUP(F191,铝耗2025年!$A$2:$B$5000,2,0)</f>
        <v>#N/A</v>
      </c>
      <c r="AF191" s="20">
        <v>1.7</v>
      </c>
    </row>
    <row r="192" spans="1:32" hidden="1" x14ac:dyDescent="0.3">
      <c r="A192" s="7">
        <v>189</v>
      </c>
      <c r="B192" s="10" t="s">
        <v>348</v>
      </c>
      <c r="C192" s="10" t="s">
        <v>34</v>
      </c>
      <c r="D192" s="10">
        <v>4</v>
      </c>
      <c r="E192" s="10">
        <v>16</v>
      </c>
      <c r="F192" s="10" t="s">
        <v>348</v>
      </c>
      <c r="G192" s="39" t="s">
        <v>349</v>
      </c>
      <c r="H192" s="10">
        <v>1522</v>
      </c>
      <c r="I192" s="40">
        <v>0.08</v>
      </c>
      <c r="J192" s="41">
        <v>0.2</v>
      </c>
      <c r="K192" s="41">
        <v>1.4</v>
      </c>
      <c r="L192" s="40">
        <v>1.4999999999999999E-2</v>
      </c>
      <c r="M192" s="40">
        <v>5.0000000000000001E-3</v>
      </c>
      <c r="N192" s="40" t="s">
        <v>39</v>
      </c>
      <c r="O192" s="40">
        <v>0.02</v>
      </c>
      <c r="P192" s="40">
        <v>1.4999999999999999E-2</v>
      </c>
      <c r="Q192" s="40">
        <v>0.02</v>
      </c>
      <c r="R192" s="40" t="s">
        <v>39</v>
      </c>
      <c r="S192" s="42"/>
      <c r="T192" s="41"/>
      <c r="U192" s="41"/>
      <c r="V192" s="41"/>
      <c r="W192" s="41"/>
      <c r="X192" s="42"/>
      <c r="Y192" s="43" t="s">
        <v>39</v>
      </c>
      <c r="Z192" s="10">
        <v>45</v>
      </c>
      <c r="AA192" s="43"/>
      <c r="AB192" s="29" cm="1">
        <f t="array" ref="AB192">IF(R192="",IF(Q192="",0,(_xlfn.IFS(Q192=0.01,0.67,Q192=0.015,1,Q192=0.015,1.33,Q192=0.02,1.67,Q192=0.025,2,Q192=0.03,2.33,Q192=0.035,2.67,Q192=0.04,3)+IF(J192&lt;=0.03,"0.33",0))),(_xlfn.IFS(R192=0.01,0.67,R192=0.015,1,R192=0.015,1.33,R192=0.02,1.67,R192=0.025,2,R192=0.03,2.33,R192=0.035,2.67,R192=0.04,3)+IF(J192&lt;=0.03,"0.33",0)))</f>
        <v>1.67</v>
      </c>
      <c r="AC192" s="29">
        <f t="shared" si="4"/>
        <v>1.3468013468013469</v>
      </c>
      <c r="AD192" s="20" t="e">
        <f>VLOOKUP(F192,铝耗2026年!$A$2:$B$5000,2,0)</f>
        <v>#N/A</v>
      </c>
      <c r="AE192" s="20">
        <f>VLOOKUP(F192,铝耗2025年!$A$2:$B$5000,2,0)</f>
        <v>1.71</v>
      </c>
      <c r="AF192" s="20">
        <v>1.7</v>
      </c>
    </row>
    <row r="193" spans="1:32" hidden="1" x14ac:dyDescent="0.3">
      <c r="A193" s="7">
        <v>190</v>
      </c>
      <c r="B193" s="10" t="s">
        <v>350</v>
      </c>
      <c r="C193" s="10" t="s">
        <v>34</v>
      </c>
      <c r="D193" s="10">
        <v>2</v>
      </c>
      <c r="E193" s="10">
        <v>6</v>
      </c>
      <c r="F193" s="10" t="s">
        <v>350</v>
      </c>
      <c r="G193" s="39" t="s">
        <v>351</v>
      </c>
      <c r="H193" s="10">
        <v>1518</v>
      </c>
      <c r="I193" s="40">
        <v>0.16</v>
      </c>
      <c r="J193" s="41">
        <v>0.04</v>
      </c>
      <c r="K193" s="41">
        <v>0.75</v>
      </c>
      <c r="L193" s="40">
        <v>1.4999999999999999E-2</v>
      </c>
      <c r="M193" s="40">
        <v>5.0000000000000001E-3</v>
      </c>
      <c r="N193" s="40"/>
      <c r="O193" s="40"/>
      <c r="P193" s="40">
        <v>1.4999999999999999E-2</v>
      </c>
      <c r="Q193" s="40">
        <v>0.03</v>
      </c>
      <c r="R193" s="40" t="s">
        <v>39</v>
      </c>
      <c r="S193" s="42" t="s">
        <v>39</v>
      </c>
      <c r="T193" s="41"/>
      <c r="U193" s="41"/>
      <c r="V193" s="41"/>
      <c r="W193" s="41"/>
      <c r="X193" s="42" t="s">
        <v>39</v>
      </c>
      <c r="Y193" s="43" t="s">
        <v>39</v>
      </c>
      <c r="Z193" s="10"/>
      <c r="AA193" s="43"/>
      <c r="AB193" s="29" cm="1">
        <f t="array" ref="AB193">IF(R193="",IF(Q193="",0,(_xlfn.IFS(Q193=0.01,0.67,Q193=0.015,1,Q193=0.015,1.33,Q193=0.02,1.67,Q193=0.025,2,Q193=0.03,2.33,Q193=0.035,2.67,Q193=0.04,3)+IF(J193&lt;=0.03,"0.33",0))),(_xlfn.IFS(R193=0.01,0.67,R193=0.015,1,R193=0.015,1.33,R193=0.02,1.67,R193=0.025,2,R193=0.03,2.33,R193=0.035,2.67,R193=0.04,3)+IF(J193&lt;=0.03,"0.33",0)))</f>
        <v>2.33</v>
      </c>
      <c r="AC193" s="29">
        <f t="shared" si="4"/>
        <v>2.0202020202020203</v>
      </c>
      <c r="AD193" s="20">
        <f>VLOOKUP(F193,铝耗2026年!$A$2:$B$5000,2,0)</f>
        <v>1.86250812104237</v>
      </c>
      <c r="AE193" s="20">
        <f>VLOOKUP(F193,铝耗2025年!$A$2:$B$5000,2,0)</f>
        <v>1.9</v>
      </c>
      <c r="AF193" s="20">
        <f>MAX(AD193:AE193)</f>
        <v>1.9</v>
      </c>
    </row>
    <row r="194" spans="1:32" hidden="1" x14ac:dyDescent="0.3">
      <c r="A194" s="7">
        <v>191</v>
      </c>
      <c r="B194" s="10" t="s">
        <v>352</v>
      </c>
      <c r="C194" s="10" t="s">
        <v>34</v>
      </c>
      <c r="D194" s="10">
        <v>2</v>
      </c>
      <c r="E194" s="10">
        <v>7.55</v>
      </c>
      <c r="F194" s="10" t="s">
        <v>353</v>
      </c>
      <c r="G194" s="39" t="s">
        <v>354</v>
      </c>
      <c r="H194" s="10">
        <v>1519</v>
      </c>
      <c r="I194" s="40">
        <v>0.16</v>
      </c>
      <c r="J194" s="41">
        <v>0.05</v>
      </c>
      <c r="K194" s="41">
        <v>0.35</v>
      </c>
      <c r="L194" s="40">
        <v>1.7999999999999999E-2</v>
      </c>
      <c r="M194" s="40">
        <v>6.0000000000000001E-3</v>
      </c>
      <c r="N194" s="40"/>
      <c r="O194" s="40"/>
      <c r="P194" s="40"/>
      <c r="Q194" s="40">
        <v>2.5000000000000001E-2</v>
      </c>
      <c r="R194" s="40" t="s">
        <v>39</v>
      </c>
      <c r="S194" s="42"/>
      <c r="T194" s="41"/>
      <c r="U194" s="41"/>
      <c r="V194" s="41"/>
      <c r="W194" s="41"/>
      <c r="X194" s="42" t="s">
        <v>39</v>
      </c>
      <c r="Y194" s="43" t="s">
        <v>39</v>
      </c>
      <c r="Z194" s="10"/>
      <c r="AA194" s="43"/>
      <c r="AB194" s="29" cm="1">
        <f t="array" ref="AB194">IF(R194="",IF(Q194="",0,(_xlfn.IFS(Q194=0.01,0.67,Q194=0.015,1,Q194=0.015,1.33,Q194=0.02,1.67,Q194=0.025,2,Q194=0.03,2.33,Q194=0.035,2.67,Q194=0.04,3)+IF(J194&lt;=0.03,"0.33",0))),(_xlfn.IFS(R194=0.01,0.67,R194=0.015,1,R194=0.015,1.33,R194=0.02,1.67,R194=0.025,2,R194=0.03,2.33,R194=0.035,2.67,R194=0.04,3)+IF(J194&lt;=0.03,"0.33",0)))</f>
        <v>2</v>
      </c>
      <c r="AC194" s="29">
        <f t="shared" si="4"/>
        <v>1.6835016835016836</v>
      </c>
      <c r="AD194" s="20">
        <f>VLOOKUP(F194,铝耗2026年!$A$2:$B$5000,2,0)</f>
        <v>1.4764911126182101</v>
      </c>
      <c r="AE194" s="20">
        <f>VLOOKUP(F194,铝耗2025年!$A$2:$B$5000,2,0)</f>
        <v>1.55</v>
      </c>
      <c r="AF194" s="20">
        <f>MAX(AD194:AE194)</f>
        <v>1.55</v>
      </c>
    </row>
    <row r="195" spans="1:32" hidden="1" x14ac:dyDescent="0.3">
      <c r="A195" s="7">
        <v>192</v>
      </c>
      <c r="B195" s="10" t="s">
        <v>352</v>
      </c>
      <c r="C195" s="10" t="s">
        <v>37</v>
      </c>
      <c r="D195" s="10">
        <v>7.56</v>
      </c>
      <c r="E195" s="10">
        <v>18</v>
      </c>
      <c r="F195" s="10" t="s">
        <v>355</v>
      </c>
      <c r="G195" s="39" t="s">
        <v>354</v>
      </c>
      <c r="H195" s="10">
        <v>1519</v>
      </c>
      <c r="I195" s="40">
        <v>0.16</v>
      </c>
      <c r="J195" s="41">
        <v>0.05</v>
      </c>
      <c r="K195" s="41">
        <v>0.45</v>
      </c>
      <c r="L195" s="40">
        <v>1.7999999999999999E-2</v>
      </c>
      <c r="M195" s="40">
        <v>6.0000000000000001E-3</v>
      </c>
      <c r="N195" s="40"/>
      <c r="O195" s="40"/>
      <c r="P195" s="40"/>
      <c r="Q195" s="40">
        <v>2.5000000000000001E-2</v>
      </c>
      <c r="R195" s="40" t="s">
        <v>39</v>
      </c>
      <c r="S195" s="42"/>
      <c r="T195" s="41"/>
      <c r="U195" s="41"/>
      <c r="V195" s="41"/>
      <c r="W195" s="41"/>
      <c r="X195" s="42" t="s">
        <v>39</v>
      </c>
      <c r="Y195" s="43" t="s">
        <v>39</v>
      </c>
      <c r="Z195" s="10"/>
      <c r="AA195" s="43"/>
      <c r="AB195" s="29" cm="1">
        <f t="array" ref="AB195">IF(R195="",IF(Q195="",0,(_xlfn.IFS(Q195=0.01,0.67,Q195=0.015,1,Q195=0.015,1.33,Q195=0.02,1.67,Q195=0.025,2,Q195=0.03,2.33,Q195=0.035,2.67,Q195=0.04,3)+IF(J195&lt;=0.03,"0.33",0))),(_xlfn.IFS(R195=0.01,0.67,R195=0.015,1,R195=0.015,1.33,R195=0.02,1.67,R195=0.025,2,R195=0.03,2.33,R195=0.035,2.67,R195=0.04,3)+IF(J195&lt;=0.03,"0.33",0)))</f>
        <v>2</v>
      </c>
      <c r="AC195" s="29">
        <f t="shared" si="4"/>
        <v>1.6835016835016836</v>
      </c>
      <c r="AD195" s="20">
        <f>VLOOKUP(F195,铝耗2026年!$A$2:$B$5000,2,0)</f>
        <v>1.51471781545926</v>
      </c>
      <c r="AE195" s="20">
        <f>VLOOKUP(F195,铝耗2025年!$A$2:$B$5000,2,0)</f>
        <v>1.55</v>
      </c>
      <c r="AF195" s="20">
        <f>MAX(AD195:AE195)</f>
        <v>1.55</v>
      </c>
    </row>
    <row r="196" spans="1:32" x14ac:dyDescent="0.3">
      <c r="A196" s="7">
        <v>193</v>
      </c>
      <c r="B196" s="10" t="s">
        <v>356</v>
      </c>
      <c r="C196" s="10" t="s">
        <v>34</v>
      </c>
      <c r="D196" s="10">
        <v>2</v>
      </c>
      <c r="E196" s="10">
        <v>10.49</v>
      </c>
      <c r="F196" s="10" t="s">
        <v>357</v>
      </c>
      <c r="G196" s="39" t="s">
        <v>358</v>
      </c>
      <c r="H196" s="10">
        <v>1529</v>
      </c>
      <c r="I196" s="40">
        <v>0.06</v>
      </c>
      <c r="J196" s="41">
        <v>0.02</v>
      </c>
      <c r="K196" s="41">
        <v>0.3</v>
      </c>
      <c r="L196" s="40">
        <v>1.4999999999999999E-2</v>
      </c>
      <c r="M196" s="40">
        <v>5.0000000000000001E-3</v>
      </c>
      <c r="N196" s="40" t="s">
        <v>39</v>
      </c>
      <c r="O196" s="40" t="s">
        <v>39</v>
      </c>
      <c r="P196" s="40" t="s">
        <v>39</v>
      </c>
      <c r="Q196" s="40">
        <v>2.5000000000000001E-2</v>
      </c>
      <c r="R196" s="40" t="s">
        <v>39</v>
      </c>
      <c r="S196" s="42" t="s">
        <v>39</v>
      </c>
      <c r="T196" s="41"/>
      <c r="U196" s="41"/>
      <c r="V196" s="41"/>
      <c r="W196" s="41"/>
      <c r="X196" s="42" t="s">
        <v>39</v>
      </c>
      <c r="Y196" s="43" t="s">
        <v>39</v>
      </c>
      <c r="Z196" s="10">
        <v>35</v>
      </c>
      <c r="AA196" s="43" t="s">
        <v>39</v>
      </c>
      <c r="AB196" s="29" cm="1">
        <f t="array" ref="AB196">IF(R196="",IF(Q196="",0,(_xlfn.IFS(Q196=0.01,0.67,Q196=0.015,1,Q196=0.015,1.33,Q196=0.02,1.67,Q196=0.025,2,Q196=0.03,2.33,Q196=0.035,2.67,Q196=0.04,3)+IF(J196&lt;=0.03,"0.33",0))),(_xlfn.IFS(R196=0.01,0.67,R196=0.015,1,R196=0.015,1.33,R196=0.02,1.67,R196=0.025,2,R196=0.03,2.33,R196=0.035,2.67,R196=0.04,3)+IF(J196&lt;=0.03,"0.33",0)))</f>
        <v>2.33</v>
      </c>
      <c r="AC196" s="29">
        <f t="shared" si="4"/>
        <v>2.0135016835016835</v>
      </c>
      <c r="AD196" s="20">
        <f>VLOOKUP(F196,铝耗2026年!$A$2:$B$5000,2,0)</f>
        <v>2.8328548048678601</v>
      </c>
      <c r="AE196" s="20">
        <f>VLOOKUP(F196,铝耗2025年!$A$2:$B$5000,2,0)</f>
        <v>2.5</v>
      </c>
      <c r="AF196" s="20">
        <v>2.5</v>
      </c>
    </row>
    <row r="197" spans="1:32" x14ac:dyDescent="0.3">
      <c r="A197" s="7">
        <v>194</v>
      </c>
      <c r="B197" s="10" t="s">
        <v>356</v>
      </c>
      <c r="C197" s="10" t="s">
        <v>37</v>
      </c>
      <c r="D197" s="10">
        <v>10.5</v>
      </c>
      <c r="E197" s="10">
        <v>14</v>
      </c>
      <c r="F197" s="10" t="s">
        <v>359</v>
      </c>
      <c r="G197" s="39" t="s">
        <v>358</v>
      </c>
      <c r="H197" s="10">
        <v>1527</v>
      </c>
      <c r="I197" s="40">
        <v>0.06</v>
      </c>
      <c r="J197" s="41">
        <v>0.02</v>
      </c>
      <c r="K197" s="41">
        <v>0.35</v>
      </c>
      <c r="L197" s="40">
        <v>1.4999999999999999E-2</v>
      </c>
      <c r="M197" s="40">
        <v>5.0000000000000001E-3</v>
      </c>
      <c r="N197" s="40" t="s">
        <v>39</v>
      </c>
      <c r="O197" s="40" t="s">
        <v>39</v>
      </c>
      <c r="P197" s="40" t="s">
        <v>39</v>
      </c>
      <c r="Q197" s="40">
        <v>2.5000000000000001E-2</v>
      </c>
      <c r="R197" s="40" t="s">
        <v>39</v>
      </c>
      <c r="S197" s="42" t="s">
        <v>39</v>
      </c>
      <c r="T197" s="41"/>
      <c r="U197" s="41"/>
      <c r="V197" s="41"/>
      <c r="W197" s="41"/>
      <c r="X197" s="42" t="s">
        <v>39</v>
      </c>
      <c r="Y197" s="43" t="s">
        <v>39</v>
      </c>
      <c r="Z197" s="10">
        <v>35</v>
      </c>
      <c r="AA197" s="43" t="s">
        <v>39</v>
      </c>
      <c r="AB197" s="29" cm="1">
        <f t="array" ref="AB197">IF(R197="",IF(Q197="",0,(_xlfn.IFS(Q197=0.01,0.67,Q197=0.015,1,Q197=0.015,1.33,Q197=0.02,1.67,Q197=0.025,2,Q197=0.03,2.33,Q197=0.035,2.67,Q197=0.04,3)+IF(J197&lt;=0.03,"0.33",0))),(_xlfn.IFS(R197=0.01,0.67,R197=0.015,1,R197=0.015,1.33,R197=0.02,1.67,R197=0.025,2,R197=0.03,2.33,R197=0.035,2.67,R197=0.04,3)+IF(J197&lt;=0.03,"0.33",0)))</f>
        <v>2.33</v>
      </c>
      <c r="AC197" s="29">
        <f t="shared" ref="AC197:AC260" si="5">IF(R197="",IF(Q197="",0.3,Q197/100/0.99/0.15*1000+IF(J197&lt;=0.03,"0.33",0)),R197/100/0.99/0.15*1000+IF(J197&lt;=0.03,"0.33",0))</f>
        <v>2.0135016835016835</v>
      </c>
      <c r="AD197" s="20" t="e">
        <f>VLOOKUP(F197,铝耗2026年!$A$2:$B$5000,2,0)</f>
        <v>#N/A</v>
      </c>
      <c r="AE197" s="20">
        <f>VLOOKUP(F197,铝耗2025年!$A$2:$B$5000,2,0)</f>
        <v>2.5</v>
      </c>
      <c r="AF197" s="20">
        <v>2.5</v>
      </c>
    </row>
    <row r="198" spans="1:32" x14ac:dyDescent="0.3">
      <c r="A198" s="7">
        <v>195</v>
      </c>
      <c r="B198" s="10" t="s">
        <v>360</v>
      </c>
      <c r="C198" s="10" t="s">
        <v>34</v>
      </c>
      <c r="D198" s="10">
        <v>2</v>
      </c>
      <c r="E198" s="10">
        <v>4.99</v>
      </c>
      <c r="F198" s="10" t="s">
        <v>361</v>
      </c>
      <c r="G198" s="39" t="s">
        <v>362</v>
      </c>
      <c r="H198" s="10">
        <v>1525</v>
      </c>
      <c r="I198" s="40">
        <v>7.0000000000000007E-2</v>
      </c>
      <c r="J198" s="41">
        <v>0.03</v>
      </c>
      <c r="K198" s="41">
        <v>0.95</v>
      </c>
      <c r="L198" s="40">
        <v>1.4999999999999999E-2</v>
      </c>
      <c r="M198" s="40">
        <v>5.0000000000000001E-3</v>
      </c>
      <c r="N198" s="40" t="s">
        <v>39</v>
      </c>
      <c r="O198" s="40" t="s">
        <v>39</v>
      </c>
      <c r="P198" s="40" t="s">
        <v>39</v>
      </c>
      <c r="Q198" s="40">
        <v>2.5000000000000001E-2</v>
      </c>
      <c r="R198" s="40" t="s">
        <v>39</v>
      </c>
      <c r="S198" s="42" t="s">
        <v>39</v>
      </c>
      <c r="T198" s="41"/>
      <c r="U198" s="41"/>
      <c r="V198" s="41"/>
      <c r="W198" s="41"/>
      <c r="X198" s="42" t="s">
        <v>39</v>
      </c>
      <c r="Y198" s="43" t="s">
        <v>39</v>
      </c>
      <c r="Z198" s="10">
        <v>40</v>
      </c>
      <c r="AA198" s="43" t="s">
        <v>39</v>
      </c>
      <c r="AB198" s="29" cm="1">
        <f t="array" ref="AB198">IF(R198="",IF(Q198="",0,(_xlfn.IFS(Q198=0.01,0.67,Q198=0.015,1,Q198=0.015,1.33,Q198=0.02,1.67,Q198=0.025,2,Q198=0.03,2.33,Q198=0.035,2.67,Q198=0.04,3)+IF(J198&lt;=0.03,"0.33",0))),(_xlfn.IFS(R198=0.01,0.67,R198=0.015,1,R198=0.015,1.33,R198=0.02,1.67,R198=0.025,2,R198=0.03,2.33,R198=0.035,2.67,R198=0.04,3)+IF(J198&lt;=0.03,"0.33",0)))</f>
        <v>2.33</v>
      </c>
      <c r="AC198" s="29">
        <f t="shared" si="5"/>
        <v>2.0135016835016835</v>
      </c>
      <c r="AD198" s="20" t="e">
        <f>VLOOKUP(F198,铝耗2026年!$A$2:$B$5000,2,0)</f>
        <v>#N/A</v>
      </c>
      <c r="AE198" s="20" t="e">
        <f>VLOOKUP(F198,铝耗2025年!$A$2:$B$5000,2,0)</f>
        <v>#N/A</v>
      </c>
      <c r="AF198" s="20">
        <v>2.5</v>
      </c>
    </row>
    <row r="199" spans="1:32" hidden="1" x14ac:dyDescent="0.3">
      <c r="A199" s="7">
        <v>196</v>
      </c>
      <c r="B199" s="10" t="s">
        <v>360</v>
      </c>
      <c r="C199" s="10" t="s">
        <v>37</v>
      </c>
      <c r="D199" s="10">
        <v>5</v>
      </c>
      <c r="E199" s="10">
        <v>18</v>
      </c>
      <c r="F199" s="10" t="s">
        <v>363</v>
      </c>
      <c r="G199" s="39" t="s">
        <v>362</v>
      </c>
      <c r="H199" s="10">
        <v>1524</v>
      </c>
      <c r="I199" s="40">
        <v>7.0000000000000007E-2</v>
      </c>
      <c r="J199" s="41">
        <v>0.1</v>
      </c>
      <c r="K199" s="41">
        <v>1</v>
      </c>
      <c r="L199" s="40">
        <v>1.4999999999999999E-2</v>
      </c>
      <c r="M199" s="40">
        <v>5.0000000000000001E-3</v>
      </c>
      <c r="N199" s="40" t="s">
        <v>39</v>
      </c>
      <c r="O199" s="40" t="s">
        <v>39</v>
      </c>
      <c r="P199" s="40" t="s">
        <v>39</v>
      </c>
      <c r="Q199" s="40">
        <v>2.5000000000000001E-2</v>
      </c>
      <c r="R199" s="40" t="s">
        <v>39</v>
      </c>
      <c r="S199" s="42" t="s">
        <v>39</v>
      </c>
      <c r="T199" s="41"/>
      <c r="U199" s="41"/>
      <c r="V199" s="41"/>
      <c r="W199" s="41"/>
      <c r="X199" s="42" t="s">
        <v>39</v>
      </c>
      <c r="Y199" s="43" t="s">
        <v>39</v>
      </c>
      <c r="Z199" s="10">
        <v>40</v>
      </c>
      <c r="AA199" s="43" t="s">
        <v>39</v>
      </c>
      <c r="AB199" s="29" cm="1">
        <f t="array" ref="AB199">IF(R199="",IF(Q199="",0,(_xlfn.IFS(Q199=0.01,0.67,Q199=0.015,1,Q199=0.015,1.33,Q199=0.02,1.67,Q199=0.025,2,Q199=0.03,2.33,Q199=0.035,2.67,Q199=0.04,3)+IF(J199&lt;=0.03,"0.33",0))),(_xlfn.IFS(R199=0.01,0.67,R199=0.015,1,R199=0.015,1.33,R199=0.02,1.67,R199=0.025,2,R199=0.03,2.33,R199=0.035,2.67,R199=0.04,3)+IF(J199&lt;=0.03,"0.33",0)))</f>
        <v>2</v>
      </c>
      <c r="AC199" s="29">
        <f t="shared" si="5"/>
        <v>1.6835016835016836</v>
      </c>
      <c r="AD199" s="20">
        <f>VLOOKUP(F199,铝耗2026年!$A$2:$B$5000,2,0)</f>
        <v>1.8379556394041401</v>
      </c>
      <c r="AE199" s="20">
        <f>VLOOKUP(F199,铝耗2025年!$A$2:$B$5000,2,0)</f>
        <v>1.8</v>
      </c>
      <c r="AF199" s="20">
        <f>MAX(AD199:AE199)</f>
        <v>1.8379556394041401</v>
      </c>
    </row>
    <row r="200" spans="1:32" hidden="1" x14ac:dyDescent="0.3">
      <c r="A200" s="7">
        <v>197</v>
      </c>
      <c r="B200" s="10" t="s">
        <v>364</v>
      </c>
      <c r="C200" s="10" t="s">
        <v>34</v>
      </c>
      <c r="D200" s="10">
        <v>2</v>
      </c>
      <c r="E200" s="10">
        <v>4.99</v>
      </c>
      <c r="F200" s="10" t="s">
        <v>365</v>
      </c>
      <c r="G200" s="39" t="s">
        <v>366</v>
      </c>
      <c r="H200" s="10">
        <v>1525</v>
      </c>
      <c r="I200" s="40">
        <v>7.0000000000000007E-2</v>
      </c>
      <c r="J200" s="41">
        <v>0.03</v>
      </c>
      <c r="K200" s="41">
        <v>0.95</v>
      </c>
      <c r="L200" s="40">
        <v>1.4999999999999999E-2</v>
      </c>
      <c r="M200" s="40">
        <v>5.0000000000000001E-3</v>
      </c>
      <c r="N200" s="40" t="s">
        <v>39</v>
      </c>
      <c r="O200" s="40" t="s">
        <v>39</v>
      </c>
      <c r="P200" s="40" t="s">
        <v>39</v>
      </c>
      <c r="Q200" s="40" t="s">
        <v>39</v>
      </c>
      <c r="R200" s="40">
        <v>0.03</v>
      </c>
      <c r="S200" s="42" t="s">
        <v>39</v>
      </c>
      <c r="T200" s="41"/>
      <c r="U200" s="41"/>
      <c r="V200" s="41"/>
      <c r="W200" s="41"/>
      <c r="X200" s="42" t="s">
        <v>39</v>
      </c>
      <c r="Y200" s="43" t="s">
        <v>39</v>
      </c>
      <c r="Z200" s="10">
        <v>40</v>
      </c>
      <c r="AA200" s="43" t="s">
        <v>367</v>
      </c>
      <c r="AB200" s="29" cm="1">
        <f t="array" ref="AB200">IF(R200="",IF(Q200="",0,(_xlfn.IFS(Q200=0.01,0.67,Q200=0.015,1,Q200=0.015,1.33,Q200=0.02,1.67,Q200=0.025,2,Q200=0.03,2.33,Q200=0.035,2.67,Q200=0.04,3)+IF(J200&lt;=0.03,"0.33",0))),(_xlfn.IFS(R200=0.01,0.67,R200=0.015,1,R200=0.015,1.33,R200=0.02,1.67,R200=0.025,2,R200=0.03,2.33,R200=0.035,2.67,R200=0.04,3)+IF(J200&lt;=0.03,"0.33",0)))</f>
        <v>2.66</v>
      </c>
      <c r="AC200" s="29">
        <f t="shared" si="5"/>
        <v>2.3502020202020204</v>
      </c>
      <c r="AD200" s="20" t="e">
        <f>VLOOKUP(F200,铝耗2026年!$A$2:$B$5000,2,0)</f>
        <v>#N/A</v>
      </c>
      <c r="AE200" s="20" t="e">
        <f>VLOOKUP(F200,铝耗2025年!$A$2:$B$5000,2,0)</f>
        <v>#N/A</v>
      </c>
      <c r="AF200" s="20">
        <v>2.2000000000000002</v>
      </c>
    </row>
    <row r="201" spans="1:32" hidden="1" x14ac:dyDescent="0.3">
      <c r="A201" s="7">
        <v>198</v>
      </c>
      <c r="B201" s="10" t="s">
        <v>364</v>
      </c>
      <c r="C201" s="10" t="s">
        <v>37</v>
      </c>
      <c r="D201" s="10">
        <v>5</v>
      </c>
      <c r="E201" s="10">
        <v>18</v>
      </c>
      <c r="F201" s="10" t="s">
        <v>368</v>
      </c>
      <c r="G201" s="39" t="s">
        <v>366</v>
      </c>
      <c r="H201" s="10">
        <v>1524</v>
      </c>
      <c r="I201" s="40">
        <v>7.0000000000000007E-2</v>
      </c>
      <c r="J201" s="41">
        <v>0.1</v>
      </c>
      <c r="K201" s="41">
        <v>1.05</v>
      </c>
      <c r="L201" s="40">
        <v>1.4999999999999999E-2</v>
      </c>
      <c r="M201" s="40">
        <v>5.0000000000000001E-3</v>
      </c>
      <c r="N201" s="40" t="s">
        <v>39</v>
      </c>
      <c r="O201" s="40" t="s">
        <v>39</v>
      </c>
      <c r="P201" s="40" t="s">
        <v>39</v>
      </c>
      <c r="Q201" s="40" t="s">
        <v>39</v>
      </c>
      <c r="R201" s="40">
        <v>0.03</v>
      </c>
      <c r="S201" s="42" t="s">
        <v>39</v>
      </c>
      <c r="T201" s="41"/>
      <c r="U201" s="41"/>
      <c r="V201" s="41"/>
      <c r="W201" s="41"/>
      <c r="X201" s="42" t="s">
        <v>39</v>
      </c>
      <c r="Y201" s="43" t="s">
        <v>39</v>
      </c>
      <c r="Z201" s="10">
        <v>40</v>
      </c>
      <c r="AA201" s="43" t="s">
        <v>367</v>
      </c>
      <c r="AB201" s="29" cm="1">
        <f t="array" ref="AB201">IF(R201="",IF(Q201="",0,(_xlfn.IFS(Q201=0.01,0.67,Q201=0.015,1,Q201=0.015,1.33,Q201=0.02,1.67,Q201=0.025,2,Q201=0.03,2.33,Q201=0.035,2.67,Q201=0.04,3)+IF(J201&lt;=0.03,"0.33",0))),(_xlfn.IFS(R201=0.01,0.67,R201=0.015,1,R201=0.015,1.33,R201=0.02,1.67,R201=0.025,2,R201=0.03,2.33,R201=0.035,2.67,R201=0.04,3)+IF(J201&lt;=0.03,"0.33",0)))</f>
        <v>2.33</v>
      </c>
      <c r="AC201" s="29">
        <f t="shared" si="5"/>
        <v>2.0202020202020203</v>
      </c>
      <c r="AD201" s="20" t="e">
        <f>VLOOKUP(F201,铝耗2026年!$A$2:$B$5000,2,0)</f>
        <v>#N/A</v>
      </c>
      <c r="AE201" s="20">
        <f>VLOOKUP(F201,铝耗2025年!$A$2:$B$5000,2,0)</f>
        <v>2.2000000000000002</v>
      </c>
      <c r="AF201" s="20">
        <v>2.2000000000000002</v>
      </c>
    </row>
    <row r="202" spans="1:32" hidden="1" x14ac:dyDescent="0.3">
      <c r="A202" s="7">
        <v>199</v>
      </c>
      <c r="B202" s="10" t="s">
        <v>369</v>
      </c>
      <c r="C202" s="10" t="s">
        <v>34</v>
      </c>
      <c r="D202" s="10">
        <v>4</v>
      </c>
      <c r="E202" s="10">
        <v>6</v>
      </c>
      <c r="F202" s="10" t="s">
        <v>370</v>
      </c>
      <c r="G202" s="10" t="s">
        <v>371</v>
      </c>
      <c r="H202" s="10">
        <v>1523.8</v>
      </c>
      <c r="I202" s="10">
        <v>7.0000000000000007E-2</v>
      </c>
      <c r="J202" s="10">
        <v>0.03</v>
      </c>
      <c r="K202" s="10">
        <v>1</v>
      </c>
      <c r="L202" s="10">
        <v>1.4999999999999999E-2</v>
      </c>
      <c r="M202" s="10">
        <v>5.0000000000000001E-3</v>
      </c>
      <c r="N202" s="10" t="s">
        <v>39</v>
      </c>
      <c r="O202" s="10" t="s">
        <v>39</v>
      </c>
      <c r="P202" s="10"/>
      <c r="Q202" s="10">
        <v>2.5000000000000001E-2</v>
      </c>
      <c r="R202" s="10" t="s">
        <v>39</v>
      </c>
      <c r="S202" s="10" t="s">
        <v>39</v>
      </c>
      <c r="T202" s="10">
        <v>0</v>
      </c>
      <c r="U202" s="10">
        <v>0</v>
      </c>
      <c r="V202" s="10">
        <v>0</v>
      </c>
      <c r="W202" s="10" t="s">
        <v>39</v>
      </c>
      <c r="X202" s="10" t="s">
        <v>39</v>
      </c>
      <c r="Y202" s="10" t="s">
        <v>39</v>
      </c>
      <c r="Z202" s="10">
        <v>40</v>
      </c>
      <c r="AA202" s="43"/>
      <c r="AB202" s="29" cm="1">
        <f t="array" ref="AB202">IF(R202="",IF(Q202="",0,(_xlfn.IFS(Q202=0.01,0.67,Q202=0.015,1,Q202=0.015,1.33,Q202=0.02,1.67,Q202=0.025,2,Q202=0.03,2.33,Q202=0.035,2.67,Q202=0.04,3)+IF(J202&lt;=0.03,"0.33",0))),(_xlfn.IFS(R202=0.01,0.67,R202=0.015,1,R202=0.015,1.33,R202=0.02,1.67,R202=0.025,2,R202=0.03,2.33,R202=0.035,2.67,R202=0.04,3)+IF(J202&lt;=0.03,"0.33",0)))</f>
        <v>2.33</v>
      </c>
      <c r="AC202" s="29">
        <f t="shared" si="5"/>
        <v>2.0135016835016835</v>
      </c>
      <c r="AD202" s="20" t="e">
        <f>VLOOKUP(F202,铝耗2026年!$A$2:$B$5000,2,0)</f>
        <v>#N/A</v>
      </c>
      <c r="AE202" s="20" t="e">
        <f>VLOOKUP(F202,铝耗2025年!$A$2:$B$5000,2,0)</f>
        <v>#N/A</v>
      </c>
      <c r="AF202" s="20">
        <v>2.2000000000000002</v>
      </c>
    </row>
    <row r="203" spans="1:32" hidden="1" x14ac:dyDescent="0.3">
      <c r="A203" s="7">
        <v>200</v>
      </c>
      <c r="B203" s="10" t="s">
        <v>369</v>
      </c>
      <c r="C203" s="10" t="s">
        <v>37</v>
      </c>
      <c r="D203" s="10">
        <v>6.01</v>
      </c>
      <c r="E203" s="10">
        <v>12</v>
      </c>
      <c r="F203" s="10" t="s">
        <v>372</v>
      </c>
      <c r="G203" s="10" t="s">
        <v>371</v>
      </c>
      <c r="H203" s="10">
        <v>1522.9</v>
      </c>
      <c r="I203" s="10">
        <v>7.0000000000000007E-2</v>
      </c>
      <c r="J203" s="10">
        <v>0.08</v>
      </c>
      <c r="K203" s="10">
        <v>1.05</v>
      </c>
      <c r="L203" s="10">
        <v>1.4999999999999999E-2</v>
      </c>
      <c r="M203" s="10">
        <v>5.0000000000000001E-3</v>
      </c>
      <c r="N203" s="10" t="s">
        <v>39</v>
      </c>
      <c r="O203" s="10" t="s">
        <v>39</v>
      </c>
      <c r="P203" s="10">
        <v>1.6E-2</v>
      </c>
      <c r="Q203" s="10">
        <v>2.5000000000000001E-2</v>
      </c>
      <c r="R203" s="10" t="s">
        <v>39</v>
      </c>
      <c r="S203" s="10" t="s">
        <v>39</v>
      </c>
      <c r="T203" s="10">
        <v>0</v>
      </c>
      <c r="U203" s="10">
        <v>0</v>
      </c>
      <c r="V203" s="10">
        <v>0</v>
      </c>
      <c r="W203" s="10" t="s">
        <v>39</v>
      </c>
      <c r="X203" s="10" t="s">
        <v>39</v>
      </c>
      <c r="Y203" s="10" t="s">
        <v>39</v>
      </c>
      <c r="Z203" s="10">
        <v>40</v>
      </c>
      <c r="AA203" s="43"/>
      <c r="AB203" s="29" cm="1">
        <f t="array" ref="AB203">IF(R203="",IF(Q203="",0,(_xlfn.IFS(Q203=0.01,0.67,Q203=0.015,1,Q203=0.015,1.33,Q203=0.02,1.67,Q203=0.025,2,Q203=0.03,2.33,Q203=0.035,2.67,Q203=0.04,3)+IF(J203&lt;=0.03,"0.33",0))),(_xlfn.IFS(R203=0.01,0.67,R203=0.015,1,R203=0.015,1.33,R203=0.02,1.67,R203=0.025,2,R203=0.03,2.33,R203=0.035,2.67,R203=0.04,3)+IF(J203&lt;=0.03,"0.33",0)))</f>
        <v>2</v>
      </c>
      <c r="AC203" s="29">
        <f t="shared" si="5"/>
        <v>1.6835016835016836</v>
      </c>
      <c r="AD203" s="20">
        <f>VLOOKUP(F203,铝耗2026年!$A$2:$B$5000,2,0)</f>
        <v>2.0161054184321099</v>
      </c>
      <c r="AE203" s="20" t="e">
        <f>VLOOKUP(F203,铝耗2025年!$A$2:$B$5000,2,0)</f>
        <v>#N/A</v>
      </c>
      <c r="AF203" s="20">
        <v>2.2000000000000002</v>
      </c>
    </row>
    <row r="204" spans="1:32" hidden="1" x14ac:dyDescent="0.3">
      <c r="A204" s="7">
        <v>201</v>
      </c>
      <c r="B204" s="10" t="s">
        <v>369</v>
      </c>
      <c r="C204" s="10" t="s">
        <v>106</v>
      </c>
      <c r="D204" s="10">
        <v>12.01</v>
      </c>
      <c r="E204" s="10">
        <v>20</v>
      </c>
      <c r="F204" s="10" t="s">
        <v>373</v>
      </c>
      <c r="G204" s="10" t="s">
        <v>371</v>
      </c>
      <c r="H204" s="10">
        <v>1522.9</v>
      </c>
      <c r="I204" s="10">
        <v>7.0000000000000007E-2</v>
      </c>
      <c r="J204" s="10">
        <v>0.08</v>
      </c>
      <c r="K204" s="10">
        <v>1.1000000000000001</v>
      </c>
      <c r="L204" s="10">
        <v>1.4999999999999999E-2</v>
      </c>
      <c r="M204" s="10">
        <v>5.0000000000000001E-3</v>
      </c>
      <c r="N204" s="10" t="s">
        <v>39</v>
      </c>
      <c r="O204" s="10" t="s">
        <v>39</v>
      </c>
      <c r="P204" s="10">
        <v>1.6E-2</v>
      </c>
      <c r="Q204" s="10">
        <v>2.5000000000000001E-2</v>
      </c>
      <c r="R204" s="10" t="s">
        <v>39</v>
      </c>
      <c r="S204" s="10" t="s">
        <v>39</v>
      </c>
      <c r="T204" s="10">
        <v>0</v>
      </c>
      <c r="U204" s="10">
        <v>0</v>
      </c>
      <c r="V204" s="10">
        <v>0</v>
      </c>
      <c r="W204" s="10" t="s">
        <v>39</v>
      </c>
      <c r="X204" s="10" t="s">
        <v>39</v>
      </c>
      <c r="Y204" s="10" t="s">
        <v>39</v>
      </c>
      <c r="Z204" s="10">
        <v>40</v>
      </c>
      <c r="AA204" s="43"/>
      <c r="AB204" s="29" cm="1">
        <f t="array" ref="AB204">IF(R204="",IF(Q204="",0,(_xlfn.IFS(Q204=0.01,0.67,Q204=0.015,1,Q204=0.015,1.33,Q204=0.02,1.67,Q204=0.025,2,Q204=0.03,2.33,Q204=0.035,2.67,Q204=0.04,3)+IF(J204&lt;=0.03,"0.33",0))),(_xlfn.IFS(R204=0.01,0.67,R204=0.015,1,R204=0.015,1.33,R204=0.02,1.67,R204=0.025,2,R204=0.03,2.33,R204=0.035,2.67,R204=0.04,3)+IF(J204&lt;=0.03,"0.33",0)))</f>
        <v>2</v>
      </c>
      <c r="AC204" s="29">
        <f t="shared" si="5"/>
        <v>1.6835016835016836</v>
      </c>
      <c r="AD204" s="20" t="e">
        <f>VLOOKUP(F204,铝耗2026年!$A$2:$B$5000,2,0)</f>
        <v>#N/A</v>
      </c>
      <c r="AE204" s="20" t="e">
        <f>VLOOKUP(F204,铝耗2025年!$A$2:$B$5000,2,0)</f>
        <v>#N/A</v>
      </c>
      <c r="AF204" s="20">
        <v>2.2000000000000002</v>
      </c>
    </row>
    <row r="205" spans="1:32" hidden="1" x14ac:dyDescent="0.3">
      <c r="A205" s="7">
        <v>202</v>
      </c>
      <c r="B205" s="10" t="s">
        <v>374</v>
      </c>
      <c r="C205" s="10" t="s">
        <v>34</v>
      </c>
      <c r="D205" s="10">
        <v>2</v>
      </c>
      <c r="E205" s="10">
        <v>5.99</v>
      </c>
      <c r="F205" s="10" t="s">
        <v>375</v>
      </c>
      <c r="G205" s="39" t="s">
        <v>376</v>
      </c>
      <c r="H205" s="10">
        <v>1525</v>
      </c>
      <c r="I205" s="40">
        <v>7.0000000000000007E-2</v>
      </c>
      <c r="J205" s="41">
        <v>0.08</v>
      </c>
      <c r="K205" s="41">
        <v>0.75</v>
      </c>
      <c r="L205" s="40">
        <v>1.4999999999999999E-2</v>
      </c>
      <c r="M205" s="40">
        <v>5.0000000000000001E-3</v>
      </c>
      <c r="N205" s="40" t="s">
        <v>39</v>
      </c>
      <c r="O205" s="40">
        <v>0.01</v>
      </c>
      <c r="P205" s="40">
        <v>8.0000000000000002E-3</v>
      </c>
      <c r="Q205" s="40">
        <v>2.5000000000000001E-2</v>
      </c>
      <c r="R205" s="40" t="s">
        <v>39</v>
      </c>
      <c r="S205" s="42" t="s">
        <v>39</v>
      </c>
      <c r="T205" s="41"/>
      <c r="U205" s="41"/>
      <c r="V205" s="41"/>
      <c r="W205" s="41"/>
      <c r="X205" s="42" t="s">
        <v>39</v>
      </c>
      <c r="Y205" s="43" t="s">
        <v>39</v>
      </c>
      <c r="Z205" s="10">
        <v>45</v>
      </c>
      <c r="AA205" s="43"/>
      <c r="AB205" s="29" cm="1">
        <f t="array" ref="AB205">IF(R205="",IF(Q205="",0,(_xlfn.IFS(Q205=0.01,0.67,Q205=0.015,1,Q205=0.015,1.33,Q205=0.02,1.67,Q205=0.025,2,Q205=0.03,2.33,Q205=0.035,2.67,Q205=0.04,3)+IF(J205&lt;=0.03,"0.33",0))),(_xlfn.IFS(R205=0.01,0.67,R205=0.015,1,R205=0.015,1.33,R205=0.02,1.67,R205=0.025,2,R205=0.03,2.33,R205=0.035,2.67,R205=0.04,3)+IF(J205&lt;=0.03,"0.33",0)))</f>
        <v>2</v>
      </c>
      <c r="AC205" s="29">
        <f t="shared" si="5"/>
        <v>1.6835016835016836</v>
      </c>
      <c r="AD205" s="20">
        <f>VLOOKUP(F205,铝耗2026年!$A$2:$B$5000,2,0)</f>
        <v>2.1633804747085801</v>
      </c>
      <c r="AE205" s="20">
        <f>VLOOKUP(F205,铝耗2025年!$A$2:$B$5000,2,0)</f>
        <v>2.2000000000000002</v>
      </c>
      <c r="AF205" s="20">
        <f>MAX(AD205:AE205)</f>
        <v>2.2000000000000002</v>
      </c>
    </row>
    <row r="206" spans="1:32" hidden="1" x14ac:dyDescent="0.3">
      <c r="A206" s="7">
        <v>203</v>
      </c>
      <c r="B206" s="10" t="s">
        <v>374</v>
      </c>
      <c r="C206" s="10" t="s">
        <v>37</v>
      </c>
      <c r="D206" s="10">
        <v>6</v>
      </c>
      <c r="E206" s="10">
        <v>14</v>
      </c>
      <c r="F206" s="10" t="s">
        <v>377</v>
      </c>
      <c r="G206" s="39" t="s">
        <v>376</v>
      </c>
      <c r="H206" s="10">
        <v>1525</v>
      </c>
      <c r="I206" s="40">
        <v>7.0000000000000007E-2</v>
      </c>
      <c r="J206" s="41">
        <v>0.08</v>
      </c>
      <c r="K206" s="41">
        <v>0.85</v>
      </c>
      <c r="L206" s="40">
        <v>1.4999999999999999E-2</v>
      </c>
      <c r="M206" s="40">
        <v>5.0000000000000001E-3</v>
      </c>
      <c r="N206" s="40" t="s">
        <v>39</v>
      </c>
      <c r="O206" s="40">
        <v>0.01</v>
      </c>
      <c r="P206" s="40">
        <v>8.0000000000000002E-3</v>
      </c>
      <c r="Q206" s="40">
        <v>2.5000000000000001E-2</v>
      </c>
      <c r="R206" s="40" t="s">
        <v>39</v>
      </c>
      <c r="S206" s="42" t="s">
        <v>39</v>
      </c>
      <c r="T206" s="41"/>
      <c r="U206" s="41"/>
      <c r="V206" s="41"/>
      <c r="W206" s="41"/>
      <c r="X206" s="42" t="s">
        <v>39</v>
      </c>
      <c r="Y206" s="43" t="s">
        <v>39</v>
      </c>
      <c r="Z206" s="10">
        <v>45</v>
      </c>
      <c r="AA206" s="43"/>
      <c r="AB206" s="29" cm="1">
        <f t="array" ref="AB206">IF(R206="",IF(Q206="",0,(_xlfn.IFS(Q206=0.01,0.67,Q206=0.015,1,Q206=0.015,1.33,Q206=0.02,1.67,Q206=0.025,2,Q206=0.03,2.33,Q206=0.035,2.67,Q206=0.04,3)+IF(J206&lt;=0.03,"0.33",0))),(_xlfn.IFS(R206=0.01,0.67,R206=0.015,1,R206=0.015,1.33,R206=0.02,1.67,R206=0.025,2,R206=0.03,2.33,R206=0.035,2.67,R206=0.04,3)+IF(J206&lt;=0.03,"0.33",0)))</f>
        <v>2</v>
      </c>
      <c r="AC206" s="29">
        <f t="shared" si="5"/>
        <v>1.6835016835016836</v>
      </c>
      <c r="AD206" s="20" t="e">
        <f>VLOOKUP(F206,铝耗2026年!$A$2:$B$5000,2,0)</f>
        <v>#N/A</v>
      </c>
      <c r="AE206" s="20" t="e">
        <f>VLOOKUP(F206,铝耗2025年!$A$2:$B$5000,2,0)</f>
        <v>#N/A</v>
      </c>
      <c r="AF206" s="20">
        <v>2.2000000000000002</v>
      </c>
    </row>
    <row r="207" spans="1:32" hidden="1" x14ac:dyDescent="0.3">
      <c r="A207" s="7">
        <v>204</v>
      </c>
      <c r="B207" s="10" t="s">
        <v>378</v>
      </c>
      <c r="C207" s="10" t="s">
        <v>34</v>
      </c>
      <c r="D207" s="10">
        <v>20</v>
      </c>
      <c r="E207" s="10">
        <v>26</v>
      </c>
      <c r="F207" s="10" t="s">
        <v>378</v>
      </c>
      <c r="G207" s="39" t="s">
        <v>379</v>
      </c>
      <c r="H207" s="10">
        <v>1522</v>
      </c>
      <c r="I207" s="40">
        <v>7.0000000000000007E-2</v>
      </c>
      <c r="J207" s="41">
        <v>0.08</v>
      </c>
      <c r="K207" s="41">
        <v>1.25</v>
      </c>
      <c r="L207" s="40">
        <v>0.01</v>
      </c>
      <c r="M207" s="40">
        <v>4.0000000000000001E-3</v>
      </c>
      <c r="N207" s="40"/>
      <c r="O207" s="40">
        <v>1.4999999999999999E-2</v>
      </c>
      <c r="P207" s="40">
        <v>0.01</v>
      </c>
      <c r="Q207" s="40">
        <v>0.03</v>
      </c>
      <c r="R207" s="40" t="s">
        <v>39</v>
      </c>
      <c r="S207" s="42" t="s">
        <v>39</v>
      </c>
      <c r="T207" s="41"/>
      <c r="U207" s="41"/>
      <c r="V207" s="41"/>
      <c r="W207" s="41"/>
      <c r="X207" s="42" t="s">
        <v>39</v>
      </c>
      <c r="Y207" s="43" t="s">
        <v>39</v>
      </c>
      <c r="Z207" s="10">
        <v>45</v>
      </c>
      <c r="AA207" s="43"/>
      <c r="AB207" s="29" cm="1">
        <f t="array" ref="AB207">IF(R207="",IF(Q207="",0,(_xlfn.IFS(Q207=0.01,0.67,Q207=0.015,1,Q207=0.015,1.33,Q207=0.02,1.67,Q207=0.025,2,Q207=0.03,2.33,Q207=0.035,2.67,Q207=0.04,3)+IF(J207&lt;=0.03,"0.33",0))),(_xlfn.IFS(R207=0.01,0.67,R207=0.015,1,R207=0.015,1.33,R207=0.02,1.67,R207=0.025,2,R207=0.03,2.33,R207=0.035,2.67,R207=0.04,3)+IF(J207&lt;=0.03,"0.33",0)))</f>
        <v>2.33</v>
      </c>
      <c r="AC207" s="29">
        <f t="shared" si="5"/>
        <v>2.0202020202020203</v>
      </c>
      <c r="AD207" s="20" t="e">
        <f>VLOOKUP(F207,铝耗2026年!$A$2:$B$5000,2,0)</f>
        <v>#N/A</v>
      </c>
      <c r="AE207" s="20">
        <f>VLOOKUP(F207,铝耗2025年!$A$2:$B$5000,2,0)</f>
        <v>2.2000000000000002</v>
      </c>
      <c r="AF207" s="20">
        <v>2.2000000000000002</v>
      </c>
    </row>
    <row r="208" spans="1:32" hidden="1" x14ac:dyDescent="0.3">
      <c r="A208" s="7">
        <v>205</v>
      </c>
      <c r="B208" s="10" t="s">
        <v>380</v>
      </c>
      <c r="C208" s="10" t="s">
        <v>34</v>
      </c>
      <c r="D208" s="10">
        <v>3</v>
      </c>
      <c r="E208" s="10">
        <v>5.99</v>
      </c>
      <c r="F208" s="10" t="s">
        <v>381</v>
      </c>
      <c r="G208" s="39" t="s">
        <v>382</v>
      </c>
      <c r="H208" s="10">
        <v>1520</v>
      </c>
      <c r="I208" s="40">
        <v>7.4999999999999997E-2</v>
      </c>
      <c r="J208" s="41">
        <v>0.1</v>
      </c>
      <c r="K208" s="41">
        <v>1.5</v>
      </c>
      <c r="L208" s="40">
        <v>0.01</v>
      </c>
      <c r="M208" s="40">
        <v>3.0000000000000001E-3</v>
      </c>
      <c r="N208" s="40" t="s">
        <v>39</v>
      </c>
      <c r="O208" s="40">
        <v>0.05</v>
      </c>
      <c r="P208" s="40">
        <v>1.4999999999999999E-2</v>
      </c>
      <c r="Q208" s="40">
        <v>0.03</v>
      </c>
      <c r="R208" s="40" t="s">
        <v>39</v>
      </c>
      <c r="S208" s="42"/>
      <c r="T208" s="41">
        <v>0.2</v>
      </c>
      <c r="U208" s="41"/>
      <c r="V208" s="41"/>
      <c r="W208" s="41"/>
      <c r="X208" s="42" t="s">
        <v>39</v>
      </c>
      <c r="Y208" s="43" t="s">
        <v>39</v>
      </c>
      <c r="Z208" s="10">
        <v>45</v>
      </c>
      <c r="AA208" s="43"/>
      <c r="AB208" s="29" cm="1">
        <f t="array" ref="AB208">IF(R208="",IF(Q208="",0,(_xlfn.IFS(Q208=0.01,0.67,Q208=0.015,1,Q208=0.015,1.33,Q208=0.02,1.67,Q208=0.025,2,Q208=0.03,2.33,Q208=0.035,2.67,Q208=0.04,3)+IF(J208&lt;=0.03,"0.33",0))),(_xlfn.IFS(R208=0.01,0.67,R208=0.015,1,R208=0.015,1.33,R208=0.02,1.67,R208=0.025,2,R208=0.03,2.33,R208=0.035,2.67,R208=0.04,3)+IF(J208&lt;=0.03,"0.33",0)))</f>
        <v>2.33</v>
      </c>
      <c r="AC208" s="29">
        <f t="shared" si="5"/>
        <v>2.0202020202020203</v>
      </c>
      <c r="AD208" s="20" t="e">
        <f>VLOOKUP(F208,铝耗2026年!$A$2:$B$5000,2,0)</f>
        <v>#N/A</v>
      </c>
      <c r="AE208" s="20">
        <f>VLOOKUP(F208,铝耗2025年!$A$2:$B$5000,2,0)</f>
        <v>1.9</v>
      </c>
      <c r="AF208" s="20">
        <v>2.2000000000000002</v>
      </c>
    </row>
    <row r="209" spans="1:32" hidden="1" x14ac:dyDescent="0.3">
      <c r="A209" s="7">
        <v>206</v>
      </c>
      <c r="B209" s="10" t="s">
        <v>380</v>
      </c>
      <c r="C209" s="10" t="s">
        <v>37</v>
      </c>
      <c r="D209" s="10">
        <v>6</v>
      </c>
      <c r="E209" s="10">
        <v>12</v>
      </c>
      <c r="F209" s="10" t="s">
        <v>383</v>
      </c>
      <c r="G209" s="39" t="s">
        <v>382</v>
      </c>
      <c r="H209" s="10">
        <v>1520</v>
      </c>
      <c r="I209" s="40">
        <v>7.4999999999999997E-2</v>
      </c>
      <c r="J209" s="41">
        <v>0.1</v>
      </c>
      <c r="K209" s="41">
        <v>1.55</v>
      </c>
      <c r="L209" s="40">
        <v>0.01</v>
      </c>
      <c r="M209" s="40">
        <v>3.0000000000000001E-3</v>
      </c>
      <c r="N209" s="40" t="s">
        <v>39</v>
      </c>
      <c r="O209" s="40">
        <v>5.5E-2</v>
      </c>
      <c r="P209" s="40">
        <v>0.02</v>
      </c>
      <c r="Q209" s="40">
        <v>0.03</v>
      </c>
      <c r="R209" s="40" t="s">
        <v>39</v>
      </c>
      <c r="S209" s="42"/>
      <c r="T209" s="41">
        <v>0.2</v>
      </c>
      <c r="U209" s="41"/>
      <c r="V209" s="41"/>
      <c r="W209" s="41"/>
      <c r="X209" s="42" t="s">
        <v>39</v>
      </c>
      <c r="Y209" s="43" t="s">
        <v>39</v>
      </c>
      <c r="Z209" s="10">
        <v>45</v>
      </c>
      <c r="AA209" s="43"/>
      <c r="AB209" s="29" cm="1">
        <f t="array" ref="AB209">IF(R209="",IF(Q209="",0,(_xlfn.IFS(Q209=0.01,0.67,Q209=0.015,1,Q209=0.015,1.33,Q209=0.02,1.67,Q209=0.025,2,Q209=0.03,2.33,Q209=0.035,2.67,Q209=0.04,3)+IF(J209&lt;=0.03,"0.33",0))),(_xlfn.IFS(R209=0.01,0.67,R209=0.015,1,R209=0.015,1.33,R209=0.02,1.67,R209=0.025,2,R209=0.03,2.33,R209=0.035,2.67,R209=0.04,3)+IF(J209&lt;=0.03,"0.33",0)))</f>
        <v>2.33</v>
      </c>
      <c r="AC209" s="29">
        <f t="shared" si="5"/>
        <v>2.0202020202020203</v>
      </c>
      <c r="AD209" s="20" t="e">
        <f>VLOOKUP(F209,铝耗2026年!$A$2:$B$5000,2,0)</f>
        <v>#N/A</v>
      </c>
      <c r="AE209" s="20" t="e">
        <f>VLOOKUP(F209,铝耗2025年!$A$2:$B$5000,2,0)</f>
        <v>#N/A</v>
      </c>
      <c r="AF209" s="20">
        <v>2.2000000000000002</v>
      </c>
    </row>
    <row r="210" spans="1:32" hidden="1" x14ac:dyDescent="0.3">
      <c r="A210" s="7">
        <v>207</v>
      </c>
      <c r="B210" s="10" t="s">
        <v>384</v>
      </c>
      <c r="C210" s="10" t="s">
        <v>34</v>
      </c>
      <c r="D210" s="10">
        <v>3</v>
      </c>
      <c r="E210" s="10">
        <v>5.99</v>
      </c>
      <c r="F210" s="10" t="s">
        <v>384</v>
      </c>
      <c r="G210" s="39" t="s">
        <v>385</v>
      </c>
      <c r="H210" s="10">
        <v>1520</v>
      </c>
      <c r="I210" s="40">
        <v>7.4999999999999997E-2</v>
      </c>
      <c r="J210" s="41">
        <v>0.1</v>
      </c>
      <c r="K210" s="41">
        <v>1.5</v>
      </c>
      <c r="L210" s="40">
        <v>0.01</v>
      </c>
      <c r="M210" s="40">
        <v>3.0000000000000001E-3</v>
      </c>
      <c r="N210" s="40" t="s">
        <v>39</v>
      </c>
      <c r="O210" s="40">
        <v>0.05</v>
      </c>
      <c r="P210" s="40">
        <v>1.4999999999999999E-2</v>
      </c>
      <c r="Q210" s="40">
        <v>0.03</v>
      </c>
      <c r="R210" s="40" t="s">
        <v>39</v>
      </c>
      <c r="S210" s="42"/>
      <c r="T210" s="41">
        <v>0.2</v>
      </c>
      <c r="U210" s="41"/>
      <c r="V210" s="41"/>
      <c r="W210" s="41"/>
      <c r="X210" s="42" t="s">
        <v>39</v>
      </c>
      <c r="Y210" s="43" t="s">
        <v>39</v>
      </c>
      <c r="Z210" s="10">
        <v>45</v>
      </c>
      <c r="AA210" s="43"/>
      <c r="AB210" s="29" cm="1">
        <f t="array" ref="AB210">IF(R210="",IF(Q210="",0,(_xlfn.IFS(Q210=0.01,0.67,Q210=0.015,1,Q210=0.015,1.33,Q210=0.02,1.67,Q210=0.025,2,Q210=0.03,2.33,Q210=0.035,2.67,Q210=0.04,3)+IF(J210&lt;=0.03,"0.33",0))),(_xlfn.IFS(R210=0.01,0.67,R210=0.015,1,R210=0.015,1.33,R210=0.02,1.67,R210=0.025,2,R210=0.03,2.33,R210=0.035,2.67,R210=0.04,3)+IF(J210&lt;=0.03,"0.33",0)))</f>
        <v>2.33</v>
      </c>
      <c r="AC210" s="29">
        <f t="shared" si="5"/>
        <v>2.0202020202020203</v>
      </c>
      <c r="AD210" s="20" t="e">
        <f>VLOOKUP(F210,铝耗2026年!$A$2:$B$5000,2,0)</f>
        <v>#N/A</v>
      </c>
      <c r="AE210" s="20" t="e">
        <f>VLOOKUP(F210,铝耗2025年!$A$2:$B$5000,2,0)</f>
        <v>#N/A</v>
      </c>
      <c r="AF210" s="20">
        <v>2.2000000000000002</v>
      </c>
    </row>
    <row r="211" spans="1:32" hidden="1" x14ac:dyDescent="0.3">
      <c r="A211" s="7">
        <v>208</v>
      </c>
      <c r="B211" s="10" t="s">
        <v>386</v>
      </c>
      <c r="C211" s="10" t="s">
        <v>34</v>
      </c>
      <c r="D211" s="10">
        <v>2</v>
      </c>
      <c r="E211" s="10">
        <v>5.99</v>
      </c>
      <c r="F211" s="10" t="s">
        <v>387</v>
      </c>
      <c r="G211" s="39" t="s">
        <v>388</v>
      </c>
      <c r="H211" s="10">
        <v>1523</v>
      </c>
      <c r="I211" s="40">
        <v>7.0000000000000007E-2</v>
      </c>
      <c r="J211" s="41">
        <v>0.12</v>
      </c>
      <c r="K211" s="41">
        <v>0.9</v>
      </c>
      <c r="L211" s="40">
        <v>1.4999999999999999E-2</v>
      </c>
      <c r="M211" s="40">
        <v>5.0000000000000001E-3</v>
      </c>
      <c r="N211" s="40"/>
      <c r="O211" s="40">
        <v>0.01</v>
      </c>
      <c r="P211" s="40">
        <v>3.2000000000000001E-2</v>
      </c>
      <c r="Q211" s="40">
        <v>2.5000000000000001E-2</v>
      </c>
      <c r="R211" s="40" t="s">
        <v>39</v>
      </c>
      <c r="S211" s="42"/>
      <c r="T211" s="41"/>
      <c r="U211" s="41"/>
      <c r="V211" s="41"/>
      <c r="W211" s="41"/>
      <c r="X211" s="42" t="s">
        <v>39</v>
      </c>
      <c r="Y211" s="43" t="s">
        <v>39</v>
      </c>
      <c r="Z211" s="10">
        <v>40</v>
      </c>
      <c r="AA211" s="43" t="s">
        <v>39</v>
      </c>
      <c r="AB211" s="29" cm="1">
        <f t="array" ref="AB211">IF(R211="",IF(Q211="",0,(_xlfn.IFS(Q211=0.01,0.67,Q211=0.015,1,Q211=0.015,1.33,Q211=0.02,1.67,Q211=0.025,2,Q211=0.03,2.33,Q211=0.035,2.67,Q211=0.04,3)+IF(J211&lt;=0.03,"0.33",0))),(_xlfn.IFS(R211=0.01,0.67,R211=0.015,1,R211=0.015,1.33,R211=0.02,1.67,R211=0.025,2,R211=0.03,2.33,R211=0.035,2.67,R211=0.04,3)+IF(J211&lt;=0.03,"0.33",0)))</f>
        <v>2</v>
      </c>
      <c r="AC211" s="29">
        <f t="shared" si="5"/>
        <v>1.6835016835016836</v>
      </c>
      <c r="AD211" s="20">
        <f>VLOOKUP(F211,铝耗2026年!$A$2:$B$5000,2,0)</f>
        <v>2.12633450389096</v>
      </c>
      <c r="AE211" s="20">
        <f>VLOOKUP(F211,铝耗2025年!$A$2:$B$5000,2,0)</f>
        <v>2.2999999999999998</v>
      </c>
      <c r="AF211" s="20">
        <f t="shared" ref="AF211:AF219" si="6">MAX(AD211:AE211)</f>
        <v>2.2999999999999998</v>
      </c>
    </row>
    <row r="212" spans="1:32" hidden="1" x14ac:dyDescent="0.3">
      <c r="A212" s="7">
        <v>209</v>
      </c>
      <c r="B212" s="10" t="s">
        <v>386</v>
      </c>
      <c r="C212" s="10" t="s">
        <v>37</v>
      </c>
      <c r="D212" s="10">
        <v>6</v>
      </c>
      <c r="E212" s="10">
        <v>14</v>
      </c>
      <c r="F212" s="10" t="s">
        <v>389</v>
      </c>
      <c r="G212" s="39" t="s">
        <v>388</v>
      </c>
      <c r="H212" s="10">
        <v>1523</v>
      </c>
      <c r="I212" s="40">
        <v>7.0000000000000007E-2</v>
      </c>
      <c r="J212" s="41">
        <v>0.12</v>
      </c>
      <c r="K212" s="41">
        <v>1</v>
      </c>
      <c r="L212" s="40">
        <v>1.4999999999999999E-2</v>
      </c>
      <c r="M212" s="40">
        <v>5.0000000000000001E-3</v>
      </c>
      <c r="N212" s="40"/>
      <c r="O212" s="40">
        <v>1.2E-2</v>
      </c>
      <c r="P212" s="40">
        <v>3.5000000000000003E-2</v>
      </c>
      <c r="Q212" s="40">
        <v>2.5000000000000001E-2</v>
      </c>
      <c r="R212" s="40" t="s">
        <v>39</v>
      </c>
      <c r="S212" s="42"/>
      <c r="T212" s="41"/>
      <c r="U212" s="41"/>
      <c r="V212" s="41"/>
      <c r="W212" s="41"/>
      <c r="X212" s="42" t="s">
        <v>39</v>
      </c>
      <c r="Y212" s="43" t="s">
        <v>39</v>
      </c>
      <c r="Z212" s="10">
        <v>40</v>
      </c>
      <c r="AA212" s="43" t="s">
        <v>39</v>
      </c>
      <c r="AB212" s="29" cm="1">
        <f t="array" ref="AB212">IF(R212="",IF(Q212="",0,(_xlfn.IFS(Q212=0.01,0.67,Q212=0.015,1,Q212=0.015,1.33,Q212=0.02,1.67,Q212=0.025,2,Q212=0.03,2.33,Q212=0.035,2.67,Q212=0.04,3)+IF(J212&lt;=0.03,"0.33",0))),(_xlfn.IFS(R212=0.01,0.67,R212=0.015,1,R212=0.015,1.33,R212=0.02,1.67,R212=0.025,2,R212=0.03,2.33,R212=0.035,2.67,R212=0.04,3)+IF(J212&lt;=0.03,"0.33",0)))</f>
        <v>2</v>
      </c>
      <c r="AC212" s="29">
        <f t="shared" si="5"/>
        <v>1.6835016835016836</v>
      </c>
      <c r="AD212" s="20">
        <f>VLOOKUP(F212,铝耗2026年!$A$2:$B$5000,2,0)</f>
        <v>2.05765787652247</v>
      </c>
      <c r="AE212" s="20">
        <f>VLOOKUP(F212,铝耗2025年!$A$2:$B$5000,2,0)</f>
        <v>2.2999999999999998</v>
      </c>
      <c r="AF212" s="20">
        <f t="shared" si="6"/>
        <v>2.2999999999999998</v>
      </c>
    </row>
    <row r="213" spans="1:32" hidden="1" x14ac:dyDescent="0.3">
      <c r="A213" s="7">
        <v>210</v>
      </c>
      <c r="B213" s="10" t="s">
        <v>390</v>
      </c>
      <c r="C213" s="10" t="s">
        <v>34</v>
      </c>
      <c r="D213" s="10">
        <v>2</v>
      </c>
      <c r="E213" s="10">
        <v>5.99</v>
      </c>
      <c r="F213" s="10" t="s">
        <v>391</v>
      </c>
      <c r="G213" s="39" t="s">
        <v>392</v>
      </c>
      <c r="H213" s="10">
        <v>1521</v>
      </c>
      <c r="I213" s="40">
        <v>7.0000000000000007E-2</v>
      </c>
      <c r="J213" s="41">
        <v>0.15</v>
      </c>
      <c r="K213" s="41">
        <v>1.3</v>
      </c>
      <c r="L213" s="40">
        <v>1.4999999999999999E-2</v>
      </c>
      <c r="M213" s="40">
        <v>4.0000000000000001E-3</v>
      </c>
      <c r="N213" s="40"/>
      <c r="O213" s="40">
        <v>1.4999999999999999E-2</v>
      </c>
      <c r="P213" s="40">
        <v>5.5E-2</v>
      </c>
      <c r="Q213" s="40">
        <v>2.5000000000000001E-2</v>
      </c>
      <c r="R213" s="40" t="s">
        <v>39</v>
      </c>
      <c r="S213" s="42">
        <v>2E-3</v>
      </c>
      <c r="T213" s="41"/>
      <c r="U213" s="41"/>
      <c r="V213" s="41"/>
      <c r="W213" s="41"/>
      <c r="X213" s="42" t="s">
        <v>39</v>
      </c>
      <c r="Y213" s="43" t="s">
        <v>39</v>
      </c>
      <c r="Z213" s="10">
        <v>40</v>
      </c>
      <c r="AA213" s="43"/>
      <c r="AB213" s="29" cm="1">
        <f t="array" ref="AB213">IF(R213="",IF(Q213="",0,(_xlfn.IFS(Q213=0.01,0.67,Q213=0.015,1,Q213=0.015,1.33,Q213=0.02,1.67,Q213=0.025,2,Q213=0.03,2.33,Q213=0.035,2.67,Q213=0.04,3)+IF(J213&lt;=0.03,"0.33",0))),(_xlfn.IFS(R213=0.01,0.67,R213=0.015,1,R213=0.015,1.33,R213=0.02,1.67,R213=0.025,2,R213=0.03,2.33,R213=0.035,2.67,R213=0.04,3)+IF(J213&lt;=0.03,"0.33",0)))</f>
        <v>2</v>
      </c>
      <c r="AC213" s="29">
        <f t="shared" si="5"/>
        <v>1.6835016835016836</v>
      </c>
      <c r="AD213" s="20">
        <f>VLOOKUP(F213,铝耗2026年!$A$2:$B$5000,2,0)</f>
        <v>1.9493023068147199</v>
      </c>
      <c r="AE213" s="20">
        <f>VLOOKUP(F213,铝耗2025年!$A$2:$B$5000,2,0)</f>
        <v>2</v>
      </c>
      <c r="AF213" s="20">
        <f t="shared" si="6"/>
        <v>2</v>
      </c>
    </row>
    <row r="214" spans="1:32" hidden="1" x14ac:dyDescent="0.3">
      <c r="A214" s="7">
        <v>211</v>
      </c>
      <c r="B214" s="10" t="s">
        <v>390</v>
      </c>
      <c r="C214" s="10" t="s">
        <v>37</v>
      </c>
      <c r="D214" s="10">
        <v>6</v>
      </c>
      <c r="E214" s="10">
        <v>14</v>
      </c>
      <c r="F214" s="10" t="s">
        <v>393</v>
      </c>
      <c r="G214" s="39" t="s">
        <v>392</v>
      </c>
      <c r="H214" s="10">
        <v>1521</v>
      </c>
      <c r="I214" s="40">
        <v>7.0000000000000007E-2</v>
      </c>
      <c r="J214" s="41">
        <v>0.15</v>
      </c>
      <c r="K214" s="41">
        <v>1.35</v>
      </c>
      <c r="L214" s="40">
        <v>1.4999999999999999E-2</v>
      </c>
      <c r="M214" s="40">
        <v>4.0000000000000001E-3</v>
      </c>
      <c r="N214" s="40"/>
      <c r="O214" s="40">
        <v>1.7999999999999999E-2</v>
      </c>
      <c r="P214" s="40">
        <v>6.5000000000000002E-2</v>
      </c>
      <c r="Q214" s="40">
        <v>2.5000000000000001E-2</v>
      </c>
      <c r="R214" s="40" t="s">
        <v>39</v>
      </c>
      <c r="S214" s="42">
        <v>2E-3</v>
      </c>
      <c r="T214" s="41"/>
      <c r="U214" s="41"/>
      <c r="V214" s="41"/>
      <c r="W214" s="41"/>
      <c r="X214" s="42" t="s">
        <v>39</v>
      </c>
      <c r="Y214" s="43" t="s">
        <v>39</v>
      </c>
      <c r="Z214" s="10">
        <v>40</v>
      </c>
      <c r="AA214" s="43"/>
      <c r="AB214" s="29" cm="1">
        <f t="array" ref="AB214">IF(R214="",IF(Q214="",0,(_xlfn.IFS(Q214=0.01,0.67,Q214=0.015,1,Q214=0.015,1.33,Q214=0.02,1.67,Q214=0.025,2,Q214=0.03,2.33,Q214=0.035,2.67,Q214=0.04,3)+IF(J214&lt;=0.03,"0.33",0))),(_xlfn.IFS(R214=0.01,0.67,R214=0.015,1,R214=0.015,1.33,R214=0.02,1.67,R214=0.025,2,R214=0.03,2.33,R214=0.035,2.67,R214=0.04,3)+IF(J214&lt;=0.03,"0.33",0)))</f>
        <v>2</v>
      </c>
      <c r="AC214" s="29">
        <f t="shared" si="5"/>
        <v>1.6835016835016836</v>
      </c>
      <c r="AD214" s="20">
        <f>VLOOKUP(F214,铝耗2026年!$A$2:$B$5000,2,0)</f>
        <v>1.96401053281692</v>
      </c>
      <c r="AE214" s="20">
        <f>VLOOKUP(F214,铝耗2025年!$A$2:$B$5000,2,0)</f>
        <v>2</v>
      </c>
      <c r="AF214" s="20">
        <f t="shared" si="6"/>
        <v>2</v>
      </c>
    </row>
    <row r="215" spans="1:32" x14ac:dyDescent="0.3">
      <c r="A215" s="7">
        <v>212</v>
      </c>
      <c r="B215" s="10" t="s">
        <v>394</v>
      </c>
      <c r="C215" s="10" t="s">
        <v>34</v>
      </c>
      <c r="D215" s="10">
        <v>2</v>
      </c>
      <c r="E215" s="10">
        <v>4</v>
      </c>
      <c r="F215" s="10" t="s">
        <v>395</v>
      </c>
      <c r="G215" s="39" t="s">
        <v>396</v>
      </c>
      <c r="H215" s="10">
        <v>1521</v>
      </c>
      <c r="I215" s="40">
        <v>7.0000000000000007E-2</v>
      </c>
      <c r="J215" s="41">
        <v>0.1</v>
      </c>
      <c r="K215" s="41">
        <v>1.35</v>
      </c>
      <c r="L215" s="40">
        <v>1.4999999999999999E-2</v>
      </c>
      <c r="M215" s="40">
        <v>4.0000000000000001E-3</v>
      </c>
      <c r="N215" s="40" t="s">
        <v>39</v>
      </c>
      <c r="O215" s="40">
        <v>2.5000000000000001E-2</v>
      </c>
      <c r="P215" s="40">
        <v>0.09</v>
      </c>
      <c r="Q215" s="40">
        <v>0.03</v>
      </c>
      <c r="R215" s="40" t="s">
        <v>39</v>
      </c>
      <c r="S215" s="42">
        <v>2E-3</v>
      </c>
      <c r="T215" s="41"/>
      <c r="U215" s="41"/>
      <c r="V215" s="41"/>
      <c r="W215" s="41"/>
      <c r="X215" s="42" t="s">
        <v>39</v>
      </c>
      <c r="Y215" s="43" t="s">
        <v>39</v>
      </c>
      <c r="Z215" s="10">
        <v>40</v>
      </c>
      <c r="AA215" s="43" t="s">
        <v>39</v>
      </c>
      <c r="AB215" s="29" cm="1">
        <f t="array" ref="AB215">IF(R215="",IF(Q215="",0,(_xlfn.IFS(Q215=0.01,0.67,Q215=0.015,1,Q215=0.015,1.33,Q215=0.02,1.67,Q215=0.025,2,Q215=0.03,2.33,Q215=0.035,2.67,Q215=0.04,3)+IF(J215&lt;=0.03,"0.33",0))),(_xlfn.IFS(R215=0.01,0.67,R215=0.015,1,R215=0.015,1.33,R215=0.02,1.67,R215=0.025,2,R215=0.03,2.33,R215=0.035,2.67,R215=0.04,3)+IF(J215&lt;=0.03,"0.33",0)))</f>
        <v>2.33</v>
      </c>
      <c r="AC215" s="29">
        <f t="shared" si="5"/>
        <v>2.0202020202020203</v>
      </c>
      <c r="AD215" s="20">
        <f>VLOOKUP(F215,铝耗2026年!$A$2:$B$5000,2,0)</f>
        <v>2.7050542187728599</v>
      </c>
      <c r="AE215" s="20">
        <f>VLOOKUP(F215,铝耗2025年!$A$2:$B$5000,2,0)</f>
        <v>2.2000000000000002</v>
      </c>
      <c r="AF215" s="20">
        <f t="shared" si="6"/>
        <v>2.7050542187728599</v>
      </c>
    </row>
    <row r="216" spans="1:32" hidden="1" x14ac:dyDescent="0.3">
      <c r="A216" s="7">
        <v>213</v>
      </c>
      <c r="B216" s="10" t="s">
        <v>394</v>
      </c>
      <c r="C216" s="10" t="s">
        <v>37</v>
      </c>
      <c r="D216" s="10">
        <v>4.01</v>
      </c>
      <c r="E216" s="10">
        <v>6</v>
      </c>
      <c r="F216" s="10" t="s">
        <v>397</v>
      </c>
      <c r="G216" s="39" t="s">
        <v>396</v>
      </c>
      <c r="H216" s="10">
        <v>1521</v>
      </c>
      <c r="I216" s="40">
        <v>7.0000000000000007E-2</v>
      </c>
      <c r="J216" s="41">
        <v>0.14000000000000001</v>
      </c>
      <c r="K216" s="41">
        <v>1.45</v>
      </c>
      <c r="L216" s="40">
        <v>1.4999999999999999E-2</v>
      </c>
      <c r="M216" s="40">
        <v>4.0000000000000001E-3</v>
      </c>
      <c r="N216" s="40" t="s">
        <v>39</v>
      </c>
      <c r="O216" s="40">
        <v>0.03</v>
      </c>
      <c r="P216" s="40">
        <v>9.5000000000000001E-2</v>
      </c>
      <c r="Q216" s="40">
        <v>0.03</v>
      </c>
      <c r="R216" s="40" t="s">
        <v>39</v>
      </c>
      <c r="S216" s="42">
        <v>2E-3</v>
      </c>
      <c r="T216" s="41"/>
      <c r="U216" s="41"/>
      <c r="V216" s="41"/>
      <c r="W216" s="41"/>
      <c r="X216" s="42" t="s">
        <v>39</v>
      </c>
      <c r="Y216" s="43" t="s">
        <v>39</v>
      </c>
      <c r="Z216" s="10">
        <v>40</v>
      </c>
      <c r="AA216" s="43" t="s">
        <v>39</v>
      </c>
      <c r="AB216" s="29" cm="1">
        <f t="array" ref="AB216">IF(R216="",IF(Q216="",0,(_xlfn.IFS(Q216=0.01,0.67,Q216=0.015,1,Q216=0.015,1.33,Q216=0.02,1.67,Q216=0.025,2,Q216=0.03,2.33,Q216=0.035,2.67,Q216=0.04,3)+IF(J216&lt;=0.03,"0.33",0))),(_xlfn.IFS(R216=0.01,0.67,R216=0.015,1,R216=0.015,1.33,R216=0.02,1.67,R216=0.025,2,R216=0.03,2.33,R216=0.035,2.67,R216=0.04,3)+IF(J216&lt;=0.03,"0.33",0)))</f>
        <v>2.33</v>
      </c>
      <c r="AC216" s="29">
        <f t="shared" si="5"/>
        <v>2.0202020202020203</v>
      </c>
      <c r="AD216" s="20">
        <f>VLOOKUP(F216,铝耗2026年!$A$2:$B$5000,2,0)</f>
        <v>1.9096194486290099</v>
      </c>
      <c r="AE216" s="20">
        <f>VLOOKUP(F216,铝耗2025年!$A$2:$B$5000,2,0)</f>
        <v>2.2000000000000002</v>
      </c>
      <c r="AF216" s="20">
        <f t="shared" si="6"/>
        <v>2.2000000000000002</v>
      </c>
    </row>
    <row r="217" spans="1:32" hidden="1" x14ac:dyDescent="0.3">
      <c r="A217" s="7">
        <v>214</v>
      </c>
      <c r="B217" s="10" t="s">
        <v>394</v>
      </c>
      <c r="C217" s="10" t="s">
        <v>106</v>
      </c>
      <c r="D217" s="10">
        <v>6.01</v>
      </c>
      <c r="E217" s="10">
        <v>14</v>
      </c>
      <c r="F217" s="10" t="s">
        <v>398</v>
      </c>
      <c r="G217" s="39" t="s">
        <v>396</v>
      </c>
      <c r="H217" s="10">
        <v>1521</v>
      </c>
      <c r="I217" s="40">
        <v>7.0000000000000007E-2</v>
      </c>
      <c r="J217" s="41">
        <v>0.14000000000000001</v>
      </c>
      <c r="K217" s="41">
        <v>1.5</v>
      </c>
      <c r="L217" s="40">
        <v>1.4999999999999999E-2</v>
      </c>
      <c r="M217" s="40">
        <v>4.0000000000000001E-3</v>
      </c>
      <c r="N217" s="40" t="s">
        <v>39</v>
      </c>
      <c r="O217" s="40">
        <v>3.5000000000000003E-2</v>
      </c>
      <c r="P217" s="40">
        <v>0.105</v>
      </c>
      <c r="Q217" s="40">
        <v>0.03</v>
      </c>
      <c r="R217" s="40" t="s">
        <v>39</v>
      </c>
      <c r="S217" s="42">
        <v>2E-3</v>
      </c>
      <c r="T217" s="41"/>
      <c r="U217" s="41"/>
      <c r="V217" s="41"/>
      <c r="W217" s="41"/>
      <c r="X217" s="42" t="s">
        <v>39</v>
      </c>
      <c r="Y217" s="43" t="s">
        <v>39</v>
      </c>
      <c r="Z217" s="10">
        <v>40</v>
      </c>
      <c r="AA217" s="43" t="s">
        <v>39</v>
      </c>
      <c r="AB217" s="29" cm="1">
        <f t="array" ref="AB217">IF(R217="",IF(Q217="",0,(_xlfn.IFS(Q217=0.01,0.67,Q217=0.015,1,Q217=0.015,1.33,Q217=0.02,1.67,Q217=0.025,2,Q217=0.03,2.33,Q217=0.035,2.67,Q217=0.04,3)+IF(J217&lt;=0.03,"0.33",0))),(_xlfn.IFS(R217=0.01,0.67,R217=0.015,1,R217=0.015,1.33,R217=0.02,1.67,R217=0.025,2,R217=0.03,2.33,R217=0.035,2.67,R217=0.04,3)+IF(J217&lt;=0.03,"0.33",0)))</f>
        <v>2.33</v>
      </c>
      <c r="AC217" s="29">
        <f t="shared" si="5"/>
        <v>2.0202020202020203</v>
      </c>
      <c r="AD217" s="20">
        <f>VLOOKUP(F217,铝耗2026年!$A$2:$B$5000,2,0)</f>
        <v>2.2363589656367799</v>
      </c>
      <c r="AE217" s="20">
        <f>VLOOKUP(F217,铝耗2025年!$A$2:$B$5000,2,0)</f>
        <v>2.2000000000000002</v>
      </c>
      <c r="AF217" s="20">
        <f t="shared" si="6"/>
        <v>2.2363589656367799</v>
      </c>
    </row>
    <row r="218" spans="1:32" hidden="1" x14ac:dyDescent="0.3">
      <c r="A218" s="7">
        <v>215</v>
      </c>
      <c r="B218" s="10" t="s">
        <v>399</v>
      </c>
      <c r="C218" s="10" t="s">
        <v>34</v>
      </c>
      <c r="D218" s="10">
        <v>2</v>
      </c>
      <c r="E218" s="10">
        <v>6</v>
      </c>
      <c r="F218" s="10" t="s">
        <v>400</v>
      </c>
      <c r="G218" s="39" t="s">
        <v>401</v>
      </c>
      <c r="H218" s="10">
        <v>1521</v>
      </c>
      <c r="I218" s="40">
        <v>7.0000000000000007E-2</v>
      </c>
      <c r="J218" s="41">
        <v>0.12</v>
      </c>
      <c r="K218" s="41">
        <v>1.4</v>
      </c>
      <c r="L218" s="40">
        <v>1.4999999999999999E-2</v>
      </c>
      <c r="M218" s="40">
        <v>3.0000000000000001E-3</v>
      </c>
      <c r="N218" s="40"/>
      <c r="O218" s="40">
        <v>0.03</v>
      </c>
      <c r="P218" s="40">
        <v>0.1</v>
      </c>
      <c r="Q218" s="40">
        <v>0.03</v>
      </c>
      <c r="R218" s="40"/>
      <c r="S218" s="42">
        <v>2E-3</v>
      </c>
      <c r="T218" s="41"/>
      <c r="U218" s="41"/>
      <c r="V218" s="41"/>
      <c r="W218" s="41"/>
      <c r="X218" s="42" t="s">
        <v>39</v>
      </c>
      <c r="Y218" s="43" t="s">
        <v>39</v>
      </c>
      <c r="Z218" s="10">
        <v>40</v>
      </c>
      <c r="AA218" s="43" t="s">
        <v>39</v>
      </c>
      <c r="AB218" s="29" cm="1">
        <f t="array" ref="AB218">IF(R218="",IF(Q218="",0,(_xlfn.IFS(Q218=0.01,0.67,Q218=0.015,1,Q218=0.015,1.33,Q218=0.02,1.67,Q218=0.025,2,Q218=0.03,2.33,Q218=0.035,2.67,Q218=0.04,3)+IF(J218&lt;=0.03,"0.33",0))),(_xlfn.IFS(R218=0.01,0.67,R218=0.015,1,R218=0.015,1.33,R218=0.02,1.67,R218=0.025,2,R218=0.03,2.33,R218=0.035,2.67,R218=0.04,3)+IF(J218&lt;=0.03,"0.33",0)))</f>
        <v>2.33</v>
      </c>
      <c r="AC218" s="29">
        <f t="shared" si="5"/>
        <v>2.0202020202020203</v>
      </c>
      <c r="AD218" s="20">
        <f>VLOOKUP(F218,铝耗2026年!$A$2:$B$5000,2,0)</f>
        <v>2.16747215367712</v>
      </c>
      <c r="AE218" s="20">
        <f>VLOOKUP(F218,铝耗2025年!$A$2:$B$5000,2,0)</f>
        <v>2.2000000000000002</v>
      </c>
      <c r="AF218" s="20">
        <f t="shared" si="6"/>
        <v>2.2000000000000002</v>
      </c>
    </row>
    <row r="219" spans="1:32" hidden="1" x14ac:dyDescent="0.3">
      <c r="A219" s="7">
        <v>216</v>
      </c>
      <c r="B219" s="10" t="s">
        <v>399</v>
      </c>
      <c r="C219" s="10" t="s">
        <v>37</v>
      </c>
      <c r="D219" s="10">
        <v>6.01</v>
      </c>
      <c r="E219" s="10">
        <v>10</v>
      </c>
      <c r="F219" s="10" t="s">
        <v>402</v>
      </c>
      <c r="G219" s="39" t="s">
        <v>401</v>
      </c>
      <c r="H219" s="10">
        <v>1521</v>
      </c>
      <c r="I219" s="40">
        <v>7.0000000000000007E-2</v>
      </c>
      <c r="J219" s="41">
        <v>0.15</v>
      </c>
      <c r="K219" s="41">
        <v>1.5</v>
      </c>
      <c r="L219" s="40">
        <v>1.4999999999999999E-2</v>
      </c>
      <c r="M219" s="40">
        <v>3.0000000000000001E-3</v>
      </c>
      <c r="N219" s="40"/>
      <c r="O219" s="40">
        <v>3.7999999999999999E-2</v>
      </c>
      <c r="P219" s="40">
        <v>0.1</v>
      </c>
      <c r="Q219" s="40">
        <v>0.03</v>
      </c>
      <c r="R219" s="40"/>
      <c r="S219" s="42">
        <v>2E-3</v>
      </c>
      <c r="T219" s="41"/>
      <c r="U219" s="41"/>
      <c r="V219" s="41"/>
      <c r="W219" s="41"/>
      <c r="X219" s="42" t="s">
        <v>39</v>
      </c>
      <c r="Y219" s="43" t="s">
        <v>39</v>
      </c>
      <c r="Z219" s="10">
        <v>40</v>
      </c>
      <c r="AA219" s="43" t="s">
        <v>39</v>
      </c>
      <c r="AB219" s="29" cm="1">
        <f t="array" ref="AB219">IF(R219="",IF(Q219="",0,(_xlfn.IFS(Q219=0.01,0.67,Q219=0.015,1,Q219=0.015,1.33,Q219=0.02,1.67,Q219=0.025,2,Q219=0.03,2.33,Q219=0.035,2.67,Q219=0.04,3)+IF(J219&lt;=0.03,"0.33",0))),(_xlfn.IFS(R219=0.01,0.67,R219=0.015,1,R219=0.015,1.33,R219=0.02,1.67,R219=0.025,2,R219=0.03,2.33,R219=0.035,2.67,R219=0.04,3)+IF(J219&lt;=0.03,"0.33",0)))</f>
        <v>2.33</v>
      </c>
      <c r="AC219" s="29">
        <f t="shared" si="5"/>
        <v>2.0202020202020203</v>
      </c>
      <c r="AD219" s="20">
        <f>VLOOKUP(F219,铝耗2026年!$A$2:$B$5000,2,0)</f>
        <v>2.0394424339300299</v>
      </c>
      <c r="AE219" s="20">
        <f>VLOOKUP(F219,铝耗2025年!$A$2:$B$5000,2,0)</f>
        <v>2.2000000000000002</v>
      </c>
      <c r="AF219" s="20">
        <f t="shared" si="6"/>
        <v>2.2000000000000002</v>
      </c>
    </row>
    <row r="220" spans="1:32" hidden="1" x14ac:dyDescent="0.3">
      <c r="A220" s="7">
        <v>217</v>
      </c>
      <c r="B220" s="10" t="s">
        <v>399</v>
      </c>
      <c r="C220" s="10" t="s">
        <v>106</v>
      </c>
      <c r="D220" s="10">
        <v>10.01</v>
      </c>
      <c r="E220" s="10">
        <v>14</v>
      </c>
      <c r="F220" s="10" t="s">
        <v>403</v>
      </c>
      <c r="G220" s="39" t="s">
        <v>401</v>
      </c>
      <c r="H220" s="10">
        <v>1518.7</v>
      </c>
      <c r="I220" s="40">
        <v>0.06</v>
      </c>
      <c r="J220" s="41">
        <v>0.15</v>
      </c>
      <c r="K220" s="41">
        <v>1.7</v>
      </c>
      <c r="L220" s="40">
        <v>0.01</v>
      </c>
      <c r="M220" s="40">
        <v>3.0000000000000001E-3</v>
      </c>
      <c r="N220" s="40"/>
      <c r="O220" s="40">
        <v>4.1000000000000002E-2</v>
      </c>
      <c r="P220" s="40">
        <v>0.09</v>
      </c>
      <c r="Q220" s="40">
        <v>0.03</v>
      </c>
      <c r="R220" s="40"/>
      <c r="S220" s="42">
        <v>2E-3</v>
      </c>
      <c r="T220" s="41"/>
      <c r="U220" s="41"/>
      <c r="V220" s="41"/>
      <c r="W220" s="41"/>
      <c r="X220" s="42"/>
      <c r="Y220" s="43"/>
      <c r="Z220" s="10">
        <v>40</v>
      </c>
      <c r="AA220" s="43"/>
      <c r="AB220" s="29" cm="1">
        <f t="array" ref="AB220">IF(R220="",IF(Q220="",0,(_xlfn.IFS(Q220=0.01,0.67,Q220=0.015,1,Q220=0.015,1.33,Q220=0.02,1.67,Q220=0.025,2,Q220=0.03,2.33,Q220=0.035,2.67,Q220=0.04,3)+IF(J220&lt;=0.03,"0.33",0))),(_xlfn.IFS(R220=0.01,0.67,R220=0.015,1,R220=0.015,1.33,R220=0.02,1.67,R220=0.025,2,R220=0.03,2.33,R220=0.035,2.67,R220=0.04,3)+IF(J220&lt;=0.03,"0.33",0)))</f>
        <v>2.33</v>
      </c>
      <c r="AC220" s="29">
        <f t="shared" si="5"/>
        <v>2.0202020202020203</v>
      </c>
      <c r="AD220" s="20">
        <f>VLOOKUP(F220,铝耗2026年!$A$2:$B$5000,2,0)</f>
        <v>2.0409320146624501</v>
      </c>
      <c r="AE220" s="20" t="e">
        <f>VLOOKUP(F220,铝耗2025年!$A$2:$B$5000,2,0)</f>
        <v>#N/A</v>
      </c>
      <c r="AF220" s="20">
        <v>2.2000000000000002</v>
      </c>
    </row>
    <row r="221" spans="1:32" hidden="1" x14ac:dyDescent="0.3">
      <c r="A221" s="7">
        <v>218</v>
      </c>
      <c r="B221" s="10" t="s">
        <v>404</v>
      </c>
      <c r="C221" s="10" t="s">
        <v>34</v>
      </c>
      <c r="D221" s="10">
        <v>3</v>
      </c>
      <c r="E221" s="10">
        <v>8</v>
      </c>
      <c r="F221" s="10" t="s">
        <v>405</v>
      </c>
      <c r="G221" s="10" t="s">
        <v>406</v>
      </c>
      <c r="H221" s="10">
        <v>1519.3</v>
      </c>
      <c r="I221" s="10">
        <v>7.0000000000000007E-2</v>
      </c>
      <c r="J221" s="10">
        <v>0.08</v>
      </c>
      <c r="K221" s="10">
        <v>1.4</v>
      </c>
      <c r="L221" s="10">
        <v>1.4999999999999999E-2</v>
      </c>
      <c r="M221" s="10">
        <v>3.0000000000000001E-3</v>
      </c>
      <c r="N221" s="10" t="s">
        <v>39</v>
      </c>
      <c r="O221" s="10">
        <v>0.03</v>
      </c>
      <c r="P221" s="10">
        <v>0.1</v>
      </c>
      <c r="Q221" s="10">
        <v>0.03</v>
      </c>
      <c r="R221" s="10" t="s">
        <v>39</v>
      </c>
      <c r="S221" s="10">
        <v>2E-3</v>
      </c>
      <c r="T221" s="10">
        <v>0</v>
      </c>
      <c r="U221" s="10">
        <v>0</v>
      </c>
      <c r="V221" s="10">
        <v>0</v>
      </c>
      <c r="W221" s="10" t="s">
        <v>39</v>
      </c>
      <c r="X221" s="10" t="s">
        <v>39</v>
      </c>
      <c r="Y221" s="10" t="s">
        <v>39</v>
      </c>
      <c r="Z221" s="10">
        <v>40</v>
      </c>
      <c r="AA221" s="43"/>
      <c r="AB221" s="29" cm="1">
        <f t="array" ref="AB221">IF(R221="",IF(Q221="",0,(_xlfn.IFS(Q221=0.01,0.67,Q221=0.015,1,Q221=0.015,1.33,Q221=0.02,1.67,Q221=0.025,2,Q221=0.03,2.33,Q221=0.035,2.67,Q221=0.04,3)+IF(J221&lt;=0.03,"0.33",0))),(_xlfn.IFS(R221=0.01,0.67,R221=0.015,1,R221=0.015,1.33,R221=0.02,1.67,R221=0.025,2,R221=0.03,2.33,R221=0.035,2.67,R221=0.04,3)+IF(J221&lt;=0.03,"0.33",0)))</f>
        <v>2.33</v>
      </c>
      <c r="AC221" s="29">
        <f t="shared" si="5"/>
        <v>2.0202020202020203</v>
      </c>
      <c r="AD221" s="20">
        <f>VLOOKUP(F221,铝耗2026年!$A$2:$B$5000,2,0)</f>
        <v>2.04177525996236</v>
      </c>
      <c r="AE221" s="20" t="e">
        <f>VLOOKUP(F221,铝耗2025年!$A$2:$B$5000,2,0)</f>
        <v>#N/A</v>
      </c>
      <c r="AF221" s="20">
        <v>2.2000000000000002</v>
      </c>
    </row>
    <row r="222" spans="1:32" hidden="1" x14ac:dyDescent="0.3">
      <c r="A222" s="7">
        <v>219</v>
      </c>
      <c r="B222" s="10" t="s">
        <v>404</v>
      </c>
      <c r="C222" s="10" t="s">
        <v>37</v>
      </c>
      <c r="D222" s="10">
        <v>8.01</v>
      </c>
      <c r="E222" s="10">
        <v>12</v>
      </c>
      <c r="F222" s="10" t="s">
        <v>407</v>
      </c>
      <c r="G222" s="10" t="s">
        <v>406</v>
      </c>
      <c r="H222" s="10">
        <v>1518</v>
      </c>
      <c r="I222" s="10">
        <v>7.0000000000000007E-2</v>
      </c>
      <c r="J222" s="10">
        <v>0.08</v>
      </c>
      <c r="K222" s="10">
        <v>1.55</v>
      </c>
      <c r="L222" s="10">
        <v>1.4999999999999999E-2</v>
      </c>
      <c r="M222" s="10">
        <v>3.0000000000000001E-3</v>
      </c>
      <c r="N222" s="10" t="s">
        <v>39</v>
      </c>
      <c r="O222" s="10">
        <v>0.04</v>
      </c>
      <c r="P222" s="10">
        <v>0.1</v>
      </c>
      <c r="Q222" s="10">
        <v>0.03</v>
      </c>
      <c r="R222" s="10" t="s">
        <v>39</v>
      </c>
      <c r="S222" s="10">
        <v>2E-3</v>
      </c>
      <c r="T222" s="10">
        <v>0</v>
      </c>
      <c r="U222" s="10">
        <v>0</v>
      </c>
      <c r="V222" s="10">
        <v>0</v>
      </c>
      <c r="W222" s="10" t="s">
        <v>39</v>
      </c>
      <c r="X222" s="10" t="s">
        <v>39</v>
      </c>
      <c r="Y222" s="10" t="s">
        <v>39</v>
      </c>
      <c r="Z222" s="10">
        <v>40</v>
      </c>
      <c r="AA222" s="43"/>
      <c r="AB222" s="29" cm="1">
        <f t="array" ref="AB222">IF(R222="",IF(Q222="",0,(_xlfn.IFS(Q222=0.01,0.67,Q222=0.015,1,Q222=0.015,1.33,Q222=0.02,1.67,Q222=0.025,2,Q222=0.03,2.33,Q222=0.035,2.67,Q222=0.04,3)+IF(J222&lt;=0.03,"0.33",0))),(_xlfn.IFS(R222=0.01,0.67,R222=0.015,1,R222=0.015,1.33,R222=0.02,1.67,R222=0.025,2,R222=0.03,2.33,R222=0.035,2.67,R222=0.04,3)+IF(J222&lt;=0.03,"0.33",0)))</f>
        <v>2.33</v>
      </c>
      <c r="AC222" s="29">
        <f t="shared" si="5"/>
        <v>2.0202020202020203</v>
      </c>
      <c r="AD222" s="20" t="e">
        <f>VLOOKUP(F222,铝耗2026年!$A$2:$B$5000,2,0)</f>
        <v>#N/A</v>
      </c>
      <c r="AE222" s="20" t="e">
        <f>VLOOKUP(F222,铝耗2025年!$A$2:$B$5000,2,0)</f>
        <v>#N/A</v>
      </c>
      <c r="AF222" s="20">
        <v>2.2000000000000002</v>
      </c>
    </row>
    <row r="223" spans="1:32" hidden="1" x14ac:dyDescent="0.3">
      <c r="A223" s="7">
        <v>220</v>
      </c>
      <c r="B223" s="10" t="s">
        <v>408</v>
      </c>
      <c r="C223" s="10" t="s">
        <v>34</v>
      </c>
      <c r="D223" s="10">
        <v>6</v>
      </c>
      <c r="E223" s="10">
        <v>12</v>
      </c>
      <c r="F223" s="10" t="s">
        <v>408</v>
      </c>
      <c r="G223" s="10" t="s">
        <v>409</v>
      </c>
      <c r="H223" s="10">
        <v>1515</v>
      </c>
      <c r="I223" s="10">
        <v>0.08</v>
      </c>
      <c r="J223" s="10">
        <v>0.2</v>
      </c>
      <c r="K223" s="10">
        <v>1.85</v>
      </c>
      <c r="L223" s="10">
        <v>1.4999999999999999E-2</v>
      </c>
      <c r="M223" s="10">
        <v>3.0000000000000001E-3</v>
      </c>
      <c r="N223" s="10" t="s">
        <v>39</v>
      </c>
      <c r="O223" s="10">
        <v>4.4999999999999998E-2</v>
      </c>
      <c r="P223" s="10">
        <v>0.105</v>
      </c>
      <c r="Q223" s="10">
        <v>0.03</v>
      </c>
      <c r="R223" s="10" t="s">
        <v>39</v>
      </c>
      <c r="S223" s="10">
        <v>2E-3</v>
      </c>
      <c r="T223" s="10">
        <v>0</v>
      </c>
      <c r="U223" s="10">
        <v>0</v>
      </c>
      <c r="V223" s="10">
        <v>0</v>
      </c>
      <c r="W223" s="10" t="s">
        <v>39</v>
      </c>
      <c r="X223" s="10" t="s">
        <v>39</v>
      </c>
      <c r="Y223" s="10" t="s">
        <v>39</v>
      </c>
      <c r="Z223" s="10">
        <v>40</v>
      </c>
      <c r="AA223" s="43"/>
      <c r="AB223" s="29" cm="1">
        <f t="array" ref="AB223">IF(R223="",IF(Q223="",0,(_xlfn.IFS(Q223=0.01,0.67,Q223=0.015,1,Q223=0.015,1.33,Q223=0.02,1.67,Q223=0.025,2,Q223=0.03,2.33,Q223=0.035,2.67,Q223=0.04,3)+IF(J223&lt;=0.03,"0.33",0))),(_xlfn.IFS(R223=0.01,0.67,R223=0.015,1,R223=0.015,1.33,R223=0.02,1.67,R223=0.025,2,R223=0.03,2.33,R223=0.035,2.67,R223=0.04,3)+IF(J223&lt;=0.03,"0.33",0)))</f>
        <v>2.33</v>
      </c>
      <c r="AC223" s="29">
        <f t="shared" si="5"/>
        <v>2.0202020202020203</v>
      </c>
      <c r="AD223" s="20">
        <f>VLOOKUP(F223,铝耗2026年!$A$2:$B$5000,2,0)</f>
        <v>1.69899879432748</v>
      </c>
      <c r="AE223" s="20" t="e">
        <f>VLOOKUP(F223,铝耗2025年!$A$2:$B$5000,2,0)</f>
        <v>#N/A</v>
      </c>
      <c r="AF223" s="20">
        <v>2.2000000000000002</v>
      </c>
    </row>
    <row r="224" spans="1:32" hidden="1" x14ac:dyDescent="0.3">
      <c r="A224" s="7">
        <v>221</v>
      </c>
      <c r="B224" s="10" t="s">
        <v>410</v>
      </c>
      <c r="C224" s="10" t="s">
        <v>34</v>
      </c>
      <c r="D224" s="10">
        <v>4</v>
      </c>
      <c r="E224" s="10">
        <v>5.99</v>
      </c>
      <c r="F224" s="10" t="s">
        <v>411</v>
      </c>
      <c r="G224" s="39" t="s">
        <v>412</v>
      </c>
      <c r="H224" s="10">
        <v>1516</v>
      </c>
      <c r="I224" s="40">
        <v>0.08</v>
      </c>
      <c r="J224" s="41">
        <v>0.2</v>
      </c>
      <c r="K224" s="41">
        <v>1.65</v>
      </c>
      <c r="L224" s="40">
        <v>1.4999999999999999E-2</v>
      </c>
      <c r="M224" s="40">
        <v>4.0000000000000001E-3</v>
      </c>
      <c r="N224" s="40" t="s">
        <v>39</v>
      </c>
      <c r="O224" s="40">
        <v>4.4999999999999998E-2</v>
      </c>
      <c r="P224" s="40">
        <v>0.105</v>
      </c>
      <c r="Q224" s="40">
        <v>0.03</v>
      </c>
      <c r="R224" s="40" t="s">
        <v>39</v>
      </c>
      <c r="S224" s="42" t="s">
        <v>39</v>
      </c>
      <c r="T224" s="41"/>
      <c r="U224" s="41"/>
      <c r="V224" s="41"/>
      <c r="W224" s="41"/>
      <c r="X224" s="42" t="s">
        <v>39</v>
      </c>
      <c r="Y224" s="43" t="s">
        <v>39</v>
      </c>
      <c r="Z224" s="10">
        <v>40</v>
      </c>
      <c r="AA224" s="43"/>
      <c r="AB224" s="29" cm="1">
        <f t="array" ref="AB224">IF(R224="",IF(Q224="",0,(_xlfn.IFS(Q224=0.01,0.67,Q224=0.015,1,Q224=0.015,1.33,Q224=0.02,1.67,Q224=0.025,2,Q224=0.03,2.33,Q224=0.035,2.67,Q224=0.04,3)+IF(J224&lt;=0.03,"0.33",0))),(_xlfn.IFS(R224=0.01,0.67,R224=0.015,1,R224=0.015,1.33,R224=0.02,1.67,R224=0.025,2,R224=0.03,2.33,R224=0.035,2.67,R224=0.04,3)+IF(J224&lt;=0.03,"0.33",0)))</f>
        <v>2.33</v>
      </c>
      <c r="AC224" s="29">
        <f t="shared" si="5"/>
        <v>2.0202020202020203</v>
      </c>
      <c r="AD224" s="20" t="e">
        <f>VLOOKUP(F224,铝耗2026年!$A$2:$B$5000,2,0)</f>
        <v>#N/A</v>
      </c>
      <c r="AE224" s="20" t="e">
        <f>VLOOKUP(F224,铝耗2025年!$A$2:$B$5000,2,0)</f>
        <v>#N/A</v>
      </c>
      <c r="AF224" s="20">
        <v>2.2000000000000002</v>
      </c>
    </row>
    <row r="225" spans="1:32" hidden="1" x14ac:dyDescent="0.3">
      <c r="A225" s="7">
        <v>222</v>
      </c>
      <c r="B225" s="10" t="s">
        <v>410</v>
      </c>
      <c r="C225" s="10" t="s">
        <v>37</v>
      </c>
      <c r="D225" s="10">
        <v>6</v>
      </c>
      <c r="E225" s="10">
        <v>14</v>
      </c>
      <c r="F225" s="10" t="s">
        <v>413</v>
      </c>
      <c r="G225" s="39" t="s">
        <v>412</v>
      </c>
      <c r="H225" s="10">
        <v>1516</v>
      </c>
      <c r="I225" s="40">
        <v>0.08</v>
      </c>
      <c r="J225" s="41">
        <v>0.2</v>
      </c>
      <c r="K225" s="41">
        <v>1.75</v>
      </c>
      <c r="L225" s="40">
        <v>1.4999999999999999E-2</v>
      </c>
      <c r="M225" s="40">
        <v>4.0000000000000001E-3</v>
      </c>
      <c r="N225" s="40" t="s">
        <v>39</v>
      </c>
      <c r="O225" s="40">
        <v>0.05</v>
      </c>
      <c r="P225" s="40">
        <v>0.115</v>
      </c>
      <c r="Q225" s="40">
        <v>0.03</v>
      </c>
      <c r="R225" s="40" t="s">
        <v>39</v>
      </c>
      <c r="S225" s="42" t="s">
        <v>39</v>
      </c>
      <c r="T225" s="41"/>
      <c r="U225" s="41"/>
      <c r="V225" s="41"/>
      <c r="W225" s="41"/>
      <c r="X225" s="42" t="s">
        <v>39</v>
      </c>
      <c r="Y225" s="43" t="s">
        <v>39</v>
      </c>
      <c r="Z225" s="10">
        <v>40</v>
      </c>
      <c r="AA225" s="43"/>
      <c r="AB225" s="29" cm="1">
        <f t="array" ref="AB225">IF(R225="",IF(Q225="",0,(_xlfn.IFS(Q225=0.01,0.67,Q225=0.015,1,Q225=0.015,1.33,Q225=0.02,1.67,Q225=0.025,2,Q225=0.03,2.33,Q225=0.035,2.67,Q225=0.04,3)+IF(J225&lt;=0.03,"0.33",0))),(_xlfn.IFS(R225=0.01,0.67,R225=0.015,1,R225=0.015,1.33,R225=0.02,1.67,R225=0.025,2,R225=0.03,2.33,R225=0.035,2.67,R225=0.04,3)+IF(J225&lt;=0.03,"0.33",0)))</f>
        <v>2.33</v>
      </c>
      <c r="AC225" s="29">
        <f t="shared" si="5"/>
        <v>2.0202020202020203</v>
      </c>
      <c r="AD225" s="20" t="e">
        <f>VLOOKUP(F225,铝耗2026年!$A$2:$B$5000,2,0)</f>
        <v>#N/A</v>
      </c>
      <c r="AE225" s="20" t="e">
        <f>VLOOKUP(F225,铝耗2025年!$A$2:$B$5000,2,0)</f>
        <v>#N/A</v>
      </c>
      <c r="AF225" s="20">
        <v>2.2000000000000002</v>
      </c>
    </row>
    <row r="226" spans="1:32" hidden="1" x14ac:dyDescent="0.3">
      <c r="A226" s="7">
        <v>223</v>
      </c>
      <c r="B226" s="10" t="s">
        <v>414</v>
      </c>
      <c r="C226" s="10" t="s">
        <v>34</v>
      </c>
      <c r="D226" s="10">
        <v>3</v>
      </c>
      <c r="E226" s="10">
        <v>10</v>
      </c>
      <c r="F226" s="10" t="s">
        <v>415</v>
      </c>
      <c r="G226" s="39" t="s">
        <v>416</v>
      </c>
      <c r="H226" s="10">
        <v>1518</v>
      </c>
      <c r="I226" s="40">
        <v>0.08</v>
      </c>
      <c r="J226" s="41">
        <v>0.2</v>
      </c>
      <c r="K226" s="41">
        <v>1.85</v>
      </c>
      <c r="L226" s="40">
        <v>0.01</v>
      </c>
      <c r="M226" s="40">
        <v>2E-3</v>
      </c>
      <c r="N226" s="40" t="s">
        <v>39</v>
      </c>
      <c r="O226" s="40">
        <v>7.0000000000000007E-2</v>
      </c>
      <c r="P226" s="40">
        <v>0.125</v>
      </c>
      <c r="Q226" s="40">
        <v>0.03</v>
      </c>
      <c r="R226" s="40" t="s">
        <v>39</v>
      </c>
      <c r="S226" s="42"/>
      <c r="T226" s="41"/>
      <c r="U226" s="41"/>
      <c r="V226" s="41"/>
      <c r="W226" s="41"/>
      <c r="X226" s="42" t="s">
        <v>39</v>
      </c>
      <c r="Y226" s="43" t="s">
        <v>39</v>
      </c>
      <c r="Z226" s="10">
        <v>45</v>
      </c>
      <c r="AA226" s="43" t="s">
        <v>39</v>
      </c>
      <c r="AB226" s="29" cm="1">
        <f t="array" ref="AB226">IF(R226="",IF(Q226="",0,(_xlfn.IFS(Q226=0.01,0.67,Q226=0.015,1,Q226=0.015,1.33,Q226=0.02,1.67,Q226=0.025,2,Q226=0.03,2.33,Q226=0.035,2.67,Q226=0.04,3)+IF(J226&lt;=0.03,"0.33",0))),(_xlfn.IFS(R226=0.01,0.67,R226=0.015,1,R226=0.015,1.33,R226=0.02,1.67,R226=0.025,2,R226=0.03,2.33,R226=0.035,2.67,R226=0.04,3)+IF(J226&lt;=0.03,"0.33",0)))</f>
        <v>2.33</v>
      </c>
      <c r="AC226" s="29">
        <f t="shared" si="5"/>
        <v>2.0202020202020203</v>
      </c>
      <c r="AD226" s="20">
        <f>VLOOKUP(F226,铝耗2026年!$A$2:$B$5000,2,0)</f>
        <v>2.0644396157353402</v>
      </c>
      <c r="AE226" s="20">
        <f>VLOOKUP(F226,铝耗2025年!$A$2:$B$5000,2,0)</f>
        <v>2.2000000000000002</v>
      </c>
      <c r="AF226" s="20">
        <f>MAX(AD226:AE226)</f>
        <v>2.2000000000000002</v>
      </c>
    </row>
    <row r="227" spans="1:32" hidden="1" x14ac:dyDescent="0.3">
      <c r="A227" s="7">
        <v>224</v>
      </c>
      <c r="B227" s="10" t="s">
        <v>414</v>
      </c>
      <c r="C227" s="10" t="s">
        <v>37</v>
      </c>
      <c r="D227" s="10">
        <v>10.01</v>
      </c>
      <c r="E227" s="10">
        <v>14</v>
      </c>
      <c r="F227" s="10" t="s">
        <v>417</v>
      </c>
      <c r="G227" s="39" t="s">
        <v>416</v>
      </c>
      <c r="H227" s="10">
        <v>1518</v>
      </c>
      <c r="I227" s="40">
        <v>0.08</v>
      </c>
      <c r="J227" s="41">
        <v>0.1</v>
      </c>
      <c r="K227" s="41">
        <v>1.85</v>
      </c>
      <c r="L227" s="40">
        <v>0.01</v>
      </c>
      <c r="M227" s="40">
        <v>2E-3</v>
      </c>
      <c r="N227" s="40" t="s">
        <v>39</v>
      </c>
      <c r="O227" s="40">
        <v>0.05</v>
      </c>
      <c r="P227" s="40">
        <v>0.105</v>
      </c>
      <c r="Q227" s="40">
        <v>0.03</v>
      </c>
      <c r="R227" s="40" t="s">
        <v>39</v>
      </c>
      <c r="S227" s="42"/>
      <c r="T227" s="41">
        <v>0.2</v>
      </c>
      <c r="U227" s="41"/>
      <c r="V227" s="41"/>
      <c r="W227" s="41"/>
      <c r="X227" s="42" t="s">
        <v>39</v>
      </c>
      <c r="Y227" s="43" t="s">
        <v>39</v>
      </c>
      <c r="Z227" s="10">
        <v>45</v>
      </c>
      <c r="AA227" s="43" t="s">
        <v>39</v>
      </c>
      <c r="AB227" s="29" cm="1">
        <f t="array" ref="AB227">IF(R227="",IF(Q227="",0,(_xlfn.IFS(Q227=0.01,0.67,Q227=0.015,1,Q227=0.015,1.33,Q227=0.02,1.67,Q227=0.025,2,Q227=0.03,2.33,Q227=0.035,2.67,Q227=0.04,3)+IF(J227&lt;=0.03,"0.33",0))),(_xlfn.IFS(R227=0.01,0.67,R227=0.015,1,R227=0.015,1.33,R227=0.02,1.67,R227=0.025,2,R227=0.03,2.33,R227=0.035,2.67,R227=0.04,3)+IF(J227&lt;=0.03,"0.33",0)))</f>
        <v>2.33</v>
      </c>
      <c r="AC227" s="29">
        <f t="shared" si="5"/>
        <v>2.0202020202020203</v>
      </c>
      <c r="AD227" s="20">
        <f>VLOOKUP(F227,铝耗2026年!$A$2:$B$5000,2,0)</f>
        <v>2.0581291635659298</v>
      </c>
      <c r="AE227" s="20">
        <f>VLOOKUP(F227,铝耗2025年!$A$2:$B$5000,2,0)</f>
        <v>2.2000000000000002</v>
      </c>
      <c r="AF227" s="20">
        <f>MAX(AD227:AE227)</f>
        <v>2.2000000000000002</v>
      </c>
    </row>
    <row r="228" spans="1:32" hidden="1" x14ac:dyDescent="0.3">
      <c r="A228" s="7">
        <v>225</v>
      </c>
      <c r="B228" s="10" t="s">
        <v>415</v>
      </c>
      <c r="C228" s="10" t="s">
        <v>34</v>
      </c>
      <c r="D228" s="10">
        <v>3</v>
      </c>
      <c r="E228" s="10">
        <v>10</v>
      </c>
      <c r="F228" s="10" t="s">
        <v>415</v>
      </c>
      <c r="G228" s="39" t="s">
        <v>416</v>
      </c>
      <c r="H228" s="10">
        <v>1518</v>
      </c>
      <c r="I228" s="40">
        <v>0.08</v>
      </c>
      <c r="J228" s="41">
        <v>0.2</v>
      </c>
      <c r="K228" s="41">
        <v>1.85</v>
      </c>
      <c r="L228" s="40">
        <v>0.01</v>
      </c>
      <c r="M228" s="40">
        <v>2E-3</v>
      </c>
      <c r="N228" s="40" t="s">
        <v>39</v>
      </c>
      <c r="O228" s="40">
        <v>7.0000000000000007E-2</v>
      </c>
      <c r="P228" s="40">
        <v>0.125</v>
      </c>
      <c r="Q228" s="40">
        <v>0.03</v>
      </c>
      <c r="R228" s="40" t="s">
        <v>39</v>
      </c>
      <c r="S228" s="42"/>
      <c r="T228" s="41"/>
      <c r="U228" s="41"/>
      <c r="V228" s="41"/>
      <c r="W228" s="41"/>
      <c r="X228" s="42" t="s">
        <v>39</v>
      </c>
      <c r="Y228" s="43" t="s">
        <v>39</v>
      </c>
      <c r="Z228" s="10">
        <v>45</v>
      </c>
      <c r="AA228" s="43" t="s">
        <v>39</v>
      </c>
      <c r="AB228" s="29" cm="1">
        <f t="array" ref="AB228">IF(R228="",IF(Q228="",0,(_xlfn.IFS(Q228=0.01,0.67,Q228=0.015,1,Q228=0.015,1.33,Q228=0.02,1.67,Q228=0.025,2,Q228=0.03,2.33,Q228=0.035,2.67,Q228=0.04,3)+IF(J228&lt;=0.03,"0.33",0))),(_xlfn.IFS(R228=0.01,0.67,R228=0.015,1,R228=0.015,1.33,R228=0.02,1.67,R228=0.025,2,R228=0.03,2.33,R228=0.035,2.67,R228=0.04,3)+IF(J228&lt;=0.03,"0.33",0)))</f>
        <v>2.33</v>
      </c>
      <c r="AC228" s="29">
        <f t="shared" si="5"/>
        <v>2.0202020202020203</v>
      </c>
      <c r="AD228" s="20">
        <f>VLOOKUP(F228,铝耗2026年!$A$2:$B$5000,2,0)</f>
        <v>2.0644396157353402</v>
      </c>
      <c r="AE228" s="20">
        <f>VLOOKUP(F228,铝耗2025年!$A$2:$B$5000,2,0)</f>
        <v>2.2000000000000002</v>
      </c>
      <c r="AF228" s="20">
        <f>MAX(AD228:AE228)</f>
        <v>2.2000000000000002</v>
      </c>
    </row>
    <row r="229" spans="1:32" hidden="1" x14ac:dyDescent="0.3">
      <c r="A229" s="7">
        <v>226</v>
      </c>
      <c r="B229" s="10" t="s">
        <v>415</v>
      </c>
      <c r="C229" s="10" t="s">
        <v>37</v>
      </c>
      <c r="D229" s="10">
        <v>10.01</v>
      </c>
      <c r="E229" s="10">
        <v>14</v>
      </c>
      <c r="F229" s="10" t="s">
        <v>417</v>
      </c>
      <c r="G229" s="39" t="s">
        <v>416</v>
      </c>
      <c r="H229" s="10">
        <v>1518</v>
      </c>
      <c r="I229" s="40">
        <v>0.08</v>
      </c>
      <c r="J229" s="41">
        <v>0.1</v>
      </c>
      <c r="K229" s="41">
        <v>1.85</v>
      </c>
      <c r="L229" s="40">
        <v>0.01</v>
      </c>
      <c r="M229" s="40">
        <v>2E-3</v>
      </c>
      <c r="N229" s="40" t="s">
        <v>39</v>
      </c>
      <c r="O229" s="40">
        <v>0.05</v>
      </c>
      <c r="P229" s="40">
        <v>0.105</v>
      </c>
      <c r="Q229" s="40">
        <v>0.03</v>
      </c>
      <c r="R229" s="40" t="s">
        <v>39</v>
      </c>
      <c r="S229" s="42"/>
      <c r="T229" s="41">
        <v>0.2</v>
      </c>
      <c r="U229" s="41"/>
      <c r="V229" s="41"/>
      <c r="W229" s="41"/>
      <c r="X229" s="42" t="s">
        <v>39</v>
      </c>
      <c r="Y229" s="43" t="s">
        <v>39</v>
      </c>
      <c r="Z229" s="10">
        <v>45</v>
      </c>
      <c r="AA229" s="43" t="s">
        <v>39</v>
      </c>
      <c r="AB229" s="29" cm="1">
        <f t="array" ref="AB229">IF(R229="",IF(Q229="",0,(_xlfn.IFS(Q229=0.01,0.67,Q229=0.015,1,Q229=0.015,1.33,Q229=0.02,1.67,Q229=0.025,2,Q229=0.03,2.33,Q229=0.035,2.67,Q229=0.04,3)+IF(J229&lt;=0.03,"0.33",0))),(_xlfn.IFS(R229=0.01,0.67,R229=0.015,1,R229=0.015,1.33,R229=0.02,1.67,R229=0.025,2,R229=0.03,2.33,R229=0.035,2.67,R229=0.04,3)+IF(J229&lt;=0.03,"0.33",0)))</f>
        <v>2.33</v>
      </c>
      <c r="AC229" s="29">
        <f t="shared" si="5"/>
        <v>2.0202020202020203</v>
      </c>
      <c r="AD229" s="20">
        <f>VLOOKUP(F229,铝耗2026年!$A$2:$B$5000,2,0)</f>
        <v>2.0581291635659298</v>
      </c>
      <c r="AE229" s="20">
        <f>VLOOKUP(F229,铝耗2025年!$A$2:$B$5000,2,0)</f>
        <v>2.2000000000000002</v>
      </c>
      <c r="AF229" s="20">
        <f>MAX(AD229:AE229)</f>
        <v>2.2000000000000002</v>
      </c>
    </row>
    <row r="230" spans="1:32" hidden="1" x14ac:dyDescent="0.3">
      <c r="A230" s="7">
        <v>227</v>
      </c>
      <c r="B230" s="10" t="s">
        <v>418</v>
      </c>
      <c r="C230" s="10" t="s">
        <v>34</v>
      </c>
      <c r="D230" s="10">
        <v>3</v>
      </c>
      <c r="E230" s="10">
        <v>12</v>
      </c>
      <c r="F230" s="10" t="s">
        <v>419</v>
      </c>
      <c r="G230" s="39" t="s">
        <v>420</v>
      </c>
      <c r="H230" s="10">
        <v>1519</v>
      </c>
      <c r="I230" s="40">
        <v>0.15</v>
      </c>
      <c r="J230" s="41">
        <v>0.2</v>
      </c>
      <c r="K230" s="41">
        <v>0.6</v>
      </c>
      <c r="L230" s="40">
        <v>1.4999999999999999E-2</v>
      </c>
      <c r="M230" s="40">
        <v>5.0000000000000001E-3</v>
      </c>
      <c r="N230" s="40"/>
      <c r="O230" s="40"/>
      <c r="P230" s="40">
        <v>0.01</v>
      </c>
      <c r="Q230" s="40">
        <v>1.4999999999999999E-2</v>
      </c>
      <c r="R230" s="40" t="s">
        <v>39</v>
      </c>
      <c r="S230" s="42"/>
      <c r="T230" s="41"/>
      <c r="U230" s="41"/>
      <c r="V230" s="41"/>
      <c r="W230" s="41"/>
      <c r="X230" s="42"/>
      <c r="Y230" s="43" t="s">
        <v>39</v>
      </c>
      <c r="Z230" s="10">
        <v>40</v>
      </c>
      <c r="AA230" s="43" t="s">
        <v>39</v>
      </c>
      <c r="AB230" s="29" cm="1">
        <f t="array" ref="AB230">IF(R230="",IF(Q230="",0,(_xlfn.IFS(Q230=0.01,0.67,Q230=0.015,1,Q230=0.015,1.33,Q230=0.02,1.67,Q230=0.025,2,Q230=0.03,2.33,Q230=0.035,2.67,Q230=0.04,3)+IF(J230&lt;=0.03,"0.33",0))),(_xlfn.IFS(R230=0.01,0.67,R230=0.015,1,R230=0.015,1.33,R230=0.02,1.67,R230=0.025,2,R230=0.03,2.33,R230=0.035,2.67,R230=0.04,3)+IF(J230&lt;=0.03,"0.33",0)))</f>
        <v>1</v>
      </c>
      <c r="AC230" s="29">
        <f t="shared" si="5"/>
        <v>1.0101010101010102</v>
      </c>
      <c r="AD230" s="20">
        <f>VLOOKUP(F230,铝耗2026年!$A$2:$B$5000,2,0)</f>
        <v>1.36133922185441</v>
      </c>
      <c r="AE230" s="20">
        <f>VLOOKUP(F230,铝耗2025年!$A$2:$B$5000,2,0)</f>
        <v>1.33</v>
      </c>
      <c r="AF230" s="20">
        <f>MAX(AD230:AE230)</f>
        <v>1.36133922185441</v>
      </c>
    </row>
    <row r="231" spans="1:32" hidden="1" x14ac:dyDescent="0.3">
      <c r="A231" s="7">
        <v>228</v>
      </c>
      <c r="B231" s="10" t="s">
        <v>418</v>
      </c>
      <c r="C231" s="10" t="s">
        <v>37</v>
      </c>
      <c r="D231" s="10">
        <v>12.01</v>
      </c>
      <c r="E231" s="10">
        <v>28</v>
      </c>
      <c r="F231" s="10" t="s">
        <v>421</v>
      </c>
      <c r="G231" s="39" t="s">
        <v>420</v>
      </c>
      <c r="H231" s="10">
        <v>1519</v>
      </c>
      <c r="I231" s="40">
        <v>0.15</v>
      </c>
      <c r="J231" s="41">
        <v>0.2</v>
      </c>
      <c r="K231" s="41">
        <v>0.65</v>
      </c>
      <c r="L231" s="40">
        <v>1.4999999999999999E-2</v>
      </c>
      <c r="M231" s="40">
        <v>5.0000000000000001E-3</v>
      </c>
      <c r="N231" s="40"/>
      <c r="O231" s="40">
        <v>8.0000000000000002E-3</v>
      </c>
      <c r="P231" s="40">
        <v>0.01</v>
      </c>
      <c r="Q231" s="40">
        <v>1.4999999999999999E-2</v>
      </c>
      <c r="R231" s="40" t="s">
        <v>39</v>
      </c>
      <c r="S231" s="42"/>
      <c r="T231" s="41"/>
      <c r="U231" s="41"/>
      <c r="V231" s="41"/>
      <c r="W231" s="41"/>
      <c r="X231" s="42"/>
      <c r="Y231" s="43" t="s">
        <v>39</v>
      </c>
      <c r="Z231" s="10">
        <v>40</v>
      </c>
      <c r="AA231" s="43" t="s">
        <v>39</v>
      </c>
      <c r="AB231" s="29" cm="1">
        <f t="array" ref="AB231">IF(R231="",IF(Q231="",0,(_xlfn.IFS(Q231=0.01,0.67,Q231=0.015,1,Q231=0.015,1.33,Q231=0.02,1.67,Q231=0.025,2,Q231=0.03,2.33,Q231=0.035,2.67,Q231=0.04,3)+IF(J231&lt;=0.03,"0.33",0))),(_xlfn.IFS(R231=0.01,0.67,R231=0.015,1,R231=0.015,1.33,R231=0.02,1.67,R231=0.025,2,R231=0.03,2.33,R231=0.035,2.67,R231=0.04,3)+IF(J231&lt;=0.03,"0.33",0)))</f>
        <v>1</v>
      </c>
      <c r="AC231" s="29">
        <f t="shared" si="5"/>
        <v>1.0101010101010102</v>
      </c>
      <c r="AD231" s="20">
        <f>VLOOKUP(F231,铝耗2026年!$A$2:$B$5000,2,0)</f>
        <v>1.36076736119436</v>
      </c>
      <c r="AE231" s="20">
        <f>VLOOKUP(F231,铝耗2025年!$A$2:$B$5000,2,0)</f>
        <v>1.33</v>
      </c>
      <c r="AF231" s="37">
        <v>1.33</v>
      </c>
    </row>
    <row r="232" spans="1:32" hidden="1" x14ac:dyDescent="0.3">
      <c r="A232" s="7">
        <v>229</v>
      </c>
      <c r="B232" s="10" t="s">
        <v>422</v>
      </c>
      <c r="C232" s="10" t="s">
        <v>34</v>
      </c>
      <c r="D232" s="10">
        <v>3</v>
      </c>
      <c r="E232" s="10">
        <v>12</v>
      </c>
      <c r="F232" s="10" t="s">
        <v>423</v>
      </c>
      <c r="G232" s="39" t="s">
        <v>424</v>
      </c>
      <c r="H232" s="10">
        <v>1519</v>
      </c>
      <c r="I232" s="40">
        <v>0.15</v>
      </c>
      <c r="J232" s="41">
        <v>0.15</v>
      </c>
      <c r="K232" s="41">
        <v>0.6</v>
      </c>
      <c r="L232" s="40">
        <v>1.4999999999999999E-2</v>
      </c>
      <c r="M232" s="40">
        <v>4.0000000000000001E-3</v>
      </c>
      <c r="N232" s="40"/>
      <c r="O232" s="40">
        <v>6.0000000000000001E-3</v>
      </c>
      <c r="P232" s="40">
        <v>0.01</v>
      </c>
      <c r="Q232" s="40">
        <v>1.4999999999999999E-2</v>
      </c>
      <c r="R232" s="40" t="s">
        <v>39</v>
      </c>
      <c r="S232" s="42"/>
      <c r="T232" s="41"/>
      <c r="U232" s="41"/>
      <c r="V232" s="41"/>
      <c r="W232" s="41"/>
      <c r="X232" s="42"/>
      <c r="Y232" s="43" t="s">
        <v>39</v>
      </c>
      <c r="Z232" s="10">
        <v>40</v>
      </c>
      <c r="AA232" s="43" t="s">
        <v>39</v>
      </c>
      <c r="AB232" s="29" cm="1">
        <f t="array" ref="AB232">IF(R232="",IF(Q232="",0,(_xlfn.IFS(Q232=0.01,0.67,Q232=0.015,1,Q232=0.015,1.33,Q232=0.02,1.67,Q232=0.025,2,Q232=0.03,2.33,Q232=0.035,2.67,Q232=0.04,3)+IF(J232&lt;=0.03,"0.33",0))),(_xlfn.IFS(R232=0.01,0.67,R232=0.015,1,R232=0.015,1.33,R232=0.02,1.67,R232=0.025,2,R232=0.03,2.33,R232=0.035,2.67,R232=0.04,3)+IF(J232&lt;=0.03,"0.33",0)))</f>
        <v>1</v>
      </c>
      <c r="AC232" s="29">
        <f t="shared" si="5"/>
        <v>1.0101010101010102</v>
      </c>
      <c r="AD232" s="20" t="e">
        <f>VLOOKUP(F232,铝耗2026年!$A$2:$B$5000,2,0)</f>
        <v>#N/A</v>
      </c>
      <c r="AE232" s="20">
        <f>VLOOKUP(F232,铝耗2025年!$A$2:$B$5000,2,0)</f>
        <v>1.33</v>
      </c>
      <c r="AF232" s="37">
        <v>1.33</v>
      </c>
    </row>
    <row r="233" spans="1:32" hidden="1" x14ac:dyDescent="0.3">
      <c r="A233" s="7">
        <v>230</v>
      </c>
      <c r="B233" s="10" t="s">
        <v>422</v>
      </c>
      <c r="C233" s="10" t="s">
        <v>37</v>
      </c>
      <c r="D233" s="10">
        <v>12.01</v>
      </c>
      <c r="E233" s="10">
        <v>28</v>
      </c>
      <c r="F233" s="10" t="s">
        <v>425</v>
      </c>
      <c r="G233" s="39" t="s">
        <v>424</v>
      </c>
      <c r="H233" s="10">
        <v>1519</v>
      </c>
      <c r="I233" s="40">
        <v>0.15</v>
      </c>
      <c r="J233" s="41">
        <v>0.15</v>
      </c>
      <c r="K233" s="41">
        <v>0.7</v>
      </c>
      <c r="L233" s="40">
        <v>1.4999999999999999E-2</v>
      </c>
      <c r="M233" s="40">
        <v>4.0000000000000001E-3</v>
      </c>
      <c r="N233" s="40"/>
      <c r="O233" s="40">
        <v>8.0000000000000002E-3</v>
      </c>
      <c r="P233" s="40">
        <v>1.4999999999999999E-2</v>
      </c>
      <c r="Q233" s="40">
        <v>1.4999999999999999E-2</v>
      </c>
      <c r="R233" s="40" t="s">
        <v>39</v>
      </c>
      <c r="S233" s="42"/>
      <c r="T233" s="41"/>
      <c r="U233" s="41"/>
      <c r="V233" s="41"/>
      <c r="W233" s="41"/>
      <c r="X233" s="42"/>
      <c r="Y233" s="43" t="s">
        <v>39</v>
      </c>
      <c r="Z233" s="10">
        <v>40</v>
      </c>
      <c r="AA233" s="43" t="s">
        <v>39</v>
      </c>
      <c r="AB233" s="29" cm="1">
        <f t="array" ref="AB233">IF(R233="",IF(Q233="",0,(_xlfn.IFS(Q233=0.01,0.67,Q233=0.015,1,Q233=0.015,1.33,Q233=0.02,1.67,Q233=0.025,2,Q233=0.03,2.33,Q233=0.035,2.67,Q233=0.04,3)+IF(J233&lt;=0.03,"0.33",0))),(_xlfn.IFS(R233=0.01,0.67,R233=0.015,1,R233=0.015,1.33,R233=0.02,1.67,R233=0.025,2,R233=0.03,2.33,R233=0.035,2.67,R233=0.04,3)+IF(J233&lt;=0.03,"0.33",0)))</f>
        <v>1</v>
      </c>
      <c r="AC233" s="29">
        <f t="shared" si="5"/>
        <v>1.0101010101010102</v>
      </c>
      <c r="AD233" s="20" t="e">
        <f>VLOOKUP(F233,铝耗2026年!$A$2:$B$5000,2,0)</f>
        <v>#N/A</v>
      </c>
      <c r="AE233" s="20">
        <f>VLOOKUP(F233,铝耗2025年!$A$2:$B$5000,2,0)</f>
        <v>1.33</v>
      </c>
      <c r="AF233" s="37">
        <v>1.33</v>
      </c>
    </row>
    <row r="234" spans="1:32" hidden="1" x14ac:dyDescent="0.3">
      <c r="A234" s="7">
        <v>231</v>
      </c>
      <c r="B234" s="10" t="s">
        <v>426</v>
      </c>
      <c r="C234" s="10" t="s">
        <v>34</v>
      </c>
      <c r="D234" s="10">
        <v>3</v>
      </c>
      <c r="E234" s="10">
        <v>12</v>
      </c>
      <c r="F234" s="10" t="s">
        <v>427</v>
      </c>
      <c r="G234" s="39" t="s">
        <v>428</v>
      </c>
      <c r="H234" s="10">
        <v>1517</v>
      </c>
      <c r="I234" s="40">
        <v>0.15</v>
      </c>
      <c r="J234" s="41">
        <v>0.15</v>
      </c>
      <c r="K234" s="41">
        <v>0.75</v>
      </c>
      <c r="L234" s="40">
        <v>1.4999999999999999E-2</v>
      </c>
      <c r="M234" s="40">
        <v>5.0000000000000001E-3</v>
      </c>
      <c r="N234" s="40"/>
      <c r="O234" s="40"/>
      <c r="P234" s="40">
        <v>2.5000000000000001E-2</v>
      </c>
      <c r="Q234" s="40">
        <v>2.5000000000000001E-2</v>
      </c>
      <c r="R234" s="40"/>
      <c r="S234" s="42"/>
      <c r="T234" s="41"/>
      <c r="U234" s="41"/>
      <c r="V234" s="41"/>
      <c r="W234" s="41"/>
      <c r="X234" s="42"/>
      <c r="Y234" s="43"/>
      <c r="Z234" s="10">
        <v>40</v>
      </c>
      <c r="AA234" s="43"/>
      <c r="AB234" s="29" cm="1">
        <f t="array" ref="AB234">IF(R234="",IF(Q234="",0,(_xlfn.IFS(Q234=0.01,0.67,Q234=0.015,1,Q234=0.015,1.33,Q234=0.02,1.67,Q234=0.025,2,Q234=0.03,2.33,Q234=0.035,2.67,Q234=0.04,3)+IF(J234&lt;=0.03,"0.33",0))),(_xlfn.IFS(R234=0.01,0.67,R234=0.015,1,R234=0.015,1.33,R234=0.02,1.67,R234=0.025,2,R234=0.03,2.33,R234=0.035,2.67,R234=0.04,3)+IF(J234&lt;=0.03,"0.33",0)))</f>
        <v>2</v>
      </c>
      <c r="AC234" s="29">
        <f t="shared" si="5"/>
        <v>1.6835016835016836</v>
      </c>
      <c r="AD234" s="20" t="e">
        <f>VLOOKUP(F234,铝耗2026年!$A$2:$B$5000,2,0)</f>
        <v>#N/A</v>
      </c>
      <c r="AE234" s="20" t="e">
        <f>VLOOKUP(F234,铝耗2025年!$A$2:$B$5000,2,0)</f>
        <v>#N/A</v>
      </c>
      <c r="AF234" s="37">
        <v>1.33</v>
      </c>
    </row>
    <row r="235" spans="1:32" hidden="1" x14ac:dyDescent="0.3">
      <c r="A235" s="7">
        <v>232</v>
      </c>
      <c r="B235" s="10" t="s">
        <v>426</v>
      </c>
      <c r="C235" s="10" t="s">
        <v>37</v>
      </c>
      <c r="D235" s="10">
        <v>12.01</v>
      </c>
      <c r="E235" s="10">
        <v>28</v>
      </c>
      <c r="F235" s="10" t="s">
        <v>429</v>
      </c>
      <c r="G235" s="39" t="s">
        <v>428</v>
      </c>
      <c r="H235" s="10">
        <v>1517</v>
      </c>
      <c r="I235" s="40">
        <v>0.15</v>
      </c>
      <c r="J235" s="41">
        <v>0.15</v>
      </c>
      <c r="K235" s="41">
        <v>0.85</v>
      </c>
      <c r="L235" s="40">
        <v>1.4999999999999999E-2</v>
      </c>
      <c r="M235" s="40">
        <v>5.0000000000000001E-3</v>
      </c>
      <c r="N235" s="40"/>
      <c r="O235" s="40">
        <v>8.0000000000000002E-3</v>
      </c>
      <c r="P235" s="40">
        <v>2.5000000000000001E-2</v>
      </c>
      <c r="Q235" s="40">
        <v>2.5000000000000001E-2</v>
      </c>
      <c r="R235" s="40"/>
      <c r="S235" s="42"/>
      <c r="T235" s="41"/>
      <c r="U235" s="41"/>
      <c r="V235" s="41"/>
      <c r="W235" s="41"/>
      <c r="X235" s="42"/>
      <c r="Y235" s="43"/>
      <c r="Z235" s="10">
        <v>40</v>
      </c>
      <c r="AA235" s="43"/>
      <c r="AB235" s="29" cm="1">
        <f t="array" ref="AB235">IF(R235="",IF(Q235="",0,(_xlfn.IFS(Q235=0.01,0.67,Q235=0.015,1,Q235=0.015,1.33,Q235=0.02,1.67,Q235=0.025,2,Q235=0.03,2.33,Q235=0.035,2.67,Q235=0.04,3)+IF(J235&lt;=0.03,"0.33",0))),(_xlfn.IFS(R235=0.01,0.67,R235=0.015,1,R235=0.015,1.33,R235=0.02,1.67,R235=0.025,2,R235=0.03,2.33,R235=0.035,2.67,R235=0.04,3)+IF(J235&lt;=0.03,"0.33",0)))</f>
        <v>2</v>
      </c>
      <c r="AC235" s="29">
        <f t="shared" si="5"/>
        <v>1.6835016835016836</v>
      </c>
      <c r="AD235" s="20">
        <f>VLOOKUP(F235,铝耗2026年!$A$2:$B$5000,2,0)</f>
        <v>1.3827411403987799</v>
      </c>
      <c r="AE235" s="20" t="e">
        <f>VLOOKUP(F235,铝耗2025年!$A$2:$B$5000,2,0)</f>
        <v>#N/A</v>
      </c>
      <c r="AF235" s="37">
        <v>1.33</v>
      </c>
    </row>
    <row r="236" spans="1:32" hidden="1" x14ac:dyDescent="0.3">
      <c r="A236" s="7">
        <v>233</v>
      </c>
      <c r="B236" s="10" t="s">
        <v>430</v>
      </c>
      <c r="C236" s="10" t="s">
        <v>34</v>
      </c>
      <c r="D236" s="10">
        <v>4</v>
      </c>
      <c r="E236" s="10">
        <v>25.4</v>
      </c>
      <c r="F236" s="10" t="s">
        <v>430</v>
      </c>
      <c r="G236" s="39" t="s">
        <v>431</v>
      </c>
      <c r="H236" s="10">
        <v>1521</v>
      </c>
      <c r="I236" s="40">
        <v>7.0000000000000007E-2</v>
      </c>
      <c r="J236" s="41">
        <v>0.2</v>
      </c>
      <c r="K236" s="41">
        <v>1.25</v>
      </c>
      <c r="L236" s="40">
        <v>1.4999999999999999E-2</v>
      </c>
      <c r="M236" s="40">
        <v>5.0000000000000001E-3</v>
      </c>
      <c r="N236" s="40" t="s">
        <v>39</v>
      </c>
      <c r="O236" s="40">
        <v>0.03</v>
      </c>
      <c r="P236" s="40">
        <v>2.5000000000000001E-2</v>
      </c>
      <c r="Q236" s="40">
        <v>0.02</v>
      </c>
      <c r="R236" s="40" t="s">
        <v>39</v>
      </c>
      <c r="S236" s="42"/>
      <c r="T236" s="41"/>
      <c r="U236" s="41"/>
      <c r="V236" s="41"/>
      <c r="W236" s="41"/>
      <c r="X236" s="42"/>
      <c r="Y236" s="43" t="s">
        <v>39</v>
      </c>
      <c r="Z236" s="10">
        <v>50</v>
      </c>
      <c r="AA236" s="43"/>
      <c r="AB236" s="29" cm="1">
        <f t="array" ref="AB236">IF(R236="",IF(Q236="",0,(_xlfn.IFS(Q236=0.01,0.67,Q236=0.015,1,Q236=0.015,1.33,Q236=0.02,1.67,Q236=0.025,2,Q236=0.03,2.33,Q236=0.035,2.67,Q236=0.04,3)+IF(J236&lt;=0.03,"0.33",0))),(_xlfn.IFS(R236=0.01,0.67,R236=0.015,1,R236=0.015,1.33,R236=0.02,1.67,R236=0.025,2,R236=0.03,2.33,R236=0.035,2.67,R236=0.04,3)+IF(J236&lt;=0.03,"0.33",0)))</f>
        <v>1.67</v>
      </c>
      <c r="AC236" s="29">
        <f t="shared" si="5"/>
        <v>1.3468013468013469</v>
      </c>
      <c r="AD236" s="20" t="e">
        <f>VLOOKUP(F236,铝耗2026年!$A$2:$B$5000,2,0)</f>
        <v>#N/A</v>
      </c>
      <c r="AE236" s="20">
        <f>VLOOKUP(F236,铝耗2025年!$A$2:$B$5000,2,0)</f>
        <v>1.8</v>
      </c>
      <c r="AF236" s="37">
        <v>2</v>
      </c>
    </row>
    <row r="237" spans="1:32" hidden="1" x14ac:dyDescent="0.3">
      <c r="A237" s="7">
        <v>234</v>
      </c>
      <c r="B237" s="11" t="s">
        <v>432</v>
      </c>
      <c r="C237" s="11" t="s">
        <v>34</v>
      </c>
      <c r="D237" s="11">
        <v>4</v>
      </c>
      <c r="E237" s="11">
        <v>25.4</v>
      </c>
      <c r="F237" s="11" t="s">
        <v>432</v>
      </c>
      <c r="G237" s="11" t="s">
        <v>433</v>
      </c>
      <c r="H237" s="11">
        <v>1521</v>
      </c>
      <c r="I237" s="11">
        <v>7.0000000000000007E-2</v>
      </c>
      <c r="J237" s="11">
        <v>0.2</v>
      </c>
      <c r="K237" s="11">
        <v>1.25</v>
      </c>
      <c r="L237" s="11">
        <v>1.2E-2</v>
      </c>
      <c r="M237" s="11">
        <v>3.0000000000000001E-3</v>
      </c>
      <c r="N237" s="11" t="s">
        <v>39</v>
      </c>
      <c r="O237" s="11">
        <v>0.03</v>
      </c>
      <c r="P237" s="11">
        <v>2.5000000000000001E-2</v>
      </c>
      <c r="Q237" s="11">
        <v>0.02</v>
      </c>
      <c r="R237" s="11" t="s">
        <v>39</v>
      </c>
      <c r="S237" s="11">
        <v>0</v>
      </c>
      <c r="T237" s="11">
        <v>0</v>
      </c>
      <c r="U237" s="11">
        <v>0</v>
      </c>
      <c r="V237" s="11">
        <v>0</v>
      </c>
      <c r="W237" s="11"/>
      <c r="X237" s="11">
        <v>0</v>
      </c>
      <c r="Y237" s="11"/>
      <c r="Z237" s="11"/>
      <c r="AA237" s="44"/>
      <c r="AB237" s="45" cm="1">
        <f t="array" ref="AB237">IF(R237="",IF(Q237="",0,(_xlfn.IFS(Q237=0.01,0.67,Q237=0.015,1,Q237=0.015,1.33,Q237=0.02,1.67,Q237=0.025,2,Q237=0.03,2.33,Q237=0.035,2.67,Q237=0.04,3)+IF(J237&lt;=0.03,"0.33",0))),(_xlfn.IFS(R237=0.01,0.67,R237=0.015,1,R237=0.015,1.33,R237=0.02,1.67,R237=0.025,2,R237=0.03,2.33,R237=0.035,2.67,R237=0.04,3)+IF(J237&lt;=0.03,"0.33",0)))</f>
        <v>1.67</v>
      </c>
      <c r="AC237" s="29">
        <f t="shared" si="5"/>
        <v>1.3468013468013469</v>
      </c>
      <c r="AD237" s="20">
        <f>VLOOKUP(F237,铝耗2026年!$A$2:$B$5000,2,0)</f>
        <v>2.11367690930788</v>
      </c>
      <c r="AE237" s="20" t="e">
        <f>VLOOKUP(F237,铝耗2025年!$A$2:$B$5000,2,0)</f>
        <v>#N/A</v>
      </c>
      <c r="AF237" s="20">
        <v>2</v>
      </c>
    </row>
    <row r="238" spans="1:32" hidden="1" x14ac:dyDescent="0.3">
      <c r="A238" s="7">
        <v>235</v>
      </c>
      <c r="B238" s="10" t="s">
        <v>434</v>
      </c>
      <c r="C238" s="10" t="s">
        <v>34</v>
      </c>
      <c r="D238" s="10">
        <v>6</v>
      </c>
      <c r="E238" s="10">
        <v>16</v>
      </c>
      <c r="F238" s="10" t="s">
        <v>435</v>
      </c>
      <c r="G238" s="39" t="s">
        <v>436</v>
      </c>
      <c r="H238" s="10">
        <v>1518</v>
      </c>
      <c r="I238" s="40">
        <v>0.08</v>
      </c>
      <c r="J238" s="41">
        <v>0.23</v>
      </c>
      <c r="K238" s="41">
        <v>1.4</v>
      </c>
      <c r="L238" s="40">
        <v>1.4999999999999999E-2</v>
      </c>
      <c r="M238" s="40">
        <v>5.0000000000000001E-3</v>
      </c>
      <c r="N238" s="40" t="s">
        <v>39</v>
      </c>
      <c r="O238" s="40">
        <v>2.5000000000000001E-2</v>
      </c>
      <c r="P238" s="40">
        <v>4.4999999999999998E-2</v>
      </c>
      <c r="Q238" s="40">
        <v>2.5000000000000001E-2</v>
      </c>
      <c r="R238" s="40" t="s">
        <v>39</v>
      </c>
      <c r="S238" s="42" t="s">
        <v>39</v>
      </c>
      <c r="T238" s="41"/>
      <c r="U238" s="41"/>
      <c r="V238" s="41"/>
      <c r="W238" s="41"/>
      <c r="X238" s="42"/>
      <c r="Y238" s="43" t="s">
        <v>39</v>
      </c>
      <c r="Z238" s="10">
        <v>40</v>
      </c>
      <c r="AA238" s="43"/>
      <c r="AB238" s="29" cm="1">
        <f t="array" ref="AB238">IF(R238="",IF(Q238="",0,(_xlfn.IFS(Q238=0.01,0.67,Q238=0.015,1,Q238=0.015,1.33,Q238=0.02,1.67,Q238=0.025,2,Q238=0.03,2.33,Q238=0.035,2.67,Q238=0.04,3)+IF(J238&lt;=0.03,"0.33",0))),(_xlfn.IFS(R238=0.01,0.67,R238=0.015,1,R238=0.015,1.33,R238=0.02,1.67,R238=0.025,2,R238=0.03,2.33,R238=0.035,2.67,R238=0.04,3)+IF(J238&lt;=0.03,"0.33",0)))</f>
        <v>2</v>
      </c>
      <c r="AC238" s="29">
        <f t="shared" si="5"/>
        <v>1.6835016835016836</v>
      </c>
      <c r="AD238" s="20" t="e">
        <f>VLOOKUP(F238,铝耗2026年!$A$2:$B$5000,2,0)</f>
        <v>#N/A</v>
      </c>
      <c r="AE238" s="20" t="e">
        <f>VLOOKUP(F238,铝耗2025年!$A$2:$B$5000,2,0)</f>
        <v>#N/A</v>
      </c>
      <c r="AF238" s="20">
        <v>2</v>
      </c>
    </row>
    <row r="239" spans="1:32" hidden="1" x14ac:dyDescent="0.3">
      <c r="A239" s="7">
        <v>236</v>
      </c>
      <c r="B239" s="10" t="s">
        <v>434</v>
      </c>
      <c r="C239" s="10" t="s">
        <v>37</v>
      </c>
      <c r="D239" s="10">
        <v>16.010000000000002</v>
      </c>
      <c r="E239" s="10">
        <v>22</v>
      </c>
      <c r="F239" s="10" t="s">
        <v>437</v>
      </c>
      <c r="G239" s="39" t="s">
        <v>436</v>
      </c>
      <c r="H239" s="10">
        <v>1518</v>
      </c>
      <c r="I239" s="40">
        <v>0.08</v>
      </c>
      <c r="J239" s="41">
        <v>0.23</v>
      </c>
      <c r="K239" s="41">
        <v>1.5</v>
      </c>
      <c r="L239" s="40">
        <v>1.4999999999999999E-2</v>
      </c>
      <c r="M239" s="40">
        <v>5.0000000000000001E-3</v>
      </c>
      <c r="N239" s="40" t="s">
        <v>39</v>
      </c>
      <c r="O239" s="40">
        <v>2.5000000000000001E-2</v>
      </c>
      <c r="P239" s="40">
        <v>5.5E-2</v>
      </c>
      <c r="Q239" s="40">
        <v>2.5000000000000001E-2</v>
      </c>
      <c r="R239" s="40" t="s">
        <v>39</v>
      </c>
      <c r="S239" s="42" t="s">
        <v>39</v>
      </c>
      <c r="T239" s="41"/>
      <c r="U239" s="41"/>
      <c r="V239" s="41"/>
      <c r="W239" s="41"/>
      <c r="X239" s="42"/>
      <c r="Y239" s="43" t="s">
        <v>39</v>
      </c>
      <c r="Z239" s="10">
        <v>40</v>
      </c>
      <c r="AA239" s="43"/>
      <c r="AB239" s="29" cm="1">
        <f t="array" ref="AB239">IF(R239="",IF(Q239="",0,(_xlfn.IFS(Q239=0.01,0.67,Q239=0.015,1,Q239=0.015,1.33,Q239=0.02,1.67,Q239=0.025,2,Q239=0.03,2.33,Q239=0.035,2.67,Q239=0.04,3)+IF(J239&lt;=0.03,"0.33",0))),(_xlfn.IFS(R239=0.01,0.67,R239=0.015,1,R239=0.015,1.33,R239=0.02,1.67,R239=0.025,2,R239=0.03,2.33,R239=0.035,2.67,R239=0.04,3)+IF(J239&lt;=0.03,"0.33",0)))</f>
        <v>2</v>
      </c>
      <c r="AC239" s="29">
        <f t="shared" si="5"/>
        <v>1.6835016835016836</v>
      </c>
      <c r="AD239" s="20" t="e">
        <f>VLOOKUP(F239,铝耗2026年!$A$2:$B$5000,2,0)</f>
        <v>#N/A</v>
      </c>
      <c r="AE239" s="20">
        <f>VLOOKUP(F239,铝耗2025年!$A$2:$B$5000,2,0)</f>
        <v>2</v>
      </c>
      <c r="AF239" s="20">
        <v>2</v>
      </c>
    </row>
    <row r="240" spans="1:32" hidden="1" x14ac:dyDescent="0.3">
      <c r="A240" s="7">
        <v>237</v>
      </c>
      <c r="B240" s="10" t="s">
        <v>438</v>
      </c>
      <c r="C240" s="10" t="s">
        <v>34</v>
      </c>
      <c r="D240" s="10">
        <v>3</v>
      </c>
      <c r="E240" s="10">
        <v>12</v>
      </c>
      <c r="F240" s="10" t="s">
        <v>439</v>
      </c>
      <c r="G240" s="39" t="s">
        <v>440</v>
      </c>
      <c r="H240" s="10">
        <v>1517</v>
      </c>
      <c r="I240" s="40">
        <v>0.15</v>
      </c>
      <c r="J240" s="41">
        <v>0.15</v>
      </c>
      <c r="K240" s="41">
        <v>0.75</v>
      </c>
      <c r="L240" s="40">
        <v>1.4999999999999999E-2</v>
      </c>
      <c r="M240" s="40">
        <v>5.0000000000000001E-3</v>
      </c>
      <c r="N240" s="40"/>
      <c r="O240" s="40"/>
      <c r="P240" s="40">
        <v>2.5000000000000001E-2</v>
      </c>
      <c r="Q240" s="40">
        <v>2.5000000000000001E-2</v>
      </c>
      <c r="R240" s="40" t="s">
        <v>39</v>
      </c>
      <c r="S240" s="42"/>
      <c r="T240" s="41"/>
      <c r="U240" s="41"/>
      <c r="V240" s="41"/>
      <c r="W240" s="41"/>
      <c r="X240" s="42"/>
      <c r="Y240" s="43" t="s">
        <v>39</v>
      </c>
      <c r="Z240" s="10">
        <v>40</v>
      </c>
      <c r="AA240" s="43"/>
      <c r="AB240" s="29" cm="1">
        <f t="array" ref="AB240">IF(R240="",IF(Q240="",0,(_xlfn.IFS(Q240=0.01,0.67,Q240=0.015,1,Q240=0.015,1.33,Q240=0.02,1.67,Q240=0.025,2,Q240=0.03,2.33,Q240=0.035,2.67,Q240=0.04,3)+IF(J240&lt;=0.03,"0.33",0))),(_xlfn.IFS(R240=0.01,0.67,R240=0.015,1,R240=0.015,1.33,R240=0.02,1.67,R240=0.025,2,R240=0.03,2.33,R240=0.035,2.67,R240=0.04,3)+IF(J240&lt;=0.03,"0.33",0)))</f>
        <v>2</v>
      </c>
      <c r="AC240" s="29">
        <f t="shared" si="5"/>
        <v>1.6835016835016836</v>
      </c>
      <c r="AD240" s="20" t="e">
        <f>VLOOKUP(F240,铝耗2026年!$A$2:$B$5000,2,0)</f>
        <v>#N/A</v>
      </c>
      <c r="AE240" s="20">
        <f>VLOOKUP(F240,铝耗2025年!$A$2:$B$5000,2,0)</f>
        <v>1.4</v>
      </c>
      <c r="AF240" s="20">
        <v>1.4</v>
      </c>
    </row>
    <row r="241" spans="1:32" hidden="1" x14ac:dyDescent="0.3">
      <c r="A241" s="7">
        <v>238</v>
      </c>
      <c r="B241" s="10" t="s">
        <v>438</v>
      </c>
      <c r="C241" s="10" t="s">
        <v>37</v>
      </c>
      <c r="D241" s="10">
        <v>12.01</v>
      </c>
      <c r="E241" s="10">
        <v>28</v>
      </c>
      <c r="F241" s="10" t="s">
        <v>441</v>
      </c>
      <c r="G241" s="39" t="s">
        <v>440</v>
      </c>
      <c r="H241" s="10">
        <v>1517</v>
      </c>
      <c r="I241" s="40">
        <v>0.15</v>
      </c>
      <c r="J241" s="41">
        <v>0.15</v>
      </c>
      <c r="K241" s="41">
        <v>0.85</v>
      </c>
      <c r="L241" s="40">
        <v>1.4999999999999999E-2</v>
      </c>
      <c r="M241" s="40">
        <v>5.0000000000000001E-3</v>
      </c>
      <c r="N241" s="40"/>
      <c r="O241" s="40">
        <v>8.0000000000000002E-3</v>
      </c>
      <c r="P241" s="40">
        <v>2.5000000000000001E-2</v>
      </c>
      <c r="Q241" s="40">
        <v>2.5000000000000001E-2</v>
      </c>
      <c r="R241" s="40" t="s">
        <v>39</v>
      </c>
      <c r="S241" s="42"/>
      <c r="T241" s="41"/>
      <c r="U241" s="41"/>
      <c r="V241" s="41"/>
      <c r="W241" s="41"/>
      <c r="X241" s="42"/>
      <c r="Y241" s="43" t="s">
        <v>39</v>
      </c>
      <c r="Z241" s="10">
        <v>40</v>
      </c>
      <c r="AA241" s="43"/>
      <c r="AB241" s="29" cm="1">
        <f t="array" ref="AB241">IF(R241="",IF(Q241="",0,(_xlfn.IFS(Q241=0.01,0.67,Q241=0.015,1,Q241=0.015,1.33,Q241=0.02,1.67,Q241=0.025,2,Q241=0.03,2.33,Q241=0.035,2.67,Q241=0.04,3)+IF(J241&lt;=0.03,"0.33",0))),(_xlfn.IFS(R241=0.01,0.67,R241=0.015,1,R241=0.015,1.33,R241=0.02,1.67,R241=0.025,2,R241=0.03,2.33,R241=0.035,2.67,R241=0.04,3)+IF(J241&lt;=0.03,"0.33",0)))</f>
        <v>2</v>
      </c>
      <c r="AC241" s="29">
        <f t="shared" si="5"/>
        <v>1.6835016835016836</v>
      </c>
      <c r="AD241" s="20" t="e">
        <f>VLOOKUP(F241,铝耗2026年!$A$2:$B$5000,2,0)</f>
        <v>#N/A</v>
      </c>
      <c r="AE241" s="20" t="e">
        <f>VLOOKUP(F241,铝耗2025年!$A$2:$B$5000,2,0)</f>
        <v>#N/A</v>
      </c>
      <c r="AF241" s="20">
        <v>1.4</v>
      </c>
    </row>
    <row r="242" spans="1:32" hidden="1" x14ac:dyDescent="0.3">
      <c r="A242" s="7">
        <v>239</v>
      </c>
      <c r="B242" s="10" t="s">
        <v>442</v>
      </c>
      <c r="C242" s="10" t="s">
        <v>34</v>
      </c>
      <c r="D242" s="10">
        <v>6</v>
      </c>
      <c r="E242" s="10">
        <v>16</v>
      </c>
      <c r="F242" s="10" t="s">
        <v>443</v>
      </c>
      <c r="G242" s="39" t="s">
        <v>444</v>
      </c>
      <c r="H242" s="10">
        <v>1520</v>
      </c>
      <c r="I242" s="40">
        <v>0.06</v>
      </c>
      <c r="J242" s="41">
        <v>0.23</v>
      </c>
      <c r="K242" s="41">
        <v>1.35</v>
      </c>
      <c r="L242" s="40">
        <v>0.01</v>
      </c>
      <c r="M242" s="40">
        <v>3.0000000000000001E-3</v>
      </c>
      <c r="N242" s="40" t="s">
        <v>39</v>
      </c>
      <c r="O242" s="40">
        <v>0.03</v>
      </c>
      <c r="P242" s="40">
        <v>0.04</v>
      </c>
      <c r="Q242" s="40">
        <v>2.5000000000000001E-2</v>
      </c>
      <c r="R242" s="40" t="s">
        <v>39</v>
      </c>
      <c r="S242" s="42"/>
      <c r="T242" s="41"/>
      <c r="U242" s="41"/>
      <c r="V242" s="41"/>
      <c r="W242" s="41"/>
      <c r="X242" s="42"/>
      <c r="Y242" s="43" t="s">
        <v>39</v>
      </c>
      <c r="Z242" s="10"/>
      <c r="AA242" s="43"/>
      <c r="AB242" s="29" cm="1">
        <f t="array" ref="AB242">IF(R242="",IF(Q242="",0,(_xlfn.IFS(Q242=0.01,0.67,Q242=0.015,1,Q242=0.015,1.33,Q242=0.02,1.67,Q242=0.025,2,Q242=0.03,2.33,Q242=0.035,2.67,Q242=0.04,3)+IF(J242&lt;=0.03,"0.33",0))),(_xlfn.IFS(R242=0.01,0.67,R242=0.015,1,R242=0.015,1.33,R242=0.02,1.67,R242=0.025,2,R242=0.03,2.33,R242=0.035,2.67,R242=0.04,3)+IF(J242&lt;=0.03,"0.33",0)))</f>
        <v>2</v>
      </c>
      <c r="AC242" s="29">
        <f t="shared" si="5"/>
        <v>1.6835016835016836</v>
      </c>
      <c r="AD242" s="20" t="e">
        <f>VLOOKUP(F242,铝耗2026年!$A$2:$B$5000,2,0)</f>
        <v>#N/A</v>
      </c>
      <c r="AE242" s="20" t="e">
        <f>VLOOKUP(F242,铝耗2025年!$A$2:$B$5000,2,0)</f>
        <v>#N/A</v>
      </c>
      <c r="AF242" s="20">
        <v>2.2000000000000002</v>
      </c>
    </row>
    <row r="243" spans="1:32" hidden="1" x14ac:dyDescent="0.3">
      <c r="A243" s="7">
        <v>240</v>
      </c>
      <c r="B243" s="10" t="s">
        <v>442</v>
      </c>
      <c r="C243" s="10" t="s">
        <v>37</v>
      </c>
      <c r="D243" s="10">
        <v>16.010000000000002</v>
      </c>
      <c r="E243" s="10">
        <v>25.4</v>
      </c>
      <c r="F243" s="10" t="s">
        <v>445</v>
      </c>
      <c r="G243" s="39" t="s">
        <v>444</v>
      </c>
      <c r="H243" s="10">
        <v>1520</v>
      </c>
      <c r="I243" s="40">
        <v>0.06</v>
      </c>
      <c r="J243" s="41">
        <v>0.23</v>
      </c>
      <c r="K243" s="41">
        <v>1.45</v>
      </c>
      <c r="L243" s="40">
        <v>0.01</v>
      </c>
      <c r="M243" s="40">
        <v>3.0000000000000001E-3</v>
      </c>
      <c r="N243" s="40" t="s">
        <v>39</v>
      </c>
      <c r="O243" s="40">
        <v>3.5000000000000003E-2</v>
      </c>
      <c r="P243" s="40">
        <v>0.04</v>
      </c>
      <c r="Q243" s="40">
        <v>2.5000000000000001E-2</v>
      </c>
      <c r="R243" s="40" t="s">
        <v>39</v>
      </c>
      <c r="S243" s="42"/>
      <c r="T243" s="41"/>
      <c r="U243" s="41"/>
      <c r="V243" s="41"/>
      <c r="W243" s="41"/>
      <c r="X243" s="42"/>
      <c r="Y243" s="43" t="s">
        <v>39</v>
      </c>
      <c r="Z243" s="10"/>
      <c r="AA243" s="43"/>
      <c r="AB243" s="29" cm="1">
        <f t="array" ref="AB243">IF(R243="",IF(Q243="",0,(_xlfn.IFS(Q243=0.01,0.67,Q243=0.015,1,Q243=0.015,1.33,Q243=0.02,1.67,Q243=0.025,2,Q243=0.03,2.33,Q243=0.035,2.67,Q243=0.04,3)+IF(J243&lt;=0.03,"0.33",0))),(_xlfn.IFS(R243=0.01,0.67,R243=0.015,1,R243=0.015,1.33,R243=0.02,1.67,R243=0.025,2,R243=0.03,2.33,R243=0.035,2.67,R243=0.04,3)+IF(J243&lt;=0.03,"0.33",0)))</f>
        <v>2</v>
      </c>
      <c r="AC243" s="29">
        <f t="shared" si="5"/>
        <v>1.6835016835016836</v>
      </c>
      <c r="AD243" s="20" t="e">
        <f>VLOOKUP(F243,铝耗2026年!$A$2:$B$5000,2,0)</f>
        <v>#N/A</v>
      </c>
      <c r="AE243" s="20">
        <f>VLOOKUP(F243,铝耗2025年!$A$2:$B$5000,2,0)</f>
        <v>2.2000000000000002</v>
      </c>
      <c r="AF243" s="20">
        <v>2.2000000000000002</v>
      </c>
    </row>
    <row r="244" spans="1:32" hidden="1" x14ac:dyDescent="0.3">
      <c r="A244" s="7">
        <v>241</v>
      </c>
      <c r="B244" s="10" t="s">
        <v>446</v>
      </c>
      <c r="C244" s="10" t="s">
        <v>34</v>
      </c>
      <c r="D244" s="10">
        <v>6</v>
      </c>
      <c r="E244" s="10">
        <v>16</v>
      </c>
      <c r="F244" s="10" t="s">
        <v>447</v>
      </c>
      <c r="G244" s="39" t="s">
        <v>448</v>
      </c>
      <c r="H244" s="10">
        <v>1520</v>
      </c>
      <c r="I244" s="40">
        <v>0.06</v>
      </c>
      <c r="J244" s="41">
        <v>0.23</v>
      </c>
      <c r="K244" s="41">
        <v>1.35</v>
      </c>
      <c r="L244" s="40">
        <v>0.01</v>
      </c>
      <c r="M244" s="40">
        <v>3.0000000000000001E-3</v>
      </c>
      <c r="N244" s="40" t="s">
        <v>39</v>
      </c>
      <c r="O244" s="40">
        <v>3.5000000000000003E-2</v>
      </c>
      <c r="P244" s="40">
        <v>4.4999999999999998E-2</v>
      </c>
      <c r="Q244" s="40">
        <v>2.5000000000000001E-2</v>
      </c>
      <c r="R244" s="40" t="s">
        <v>39</v>
      </c>
      <c r="S244" s="42"/>
      <c r="T244" s="41"/>
      <c r="U244" s="41"/>
      <c r="V244" s="41"/>
      <c r="W244" s="41"/>
      <c r="X244" s="42"/>
      <c r="Y244" s="43" t="s">
        <v>39</v>
      </c>
      <c r="Z244" s="10">
        <v>40</v>
      </c>
      <c r="AA244" s="43" t="s">
        <v>39</v>
      </c>
      <c r="AB244" s="29" cm="1">
        <f t="array" ref="AB244">IF(R244="",IF(Q244="",0,(_xlfn.IFS(Q244=0.01,0.67,Q244=0.015,1,Q244=0.015,1.33,Q244=0.02,1.67,Q244=0.025,2,Q244=0.03,2.33,Q244=0.035,2.67,Q244=0.04,3)+IF(J244&lt;=0.03,"0.33",0))),(_xlfn.IFS(R244=0.01,0.67,R244=0.015,1,R244=0.015,1.33,R244=0.02,1.67,R244=0.025,2,R244=0.03,2.33,R244=0.035,2.67,R244=0.04,3)+IF(J244&lt;=0.03,"0.33",0)))</f>
        <v>2</v>
      </c>
      <c r="AC244" s="29">
        <f t="shared" si="5"/>
        <v>1.6835016835016836</v>
      </c>
      <c r="AD244" s="20" t="e">
        <f>VLOOKUP(F244,铝耗2026年!$A$2:$B$5000,2,0)</f>
        <v>#N/A</v>
      </c>
      <c r="AE244" s="20" t="e">
        <f>VLOOKUP(F244,铝耗2025年!$A$2:$B$5000,2,0)</f>
        <v>#N/A</v>
      </c>
      <c r="AF244" s="20">
        <v>2.2000000000000002</v>
      </c>
    </row>
    <row r="245" spans="1:32" hidden="1" x14ac:dyDescent="0.3">
      <c r="A245" s="7">
        <v>242</v>
      </c>
      <c r="B245" s="10" t="s">
        <v>446</v>
      </c>
      <c r="C245" s="10" t="s">
        <v>37</v>
      </c>
      <c r="D245" s="10">
        <v>16.010000000000002</v>
      </c>
      <c r="E245" s="10">
        <v>25</v>
      </c>
      <c r="F245" s="10" t="s">
        <v>449</v>
      </c>
      <c r="G245" s="39" t="s">
        <v>448</v>
      </c>
      <c r="H245" s="10">
        <v>1520</v>
      </c>
      <c r="I245" s="40">
        <v>0.06</v>
      </c>
      <c r="J245" s="41">
        <v>0.23</v>
      </c>
      <c r="K245" s="41">
        <v>1.45</v>
      </c>
      <c r="L245" s="40">
        <v>0.01</v>
      </c>
      <c r="M245" s="40">
        <v>3.0000000000000001E-3</v>
      </c>
      <c r="N245" s="40" t="s">
        <v>39</v>
      </c>
      <c r="O245" s="40">
        <v>0.04</v>
      </c>
      <c r="P245" s="40">
        <v>4.4999999999999998E-2</v>
      </c>
      <c r="Q245" s="40">
        <v>2.5000000000000001E-2</v>
      </c>
      <c r="R245" s="40" t="s">
        <v>39</v>
      </c>
      <c r="S245" s="42"/>
      <c r="T245" s="41"/>
      <c r="U245" s="41"/>
      <c r="V245" s="41"/>
      <c r="W245" s="41"/>
      <c r="X245" s="42"/>
      <c r="Y245" s="43" t="s">
        <v>39</v>
      </c>
      <c r="Z245" s="10">
        <v>40</v>
      </c>
      <c r="AA245" s="43" t="s">
        <v>39</v>
      </c>
      <c r="AB245" s="29" cm="1">
        <f t="array" ref="AB245">IF(R245="",IF(Q245="",0,(_xlfn.IFS(Q245=0.01,0.67,Q245=0.015,1,Q245=0.015,1.33,Q245=0.02,1.67,Q245=0.025,2,Q245=0.03,2.33,Q245=0.035,2.67,Q245=0.04,3)+IF(J245&lt;=0.03,"0.33",0))),(_xlfn.IFS(R245=0.01,0.67,R245=0.015,1,R245=0.015,1.33,R245=0.02,1.67,R245=0.025,2,R245=0.03,2.33,R245=0.035,2.67,R245=0.04,3)+IF(J245&lt;=0.03,"0.33",0)))</f>
        <v>2</v>
      </c>
      <c r="AC245" s="29">
        <f t="shared" si="5"/>
        <v>1.6835016835016836</v>
      </c>
      <c r="AD245" s="20" t="e">
        <f>VLOOKUP(F245,铝耗2026年!$A$2:$B$5000,2,0)</f>
        <v>#N/A</v>
      </c>
      <c r="AE245" s="20">
        <f>VLOOKUP(F245,铝耗2025年!$A$2:$B$5000,2,0)</f>
        <v>2.2000000000000002</v>
      </c>
      <c r="AF245" s="20">
        <v>2.2000000000000002</v>
      </c>
    </row>
    <row r="246" spans="1:32" hidden="1" x14ac:dyDescent="0.3">
      <c r="A246" s="7">
        <v>243</v>
      </c>
      <c r="B246" s="10" t="s">
        <v>450</v>
      </c>
      <c r="C246" s="10" t="s">
        <v>34</v>
      </c>
      <c r="D246" s="10">
        <v>6</v>
      </c>
      <c r="E246" s="10">
        <v>14</v>
      </c>
      <c r="F246" s="10" t="s">
        <v>451</v>
      </c>
      <c r="G246" s="39" t="s">
        <v>452</v>
      </c>
      <c r="H246" s="10">
        <v>1520</v>
      </c>
      <c r="I246" s="40">
        <v>0.06</v>
      </c>
      <c r="J246" s="41">
        <v>0.23</v>
      </c>
      <c r="K246" s="41">
        <v>1.6</v>
      </c>
      <c r="L246" s="40">
        <v>0.01</v>
      </c>
      <c r="M246" s="40">
        <v>2E-3</v>
      </c>
      <c r="N246" s="40" t="s">
        <v>39</v>
      </c>
      <c r="O246" s="40">
        <v>0.06</v>
      </c>
      <c r="P246" s="40">
        <v>1.4999999999999999E-2</v>
      </c>
      <c r="Q246" s="40">
        <v>2.5000000000000001E-2</v>
      </c>
      <c r="R246" s="40" t="s">
        <v>39</v>
      </c>
      <c r="S246" s="42"/>
      <c r="T246" s="41">
        <v>0.25</v>
      </c>
      <c r="U246" s="41"/>
      <c r="V246" s="41"/>
      <c r="W246" s="41"/>
      <c r="X246" s="42"/>
      <c r="Y246" s="43" t="s">
        <v>39</v>
      </c>
      <c r="Z246" s="10">
        <v>40</v>
      </c>
      <c r="AA246" s="43" t="s">
        <v>453</v>
      </c>
      <c r="AB246" s="29" cm="1">
        <f t="array" ref="AB246">IF(R246="",IF(Q246="",0,(_xlfn.IFS(Q246=0.01,0.67,Q246=0.015,1,Q246=0.015,1.33,Q246=0.02,1.67,Q246=0.025,2,Q246=0.03,2.33,Q246=0.035,2.67,Q246=0.04,3)+IF(J246&lt;=0.03,"0.33",0))),(_xlfn.IFS(R246=0.01,0.67,R246=0.015,1,R246=0.015,1.33,R246=0.02,1.67,R246=0.025,2,R246=0.03,2.33,R246=0.035,2.67,R246=0.04,3)+IF(J246&lt;=0.03,"0.33",0)))</f>
        <v>2</v>
      </c>
      <c r="AC246" s="29">
        <f t="shared" si="5"/>
        <v>1.6835016835016836</v>
      </c>
      <c r="AD246" s="20" t="e">
        <f>VLOOKUP(F246,铝耗2026年!$A$2:$B$5000,2,0)</f>
        <v>#N/A</v>
      </c>
      <c r="AE246" s="20">
        <f>VLOOKUP(F246,铝耗2025年!$A$2:$B$5000,2,0)</f>
        <v>2.2999999999999998</v>
      </c>
      <c r="AF246" s="20">
        <v>2.2000000000000002</v>
      </c>
    </row>
    <row r="247" spans="1:32" hidden="1" x14ac:dyDescent="0.3">
      <c r="A247" s="7">
        <v>244</v>
      </c>
      <c r="B247" s="10" t="s">
        <v>450</v>
      </c>
      <c r="C247" s="10" t="s">
        <v>37</v>
      </c>
      <c r="D247" s="10">
        <v>14.01</v>
      </c>
      <c r="E247" s="10">
        <v>19</v>
      </c>
      <c r="F247" s="10" t="s">
        <v>454</v>
      </c>
      <c r="G247" s="39" t="s">
        <v>452</v>
      </c>
      <c r="H247" s="10">
        <v>1520</v>
      </c>
      <c r="I247" s="40">
        <v>0.06</v>
      </c>
      <c r="J247" s="41">
        <v>0.23</v>
      </c>
      <c r="K247" s="41">
        <v>1.65</v>
      </c>
      <c r="L247" s="40">
        <v>0.01</v>
      </c>
      <c r="M247" s="40">
        <v>2E-3</v>
      </c>
      <c r="N247" s="40" t="s">
        <v>39</v>
      </c>
      <c r="O247" s="40">
        <v>6.5000000000000002E-2</v>
      </c>
      <c r="P247" s="40">
        <v>1.4999999999999999E-2</v>
      </c>
      <c r="Q247" s="40">
        <v>2.5000000000000001E-2</v>
      </c>
      <c r="R247" s="40" t="s">
        <v>39</v>
      </c>
      <c r="S247" s="42"/>
      <c r="T247" s="41">
        <v>0.25</v>
      </c>
      <c r="U247" s="41"/>
      <c r="V247" s="41"/>
      <c r="W247" s="41"/>
      <c r="X247" s="42"/>
      <c r="Y247" s="43" t="s">
        <v>39</v>
      </c>
      <c r="Z247" s="10">
        <v>40</v>
      </c>
      <c r="AA247" s="43" t="s">
        <v>453</v>
      </c>
      <c r="AB247" s="29" cm="1">
        <f t="array" ref="AB247">IF(R247="",IF(Q247="",0,(_xlfn.IFS(Q247=0.01,0.67,Q247=0.015,1,Q247=0.015,1.33,Q247=0.02,1.67,Q247=0.025,2,Q247=0.03,2.33,Q247=0.035,2.67,Q247=0.04,3)+IF(J247&lt;=0.03,"0.33",0))),(_xlfn.IFS(R247=0.01,0.67,R247=0.015,1,R247=0.015,1.33,R247=0.02,1.67,R247=0.025,2,R247=0.03,2.33,R247=0.035,2.67,R247=0.04,3)+IF(J247&lt;=0.03,"0.33",0)))</f>
        <v>2</v>
      </c>
      <c r="AC247" s="29">
        <f t="shared" si="5"/>
        <v>1.6835016835016836</v>
      </c>
      <c r="AD247" s="20" t="e">
        <f>VLOOKUP(F247,铝耗2026年!$A$2:$B$5000,2,0)</f>
        <v>#N/A</v>
      </c>
      <c r="AE247" s="20" t="e">
        <f>VLOOKUP(F247,铝耗2025年!$A$2:$B$5000,2,0)</f>
        <v>#N/A</v>
      </c>
      <c r="AF247" s="20">
        <v>2.2000000000000002</v>
      </c>
    </row>
    <row r="248" spans="1:32" hidden="1" x14ac:dyDescent="0.3">
      <c r="A248" s="7">
        <v>245</v>
      </c>
      <c r="B248" s="10" t="s">
        <v>455</v>
      </c>
      <c r="C248" s="10" t="s">
        <v>34</v>
      </c>
      <c r="D248" s="10">
        <v>6</v>
      </c>
      <c r="E248" s="10">
        <v>14</v>
      </c>
      <c r="F248" s="10" t="s">
        <v>456</v>
      </c>
      <c r="G248" s="39" t="s">
        <v>457</v>
      </c>
      <c r="H248" s="10">
        <v>1520</v>
      </c>
      <c r="I248" s="40">
        <v>0.06</v>
      </c>
      <c r="J248" s="41">
        <v>0.23</v>
      </c>
      <c r="K248" s="41">
        <v>1.6</v>
      </c>
      <c r="L248" s="40">
        <v>0.01</v>
      </c>
      <c r="M248" s="40">
        <v>2E-3</v>
      </c>
      <c r="N248" s="40" t="s">
        <v>39</v>
      </c>
      <c r="O248" s="40">
        <v>0.06</v>
      </c>
      <c r="P248" s="40">
        <v>1.4999999999999999E-2</v>
      </c>
      <c r="Q248" s="40">
        <v>2.5000000000000001E-2</v>
      </c>
      <c r="R248" s="40" t="s">
        <v>39</v>
      </c>
      <c r="S248" s="42"/>
      <c r="T248" s="41">
        <v>0.25</v>
      </c>
      <c r="U248" s="41"/>
      <c r="V248" s="41"/>
      <c r="W248" s="41"/>
      <c r="X248" s="42"/>
      <c r="Y248" s="43" t="s">
        <v>39</v>
      </c>
      <c r="Z248" s="10">
        <v>40</v>
      </c>
      <c r="AA248" s="43" t="s">
        <v>458</v>
      </c>
      <c r="AB248" s="29" cm="1">
        <f t="array" ref="AB248">IF(R248="",IF(Q248="",0,(_xlfn.IFS(Q248=0.01,0.67,Q248=0.015,1,Q248=0.015,1.33,Q248=0.02,1.67,Q248=0.025,2,Q248=0.03,2.33,Q248=0.035,2.67,Q248=0.04,3)+IF(J248&lt;=0.03,"0.33",0))),(_xlfn.IFS(R248=0.01,0.67,R248=0.015,1,R248=0.015,1.33,R248=0.02,1.67,R248=0.025,2,R248=0.03,2.33,R248=0.035,2.67,R248=0.04,3)+IF(J248&lt;=0.03,"0.33",0)))</f>
        <v>2</v>
      </c>
      <c r="AC248" s="29">
        <f t="shared" si="5"/>
        <v>1.6835016835016836</v>
      </c>
      <c r="AD248" s="20" t="e">
        <f>VLOOKUP(F248,铝耗2026年!$A$2:$B$5000,2,0)</f>
        <v>#N/A</v>
      </c>
      <c r="AE248" s="20" t="e">
        <f>VLOOKUP(F248,铝耗2025年!$A$2:$B$5000,2,0)</f>
        <v>#N/A</v>
      </c>
      <c r="AF248" s="20">
        <v>2.2000000000000002</v>
      </c>
    </row>
    <row r="249" spans="1:32" hidden="1" x14ac:dyDescent="0.3">
      <c r="A249" s="7">
        <v>246</v>
      </c>
      <c r="B249" s="10" t="s">
        <v>455</v>
      </c>
      <c r="C249" s="10" t="s">
        <v>37</v>
      </c>
      <c r="D249" s="10">
        <v>14.01</v>
      </c>
      <c r="E249" s="10">
        <v>24</v>
      </c>
      <c r="F249" s="10" t="s">
        <v>459</v>
      </c>
      <c r="G249" s="39" t="s">
        <v>457</v>
      </c>
      <c r="H249" s="10">
        <v>1520</v>
      </c>
      <c r="I249" s="40">
        <v>0.06</v>
      </c>
      <c r="J249" s="41">
        <v>0.23</v>
      </c>
      <c r="K249" s="41">
        <v>1.65</v>
      </c>
      <c r="L249" s="40">
        <v>0.01</v>
      </c>
      <c r="M249" s="40">
        <v>2E-3</v>
      </c>
      <c r="N249" s="40" t="s">
        <v>39</v>
      </c>
      <c r="O249" s="40">
        <v>6.5000000000000002E-2</v>
      </c>
      <c r="P249" s="40">
        <v>1.4999999999999999E-2</v>
      </c>
      <c r="Q249" s="40">
        <v>2.5000000000000001E-2</v>
      </c>
      <c r="R249" s="40" t="s">
        <v>39</v>
      </c>
      <c r="S249" s="42"/>
      <c r="T249" s="41">
        <v>0.25</v>
      </c>
      <c r="U249" s="41"/>
      <c r="V249" s="41"/>
      <c r="W249" s="41"/>
      <c r="X249" s="42"/>
      <c r="Y249" s="43" t="s">
        <v>39</v>
      </c>
      <c r="Z249" s="10">
        <v>40</v>
      </c>
      <c r="AA249" s="43" t="s">
        <v>458</v>
      </c>
      <c r="AB249" s="29" cm="1">
        <f t="array" ref="AB249">IF(R249="",IF(Q249="",0,(_xlfn.IFS(Q249=0.01,0.67,Q249=0.015,1,Q249=0.015,1.33,Q249=0.02,1.67,Q249=0.025,2,Q249=0.03,2.33,Q249=0.035,2.67,Q249=0.04,3)+IF(J249&lt;=0.03,"0.33",0))),(_xlfn.IFS(R249=0.01,0.67,R249=0.015,1,R249=0.015,1.33,R249=0.02,1.67,R249=0.025,2,R249=0.03,2.33,R249=0.035,2.67,R249=0.04,3)+IF(J249&lt;=0.03,"0.33",0)))</f>
        <v>2</v>
      </c>
      <c r="AC249" s="29">
        <f t="shared" si="5"/>
        <v>1.6835016835016836</v>
      </c>
      <c r="AD249" s="20" t="e">
        <f>VLOOKUP(F249,铝耗2026年!$A$2:$B$5000,2,0)</f>
        <v>#N/A</v>
      </c>
      <c r="AE249" s="20" t="e">
        <f>VLOOKUP(F249,铝耗2025年!$A$2:$B$5000,2,0)</f>
        <v>#N/A</v>
      </c>
      <c r="AF249" s="20">
        <v>2.2000000000000002</v>
      </c>
    </row>
    <row r="250" spans="1:32" hidden="1" x14ac:dyDescent="0.3">
      <c r="A250" s="7">
        <v>247</v>
      </c>
      <c r="B250" s="10" t="s">
        <v>460</v>
      </c>
      <c r="C250" s="10" t="s">
        <v>34</v>
      </c>
      <c r="D250" s="10">
        <v>6</v>
      </c>
      <c r="E250" s="10">
        <v>16</v>
      </c>
      <c r="F250" s="10" t="s">
        <v>461</v>
      </c>
      <c r="G250" s="39" t="s">
        <v>462</v>
      </c>
      <c r="H250" s="10">
        <v>1520</v>
      </c>
      <c r="I250" s="40">
        <v>0.04</v>
      </c>
      <c r="J250" s="41">
        <v>0.23</v>
      </c>
      <c r="K250" s="41">
        <v>1.8</v>
      </c>
      <c r="L250" s="40">
        <v>0.01</v>
      </c>
      <c r="M250" s="40">
        <v>2E-3</v>
      </c>
      <c r="N250" s="40"/>
      <c r="O250" s="40">
        <v>0.08</v>
      </c>
      <c r="P250" s="40">
        <v>1.2E-2</v>
      </c>
      <c r="Q250" s="40">
        <v>2.5000000000000001E-2</v>
      </c>
      <c r="R250" s="40" t="s">
        <v>39</v>
      </c>
      <c r="S250" s="42"/>
      <c r="T250" s="41">
        <v>0.25</v>
      </c>
      <c r="U250" s="41"/>
      <c r="V250" s="41"/>
      <c r="W250" s="41">
        <v>0.18</v>
      </c>
      <c r="X250" s="42"/>
      <c r="Y250" s="43" t="s">
        <v>39</v>
      </c>
      <c r="Z250" s="10">
        <v>40</v>
      </c>
      <c r="AA250" s="43" t="s">
        <v>463</v>
      </c>
      <c r="AB250" s="29" cm="1">
        <f t="array" ref="AB250">IF(R250="",IF(Q250="",0,(_xlfn.IFS(Q250=0.01,0.67,Q250=0.015,1,Q250=0.015,1.33,Q250=0.02,1.67,Q250=0.025,2,Q250=0.03,2.33,Q250=0.035,2.67,Q250=0.04,3)+IF(J250&lt;=0.03,"0.33",0))),(_xlfn.IFS(R250=0.01,0.67,R250=0.015,1,R250=0.015,1.33,R250=0.02,1.67,R250=0.025,2,R250=0.03,2.33,R250=0.035,2.67,R250=0.04,3)+IF(J250&lt;=0.03,"0.33",0)))</f>
        <v>2</v>
      </c>
      <c r="AC250" s="29">
        <f t="shared" si="5"/>
        <v>1.6835016835016836</v>
      </c>
      <c r="AD250" s="20" t="e">
        <f>VLOOKUP(F250,铝耗2026年!$A$2:$B$5000,2,0)</f>
        <v>#N/A</v>
      </c>
      <c r="AE250" s="20">
        <f>VLOOKUP(F250,铝耗2025年!$A$2:$B$5000,2,0)</f>
        <v>2.2999999999999998</v>
      </c>
      <c r="AF250" s="20">
        <v>2.2999999999999998</v>
      </c>
    </row>
    <row r="251" spans="1:32" x14ac:dyDescent="0.3">
      <c r="A251" s="7">
        <v>248</v>
      </c>
      <c r="B251" s="10" t="s">
        <v>460</v>
      </c>
      <c r="C251" s="10" t="s">
        <v>37</v>
      </c>
      <c r="D251" s="10">
        <v>16.010000000000002</v>
      </c>
      <c r="E251" s="10">
        <v>19</v>
      </c>
      <c r="F251" s="10" t="s">
        <v>464</v>
      </c>
      <c r="G251" s="39" t="s">
        <v>462</v>
      </c>
      <c r="H251" s="10">
        <v>1520</v>
      </c>
      <c r="I251" s="40">
        <v>4.4999999999999998E-2</v>
      </c>
      <c r="J251" s="41">
        <v>0.23</v>
      </c>
      <c r="K251" s="41">
        <v>1.8</v>
      </c>
      <c r="L251" s="40">
        <v>0.01</v>
      </c>
      <c r="M251" s="40">
        <v>2E-3</v>
      </c>
      <c r="N251" s="40">
        <v>0.04</v>
      </c>
      <c r="O251" s="40">
        <v>0.08</v>
      </c>
      <c r="P251" s="40">
        <v>1.2E-2</v>
      </c>
      <c r="Q251" s="40">
        <v>2.5000000000000001E-2</v>
      </c>
      <c r="R251" s="40" t="s">
        <v>39</v>
      </c>
      <c r="S251" s="42"/>
      <c r="T251" s="41">
        <v>0.35</v>
      </c>
      <c r="U251" s="41"/>
      <c r="V251" s="41"/>
      <c r="W251" s="41">
        <v>0.18</v>
      </c>
      <c r="X251" s="42"/>
      <c r="Y251" s="43" t="s">
        <v>39</v>
      </c>
      <c r="Z251" s="10">
        <v>40</v>
      </c>
      <c r="AA251" s="43" t="s">
        <v>463</v>
      </c>
      <c r="AB251" s="29" cm="1">
        <f t="array" ref="AB251">IF(R251="",IF(Q251="",0,(_xlfn.IFS(Q251=0.01,0.67,Q251=0.015,1,Q251=0.015,1.33,Q251=0.02,1.67,Q251=0.025,2,Q251=0.03,2.33,Q251=0.035,2.67,Q251=0.04,3)+IF(J251&lt;=0.03,"0.33",0))),(_xlfn.IFS(R251=0.01,0.67,R251=0.015,1,R251=0.015,1.33,R251=0.02,1.67,R251=0.025,2,R251=0.03,2.33,R251=0.035,2.67,R251=0.04,3)+IF(J251&lt;=0.03,"0.33",0)))</f>
        <v>2</v>
      </c>
      <c r="AC251" s="29">
        <f t="shared" si="5"/>
        <v>1.6835016835016836</v>
      </c>
      <c r="AD251" s="20" t="e">
        <f>VLOOKUP(F251,铝耗2026年!$A$2:$B$5000,2,0)</f>
        <v>#N/A</v>
      </c>
      <c r="AE251" s="20" t="e">
        <f>VLOOKUP(F251,铝耗2025年!$A$2:$B$5000,2,0)</f>
        <v>#N/A</v>
      </c>
      <c r="AF251" s="20">
        <v>2.2999999999999998</v>
      </c>
    </row>
    <row r="252" spans="1:32" hidden="1" x14ac:dyDescent="0.3">
      <c r="A252" s="7">
        <v>249</v>
      </c>
      <c r="B252" s="11" t="s">
        <v>465</v>
      </c>
      <c r="C252" s="11" t="s">
        <v>34</v>
      </c>
      <c r="D252" s="11">
        <v>1.2</v>
      </c>
      <c r="E252" s="11">
        <v>12</v>
      </c>
      <c r="F252" s="11" t="s">
        <v>466</v>
      </c>
      <c r="G252" s="61" t="s">
        <v>467</v>
      </c>
      <c r="H252" s="11">
        <v>1519</v>
      </c>
      <c r="I252" s="11">
        <v>0.16</v>
      </c>
      <c r="J252" s="11">
        <v>0.1</v>
      </c>
      <c r="K252" s="11">
        <v>0.4</v>
      </c>
      <c r="L252" s="11">
        <v>1.4999999999999999E-2</v>
      </c>
      <c r="M252" s="11">
        <v>0.01</v>
      </c>
      <c r="N252" s="11" t="s">
        <v>39</v>
      </c>
      <c r="O252" s="11" t="s">
        <v>39</v>
      </c>
      <c r="P252" s="11" t="s">
        <v>39</v>
      </c>
      <c r="Q252" s="11">
        <v>0.02</v>
      </c>
      <c r="R252" s="11" t="s">
        <v>39</v>
      </c>
      <c r="S252" s="11" t="s">
        <v>39</v>
      </c>
      <c r="T252" s="11">
        <v>0</v>
      </c>
      <c r="U252" s="11">
        <v>0</v>
      </c>
      <c r="V252" s="11">
        <v>0</v>
      </c>
      <c r="W252" s="11">
        <v>0</v>
      </c>
      <c r="X252" s="11">
        <v>0</v>
      </c>
      <c r="Y252" s="11" t="s">
        <v>39</v>
      </c>
      <c r="Z252" s="11" t="s">
        <v>39</v>
      </c>
      <c r="AA252" s="11"/>
      <c r="AB252" s="45" cm="1">
        <f t="array" ref="AB252">IF(R252="",IF(Q252="",0,(_xlfn.IFS(Q252=0.01,0.67,Q252=0.015,1,Q252=0.015,1.33,Q252=0.02,1.67,Q252=0.025,2,Q252=0.03,2.33,Q252=0.035,2.67,Q252=0.04,3)+IF(J252&lt;=0.03,"0.33",0))),(_xlfn.IFS(R252=0.01,0.67,R252=0.015,1,R252=0.015,1.33,R252=0.02,1.67,R252=0.025,2,R252=0.03,2.33,R252=0.035,2.67,R252=0.04,3)+IF(J252&lt;=0.03,"0.33",0)))</f>
        <v>1.67</v>
      </c>
      <c r="AC252" s="29">
        <f t="shared" si="5"/>
        <v>1.3468013468013469</v>
      </c>
      <c r="AD252" s="20" t="e">
        <f>VLOOKUP(F252,铝耗2026年!$A$2:$B$5000,2,0)</f>
        <v>#N/A</v>
      </c>
      <c r="AE252" s="20" t="e">
        <f>VLOOKUP(F252,铝耗2025年!$A$2:$B$5000,2,0)</f>
        <v>#N/A</v>
      </c>
      <c r="AF252" s="20">
        <v>1.6</v>
      </c>
    </row>
    <row r="253" spans="1:32" hidden="1" x14ac:dyDescent="0.3">
      <c r="A253" s="7">
        <v>250</v>
      </c>
      <c r="B253" s="11" t="s">
        <v>465</v>
      </c>
      <c r="C253" s="11" t="s">
        <v>37</v>
      </c>
      <c r="D253" s="11">
        <v>12.01</v>
      </c>
      <c r="E253" s="11">
        <v>25.4</v>
      </c>
      <c r="F253" s="11" t="s">
        <v>468</v>
      </c>
      <c r="G253" s="61" t="s">
        <v>467</v>
      </c>
      <c r="H253" s="11">
        <v>1519</v>
      </c>
      <c r="I253" s="11">
        <v>0.16</v>
      </c>
      <c r="J253" s="11">
        <v>0.1</v>
      </c>
      <c r="K253" s="11">
        <v>0.45</v>
      </c>
      <c r="L253" s="11">
        <v>1.4999999999999999E-2</v>
      </c>
      <c r="M253" s="11">
        <v>0.01</v>
      </c>
      <c r="N253" s="11" t="s">
        <v>39</v>
      </c>
      <c r="O253" s="11" t="s">
        <v>39</v>
      </c>
      <c r="P253" s="11" t="s">
        <v>39</v>
      </c>
      <c r="Q253" s="11">
        <v>0.02</v>
      </c>
      <c r="R253" s="11" t="s">
        <v>39</v>
      </c>
      <c r="S253" s="11" t="s">
        <v>39</v>
      </c>
      <c r="T253" s="11">
        <v>0</v>
      </c>
      <c r="U253" s="11">
        <v>0</v>
      </c>
      <c r="V253" s="11">
        <v>0</v>
      </c>
      <c r="W253" s="11">
        <v>0</v>
      </c>
      <c r="X253" s="11">
        <v>0</v>
      </c>
      <c r="Y253" s="11" t="s">
        <v>39</v>
      </c>
      <c r="Z253" s="11" t="s">
        <v>39</v>
      </c>
      <c r="AA253" s="11"/>
      <c r="AB253" s="45" cm="1">
        <f t="array" ref="AB253">IF(R253="",IF(Q253="",0,(_xlfn.IFS(Q253=0.01,0.67,Q253=0.015,1,Q253=0.015,1.33,Q253=0.02,1.67,Q253=0.025,2,Q253=0.03,2.33,Q253=0.035,2.67,Q253=0.04,3)+IF(J253&lt;=0.03,"0.33",0))),(_xlfn.IFS(R253=0.01,0.67,R253=0.015,1,R253=0.015,1.33,R253=0.02,1.67,R253=0.025,2,R253=0.03,2.33,R253=0.035,2.67,R253=0.04,3)+IF(J253&lt;=0.03,"0.33",0)))</f>
        <v>1.67</v>
      </c>
      <c r="AC253" s="29">
        <f t="shared" si="5"/>
        <v>1.3468013468013469</v>
      </c>
      <c r="AD253" s="20" t="e">
        <f>VLOOKUP(F253,铝耗2026年!$A$2:$B$5000,2,0)</f>
        <v>#N/A</v>
      </c>
      <c r="AE253" s="20" t="e">
        <f>VLOOKUP(F253,铝耗2025年!$A$2:$B$5000,2,0)</f>
        <v>#N/A</v>
      </c>
      <c r="AF253" s="20">
        <v>1.6</v>
      </c>
    </row>
    <row r="254" spans="1:32" hidden="1" x14ac:dyDescent="0.3">
      <c r="A254" s="7">
        <v>251</v>
      </c>
      <c r="B254" s="10" t="s">
        <v>469</v>
      </c>
      <c r="C254" s="10" t="s">
        <v>34</v>
      </c>
      <c r="D254" s="10">
        <v>2.5</v>
      </c>
      <c r="E254" s="10">
        <v>10</v>
      </c>
      <c r="F254" s="10" t="s">
        <v>469</v>
      </c>
      <c r="G254" s="39" t="s">
        <v>470</v>
      </c>
      <c r="H254" s="10">
        <v>1512</v>
      </c>
      <c r="I254" s="40">
        <v>0.18</v>
      </c>
      <c r="J254" s="41">
        <v>0.1</v>
      </c>
      <c r="K254" s="41">
        <v>1.25</v>
      </c>
      <c r="L254" s="40">
        <v>0.02</v>
      </c>
      <c r="M254" s="40">
        <v>0.01</v>
      </c>
      <c r="N254" s="40"/>
      <c r="O254" s="40"/>
      <c r="P254" s="40">
        <v>2.5000000000000001E-2</v>
      </c>
      <c r="Q254" s="40">
        <v>0.02</v>
      </c>
      <c r="R254" s="40" t="s">
        <v>39</v>
      </c>
      <c r="S254" s="42"/>
      <c r="T254" s="41"/>
      <c r="U254" s="41"/>
      <c r="V254" s="41"/>
      <c r="W254" s="41" t="s">
        <v>39</v>
      </c>
      <c r="X254" s="42" t="s">
        <v>39</v>
      </c>
      <c r="Y254" s="43" t="s">
        <v>39</v>
      </c>
      <c r="Z254" s="10">
        <v>45</v>
      </c>
      <c r="AA254" s="43"/>
      <c r="AB254" s="29" cm="1">
        <f t="array" ref="AB254">IF(R254="",IF(Q254="",0,(_xlfn.IFS(Q254=0.01,0.67,Q254=0.015,1,Q254=0.015,1.33,Q254=0.02,1.67,Q254=0.025,2,Q254=0.03,2.33,Q254=0.035,2.67,Q254=0.04,3)+IF(J254&lt;=0.03,"0.33",0))),(_xlfn.IFS(R254=0.01,0.67,R254=0.015,1,R254=0.015,1.33,R254=0.02,1.67,R254=0.025,2,R254=0.03,2.33,R254=0.035,2.67,R254=0.04,3)+IF(J254&lt;=0.03,"0.33",0)))</f>
        <v>1.67</v>
      </c>
      <c r="AC254" s="29">
        <f t="shared" si="5"/>
        <v>1.3468013468013469</v>
      </c>
      <c r="AD254" s="20" t="e">
        <f>VLOOKUP(F254,铝耗2026年!$A$2:$B$5000,2,0)</f>
        <v>#N/A</v>
      </c>
      <c r="AE254" s="20" t="e">
        <f>VLOOKUP(F254,铝耗2025年!$A$2:$B$5000,2,0)</f>
        <v>#N/A</v>
      </c>
      <c r="AF254" s="20">
        <v>1.6</v>
      </c>
    </row>
    <row r="255" spans="1:32" hidden="1" x14ac:dyDescent="0.3">
      <c r="A255" s="7">
        <v>252</v>
      </c>
      <c r="B255" s="10" t="s">
        <v>471</v>
      </c>
      <c r="C255" s="10" t="s">
        <v>34</v>
      </c>
      <c r="D255" s="10">
        <v>3</v>
      </c>
      <c r="E255" s="10">
        <v>10</v>
      </c>
      <c r="F255" s="10" t="s">
        <v>471</v>
      </c>
      <c r="G255" s="39" t="s">
        <v>472</v>
      </c>
      <c r="H255" s="10">
        <v>1512</v>
      </c>
      <c r="I255" s="40">
        <v>0.16</v>
      </c>
      <c r="J255" s="41">
        <v>0.18</v>
      </c>
      <c r="K255" s="41">
        <v>1.4</v>
      </c>
      <c r="L255" s="40">
        <v>1.4999999999999999E-2</v>
      </c>
      <c r="M255" s="40">
        <v>5.0000000000000001E-3</v>
      </c>
      <c r="N255" s="40"/>
      <c r="O255" s="40" t="s">
        <v>39</v>
      </c>
      <c r="P255" s="40">
        <v>0.03</v>
      </c>
      <c r="Q255" s="40">
        <v>0.03</v>
      </c>
      <c r="R255" s="40" t="s">
        <v>39</v>
      </c>
      <c r="S255" s="42"/>
      <c r="T255" s="41"/>
      <c r="U255" s="41"/>
      <c r="V255" s="41">
        <v>0.25</v>
      </c>
      <c r="W255" s="41" t="s">
        <v>39</v>
      </c>
      <c r="X255" s="42" t="s">
        <v>39</v>
      </c>
      <c r="Y255" s="43" t="s">
        <v>39</v>
      </c>
      <c r="Z255" s="10">
        <v>45</v>
      </c>
      <c r="AA255" s="43" t="s">
        <v>39</v>
      </c>
      <c r="AB255" s="29" cm="1">
        <f t="array" ref="AB255">IF(R255="",IF(Q255="",0,(_xlfn.IFS(Q255=0.01,0.67,Q255=0.015,1,Q255=0.015,1.33,Q255=0.02,1.67,Q255=0.025,2,Q255=0.03,2.33,Q255=0.035,2.67,Q255=0.04,3)+IF(J255&lt;=0.03,"0.33",0))),(_xlfn.IFS(R255=0.01,0.67,R255=0.015,1,R255=0.015,1.33,R255=0.02,1.67,R255=0.025,2,R255=0.03,2.33,R255=0.035,2.67,R255=0.04,3)+IF(J255&lt;=0.03,"0.33",0)))</f>
        <v>2.33</v>
      </c>
      <c r="AC255" s="29">
        <f t="shared" si="5"/>
        <v>2.0202020202020203</v>
      </c>
      <c r="AD255" s="20">
        <f>VLOOKUP(F255,铝耗2026年!$A$2:$B$5000,2,0)</f>
        <v>1.53872872834192</v>
      </c>
      <c r="AE255" s="20">
        <f>VLOOKUP(F255,铝耗2025年!$A$2:$B$5000,2,0)</f>
        <v>1.7</v>
      </c>
      <c r="AF255" s="20">
        <f>MAX(AD255:AE255)</f>
        <v>1.7</v>
      </c>
    </row>
    <row r="256" spans="1:32" hidden="1" x14ac:dyDescent="0.3">
      <c r="A256" s="7">
        <v>253</v>
      </c>
      <c r="B256" s="10" t="s">
        <v>473</v>
      </c>
      <c r="C256" s="10" t="s">
        <v>34</v>
      </c>
      <c r="D256" s="10">
        <v>3</v>
      </c>
      <c r="E256" s="10">
        <v>10</v>
      </c>
      <c r="F256" s="10" t="s">
        <v>473</v>
      </c>
      <c r="G256" s="39" t="s">
        <v>474</v>
      </c>
      <c r="H256" s="10">
        <v>1523</v>
      </c>
      <c r="I256" s="40">
        <v>7.0000000000000007E-2</v>
      </c>
      <c r="J256" s="41">
        <v>0.25</v>
      </c>
      <c r="K256" s="41">
        <v>0.5</v>
      </c>
      <c r="L256" s="40">
        <v>1.4999999999999999E-2</v>
      </c>
      <c r="M256" s="40">
        <v>5.0000000000000001E-3</v>
      </c>
      <c r="N256" s="40" t="s">
        <v>39</v>
      </c>
      <c r="O256" s="40"/>
      <c r="P256" s="40"/>
      <c r="Q256" s="40">
        <v>0.02</v>
      </c>
      <c r="R256" s="40" t="s">
        <v>39</v>
      </c>
      <c r="S256" s="42"/>
      <c r="T256" s="41">
        <v>0.75</v>
      </c>
      <c r="U256" s="41">
        <v>0.08</v>
      </c>
      <c r="V256" s="41">
        <v>0.27</v>
      </c>
      <c r="W256" s="41"/>
      <c r="X256" s="42" t="s">
        <v>39</v>
      </c>
      <c r="Y256" s="43">
        <v>0.05</v>
      </c>
      <c r="Z256" s="10">
        <v>45</v>
      </c>
      <c r="AA256" s="43"/>
      <c r="AB256" s="29" cm="1">
        <f t="array" ref="AB256">IF(R256="",IF(Q256="",0,(_xlfn.IFS(Q256=0.01,0.67,Q256=0.015,1,Q256=0.015,1.33,Q256=0.02,1.67,Q256=0.025,2,Q256=0.03,2.33,Q256=0.035,2.67,Q256=0.04,3)+IF(J256&lt;=0.03,"0.33",0))),(_xlfn.IFS(R256=0.01,0.67,R256=0.015,1,R256=0.015,1.33,R256=0.02,1.67,R256=0.025,2,R256=0.03,2.33,R256=0.035,2.67,R256=0.04,3)+IF(J256&lt;=0.03,"0.33",0)))</f>
        <v>1.67</v>
      </c>
      <c r="AC256" s="29">
        <f t="shared" si="5"/>
        <v>1.3468013468013469</v>
      </c>
      <c r="AD256" s="20" t="e">
        <f>VLOOKUP(F256,铝耗2026年!$A$2:$B$5000,2,0)</f>
        <v>#N/A</v>
      </c>
      <c r="AE256" s="20">
        <f>VLOOKUP(F256,铝耗2025年!$A$2:$B$5000,2,0)</f>
        <v>2.1</v>
      </c>
      <c r="AF256" s="20">
        <v>2.1</v>
      </c>
    </row>
    <row r="257" spans="1:32" hidden="1" x14ac:dyDescent="0.3">
      <c r="A257" s="7">
        <v>254</v>
      </c>
      <c r="B257" s="10" t="s">
        <v>475</v>
      </c>
      <c r="C257" s="10" t="s">
        <v>34</v>
      </c>
      <c r="D257" s="10">
        <v>3</v>
      </c>
      <c r="E257" s="10">
        <v>9.99</v>
      </c>
      <c r="F257" s="10" t="s">
        <v>476</v>
      </c>
      <c r="G257" s="39" t="s">
        <v>477</v>
      </c>
      <c r="H257" s="10">
        <v>1522</v>
      </c>
      <c r="I257" s="40">
        <v>0.08</v>
      </c>
      <c r="J257" s="41">
        <v>0.25</v>
      </c>
      <c r="K257" s="41">
        <v>0.3</v>
      </c>
      <c r="L257" s="40">
        <v>0.02</v>
      </c>
      <c r="M257" s="40">
        <v>4.0000000000000001E-3</v>
      </c>
      <c r="N257" s="40" t="s">
        <v>39</v>
      </c>
      <c r="O257" s="40" t="s">
        <v>39</v>
      </c>
      <c r="P257" s="40" t="s">
        <v>39</v>
      </c>
      <c r="Q257" s="40" t="s">
        <v>39</v>
      </c>
      <c r="R257" s="40">
        <v>0.03</v>
      </c>
      <c r="S257" s="42"/>
      <c r="T257" s="41">
        <v>0.45</v>
      </c>
      <c r="U257" s="41">
        <v>7.0000000000000007E-2</v>
      </c>
      <c r="V257" s="41">
        <v>0.28000000000000003</v>
      </c>
      <c r="W257" s="41"/>
      <c r="X257" s="42" t="s">
        <v>39</v>
      </c>
      <c r="Y257" s="43" t="s">
        <v>39</v>
      </c>
      <c r="Z257" s="10">
        <v>45</v>
      </c>
      <c r="AA257" s="43"/>
      <c r="AB257" s="29" cm="1">
        <f t="array" ref="AB257">IF(R257="",IF(Q257="",0,(_xlfn.IFS(Q257=0.01,0.67,Q257=0.015,1,Q257=0.015,1.33,Q257=0.02,1.67,Q257=0.025,2,Q257=0.03,2.33,Q257=0.035,2.67,Q257=0.04,3)+IF(J257&lt;=0.03,"0.33",0))),(_xlfn.IFS(R257=0.01,0.67,R257=0.015,1,R257=0.015,1.33,R257=0.02,1.67,R257=0.025,2,R257=0.03,2.33,R257=0.035,2.67,R257=0.04,3)+IF(J257&lt;=0.03,"0.33",0)))</f>
        <v>2.33</v>
      </c>
      <c r="AC257" s="29">
        <f t="shared" si="5"/>
        <v>2.0202020202020203</v>
      </c>
      <c r="AD257" s="20" t="e">
        <f>VLOOKUP(F257,铝耗2026年!$A$2:$B$5000,2,0)</f>
        <v>#N/A</v>
      </c>
      <c r="AE257" s="20" t="e">
        <f>VLOOKUP(F257,铝耗2025年!$A$2:$B$5000,2,0)</f>
        <v>#N/A</v>
      </c>
      <c r="AF257" s="20">
        <v>2.33</v>
      </c>
    </row>
    <row r="258" spans="1:32" hidden="1" x14ac:dyDescent="0.3">
      <c r="A258" s="7">
        <v>255</v>
      </c>
      <c r="B258" s="10" t="s">
        <v>475</v>
      </c>
      <c r="C258" s="10" t="s">
        <v>37</v>
      </c>
      <c r="D258" s="10">
        <v>10</v>
      </c>
      <c r="E258" s="10">
        <v>20</v>
      </c>
      <c r="F258" s="10" t="s">
        <v>478</v>
      </c>
      <c r="G258" s="39" t="s">
        <v>477</v>
      </c>
      <c r="H258" s="10">
        <v>1522</v>
      </c>
      <c r="I258" s="40">
        <v>0.08</v>
      </c>
      <c r="J258" s="41">
        <v>0.25</v>
      </c>
      <c r="K258" s="41">
        <v>0.4</v>
      </c>
      <c r="L258" s="40">
        <v>0.02</v>
      </c>
      <c r="M258" s="40">
        <v>4.0000000000000001E-3</v>
      </c>
      <c r="N258" s="40" t="s">
        <v>39</v>
      </c>
      <c r="O258" s="40" t="s">
        <v>39</v>
      </c>
      <c r="P258" s="40" t="s">
        <v>39</v>
      </c>
      <c r="Q258" s="40" t="s">
        <v>39</v>
      </c>
      <c r="R258" s="40">
        <v>0.03</v>
      </c>
      <c r="S258" s="42"/>
      <c r="T258" s="41">
        <v>0.5</v>
      </c>
      <c r="U258" s="41">
        <v>7.0000000000000007E-2</v>
      </c>
      <c r="V258" s="41">
        <v>0.28000000000000003</v>
      </c>
      <c r="W258" s="41"/>
      <c r="X258" s="42" t="s">
        <v>39</v>
      </c>
      <c r="Y258" s="43" t="s">
        <v>39</v>
      </c>
      <c r="Z258" s="10">
        <v>45</v>
      </c>
      <c r="AA258" s="43"/>
      <c r="AB258" s="29" cm="1">
        <f t="array" ref="AB258">IF(R258="",IF(Q258="",0,(_xlfn.IFS(Q258=0.01,0.67,Q258=0.015,1,Q258=0.015,1.33,Q258=0.02,1.67,Q258=0.025,2,Q258=0.03,2.33,Q258=0.035,2.67,Q258=0.04,3)+IF(J258&lt;=0.03,"0.33",0))),(_xlfn.IFS(R258=0.01,0.67,R258=0.015,1,R258=0.015,1.33,R258=0.02,1.67,R258=0.025,2,R258=0.03,2.33,R258=0.035,2.67,R258=0.04,3)+IF(J258&lt;=0.03,"0.33",0)))</f>
        <v>2.33</v>
      </c>
      <c r="AC258" s="29">
        <f t="shared" si="5"/>
        <v>2.0202020202020203</v>
      </c>
      <c r="AD258" s="20" t="e">
        <f>VLOOKUP(F258,铝耗2026年!$A$2:$B$5000,2,0)</f>
        <v>#N/A</v>
      </c>
      <c r="AE258" s="20" t="e">
        <f>VLOOKUP(F258,铝耗2025年!$A$2:$B$5000,2,0)</f>
        <v>#N/A</v>
      </c>
      <c r="AF258" s="20">
        <v>2.33</v>
      </c>
    </row>
    <row r="259" spans="1:32" hidden="1" x14ac:dyDescent="0.3">
      <c r="A259" s="7">
        <v>256</v>
      </c>
      <c r="B259" s="10" t="s">
        <v>479</v>
      </c>
      <c r="C259" s="10" t="s">
        <v>34</v>
      </c>
      <c r="D259" s="10">
        <v>3</v>
      </c>
      <c r="E259" s="10">
        <v>10</v>
      </c>
      <c r="F259" s="10" t="s">
        <v>480</v>
      </c>
      <c r="G259" s="39" t="s">
        <v>481</v>
      </c>
      <c r="H259" s="10">
        <v>1518</v>
      </c>
      <c r="I259" s="40">
        <v>7.4999999999999997E-2</v>
      </c>
      <c r="J259" s="41">
        <v>0.25</v>
      </c>
      <c r="K259" s="41">
        <v>1.1000000000000001</v>
      </c>
      <c r="L259" s="40">
        <v>0.02</v>
      </c>
      <c r="M259" s="40">
        <v>5.0000000000000001E-3</v>
      </c>
      <c r="N259" s="40">
        <v>3.5000000000000003E-2</v>
      </c>
      <c r="O259" s="40" t="s">
        <v>39</v>
      </c>
      <c r="P259" s="40" t="s">
        <v>39</v>
      </c>
      <c r="Q259" s="40">
        <v>0.02</v>
      </c>
      <c r="R259" s="40" t="s">
        <v>39</v>
      </c>
      <c r="S259" s="42"/>
      <c r="T259" s="41">
        <v>0.55000000000000004</v>
      </c>
      <c r="U259" s="41">
        <v>0.15</v>
      </c>
      <c r="V259" s="41">
        <v>0.28000000000000003</v>
      </c>
      <c r="W259" s="41"/>
      <c r="X259" s="42" t="s">
        <v>39</v>
      </c>
      <c r="Y259" s="43" t="s">
        <v>39</v>
      </c>
      <c r="Z259" s="10">
        <v>40</v>
      </c>
      <c r="AA259" s="43"/>
      <c r="AB259" s="29" cm="1">
        <f t="array" ref="AB259">IF(R259="",IF(Q259="",0,(_xlfn.IFS(Q259=0.01,0.67,Q259=0.015,1,Q259=0.015,1.33,Q259=0.02,1.67,Q259=0.025,2,Q259=0.03,2.33,Q259=0.035,2.67,Q259=0.04,3)+IF(J259&lt;=0.03,"0.33",0))),(_xlfn.IFS(R259=0.01,0.67,R259=0.015,1,R259=0.015,1.33,R259=0.02,1.67,R259=0.025,2,R259=0.03,2.33,R259=0.035,2.67,R259=0.04,3)+IF(J259&lt;=0.03,"0.33",0)))</f>
        <v>1.67</v>
      </c>
      <c r="AC259" s="29">
        <f t="shared" si="5"/>
        <v>1.3468013468013469</v>
      </c>
      <c r="AD259" s="20" t="e">
        <f>VLOOKUP(F259,铝耗2026年!$A$2:$B$5000,2,0)</f>
        <v>#N/A</v>
      </c>
      <c r="AE259" s="20">
        <f>VLOOKUP(F259,铝耗2025年!$A$2:$B$5000,2,0)</f>
        <v>2.5</v>
      </c>
      <c r="AF259" s="20">
        <v>2.33</v>
      </c>
    </row>
    <row r="260" spans="1:32" hidden="1" x14ac:dyDescent="0.3">
      <c r="A260" s="7">
        <v>257</v>
      </c>
      <c r="B260" s="10" t="s">
        <v>479</v>
      </c>
      <c r="C260" s="10" t="s">
        <v>37</v>
      </c>
      <c r="D260" s="10">
        <v>10.01</v>
      </c>
      <c r="E260" s="10">
        <v>20</v>
      </c>
      <c r="F260" s="10" t="s">
        <v>482</v>
      </c>
      <c r="G260" s="39" t="s">
        <v>481</v>
      </c>
      <c r="H260" s="10">
        <v>1518</v>
      </c>
      <c r="I260" s="40">
        <v>7.4999999999999997E-2</v>
      </c>
      <c r="J260" s="41">
        <v>0.25</v>
      </c>
      <c r="K260" s="41">
        <v>1.2</v>
      </c>
      <c r="L260" s="40">
        <v>0.02</v>
      </c>
      <c r="M260" s="40">
        <v>5.0000000000000001E-3</v>
      </c>
      <c r="N260" s="40">
        <v>4.4999999999999998E-2</v>
      </c>
      <c r="O260" s="40" t="s">
        <v>39</v>
      </c>
      <c r="P260" s="40" t="s">
        <v>39</v>
      </c>
      <c r="Q260" s="40">
        <v>0.02</v>
      </c>
      <c r="R260" s="40" t="s">
        <v>39</v>
      </c>
      <c r="S260" s="42"/>
      <c r="T260" s="41">
        <v>0.55000000000000004</v>
      </c>
      <c r="U260" s="41">
        <v>0.15</v>
      </c>
      <c r="V260" s="41">
        <v>0.28000000000000003</v>
      </c>
      <c r="W260" s="41"/>
      <c r="X260" s="42" t="s">
        <v>39</v>
      </c>
      <c r="Y260" s="43" t="s">
        <v>39</v>
      </c>
      <c r="Z260" s="10">
        <v>40</v>
      </c>
      <c r="AA260" s="43"/>
      <c r="AB260" s="29" cm="1">
        <f t="array" ref="AB260">IF(R260="",IF(Q260="",0,(_xlfn.IFS(Q260=0.01,0.67,Q260=0.015,1,Q260=0.015,1.33,Q260=0.02,1.67,Q260=0.025,2,Q260=0.03,2.33,Q260=0.035,2.67,Q260=0.04,3)+IF(J260&lt;=0.03,"0.33",0))),(_xlfn.IFS(R260=0.01,0.67,R260=0.015,1,R260=0.015,1.33,R260=0.02,1.67,R260=0.025,2,R260=0.03,2.33,R260=0.035,2.67,R260=0.04,3)+IF(J260&lt;=0.03,"0.33",0)))</f>
        <v>1.67</v>
      </c>
      <c r="AC260" s="29">
        <f t="shared" si="5"/>
        <v>1.3468013468013469</v>
      </c>
      <c r="AD260" s="20" t="e">
        <f>VLOOKUP(F260,铝耗2026年!$A$2:$B$5000,2,0)</f>
        <v>#N/A</v>
      </c>
      <c r="AE260" s="20" t="e">
        <f>VLOOKUP(F260,铝耗2025年!$A$2:$B$5000,2,0)</f>
        <v>#N/A</v>
      </c>
      <c r="AF260" s="20">
        <v>2.33</v>
      </c>
    </row>
    <row r="261" spans="1:32" hidden="1" x14ac:dyDescent="0.3">
      <c r="A261" s="7">
        <v>258</v>
      </c>
      <c r="B261" s="10" t="s">
        <v>483</v>
      </c>
      <c r="C261" s="10" t="s">
        <v>34</v>
      </c>
      <c r="D261" s="10">
        <v>3</v>
      </c>
      <c r="E261" s="10">
        <v>9.99</v>
      </c>
      <c r="F261" s="10" t="s">
        <v>484</v>
      </c>
      <c r="G261" s="39" t="s">
        <v>485</v>
      </c>
      <c r="H261" s="10">
        <v>1518</v>
      </c>
      <c r="I261" s="40">
        <v>0.08</v>
      </c>
      <c r="J261" s="41">
        <v>0.4</v>
      </c>
      <c r="K261" s="41">
        <v>1</v>
      </c>
      <c r="L261" s="40">
        <v>0.02</v>
      </c>
      <c r="M261" s="40">
        <v>6.0000000000000001E-3</v>
      </c>
      <c r="N261" s="40">
        <v>3.5000000000000003E-2</v>
      </c>
      <c r="O261" s="40">
        <v>0.01</v>
      </c>
      <c r="P261" s="40" t="s">
        <v>39</v>
      </c>
      <c r="Q261" s="40">
        <v>0.02</v>
      </c>
      <c r="R261" s="40" t="s">
        <v>39</v>
      </c>
      <c r="S261" s="42"/>
      <c r="T261" s="41">
        <v>0.55000000000000004</v>
      </c>
      <c r="U261" s="41"/>
      <c r="V261" s="41">
        <v>0.28000000000000003</v>
      </c>
      <c r="W261" s="41"/>
      <c r="X261" s="42" t="s">
        <v>39</v>
      </c>
      <c r="Y261" s="43" t="s">
        <v>39</v>
      </c>
      <c r="Z261" s="10" t="s">
        <v>39</v>
      </c>
      <c r="AA261" s="43" t="s">
        <v>39</v>
      </c>
      <c r="AB261" s="29" cm="1">
        <f t="array" ref="AB261">IF(R261="",IF(Q261="",0,(_xlfn.IFS(Q261=0.01,0.67,Q261=0.015,1,Q261=0.015,1.33,Q261=0.02,1.67,Q261=0.025,2,Q261=0.03,2.33,Q261=0.035,2.67,Q261=0.04,3)+IF(J261&lt;=0.03,"0.33",0))),(_xlfn.IFS(R261=0.01,0.67,R261=0.015,1,R261=0.015,1.33,R261=0.02,1.67,R261=0.025,2,R261=0.03,2.33,R261=0.035,2.67,R261=0.04,3)+IF(J261&lt;=0.03,"0.33",0)))</f>
        <v>1.67</v>
      </c>
      <c r="AC261" s="29">
        <f t="shared" ref="AC261:AC324" si="7">IF(R261="",IF(Q261="",0.3,Q261/100/0.99/0.15*1000+IF(J261&lt;=0.03,"0.33",0)),R261/100/0.99/0.15*1000+IF(J261&lt;=0.03,"0.33",0))</f>
        <v>1.3468013468013469</v>
      </c>
      <c r="AD261" s="20" t="e">
        <f>VLOOKUP(F261,铝耗2026年!$A$2:$B$5000,2,0)</f>
        <v>#N/A</v>
      </c>
      <c r="AE261" s="20">
        <f>VLOOKUP(F261,铝耗2025年!$A$2:$B$5000,2,0)</f>
        <v>1.55</v>
      </c>
      <c r="AF261" s="37">
        <v>1.8</v>
      </c>
    </row>
    <row r="262" spans="1:32" hidden="1" x14ac:dyDescent="0.3">
      <c r="A262" s="7">
        <v>259</v>
      </c>
      <c r="B262" s="10" t="s">
        <v>483</v>
      </c>
      <c r="C262" s="10" t="s">
        <v>37</v>
      </c>
      <c r="D262" s="10">
        <v>10</v>
      </c>
      <c r="E262" s="10">
        <v>20</v>
      </c>
      <c r="F262" s="10" t="s">
        <v>486</v>
      </c>
      <c r="G262" s="39" t="s">
        <v>485</v>
      </c>
      <c r="H262" s="10">
        <v>1518</v>
      </c>
      <c r="I262" s="40">
        <v>0.08</v>
      </c>
      <c r="J262" s="41">
        <v>0.4</v>
      </c>
      <c r="K262" s="41">
        <v>1.1499999999999999</v>
      </c>
      <c r="L262" s="40">
        <v>0.02</v>
      </c>
      <c r="M262" s="40">
        <v>6.0000000000000001E-3</v>
      </c>
      <c r="N262" s="40">
        <v>0.04</v>
      </c>
      <c r="O262" s="40">
        <v>1.4999999999999999E-2</v>
      </c>
      <c r="P262" s="40" t="s">
        <v>39</v>
      </c>
      <c r="Q262" s="40">
        <v>0.02</v>
      </c>
      <c r="R262" s="40" t="s">
        <v>39</v>
      </c>
      <c r="S262" s="42"/>
      <c r="T262" s="41">
        <v>0.55000000000000004</v>
      </c>
      <c r="U262" s="41"/>
      <c r="V262" s="41">
        <v>0.28000000000000003</v>
      </c>
      <c r="W262" s="41"/>
      <c r="X262" s="42" t="s">
        <v>39</v>
      </c>
      <c r="Y262" s="43" t="s">
        <v>39</v>
      </c>
      <c r="Z262" s="10" t="s">
        <v>39</v>
      </c>
      <c r="AA262" s="43" t="s">
        <v>39</v>
      </c>
      <c r="AB262" s="29" cm="1">
        <f t="array" ref="AB262">IF(R262="",IF(Q262="",0,(_xlfn.IFS(Q262=0.01,0.67,Q262=0.015,1,Q262=0.015,1.33,Q262=0.02,1.67,Q262=0.025,2,Q262=0.03,2.33,Q262=0.035,2.67,Q262=0.04,3)+IF(J262&lt;=0.03,"0.33",0))),(_xlfn.IFS(R262=0.01,0.67,R262=0.015,1,R262=0.015,1.33,R262=0.02,1.67,R262=0.025,2,R262=0.03,2.33,R262=0.035,2.67,R262=0.04,3)+IF(J262&lt;=0.03,"0.33",0)))</f>
        <v>1.67</v>
      </c>
      <c r="AC262" s="29">
        <f t="shared" si="7"/>
        <v>1.3468013468013469</v>
      </c>
      <c r="AD262" s="20" t="e">
        <f>VLOOKUP(F262,铝耗2026年!$A$2:$B$5000,2,0)</f>
        <v>#N/A</v>
      </c>
      <c r="AE262" s="20" t="e">
        <f>VLOOKUP(F262,铝耗2025年!$A$2:$B$5000,2,0)</f>
        <v>#N/A</v>
      </c>
      <c r="AF262" s="37">
        <v>1.8</v>
      </c>
    </row>
    <row r="263" spans="1:32" hidden="1" x14ac:dyDescent="0.3">
      <c r="A263" s="7">
        <v>260</v>
      </c>
      <c r="B263" s="10" t="s">
        <v>487</v>
      </c>
      <c r="C263" s="10" t="s">
        <v>34</v>
      </c>
      <c r="D263" s="10">
        <v>4</v>
      </c>
      <c r="E263" s="10">
        <v>14</v>
      </c>
      <c r="F263" s="10" t="s">
        <v>487</v>
      </c>
      <c r="G263" s="39" t="s">
        <v>488</v>
      </c>
      <c r="H263" s="10">
        <v>1519</v>
      </c>
      <c r="I263" s="40">
        <v>7.4999999999999997E-2</v>
      </c>
      <c r="J263" s="41">
        <v>0.2</v>
      </c>
      <c r="K263" s="41">
        <v>1.1000000000000001</v>
      </c>
      <c r="L263" s="40">
        <v>1.4999999999999999E-2</v>
      </c>
      <c r="M263" s="40">
        <v>3.0000000000000001E-3</v>
      </c>
      <c r="N263" s="40" t="s">
        <v>39</v>
      </c>
      <c r="O263" s="40">
        <v>0.02</v>
      </c>
      <c r="P263" s="40">
        <v>0.03</v>
      </c>
      <c r="Q263" s="40">
        <v>2.5000000000000001E-2</v>
      </c>
      <c r="R263" s="40" t="s">
        <v>39</v>
      </c>
      <c r="S263" s="42"/>
      <c r="T263" s="41">
        <v>0.45</v>
      </c>
      <c r="U263" s="41">
        <v>0.15</v>
      </c>
      <c r="V263" s="41">
        <v>0.28000000000000003</v>
      </c>
      <c r="W263" s="41"/>
      <c r="X263" s="42" t="s">
        <v>39</v>
      </c>
      <c r="Y263" s="43" t="s">
        <v>39</v>
      </c>
      <c r="Z263" s="10">
        <v>45</v>
      </c>
      <c r="AA263" s="43"/>
      <c r="AB263" s="29" cm="1">
        <f t="array" ref="AB263">IF(R263="",IF(Q263="",0,(_xlfn.IFS(Q263=0.01,0.67,Q263=0.015,1,Q263=0.015,1.33,Q263=0.02,1.67,Q263=0.025,2,Q263=0.03,2.33,Q263=0.035,2.67,Q263=0.04,3)+IF(J263&lt;=0.03,"0.33",0))),(_xlfn.IFS(R263=0.01,0.67,R263=0.015,1,R263=0.015,1.33,R263=0.02,1.67,R263=0.025,2,R263=0.03,2.33,R263=0.035,2.67,R263=0.04,3)+IF(J263&lt;=0.03,"0.33",0)))</f>
        <v>2</v>
      </c>
      <c r="AC263" s="29">
        <f t="shared" si="7"/>
        <v>1.6835016835016836</v>
      </c>
      <c r="AD263" s="20" t="e">
        <f>VLOOKUP(F263,铝耗2026年!$A$2:$B$5000,2,0)</f>
        <v>#N/A</v>
      </c>
      <c r="AE263" s="20">
        <f>VLOOKUP(F263,铝耗2025年!$A$2:$B$5000,2,0)</f>
        <v>1.8</v>
      </c>
      <c r="AF263" s="37">
        <v>1.8</v>
      </c>
    </row>
    <row r="264" spans="1:32" hidden="1" x14ac:dyDescent="0.3">
      <c r="A264" s="7">
        <v>261</v>
      </c>
      <c r="B264" s="10" t="s">
        <v>489</v>
      </c>
      <c r="C264" s="10" t="s">
        <v>34</v>
      </c>
      <c r="D264" s="10">
        <v>2</v>
      </c>
      <c r="E264" s="10">
        <v>9.99</v>
      </c>
      <c r="F264" s="10" t="s">
        <v>490</v>
      </c>
      <c r="G264" s="39" t="s">
        <v>491</v>
      </c>
      <c r="H264" s="10">
        <v>1502</v>
      </c>
      <c r="I264" s="40">
        <v>0.19</v>
      </c>
      <c r="J264" s="41">
        <v>0.9</v>
      </c>
      <c r="K264" s="41">
        <v>1.6</v>
      </c>
      <c r="L264" s="40">
        <v>0.01</v>
      </c>
      <c r="M264" s="40">
        <v>2E-3</v>
      </c>
      <c r="N264" s="40" t="s">
        <v>39</v>
      </c>
      <c r="O264" s="40" t="s">
        <v>39</v>
      </c>
      <c r="P264" s="40">
        <v>0.03</v>
      </c>
      <c r="Q264" s="40">
        <v>2.5000000000000001E-2</v>
      </c>
      <c r="R264" s="40" t="s">
        <v>39</v>
      </c>
      <c r="S264" s="42"/>
      <c r="T264" s="41"/>
      <c r="U264" s="41"/>
      <c r="V264" s="41"/>
      <c r="W264" s="41"/>
      <c r="X264" s="42">
        <v>1E-3</v>
      </c>
      <c r="Y264" s="43" t="s">
        <v>39</v>
      </c>
      <c r="Z264" s="10">
        <v>45</v>
      </c>
      <c r="AA264" s="43" t="s">
        <v>39</v>
      </c>
      <c r="AB264" s="29" cm="1">
        <f t="array" ref="AB264">IF(R264="",IF(Q264="",0,(_xlfn.IFS(Q264=0.01,0.67,Q264=0.015,1,Q264=0.015,1.33,Q264=0.02,1.67,Q264=0.025,2,Q264=0.03,2.33,Q264=0.035,2.67,Q264=0.04,3)+IF(J264&lt;=0.03,"0.33",0))),(_xlfn.IFS(R264=0.01,0.67,R264=0.015,1,R264=0.015,1.33,R264=0.02,1.67,R264=0.025,2,R264=0.03,2.33,R264=0.035,2.67,R264=0.04,3)+IF(J264&lt;=0.03,"0.33",0)))</f>
        <v>2</v>
      </c>
      <c r="AC264" s="29">
        <f t="shared" si="7"/>
        <v>1.6835016835016836</v>
      </c>
      <c r="AD264" s="20" t="e">
        <f>VLOOKUP(F264,铝耗2026年!$A$2:$B$5000,2,0)</f>
        <v>#N/A</v>
      </c>
      <c r="AE264" s="20" t="e">
        <f>VLOOKUP(F264,铝耗2025年!$A$2:$B$5000,2,0)</f>
        <v>#N/A</v>
      </c>
      <c r="AF264" s="37">
        <v>1.7</v>
      </c>
    </row>
    <row r="265" spans="1:32" hidden="1" x14ac:dyDescent="0.3">
      <c r="A265" s="7">
        <v>262</v>
      </c>
      <c r="B265" s="10" t="s">
        <v>489</v>
      </c>
      <c r="C265" s="10" t="s">
        <v>37</v>
      </c>
      <c r="D265" s="10">
        <v>10</v>
      </c>
      <c r="E265" s="10">
        <v>20</v>
      </c>
      <c r="F265" s="10" t="s">
        <v>492</v>
      </c>
      <c r="G265" s="39" t="s">
        <v>491</v>
      </c>
      <c r="H265" s="10">
        <v>1502</v>
      </c>
      <c r="I265" s="40">
        <v>0.19</v>
      </c>
      <c r="J265" s="41">
        <v>0.9</v>
      </c>
      <c r="K265" s="41">
        <v>1.7</v>
      </c>
      <c r="L265" s="40">
        <v>0.01</v>
      </c>
      <c r="M265" s="40">
        <v>2E-3</v>
      </c>
      <c r="N265" s="40" t="s">
        <v>39</v>
      </c>
      <c r="O265" s="40" t="s">
        <v>39</v>
      </c>
      <c r="P265" s="40">
        <v>3.5000000000000003E-2</v>
      </c>
      <c r="Q265" s="40">
        <v>2.5000000000000001E-2</v>
      </c>
      <c r="R265" s="40" t="s">
        <v>39</v>
      </c>
      <c r="S265" s="42"/>
      <c r="T265" s="41"/>
      <c r="U265" s="41"/>
      <c r="V265" s="41"/>
      <c r="W265" s="41"/>
      <c r="X265" s="42">
        <v>1E-3</v>
      </c>
      <c r="Y265" s="43" t="s">
        <v>39</v>
      </c>
      <c r="Z265" s="10">
        <v>45</v>
      </c>
      <c r="AA265" s="43" t="s">
        <v>39</v>
      </c>
      <c r="AB265" s="29" cm="1">
        <f t="array" ref="AB265">IF(R265="",IF(Q265="",0,(_xlfn.IFS(Q265=0.01,0.67,Q265=0.015,1,Q265=0.015,1.33,Q265=0.02,1.67,Q265=0.025,2,Q265=0.03,2.33,Q265=0.035,2.67,Q265=0.04,3)+IF(J265&lt;=0.03,"0.33",0))),(_xlfn.IFS(R265=0.01,0.67,R265=0.015,1,R265=0.015,1.33,R265=0.02,1.67,R265=0.025,2,R265=0.03,2.33,R265=0.035,2.67,R265=0.04,3)+IF(J265&lt;=0.03,"0.33",0)))</f>
        <v>2</v>
      </c>
      <c r="AC265" s="29">
        <f t="shared" si="7"/>
        <v>1.6835016835016836</v>
      </c>
      <c r="AD265" s="20" t="e">
        <f>VLOOKUP(F265,铝耗2026年!$A$2:$B$5000,2,0)</f>
        <v>#N/A</v>
      </c>
      <c r="AE265" s="20">
        <f>VLOOKUP(F265,铝耗2025年!$A$2:$B$5000,2,0)</f>
        <v>1.4</v>
      </c>
      <c r="AF265" s="37">
        <v>1.7</v>
      </c>
    </row>
    <row r="266" spans="1:32" hidden="1" x14ac:dyDescent="0.3">
      <c r="A266" s="7">
        <v>263</v>
      </c>
      <c r="B266" s="54" t="s">
        <v>493</v>
      </c>
      <c r="C266" s="54" t="s">
        <v>34</v>
      </c>
      <c r="D266" s="54">
        <v>3</v>
      </c>
      <c r="E266" s="54">
        <v>16</v>
      </c>
      <c r="F266" s="54" t="s">
        <v>493</v>
      </c>
      <c r="G266" s="55" t="s">
        <v>494</v>
      </c>
      <c r="H266" s="54">
        <v>1511</v>
      </c>
      <c r="I266" s="56">
        <v>0.17</v>
      </c>
      <c r="J266" s="57">
        <v>0.5</v>
      </c>
      <c r="K266" s="57">
        <v>1.45</v>
      </c>
      <c r="L266" s="56">
        <v>1.2E-2</v>
      </c>
      <c r="M266" s="56">
        <v>3.0000000000000001E-3</v>
      </c>
      <c r="N266" s="56">
        <v>0.03</v>
      </c>
      <c r="O266" s="56" t="s">
        <v>39</v>
      </c>
      <c r="P266" s="56">
        <v>0.03</v>
      </c>
      <c r="Q266" s="56">
        <v>0.02</v>
      </c>
      <c r="R266" s="56" t="s">
        <v>39</v>
      </c>
      <c r="S266" s="58"/>
      <c r="T266" s="57">
        <v>0.55000000000000004</v>
      </c>
      <c r="U266" s="57"/>
      <c r="V266" s="57"/>
      <c r="W266" s="57"/>
      <c r="X266" s="58">
        <v>1.5E-3</v>
      </c>
      <c r="Y266" s="59" t="s">
        <v>39</v>
      </c>
      <c r="Z266" s="54">
        <v>45</v>
      </c>
      <c r="AA266" s="59"/>
      <c r="AB266" s="29" cm="1">
        <f t="array" ref="AB266">IF(R266="",IF(Q266="",0,(_xlfn.IFS(Q266=0.01,0.67,Q266=0.015,1,Q266=0.015,1.33,Q266=0.02,1.67,Q266=0.025,2,Q266=0.03,2.33,Q266=0.035,2.67,Q266=0.04,3)+IF(J266&lt;=0.03,"0.33",0))),(_xlfn.IFS(R266=0.01,0.67,R266=0.015,1,R266=0.015,1.33,R266=0.02,1.67,R266=0.025,2,R266=0.03,2.33,R266=0.035,2.67,R266=0.04,3)+IF(J266&lt;=0.03,"0.33",0)))</f>
        <v>1.67</v>
      </c>
      <c r="AC266" s="29">
        <f t="shared" si="7"/>
        <v>1.3468013468013469</v>
      </c>
      <c r="AD266" s="20">
        <f>VLOOKUP(F266,铝耗2026年!$A$2:$B$5000,2,0)</f>
        <v>1.6898754800406099</v>
      </c>
      <c r="AE266" s="20">
        <f>VLOOKUP(F266,铝耗2025年!$A$2:$B$5000,2,0)</f>
        <v>1.7</v>
      </c>
      <c r="AF266" s="37">
        <f>MAX(AD266:AE266)</f>
        <v>1.7</v>
      </c>
    </row>
    <row r="267" spans="1:32" hidden="1" x14ac:dyDescent="0.3">
      <c r="A267" s="7">
        <v>264</v>
      </c>
      <c r="B267" s="11" t="s">
        <v>495</v>
      </c>
      <c r="C267" s="11" t="s">
        <v>34</v>
      </c>
      <c r="D267" s="11">
        <v>3</v>
      </c>
      <c r="E267" s="11">
        <v>16</v>
      </c>
      <c r="F267" s="11" t="s">
        <v>495</v>
      </c>
      <c r="G267" s="11" t="s">
        <v>496</v>
      </c>
      <c r="H267" s="11">
        <v>1511</v>
      </c>
      <c r="I267" s="11">
        <v>0.14000000000000001</v>
      </c>
      <c r="J267" s="11">
        <v>0.5</v>
      </c>
      <c r="K267" s="11">
        <v>1.5</v>
      </c>
      <c r="L267" s="11">
        <v>0.01</v>
      </c>
      <c r="M267" s="11">
        <v>3.0000000000000001E-3</v>
      </c>
      <c r="N267" s="11">
        <v>0.03</v>
      </c>
      <c r="O267" s="11" t="s">
        <v>39</v>
      </c>
      <c r="P267" s="11">
        <v>0.03</v>
      </c>
      <c r="Q267" s="11">
        <v>0.02</v>
      </c>
      <c r="R267" s="11" t="s">
        <v>39</v>
      </c>
      <c r="S267" s="11" t="s">
        <v>39</v>
      </c>
      <c r="T267" s="11">
        <v>0.55000000000000004</v>
      </c>
      <c r="U267" s="11">
        <v>0</v>
      </c>
      <c r="V267" s="11">
        <v>0</v>
      </c>
      <c r="W267" s="11" t="s">
        <v>39</v>
      </c>
      <c r="X267" s="11">
        <v>1.5E-3</v>
      </c>
      <c r="Y267" s="11"/>
      <c r="Z267" s="11" t="s">
        <v>39</v>
      </c>
      <c r="AA267" s="62"/>
      <c r="AB267" s="29" cm="1">
        <f t="array" ref="AB267">IF(R267="",IF(Q267="",0,(_xlfn.IFS(Q267=0.01,0.67,Q267=0.015,1,Q267=0.015,1.33,Q267=0.02,1.67,Q267=0.025,2,Q267=0.03,2.33,Q267=0.035,2.67,Q267=0.04,3)+IF(J267&lt;=0.03,"0.33",0))),(_xlfn.IFS(R267=0.01,0.67,R267=0.015,1,R267=0.015,1.33,R267=0.02,1.67,R267=0.025,2,R267=0.03,2.33,R267=0.035,2.67,R267=0.04,3)+IF(J267&lt;=0.03,"0.33",0)))</f>
        <v>1.67</v>
      </c>
      <c r="AC267" s="29">
        <f t="shared" si="7"/>
        <v>1.3468013468013469</v>
      </c>
      <c r="AD267" s="20" t="e">
        <f>VLOOKUP(F267,铝耗2026年!$A$2:$B$5000,2,0)</f>
        <v>#N/A</v>
      </c>
      <c r="AE267" s="20" t="e">
        <f>VLOOKUP(F267,铝耗2025年!$A$2:$B$5000,2,0)</f>
        <v>#N/A</v>
      </c>
      <c r="AF267" s="37">
        <v>1.7</v>
      </c>
    </row>
    <row r="268" spans="1:32" hidden="1" x14ac:dyDescent="0.3">
      <c r="A268" s="7">
        <v>265</v>
      </c>
      <c r="B268" s="11" t="s">
        <v>497</v>
      </c>
      <c r="C268" s="11" t="s">
        <v>34</v>
      </c>
      <c r="D268" s="11">
        <v>3</v>
      </c>
      <c r="E268" s="11">
        <v>16</v>
      </c>
      <c r="F268" s="11" t="s">
        <v>497</v>
      </c>
      <c r="G268" s="11" t="s">
        <v>498</v>
      </c>
      <c r="H268" s="11">
        <v>1511</v>
      </c>
      <c r="I268" s="11">
        <v>0.18</v>
      </c>
      <c r="J268" s="11">
        <v>0.5</v>
      </c>
      <c r="K268" s="11">
        <v>1.5</v>
      </c>
      <c r="L268" s="11">
        <v>0.01</v>
      </c>
      <c r="M268" s="11">
        <v>3.0000000000000001E-3</v>
      </c>
      <c r="N268" s="11">
        <v>0.03</v>
      </c>
      <c r="O268" s="11" t="s">
        <v>39</v>
      </c>
      <c r="P268" s="11">
        <v>0.03</v>
      </c>
      <c r="Q268" s="11">
        <v>0.02</v>
      </c>
      <c r="R268" s="11" t="s">
        <v>39</v>
      </c>
      <c r="S268" s="11" t="s">
        <v>39</v>
      </c>
      <c r="T268" s="11">
        <v>0.55000000000000004</v>
      </c>
      <c r="U268" s="11">
        <v>0</v>
      </c>
      <c r="V268" s="11">
        <v>0</v>
      </c>
      <c r="W268" s="11" t="s">
        <v>39</v>
      </c>
      <c r="X268" s="11">
        <v>1.5E-3</v>
      </c>
      <c r="Y268" s="11"/>
      <c r="Z268" s="11" t="s">
        <v>39</v>
      </c>
      <c r="AA268" s="62"/>
      <c r="AB268" s="29" cm="1">
        <f t="array" ref="AB268">IF(R268="",IF(Q268="",0,(_xlfn.IFS(Q268=0.01,0.67,Q268=0.015,1,Q268=0.015,1.33,Q268=0.02,1.67,Q268=0.025,2,Q268=0.03,2.33,Q268=0.035,2.67,Q268=0.04,3)+IF(J268&lt;=0.03,"0.33",0))),(_xlfn.IFS(R268=0.01,0.67,R268=0.015,1,R268=0.015,1.33,R268=0.02,1.67,R268=0.025,2,R268=0.03,2.33,R268=0.035,2.67,R268=0.04,3)+IF(J268&lt;=0.03,"0.33",0)))</f>
        <v>1.67</v>
      </c>
      <c r="AC268" s="29">
        <f t="shared" si="7"/>
        <v>1.3468013468013469</v>
      </c>
      <c r="AD268" s="20" t="e">
        <f>VLOOKUP(F268,铝耗2026年!$A$2:$B$5000,2,0)</f>
        <v>#N/A</v>
      </c>
      <c r="AE268" s="20" t="e">
        <f>VLOOKUP(F268,铝耗2025年!$A$2:$B$5000,2,0)</f>
        <v>#N/A</v>
      </c>
      <c r="AF268" s="37">
        <v>1.7</v>
      </c>
    </row>
    <row r="269" spans="1:32" hidden="1" x14ac:dyDescent="0.3">
      <c r="A269" s="7">
        <v>266</v>
      </c>
      <c r="B269" s="54" t="s">
        <v>499</v>
      </c>
      <c r="C269" s="54" t="s">
        <v>34</v>
      </c>
      <c r="D269" s="54">
        <v>3</v>
      </c>
      <c r="E269" s="54">
        <v>5.99</v>
      </c>
      <c r="F269" s="54" t="s">
        <v>500</v>
      </c>
      <c r="G269" s="55" t="s">
        <v>501</v>
      </c>
      <c r="H269" s="54">
        <v>1516</v>
      </c>
      <c r="I269" s="56">
        <v>7.4999999999999997E-2</v>
      </c>
      <c r="J269" s="57">
        <v>0.3</v>
      </c>
      <c r="K269" s="57">
        <v>1.65</v>
      </c>
      <c r="L269" s="56">
        <v>0.01</v>
      </c>
      <c r="M269" s="56">
        <v>2E-3</v>
      </c>
      <c r="N269" s="56"/>
      <c r="O269" s="56">
        <v>5.5E-2</v>
      </c>
      <c r="P269" s="56">
        <v>0.11</v>
      </c>
      <c r="Q269" s="56">
        <v>0.03</v>
      </c>
      <c r="R269" s="56" t="s">
        <v>39</v>
      </c>
      <c r="S269" s="58"/>
      <c r="T269" s="57">
        <v>0.25</v>
      </c>
      <c r="U269" s="41" t="s">
        <v>39</v>
      </c>
      <c r="V269" s="41" t="s">
        <v>39</v>
      </c>
      <c r="W269" s="41"/>
      <c r="X269" s="42" t="s">
        <v>39</v>
      </c>
      <c r="Y269" s="43" t="s">
        <v>39</v>
      </c>
      <c r="Z269" s="10">
        <v>45</v>
      </c>
      <c r="AA269" s="43" t="s">
        <v>39</v>
      </c>
      <c r="AB269" s="29" cm="1">
        <f t="array" ref="AB269">IF(R269="",IF(Q269="",0,(_xlfn.IFS(Q269=0.01,0.67,Q269=0.015,1,Q269=0.015,1.33,Q269=0.02,1.67,Q269=0.025,2,Q269=0.03,2.33,Q269=0.035,2.67,Q269=0.04,3)+IF(J269&lt;=0.03,"0.33",0))),(_xlfn.IFS(R269=0.01,0.67,R269=0.015,1,R269=0.015,1.33,R269=0.02,1.67,R269=0.025,2,R269=0.03,2.33,R269=0.035,2.67,R269=0.04,3)+IF(J269&lt;=0.03,"0.33",0)))</f>
        <v>2.33</v>
      </c>
      <c r="AC269" s="29">
        <f t="shared" si="7"/>
        <v>2.0202020202020203</v>
      </c>
      <c r="AD269" s="20" t="e">
        <f>VLOOKUP(F269,铝耗2026年!$A$2:$B$5000,2,0)</f>
        <v>#N/A</v>
      </c>
      <c r="AE269" s="20">
        <f>VLOOKUP(F269,铝耗2025年!$A$2:$B$5000,2,0)</f>
        <v>1.6</v>
      </c>
      <c r="AF269" s="37">
        <v>1.8</v>
      </c>
    </row>
    <row r="270" spans="1:32" hidden="1" x14ac:dyDescent="0.3">
      <c r="A270" s="7">
        <v>267</v>
      </c>
      <c r="B270" s="54" t="s">
        <v>499</v>
      </c>
      <c r="C270" s="54" t="s">
        <v>37</v>
      </c>
      <c r="D270" s="54">
        <v>6</v>
      </c>
      <c r="E270" s="54">
        <v>12</v>
      </c>
      <c r="F270" s="54" t="s">
        <v>502</v>
      </c>
      <c r="G270" s="55" t="s">
        <v>501</v>
      </c>
      <c r="H270" s="54">
        <v>1516</v>
      </c>
      <c r="I270" s="56">
        <v>7.4999999999999997E-2</v>
      </c>
      <c r="J270" s="57">
        <v>0.3</v>
      </c>
      <c r="K270" s="57">
        <v>1.75</v>
      </c>
      <c r="L270" s="56">
        <v>0.01</v>
      </c>
      <c r="M270" s="56">
        <v>3.0000000000000001E-3</v>
      </c>
      <c r="N270" s="56"/>
      <c r="O270" s="56">
        <v>0.06</v>
      </c>
      <c r="P270" s="56">
        <v>0.12</v>
      </c>
      <c r="Q270" s="56">
        <v>0.03</v>
      </c>
      <c r="R270" s="56" t="s">
        <v>39</v>
      </c>
      <c r="S270" s="58"/>
      <c r="T270" s="57">
        <v>0.25</v>
      </c>
      <c r="U270" s="41" t="s">
        <v>39</v>
      </c>
      <c r="V270" s="41" t="s">
        <v>39</v>
      </c>
      <c r="W270" s="41"/>
      <c r="X270" s="42" t="s">
        <v>39</v>
      </c>
      <c r="Y270" s="43" t="s">
        <v>39</v>
      </c>
      <c r="Z270" s="10">
        <v>45</v>
      </c>
      <c r="AA270" s="43" t="s">
        <v>39</v>
      </c>
      <c r="AB270" s="29" cm="1">
        <f t="array" ref="AB270">IF(R270="",IF(Q270="",0,(_xlfn.IFS(Q270=0.01,0.67,Q270=0.015,1,Q270=0.015,1.33,Q270=0.02,1.67,Q270=0.025,2,Q270=0.03,2.33,Q270=0.035,2.67,Q270=0.04,3)+IF(J270&lt;=0.03,"0.33",0))),(_xlfn.IFS(R270=0.01,0.67,R270=0.015,1,R270=0.015,1.33,R270=0.02,1.67,R270=0.025,2,R270=0.03,2.33,R270=0.035,2.67,R270=0.04,3)+IF(J270&lt;=0.03,"0.33",0)))</f>
        <v>2.33</v>
      </c>
      <c r="AC270" s="29">
        <f t="shared" si="7"/>
        <v>2.0202020202020203</v>
      </c>
      <c r="AD270" s="20" t="e">
        <f>VLOOKUP(F270,铝耗2026年!$A$2:$B$5000,2,0)</f>
        <v>#N/A</v>
      </c>
      <c r="AE270" s="20" t="e">
        <f>VLOOKUP(F270,铝耗2025年!$A$2:$B$5000,2,0)</f>
        <v>#N/A</v>
      </c>
      <c r="AF270" s="37">
        <v>1.8</v>
      </c>
    </row>
    <row r="271" spans="1:32" hidden="1" x14ac:dyDescent="0.3">
      <c r="A271" s="7">
        <v>268</v>
      </c>
      <c r="B271" s="10" t="s">
        <v>503</v>
      </c>
      <c r="C271" s="10" t="s">
        <v>34</v>
      </c>
      <c r="D271" s="10">
        <v>6</v>
      </c>
      <c r="E271" s="10">
        <v>15.99</v>
      </c>
      <c r="F271" s="10" t="s">
        <v>504</v>
      </c>
      <c r="G271" s="39" t="s">
        <v>505</v>
      </c>
      <c r="H271" s="10">
        <v>1513</v>
      </c>
      <c r="I271" s="40">
        <v>0.16</v>
      </c>
      <c r="J271" s="41">
        <v>0.2</v>
      </c>
      <c r="K271" s="41">
        <v>1.3</v>
      </c>
      <c r="L271" s="40">
        <v>1.2E-2</v>
      </c>
      <c r="M271" s="40">
        <v>3.0000000000000001E-3</v>
      </c>
      <c r="N271" s="40" t="s">
        <v>39</v>
      </c>
      <c r="O271" s="40">
        <v>0.02</v>
      </c>
      <c r="P271" s="40">
        <v>0.02</v>
      </c>
      <c r="Q271" s="40">
        <v>0.03</v>
      </c>
      <c r="R271" s="40" t="s">
        <v>39</v>
      </c>
      <c r="S271" s="42"/>
      <c r="T271" s="41">
        <v>0.35</v>
      </c>
      <c r="U271" s="41"/>
      <c r="V271" s="41"/>
      <c r="W271" s="41"/>
      <c r="X271" s="42">
        <v>1.5E-3</v>
      </c>
      <c r="Y271" s="43"/>
      <c r="Z271" s="10">
        <v>45</v>
      </c>
      <c r="AA271" s="43" t="s">
        <v>39</v>
      </c>
      <c r="AB271" s="29" cm="1">
        <f t="array" ref="AB271">IF(R271="",IF(Q271="",0,(_xlfn.IFS(Q271=0.01,0.67,Q271=0.015,1,Q271=0.015,1.33,Q271=0.02,1.67,Q271=0.025,2,Q271=0.03,2.33,Q271=0.035,2.67,Q271=0.04,3)+IF(J271&lt;=0.03,"0.33",0))),(_xlfn.IFS(R271=0.01,0.67,R271=0.015,1,R271=0.015,1.33,R271=0.02,1.67,R271=0.025,2,R271=0.03,2.33,R271=0.035,2.67,R271=0.04,3)+IF(J271&lt;=0.03,"0.33",0)))</f>
        <v>2.33</v>
      </c>
      <c r="AC271" s="29">
        <f t="shared" si="7"/>
        <v>2.0202020202020203</v>
      </c>
      <c r="AD271" s="20">
        <f>VLOOKUP(F271,铝耗2026年!$A$2:$B$5000,2,0)</f>
        <v>1.79456212416205</v>
      </c>
      <c r="AE271" s="20">
        <f>VLOOKUP(F271,铝耗2025年!$A$2:$B$5000,2,0)</f>
        <v>1.8</v>
      </c>
      <c r="AF271" s="20">
        <f>MAX(AD271:AE271)</f>
        <v>1.8</v>
      </c>
    </row>
    <row r="272" spans="1:32" hidden="1" x14ac:dyDescent="0.3">
      <c r="A272" s="7">
        <v>269</v>
      </c>
      <c r="B272" s="10" t="s">
        <v>503</v>
      </c>
      <c r="C272" s="10" t="s">
        <v>37</v>
      </c>
      <c r="D272" s="10">
        <v>16</v>
      </c>
      <c r="E272" s="10">
        <v>28</v>
      </c>
      <c r="F272" s="10" t="s">
        <v>506</v>
      </c>
      <c r="G272" s="39" t="s">
        <v>505</v>
      </c>
      <c r="H272" s="10">
        <v>1513</v>
      </c>
      <c r="I272" s="40">
        <v>0.16</v>
      </c>
      <c r="J272" s="41">
        <v>0.2</v>
      </c>
      <c r="K272" s="41">
        <v>1.3</v>
      </c>
      <c r="L272" s="40">
        <v>1.2E-2</v>
      </c>
      <c r="M272" s="40">
        <v>3.0000000000000001E-3</v>
      </c>
      <c r="N272" s="40" t="s">
        <v>39</v>
      </c>
      <c r="O272" s="40">
        <v>0.02</v>
      </c>
      <c r="P272" s="40">
        <v>0.02</v>
      </c>
      <c r="Q272" s="40">
        <v>0.03</v>
      </c>
      <c r="R272" s="40" t="s">
        <v>39</v>
      </c>
      <c r="S272" s="42"/>
      <c r="T272" s="41">
        <v>0.5</v>
      </c>
      <c r="U272" s="41"/>
      <c r="V272" s="41"/>
      <c r="W272" s="41"/>
      <c r="X272" s="42">
        <v>1.5E-3</v>
      </c>
      <c r="Y272" s="43"/>
      <c r="Z272" s="10">
        <v>45</v>
      </c>
      <c r="AA272" s="43" t="s">
        <v>39</v>
      </c>
      <c r="AB272" s="29" cm="1">
        <f t="array" ref="AB272">IF(R272="",IF(Q272="",0,(_xlfn.IFS(Q272=0.01,0.67,Q272=0.015,1,Q272=0.015,1.33,Q272=0.02,1.67,Q272=0.025,2,Q272=0.03,2.33,Q272=0.035,2.67,Q272=0.04,3)+IF(J272&lt;=0.03,"0.33",0))),(_xlfn.IFS(R272=0.01,0.67,R272=0.015,1,R272=0.015,1.33,R272=0.02,1.67,R272=0.025,2,R272=0.03,2.33,R272=0.035,2.67,R272=0.04,3)+IF(J272&lt;=0.03,"0.33",0)))</f>
        <v>2.33</v>
      </c>
      <c r="AC272" s="29">
        <f t="shared" si="7"/>
        <v>2.0202020202020203</v>
      </c>
      <c r="AD272" s="20">
        <f>VLOOKUP(F272,铝耗2026年!$A$2:$B$5000,2,0)</f>
        <v>1.75925090763951</v>
      </c>
      <c r="AE272" s="20">
        <f>VLOOKUP(F272,铝耗2025年!$A$2:$B$5000,2,0)</f>
        <v>1.8</v>
      </c>
      <c r="AF272" s="20">
        <f>MAX(AD272:AE272)</f>
        <v>1.8</v>
      </c>
    </row>
    <row r="273" spans="1:32" hidden="1" x14ac:dyDescent="0.3">
      <c r="A273" s="7">
        <v>270</v>
      </c>
      <c r="B273" s="10" t="s">
        <v>507</v>
      </c>
      <c r="C273" s="10" t="s">
        <v>34</v>
      </c>
      <c r="D273" s="10">
        <v>6</v>
      </c>
      <c r="E273" s="10">
        <v>15.99</v>
      </c>
      <c r="F273" s="10" t="s">
        <v>508</v>
      </c>
      <c r="G273" s="39" t="s">
        <v>509</v>
      </c>
      <c r="H273" s="10">
        <v>1508</v>
      </c>
      <c r="I273" s="40">
        <v>0.2</v>
      </c>
      <c r="J273" s="41">
        <v>0.2</v>
      </c>
      <c r="K273" s="41">
        <v>1.3</v>
      </c>
      <c r="L273" s="40">
        <v>1.2E-2</v>
      </c>
      <c r="M273" s="40">
        <v>3.0000000000000001E-3</v>
      </c>
      <c r="N273" s="40" t="s">
        <v>39</v>
      </c>
      <c r="O273" s="40">
        <v>0.02</v>
      </c>
      <c r="P273" s="40">
        <v>2.5000000000000001E-2</v>
      </c>
      <c r="Q273" s="40">
        <v>0.03</v>
      </c>
      <c r="R273" s="40" t="s">
        <v>39</v>
      </c>
      <c r="S273" s="42"/>
      <c r="T273" s="41">
        <v>0.35</v>
      </c>
      <c r="U273" s="41"/>
      <c r="V273" s="41"/>
      <c r="W273" s="41"/>
      <c r="X273" s="42">
        <v>1.5E-3</v>
      </c>
      <c r="Y273" s="43"/>
      <c r="Z273" s="10">
        <v>45</v>
      </c>
      <c r="AA273" s="43" t="s">
        <v>39</v>
      </c>
      <c r="AB273" s="29" cm="1">
        <f t="array" ref="AB273">IF(R273="",IF(Q273="",0,(_xlfn.IFS(Q273=0.01,0.67,Q273=0.015,1,Q273=0.015,1.33,Q273=0.02,1.67,Q273=0.025,2,Q273=0.03,2.33,Q273=0.035,2.67,Q273=0.04,3)+IF(J273&lt;=0.03,"0.33",0))),(_xlfn.IFS(R273=0.01,0.67,R273=0.015,1,R273=0.015,1.33,R273=0.02,1.67,R273=0.025,2,R273=0.03,2.33,R273=0.035,2.67,R273=0.04,3)+IF(J273&lt;=0.03,"0.33",0)))</f>
        <v>2.33</v>
      </c>
      <c r="AC273" s="29">
        <f t="shared" si="7"/>
        <v>2.0202020202020203</v>
      </c>
      <c r="AD273" s="20">
        <f>VLOOKUP(F273,铝耗2026年!$A$2:$B$5000,2,0)</f>
        <v>1.7962244263614899</v>
      </c>
      <c r="AE273" s="20">
        <f>VLOOKUP(F273,铝耗2025年!$A$2:$B$5000,2,0)</f>
        <v>1.6</v>
      </c>
      <c r="AF273" s="20">
        <f>MAX(AD273:AE273)</f>
        <v>1.7962244263614899</v>
      </c>
    </row>
    <row r="274" spans="1:32" hidden="1" x14ac:dyDescent="0.3">
      <c r="A274" s="7">
        <v>271</v>
      </c>
      <c r="B274" s="10" t="s">
        <v>507</v>
      </c>
      <c r="C274" s="10" t="s">
        <v>37</v>
      </c>
      <c r="D274" s="10">
        <v>16</v>
      </c>
      <c r="E274" s="10">
        <v>28</v>
      </c>
      <c r="F274" s="10" t="s">
        <v>510</v>
      </c>
      <c r="G274" s="39" t="s">
        <v>509</v>
      </c>
      <c r="H274" s="10">
        <v>1508</v>
      </c>
      <c r="I274" s="40">
        <v>0.2</v>
      </c>
      <c r="J274" s="41">
        <v>0.2</v>
      </c>
      <c r="K274" s="41">
        <v>1.3</v>
      </c>
      <c r="L274" s="40">
        <v>1.2E-2</v>
      </c>
      <c r="M274" s="40">
        <v>3.0000000000000001E-3</v>
      </c>
      <c r="N274" s="40" t="s">
        <v>39</v>
      </c>
      <c r="O274" s="40">
        <v>0.02</v>
      </c>
      <c r="P274" s="40">
        <v>2.5000000000000001E-2</v>
      </c>
      <c r="Q274" s="40">
        <v>0.03</v>
      </c>
      <c r="R274" s="40" t="s">
        <v>39</v>
      </c>
      <c r="S274" s="42"/>
      <c r="T274" s="41">
        <v>0.5</v>
      </c>
      <c r="U274" s="41"/>
      <c r="V274" s="41"/>
      <c r="W274" s="41"/>
      <c r="X274" s="42">
        <v>1.5E-3</v>
      </c>
      <c r="Y274" s="43"/>
      <c r="Z274" s="10">
        <v>45</v>
      </c>
      <c r="AA274" s="43" t="s">
        <v>39</v>
      </c>
      <c r="AB274" s="29" cm="1">
        <f t="array" ref="AB274">IF(R274="",IF(Q274="",0,(_xlfn.IFS(Q274=0.01,0.67,Q274=0.015,1,Q274=0.015,1.33,Q274=0.02,1.67,Q274=0.025,2,Q274=0.03,2.33,Q274=0.035,2.67,Q274=0.04,3)+IF(J274&lt;=0.03,"0.33",0))),(_xlfn.IFS(R274=0.01,0.67,R274=0.015,1,R274=0.015,1.33,R274=0.02,1.67,R274=0.025,2,R274=0.03,2.33,R274=0.035,2.67,R274=0.04,3)+IF(J274&lt;=0.03,"0.33",0)))</f>
        <v>2.33</v>
      </c>
      <c r="AC274" s="29">
        <f t="shared" si="7"/>
        <v>2.0202020202020203</v>
      </c>
      <c r="AD274" s="20">
        <f>VLOOKUP(F274,铝耗2026年!$A$2:$B$5000,2,0)</f>
        <v>1.7769937041305</v>
      </c>
      <c r="AE274" s="20">
        <f>VLOOKUP(F274,铝耗2025年!$A$2:$B$5000,2,0)</f>
        <v>1.6</v>
      </c>
      <c r="AF274" s="37">
        <v>1.8</v>
      </c>
    </row>
    <row r="275" spans="1:32" hidden="1" x14ac:dyDescent="0.3">
      <c r="A275" s="7">
        <v>272</v>
      </c>
      <c r="B275" s="10" t="s">
        <v>511</v>
      </c>
      <c r="C275" s="10" t="s">
        <v>34</v>
      </c>
      <c r="D275" s="10">
        <v>6</v>
      </c>
      <c r="E275" s="10">
        <v>15.99</v>
      </c>
      <c r="F275" s="10" t="s">
        <v>512</v>
      </c>
      <c r="G275" s="39" t="s">
        <v>513</v>
      </c>
      <c r="H275" s="10">
        <v>1504</v>
      </c>
      <c r="I275" s="40">
        <v>0.26</v>
      </c>
      <c r="J275" s="41">
        <v>0.15</v>
      </c>
      <c r="K275" s="41">
        <v>1</v>
      </c>
      <c r="L275" s="40">
        <v>0.01</v>
      </c>
      <c r="M275" s="40">
        <v>2E-3</v>
      </c>
      <c r="N275" s="40"/>
      <c r="O275" s="40">
        <v>2.5000000000000001E-2</v>
      </c>
      <c r="P275" s="40">
        <v>0.02</v>
      </c>
      <c r="Q275" s="40">
        <v>0.04</v>
      </c>
      <c r="R275" s="40"/>
      <c r="S275" s="42"/>
      <c r="T275" s="41">
        <v>0.35</v>
      </c>
      <c r="U275" s="41"/>
      <c r="V275" s="41"/>
      <c r="W275" s="41"/>
      <c r="X275" s="42">
        <v>1.5E-3</v>
      </c>
      <c r="Y275" s="43"/>
      <c r="Z275" s="10">
        <v>45</v>
      </c>
      <c r="AA275" s="43"/>
      <c r="AB275" s="29" cm="1">
        <f t="array" ref="AB275">IF(R275="",IF(Q275="",0,(_xlfn.IFS(Q275=0.01,0.67,Q275=0.015,1,Q275=0.015,1.33,Q275=0.02,1.67,Q275=0.025,2,Q275=0.03,2.33,Q275=0.035,2.67,Q275=0.04,3)+IF(J275&lt;=0.03,"0.33",0))),(_xlfn.IFS(R275=0.01,0.67,R275=0.015,1,R275=0.015,1.33,R275=0.02,1.67,R275=0.025,2,R275=0.03,2.33,R275=0.035,2.67,R275=0.04,3)+IF(J275&lt;=0.03,"0.33",0)))</f>
        <v>3</v>
      </c>
      <c r="AC275" s="29">
        <f t="shared" si="7"/>
        <v>2.6936026936026938</v>
      </c>
      <c r="AD275" s="20">
        <f>VLOOKUP(F275,铝耗2026年!$A$2:$B$5000,2,0)</f>
        <v>1.88575210000402</v>
      </c>
      <c r="AE275" s="20" t="e">
        <f>VLOOKUP(F275,铝耗2025年!$A$2:$B$5000,2,0)</f>
        <v>#N/A</v>
      </c>
      <c r="AF275" s="37">
        <v>2</v>
      </c>
    </row>
    <row r="276" spans="1:32" hidden="1" x14ac:dyDescent="0.3">
      <c r="A276" s="7">
        <v>273</v>
      </c>
      <c r="B276" s="10" t="s">
        <v>511</v>
      </c>
      <c r="C276" s="10" t="s">
        <v>37</v>
      </c>
      <c r="D276" s="10">
        <v>16</v>
      </c>
      <c r="E276" s="10">
        <v>28</v>
      </c>
      <c r="F276" s="10" t="s">
        <v>514</v>
      </c>
      <c r="G276" s="39" t="s">
        <v>513</v>
      </c>
      <c r="H276" s="10">
        <v>1504</v>
      </c>
      <c r="I276" s="40">
        <v>0.27500000000000002</v>
      </c>
      <c r="J276" s="41">
        <v>0.15</v>
      </c>
      <c r="K276" s="41">
        <v>1</v>
      </c>
      <c r="L276" s="40">
        <v>0.01</v>
      </c>
      <c r="M276" s="40">
        <v>2E-3</v>
      </c>
      <c r="N276" s="40"/>
      <c r="O276" s="40">
        <v>2.5000000000000001E-2</v>
      </c>
      <c r="P276" s="40">
        <v>0.02</v>
      </c>
      <c r="Q276" s="40">
        <v>0.04</v>
      </c>
      <c r="R276" s="40"/>
      <c r="S276" s="42"/>
      <c r="T276" s="41">
        <v>0.5</v>
      </c>
      <c r="U276" s="41"/>
      <c r="V276" s="41"/>
      <c r="W276" s="41"/>
      <c r="X276" s="42">
        <v>1.5E-3</v>
      </c>
      <c r="Y276" s="43"/>
      <c r="Z276" s="10">
        <v>45</v>
      </c>
      <c r="AA276" s="43"/>
      <c r="AB276" s="29" cm="1">
        <f t="array" ref="AB276">IF(R276="",IF(Q276="",0,(_xlfn.IFS(Q276=0.01,0.67,Q276=0.015,1,Q276=0.015,1.33,Q276=0.02,1.67,Q276=0.025,2,Q276=0.03,2.33,Q276=0.035,2.67,Q276=0.04,3)+IF(J276&lt;=0.03,"0.33",0))),(_xlfn.IFS(R276=0.01,0.67,R276=0.015,1,R276=0.015,1.33,R276=0.02,1.67,R276=0.025,2,R276=0.03,2.33,R276=0.035,2.67,R276=0.04,3)+IF(J276&lt;=0.03,"0.33",0)))</f>
        <v>3</v>
      </c>
      <c r="AC276" s="29">
        <f t="shared" si="7"/>
        <v>2.6936026936026938</v>
      </c>
      <c r="AD276" s="20">
        <f>VLOOKUP(F276,铝耗2026年!$A$2:$B$5000,2,0)</f>
        <v>1.60857755152449</v>
      </c>
      <c r="AE276" s="20" t="e">
        <f>VLOOKUP(F276,铝耗2025年!$A$2:$B$5000,2,0)</f>
        <v>#N/A</v>
      </c>
      <c r="AF276" s="37">
        <v>2</v>
      </c>
    </row>
    <row r="277" spans="1:32" hidden="1" x14ac:dyDescent="0.3">
      <c r="A277" s="7">
        <v>274</v>
      </c>
      <c r="B277" s="10" t="s">
        <v>515</v>
      </c>
      <c r="C277" s="10" t="s">
        <v>34</v>
      </c>
      <c r="D277" s="10">
        <v>6</v>
      </c>
      <c r="E277" s="10">
        <v>15.99</v>
      </c>
      <c r="F277" s="10" t="s">
        <v>516</v>
      </c>
      <c r="G277" s="39" t="s">
        <v>517</v>
      </c>
      <c r="H277" s="10">
        <v>1492</v>
      </c>
      <c r="I277" s="10">
        <v>0.4</v>
      </c>
      <c r="J277" s="10">
        <v>0.2</v>
      </c>
      <c r="K277" s="10">
        <v>0.85</v>
      </c>
      <c r="L277" s="10">
        <v>0.01</v>
      </c>
      <c r="M277" s="10">
        <v>2E-3</v>
      </c>
      <c r="N277" s="10">
        <v>0.04</v>
      </c>
      <c r="O277" s="10">
        <v>1.4999999999999999E-2</v>
      </c>
      <c r="P277" s="10">
        <v>1.2E-2</v>
      </c>
      <c r="Q277" s="10">
        <v>0.04</v>
      </c>
      <c r="R277" s="10" t="s">
        <v>39</v>
      </c>
      <c r="S277" s="10" t="s">
        <v>39</v>
      </c>
      <c r="T277" s="10">
        <v>0.35</v>
      </c>
      <c r="U277" s="10">
        <v>0.5</v>
      </c>
      <c r="V277" s="10">
        <v>0</v>
      </c>
      <c r="W277" s="10">
        <v>0</v>
      </c>
      <c r="X277" s="10">
        <v>1.6999999999999999E-3</v>
      </c>
      <c r="Y277" s="10" t="s">
        <v>39</v>
      </c>
      <c r="Z277" s="10">
        <v>0</v>
      </c>
      <c r="AA277" s="10"/>
      <c r="AB277" s="29" cm="1">
        <f t="array" ref="AB277">IF(R277="",IF(Q277="",0,(_xlfn.IFS(Q277=0.01,0.67,Q277=0.015,1,Q277=0.015,1.33,Q277=0.02,1.67,Q277=0.025,2,Q277=0.03,2.33,Q277=0.035,2.67,Q277=0.04,3)+IF(J277&lt;=0.03,"0.33",0))),(_xlfn.IFS(R277=0.01,0.67,R277=0.015,1,R277=0.015,1.33,R277=0.02,1.67,R277=0.025,2,R277=0.03,2.33,R277=0.035,2.67,R277=0.04,3)+IF(J277&lt;=0.03,"0.33",0)))</f>
        <v>3</v>
      </c>
      <c r="AC277" s="29">
        <f t="shared" si="7"/>
        <v>2.6936026936026938</v>
      </c>
      <c r="AD277" s="20">
        <f>VLOOKUP(F277,铝耗2026年!$A$2:$B$5000,2,0)</f>
        <v>1.9840013733700199</v>
      </c>
      <c r="AE277" s="20" t="e">
        <f>VLOOKUP(F277,铝耗2025年!$A$2:$B$5000,2,0)</f>
        <v>#N/A</v>
      </c>
      <c r="AF277" s="37">
        <v>2</v>
      </c>
    </row>
    <row r="278" spans="1:32" hidden="1" x14ac:dyDescent="0.3">
      <c r="A278" s="7">
        <v>275</v>
      </c>
      <c r="B278" s="10" t="s">
        <v>515</v>
      </c>
      <c r="C278" s="10" t="s">
        <v>37</v>
      </c>
      <c r="D278" s="10">
        <v>16</v>
      </c>
      <c r="E278" s="10">
        <v>25.4</v>
      </c>
      <c r="F278" s="10" t="s">
        <v>518</v>
      </c>
      <c r="G278" s="39" t="s">
        <v>517</v>
      </c>
      <c r="H278" s="10">
        <v>1492</v>
      </c>
      <c r="I278" s="10">
        <v>0.4</v>
      </c>
      <c r="J278" s="10">
        <v>0.2</v>
      </c>
      <c r="K278" s="10">
        <v>0.85</v>
      </c>
      <c r="L278" s="10">
        <v>0.01</v>
      </c>
      <c r="M278" s="10">
        <v>2E-3</v>
      </c>
      <c r="N278" s="10">
        <v>0.04</v>
      </c>
      <c r="O278" s="10">
        <v>1.4999999999999999E-2</v>
      </c>
      <c r="P278" s="10">
        <v>1.2E-2</v>
      </c>
      <c r="Q278" s="10">
        <v>0.04</v>
      </c>
      <c r="R278" s="10" t="s">
        <v>39</v>
      </c>
      <c r="S278" s="10" t="s">
        <v>39</v>
      </c>
      <c r="T278" s="10">
        <v>0.5</v>
      </c>
      <c r="U278" s="10">
        <v>0.5</v>
      </c>
      <c r="V278" s="10">
        <v>0</v>
      </c>
      <c r="W278" s="10">
        <v>0</v>
      </c>
      <c r="X278" s="10">
        <v>1.6999999999999999E-3</v>
      </c>
      <c r="Y278" s="10" t="s">
        <v>39</v>
      </c>
      <c r="Z278" s="10">
        <v>0</v>
      </c>
      <c r="AA278" s="10"/>
      <c r="AB278" s="29" cm="1">
        <f t="array" ref="AB278">IF(R278="",IF(Q278="",0,(_xlfn.IFS(Q278=0.01,0.67,Q278=0.015,1,Q278=0.015,1.33,Q278=0.02,1.67,Q278=0.025,2,Q278=0.03,2.33,Q278=0.035,2.67,Q278=0.04,3)+IF(J278&lt;=0.03,"0.33",0))),(_xlfn.IFS(R278=0.01,0.67,R278=0.015,1,R278=0.015,1.33,R278=0.02,1.67,R278=0.025,2,R278=0.03,2.33,R278=0.035,2.67,R278=0.04,3)+IF(J278&lt;=0.03,"0.33",0)))</f>
        <v>3</v>
      </c>
      <c r="AC278" s="29">
        <f t="shared" si="7"/>
        <v>2.6936026936026938</v>
      </c>
      <c r="AD278" s="20">
        <f>VLOOKUP(F278,铝耗2026年!$A$2:$B$5000,2,0)</f>
        <v>1.9479389748342499</v>
      </c>
      <c r="AE278" s="20" t="e">
        <f>VLOOKUP(F278,铝耗2025年!$A$2:$B$5000,2,0)</f>
        <v>#N/A</v>
      </c>
      <c r="AF278" s="37">
        <v>2</v>
      </c>
    </row>
    <row r="279" spans="1:32" hidden="1" x14ac:dyDescent="0.3">
      <c r="A279" s="7">
        <v>276</v>
      </c>
      <c r="B279" s="7" t="s">
        <v>519</v>
      </c>
      <c r="C279" s="7" t="s">
        <v>34</v>
      </c>
      <c r="D279" s="7">
        <v>3</v>
      </c>
      <c r="E279" s="7">
        <v>20</v>
      </c>
      <c r="F279" s="7" t="s">
        <v>520</v>
      </c>
      <c r="G279" s="16" t="s">
        <v>521</v>
      </c>
      <c r="H279" s="7">
        <v>1514</v>
      </c>
      <c r="I279" s="7">
        <v>0.14000000000000001</v>
      </c>
      <c r="J279" s="7">
        <v>0.15</v>
      </c>
      <c r="K279" s="7">
        <v>1.35</v>
      </c>
      <c r="L279" s="7">
        <v>0.01</v>
      </c>
      <c r="M279" s="7">
        <v>3.0000000000000001E-3</v>
      </c>
      <c r="N279" s="7"/>
      <c r="O279" s="7">
        <v>2.5000000000000001E-2</v>
      </c>
      <c r="P279" s="7">
        <v>1.4999999999999999E-2</v>
      </c>
      <c r="Q279" s="7">
        <v>3.5000000000000003E-2</v>
      </c>
      <c r="R279" s="7" t="s">
        <v>39</v>
      </c>
      <c r="S279" s="7" t="s">
        <v>39</v>
      </c>
      <c r="T279" s="7">
        <v>0.35</v>
      </c>
      <c r="U279" s="7">
        <v>0</v>
      </c>
      <c r="V279" s="7">
        <v>0</v>
      </c>
      <c r="W279" s="7">
        <v>0</v>
      </c>
      <c r="X279" s="7">
        <v>1.2999999999999999E-3</v>
      </c>
      <c r="Y279" s="7" t="s">
        <v>39</v>
      </c>
      <c r="Z279" s="7">
        <v>45</v>
      </c>
      <c r="AA279" s="7"/>
      <c r="AB279" s="29" cm="1">
        <f t="array" ref="AB279">IF(R279="",IF(Q279="",0,(_xlfn.IFS(Q279=0.01,0.67,Q279=0.015,1,Q279=0.015,1.33,Q279=0.02,1.67,Q279=0.025,2,Q279=0.03,2.33,Q279=0.035,2.67,Q279=0.04,3)+IF(J279&lt;=0.03,"0.33",0))),(_xlfn.IFS(R279=0.01,0.67,R279=0.015,1,R279=0.015,1.33,R279=0.02,1.67,R279=0.025,2,R279=0.03,2.33,R279=0.035,2.67,R279=0.04,3)+IF(J279&lt;=0.03,"0.33",0)))</f>
        <v>2.67</v>
      </c>
      <c r="AC279" s="29">
        <f t="shared" si="7"/>
        <v>2.3569023569023573</v>
      </c>
      <c r="AD279" s="20">
        <f>VLOOKUP(F279,铝耗2026年!$A$2:$B$5000,2,0)</f>
        <v>1.7804830990501299</v>
      </c>
      <c r="AE279" s="20" t="e">
        <f>VLOOKUP(F279,铝耗2025年!$A$2:$B$5000,2,0)</f>
        <v>#N/A</v>
      </c>
      <c r="AF279" s="20">
        <v>1.8</v>
      </c>
    </row>
    <row r="280" spans="1:32" hidden="1" x14ac:dyDescent="0.3">
      <c r="A280" s="7">
        <v>277</v>
      </c>
      <c r="B280" s="9" t="s">
        <v>522</v>
      </c>
      <c r="C280" s="9" t="s">
        <v>34</v>
      </c>
      <c r="D280" s="9">
        <v>3.5</v>
      </c>
      <c r="E280" s="9">
        <v>25.4</v>
      </c>
      <c r="F280" s="9" t="s">
        <v>522</v>
      </c>
      <c r="G280" s="33" t="s">
        <v>523</v>
      </c>
      <c r="H280" s="9">
        <v>1519</v>
      </c>
      <c r="I280" s="34">
        <v>0.16</v>
      </c>
      <c r="J280" s="35">
        <v>0.1</v>
      </c>
      <c r="K280" s="35">
        <v>0.6</v>
      </c>
      <c r="L280" s="34">
        <v>0.02</v>
      </c>
      <c r="M280" s="34">
        <v>1.4999999999999999E-2</v>
      </c>
      <c r="N280" s="34" t="s">
        <v>39</v>
      </c>
      <c r="O280" s="34" t="s">
        <v>39</v>
      </c>
      <c r="P280" s="34" t="s">
        <v>39</v>
      </c>
      <c r="Q280" s="34">
        <v>2.5000000000000001E-2</v>
      </c>
      <c r="R280" s="34" t="s">
        <v>39</v>
      </c>
      <c r="S280" s="21" t="s">
        <v>39</v>
      </c>
      <c r="T280" s="35"/>
      <c r="U280" s="35"/>
      <c r="V280" s="35"/>
      <c r="W280" s="35"/>
      <c r="X280" s="21" t="s">
        <v>39</v>
      </c>
      <c r="Y280" s="36" t="s">
        <v>39</v>
      </c>
      <c r="Z280" s="9"/>
      <c r="AA280" s="36"/>
      <c r="AB280" s="29" cm="1">
        <f t="array" ref="AB280">IF(R280="",IF(Q280="",0,(_xlfn.IFS(Q280=0.01,0.67,Q280=0.015,1,Q280=0.015,1.33,Q280=0.02,1.67,Q280=0.025,2,Q280=0.03,2.33,Q280=0.035,2.67,Q280=0.04,3)+IF(J280&lt;=0.03,"0.33",0))),(_xlfn.IFS(R280=0.01,0.67,R280=0.015,1,R280=0.015,1.33,R280=0.02,1.67,R280=0.025,2,R280=0.03,2.33,R280=0.035,2.67,R280=0.04,3)+IF(J280&lt;=0.03,"0.33",0)))</f>
        <v>2</v>
      </c>
      <c r="AC280" s="29">
        <f t="shared" si="7"/>
        <v>1.6835016835016836</v>
      </c>
      <c r="AD280" s="20">
        <f>VLOOKUP(F280,铝耗2026年!$A$2:$B$5000,2,0)</f>
        <v>1.3273960148219099</v>
      </c>
      <c r="AE280" s="20">
        <f>VLOOKUP(F280,铝耗2025年!$A$2:$B$5000,2,0)</f>
        <v>1.33</v>
      </c>
      <c r="AF280" s="20">
        <f>MAX(AD280:AE280)</f>
        <v>1.33</v>
      </c>
    </row>
    <row r="281" spans="1:32" hidden="1" x14ac:dyDescent="0.3">
      <c r="A281" s="7">
        <v>278</v>
      </c>
      <c r="B281" s="9" t="s">
        <v>29</v>
      </c>
      <c r="C281" s="9" t="s">
        <v>34</v>
      </c>
      <c r="D281" s="9">
        <v>4</v>
      </c>
      <c r="E281" s="9">
        <v>25.4</v>
      </c>
      <c r="F281" s="9" t="s">
        <v>29</v>
      </c>
      <c r="G281" s="33" t="s">
        <v>523</v>
      </c>
      <c r="H281" s="9">
        <v>1519</v>
      </c>
      <c r="I281" s="34">
        <v>0.16</v>
      </c>
      <c r="J281" s="35">
        <v>0.12</v>
      </c>
      <c r="K281" s="35">
        <v>0.75</v>
      </c>
      <c r="L281" s="34">
        <v>1.4999999999999999E-2</v>
      </c>
      <c r="M281" s="34">
        <v>6.0000000000000001E-3</v>
      </c>
      <c r="N281" s="34" t="s">
        <v>39</v>
      </c>
      <c r="O281" s="34" t="s">
        <v>39</v>
      </c>
      <c r="P281" s="34" t="s">
        <v>39</v>
      </c>
      <c r="Q281" s="34">
        <v>2.5000000000000001E-2</v>
      </c>
      <c r="R281" s="34" t="s">
        <v>39</v>
      </c>
      <c r="S281" s="21" t="s">
        <v>39</v>
      </c>
      <c r="T281" s="35"/>
      <c r="U281" s="35"/>
      <c r="V281" s="35"/>
      <c r="W281" s="35"/>
      <c r="X281" s="21" t="s">
        <v>39</v>
      </c>
      <c r="Y281" s="36" t="s">
        <v>39</v>
      </c>
      <c r="Z281" s="9">
        <v>45</v>
      </c>
      <c r="AA281" s="36" t="s">
        <v>39</v>
      </c>
      <c r="AB281" s="29" cm="1">
        <f t="array" ref="AB281">IF(R281="",IF(Q281="",0,(_xlfn.IFS(Q281=0.01,0.67,Q281=0.015,1,Q281=0.015,1.33,Q281=0.02,1.67,Q281=0.025,2,Q281=0.03,2.33,Q281=0.035,2.67,Q281=0.04,3)+IF(J281&lt;=0.03,"0.33",0))),(_xlfn.IFS(R281=0.01,0.67,R281=0.015,1,R281=0.015,1.33,R281=0.02,1.67,R281=0.025,2,R281=0.03,2.33,R281=0.035,2.67,R281=0.04,3)+IF(J281&lt;=0.03,"0.33",0)))</f>
        <v>2</v>
      </c>
      <c r="AC281" s="29">
        <f t="shared" si="7"/>
        <v>1.6835016835016836</v>
      </c>
      <c r="AD281" s="20">
        <f>VLOOKUP(F281,铝耗2026年!$A$2:$B$5000,2,0)</f>
        <v>1.26061942129964</v>
      </c>
      <c r="AE281" s="20">
        <f>VLOOKUP(F281,铝耗2025年!$A$2:$B$5000,2,0)</f>
        <v>1.33</v>
      </c>
      <c r="AF281" s="20">
        <f>MAX(AD281:AE281)</f>
        <v>1.33</v>
      </c>
    </row>
    <row r="282" spans="1:32" hidden="1" x14ac:dyDescent="0.3">
      <c r="A282" s="7">
        <v>279</v>
      </c>
      <c r="B282" s="9" t="s">
        <v>524</v>
      </c>
      <c r="C282" s="9" t="s">
        <v>34</v>
      </c>
      <c r="D282" s="9">
        <v>4</v>
      </c>
      <c r="E282" s="9">
        <v>12.5</v>
      </c>
      <c r="F282" s="9" t="s">
        <v>525</v>
      </c>
      <c r="G282" s="33" t="s">
        <v>523</v>
      </c>
      <c r="H282" s="9">
        <v>1521</v>
      </c>
      <c r="I282" s="34">
        <v>7.0000000000000007E-2</v>
      </c>
      <c r="J282" s="35">
        <v>0.2</v>
      </c>
      <c r="K282" s="35">
        <v>1.2</v>
      </c>
      <c r="L282" s="34">
        <v>1.4999999999999999E-2</v>
      </c>
      <c r="M282" s="34">
        <v>6.0000000000000001E-3</v>
      </c>
      <c r="N282" s="34"/>
      <c r="O282" s="34"/>
      <c r="P282" s="34"/>
      <c r="Q282" s="34">
        <v>0.03</v>
      </c>
      <c r="R282" s="34"/>
      <c r="S282" s="21">
        <v>0.01</v>
      </c>
      <c r="T282" s="35"/>
      <c r="U282" s="35"/>
      <c r="V282" s="35" t="s">
        <v>39</v>
      </c>
      <c r="W282" s="35"/>
      <c r="X282" s="21" t="s">
        <v>39</v>
      </c>
      <c r="Y282" s="36" t="s">
        <v>39</v>
      </c>
      <c r="Z282" s="9" t="s">
        <v>39</v>
      </c>
      <c r="AA282" s="64"/>
      <c r="AB282" s="29" cm="1">
        <f t="array" ref="AB282">IF(R282="",IF(Q282="",0,(_xlfn.IFS(Q282=0.01,0.67,Q282=0.015,1,Q282=0.015,1.33,Q282=0.02,1.67,Q282=0.025,2,Q282=0.03,2.33,Q282=0.035,2.67,Q282=0.04,3)+IF(J282&lt;=0.03,"0.33",0))),(_xlfn.IFS(R282=0.01,0.67,R282=0.015,1,R282=0.015,1.33,R282=0.02,1.67,R282=0.025,2,R282=0.03,2.33,R282=0.035,2.67,R282=0.04,3)+IF(J282&lt;=0.03,"0.33",0)))</f>
        <v>2.33</v>
      </c>
      <c r="AC282" s="29">
        <f t="shared" si="7"/>
        <v>2.0202020202020203</v>
      </c>
      <c r="AD282" s="20">
        <f>VLOOKUP(F282,铝耗2026年!$A$2:$B$5000,2,0)</f>
        <v>1.44909032034209</v>
      </c>
      <c r="AE282" s="20">
        <f>VLOOKUP(F282,铝耗2025年!$A$2:$B$5000,2,0)</f>
        <v>1.9</v>
      </c>
      <c r="AF282" s="20">
        <f>MAX(AD282:AE282)</f>
        <v>1.9</v>
      </c>
    </row>
    <row r="283" spans="1:32" hidden="1" x14ac:dyDescent="0.3">
      <c r="A283" s="7">
        <v>280</v>
      </c>
      <c r="B283" s="9" t="s">
        <v>524</v>
      </c>
      <c r="C283" s="9" t="s">
        <v>37</v>
      </c>
      <c r="D283" s="9">
        <v>12.51</v>
      </c>
      <c r="E283" s="9">
        <v>25</v>
      </c>
      <c r="F283" s="9" t="s">
        <v>526</v>
      </c>
      <c r="G283" s="33" t="s">
        <v>523</v>
      </c>
      <c r="H283" s="9">
        <v>1521</v>
      </c>
      <c r="I283" s="34">
        <v>7.0000000000000007E-2</v>
      </c>
      <c r="J283" s="35">
        <v>0.2</v>
      </c>
      <c r="K283" s="35">
        <v>1.3</v>
      </c>
      <c r="L283" s="34">
        <v>1.4999999999999999E-2</v>
      </c>
      <c r="M283" s="34">
        <v>6.0000000000000001E-3</v>
      </c>
      <c r="N283" s="34"/>
      <c r="O283" s="34"/>
      <c r="P283" s="34"/>
      <c r="Q283" s="34">
        <v>0.03</v>
      </c>
      <c r="R283" s="34"/>
      <c r="S283" s="21">
        <v>0.01</v>
      </c>
      <c r="T283" s="35"/>
      <c r="U283" s="35"/>
      <c r="V283" s="35" t="s">
        <v>39</v>
      </c>
      <c r="W283" s="35"/>
      <c r="X283" s="21" t="s">
        <v>39</v>
      </c>
      <c r="Y283" s="36" t="s">
        <v>39</v>
      </c>
      <c r="Z283" s="9" t="s">
        <v>39</v>
      </c>
      <c r="AA283" s="64"/>
      <c r="AB283" s="29" cm="1">
        <f t="array" ref="AB283">IF(R283="",IF(Q283="",0,(_xlfn.IFS(Q283=0.01,0.67,Q283=0.015,1,Q283=0.015,1.33,Q283=0.02,1.67,Q283=0.025,2,Q283=0.03,2.33,Q283=0.035,2.67,Q283=0.04,3)+IF(J283&lt;=0.03,"0.33",0))),(_xlfn.IFS(R283=0.01,0.67,R283=0.015,1,R283=0.015,1.33,R283=0.02,1.67,R283=0.025,2,R283=0.03,2.33,R283=0.035,2.67,R283=0.04,3)+IF(J283&lt;=0.03,"0.33",0)))</f>
        <v>2.33</v>
      </c>
      <c r="AC283" s="29">
        <f t="shared" si="7"/>
        <v>2.0202020202020203</v>
      </c>
      <c r="AD283" s="20" t="e">
        <f>VLOOKUP(F283,铝耗2026年!$A$2:$B$5000,2,0)</f>
        <v>#N/A</v>
      </c>
      <c r="AE283" s="20">
        <f>VLOOKUP(F283,铝耗2025年!$A$2:$B$5000,2,0)</f>
        <v>1.9</v>
      </c>
      <c r="AF283" s="37">
        <v>1.9</v>
      </c>
    </row>
    <row r="284" spans="1:32" hidden="1" x14ac:dyDescent="0.3">
      <c r="A284" s="7">
        <v>281</v>
      </c>
      <c r="B284" s="9" t="s">
        <v>527</v>
      </c>
      <c r="C284" s="9" t="s">
        <v>34</v>
      </c>
      <c r="D284" s="9">
        <v>4</v>
      </c>
      <c r="E284" s="9">
        <v>12.5</v>
      </c>
      <c r="F284" s="9" t="s">
        <v>528</v>
      </c>
      <c r="G284" s="33" t="s">
        <v>523</v>
      </c>
      <c r="H284" s="9">
        <v>1521</v>
      </c>
      <c r="I284" s="34">
        <v>7.0000000000000007E-2</v>
      </c>
      <c r="J284" s="35">
        <v>0.12</v>
      </c>
      <c r="K284" s="35">
        <v>1.3</v>
      </c>
      <c r="L284" s="34">
        <v>1.4999999999999999E-2</v>
      </c>
      <c r="M284" s="34">
        <v>6.0000000000000001E-3</v>
      </c>
      <c r="N284" s="34"/>
      <c r="O284" s="34">
        <v>3.5000000000000003E-2</v>
      </c>
      <c r="P284" s="34">
        <v>0.01</v>
      </c>
      <c r="Q284" s="34">
        <v>0.03</v>
      </c>
      <c r="R284" s="34" t="s">
        <v>39</v>
      </c>
      <c r="S284" s="21"/>
      <c r="T284" s="35"/>
      <c r="U284" s="35"/>
      <c r="V284" s="35"/>
      <c r="W284" s="35"/>
      <c r="X284" s="21"/>
      <c r="Y284" s="36" t="s">
        <v>39</v>
      </c>
      <c r="Z284" s="9">
        <v>50</v>
      </c>
      <c r="AA284" s="36"/>
      <c r="AB284" s="29" cm="1">
        <f t="array" ref="AB284">IF(R284="",IF(Q284="",0,(_xlfn.IFS(Q284=0.01,0.67,Q284=0.015,1,Q284=0.015,1.33,Q284=0.02,1.67,Q284=0.025,2,Q284=0.03,2.33,Q284=0.035,2.67,Q284=0.04,3)+IF(J284&lt;=0.03,"0.33",0))),(_xlfn.IFS(R284=0.01,0.67,R284=0.015,1,R284=0.015,1.33,R284=0.02,1.67,R284=0.025,2,R284=0.03,2.33,R284=0.035,2.67,R284=0.04,3)+IF(J284&lt;=0.03,"0.33",0)))</f>
        <v>2.33</v>
      </c>
      <c r="AC284" s="29">
        <f t="shared" si="7"/>
        <v>2.0202020202020203</v>
      </c>
      <c r="AD284" s="20">
        <f>VLOOKUP(F284,铝耗2026年!$A$2:$B$5000,2,0)</f>
        <v>1.7393148916744801</v>
      </c>
      <c r="AE284" s="20">
        <f>VLOOKUP(F284,铝耗2025年!$A$2:$B$5000,2,0)</f>
        <v>1.9</v>
      </c>
      <c r="AF284" s="20">
        <f>MAX(AD284:AE284)</f>
        <v>1.9</v>
      </c>
    </row>
    <row r="285" spans="1:32" hidden="1" x14ac:dyDescent="0.3">
      <c r="A285" s="7">
        <v>282</v>
      </c>
      <c r="B285" s="9" t="s">
        <v>527</v>
      </c>
      <c r="C285" s="9" t="s">
        <v>37</v>
      </c>
      <c r="D285" s="9">
        <v>12.51</v>
      </c>
      <c r="E285" s="9">
        <v>25</v>
      </c>
      <c r="F285" s="9" t="s">
        <v>529</v>
      </c>
      <c r="G285" s="33" t="s">
        <v>523</v>
      </c>
      <c r="H285" s="9">
        <v>1522</v>
      </c>
      <c r="I285" s="34">
        <v>7.0000000000000007E-2</v>
      </c>
      <c r="J285" s="35">
        <v>0.15</v>
      </c>
      <c r="K285" s="35">
        <v>1.4</v>
      </c>
      <c r="L285" s="34">
        <v>1.4999999999999999E-2</v>
      </c>
      <c r="M285" s="34">
        <v>6.0000000000000001E-3</v>
      </c>
      <c r="N285" s="34"/>
      <c r="O285" s="34">
        <v>3.5000000000000003E-2</v>
      </c>
      <c r="P285" s="34">
        <v>0.01</v>
      </c>
      <c r="Q285" s="34">
        <v>0.03</v>
      </c>
      <c r="R285" s="34" t="s">
        <v>39</v>
      </c>
      <c r="S285" s="21"/>
      <c r="T285" s="35"/>
      <c r="U285" s="35"/>
      <c r="V285" s="35"/>
      <c r="W285" s="35"/>
      <c r="X285" s="21"/>
      <c r="Y285" s="36" t="s">
        <v>39</v>
      </c>
      <c r="Z285" s="9">
        <v>50</v>
      </c>
      <c r="AA285" s="36"/>
      <c r="AB285" s="29" cm="1">
        <f t="array" ref="AB285">IF(R285="",IF(Q285="",0,(_xlfn.IFS(Q285=0.01,0.67,Q285=0.015,1,Q285=0.015,1.33,Q285=0.02,1.67,Q285=0.025,2,Q285=0.03,2.33,Q285=0.035,2.67,Q285=0.04,3)+IF(J285&lt;=0.03,"0.33",0))),(_xlfn.IFS(R285=0.01,0.67,R285=0.015,1,R285=0.015,1.33,R285=0.02,1.67,R285=0.025,2,R285=0.03,2.33,R285=0.035,2.67,R285=0.04,3)+IF(J285&lt;=0.03,"0.33",0)))</f>
        <v>2.33</v>
      </c>
      <c r="AC285" s="29">
        <f t="shared" si="7"/>
        <v>2.0202020202020203</v>
      </c>
      <c r="AD285" s="20">
        <f>VLOOKUP(F285,铝耗2026年!$A$2:$B$5000,2,0)</f>
        <v>1.8663081330273299</v>
      </c>
      <c r="AE285" s="20">
        <f>VLOOKUP(F285,铝耗2025年!$A$2:$B$5000,2,0)</f>
        <v>1.9</v>
      </c>
      <c r="AF285" s="20">
        <f>MAX(AD285:AE285)</f>
        <v>1.9</v>
      </c>
    </row>
    <row r="286" spans="1:32" hidden="1" x14ac:dyDescent="0.3">
      <c r="A286" s="7">
        <v>283</v>
      </c>
      <c r="B286" s="9" t="s">
        <v>530</v>
      </c>
      <c r="C286" s="9" t="s">
        <v>34</v>
      </c>
      <c r="D286" s="9">
        <v>3.5</v>
      </c>
      <c r="E286" s="9">
        <v>25.4</v>
      </c>
      <c r="F286" s="9" t="s">
        <v>530</v>
      </c>
      <c r="G286" s="33" t="s">
        <v>523</v>
      </c>
      <c r="H286" s="9">
        <v>1519</v>
      </c>
      <c r="I286" s="34">
        <v>0.16</v>
      </c>
      <c r="J286" s="35">
        <v>0.1</v>
      </c>
      <c r="K286" s="35">
        <v>0.6</v>
      </c>
      <c r="L286" s="34">
        <v>0.02</v>
      </c>
      <c r="M286" s="34">
        <v>1.4999999999999999E-2</v>
      </c>
      <c r="N286" s="34" t="s">
        <v>39</v>
      </c>
      <c r="O286" s="34" t="s">
        <v>39</v>
      </c>
      <c r="P286" s="34" t="s">
        <v>39</v>
      </c>
      <c r="Q286" s="34">
        <v>2.5000000000000001E-2</v>
      </c>
      <c r="R286" s="34" t="s">
        <v>39</v>
      </c>
      <c r="S286" s="21" t="s">
        <v>39</v>
      </c>
      <c r="T286" s="35"/>
      <c r="U286" s="35"/>
      <c r="V286" s="35"/>
      <c r="W286" s="35"/>
      <c r="X286" s="21" t="s">
        <v>39</v>
      </c>
      <c r="Y286" s="36" t="s">
        <v>39</v>
      </c>
      <c r="Z286" s="9"/>
      <c r="AA286" s="36"/>
      <c r="AB286" s="29" cm="1">
        <f t="array" ref="AB286">IF(R286="",IF(Q286="",0,(_xlfn.IFS(Q286=0.01,0.67,Q286=0.015,1,Q286=0.015,1.33,Q286=0.02,1.67,Q286=0.025,2,Q286=0.03,2.33,Q286=0.035,2.67,Q286=0.04,3)+IF(J286&lt;=0.03,"0.33",0))),(_xlfn.IFS(R286=0.01,0.67,R286=0.015,1,R286=0.015,1.33,R286=0.02,1.67,R286=0.025,2,R286=0.03,2.33,R286=0.035,2.67,R286=0.04,3)+IF(J286&lt;=0.03,"0.33",0)))</f>
        <v>2</v>
      </c>
      <c r="AC286" s="29">
        <f t="shared" si="7"/>
        <v>1.6835016835016836</v>
      </c>
      <c r="AD286" s="20" t="e">
        <f>VLOOKUP(F286,铝耗2026年!$A$2:$B$5000,2,0)</f>
        <v>#N/A</v>
      </c>
      <c r="AE286" s="20" t="e">
        <f>VLOOKUP(F286,铝耗2025年!$A$2:$B$5000,2,0)</f>
        <v>#N/A</v>
      </c>
      <c r="AF286" s="37">
        <v>1.33</v>
      </c>
    </row>
    <row r="287" spans="1:32" hidden="1" x14ac:dyDescent="0.3">
      <c r="A287" s="7">
        <v>284</v>
      </c>
      <c r="B287" s="9" t="s">
        <v>531</v>
      </c>
      <c r="C287" s="9" t="s">
        <v>34</v>
      </c>
      <c r="D287" s="9">
        <v>4</v>
      </c>
      <c r="E287" s="9">
        <v>25.4</v>
      </c>
      <c r="F287" s="9" t="s">
        <v>531</v>
      </c>
      <c r="G287" s="33" t="s">
        <v>523</v>
      </c>
      <c r="H287" s="9">
        <v>1519</v>
      </c>
      <c r="I287" s="34">
        <v>0.16</v>
      </c>
      <c r="J287" s="35">
        <v>0.12</v>
      </c>
      <c r="K287" s="35">
        <v>0.75</v>
      </c>
      <c r="L287" s="34">
        <v>1.4999999999999999E-2</v>
      </c>
      <c r="M287" s="34">
        <v>6.0000000000000001E-3</v>
      </c>
      <c r="N287" s="34" t="s">
        <v>39</v>
      </c>
      <c r="O287" s="34" t="s">
        <v>39</v>
      </c>
      <c r="P287" s="34" t="s">
        <v>39</v>
      </c>
      <c r="Q287" s="34">
        <v>2.5000000000000001E-2</v>
      </c>
      <c r="R287" s="34" t="s">
        <v>39</v>
      </c>
      <c r="S287" s="21" t="s">
        <v>39</v>
      </c>
      <c r="T287" s="35"/>
      <c r="U287" s="35"/>
      <c r="V287" s="35"/>
      <c r="W287" s="35"/>
      <c r="X287" s="21" t="s">
        <v>39</v>
      </c>
      <c r="Y287" s="36" t="s">
        <v>39</v>
      </c>
      <c r="Z287" s="9">
        <v>45</v>
      </c>
      <c r="AA287" s="36" t="s">
        <v>39</v>
      </c>
      <c r="AB287" s="29" cm="1">
        <f t="array" ref="AB287">IF(R287="",IF(Q287="",0,(_xlfn.IFS(Q287=0.01,0.67,Q287=0.015,1,Q287=0.015,1.33,Q287=0.02,1.67,Q287=0.025,2,Q287=0.03,2.33,Q287=0.035,2.67,Q287=0.04,3)+IF(J287&lt;=0.03,"0.33",0))),(_xlfn.IFS(R287=0.01,0.67,R287=0.015,1,R287=0.015,1.33,R287=0.02,1.67,R287=0.025,2,R287=0.03,2.33,R287=0.035,2.67,R287=0.04,3)+IF(J287&lt;=0.03,"0.33",0)))</f>
        <v>2</v>
      </c>
      <c r="AC287" s="29">
        <f t="shared" si="7"/>
        <v>1.6835016835016836</v>
      </c>
      <c r="AD287" s="20" t="e">
        <f>VLOOKUP(F287,铝耗2026年!$A$2:$B$5000,2,0)</f>
        <v>#N/A</v>
      </c>
      <c r="AE287" s="20" t="e">
        <f>VLOOKUP(F287,铝耗2025年!$A$2:$B$5000,2,0)</f>
        <v>#N/A</v>
      </c>
      <c r="AF287" s="37">
        <v>1.33</v>
      </c>
    </row>
    <row r="288" spans="1:32" hidden="1" x14ac:dyDescent="0.3">
      <c r="A288" s="7">
        <v>285</v>
      </c>
      <c r="B288" s="9" t="s">
        <v>532</v>
      </c>
      <c r="C288" s="9" t="s">
        <v>34</v>
      </c>
      <c r="D288" s="9">
        <v>4</v>
      </c>
      <c r="E288" s="9">
        <v>12.5</v>
      </c>
      <c r="F288" s="9" t="s">
        <v>533</v>
      </c>
      <c r="G288" s="33" t="s">
        <v>523</v>
      </c>
      <c r="H288" s="9">
        <v>1521</v>
      </c>
      <c r="I288" s="34">
        <v>7.0000000000000007E-2</v>
      </c>
      <c r="J288" s="35">
        <v>0.2</v>
      </c>
      <c r="K288" s="35">
        <v>1.2</v>
      </c>
      <c r="L288" s="34">
        <v>1.4999999999999999E-2</v>
      </c>
      <c r="M288" s="34">
        <v>6.0000000000000001E-3</v>
      </c>
      <c r="N288" s="34"/>
      <c r="O288" s="34"/>
      <c r="P288" s="34"/>
      <c r="Q288" s="34">
        <v>0.03</v>
      </c>
      <c r="R288" s="34"/>
      <c r="S288" s="21">
        <v>0.01</v>
      </c>
      <c r="T288" s="35"/>
      <c r="U288" s="35"/>
      <c r="V288" s="35" t="s">
        <v>39</v>
      </c>
      <c r="W288" s="35"/>
      <c r="X288" s="21" t="s">
        <v>39</v>
      </c>
      <c r="Y288" s="36" t="s">
        <v>39</v>
      </c>
      <c r="Z288" s="9" t="s">
        <v>39</v>
      </c>
      <c r="AA288" s="64"/>
      <c r="AB288" s="29" cm="1">
        <f t="array" ref="AB288">IF(R288="",IF(Q288="",0,(_xlfn.IFS(Q288=0.01,0.67,Q288=0.015,1,Q288=0.015,1.33,Q288=0.02,1.67,Q288=0.025,2,Q288=0.03,2.33,Q288=0.035,2.67,Q288=0.04,3)+IF(J288&lt;=0.03,"0.33",0))),(_xlfn.IFS(R288=0.01,0.67,R288=0.015,1,R288=0.015,1.33,R288=0.02,1.67,R288=0.025,2,R288=0.03,2.33,R288=0.035,2.67,R288=0.04,3)+IF(J288&lt;=0.03,"0.33",0)))</f>
        <v>2.33</v>
      </c>
      <c r="AC288" s="29">
        <f t="shared" si="7"/>
        <v>2.0202020202020203</v>
      </c>
      <c r="AD288" s="20" t="e">
        <f>VLOOKUP(F288,铝耗2026年!$A$2:$B$5000,2,0)</f>
        <v>#N/A</v>
      </c>
      <c r="AE288" s="20" t="e">
        <f>VLOOKUP(F288,铝耗2025年!$A$2:$B$5000,2,0)</f>
        <v>#N/A</v>
      </c>
      <c r="AF288" s="37">
        <v>1.9</v>
      </c>
    </row>
    <row r="289" spans="1:32" hidden="1" x14ac:dyDescent="0.3">
      <c r="A289" s="7">
        <v>286</v>
      </c>
      <c r="B289" s="9" t="s">
        <v>532</v>
      </c>
      <c r="C289" s="9" t="s">
        <v>37</v>
      </c>
      <c r="D289" s="9">
        <v>12.51</v>
      </c>
      <c r="E289" s="9">
        <v>25</v>
      </c>
      <c r="F289" s="9" t="s">
        <v>534</v>
      </c>
      <c r="G289" s="33" t="s">
        <v>523</v>
      </c>
      <c r="H289" s="9">
        <v>1521</v>
      </c>
      <c r="I289" s="34">
        <v>7.0000000000000007E-2</v>
      </c>
      <c r="J289" s="35">
        <v>0.2</v>
      </c>
      <c r="K289" s="35">
        <v>1.3</v>
      </c>
      <c r="L289" s="34">
        <v>1.4999999999999999E-2</v>
      </c>
      <c r="M289" s="34">
        <v>6.0000000000000001E-3</v>
      </c>
      <c r="N289" s="34"/>
      <c r="O289" s="34"/>
      <c r="P289" s="34"/>
      <c r="Q289" s="34">
        <v>0.03</v>
      </c>
      <c r="R289" s="34"/>
      <c r="S289" s="21">
        <v>0.01</v>
      </c>
      <c r="T289" s="35"/>
      <c r="U289" s="35"/>
      <c r="V289" s="35" t="s">
        <v>39</v>
      </c>
      <c r="W289" s="35"/>
      <c r="X289" s="21" t="s">
        <v>39</v>
      </c>
      <c r="Y289" s="36" t="s">
        <v>39</v>
      </c>
      <c r="Z289" s="9" t="s">
        <v>39</v>
      </c>
      <c r="AA289" s="64"/>
      <c r="AB289" s="29" cm="1">
        <f t="array" ref="AB289">IF(R289="",IF(Q289="",0,(_xlfn.IFS(Q289=0.01,0.67,Q289=0.015,1,Q289=0.015,1.33,Q289=0.02,1.67,Q289=0.025,2,Q289=0.03,2.33,Q289=0.035,2.67,Q289=0.04,3)+IF(J289&lt;=0.03,"0.33",0))),(_xlfn.IFS(R289=0.01,0.67,R289=0.015,1,R289=0.015,1.33,R289=0.02,1.67,R289=0.025,2,R289=0.03,2.33,R289=0.035,2.67,R289=0.04,3)+IF(J289&lt;=0.03,"0.33",0)))</f>
        <v>2.33</v>
      </c>
      <c r="AC289" s="29">
        <f t="shared" si="7"/>
        <v>2.0202020202020203</v>
      </c>
      <c r="AD289" s="20" t="e">
        <f>VLOOKUP(F289,铝耗2026年!$A$2:$B$5000,2,0)</f>
        <v>#N/A</v>
      </c>
      <c r="AE289" s="20" t="e">
        <f>VLOOKUP(F289,铝耗2025年!$A$2:$B$5000,2,0)</f>
        <v>#N/A</v>
      </c>
      <c r="AF289" s="37">
        <v>1.9</v>
      </c>
    </row>
    <row r="290" spans="1:32" hidden="1" x14ac:dyDescent="0.3">
      <c r="A290" s="7">
        <v>287</v>
      </c>
      <c r="B290" s="9" t="s">
        <v>535</v>
      </c>
      <c r="C290" s="9" t="s">
        <v>34</v>
      </c>
      <c r="D290" s="9">
        <v>4</v>
      </c>
      <c r="E290" s="9">
        <v>12.5</v>
      </c>
      <c r="F290" s="9" t="s">
        <v>536</v>
      </c>
      <c r="G290" s="33" t="s">
        <v>523</v>
      </c>
      <c r="H290" s="9">
        <v>1521</v>
      </c>
      <c r="I290" s="34">
        <v>7.0000000000000007E-2</v>
      </c>
      <c r="J290" s="35">
        <v>0.12</v>
      </c>
      <c r="K290" s="35">
        <v>1.3</v>
      </c>
      <c r="L290" s="34">
        <v>1.4999999999999999E-2</v>
      </c>
      <c r="M290" s="34">
        <v>6.0000000000000001E-3</v>
      </c>
      <c r="N290" s="34"/>
      <c r="O290" s="34">
        <v>3.5000000000000003E-2</v>
      </c>
      <c r="P290" s="34">
        <v>0.01</v>
      </c>
      <c r="Q290" s="34">
        <v>0.03</v>
      </c>
      <c r="R290" s="34" t="s">
        <v>39</v>
      </c>
      <c r="S290" s="21"/>
      <c r="T290" s="35"/>
      <c r="U290" s="35"/>
      <c r="V290" s="35"/>
      <c r="W290" s="35"/>
      <c r="X290" s="21"/>
      <c r="Y290" s="36" t="s">
        <v>39</v>
      </c>
      <c r="Z290" s="9">
        <v>50</v>
      </c>
      <c r="AA290" s="36"/>
      <c r="AB290" s="29" cm="1">
        <f t="array" ref="AB290">IF(R290="",IF(Q290="",0,(_xlfn.IFS(Q290=0.01,0.67,Q290=0.015,1,Q290=0.015,1.33,Q290=0.02,1.67,Q290=0.025,2,Q290=0.03,2.33,Q290=0.035,2.67,Q290=0.04,3)+IF(J290&lt;=0.03,"0.33",0))),(_xlfn.IFS(R290=0.01,0.67,R290=0.015,1,R290=0.015,1.33,R290=0.02,1.67,R290=0.025,2,R290=0.03,2.33,R290=0.035,2.67,R290=0.04,3)+IF(J290&lt;=0.03,"0.33",0)))</f>
        <v>2.33</v>
      </c>
      <c r="AC290" s="29">
        <f t="shared" si="7"/>
        <v>2.0202020202020203</v>
      </c>
      <c r="AD290" s="20" t="e">
        <f>VLOOKUP(F290,铝耗2026年!$A$2:$B$5000,2,0)</f>
        <v>#N/A</v>
      </c>
      <c r="AE290" s="20" t="e">
        <f>VLOOKUP(F290,铝耗2025年!$A$2:$B$5000,2,0)</f>
        <v>#N/A</v>
      </c>
      <c r="AF290" s="37">
        <v>1.9</v>
      </c>
    </row>
    <row r="291" spans="1:32" hidden="1" x14ac:dyDescent="0.3">
      <c r="A291" s="7">
        <v>288</v>
      </c>
      <c r="B291" s="9" t="s">
        <v>535</v>
      </c>
      <c r="C291" s="9" t="s">
        <v>37</v>
      </c>
      <c r="D291" s="9">
        <v>12.51</v>
      </c>
      <c r="E291" s="9">
        <v>25</v>
      </c>
      <c r="F291" s="9" t="s">
        <v>537</v>
      </c>
      <c r="G291" s="33" t="s">
        <v>523</v>
      </c>
      <c r="H291" s="9">
        <v>1522</v>
      </c>
      <c r="I291" s="34">
        <v>7.0000000000000007E-2</v>
      </c>
      <c r="J291" s="35">
        <v>0.15</v>
      </c>
      <c r="K291" s="35">
        <v>1.4</v>
      </c>
      <c r="L291" s="34">
        <v>1.4999999999999999E-2</v>
      </c>
      <c r="M291" s="34">
        <v>6.0000000000000001E-3</v>
      </c>
      <c r="N291" s="34"/>
      <c r="O291" s="34">
        <v>3.5000000000000003E-2</v>
      </c>
      <c r="P291" s="34">
        <v>0.01</v>
      </c>
      <c r="Q291" s="34">
        <v>0.03</v>
      </c>
      <c r="R291" s="34" t="s">
        <v>39</v>
      </c>
      <c r="S291" s="21"/>
      <c r="T291" s="35"/>
      <c r="U291" s="35"/>
      <c r="V291" s="35"/>
      <c r="W291" s="35"/>
      <c r="X291" s="21"/>
      <c r="Y291" s="36" t="s">
        <v>39</v>
      </c>
      <c r="Z291" s="9">
        <v>50</v>
      </c>
      <c r="AA291" s="36"/>
      <c r="AB291" s="29" cm="1">
        <f t="array" ref="AB291">IF(R291="",IF(Q291="",0,(_xlfn.IFS(Q291=0.01,0.67,Q291=0.015,1,Q291=0.015,1.33,Q291=0.02,1.67,Q291=0.025,2,Q291=0.03,2.33,Q291=0.035,2.67,Q291=0.04,3)+IF(J291&lt;=0.03,"0.33",0))),(_xlfn.IFS(R291=0.01,0.67,R291=0.015,1,R291=0.015,1.33,R291=0.02,1.67,R291=0.025,2,R291=0.03,2.33,R291=0.035,2.67,R291=0.04,3)+IF(J291&lt;=0.03,"0.33",0)))</f>
        <v>2.33</v>
      </c>
      <c r="AC291" s="29">
        <f t="shared" si="7"/>
        <v>2.0202020202020203</v>
      </c>
      <c r="AD291" s="20" t="e">
        <f>VLOOKUP(F291,铝耗2026年!$A$2:$B$5000,2,0)</f>
        <v>#N/A</v>
      </c>
      <c r="AE291" s="20" t="e">
        <f>VLOOKUP(F291,铝耗2025年!$A$2:$B$5000,2,0)</f>
        <v>#N/A</v>
      </c>
      <c r="AF291" s="37">
        <v>1.9</v>
      </c>
    </row>
    <row r="292" spans="1:32" hidden="1" x14ac:dyDescent="0.3">
      <c r="A292" s="7">
        <v>289</v>
      </c>
      <c r="B292" s="9" t="s">
        <v>538</v>
      </c>
      <c r="C292" s="9" t="s">
        <v>34</v>
      </c>
      <c r="D292" s="9">
        <v>3.5</v>
      </c>
      <c r="E292" s="9">
        <v>25.4</v>
      </c>
      <c r="F292" s="9" t="s">
        <v>538</v>
      </c>
      <c r="G292" s="33" t="s">
        <v>523</v>
      </c>
      <c r="H292" s="9">
        <v>1519</v>
      </c>
      <c r="I292" s="34">
        <v>0.16</v>
      </c>
      <c r="J292" s="35">
        <v>0.1</v>
      </c>
      <c r="K292" s="35">
        <v>0.6</v>
      </c>
      <c r="L292" s="34">
        <v>0.02</v>
      </c>
      <c r="M292" s="34">
        <v>1.4999999999999999E-2</v>
      </c>
      <c r="N292" s="34" t="s">
        <v>39</v>
      </c>
      <c r="O292" s="34" t="s">
        <v>39</v>
      </c>
      <c r="P292" s="34" t="s">
        <v>39</v>
      </c>
      <c r="Q292" s="34">
        <v>2.5000000000000001E-2</v>
      </c>
      <c r="R292" s="34" t="s">
        <v>39</v>
      </c>
      <c r="S292" s="21" t="s">
        <v>39</v>
      </c>
      <c r="T292" s="35"/>
      <c r="U292" s="35"/>
      <c r="V292" s="35"/>
      <c r="W292" s="35"/>
      <c r="X292" s="21" t="s">
        <v>39</v>
      </c>
      <c r="Y292" s="36" t="s">
        <v>39</v>
      </c>
      <c r="Z292" s="9"/>
      <c r="AA292" s="36"/>
      <c r="AB292" s="29" cm="1">
        <f t="array" ref="AB292">IF(R292="",IF(Q292="",0,(_xlfn.IFS(Q292=0.01,0.67,Q292=0.015,1,Q292=0.015,1.33,Q292=0.02,1.67,Q292=0.025,2,Q292=0.03,2.33,Q292=0.035,2.67,Q292=0.04,3)+IF(J292&lt;=0.03,"0.33",0))),(_xlfn.IFS(R292=0.01,0.67,R292=0.015,1,R292=0.015,1.33,R292=0.02,1.67,R292=0.025,2,R292=0.03,2.33,R292=0.035,2.67,R292=0.04,3)+IF(J292&lt;=0.03,"0.33",0)))</f>
        <v>2</v>
      </c>
      <c r="AC292" s="29">
        <f t="shared" si="7"/>
        <v>1.6835016835016836</v>
      </c>
      <c r="AD292" s="20" t="e">
        <f>VLOOKUP(F292,铝耗2026年!$A$2:$B$5000,2,0)</f>
        <v>#N/A</v>
      </c>
      <c r="AE292" s="20" t="e">
        <f>VLOOKUP(F292,铝耗2025年!$A$2:$B$5000,2,0)</f>
        <v>#N/A</v>
      </c>
      <c r="AF292" s="37">
        <v>1.33</v>
      </c>
    </row>
    <row r="293" spans="1:32" hidden="1" x14ac:dyDescent="0.3">
      <c r="A293" s="7">
        <v>290</v>
      </c>
      <c r="B293" s="9" t="s">
        <v>539</v>
      </c>
      <c r="C293" s="9" t="s">
        <v>34</v>
      </c>
      <c r="D293" s="9">
        <v>4</v>
      </c>
      <c r="E293" s="9">
        <v>25.4</v>
      </c>
      <c r="F293" s="9" t="s">
        <v>539</v>
      </c>
      <c r="G293" s="33" t="s">
        <v>523</v>
      </c>
      <c r="H293" s="9">
        <v>1519</v>
      </c>
      <c r="I293" s="34">
        <v>0.16</v>
      </c>
      <c r="J293" s="35">
        <v>0.12</v>
      </c>
      <c r="K293" s="35">
        <v>0.75</v>
      </c>
      <c r="L293" s="34">
        <v>1.4999999999999999E-2</v>
      </c>
      <c r="M293" s="34">
        <v>6.0000000000000001E-3</v>
      </c>
      <c r="N293" s="34" t="s">
        <v>39</v>
      </c>
      <c r="O293" s="34" t="s">
        <v>39</v>
      </c>
      <c r="P293" s="34" t="s">
        <v>39</v>
      </c>
      <c r="Q293" s="34">
        <v>2.5000000000000001E-2</v>
      </c>
      <c r="R293" s="34" t="s">
        <v>39</v>
      </c>
      <c r="S293" s="21" t="s">
        <v>39</v>
      </c>
      <c r="T293" s="35"/>
      <c r="U293" s="35"/>
      <c r="V293" s="35"/>
      <c r="W293" s="35"/>
      <c r="X293" s="21" t="s">
        <v>39</v>
      </c>
      <c r="Y293" s="36" t="s">
        <v>39</v>
      </c>
      <c r="Z293" s="9">
        <v>45</v>
      </c>
      <c r="AA293" s="36" t="s">
        <v>39</v>
      </c>
      <c r="AB293" s="29" cm="1">
        <f t="array" ref="AB293">IF(R293="",IF(Q293="",0,(_xlfn.IFS(Q293=0.01,0.67,Q293=0.015,1,Q293=0.015,1.33,Q293=0.02,1.67,Q293=0.025,2,Q293=0.03,2.33,Q293=0.035,2.67,Q293=0.04,3)+IF(J293&lt;=0.03,"0.33",0))),(_xlfn.IFS(R293=0.01,0.67,R293=0.015,1,R293=0.015,1.33,R293=0.02,1.67,R293=0.025,2,R293=0.03,2.33,R293=0.035,2.67,R293=0.04,3)+IF(J293&lt;=0.03,"0.33",0)))</f>
        <v>2</v>
      </c>
      <c r="AC293" s="29">
        <f t="shared" si="7"/>
        <v>1.6835016835016836</v>
      </c>
      <c r="AD293" s="20" t="e">
        <f>VLOOKUP(F293,铝耗2026年!$A$2:$B$5000,2,0)</f>
        <v>#N/A</v>
      </c>
      <c r="AE293" s="20" t="e">
        <f>VLOOKUP(F293,铝耗2025年!$A$2:$B$5000,2,0)</f>
        <v>#N/A</v>
      </c>
      <c r="AF293" s="37">
        <v>1.33</v>
      </c>
    </row>
    <row r="294" spans="1:32" hidden="1" x14ac:dyDescent="0.3">
      <c r="A294" s="7">
        <v>291</v>
      </c>
      <c r="B294" s="9" t="s">
        <v>540</v>
      </c>
      <c r="C294" s="9" t="s">
        <v>34</v>
      </c>
      <c r="D294" s="9">
        <v>4</v>
      </c>
      <c r="E294" s="9">
        <v>12.5</v>
      </c>
      <c r="F294" s="9" t="s">
        <v>541</v>
      </c>
      <c r="G294" s="33" t="s">
        <v>523</v>
      </c>
      <c r="H294" s="9">
        <v>1521</v>
      </c>
      <c r="I294" s="34">
        <v>7.0000000000000007E-2</v>
      </c>
      <c r="J294" s="35">
        <v>0.2</v>
      </c>
      <c r="K294" s="35">
        <v>1.2</v>
      </c>
      <c r="L294" s="34">
        <v>1.4999999999999999E-2</v>
      </c>
      <c r="M294" s="34">
        <v>6.0000000000000001E-3</v>
      </c>
      <c r="N294" s="34"/>
      <c r="O294" s="34"/>
      <c r="P294" s="34"/>
      <c r="Q294" s="34">
        <v>0.03</v>
      </c>
      <c r="R294" s="34"/>
      <c r="S294" s="21">
        <v>0.01</v>
      </c>
      <c r="T294" s="35"/>
      <c r="U294" s="35"/>
      <c r="V294" s="35" t="s">
        <v>39</v>
      </c>
      <c r="W294" s="35"/>
      <c r="X294" s="21" t="s">
        <v>39</v>
      </c>
      <c r="Y294" s="36" t="s">
        <v>39</v>
      </c>
      <c r="Z294" s="9" t="s">
        <v>39</v>
      </c>
      <c r="AA294" s="64"/>
      <c r="AB294" s="29" cm="1">
        <f t="array" ref="AB294">IF(R294="",IF(Q294="",0,(_xlfn.IFS(Q294=0.01,0.67,Q294=0.015,1,Q294=0.015,1.33,Q294=0.02,1.67,Q294=0.025,2,Q294=0.03,2.33,Q294=0.035,2.67,Q294=0.04,3)+IF(J294&lt;=0.03,"0.33",0))),(_xlfn.IFS(R294=0.01,0.67,R294=0.015,1,R294=0.015,1.33,R294=0.02,1.67,R294=0.025,2,R294=0.03,2.33,R294=0.035,2.67,R294=0.04,3)+IF(J294&lt;=0.03,"0.33",0)))</f>
        <v>2.33</v>
      </c>
      <c r="AC294" s="29">
        <f t="shared" si="7"/>
        <v>2.0202020202020203</v>
      </c>
      <c r="AD294" s="20" t="e">
        <f>VLOOKUP(F294,铝耗2026年!$A$2:$B$5000,2,0)</f>
        <v>#N/A</v>
      </c>
      <c r="AE294" s="20" t="e">
        <f>VLOOKUP(F294,铝耗2025年!$A$2:$B$5000,2,0)</f>
        <v>#N/A</v>
      </c>
      <c r="AF294" s="37">
        <v>1.9</v>
      </c>
    </row>
    <row r="295" spans="1:32" hidden="1" x14ac:dyDescent="0.3">
      <c r="A295" s="7">
        <v>292</v>
      </c>
      <c r="B295" s="9" t="s">
        <v>540</v>
      </c>
      <c r="C295" s="9" t="s">
        <v>37</v>
      </c>
      <c r="D295" s="9">
        <v>12.51</v>
      </c>
      <c r="E295" s="9">
        <v>25</v>
      </c>
      <c r="F295" s="9" t="s">
        <v>542</v>
      </c>
      <c r="G295" s="33" t="s">
        <v>523</v>
      </c>
      <c r="H295" s="9">
        <v>1521</v>
      </c>
      <c r="I295" s="34">
        <v>7.0000000000000007E-2</v>
      </c>
      <c r="J295" s="35">
        <v>0.2</v>
      </c>
      <c r="K295" s="35">
        <v>1.3</v>
      </c>
      <c r="L295" s="34">
        <v>1.4999999999999999E-2</v>
      </c>
      <c r="M295" s="34">
        <v>6.0000000000000001E-3</v>
      </c>
      <c r="N295" s="34"/>
      <c r="O295" s="34"/>
      <c r="P295" s="34"/>
      <c r="Q295" s="34">
        <v>0.03</v>
      </c>
      <c r="R295" s="34"/>
      <c r="S295" s="21">
        <v>0.01</v>
      </c>
      <c r="T295" s="35"/>
      <c r="U295" s="35"/>
      <c r="V295" s="35" t="s">
        <v>39</v>
      </c>
      <c r="W295" s="35"/>
      <c r="X295" s="21" t="s">
        <v>39</v>
      </c>
      <c r="Y295" s="36" t="s">
        <v>39</v>
      </c>
      <c r="Z295" s="9" t="s">
        <v>39</v>
      </c>
      <c r="AA295" s="64"/>
      <c r="AB295" s="29" cm="1">
        <f t="array" ref="AB295">IF(R295="",IF(Q295="",0,(_xlfn.IFS(Q295=0.01,0.67,Q295=0.015,1,Q295=0.015,1.33,Q295=0.02,1.67,Q295=0.025,2,Q295=0.03,2.33,Q295=0.035,2.67,Q295=0.04,3)+IF(J295&lt;=0.03,"0.33",0))),(_xlfn.IFS(R295=0.01,0.67,R295=0.015,1,R295=0.015,1.33,R295=0.02,1.67,R295=0.025,2,R295=0.03,2.33,R295=0.035,2.67,R295=0.04,3)+IF(J295&lt;=0.03,"0.33",0)))</f>
        <v>2.33</v>
      </c>
      <c r="AC295" s="29">
        <f t="shared" si="7"/>
        <v>2.0202020202020203</v>
      </c>
      <c r="AD295" s="20" t="e">
        <f>VLOOKUP(F295,铝耗2026年!$A$2:$B$5000,2,0)</f>
        <v>#N/A</v>
      </c>
      <c r="AE295" s="20" t="e">
        <f>VLOOKUP(F295,铝耗2025年!$A$2:$B$5000,2,0)</f>
        <v>#N/A</v>
      </c>
      <c r="AF295" s="37">
        <v>1.9</v>
      </c>
    </row>
    <row r="296" spans="1:32" hidden="1" x14ac:dyDescent="0.3">
      <c r="A296" s="7">
        <v>293</v>
      </c>
      <c r="B296" s="9" t="s">
        <v>543</v>
      </c>
      <c r="C296" s="9" t="s">
        <v>34</v>
      </c>
      <c r="D296" s="9">
        <v>4</v>
      </c>
      <c r="E296" s="9">
        <v>12.5</v>
      </c>
      <c r="F296" s="9" t="s">
        <v>544</v>
      </c>
      <c r="G296" s="33" t="s">
        <v>523</v>
      </c>
      <c r="H296" s="9">
        <v>1521</v>
      </c>
      <c r="I296" s="34">
        <v>7.0000000000000007E-2</v>
      </c>
      <c r="J296" s="35">
        <v>0.12</v>
      </c>
      <c r="K296" s="35">
        <v>1.3</v>
      </c>
      <c r="L296" s="34">
        <v>1.4999999999999999E-2</v>
      </c>
      <c r="M296" s="34">
        <v>6.0000000000000001E-3</v>
      </c>
      <c r="N296" s="34"/>
      <c r="O296" s="34">
        <v>3.5000000000000003E-2</v>
      </c>
      <c r="P296" s="34">
        <v>0.01</v>
      </c>
      <c r="Q296" s="34">
        <v>0.03</v>
      </c>
      <c r="R296" s="34" t="s">
        <v>39</v>
      </c>
      <c r="S296" s="21"/>
      <c r="T296" s="35"/>
      <c r="U296" s="35"/>
      <c r="V296" s="35"/>
      <c r="W296" s="35"/>
      <c r="X296" s="21"/>
      <c r="Y296" s="36" t="s">
        <v>39</v>
      </c>
      <c r="Z296" s="9">
        <v>50</v>
      </c>
      <c r="AA296" s="36"/>
      <c r="AB296" s="29" cm="1">
        <f t="array" ref="AB296">IF(R296="",IF(Q296="",0,(_xlfn.IFS(Q296=0.01,0.67,Q296=0.015,1,Q296=0.015,1.33,Q296=0.02,1.67,Q296=0.025,2,Q296=0.03,2.33,Q296=0.035,2.67,Q296=0.04,3)+IF(J296&lt;=0.03,"0.33",0))),(_xlfn.IFS(R296=0.01,0.67,R296=0.015,1,R296=0.015,1.33,R296=0.02,1.67,R296=0.025,2,R296=0.03,2.33,R296=0.035,2.67,R296=0.04,3)+IF(J296&lt;=0.03,"0.33",0)))</f>
        <v>2.33</v>
      </c>
      <c r="AC296" s="29">
        <f t="shared" si="7"/>
        <v>2.0202020202020203</v>
      </c>
      <c r="AD296" s="20" t="e">
        <f>VLOOKUP(F296,铝耗2026年!$A$2:$B$5000,2,0)</f>
        <v>#N/A</v>
      </c>
      <c r="AE296" s="20" t="e">
        <f>VLOOKUP(F296,铝耗2025年!$A$2:$B$5000,2,0)</f>
        <v>#N/A</v>
      </c>
      <c r="AF296" s="37">
        <v>1.9</v>
      </c>
    </row>
    <row r="297" spans="1:32" hidden="1" x14ac:dyDescent="0.3">
      <c r="A297" s="7">
        <v>294</v>
      </c>
      <c r="B297" s="9" t="s">
        <v>543</v>
      </c>
      <c r="C297" s="9" t="s">
        <v>37</v>
      </c>
      <c r="D297" s="9">
        <v>12.51</v>
      </c>
      <c r="E297" s="9">
        <v>25</v>
      </c>
      <c r="F297" s="9" t="s">
        <v>545</v>
      </c>
      <c r="G297" s="33" t="s">
        <v>523</v>
      </c>
      <c r="H297" s="9">
        <v>1522</v>
      </c>
      <c r="I297" s="34">
        <v>7.0000000000000007E-2</v>
      </c>
      <c r="J297" s="35">
        <v>0.15</v>
      </c>
      <c r="K297" s="35">
        <v>1.4</v>
      </c>
      <c r="L297" s="34">
        <v>1.4999999999999999E-2</v>
      </c>
      <c r="M297" s="34">
        <v>6.0000000000000001E-3</v>
      </c>
      <c r="N297" s="34"/>
      <c r="O297" s="34">
        <v>3.5000000000000003E-2</v>
      </c>
      <c r="P297" s="34">
        <v>0.01</v>
      </c>
      <c r="Q297" s="34">
        <v>0.03</v>
      </c>
      <c r="R297" s="34" t="s">
        <v>39</v>
      </c>
      <c r="S297" s="21"/>
      <c r="T297" s="35"/>
      <c r="U297" s="35"/>
      <c r="V297" s="35"/>
      <c r="W297" s="35"/>
      <c r="X297" s="21"/>
      <c r="Y297" s="36" t="s">
        <v>39</v>
      </c>
      <c r="Z297" s="9">
        <v>50</v>
      </c>
      <c r="AA297" s="36"/>
      <c r="AB297" s="29" cm="1">
        <f t="array" ref="AB297">IF(R297="",IF(Q297="",0,(_xlfn.IFS(Q297=0.01,0.67,Q297=0.015,1,Q297=0.015,1.33,Q297=0.02,1.67,Q297=0.025,2,Q297=0.03,2.33,Q297=0.035,2.67,Q297=0.04,3)+IF(J297&lt;=0.03,"0.33",0))),(_xlfn.IFS(R297=0.01,0.67,R297=0.015,1,R297=0.015,1.33,R297=0.02,1.67,R297=0.025,2,R297=0.03,2.33,R297=0.035,2.67,R297=0.04,3)+IF(J297&lt;=0.03,"0.33",0)))</f>
        <v>2.33</v>
      </c>
      <c r="AC297" s="29">
        <f t="shared" si="7"/>
        <v>2.0202020202020203</v>
      </c>
      <c r="AD297" s="20" t="e">
        <f>VLOOKUP(F297,铝耗2026年!$A$2:$B$5000,2,0)</f>
        <v>#N/A</v>
      </c>
      <c r="AE297" s="20" t="e">
        <f>VLOOKUP(F297,铝耗2025年!$A$2:$B$5000,2,0)</f>
        <v>#N/A</v>
      </c>
      <c r="AF297" s="37">
        <v>1.9</v>
      </c>
    </row>
    <row r="298" spans="1:32" hidden="1" x14ac:dyDescent="0.3">
      <c r="A298" s="7">
        <v>295</v>
      </c>
      <c r="B298" s="9" t="s">
        <v>546</v>
      </c>
      <c r="C298" s="9" t="s">
        <v>34</v>
      </c>
      <c r="D298" s="9">
        <v>3.5</v>
      </c>
      <c r="E298" s="9">
        <v>25.4</v>
      </c>
      <c r="F298" s="9" t="s">
        <v>546</v>
      </c>
      <c r="G298" s="33" t="s">
        <v>523</v>
      </c>
      <c r="H298" s="9">
        <v>1519</v>
      </c>
      <c r="I298" s="34">
        <v>0.16</v>
      </c>
      <c r="J298" s="35">
        <v>0.1</v>
      </c>
      <c r="K298" s="35">
        <v>0.6</v>
      </c>
      <c r="L298" s="34">
        <v>0.02</v>
      </c>
      <c r="M298" s="34">
        <v>1.4999999999999999E-2</v>
      </c>
      <c r="N298" s="34" t="s">
        <v>39</v>
      </c>
      <c r="O298" s="34" t="s">
        <v>39</v>
      </c>
      <c r="P298" s="34" t="s">
        <v>39</v>
      </c>
      <c r="Q298" s="34">
        <v>2.5000000000000001E-2</v>
      </c>
      <c r="R298" s="34" t="s">
        <v>39</v>
      </c>
      <c r="S298" s="21" t="s">
        <v>39</v>
      </c>
      <c r="T298" s="35"/>
      <c r="U298" s="35"/>
      <c r="V298" s="35"/>
      <c r="W298" s="35"/>
      <c r="X298" s="21" t="s">
        <v>39</v>
      </c>
      <c r="Y298" s="36" t="s">
        <v>39</v>
      </c>
      <c r="Z298" s="9"/>
      <c r="AA298" s="36"/>
      <c r="AB298" s="29" cm="1">
        <f t="array" ref="AB298">IF(R298="",IF(Q298="",0,(_xlfn.IFS(Q298=0.01,0.67,Q298=0.015,1,Q298=0.015,1.33,Q298=0.02,1.67,Q298=0.025,2,Q298=0.03,2.33,Q298=0.035,2.67,Q298=0.04,3)+IF(J298&lt;=0.03,"0.33",0))),(_xlfn.IFS(R298=0.01,0.67,R298=0.015,1,R298=0.015,1.33,R298=0.02,1.67,R298=0.025,2,R298=0.03,2.33,R298=0.035,2.67,R298=0.04,3)+IF(J298&lt;=0.03,"0.33",0)))</f>
        <v>2</v>
      </c>
      <c r="AC298" s="29">
        <f t="shared" si="7"/>
        <v>1.6835016835016836</v>
      </c>
      <c r="AD298" s="20" t="e">
        <f>VLOOKUP(F298,铝耗2026年!$A$2:$B$5000,2,0)</f>
        <v>#N/A</v>
      </c>
      <c r="AE298" s="20" t="e">
        <f>VLOOKUP(F298,铝耗2025年!$A$2:$B$5000,2,0)</f>
        <v>#N/A</v>
      </c>
      <c r="AF298" s="37">
        <v>1.33</v>
      </c>
    </row>
    <row r="299" spans="1:32" hidden="1" x14ac:dyDescent="0.3">
      <c r="A299" s="7">
        <v>296</v>
      </c>
      <c r="B299" s="9" t="s">
        <v>547</v>
      </c>
      <c r="C299" s="9" t="s">
        <v>34</v>
      </c>
      <c r="D299" s="9">
        <v>4</v>
      </c>
      <c r="E299" s="9">
        <v>25.4</v>
      </c>
      <c r="F299" s="9" t="s">
        <v>547</v>
      </c>
      <c r="G299" s="33" t="s">
        <v>523</v>
      </c>
      <c r="H299" s="9">
        <v>1519</v>
      </c>
      <c r="I299" s="34">
        <v>0.16</v>
      </c>
      <c r="J299" s="35">
        <v>0.12</v>
      </c>
      <c r="K299" s="35">
        <v>0.75</v>
      </c>
      <c r="L299" s="34">
        <v>1.4999999999999999E-2</v>
      </c>
      <c r="M299" s="34">
        <v>6.0000000000000001E-3</v>
      </c>
      <c r="N299" s="34" t="s">
        <v>39</v>
      </c>
      <c r="O299" s="34" t="s">
        <v>39</v>
      </c>
      <c r="P299" s="34" t="s">
        <v>39</v>
      </c>
      <c r="Q299" s="34">
        <v>2.5000000000000001E-2</v>
      </c>
      <c r="R299" s="34" t="s">
        <v>39</v>
      </c>
      <c r="S299" s="21" t="s">
        <v>39</v>
      </c>
      <c r="T299" s="35"/>
      <c r="U299" s="35"/>
      <c r="V299" s="35"/>
      <c r="W299" s="35"/>
      <c r="X299" s="21" t="s">
        <v>39</v>
      </c>
      <c r="Y299" s="36" t="s">
        <v>39</v>
      </c>
      <c r="Z299" s="9">
        <v>45</v>
      </c>
      <c r="AA299" s="36" t="s">
        <v>39</v>
      </c>
      <c r="AB299" s="29" cm="1">
        <f t="array" ref="AB299">IF(R299="",IF(Q299="",0,(_xlfn.IFS(Q299=0.01,0.67,Q299=0.015,1,Q299=0.015,1.33,Q299=0.02,1.67,Q299=0.025,2,Q299=0.03,2.33,Q299=0.035,2.67,Q299=0.04,3)+IF(J299&lt;=0.03,"0.33",0))),(_xlfn.IFS(R299=0.01,0.67,R299=0.015,1,R299=0.015,1.33,R299=0.02,1.67,R299=0.025,2,R299=0.03,2.33,R299=0.035,2.67,R299=0.04,3)+IF(J299&lt;=0.03,"0.33",0)))</f>
        <v>2</v>
      </c>
      <c r="AC299" s="29">
        <f t="shared" si="7"/>
        <v>1.6835016835016836</v>
      </c>
      <c r="AD299" s="20" t="e">
        <f>VLOOKUP(F299,铝耗2026年!$A$2:$B$5000,2,0)</f>
        <v>#N/A</v>
      </c>
      <c r="AE299" s="20" t="e">
        <f>VLOOKUP(F299,铝耗2025年!$A$2:$B$5000,2,0)</f>
        <v>#N/A</v>
      </c>
      <c r="AF299" s="37">
        <v>1.33</v>
      </c>
    </row>
    <row r="300" spans="1:32" hidden="1" x14ac:dyDescent="0.3">
      <c r="A300" s="7">
        <v>297</v>
      </c>
      <c r="B300" s="9" t="s">
        <v>548</v>
      </c>
      <c r="C300" s="9" t="s">
        <v>34</v>
      </c>
      <c r="D300" s="9">
        <v>4</v>
      </c>
      <c r="E300" s="9">
        <v>12.5</v>
      </c>
      <c r="F300" s="9" t="s">
        <v>549</v>
      </c>
      <c r="G300" s="33" t="s">
        <v>523</v>
      </c>
      <c r="H300" s="9">
        <v>1521</v>
      </c>
      <c r="I300" s="34">
        <v>7.0000000000000007E-2</v>
      </c>
      <c r="J300" s="35">
        <v>0.2</v>
      </c>
      <c r="K300" s="35">
        <v>1.2</v>
      </c>
      <c r="L300" s="34">
        <v>1.4999999999999999E-2</v>
      </c>
      <c r="M300" s="34">
        <v>6.0000000000000001E-3</v>
      </c>
      <c r="N300" s="34"/>
      <c r="O300" s="34"/>
      <c r="P300" s="34"/>
      <c r="Q300" s="34">
        <v>0.03</v>
      </c>
      <c r="R300" s="34"/>
      <c r="S300" s="21">
        <v>0.01</v>
      </c>
      <c r="T300" s="35"/>
      <c r="U300" s="35"/>
      <c r="V300" s="35" t="s">
        <v>39</v>
      </c>
      <c r="W300" s="35"/>
      <c r="X300" s="21" t="s">
        <v>39</v>
      </c>
      <c r="Y300" s="36" t="s">
        <v>39</v>
      </c>
      <c r="Z300" s="9" t="s">
        <v>39</v>
      </c>
      <c r="AA300" s="64"/>
      <c r="AB300" s="29" cm="1">
        <f t="array" ref="AB300">IF(R300="",IF(Q300="",0,(_xlfn.IFS(Q300=0.01,0.67,Q300=0.015,1,Q300=0.015,1.33,Q300=0.02,1.67,Q300=0.025,2,Q300=0.03,2.33,Q300=0.035,2.67,Q300=0.04,3)+IF(J300&lt;=0.03,"0.33",0))),(_xlfn.IFS(R300=0.01,0.67,R300=0.015,1,R300=0.015,1.33,R300=0.02,1.67,R300=0.025,2,R300=0.03,2.33,R300=0.035,2.67,R300=0.04,3)+IF(J300&lt;=0.03,"0.33",0)))</f>
        <v>2.33</v>
      </c>
      <c r="AC300" s="29">
        <f t="shared" si="7"/>
        <v>2.0202020202020203</v>
      </c>
      <c r="AD300" s="20" t="e">
        <f>VLOOKUP(F300,铝耗2026年!$A$2:$B$5000,2,0)</f>
        <v>#N/A</v>
      </c>
      <c r="AE300" s="20" t="e">
        <f>VLOOKUP(F300,铝耗2025年!$A$2:$B$5000,2,0)</f>
        <v>#N/A</v>
      </c>
      <c r="AF300" s="37">
        <v>1.9</v>
      </c>
    </row>
    <row r="301" spans="1:32" hidden="1" x14ac:dyDescent="0.3">
      <c r="A301" s="7">
        <v>298</v>
      </c>
      <c r="B301" s="9" t="s">
        <v>548</v>
      </c>
      <c r="C301" s="9" t="s">
        <v>37</v>
      </c>
      <c r="D301" s="9">
        <v>12.51</v>
      </c>
      <c r="E301" s="9">
        <v>25</v>
      </c>
      <c r="F301" s="9" t="s">
        <v>550</v>
      </c>
      <c r="G301" s="33" t="s">
        <v>523</v>
      </c>
      <c r="H301" s="9">
        <v>1521</v>
      </c>
      <c r="I301" s="34">
        <v>7.0000000000000007E-2</v>
      </c>
      <c r="J301" s="35">
        <v>0.2</v>
      </c>
      <c r="K301" s="35">
        <v>1.3</v>
      </c>
      <c r="L301" s="34">
        <v>1.4999999999999999E-2</v>
      </c>
      <c r="M301" s="34">
        <v>6.0000000000000001E-3</v>
      </c>
      <c r="N301" s="34"/>
      <c r="O301" s="34"/>
      <c r="P301" s="34"/>
      <c r="Q301" s="34">
        <v>0.03</v>
      </c>
      <c r="R301" s="34"/>
      <c r="S301" s="21">
        <v>0.01</v>
      </c>
      <c r="T301" s="35"/>
      <c r="U301" s="35"/>
      <c r="V301" s="35" t="s">
        <v>39</v>
      </c>
      <c r="W301" s="35"/>
      <c r="X301" s="21" t="s">
        <v>39</v>
      </c>
      <c r="Y301" s="36" t="s">
        <v>39</v>
      </c>
      <c r="Z301" s="9" t="s">
        <v>39</v>
      </c>
      <c r="AA301" s="64"/>
      <c r="AB301" s="29" cm="1">
        <f t="array" ref="AB301">IF(R301="",IF(Q301="",0,(_xlfn.IFS(Q301=0.01,0.67,Q301=0.015,1,Q301=0.015,1.33,Q301=0.02,1.67,Q301=0.025,2,Q301=0.03,2.33,Q301=0.035,2.67,Q301=0.04,3)+IF(J301&lt;=0.03,"0.33",0))),(_xlfn.IFS(R301=0.01,0.67,R301=0.015,1,R301=0.015,1.33,R301=0.02,1.67,R301=0.025,2,R301=0.03,2.33,R301=0.035,2.67,R301=0.04,3)+IF(J301&lt;=0.03,"0.33",0)))</f>
        <v>2.33</v>
      </c>
      <c r="AC301" s="29">
        <f t="shared" si="7"/>
        <v>2.0202020202020203</v>
      </c>
      <c r="AD301" s="20" t="e">
        <f>VLOOKUP(F301,铝耗2026年!$A$2:$B$5000,2,0)</f>
        <v>#N/A</v>
      </c>
      <c r="AE301" s="20" t="e">
        <f>VLOOKUP(F301,铝耗2025年!$A$2:$B$5000,2,0)</f>
        <v>#N/A</v>
      </c>
      <c r="AF301" s="37">
        <v>1.9</v>
      </c>
    </row>
    <row r="302" spans="1:32" hidden="1" x14ac:dyDescent="0.3">
      <c r="A302" s="7">
        <v>299</v>
      </c>
      <c r="B302" s="9" t="s">
        <v>551</v>
      </c>
      <c r="C302" s="9" t="s">
        <v>34</v>
      </c>
      <c r="D302" s="9">
        <v>4</v>
      </c>
      <c r="E302" s="9">
        <v>12.5</v>
      </c>
      <c r="F302" s="9" t="s">
        <v>552</v>
      </c>
      <c r="G302" s="33" t="s">
        <v>523</v>
      </c>
      <c r="H302" s="9">
        <v>1521</v>
      </c>
      <c r="I302" s="34">
        <v>7.0000000000000007E-2</v>
      </c>
      <c r="J302" s="35">
        <v>0.12</v>
      </c>
      <c r="K302" s="35">
        <v>1.3</v>
      </c>
      <c r="L302" s="34">
        <v>1.4999999999999999E-2</v>
      </c>
      <c r="M302" s="34">
        <v>6.0000000000000001E-3</v>
      </c>
      <c r="N302" s="34"/>
      <c r="O302" s="34">
        <v>3.5000000000000003E-2</v>
      </c>
      <c r="P302" s="34">
        <v>0.01</v>
      </c>
      <c r="Q302" s="34">
        <v>0.03</v>
      </c>
      <c r="R302" s="34" t="s">
        <v>39</v>
      </c>
      <c r="S302" s="21"/>
      <c r="T302" s="35"/>
      <c r="U302" s="35"/>
      <c r="V302" s="35"/>
      <c r="W302" s="35"/>
      <c r="X302" s="21"/>
      <c r="Y302" s="36" t="s">
        <v>39</v>
      </c>
      <c r="Z302" s="9">
        <v>50</v>
      </c>
      <c r="AA302" s="36"/>
      <c r="AB302" s="29" cm="1">
        <f t="array" ref="AB302">IF(R302="",IF(Q302="",0,(_xlfn.IFS(Q302=0.01,0.67,Q302=0.015,1,Q302=0.015,1.33,Q302=0.02,1.67,Q302=0.025,2,Q302=0.03,2.33,Q302=0.035,2.67,Q302=0.04,3)+IF(J302&lt;=0.03,"0.33",0))),(_xlfn.IFS(R302=0.01,0.67,R302=0.015,1,R302=0.015,1.33,R302=0.02,1.67,R302=0.025,2,R302=0.03,2.33,R302=0.035,2.67,R302=0.04,3)+IF(J302&lt;=0.03,"0.33",0)))</f>
        <v>2.33</v>
      </c>
      <c r="AC302" s="29">
        <f t="shared" si="7"/>
        <v>2.0202020202020203</v>
      </c>
      <c r="AD302" s="20" t="e">
        <f>VLOOKUP(F302,铝耗2026年!$A$2:$B$5000,2,0)</f>
        <v>#N/A</v>
      </c>
      <c r="AE302" s="20" t="e">
        <f>VLOOKUP(F302,铝耗2025年!$A$2:$B$5000,2,0)</f>
        <v>#N/A</v>
      </c>
      <c r="AF302" s="37">
        <v>1.9</v>
      </c>
    </row>
    <row r="303" spans="1:32" hidden="1" x14ac:dyDescent="0.3">
      <c r="A303" s="7">
        <v>300</v>
      </c>
      <c r="B303" s="9" t="s">
        <v>551</v>
      </c>
      <c r="C303" s="9" t="s">
        <v>37</v>
      </c>
      <c r="D303" s="9">
        <v>12.51</v>
      </c>
      <c r="E303" s="9">
        <v>25</v>
      </c>
      <c r="F303" s="9" t="s">
        <v>553</v>
      </c>
      <c r="G303" s="33" t="s">
        <v>523</v>
      </c>
      <c r="H303" s="9">
        <v>1522</v>
      </c>
      <c r="I303" s="34">
        <v>7.0000000000000007E-2</v>
      </c>
      <c r="J303" s="35">
        <v>0.15</v>
      </c>
      <c r="K303" s="35">
        <v>1.4</v>
      </c>
      <c r="L303" s="34">
        <v>1.4999999999999999E-2</v>
      </c>
      <c r="M303" s="34">
        <v>6.0000000000000001E-3</v>
      </c>
      <c r="N303" s="34"/>
      <c r="O303" s="34">
        <v>3.5000000000000003E-2</v>
      </c>
      <c r="P303" s="34">
        <v>0.01</v>
      </c>
      <c r="Q303" s="34">
        <v>0.03</v>
      </c>
      <c r="R303" s="34" t="s">
        <v>39</v>
      </c>
      <c r="S303" s="21"/>
      <c r="T303" s="35"/>
      <c r="U303" s="35"/>
      <c r="V303" s="35"/>
      <c r="W303" s="35"/>
      <c r="X303" s="21"/>
      <c r="Y303" s="36" t="s">
        <v>39</v>
      </c>
      <c r="Z303" s="9">
        <v>50</v>
      </c>
      <c r="AA303" s="36"/>
      <c r="AB303" s="29" cm="1">
        <f t="array" ref="AB303">IF(R303="",IF(Q303="",0,(_xlfn.IFS(Q303=0.01,0.67,Q303=0.015,1,Q303=0.015,1.33,Q303=0.02,1.67,Q303=0.025,2,Q303=0.03,2.33,Q303=0.035,2.67,Q303=0.04,3)+IF(J303&lt;=0.03,"0.33",0))),(_xlfn.IFS(R303=0.01,0.67,R303=0.015,1,R303=0.015,1.33,R303=0.02,1.67,R303=0.025,2,R303=0.03,2.33,R303=0.035,2.67,R303=0.04,3)+IF(J303&lt;=0.03,"0.33",0)))</f>
        <v>2.33</v>
      </c>
      <c r="AC303" s="29">
        <f t="shared" si="7"/>
        <v>2.0202020202020203</v>
      </c>
      <c r="AD303" s="20" t="e">
        <f>VLOOKUP(F303,铝耗2026年!$A$2:$B$5000,2,0)</f>
        <v>#N/A</v>
      </c>
      <c r="AE303" s="20" t="e">
        <f>VLOOKUP(F303,铝耗2025年!$A$2:$B$5000,2,0)</f>
        <v>#N/A</v>
      </c>
      <c r="AF303" s="37">
        <v>1.9</v>
      </c>
    </row>
    <row r="304" spans="1:32" hidden="1" x14ac:dyDescent="0.3">
      <c r="A304" s="7">
        <v>301</v>
      </c>
      <c r="B304" s="9" t="s">
        <v>554</v>
      </c>
      <c r="C304" s="9" t="s">
        <v>34</v>
      </c>
      <c r="D304" s="9">
        <v>3.5</v>
      </c>
      <c r="E304" s="9">
        <v>25.4</v>
      </c>
      <c r="F304" s="9" t="s">
        <v>554</v>
      </c>
      <c r="G304" s="33" t="s">
        <v>523</v>
      </c>
      <c r="H304" s="9">
        <v>1519</v>
      </c>
      <c r="I304" s="34">
        <v>0.16</v>
      </c>
      <c r="J304" s="35">
        <v>0.1</v>
      </c>
      <c r="K304" s="35">
        <v>0.6</v>
      </c>
      <c r="L304" s="34">
        <v>0.02</v>
      </c>
      <c r="M304" s="34">
        <v>1.4999999999999999E-2</v>
      </c>
      <c r="N304" s="34" t="s">
        <v>39</v>
      </c>
      <c r="O304" s="34" t="s">
        <v>39</v>
      </c>
      <c r="P304" s="34" t="s">
        <v>39</v>
      </c>
      <c r="Q304" s="34">
        <v>2.5000000000000001E-2</v>
      </c>
      <c r="R304" s="34" t="s">
        <v>39</v>
      </c>
      <c r="S304" s="21" t="s">
        <v>39</v>
      </c>
      <c r="T304" s="35"/>
      <c r="U304" s="35"/>
      <c r="V304" s="35"/>
      <c r="W304" s="35"/>
      <c r="X304" s="21" t="s">
        <v>39</v>
      </c>
      <c r="Y304" s="36" t="s">
        <v>39</v>
      </c>
      <c r="Z304" s="9"/>
      <c r="AA304" s="36"/>
      <c r="AB304" s="29" cm="1">
        <f t="array" ref="AB304">IF(R304="",IF(Q304="",0,(_xlfn.IFS(Q304=0.01,0.67,Q304=0.015,1,Q304=0.015,1.33,Q304=0.02,1.67,Q304=0.025,2,Q304=0.03,2.33,Q304=0.035,2.67,Q304=0.04,3)+IF(J304&lt;=0.03,"0.33",0))),(_xlfn.IFS(R304=0.01,0.67,R304=0.015,1,R304=0.015,1.33,R304=0.02,1.67,R304=0.025,2,R304=0.03,2.33,R304=0.035,2.67,R304=0.04,3)+IF(J304&lt;=0.03,"0.33",0)))</f>
        <v>2</v>
      </c>
      <c r="AC304" s="29">
        <f t="shared" si="7"/>
        <v>1.6835016835016836</v>
      </c>
      <c r="AD304" s="20" t="e">
        <f>VLOOKUP(F304,铝耗2026年!$A$2:$B$5000,2,0)</f>
        <v>#N/A</v>
      </c>
      <c r="AE304" s="20" t="e">
        <f>VLOOKUP(F304,铝耗2025年!$A$2:$B$5000,2,0)</f>
        <v>#N/A</v>
      </c>
      <c r="AF304" s="37">
        <v>1.33</v>
      </c>
    </row>
    <row r="305" spans="1:32" hidden="1" x14ac:dyDescent="0.3">
      <c r="A305" s="7">
        <v>302</v>
      </c>
      <c r="B305" s="9" t="s">
        <v>555</v>
      </c>
      <c r="C305" s="9" t="s">
        <v>34</v>
      </c>
      <c r="D305" s="9">
        <v>4</v>
      </c>
      <c r="E305" s="9">
        <v>25.4</v>
      </c>
      <c r="F305" s="9" t="s">
        <v>555</v>
      </c>
      <c r="G305" s="33" t="s">
        <v>523</v>
      </c>
      <c r="H305" s="9">
        <v>1519</v>
      </c>
      <c r="I305" s="34">
        <v>0.16</v>
      </c>
      <c r="J305" s="35">
        <v>0.12</v>
      </c>
      <c r="K305" s="35">
        <v>0.75</v>
      </c>
      <c r="L305" s="34">
        <v>1.4999999999999999E-2</v>
      </c>
      <c r="M305" s="34">
        <v>6.0000000000000001E-3</v>
      </c>
      <c r="N305" s="34" t="s">
        <v>39</v>
      </c>
      <c r="O305" s="34" t="s">
        <v>39</v>
      </c>
      <c r="P305" s="34" t="s">
        <v>39</v>
      </c>
      <c r="Q305" s="34">
        <v>2.5000000000000001E-2</v>
      </c>
      <c r="R305" s="34" t="s">
        <v>39</v>
      </c>
      <c r="S305" s="21" t="s">
        <v>39</v>
      </c>
      <c r="T305" s="35"/>
      <c r="U305" s="35"/>
      <c r="V305" s="35"/>
      <c r="W305" s="35"/>
      <c r="X305" s="21" t="s">
        <v>39</v>
      </c>
      <c r="Y305" s="36" t="s">
        <v>39</v>
      </c>
      <c r="Z305" s="9">
        <v>45</v>
      </c>
      <c r="AA305" s="36" t="s">
        <v>39</v>
      </c>
      <c r="AB305" s="29" cm="1">
        <f t="array" ref="AB305">IF(R305="",IF(Q305="",0,(_xlfn.IFS(Q305=0.01,0.67,Q305=0.015,1,Q305=0.015,1.33,Q305=0.02,1.67,Q305=0.025,2,Q305=0.03,2.33,Q305=0.035,2.67,Q305=0.04,3)+IF(J305&lt;=0.03,"0.33",0))),(_xlfn.IFS(R305=0.01,0.67,R305=0.015,1,R305=0.015,1.33,R305=0.02,1.67,R305=0.025,2,R305=0.03,2.33,R305=0.035,2.67,R305=0.04,3)+IF(J305&lt;=0.03,"0.33",0)))</f>
        <v>2</v>
      </c>
      <c r="AC305" s="29">
        <f t="shared" si="7"/>
        <v>1.6835016835016836</v>
      </c>
      <c r="AD305" s="20" t="e">
        <f>VLOOKUP(F305,铝耗2026年!$A$2:$B$5000,2,0)</f>
        <v>#N/A</v>
      </c>
      <c r="AE305" s="20" t="e">
        <f>VLOOKUP(F305,铝耗2025年!$A$2:$B$5000,2,0)</f>
        <v>#N/A</v>
      </c>
      <c r="AF305" s="37">
        <v>1.33</v>
      </c>
    </row>
    <row r="306" spans="1:32" hidden="1" x14ac:dyDescent="0.3">
      <c r="A306" s="7">
        <v>303</v>
      </c>
      <c r="B306" s="9" t="s">
        <v>556</v>
      </c>
      <c r="C306" s="9" t="s">
        <v>34</v>
      </c>
      <c r="D306" s="9">
        <v>4</v>
      </c>
      <c r="E306" s="9">
        <v>12.5</v>
      </c>
      <c r="F306" s="9" t="s">
        <v>557</v>
      </c>
      <c r="G306" s="33" t="s">
        <v>523</v>
      </c>
      <c r="H306" s="9">
        <v>1521</v>
      </c>
      <c r="I306" s="34">
        <v>7.0000000000000007E-2</v>
      </c>
      <c r="J306" s="35">
        <v>0.2</v>
      </c>
      <c r="K306" s="35">
        <v>1.2</v>
      </c>
      <c r="L306" s="34">
        <v>1.4999999999999999E-2</v>
      </c>
      <c r="M306" s="34">
        <v>6.0000000000000001E-3</v>
      </c>
      <c r="N306" s="34"/>
      <c r="O306" s="34"/>
      <c r="P306" s="34"/>
      <c r="Q306" s="34">
        <v>0.03</v>
      </c>
      <c r="R306" s="34"/>
      <c r="S306" s="21">
        <v>0.01</v>
      </c>
      <c r="T306" s="35"/>
      <c r="U306" s="35"/>
      <c r="V306" s="35" t="s">
        <v>39</v>
      </c>
      <c r="W306" s="35"/>
      <c r="X306" s="21" t="s">
        <v>39</v>
      </c>
      <c r="Y306" s="36" t="s">
        <v>39</v>
      </c>
      <c r="Z306" s="9" t="s">
        <v>39</v>
      </c>
      <c r="AA306" s="64"/>
      <c r="AB306" s="29" cm="1">
        <f t="array" ref="AB306">IF(R306="",IF(Q306="",0,(_xlfn.IFS(Q306=0.01,0.67,Q306=0.015,1,Q306=0.015,1.33,Q306=0.02,1.67,Q306=0.025,2,Q306=0.03,2.33,Q306=0.035,2.67,Q306=0.04,3)+IF(J306&lt;=0.03,"0.33",0))),(_xlfn.IFS(R306=0.01,0.67,R306=0.015,1,R306=0.015,1.33,R306=0.02,1.67,R306=0.025,2,R306=0.03,2.33,R306=0.035,2.67,R306=0.04,3)+IF(J306&lt;=0.03,"0.33",0)))</f>
        <v>2.33</v>
      </c>
      <c r="AC306" s="29">
        <f t="shared" si="7"/>
        <v>2.0202020202020203</v>
      </c>
      <c r="AD306" s="20" t="e">
        <f>VLOOKUP(F306,铝耗2026年!$A$2:$B$5000,2,0)</f>
        <v>#N/A</v>
      </c>
      <c r="AE306" s="20" t="e">
        <f>VLOOKUP(F306,铝耗2025年!$A$2:$B$5000,2,0)</f>
        <v>#N/A</v>
      </c>
      <c r="AF306" s="37">
        <v>1.9</v>
      </c>
    </row>
    <row r="307" spans="1:32" hidden="1" x14ac:dyDescent="0.3">
      <c r="A307" s="7">
        <v>304</v>
      </c>
      <c r="B307" s="9" t="s">
        <v>556</v>
      </c>
      <c r="C307" s="9" t="s">
        <v>37</v>
      </c>
      <c r="D307" s="9">
        <v>12.51</v>
      </c>
      <c r="E307" s="9">
        <v>25</v>
      </c>
      <c r="F307" s="9" t="s">
        <v>558</v>
      </c>
      <c r="G307" s="33" t="s">
        <v>523</v>
      </c>
      <c r="H307" s="9">
        <v>1521</v>
      </c>
      <c r="I307" s="34">
        <v>7.0000000000000007E-2</v>
      </c>
      <c r="J307" s="35">
        <v>0.2</v>
      </c>
      <c r="K307" s="35">
        <v>1.3</v>
      </c>
      <c r="L307" s="34">
        <v>1.4999999999999999E-2</v>
      </c>
      <c r="M307" s="34">
        <v>6.0000000000000001E-3</v>
      </c>
      <c r="N307" s="34"/>
      <c r="O307" s="34"/>
      <c r="P307" s="34"/>
      <c r="Q307" s="34">
        <v>0.03</v>
      </c>
      <c r="R307" s="34"/>
      <c r="S307" s="21">
        <v>0.01</v>
      </c>
      <c r="T307" s="35"/>
      <c r="U307" s="35"/>
      <c r="V307" s="35" t="s">
        <v>39</v>
      </c>
      <c r="W307" s="35"/>
      <c r="X307" s="21" t="s">
        <v>39</v>
      </c>
      <c r="Y307" s="36" t="s">
        <v>39</v>
      </c>
      <c r="Z307" s="9" t="s">
        <v>39</v>
      </c>
      <c r="AA307" s="64"/>
      <c r="AB307" s="29" cm="1">
        <f t="array" ref="AB307">IF(R307="",IF(Q307="",0,(_xlfn.IFS(Q307=0.01,0.67,Q307=0.015,1,Q307=0.015,1.33,Q307=0.02,1.67,Q307=0.025,2,Q307=0.03,2.33,Q307=0.035,2.67,Q307=0.04,3)+IF(J307&lt;=0.03,"0.33",0))),(_xlfn.IFS(R307=0.01,0.67,R307=0.015,1,R307=0.015,1.33,R307=0.02,1.67,R307=0.025,2,R307=0.03,2.33,R307=0.035,2.67,R307=0.04,3)+IF(J307&lt;=0.03,"0.33",0)))</f>
        <v>2.33</v>
      </c>
      <c r="AC307" s="29">
        <f t="shared" si="7"/>
        <v>2.0202020202020203</v>
      </c>
      <c r="AD307" s="20" t="e">
        <f>VLOOKUP(F307,铝耗2026年!$A$2:$B$5000,2,0)</f>
        <v>#N/A</v>
      </c>
      <c r="AE307" s="20" t="e">
        <f>VLOOKUP(F307,铝耗2025年!$A$2:$B$5000,2,0)</f>
        <v>#N/A</v>
      </c>
      <c r="AF307" s="37">
        <v>1.9</v>
      </c>
    </row>
    <row r="308" spans="1:32" hidden="1" x14ac:dyDescent="0.3">
      <c r="A308" s="7">
        <v>305</v>
      </c>
      <c r="B308" s="9" t="s">
        <v>559</v>
      </c>
      <c r="C308" s="9" t="s">
        <v>34</v>
      </c>
      <c r="D308" s="9">
        <v>4</v>
      </c>
      <c r="E308" s="9">
        <v>12.5</v>
      </c>
      <c r="F308" s="9" t="s">
        <v>560</v>
      </c>
      <c r="G308" s="33" t="s">
        <v>523</v>
      </c>
      <c r="H308" s="9">
        <v>1521</v>
      </c>
      <c r="I308" s="34">
        <v>7.0000000000000007E-2</v>
      </c>
      <c r="J308" s="35">
        <v>0.12</v>
      </c>
      <c r="K308" s="35">
        <v>1.3</v>
      </c>
      <c r="L308" s="34">
        <v>1.4999999999999999E-2</v>
      </c>
      <c r="M308" s="34">
        <v>6.0000000000000001E-3</v>
      </c>
      <c r="N308" s="34"/>
      <c r="O308" s="34">
        <v>3.5000000000000003E-2</v>
      </c>
      <c r="P308" s="34">
        <v>0.01</v>
      </c>
      <c r="Q308" s="34">
        <v>0.03</v>
      </c>
      <c r="R308" s="34" t="s">
        <v>39</v>
      </c>
      <c r="S308" s="21"/>
      <c r="T308" s="35"/>
      <c r="U308" s="35"/>
      <c r="V308" s="35"/>
      <c r="W308" s="35"/>
      <c r="X308" s="21"/>
      <c r="Y308" s="36" t="s">
        <v>39</v>
      </c>
      <c r="Z308" s="9">
        <v>50</v>
      </c>
      <c r="AA308" s="36"/>
      <c r="AB308" s="29" cm="1">
        <f t="array" ref="AB308">IF(R308="",IF(Q308="",0,(_xlfn.IFS(Q308=0.01,0.67,Q308=0.015,1,Q308=0.015,1.33,Q308=0.02,1.67,Q308=0.025,2,Q308=0.03,2.33,Q308=0.035,2.67,Q308=0.04,3)+IF(J308&lt;=0.03,"0.33",0))),(_xlfn.IFS(R308=0.01,0.67,R308=0.015,1,R308=0.015,1.33,R308=0.02,1.67,R308=0.025,2,R308=0.03,2.33,R308=0.035,2.67,R308=0.04,3)+IF(J308&lt;=0.03,"0.33",0)))</f>
        <v>2.33</v>
      </c>
      <c r="AC308" s="29">
        <f t="shared" si="7"/>
        <v>2.0202020202020203</v>
      </c>
      <c r="AD308" s="20" t="e">
        <f>VLOOKUP(F308,铝耗2026年!$A$2:$B$5000,2,0)</f>
        <v>#N/A</v>
      </c>
      <c r="AE308" s="20" t="e">
        <f>VLOOKUP(F308,铝耗2025年!$A$2:$B$5000,2,0)</f>
        <v>#N/A</v>
      </c>
      <c r="AF308" s="37">
        <v>1.9</v>
      </c>
    </row>
    <row r="309" spans="1:32" hidden="1" x14ac:dyDescent="0.3">
      <c r="A309" s="7">
        <v>306</v>
      </c>
      <c r="B309" s="9" t="s">
        <v>559</v>
      </c>
      <c r="C309" s="9" t="s">
        <v>37</v>
      </c>
      <c r="D309" s="9">
        <v>12.51</v>
      </c>
      <c r="E309" s="9">
        <v>25</v>
      </c>
      <c r="F309" s="9" t="s">
        <v>561</v>
      </c>
      <c r="G309" s="33" t="s">
        <v>523</v>
      </c>
      <c r="H309" s="9">
        <v>1522</v>
      </c>
      <c r="I309" s="34">
        <v>7.0000000000000007E-2</v>
      </c>
      <c r="J309" s="35">
        <v>0.15</v>
      </c>
      <c r="K309" s="35">
        <v>1.4</v>
      </c>
      <c r="L309" s="34">
        <v>1.4999999999999999E-2</v>
      </c>
      <c r="M309" s="34">
        <v>6.0000000000000001E-3</v>
      </c>
      <c r="N309" s="34"/>
      <c r="O309" s="34">
        <v>3.5000000000000003E-2</v>
      </c>
      <c r="P309" s="34">
        <v>0.01</v>
      </c>
      <c r="Q309" s="34">
        <v>0.03</v>
      </c>
      <c r="R309" s="34" t="s">
        <v>39</v>
      </c>
      <c r="S309" s="21"/>
      <c r="T309" s="35"/>
      <c r="U309" s="35"/>
      <c r="V309" s="35"/>
      <c r="W309" s="35"/>
      <c r="X309" s="21"/>
      <c r="Y309" s="36" t="s">
        <v>39</v>
      </c>
      <c r="Z309" s="9">
        <v>50</v>
      </c>
      <c r="AA309" s="36"/>
      <c r="AB309" s="29" cm="1">
        <f t="array" ref="AB309">IF(R309="",IF(Q309="",0,(_xlfn.IFS(Q309=0.01,0.67,Q309=0.015,1,Q309=0.015,1.33,Q309=0.02,1.67,Q309=0.025,2,Q309=0.03,2.33,Q309=0.035,2.67,Q309=0.04,3)+IF(J309&lt;=0.03,"0.33",0))),(_xlfn.IFS(R309=0.01,0.67,R309=0.015,1,R309=0.015,1.33,R309=0.02,1.67,R309=0.025,2,R309=0.03,2.33,R309=0.035,2.67,R309=0.04,3)+IF(J309&lt;=0.03,"0.33",0)))</f>
        <v>2.33</v>
      </c>
      <c r="AC309" s="29">
        <f t="shared" si="7"/>
        <v>2.0202020202020203</v>
      </c>
      <c r="AD309" s="20" t="e">
        <f>VLOOKUP(F309,铝耗2026年!$A$2:$B$5000,2,0)</f>
        <v>#N/A</v>
      </c>
      <c r="AE309" s="20" t="e">
        <f>VLOOKUP(F309,铝耗2025年!$A$2:$B$5000,2,0)</f>
        <v>#N/A</v>
      </c>
      <c r="AF309" s="37">
        <v>1.9</v>
      </c>
    </row>
    <row r="310" spans="1:32" hidden="1" x14ac:dyDescent="0.3">
      <c r="A310" s="7">
        <v>307</v>
      </c>
      <c r="B310" s="9" t="s">
        <v>562</v>
      </c>
      <c r="C310" s="9" t="s">
        <v>34</v>
      </c>
      <c r="D310" s="9">
        <v>3.5</v>
      </c>
      <c r="E310" s="9">
        <v>25.4</v>
      </c>
      <c r="F310" s="9" t="s">
        <v>562</v>
      </c>
      <c r="G310" s="33" t="s">
        <v>523</v>
      </c>
      <c r="H310" s="9">
        <v>1519</v>
      </c>
      <c r="I310" s="34">
        <v>0.16</v>
      </c>
      <c r="J310" s="35">
        <v>0.1</v>
      </c>
      <c r="K310" s="35">
        <v>0.6</v>
      </c>
      <c r="L310" s="34">
        <v>0.02</v>
      </c>
      <c r="M310" s="34">
        <v>1.4999999999999999E-2</v>
      </c>
      <c r="N310" s="34" t="s">
        <v>39</v>
      </c>
      <c r="O310" s="34" t="s">
        <v>39</v>
      </c>
      <c r="P310" s="34" t="s">
        <v>39</v>
      </c>
      <c r="Q310" s="34">
        <v>2.5000000000000001E-2</v>
      </c>
      <c r="R310" s="34" t="s">
        <v>39</v>
      </c>
      <c r="S310" s="21" t="s">
        <v>39</v>
      </c>
      <c r="T310" s="35"/>
      <c r="U310" s="35"/>
      <c r="V310" s="35"/>
      <c r="W310" s="35"/>
      <c r="X310" s="21" t="s">
        <v>39</v>
      </c>
      <c r="Y310" s="36" t="s">
        <v>39</v>
      </c>
      <c r="Z310" s="9"/>
      <c r="AA310" s="36"/>
      <c r="AB310" s="29" cm="1">
        <f t="array" ref="AB310">IF(R310="",IF(Q310="",0,(_xlfn.IFS(Q310=0.01,0.67,Q310=0.015,1,Q310=0.015,1.33,Q310=0.02,1.67,Q310=0.025,2,Q310=0.03,2.33,Q310=0.035,2.67,Q310=0.04,3)+IF(J310&lt;=0.03,"0.33",0))),(_xlfn.IFS(R310=0.01,0.67,R310=0.015,1,R310=0.015,1.33,R310=0.02,1.67,R310=0.025,2,R310=0.03,2.33,R310=0.035,2.67,R310=0.04,3)+IF(J310&lt;=0.03,"0.33",0)))</f>
        <v>2</v>
      </c>
      <c r="AC310" s="29">
        <f t="shared" si="7"/>
        <v>1.6835016835016836</v>
      </c>
      <c r="AD310" s="20" t="e">
        <f>VLOOKUP(F310,铝耗2026年!$A$2:$B$5000,2,0)</f>
        <v>#N/A</v>
      </c>
      <c r="AE310" s="20" t="e">
        <f>VLOOKUP(F310,铝耗2025年!$A$2:$B$5000,2,0)</f>
        <v>#N/A</v>
      </c>
      <c r="AF310" s="37">
        <v>1.33</v>
      </c>
    </row>
    <row r="311" spans="1:32" hidden="1" x14ac:dyDescent="0.3">
      <c r="A311" s="7">
        <v>308</v>
      </c>
      <c r="B311" s="9" t="s">
        <v>563</v>
      </c>
      <c r="C311" s="9" t="s">
        <v>34</v>
      </c>
      <c r="D311" s="9">
        <v>4</v>
      </c>
      <c r="E311" s="9">
        <v>25.4</v>
      </c>
      <c r="F311" s="9" t="s">
        <v>563</v>
      </c>
      <c r="G311" s="33" t="s">
        <v>523</v>
      </c>
      <c r="H311" s="9">
        <v>1519</v>
      </c>
      <c r="I311" s="34">
        <v>0.16</v>
      </c>
      <c r="J311" s="35">
        <v>0.12</v>
      </c>
      <c r="K311" s="35">
        <v>0.75</v>
      </c>
      <c r="L311" s="34">
        <v>1.4999999999999999E-2</v>
      </c>
      <c r="M311" s="34">
        <v>6.0000000000000001E-3</v>
      </c>
      <c r="N311" s="34" t="s">
        <v>39</v>
      </c>
      <c r="O311" s="34" t="s">
        <v>39</v>
      </c>
      <c r="P311" s="34" t="s">
        <v>39</v>
      </c>
      <c r="Q311" s="34">
        <v>2.5000000000000001E-2</v>
      </c>
      <c r="R311" s="34" t="s">
        <v>39</v>
      </c>
      <c r="S311" s="21" t="s">
        <v>39</v>
      </c>
      <c r="T311" s="35"/>
      <c r="U311" s="35"/>
      <c r="V311" s="35"/>
      <c r="W311" s="35"/>
      <c r="X311" s="21" t="s">
        <v>39</v>
      </c>
      <c r="Y311" s="36" t="s">
        <v>39</v>
      </c>
      <c r="Z311" s="9">
        <v>45</v>
      </c>
      <c r="AA311" s="36" t="s">
        <v>39</v>
      </c>
      <c r="AB311" s="29" cm="1">
        <f t="array" ref="AB311">IF(R311="",IF(Q311="",0,(_xlfn.IFS(Q311=0.01,0.67,Q311=0.015,1,Q311=0.015,1.33,Q311=0.02,1.67,Q311=0.025,2,Q311=0.03,2.33,Q311=0.035,2.67,Q311=0.04,3)+IF(J311&lt;=0.03,"0.33",0))),(_xlfn.IFS(R311=0.01,0.67,R311=0.015,1,R311=0.015,1.33,R311=0.02,1.67,R311=0.025,2,R311=0.03,2.33,R311=0.035,2.67,R311=0.04,3)+IF(J311&lt;=0.03,"0.33",0)))</f>
        <v>2</v>
      </c>
      <c r="AC311" s="29">
        <f t="shared" si="7"/>
        <v>1.6835016835016836</v>
      </c>
      <c r="AD311" s="20" t="e">
        <f>VLOOKUP(F311,铝耗2026年!$A$2:$B$5000,2,0)</f>
        <v>#N/A</v>
      </c>
      <c r="AE311" s="20" t="e">
        <f>VLOOKUP(F311,铝耗2025年!$A$2:$B$5000,2,0)</f>
        <v>#N/A</v>
      </c>
      <c r="AF311" s="37">
        <v>1.33</v>
      </c>
    </row>
    <row r="312" spans="1:32" hidden="1" x14ac:dyDescent="0.3">
      <c r="A312" s="7">
        <v>309</v>
      </c>
      <c r="B312" s="9" t="s">
        <v>564</v>
      </c>
      <c r="C312" s="9" t="s">
        <v>34</v>
      </c>
      <c r="D312" s="9">
        <v>4</v>
      </c>
      <c r="E312" s="9">
        <v>12.5</v>
      </c>
      <c r="F312" s="9" t="s">
        <v>565</v>
      </c>
      <c r="G312" s="33" t="s">
        <v>523</v>
      </c>
      <c r="H312" s="9">
        <v>1521</v>
      </c>
      <c r="I312" s="34">
        <v>7.0000000000000007E-2</v>
      </c>
      <c r="J312" s="35">
        <v>0.2</v>
      </c>
      <c r="K312" s="35">
        <v>1.2</v>
      </c>
      <c r="L312" s="34">
        <v>1.4999999999999999E-2</v>
      </c>
      <c r="M312" s="34">
        <v>6.0000000000000001E-3</v>
      </c>
      <c r="N312" s="34"/>
      <c r="O312" s="34"/>
      <c r="P312" s="34"/>
      <c r="Q312" s="34">
        <v>0.03</v>
      </c>
      <c r="R312" s="34"/>
      <c r="S312" s="21">
        <v>0.01</v>
      </c>
      <c r="T312" s="35"/>
      <c r="U312" s="35"/>
      <c r="V312" s="35" t="s">
        <v>39</v>
      </c>
      <c r="W312" s="35"/>
      <c r="X312" s="21" t="s">
        <v>39</v>
      </c>
      <c r="Y312" s="36" t="s">
        <v>39</v>
      </c>
      <c r="Z312" s="9" t="s">
        <v>39</v>
      </c>
      <c r="AA312" s="64"/>
      <c r="AB312" s="29" cm="1">
        <f t="array" ref="AB312">IF(R312="",IF(Q312="",0,(_xlfn.IFS(Q312=0.01,0.67,Q312=0.015,1,Q312=0.015,1.33,Q312=0.02,1.67,Q312=0.025,2,Q312=0.03,2.33,Q312=0.035,2.67,Q312=0.04,3)+IF(J312&lt;=0.03,"0.33",0))),(_xlfn.IFS(R312=0.01,0.67,R312=0.015,1,R312=0.015,1.33,R312=0.02,1.67,R312=0.025,2,R312=0.03,2.33,R312=0.035,2.67,R312=0.04,3)+IF(J312&lt;=0.03,"0.33",0)))</f>
        <v>2.33</v>
      </c>
      <c r="AC312" s="29">
        <f t="shared" si="7"/>
        <v>2.0202020202020203</v>
      </c>
      <c r="AD312" s="20" t="e">
        <f>VLOOKUP(F312,铝耗2026年!$A$2:$B$5000,2,0)</f>
        <v>#N/A</v>
      </c>
      <c r="AE312" s="20" t="e">
        <f>VLOOKUP(F312,铝耗2025年!$A$2:$B$5000,2,0)</f>
        <v>#N/A</v>
      </c>
      <c r="AF312" s="37">
        <v>1.9</v>
      </c>
    </row>
    <row r="313" spans="1:32" hidden="1" x14ac:dyDescent="0.3">
      <c r="A313" s="7">
        <v>310</v>
      </c>
      <c r="B313" s="9" t="s">
        <v>564</v>
      </c>
      <c r="C313" s="9" t="s">
        <v>37</v>
      </c>
      <c r="D313" s="9">
        <v>12.51</v>
      </c>
      <c r="E313" s="9">
        <v>25</v>
      </c>
      <c r="F313" s="9" t="s">
        <v>566</v>
      </c>
      <c r="G313" s="33" t="s">
        <v>523</v>
      </c>
      <c r="H313" s="9">
        <v>1521</v>
      </c>
      <c r="I313" s="34">
        <v>7.0000000000000007E-2</v>
      </c>
      <c r="J313" s="35">
        <v>0.2</v>
      </c>
      <c r="K313" s="35">
        <v>1.3</v>
      </c>
      <c r="L313" s="34">
        <v>1.4999999999999999E-2</v>
      </c>
      <c r="M313" s="34">
        <v>6.0000000000000001E-3</v>
      </c>
      <c r="N313" s="34"/>
      <c r="O313" s="34"/>
      <c r="P313" s="34"/>
      <c r="Q313" s="34">
        <v>0.03</v>
      </c>
      <c r="R313" s="34"/>
      <c r="S313" s="21">
        <v>0.01</v>
      </c>
      <c r="T313" s="35"/>
      <c r="U313" s="35"/>
      <c r="V313" s="35" t="s">
        <v>39</v>
      </c>
      <c r="W313" s="35"/>
      <c r="X313" s="21" t="s">
        <v>39</v>
      </c>
      <c r="Y313" s="36" t="s">
        <v>39</v>
      </c>
      <c r="Z313" s="9" t="s">
        <v>39</v>
      </c>
      <c r="AA313" s="64"/>
      <c r="AB313" s="29" cm="1">
        <f t="array" ref="AB313">IF(R313="",IF(Q313="",0,(_xlfn.IFS(Q313=0.01,0.67,Q313=0.015,1,Q313=0.015,1.33,Q313=0.02,1.67,Q313=0.025,2,Q313=0.03,2.33,Q313=0.035,2.67,Q313=0.04,3)+IF(J313&lt;=0.03,"0.33",0))),(_xlfn.IFS(R313=0.01,0.67,R313=0.015,1,R313=0.015,1.33,R313=0.02,1.67,R313=0.025,2,R313=0.03,2.33,R313=0.035,2.67,R313=0.04,3)+IF(J313&lt;=0.03,"0.33",0)))</f>
        <v>2.33</v>
      </c>
      <c r="AC313" s="29">
        <f t="shared" si="7"/>
        <v>2.0202020202020203</v>
      </c>
      <c r="AD313" s="20" t="e">
        <f>VLOOKUP(F313,铝耗2026年!$A$2:$B$5000,2,0)</f>
        <v>#N/A</v>
      </c>
      <c r="AE313" s="20" t="e">
        <f>VLOOKUP(F313,铝耗2025年!$A$2:$B$5000,2,0)</f>
        <v>#N/A</v>
      </c>
      <c r="AF313" s="37">
        <v>1.9</v>
      </c>
    </row>
    <row r="314" spans="1:32" hidden="1" x14ac:dyDescent="0.3">
      <c r="A314" s="7">
        <v>311</v>
      </c>
      <c r="B314" s="9" t="s">
        <v>567</v>
      </c>
      <c r="C314" s="9" t="s">
        <v>34</v>
      </c>
      <c r="D314" s="9">
        <v>4</v>
      </c>
      <c r="E314" s="9">
        <v>12.5</v>
      </c>
      <c r="F314" s="9" t="s">
        <v>568</v>
      </c>
      <c r="G314" s="33" t="s">
        <v>523</v>
      </c>
      <c r="H314" s="9">
        <v>1521</v>
      </c>
      <c r="I314" s="34">
        <v>7.0000000000000007E-2</v>
      </c>
      <c r="J314" s="35">
        <v>0.12</v>
      </c>
      <c r="K314" s="35">
        <v>1.3</v>
      </c>
      <c r="L314" s="34">
        <v>1.4999999999999999E-2</v>
      </c>
      <c r="M314" s="34">
        <v>6.0000000000000001E-3</v>
      </c>
      <c r="N314" s="34"/>
      <c r="O314" s="34">
        <v>3.5000000000000003E-2</v>
      </c>
      <c r="P314" s="34">
        <v>0.01</v>
      </c>
      <c r="Q314" s="34">
        <v>0.03</v>
      </c>
      <c r="R314" s="34" t="s">
        <v>39</v>
      </c>
      <c r="S314" s="21"/>
      <c r="T314" s="35"/>
      <c r="U314" s="35"/>
      <c r="V314" s="35"/>
      <c r="W314" s="35"/>
      <c r="X314" s="21"/>
      <c r="Y314" s="36" t="s">
        <v>39</v>
      </c>
      <c r="Z314" s="9">
        <v>50</v>
      </c>
      <c r="AA314" s="36"/>
      <c r="AB314" s="29" cm="1">
        <f t="array" ref="AB314">IF(R314="",IF(Q314="",0,(_xlfn.IFS(Q314=0.01,0.67,Q314=0.015,1,Q314=0.015,1.33,Q314=0.02,1.67,Q314=0.025,2,Q314=0.03,2.33,Q314=0.035,2.67,Q314=0.04,3)+IF(J314&lt;=0.03,"0.33",0))),(_xlfn.IFS(R314=0.01,0.67,R314=0.015,1,R314=0.015,1.33,R314=0.02,1.67,R314=0.025,2,R314=0.03,2.33,R314=0.035,2.67,R314=0.04,3)+IF(J314&lt;=0.03,"0.33",0)))</f>
        <v>2.33</v>
      </c>
      <c r="AC314" s="29">
        <f t="shared" si="7"/>
        <v>2.0202020202020203</v>
      </c>
      <c r="AD314" s="20" t="e">
        <f>VLOOKUP(F314,铝耗2026年!$A$2:$B$5000,2,0)</f>
        <v>#N/A</v>
      </c>
      <c r="AE314" s="20" t="e">
        <f>VLOOKUP(F314,铝耗2025年!$A$2:$B$5000,2,0)</f>
        <v>#N/A</v>
      </c>
      <c r="AF314" s="37">
        <v>1.9</v>
      </c>
    </row>
    <row r="315" spans="1:32" hidden="1" x14ac:dyDescent="0.3">
      <c r="A315" s="7">
        <v>312</v>
      </c>
      <c r="B315" s="9" t="s">
        <v>567</v>
      </c>
      <c r="C315" s="9" t="s">
        <v>37</v>
      </c>
      <c r="D315" s="9">
        <v>12.51</v>
      </c>
      <c r="E315" s="9">
        <v>25</v>
      </c>
      <c r="F315" s="9" t="s">
        <v>569</v>
      </c>
      <c r="G315" s="33" t="s">
        <v>523</v>
      </c>
      <c r="H315" s="9">
        <v>1522</v>
      </c>
      <c r="I315" s="34">
        <v>7.0000000000000007E-2</v>
      </c>
      <c r="J315" s="35">
        <v>0.15</v>
      </c>
      <c r="K315" s="35">
        <v>1.4</v>
      </c>
      <c r="L315" s="34">
        <v>1.4999999999999999E-2</v>
      </c>
      <c r="M315" s="34">
        <v>6.0000000000000001E-3</v>
      </c>
      <c r="N315" s="34"/>
      <c r="O315" s="34">
        <v>3.5000000000000003E-2</v>
      </c>
      <c r="P315" s="34">
        <v>0.01</v>
      </c>
      <c r="Q315" s="34">
        <v>0.03</v>
      </c>
      <c r="R315" s="34" t="s">
        <v>39</v>
      </c>
      <c r="S315" s="21"/>
      <c r="T315" s="35"/>
      <c r="U315" s="35"/>
      <c r="V315" s="35"/>
      <c r="W315" s="35"/>
      <c r="X315" s="21"/>
      <c r="Y315" s="36" t="s">
        <v>39</v>
      </c>
      <c r="Z315" s="9">
        <v>50</v>
      </c>
      <c r="AA315" s="36"/>
      <c r="AB315" s="29" cm="1">
        <f t="array" ref="AB315">IF(R315="",IF(Q315="",0,(_xlfn.IFS(Q315=0.01,0.67,Q315=0.015,1,Q315=0.015,1.33,Q315=0.02,1.67,Q315=0.025,2,Q315=0.03,2.33,Q315=0.035,2.67,Q315=0.04,3)+IF(J315&lt;=0.03,"0.33",0))),(_xlfn.IFS(R315=0.01,0.67,R315=0.015,1,R315=0.015,1.33,R315=0.02,1.67,R315=0.025,2,R315=0.03,2.33,R315=0.035,2.67,R315=0.04,3)+IF(J315&lt;=0.03,"0.33",0)))</f>
        <v>2.33</v>
      </c>
      <c r="AC315" s="29">
        <f t="shared" si="7"/>
        <v>2.0202020202020203</v>
      </c>
      <c r="AD315" s="20" t="e">
        <f>VLOOKUP(F315,铝耗2026年!$A$2:$B$5000,2,0)</f>
        <v>#N/A</v>
      </c>
      <c r="AE315" s="20" t="e">
        <f>VLOOKUP(F315,铝耗2025年!$A$2:$B$5000,2,0)</f>
        <v>#N/A</v>
      </c>
      <c r="AF315" s="37">
        <v>1.9</v>
      </c>
    </row>
    <row r="316" spans="1:32" hidden="1" x14ac:dyDescent="0.3">
      <c r="A316" s="7">
        <v>313</v>
      </c>
      <c r="B316" s="9" t="s">
        <v>570</v>
      </c>
      <c r="C316" s="9" t="s">
        <v>34</v>
      </c>
      <c r="D316" s="9">
        <v>3.5</v>
      </c>
      <c r="E316" s="9">
        <v>25.4</v>
      </c>
      <c r="F316" s="9" t="s">
        <v>570</v>
      </c>
      <c r="G316" s="33" t="s">
        <v>523</v>
      </c>
      <c r="H316" s="9">
        <v>1519</v>
      </c>
      <c r="I316" s="34">
        <v>0.16</v>
      </c>
      <c r="J316" s="35">
        <v>0.1</v>
      </c>
      <c r="K316" s="35">
        <v>0.6</v>
      </c>
      <c r="L316" s="34">
        <v>0.02</v>
      </c>
      <c r="M316" s="34">
        <v>1.4999999999999999E-2</v>
      </c>
      <c r="N316" s="34" t="s">
        <v>39</v>
      </c>
      <c r="O316" s="34" t="s">
        <v>39</v>
      </c>
      <c r="P316" s="34" t="s">
        <v>39</v>
      </c>
      <c r="Q316" s="34">
        <v>2.5000000000000001E-2</v>
      </c>
      <c r="R316" s="34" t="s">
        <v>39</v>
      </c>
      <c r="S316" s="21" t="s">
        <v>39</v>
      </c>
      <c r="T316" s="35"/>
      <c r="U316" s="35"/>
      <c r="V316" s="35"/>
      <c r="W316" s="35"/>
      <c r="X316" s="21" t="s">
        <v>39</v>
      </c>
      <c r="Y316" s="36" t="s">
        <v>39</v>
      </c>
      <c r="Z316" s="9"/>
      <c r="AA316" s="36"/>
      <c r="AB316" s="29" cm="1">
        <f t="array" ref="AB316">IF(R316="",IF(Q316="",0,(_xlfn.IFS(Q316=0.01,0.67,Q316=0.015,1,Q316=0.015,1.33,Q316=0.02,1.67,Q316=0.025,2,Q316=0.03,2.33,Q316=0.035,2.67,Q316=0.04,3)+IF(J316&lt;=0.03,"0.33",0))),(_xlfn.IFS(R316=0.01,0.67,R316=0.015,1,R316=0.015,1.33,R316=0.02,1.67,R316=0.025,2,R316=0.03,2.33,R316=0.035,2.67,R316=0.04,3)+IF(J316&lt;=0.03,"0.33",0)))</f>
        <v>2</v>
      </c>
      <c r="AC316" s="29">
        <f t="shared" si="7"/>
        <v>1.6835016835016836</v>
      </c>
      <c r="AD316" s="20" t="e">
        <f>VLOOKUP(F316,铝耗2026年!$A$2:$B$5000,2,0)</f>
        <v>#N/A</v>
      </c>
      <c r="AE316" s="20" t="e">
        <f>VLOOKUP(F316,铝耗2025年!$A$2:$B$5000,2,0)</f>
        <v>#N/A</v>
      </c>
      <c r="AF316" s="37">
        <v>1.33</v>
      </c>
    </row>
    <row r="317" spans="1:32" hidden="1" x14ac:dyDescent="0.3">
      <c r="A317" s="7">
        <v>314</v>
      </c>
      <c r="B317" s="9" t="s">
        <v>571</v>
      </c>
      <c r="C317" s="9" t="s">
        <v>34</v>
      </c>
      <c r="D317" s="9">
        <v>4</v>
      </c>
      <c r="E317" s="9">
        <v>25.4</v>
      </c>
      <c r="F317" s="9" t="s">
        <v>571</v>
      </c>
      <c r="G317" s="33" t="s">
        <v>523</v>
      </c>
      <c r="H317" s="9">
        <v>1519</v>
      </c>
      <c r="I317" s="34">
        <v>0.16</v>
      </c>
      <c r="J317" s="35">
        <v>0.12</v>
      </c>
      <c r="K317" s="35">
        <v>0.75</v>
      </c>
      <c r="L317" s="34">
        <v>1.4999999999999999E-2</v>
      </c>
      <c r="M317" s="34">
        <v>6.0000000000000001E-3</v>
      </c>
      <c r="N317" s="34" t="s">
        <v>39</v>
      </c>
      <c r="O317" s="34" t="s">
        <v>39</v>
      </c>
      <c r="P317" s="34" t="s">
        <v>39</v>
      </c>
      <c r="Q317" s="34">
        <v>2.5000000000000001E-2</v>
      </c>
      <c r="R317" s="34" t="s">
        <v>39</v>
      </c>
      <c r="S317" s="21" t="s">
        <v>39</v>
      </c>
      <c r="T317" s="35"/>
      <c r="U317" s="35"/>
      <c r="V317" s="35"/>
      <c r="W317" s="35"/>
      <c r="X317" s="21" t="s">
        <v>39</v>
      </c>
      <c r="Y317" s="36" t="s">
        <v>39</v>
      </c>
      <c r="Z317" s="9">
        <v>45</v>
      </c>
      <c r="AA317" s="36" t="s">
        <v>39</v>
      </c>
      <c r="AB317" s="29" cm="1">
        <f t="array" ref="AB317">IF(R317="",IF(Q317="",0,(_xlfn.IFS(Q317=0.01,0.67,Q317=0.015,1,Q317=0.015,1.33,Q317=0.02,1.67,Q317=0.025,2,Q317=0.03,2.33,Q317=0.035,2.67,Q317=0.04,3)+IF(J317&lt;=0.03,"0.33",0))),(_xlfn.IFS(R317=0.01,0.67,R317=0.015,1,R317=0.015,1.33,R317=0.02,1.67,R317=0.025,2,R317=0.03,2.33,R317=0.035,2.67,R317=0.04,3)+IF(J317&lt;=0.03,"0.33",0)))</f>
        <v>2</v>
      </c>
      <c r="AC317" s="29">
        <f t="shared" si="7"/>
        <v>1.6835016835016836</v>
      </c>
      <c r="AD317" s="20" t="e">
        <f>VLOOKUP(F317,铝耗2026年!$A$2:$B$5000,2,0)</f>
        <v>#N/A</v>
      </c>
      <c r="AE317" s="20" t="e">
        <f>VLOOKUP(F317,铝耗2025年!$A$2:$B$5000,2,0)</f>
        <v>#N/A</v>
      </c>
      <c r="AF317" s="37">
        <v>1.33</v>
      </c>
    </row>
    <row r="318" spans="1:32" hidden="1" x14ac:dyDescent="0.3">
      <c r="A318" s="7">
        <v>315</v>
      </c>
      <c r="B318" s="9" t="s">
        <v>572</v>
      </c>
      <c r="C318" s="9" t="s">
        <v>34</v>
      </c>
      <c r="D318" s="9">
        <v>4</v>
      </c>
      <c r="E318" s="9">
        <v>12.5</v>
      </c>
      <c r="F318" s="9" t="s">
        <v>573</v>
      </c>
      <c r="G318" s="33" t="s">
        <v>523</v>
      </c>
      <c r="H318" s="9">
        <v>1521</v>
      </c>
      <c r="I318" s="34">
        <v>7.0000000000000007E-2</v>
      </c>
      <c r="J318" s="35">
        <v>0.2</v>
      </c>
      <c r="K318" s="35">
        <v>1.2</v>
      </c>
      <c r="L318" s="34">
        <v>1.4999999999999999E-2</v>
      </c>
      <c r="M318" s="34">
        <v>6.0000000000000001E-3</v>
      </c>
      <c r="N318" s="34"/>
      <c r="O318" s="34"/>
      <c r="P318" s="34"/>
      <c r="Q318" s="34">
        <v>0.03</v>
      </c>
      <c r="R318" s="34"/>
      <c r="S318" s="21">
        <v>0.01</v>
      </c>
      <c r="T318" s="35"/>
      <c r="U318" s="35"/>
      <c r="V318" s="35" t="s">
        <v>39</v>
      </c>
      <c r="W318" s="35"/>
      <c r="X318" s="21" t="s">
        <v>39</v>
      </c>
      <c r="Y318" s="36" t="s">
        <v>39</v>
      </c>
      <c r="Z318" s="9" t="s">
        <v>39</v>
      </c>
      <c r="AA318" s="64"/>
      <c r="AB318" s="29" cm="1">
        <f t="array" ref="AB318">IF(R318="",IF(Q318="",0,(_xlfn.IFS(Q318=0.01,0.67,Q318=0.015,1,Q318=0.015,1.33,Q318=0.02,1.67,Q318=0.025,2,Q318=0.03,2.33,Q318=0.035,2.67,Q318=0.04,3)+IF(J318&lt;=0.03,"0.33",0))),(_xlfn.IFS(R318=0.01,0.67,R318=0.015,1,R318=0.015,1.33,R318=0.02,1.67,R318=0.025,2,R318=0.03,2.33,R318=0.035,2.67,R318=0.04,3)+IF(J318&lt;=0.03,"0.33",0)))</f>
        <v>2.33</v>
      </c>
      <c r="AC318" s="29">
        <f t="shared" si="7"/>
        <v>2.0202020202020203</v>
      </c>
      <c r="AD318" s="20" t="e">
        <f>VLOOKUP(F318,铝耗2026年!$A$2:$B$5000,2,0)</f>
        <v>#N/A</v>
      </c>
      <c r="AE318" s="20" t="e">
        <f>VLOOKUP(F318,铝耗2025年!$A$2:$B$5000,2,0)</f>
        <v>#N/A</v>
      </c>
      <c r="AF318" s="37">
        <v>1.9</v>
      </c>
    </row>
    <row r="319" spans="1:32" hidden="1" x14ac:dyDescent="0.3">
      <c r="A319" s="7">
        <v>316</v>
      </c>
      <c r="B319" s="9" t="s">
        <v>572</v>
      </c>
      <c r="C319" s="9" t="s">
        <v>37</v>
      </c>
      <c r="D319" s="9">
        <v>12.51</v>
      </c>
      <c r="E319" s="9">
        <v>25</v>
      </c>
      <c r="F319" s="9" t="s">
        <v>574</v>
      </c>
      <c r="G319" s="33" t="s">
        <v>523</v>
      </c>
      <c r="H319" s="9">
        <v>1521</v>
      </c>
      <c r="I319" s="34">
        <v>7.0000000000000007E-2</v>
      </c>
      <c r="J319" s="35">
        <v>0.2</v>
      </c>
      <c r="K319" s="35">
        <v>1.3</v>
      </c>
      <c r="L319" s="34">
        <v>1.4999999999999999E-2</v>
      </c>
      <c r="M319" s="34">
        <v>6.0000000000000001E-3</v>
      </c>
      <c r="N319" s="34"/>
      <c r="O319" s="34"/>
      <c r="P319" s="34"/>
      <c r="Q319" s="34">
        <v>0.03</v>
      </c>
      <c r="R319" s="34"/>
      <c r="S319" s="21">
        <v>0.01</v>
      </c>
      <c r="T319" s="35"/>
      <c r="U319" s="35"/>
      <c r="V319" s="35" t="s">
        <v>39</v>
      </c>
      <c r="W319" s="35"/>
      <c r="X319" s="21" t="s">
        <v>39</v>
      </c>
      <c r="Y319" s="36" t="s">
        <v>39</v>
      </c>
      <c r="Z319" s="9" t="s">
        <v>39</v>
      </c>
      <c r="AA319" s="64"/>
      <c r="AB319" s="29" cm="1">
        <f t="array" ref="AB319">IF(R319="",IF(Q319="",0,(_xlfn.IFS(Q319=0.01,0.67,Q319=0.015,1,Q319=0.015,1.33,Q319=0.02,1.67,Q319=0.025,2,Q319=0.03,2.33,Q319=0.035,2.67,Q319=0.04,3)+IF(J319&lt;=0.03,"0.33",0))),(_xlfn.IFS(R319=0.01,0.67,R319=0.015,1,R319=0.015,1.33,R319=0.02,1.67,R319=0.025,2,R319=0.03,2.33,R319=0.035,2.67,R319=0.04,3)+IF(J319&lt;=0.03,"0.33",0)))</f>
        <v>2.33</v>
      </c>
      <c r="AC319" s="29">
        <f t="shared" si="7"/>
        <v>2.0202020202020203</v>
      </c>
      <c r="AD319" s="20" t="e">
        <f>VLOOKUP(F319,铝耗2026年!$A$2:$B$5000,2,0)</f>
        <v>#N/A</v>
      </c>
      <c r="AE319" s="20" t="e">
        <f>VLOOKUP(F319,铝耗2025年!$A$2:$B$5000,2,0)</f>
        <v>#N/A</v>
      </c>
      <c r="AF319" s="37">
        <v>1.9</v>
      </c>
    </row>
    <row r="320" spans="1:32" hidden="1" x14ac:dyDescent="0.3">
      <c r="A320" s="7">
        <v>317</v>
      </c>
      <c r="B320" s="9" t="s">
        <v>575</v>
      </c>
      <c r="C320" s="9" t="s">
        <v>34</v>
      </c>
      <c r="D320" s="9">
        <v>4</v>
      </c>
      <c r="E320" s="9">
        <v>12.5</v>
      </c>
      <c r="F320" s="9" t="s">
        <v>576</v>
      </c>
      <c r="G320" s="33" t="s">
        <v>523</v>
      </c>
      <c r="H320" s="9">
        <v>1521</v>
      </c>
      <c r="I320" s="34">
        <v>7.0000000000000007E-2</v>
      </c>
      <c r="J320" s="35">
        <v>0.12</v>
      </c>
      <c r="K320" s="35">
        <v>1.3</v>
      </c>
      <c r="L320" s="34">
        <v>1.4999999999999999E-2</v>
      </c>
      <c r="M320" s="34">
        <v>6.0000000000000001E-3</v>
      </c>
      <c r="N320" s="34"/>
      <c r="O320" s="34">
        <v>3.5000000000000003E-2</v>
      </c>
      <c r="P320" s="34">
        <v>0.01</v>
      </c>
      <c r="Q320" s="34">
        <v>0.03</v>
      </c>
      <c r="R320" s="34" t="s">
        <v>39</v>
      </c>
      <c r="S320" s="21"/>
      <c r="T320" s="35"/>
      <c r="U320" s="35"/>
      <c r="V320" s="35"/>
      <c r="W320" s="35"/>
      <c r="X320" s="21"/>
      <c r="Y320" s="36" t="s">
        <v>39</v>
      </c>
      <c r="Z320" s="9">
        <v>50</v>
      </c>
      <c r="AA320" s="36"/>
      <c r="AB320" s="29" cm="1">
        <f t="array" ref="AB320">IF(R320="",IF(Q320="",0,(_xlfn.IFS(Q320=0.01,0.67,Q320=0.015,1,Q320=0.015,1.33,Q320=0.02,1.67,Q320=0.025,2,Q320=0.03,2.33,Q320=0.035,2.67,Q320=0.04,3)+IF(J320&lt;=0.03,"0.33",0))),(_xlfn.IFS(R320=0.01,0.67,R320=0.015,1,R320=0.015,1.33,R320=0.02,1.67,R320=0.025,2,R320=0.03,2.33,R320=0.035,2.67,R320=0.04,3)+IF(J320&lt;=0.03,"0.33",0)))</f>
        <v>2.33</v>
      </c>
      <c r="AC320" s="29">
        <f t="shared" si="7"/>
        <v>2.0202020202020203</v>
      </c>
      <c r="AD320" s="20" t="e">
        <f>VLOOKUP(F320,铝耗2026年!$A$2:$B$5000,2,0)</f>
        <v>#N/A</v>
      </c>
      <c r="AE320" s="20" t="e">
        <f>VLOOKUP(F320,铝耗2025年!$A$2:$B$5000,2,0)</f>
        <v>#N/A</v>
      </c>
      <c r="AF320" s="37">
        <v>1.9</v>
      </c>
    </row>
    <row r="321" spans="1:32" hidden="1" x14ac:dyDescent="0.3">
      <c r="A321" s="7">
        <v>318</v>
      </c>
      <c r="B321" s="9" t="s">
        <v>575</v>
      </c>
      <c r="C321" s="9" t="s">
        <v>37</v>
      </c>
      <c r="D321" s="9">
        <v>12.51</v>
      </c>
      <c r="E321" s="9">
        <v>25</v>
      </c>
      <c r="F321" s="9" t="s">
        <v>577</v>
      </c>
      <c r="G321" s="33" t="s">
        <v>523</v>
      </c>
      <c r="H321" s="9">
        <v>1522</v>
      </c>
      <c r="I321" s="34">
        <v>7.0000000000000007E-2</v>
      </c>
      <c r="J321" s="35">
        <v>0.15</v>
      </c>
      <c r="K321" s="35">
        <v>1.4</v>
      </c>
      <c r="L321" s="34">
        <v>1.4999999999999999E-2</v>
      </c>
      <c r="M321" s="34">
        <v>6.0000000000000001E-3</v>
      </c>
      <c r="N321" s="34"/>
      <c r="O321" s="34">
        <v>3.5000000000000003E-2</v>
      </c>
      <c r="P321" s="34">
        <v>0.01</v>
      </c>
      <c r="Q321" s="34">
        <v>0.03</v>
      </c>
      <c r="R321" s="34" t="s">
        <v>39</v>
      </c>
      <c r="S321" s="21"/>
      <c r="T321" s="35"/>
      <c r="U321" s="35"/>
      <c r="V321" s="35"/>
      <c r="W321" s="35"/>
      <c r="X321" s="21"/>
      <c r="Y321" s="36" t="s">
        <v>39</v>
      </c>
      <c r="Z321" s="9">
        <v>50</v>
      </c>
      <c r="AA321" s="36"/>
      <c r="AB321" s="29" cm="1">
        <f t="array" ref="AB321">IF(R321="",IF(Q321="",0,(_xlfn.IFS(Q321=0.01,0.67,Q321=0.015,1,Q321=0.015,1.33,Q321=0.02,1.67,Q321=0.025,2,Q321=0.03,2.33,Q321=0.035,2.67,Q321=0.04,3)+IF(J321&lt;=0.03,"0.33",0))),(_xlfn.IFS(R321=0.01,0.67,R321=0.015,1,R321=0.015,1.33,R321=0.02,1.67,R321=0.025,2,R321=0.03,2.33,R321=0.035,2.67,R321=0.04,3)+IF(J321&lt;=0.03,"0.33",0)))</f>
        <v>2.33</v>
      </c>
      <c r="AC321" s="29">
        <f t="shared" si="7"/>
        <v>2.0202020202020203</v>
      </c>
      <c r="AD321" s="20" t="e">
        <f>VLOOKUP(F321,铝耗2026年!$A$2:$B$5000,2,0)</f>
        <v>#N/A</v>
      </c>
      <c r="AE321" s="20" t="e">
        <f>VLOOKUP(F321,铝耗2025年!$A$2:$B$5000,2,0)</f>
        <v>#N/A</v>
      </c>
      <c r="AF321" s="37">
        <v>1.9</v>
      </c>
    </row>
    <row r="322" spans="1:32" hidden="1" x14ac:dyDescent="0.3">
      <c r="A322" s="7">
        <v>319</v>
      </c>
      <c r="B322" s="9" t="s">
        <v>578</v>
      </c>
      <c r="C322" s="9" t="s">
        <v>34</v>
      </c>
      <c r="D322" s="9">
        <v>3.5</v>
      </c>
      <c r="E322" s="9">
        <v>25.4</v>
      </c>
      <c r="F322" s="9" t="s">
        <v>578</v>
      </c>
      <c r="G322" s="33" t="s">
        <v>523</v>
      </c>
      <c r="H322" s="9">
        <v>1519</v>
      </c>
      <c r="I322" s="34">
        <v>0.16</v>
      </c>
      <c r="J322" s="35">
        <v>0.1</v>
      </c>
      <c r="K322" s="35">
        <v>0.6</v>
      </c>
      <c r="L322" s="34">
        <v>0.02</v>
      </c>
      <c r="M322" s="34">
        <v>1.4999999999999999E-2</v>
      </c>
      <c r="N322" s="34" t="s">
        <v>39</v>
      </c>
      <c r="O322" s="34" t="s">
        <v>39</v>
      </c>
      <c r="P322" s="34" t="s">
        <v>39</v>
      </c>
      <c r="Q322" s="34">
        <v>2.5000000000000001E-2</v>
      </c>
      <c r="R322" s="34" t="s">
        <v>39</v>
      </c>
      <c r="S322" s="21" t="s">
        <v>39</v>
      </c>
      <c r="T322" s="35"/>
      <c r="U322" s="35"/>
      <c r="V322" s="35"/>
      <c r="W322" s="35"/>
      <c r="X322" s="21" t="s">
        <v>39</v>
      </c>
      <c r="Y322" s="36" t="s">
        <v>39</v>
      </c>
      <c r="Z322" s="9"/>
      <c r="AA322" s="36"/>
      <c r="AB322" s="29" cm="1">
        <f t="array" ref="AB322">IF(R322="",IF(Q322="",0,(_xlfn.IFS(Q322=0.01,0.67,Q322=0.015,1,Q322=0.015,1.33,Q322=0.02,1.67,Q322=0.025,2,Q322=0.03,2.33,Q322=0.035,2.67,Q322=0.04,3)+IF(J322&lt;=0.03,"0.33",0))),(_xlfn.IFS(R322=0.01,0.67,R322=0.015,1,R322=0.015,1.33,R322=0.02,1.67,R322=0.025,2,R322=0.03,2.33,R322=0.035,2.67,R322=0.04,3)+IF(J322&lt;=0.03,"0.33",0)))</f>
        <v>2</v>
      </c>
      <c r="AC322" s="29">
        <f t="shared" si="7"/>
        <v>1.6835016835016836</v>
      </c>
      <c r="AD322" s="20" t="e">
        <f>VLOOKUP(F322,铝耗2026年!$A$2:$B$5000,2,0)</f>
        <v>#N/A</v>
      </c>
      <c r="AE322" s="20" t="e">
        <f>VLOOKUP(F322,铝耗2025年!$A$2:$B$5000,2,0)</f>
        <v>#N/A</v>
      </c>
      <c r="AF322" s="37">
        <v>1.33</v>
      </c>
    </row>
    <row r="323" spans="1:32" hidden="1" x14ac:dyDescent="0.3">
      <c r="A323" s="7">
        <v>320</v>
      </c>
      <c r="B323" s="9" t="s">
        <v>579</v>
      </c>
      <c r="C323" s="9" t="s">
        <v>34</v>
      </c>
      <c r="D323" s="9">
        <v>4</v>
      </c>
      <c r="E323" s="9">
        <v>25.4</v>
      </c>
      <c r="F323" s="9" t="s">
        <v>579</v>
      </c>
      <c r="G323" s="33" t="s">
        <v>523</v>
      </c>
      <c r="H323" s="9">
        <v>1519</v>
      </c>
      <c r="I323" s="34">
        <v>0.16</v>
      </c>
      <c r="J323" s="35">
        <v>0.12</v>
      </c>
      <c r="K323" s="35">
        <v>0.75</v>
      </c>
      <c r="L323" s="34">
        <v>1.4999999999999999E-2</v>
      </c>
      <c r="M323" s="34">
        <v>6.0000000000000001E-3</v>
      </c>
      <c r="N323" s="34" t="s">
        <v>39</v>
      </c>
      <c r="O323" s="34" t="s">
        <v>39</v>
      </c>
      <c r="P323" s="34" t="s">
        <v>39</v>
      </c>
      <c r="Q323" s="34">
        <v>2.5000000000000001E-2</v>
      </c>
      <c r="R323" s="34" t="s">
        <v>39</v>
      </c>
      <c r="S323" s="21" t="s">
        <v>39</v>
      </c>
      <c r="T323" s="35"/>
      <c r="U323" s="35"/>
      <c r="V323" s="35"/>
      <c r="W323" s="35"/>
      <c r="X323" s="21" t="s">
        <v>39</v>
      </c>
      <c r="Y323" s="36" t="s">
        <v>39</v>
      </c>
      <c r="Z323" s="9">
        <v>45</v>
      </c>
      <c r="AA323" s="36" t="s">
        <v>39</v>
      </c>
      <c r="AB323" s="29" cm="1">
        <f t="array" ref="AB323">IF(R323="",IF(Q323="",0,(_xlfn.IFS(Q323=0.01,0.67,Q323=0.015,1,Q323=0.015,1.33,Q323=0.02,1.67,Q323=0.025,2,Q323=0.03,2.33,Q323=0.035,2.67,Q323=0.04,3)+IF(J323&lt;=0.03,"0.33",0))),(_xlfn.IFS(R323=0.01,0.67,R323=0.015,1,R323=0.015,1.33,R323=0.02,1.67,R323=0.025,2,R323=0.03,2.33,R323=0.035,2.67,R323=0.04,3)+IF(J323&lt;=0.03,"0.33",0)))</f>
        <v>2</v>
      </c>
      <c r="AC323" s="29">
        <f t="shared" si="7"/>
        <v>1.6835016835016836</v>
      </c>
      <c r="AD323" s="20" t="e">
        <f>VLOOKUP(F323,铝耗2026年!$A$2:$B$5000,2,0)</f>
        <v>#N/A</v>
      </c>
      <c r="AE323" s="20" t="e">
        <f>VLOOKUP(F323,铝耗2025年!$A$2:$B$5000,2,0)</f>
        <v>#N/A</v>
      </c>
      <c r="AF323" s="37">
        <v>1.33</v>
      </c>
    </row>
    <row r="324" spans="1:32" hidden="1" x14ac:dyDescent="0.3">
      <c r="A324" s="7">
        <v>321</v>
      </c>
      <c r="B324" s="9" t="s">
        <v>580</v>
      </c>
      <c r="C324" s="9" t="s">
        <v>34</v>
      </c>
      <c r="D324" s="9">
        <v>4</v>
      </c>
      <c r="E324" s="9">
        <v>12.5</v>
      </c>
      <c r="F324" s="9" t="s">
        <v>581</v>
      </c>
      <c r="G324" s="33" t="s">
        <v>523</v>
      </c>
      <c r="H324" s="9">
        <v>1521</v>
      </c>
      <c r="I324" s="34">
        <v>7.0000000000000007E-2</v>
      </c>
      <c r="J324" s="35">
        <v>0.2</v>
      </c>
      <c r="K324" s="35">
        <v>1.2</v>
      </c>
      <c r="L324" s="34">
        <v>1.4999999999999999E-2</v>
      </c>
      <c r="M324" s="34">
        <v>6.0000000000000001E-3</v>
      </c>
      <c r="N324" s="34"/>
      <c r="O324" s="34"/>
      <c r="P324" s="34"/>
      <c r="Q324" s="34">
        <v>0.03</v>
      </c>
      <c r="R324" s="34"/>
      <c r="S324" s="21">
        <v>0.01</v>
      </c>
      <c r="T324" s="35"/>
      <c r="U324" s="35"/>
      <c r="V324" s="35" t="s">
        <v>39</v>
      </c>
      <c r="W324" s="35"/>
      <c r="X324" s="21" t="s">
        <v>39</v>
      </c>
      <c r="Y324" s="36" t="s">
        <v>39</v>
      </c>
      <c r="Z324" s="9" t="s">
        <v>39</v>
      </c>
      <c r="AA324" s="64"/>
      <c r="AB324" s="29" cm="1">
        <f t="array" ref="AB324">IF(R324="",IF(Q324="",0,(_xlfn.IFS(Q324=0.01,0.67,Q324=0.015,1,Q324=0.015,1.33,Q324=0.02,1.67,Q324=0.025,2,Q324=0.03,2.33,Q324=0.035,2.67,Q324=0.04,3)+IF(J324&lt;=0.03,"0.33",0))),(_xlfn.IFS(R324=0.01,0.67,R324=0.015,1,R324=0.015,1.33,R324=0.02,1.67,R324=0.025,2,R324=0.03,2.33,R324=0.035,2.67,R324=0.04,3)+IF(J324&lt;=0.03,"0.33",0)))</f>
        <v>2.33</v>
      </c>
      <c r="AC324" s="29">
        <f t="shared" si="7"/>
        <v>2.0202020202020203</v>
      </c>
      <c r="AD324" s="20" t="e">
        <f>VLOOKUP(F324,铝耗2026年!$A$2:$B$5000,2,0)</f>
        <v>#N/A</v>
      </c>
      <c r="AE324" s="20" t="e">
        <f>VLOOKUP(F324,铝耗2025年!$A$2:$B$5000,2,0)</f>
        <v>#N/A</v>
      </c>
      <c r="AF324" s="37">
        <v>1.9</v>
      </c>
    </row>
    <row r="325" spans="1:32" hidden="1" x14ac:dyDescent="0.3">
      <c r="A325" s="7">
        <v>322</v>
      </c>
      <c r="B325" s="9" t="s">
        <v>580</v>
      </c>
      <c r="C325" s="9" t="s">
        <v>37</v>
      </c>
      <c r="D325" s="9">
        <v>12.51</v>
      </c>
      <c r="E325" s="9">
        <v>25</v>
      </c>
      <c r="F325" s="9" t="s">
        <v>582</v>
      </c>
      <c r="G325" s="33" t="s">
        <v>523</v>
      </c>
      <c r="H325" s="9">
        <v>1521</v>
      </c>
      <c r="I325" s="34">
        <v>7.0000000000000007E-2</v>
      </c>
      <c r="J325" s="35">
        <v>0.2</v>
      </c>
      <c r="K325" s="35">
        <v>1.3</v>
      </c>
      <c r="L325" s="34">
        <v>1.4999999999999999E-2</v>
      </c>
      <c r="M325" s="34">
        <v>6.0000000000000001E-3</v>
      </c>
      <c r="N325" s="34"/>
      <c r="O325" s="34"/>
      <c r="P325" s="34"/>
      <c r="Q325" s="34">
        <v>0.03</v>
      </c>
      <c r="R325" s="34"/>
      <c r="S325" s="21">
        <v>0.01</v>
      </c>
      <c r="T325" s="35"/>
      <c r="U325" s="35"/>
      <c r="V325" s="35" t="s">
        <v>39</v>
      </c>
      <c r="W325" s="35"/>
      <c r="X325" s="21" t="s">
        <v>39</v>
      </c>
      <c r="Y325" s="36" t="s">
        <v>39</v>
      </c>
      <c r="Z325" s="9" t="s">
        <v>39</v>
      </c>
      <c r="AA325" s="64"/>
      <c r="AB325" s="29" cm="1">
        <f t="array" ref="AB325">IF(R325="",IF(Q325="",0,(_xlfn.IFS(Q325=0.01,0.67,Q325=0.015,1,Q325=0.015,1.33,Q325=0.02,1.67,Q325=0.025,2,Q325=0.03,2.33,Q325=0.035,2.67,Q325=0.04,3)+IF(J325&lt;=0.03,"0.33",0))),(_xlfn.IFS(R325=0.01,0.67,R325=0.015,1,R325=0.015,1.33,R325=0.02,1.67,R325=0.025,2,R325=0.03,2.33,R325=0.035,2.67,R325=0.04,3)+IF(J325&lt;=0.03,"0.33",0)))</f>
        <v>2.33</v>
      </c>
      <c r="AC325" s="29">
        <f>IF(R325="",IF(Q325="",0.3,Q325/100/0.99/0.15*1000+IF(J325&lt;=0.03,"0.33",0)),R325/100/0.99/0.15*1000+IF(J325&lt;=0.03,"0.33",0))</f>
        <v>2.0202020202020203</v>
      </c>
      <c r="AD325" s="20" t="e">
        <f>VLOOKUP(F325,铝耗2026年!$A$2:$B$5000,2,0)</f>
        <v>#N/A</v>
      </c>
      <c r="AE325" s="20" t="e">
        <f>VLOOKUP(F325,铝耗2025年!$A$2:$B$5000,2,0)</f>
        <v>#N/A</v>
      </c>
      <c r="AF325" s="37">
        <v>1.9</v>
      </c>
    </row>
    <row r="326" spans="1:32" hidden="1" x14ac:dyDescent="0.3">
      <c r="A326" s="7">
        <v>323</v>
      </c>
      <c r="B326" s="9" t="s">
        <v>583</v>
      </c>
      <c r="C326" s="9" t="s">
        <v>34</v>
      </c>
      <c r="D326" s="9">
        <v>4</v>
      </c>
      <c r="E326" s="9">
        <v>12.5</v>
      </c>
      <c r="F326" s="9" t="s">
        <v>584</v>
      </c>
      <c r="G326" s="33" t="s">
        <v>523</v>
      </c>
      <c r="H326" s="9">
        <v>1521</v>
      </c>
      <c r="I326" s="34">
        <v>7.0000000000000007E-2</v>
      </c>
      <c r="J326" s="35">
        <v>0.12</v>
      </c>
      <c r="K326" s="35">
        <v>1.3</v>
      </c>
      <c r="L326" s="34">
        <v>1.4999999999999999E-2</v>
      </c>
      <c r="M326" s="34">
        <v>6.0000000000000001E-3</v>
      </c>
      <c r="N326" s="34"/>
      <c r="O326" s="34">
        <v>3.5000000000000003E-2</v>
      </c>
      <c r="P326" s="34">
        <v>0.01</v>
      </c>
      <c r="Q326" s="34">
        <v>0.03</v>
      </c>
      <c r="R326" s="34" t="s">
        <v>39</v>
      </c>
      <c r="S326" s="21"/>
      <c r="T326" s="35"/>
      <c r="U326" s="35"/>
      <c r="V326" s="35"/>
      <c r="W326" s="35"/>
      <c r="X326" s="21"/>
      <c r="Y326" s="36" t="s">
        <v>39</v>
      </c>
      <c r="Z326" s="9">
        <v>50</v>
      </c>
      <c r="AA326" s="36"/>
      <c r="AB326" s="29" cm="1">
        <f t="array" ref="AB326">IF(R326="",IF(Q326="",0,(_xlfn.IFS(Q326=0.01,0.67,Q326=0.015,1,Q326=0.015,1.33,Q326=0.02,1.67,Q326=0.025,2,Q326=0.03,2.33,Q326=0.035,2.67,Q326=0.04,3)+IF(J326&lt;=0.03,"0.33",0))),(_xlfn.IFS(R326=0.01,0.67,R326=0.015,1,R326=0.015,1.33,R326=0.02,1.67,R326=0.025,2,R326=0.03,2.33,R326=0.035,2.67,R326=0.04,3)+IF(J326&lt;=0.03,"0.33",0)))</f>
        <v>2.33</v>
      </c>
      <c r="AC326" s="29">
        <f>IF(R326="",IF(Q326="",0.3,Q326/100/0.99/0.15*1000+IF(J326&lt;=0.03,"0.33",0)),R326/100/0.99/0.15*1000+IF(J326&lt;=0.03,"0.33",0))</f>
        <v>2.0202020202020203</v>
      </c>
      <c r="AD326" s="20" t="e">
        <f>VLOOKUP(F326,铝耗2026年!$A$2:$B$5000,2,0)</f>
        <v>#N/A</v>
      </c>
      <c r="AE326" s="20" t="e">
        <f>VLOOKUP(F326,铝耗2025年!$A$2:$B$5000,2,0)</f>
        <v>#N/A</v>
      </c>
      <c r="AF326" s="37">
        <v>1.9</v>
      </c>
    </row>
    <row r="327" spans="1:32" hidden="1" x14ac:dyDescent="0.3">
      <c r="A327" s="7">
        <v>324</v>
      </c>
      <c r="B327" s="9" t="s">
        <v>583</v>
      </c>
      <c r="C327" s="9" t="s">
        <v>37</v>
      </c>
      <c r="D327" s="9">
        <v>12.51</v>
      </c>
      <c r="E327" s="9">
        <v>25</v>
      </c>
      <c r="F327" s="9" t="s">
        <v>585</v>
      </c>
      <c r="G327" s="33" t="s">
        <v>523</v>
      </c>
      <c r="H327" s="9">
        <v>1522</v>
      </c>
      <c r="I327" s="34">
        <v>7.0000000000000007E-2</v>
      </c>
      <c r="J327" s="35">
        <v>0.15</v>
      </c>
      <c r="K327" s="35">
        <v>1.4</v>
      </c>
      <c r="L327" s="34">
        <v>1.4999999999999999E-2</v>
      </c>
      <c r="M327" s="34">
        <v>6.0000000000000001E-3</v>
      </c>
      <c r="N327" s="34"/>
      <c r="O327" s="34">
        <v>3.5000000000000003E-2</v>
      </c>
      <c r="P327" s="34">
        <v>0.01</v>
      </c>
      <c r="Q327" s="34">
        <v>0.03</v>
      </c>
      <c r="R327" s="34" t="s">
        <v>39</v>
      </c>
      <c r="S327" s="21"/>
      <c r="T327" s="35"/>
      <c r="U327" s="35"/>
      <c r="V327" s="35"/>
      <c r="W327" s="35"/>
      <c r="X327" s="21"/>
      <c r="Y327" s="36" t="s">
        <v>39</v>
      </c>
      <c r="Z327" s="9">
        <v>50</v>
      </c>
      <c r="AA327" s="36"/>
      <c r="AB327" s="29" cm="1">
        <f t="array" ref="AB327">IF(R327="",IF(Q327="",0,(_xlfn.IFS(Q327=0.01,0.67,Q327=0.015,1,Q327=0.015,1.33,Q327=0.02,1.67,Q327=0.025,2,Q327=0.03,2.33,Q327=0.035,2.67,Q327=0.04,3)+IF(J327&lt;=0.03,"0.33",0))),(_xlfn.IFS(R327=0.01,0.67,R327=0.015,1,R327=0.015,1.33,R327=0.02,1.67,R327=0.025,2,R327=0.03,2.33,R327=0.035,2.67,R327=0.04,3)+IF(J327&lt;=0.03,"0.33",0)))</f>
        <v>2.33</v>
      </c>
      <c r="AC327" s="29">
        <f>IF(R327="",IF(Q327="",0.3,Q327/100/0.99/0.15*1000+IF(J327&lt;=0.03,"0.33",0)),R327/100/0.99/0.15*1000+IF(J327&lt;=0.03,"0.33",0))</f>
        <v>2.0202020202020203</v>
      </c>
      <c r="AD327" s="20" t="e">
        <f>VLOOKUP(F327,铝耗2026年!$A$2:$B$5000,2,0)</f>
        <v>#N/A</v>
      </c>
      <c r="AE327" s="20" t="e">
        <f>VLOOKUP(F327,铝耗2025年!$A$2:$B$5000,2,0)</f>
        <v>#N/A</v>
      </c>
      <c r="AF327" s="37">
        <v>1.9</v>
      </c>
    </row>
  </sheetData>
  <autoFilter ref="A1:AF327" xr:uid="{00000000-0001-0000-0000-000000000000}"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31">
      <filters>
        <filter val="2.50"/>
        <filter val="2.71"/>
        <filter val="2.80"/>
        <filter val="3.30"/>
      </filters>
    </filterColumn>
  </autoFilter>
  <mergeCells count="18">
    <mergeCell ref="I1:Z1"/>
    <mergeCell ref="A1:A2"/>
    <mergeCell ref="B1:B2"/>
    <mergeCell ref="C1:C2"/>
    <mergeCell ref="D1:D2"/>
    <mergeCell ref="E1:E2"/>
    <mergeCell ref="F1:F2"/>
    <mergeCell ref="G1:G2"/>
    <mergeCell ref="H1:H2"/>
    <mergeCell ref="AA306:AA307"/>
    <mergeCell ref="AA312:AA313"/>
    <mergeCell ref="AA318:AA319"/>
    <mergeCell ref="AA324:AA325"/>
    <mergeCell ref="AA1:AA2"/>
    <mergeCell ref="AA282:AA283"/>
    <mergeCell ref="AA288:AA289"/>
    <mergeCell ref="AA294:AA295"/>
    <mergeCell ref="AA300:AA301"/>
  </mergeCells>
  <phoneticPr fontId="1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E611D-0747-4711-A0B4-CB2A65CD428E}">
  <dimension ref="A1"/>
  <sheetViews>
    <sheetView workbookViewId="0">
      <selection sqref="A1:C22"/>
    </sheetView>
  </sheetViews>
  <sheetFormatPr defaultRowHeight="14.15" x14ac:dyDescent="0.3"/>
  <sheetData/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633"/>
  <sheetViews>
    <sheetView workbookViewId="0">
      <selection activeCell="M10" sqref="M10"/>
    </sheetView>
  </sheetViews>
  <sheetFormatPr defaultColWidth="9" defaultRowHeight="14.15" x14ac:dyDescent="0.3"/>
  <cols>
    <col min="1" max="1" width="14"/>
    <col min="2" max="2" width="15.921875" style="13"/>
    <col min="11" max="11" width="13.53515625" customWidth="1"/>
    <col min="12" max="12" width="8.69140625"/>
    <col min="13" max="13" width="9.53515625"/>
    <col min="14" max="14" width="13.4609375" customWidth="1"/>
    <col min="15" max="15" width="15.3828125" customWidth="1"/>
    <col min="16" max="16" width="12" style="13" customWidth="1"/>
  </cols>
  <sheetData>
    <row r="1" spans="1:16" x14ac:dyDescent="0.3">
      <c r="A1" t="s">
        <v>586</v>
      </c>
      <c r="B1" s="13" t="s">
        <v>587</v>
      </c>
      <c r="K1" t="s">
        <v>586</v>
      </c>
      <c r="L1" t="s">
        <v>588</v>
      </c>
      <c r="M1" t="s">
        <v>589</v>
      </c>
      <c r="N1" t="s">
        <v>590</v>
      </c>
      <c r="O1" t="s">
        <v>591</v>
      </c>
      <c r="P1" s="13" t="s">
        <v>592</v>
      </c>
    </row>
    <row r="2" spans="1:16" x14ac:dyDescent="0.3">
      <c r="A2" t="s">
        <v>231</v>
      </c>
      <c r="B2" s="13">
        <v>1.8156195356170299</v>
      </c>
      <c r="K2" s="14" t="s">
        <v>231</v>
      </c>
      <c r="L2">
        <v>301.22000000000003</v>
      </c>
      <c r="M2">
        <v>184.65710000000001</v>
      </c>
      <c r="N2">
        <v>80.099999999999994</v>
      </c>
      <c r="O2">
        <v>279.08</v>
      </c>
      <c r="P2" s="13">
        <v>1.8156195356170299</v>
      </c>
    </row>
    <row r="3" spans="1:16" x14ac:dyDescent="0.3">
      <c r="A3" t="s">
        <v>357</v>
      </c>
      <c r="B3" s="13">
        <v>2.8328548048678601</v>
      </c>
      <c r="K3" s="14" t="s">
        <v>357</v>
      </c>
      <c r="L3">
        <v>300.77999999999997</v>
      </c>
      <c r="M3">
        <v>265.38200000000001</v>
      </c>
      <c r="N3">
        <v>700.22</v>
      </c>
      <c r="O3">
        <v>281.23</v>
      </c>
      <c r="P3" s="13">
        <v>2.6605241261600798</v>
      </c>
    </row>
    <row r="4" spans="1:16" x14ac:dyDescent="0.3">
      <c r="A4" t="s">
        <v>363</v>
      </c>
      <c r="B4" s="13">
        <v>1.8379556394041401</v>
      </c>
      <c r="K4" s="14" t="s">
        <v>357</v>
      </c>
      <c r="L4">
        <v>300.77999999999997</v>
      </c>
      <c r="M4">
        <v>311.846</v>
      </c>
      <c r="N4">
        <v>800</v>
      </c>
      <c r="O4">
        <v>273.07</v>
      </c>
      <c r="P4" s="13">
        <v>3.00518548357564</v>
      </c>
    </row>
    <row r="5" spans="1:16" x14ac:dyDescent="0.3">
      <c r="A5" t="s">
        <v>372</v>
      </c>
      <c r="B5" s="13">
        <v>2.0161054184321099</v>
      </c>
      <c r="K5" s="14" t="s">
        <v>363</v>
      </c>
      <c r="L5">
        <v>300.35000000000002</v>
      </c>
      <c r="M5">
        <v>115.81310000000001</v>
      </c>
      <c r="N5">
        <v>250.01</v>
      </c>
      <c r="O5">
        <v>282.83</v>
      </c>
      <c r="P5" s="13">
        <v>1.7012541102429</v>
      </c>
    </row>
    <row r="6" spans="1:16" x14ac:dyDescent="0.3">
      <c r="A6" t="s">
        <v>375</v>
      </c>
      <c r="B6" s="13">
        <v>2.1633804747085801</v>
      </c>
      <c r="K6" s="14" t="s">
        <v>363</v>
      </c>
      <c r="L6">
        <v>300.77999999999997</v>
      </c>
      <c r="M6">
        <v>94.039400000000001</v>
      </c>
      <c r="N6">
        <v>400.11</v>
      </c>
      <c r="O6">
        <v>277.08</v>
      </c>
      <c r="P6" s="13">
        <v>1.8003753428612701</v>
      </c>
    </row>
    <row r="7" spans="1:16" x14ac:dyDescent="0.3">
      <c r="A7" t="s">
        <v>387</v>
      </c>
      <c r="B7" s="13">
        <v>2.12633450389096</v>
      </c>
      <c r="K7" s="14" t="s">
        <v>363</v>
      </c>
      <c r="L7">
        <v>300.77999999999997</v>
      </c>
      <c r="M7">
        <v>139.75700000000001</v>
      </c>
      <c r="N7">
        <v>290.2</v>
      </c>
      <c r="O7">
        <v>278.14</v>
      </c>
      <c r="P7" s="13">
        <v>1.8551412957503399</v>
      </c>
    </row>
    <row r="8" spans="1:16" x14ac:dyDescent="0.3">
      <c r="A8" t="s">
        <v>389</v>
      </c>
      <c r="B8" s="13">
        <v>2.05765787652247</v>
      </c>
      <c r="K8" s="14" t="s">
        <v>363</v>
      </c>
      <c r="L8">
        <v>300.35000000000002</v>
      </c>
      <c r="M8">
        <v>148.78039999999999</v>
      </c>
      <c r="N8">
        <v>383.11</v>
      </c>
      <c r="O8">
        <v>275.05</v>
      </c>
      <c r="P8" s="13">
        <v>1.9950518087620399</v>
      </c>
    </row>
    <row r="9" spans="1:16" x14ac:dyDescent="0.3">
      <c r="A9" t="s">
        <v>391</v>
      </c>
      <c r="B9" s="13">
        <v>1.9493023068147199</v>
      </c>
      <c r="K9" s="14" t="s">
        <v>372</v>
      </c>
      <c r="L9">
        <v>300.35000000000002</v>
      </c>
      <c r="M9">
        <v>103.29859999999999</v>
      </c>
      <c r="N9">
        <v>350.1</v>
      </c>
      <c r="O9">
        <v>270.45999999999998</v>
      </c>
      <c r="P9" s="13">
        <v>1.82901205353842</v>
      </c>
    </row>
    <row r="10" spans="1:16" x14ac:dyDescent="0.3">
      <c r="A10" t="s">
        <v>393</v>
      </c>
      <c r="B10" s="13">
        <v>1.96401053281692</v>
      </c>
      <c r="K10" s="14" t="s">
        <v>372</v>
      </c>
      <c r="L10">
        <v>300.77999999999997</v>
      </c>
      <c r="M10">
        <v>197.8038</v>
      </c>
      <c r="N10">
        <v>340.3</v>
      </c>
      <c r="O10">
        <v>285.76</v>
      </c>
      <c r="P10" s="13">
        <v>2.05438759798432</v>
      </c>
    </row>
    <row r="11" spans="1:16" x14ac:dyDescent="0.3">
      <c r="A11" t="s">
        <v>408</v>
      </c>
      <c r="B11" s="13">
        <v>1.69899879432748</v>
      </c>
      <c r="K11" s="14" t="s">
        <v>372</v>
      </c>
      <c r="L11">
        <v>300.35000000000002</v>
      </c>
      <c r="M11">
        <v>195.2749</v>
      </c>
      <c r="N11">
        <v>300.3</v>
      </c>
      <c r="O11">
        <v>265</v>
      </c>
      <c r="P11" s="13">
        <v>2.1649166037735799</v>
      </c>
    </row>
    <row r="12" spans="1:16" x14ac:dyDescent="0.3">
      <c r="A12" t="s">
        <v>400</v>
      </c>
      <c r="B12" s="13">
        <v>2.16747215367712</v>
      </c>
      <c r="K12" s="14" t="s">
        <v>375</v>
      </c>
      <c r="L12">
        <v>300.35000000000002</v>
      </c>
      <c r="M12">
        <v>149.8828</v>
      </c>
      <c r="N12">
        <v>338.11</v>
      </c>
      <c r="O12">
        <v>275.33999999999997</v>
      </c>
      <c r="P12" s="13">
        <v>1.9544613931866099</v>
      </c>
    </row>
    <row r="13" spans="1:16" x14ac:dyDescent="0.3">
      <c r="A13" t="s">
        <v>402</v>
      </c>
      <c r="B13" s="13">
        <v>2.0394424339300299</v>
      </c>
      <c r="K13" s="14" t="s">
        <v>375</v>
      </c>
      <c r="L13">
        <v>300.35000000000002</v>
      </c>
      <c r="M13">
        <v>206.01849999999999</v>
      </c>
      <c r="N13">
        <v>330.1</v>
      </c>
      <c r="O13">
        <v>269.60000000000002</v>
      </c>
      <c r="P13" s="13">
        <v>2.19656713649852</v>
      </c>
    </row>
    <row r="14" spans="1:16" x14ac:dyDescent="0.3">
      <c r="A14" t="s">
        <v>403</v>
      </c>
      <c r="B14" s="13">
        <v>2.0409320146624501</v>
      </c>
      <c r="K14" s="14" t="s">
        <v>375</v>
      </c>
      <c r="L14">
        <v>300.77999999999997</v>
      </c>
      <c r="M14">
        <v>314.50229999999999</v>
      </c>
      <c r="N14">
        <v>111.1</v>
      </c>
      <c r="O14">
        <v>275.39</v>
      </c>
      <c r="P14" s="13">
        <v>2.3391128944406101</v>
      </c>
    </row>
    <row r="15" spans="1:16" x14ac:dyDescent="0.3">
      <c r="A15" t="s">
        <v>405</v>
      </c>
      <c r="B15" s="13">
        <v>2.04177525996236</v>
      </c>
      <c r="K15" s="14" t="s">
        <v>387</v>
      </c>
      <c r="L15">
        <v>300.77999999999997</v>
      </c>
      <c r="M15">
        <v>104.2752</v>
      </c>
      <c r="N15">
        <v>350.2</v>
      </c>
      <c r="O15">
        <v>281.12</v>
      </c>
      <c r="P15" s="13">
        <v>1.7647524188958399</v>
      </c>
    </row>
    <row r="16" spans="1:16" x14ac:dyDescent="0.3">
      <c r="A16" t="s">
        <v>415</v>
      </c>
      <c r="B16" s="13">
        <v>2.0644396157353402</v>
      </c>
      <c r="K16" s="14" t="s">
        <v>387</v>
      </c>
      <c r="L16">
        <v>300.77999999999997</v>
      </c>
      <c r="M16">
        <v>143.66319999999999</v>
      </c>
      <c r="N16">
        <v>210.2</v>
      </c>
      <c r="O16">
        <v>270</v>
      </c>
      <c r="P16" s="13">
        <v>1.8485007407407399</v>
      </c>
    </row>
    <row r="17" spans="1:16" x14ac:dyDescent="0.3">
      <c r="A17" t="s">
        <v>417</v>
      </c>
      <c r="B17" s="13">
        <v>2.0581291635659298</v>
      </c>
      <c r="K17" s="14" t="s">
        <v>387</v>
      </c>
      <c r="L17">
        <v>300.77999999999997</v>
      </c>
      <c r="M17">
        <v>183.3912</v>
      </c>
      <c r="N17">
        <v>150.1</v>
      </c>
      <c r="O17">
        <v>274.22000000000003</v>
      </c>
      <c r="P17" s="13">
        <v>1.90794690394574</v>
      </c>
    </row>
    <row r="18" spans="1:16" x14ac:dyDescent="0.3">
      <c r="A18" t="s">
        <v>522</v>
      </c>
      <c r="B18" s="13">
        <v>1.3273960148219099</v>
      </c>
      <c r="K18" s="14" t="s">
        <v>387</v>
      </c>
      <c r="L18">
        <v>300.77999999999997</v>
      </c>
      <c r="M18">
        <v>154.65710000000001</v>
      </c>
      <c r="N18">
        <v>390.11</v>
      </c>
      <c r="O18">
        <v>287.8</v>
      </c>
      <c r="P18" s="13">
        <v>1.9349051424600401</v>
      </c>
    </row>
    <row r="19" spans="1:16" x14ac:dyDescent="0.3">
      <c r="A19" t="s">
        <v>66</v>
      </c>
      <c r="B19" s="13">
        <v>1.43200191897628</v>
      </c>
      <c r="K19" s="14" t="s">
        <v>387</v>
      </c>
      <c r="L19">
        <v>308.58999999999997</v>
      </c>
      <c r="M19">
        <v>106.2283</v>
      </c>
      <c r="N19">
        <v>420.01</v>
      </c>
      <c r="O19">
        <v>270.48</v>
      </c>
      <c r="P19" s="13">
        <v>1.9373739278319999</v>
      </c>
    </row>
    <row r="20" spans="1:16" x14ac:dyDescent="0.3">
      <c r="A20" t="s">
        <v>68</v>
      </c>
      <c r="B20" s="13">
        <v>1.4091815256509701</v>
      </c>
      <c r="K20" s="14" t="s">
        <v>387</v>
      </c>
      <c r="L20">
        <v>292.97000000000003</v>
      </c>
      <c r="M20">
        <v>133.89760000000001</v>
      </c>
      <c r="N20">
        <v>372.1</v>
      </c>
      <c r="O20">
        <v>270</v>
      </c>
      <c r="P20" s="13">
        <v>1.9393096296296299</v>
      </c>
    </row>
    <row r="21" spans="1:16" x14ac:dyDescent="0.3">
      <c r="A21" t="s">
        <v>70</v>
      </c>
      <c r="B21" s="13">
        <v>1.54045227077714</v>
      </c>
      <c r="K21" s="14" t="s">
        <v>387</v>
      </c>
      <c r="L21">
        <v>308.16000000000003</v>
      </c>
      <c r="M21">
        <v>196.6103</v>
      </c>
      <c r="N21">
        <v>230.2</v>
      </c>
      <c r="O21">
        <v>287.47000000000003</v>
      </c>
      <c r="P21" s="13">
        <v>1.9641086026368</v>
      </c>
    </row>
    <row r="22" spans="1:16" x14ac:dyDescent="0.3">
      <c r="A22" t="s">
        <v>209</v>
      </c>
      <c r="B22" s="13">
        <v>1.31813235080755</v>
      </c>
      <c r="K22" s="14" t="s">
        <v>387</v>
      </c>
      <c r="L22">
        <v>300.35000000000002</v>
      </c>
      <c r="M22">
        <v>132.8125</v>
      </c>
      <c r="N22">
        <v>350.1</v>
      </c>
      <c r="O22">
        <v>265.3</v>
      </c>
      <c r="P22" s="13">
        <v>1.9758330192235201</v>
      </c>
    </row>
    <row r="23" spans="1:16" x14ac:dyDescent="0.3">
      <c r="A23" t="s">
        <v>211</v>
      </c>
      <c r="B23" s="13">
        <v>1.33897634381913</v>
      </c>
      <c r="K23" s="14" t="s">
        <v>387</v>
      </c>
      <c r="L23">
        <v>300.77999999999997</v>
      </c>
      <c r="M23">
        <v>196.71879999999999</v>
      </c>
      <c r="N23">
        <v>250.2</v>
      </c>
      <c r="O23">
        <v>276.23</v>
      </c>
      <c r="P23" s="13">
        <v>2.0365304275422602</v>
      </c>
    </row>
    <row r="24" spans="1:16" x14ac:dyDescent="0.3">
      <c r="A24" t="s">
        <v>212</v>
      </c>
      <c r="B24" s="13">
        <v>1.40380370176341</v>
      </c>
      <c r="K24" s="14" t="s">
        <v>387</v>
      </c>
      <c r="L24">
        <v>308.58999999999997</v>
      </c>
      <c r="M24">
        <v>131.72739999999999</v>
      </c>
      <c r="N24">
        <v>500.1</v>
      </c>
      <c r="O24">
        <v>278.85000000000002</v>
      </c>
      <c r="P24" s="13">
        <v>2.0453412228796801</v>
      </c>
    </row>
    <row r="25" spans="1:16" x14ac:dyDescent="0.3">
      <c r="A25" t="s">
        <v>226</v>
      </c>
      <c r="B25" s="13">
        <v>1.8013959116360601</v>
      </c>
      <c r="K25" s="14" t="s">
        <v>387</v>
      </c>
      <c r="L25">
        <v>301.22000000000003</v>
      </c>
      <c r="M25">
        <v>114.2752</v>
      </c>
      <c r="N25">
        <v>620.11</v>
      </c>
      <c r="O25">
        <v>281.70999999999998</v>
      </c>
      <c r="P25" s="13">
        <v>2.04722516062618</v>
      </c>
    </row>
    <row r="26" spans="1:16" x14ac:dyDescent="0.3">
      <c r="A26" t="s">
        <v>228</v>
      </c>
      <c r="B26" s="13">
        <v>1.64963165572575</v>
      </c>
      <c r="K26" s="14" t="s">
        <v>387</v>
      </c>
      <c r="L26">
        <v>300.35000000000002</v>
      </c>
      <c r="M26">
        <v>192.8169</v>
      </c>
      <c r="N26">
        <v>350.1</v>
      </c>
      <c r="O26">
        <v>284.86</v>
      </c>
      <c r="P26" s="13">
        <v>2.0508070631187199</v>
      </c>
    </row>
    <row r="27" spans="1:16" x14ac:dyDescent="0.3">
      <c r="A27" t="s">
        <v>230</v>
      </c>
      <c r="B27" s="13">
        <v>2.2570315384313302</v>
      </c>
      <c r="K27" s="14" t="s">
        <v>387</v>
      </c>
      <c r="L27">
        <v>300.77999999999997</v>
      </c>
      <c r="M27">
        <v>194.8785</v>
      </c>
      <c r="N27">
        <v>261.2</v>
      </c>
      <c r="O27">
        <v>273.06</v>
      </c>
      <c r="P27" s="13">
        <v>2.0639071998828098</v>
      </c>
    </row>
    <row r="28" spans="1:16" x14ac:dyDescent="0.3">
      <c r="A28" t="s">
        <v>525</v>
      </c>
      <c r="B28" s="13">
        <v>1.44909032034209</v>
      </c>
      <c r="K28" s="14" t="s">
        <v>387</v>
      </c>
      <c r="L28">
        <v>308.16000000000003</v>
      </c>
      <c r="M28">
        <v>224.40539999999999</v>
      </c>
      <c r="N28">
        <v>266.10000000000002</v>
      </c>
      <c r="O28">
        <v>288.87</v>
      </c>
      <c r="P28" s="13">
        <v>2.0831218195035799</v>
      </c>
    </row>
    <row r="29" spans="1:16" x14ac:dyDescent="0.3">
      <c r="A29" t="s">
        <v>528</v>
      </c>
      <c r="B29" s="13">
        <v>1.7393148916744801</v>
      </c>
      <c r="K29" s="14" t="s">
        <v>387</v>
      </c>
      <c r="L29">
        <v>300.77999999999997</v>
      </c>
      <c r="M29">
        <v>200.625</v>
      </c>
      <c r="N29">
        <v>280.10000000000002</v>
      </c>
      <c r="O29">
        <v>269.89999999999998</v>
      </c>
      <c r="P29" s="13">
        <v>2.1275694701741399</v>
      </c>
    </row>
    <row r="30" spans="1:16" x14ac:dyDescent="0.3">
      <c r="A30" t="s">
        <v>529</v>
      </c>
      <c r="B30" s="13">
        <v>1.8663081330273299</v>
      </c>
      <c r="K30" s="14" t="s">
        <v>387</v>
      </c>
      <c r="L30">
        <v>308.58999999999997</v>
      </c>
      <c r="M30">
        <v>177.9659</v>
      </c>
      <c r="N30">
        <v>290.10000000000002</v>
      </c>
      <c r="O30">
        <v>262.97000000000003</v>
      </c>
      <c r="P30" s="13">
        <v>2.1370570787542298</v>
      </c>
    </row>
    <row r="31" spans="1:16" x14ac:dyDescent="0.3">
      <c r="A31" t="s">
        <v>29</v>
      </c>
      <c r="B31" s="13">
        <v>1.26061942129964</v>
      </c>
      <c r="K31" s="14" t="s">
        <v>387</v>
      </c>
      <c r="L31">
        <v>308.16000000000003</v>
      </c>
      <c r="M31">
        <v>173.57060000000001</v>
      </c>
      <c r="N31">
        <v>530.11</v>
      </c>
      <c r="O31">
        <v>273.08</v>
      </c>
      <c r="P31" s="13">
        <v>2.2687827742786002</v>
      </c>
    </row>
    <row r="32" spans="1:16" x14ac:dyDescent="0.3">
      <c r="A32" t="s">
        <v>471</v>
      </c>
      <c r="B32" s="13">
        <v>1.53872872834192</v>
      </c>
      <c r="K32" s="14" t="s">
        <v>387</v>
      </c>
      <c r="L32">
        <v>308.58999999999997</v>
      </c>
      <c r="M32">
        <v>273.35939999999999</v>
      </c>
      <c r="N32">
        <v>505.1</v>
      </c>
      <c r="O32">
        <v>290.01</v>
      </c>
      <c r="P32" s="13">
        <v>2.4594855349815501</v>
      </c>
    </row>
    <row r="33" spans="1:16" x14ac:dyDescent="0.3">
      <c r="A33" t="s">
        <v>350</v>
      </c>
      <c r="B33" s="13">
        <v>1.86250812104237</v>
      </c>
      <c r="K33" s="14" t="s">
        <v>387</v>
      </c>
      <c r="L33">
        <v>308.16000000000003</v>
      </c>
      <c r="M33">
        <v>305.2604</v>
      </c>
      <c r="N33">
        <v>520.29999999999995</v>
      </c>
      <c r="O33">
        <v>273.61</v>
      </c>
      <c r="P33" s="13">
        <v>2.7363707466832401</v>
      </c>
    </row>
    <row r="34" spans="1:16" x14ac:dyDescent="0.3">
      <c r="A34" t="s">
        <v>493</v>
      </c>
      <c r="B34" s="13">
        <v>1.6898754800406099</v>
      </c>
      <c r="K34" s="14" t="s">
        <v>387</v>
      </c>
      <c r="L34">
        <v>601.55999999999995</v>
      </c>
      <c r="M34">
        <v>148.8339</v>
      </c>
      <c r="N34">
        <v>550.11</v>
      </c>
      <c r="O34">
        <v>279.39</v>
      </c>
      <c r="P34" s="13">
        <v>3.1977611940298498</v>
      </c>
    </row>
    <row r="35" spans="1:16" x14ac:dyDescent="0.3">
      <c r="A35" t="s">
        <v>419</v>
      </c>
      <c r="B35" s="13">
        <v>1.36133922185441</v>
      </c>
      <c r="K35" s="14" t="s">
        <v>389</v>
      </c>
      <c r="L35">
        <v>300.77999999999997</v>
      </c>
      <c r="M35">
        <v>106.1198</v>
      </c>
      <c r="N35">
        <v>268.2</v>
      </c>
      <c r="O35">
        <v>281.17</v>
      </c>
      <c r="P35" s="13">
        <v>1.6951730269943499</v>
      </c>
    </row>
    <row r="36" spans="1:16" x14ac:dyDescent="0.3">
      <c r="A36" t="s">
        <v>421</v>
      </c>
      <c r="B36" s="13">
        <v>1.36076736119436</v>
      </c>
      <c r="K36" s="14" t="s">
        <v>389</v>
      </c>
      <c r="L36">
        <v>308.58999999999997</v>
      </c>
      <c r="M36">
        <v>143.01220000000001</v>
      </c>
      <c r="N36">
        <v>265.10000000000002</v>
      </c>
      <c r="O36">
        <v>283.12</v>
      </c>
      <c r="P36" s="13">
        <v>1.8385426674201799</v>
      </c>
    </row>
    <row r="37" spans="1:16" x14ac:dyDescent="0.3">
      <c r="A37" t="s">
        <v>429</v>
      </c>
      <c r="B37" s="13">
        <v>1.3827411403987799</v>
      </c>
      <c r="K37" s="14" t="s">
        <v>389</v>
      </c>
      <c r="L37">
        <v>307.73</v>
      </c>
      <c r="M37">
        <v>133.6806</v>
      </c>
      <c r="N37">
        <v>405.01</v>
      </c>
      <c r="O37">
        <v>291.20999999999998</v>
      </c>
      <c r="P37" s="13">
        <v>1.8773847051955601</v>
      </c>
    </row>
    <row r="38" spans="1:16" x14ac:dyDescent="0.3">
      <c r="A38" t="s">
        <v>432</v>
      </c>
      <c r="B38" s="13">
        <v>2.11367690930788</v>
      </c>
      <c r="K38" s="14" t="s">
        <v>389</v>
      </c>
      <c r="L38">
        <v>308.16000000000003</v>
      </c>
      <c r="M38">
        <v>147.56950000000001</v>
      </c>
      <c r="N38">
        <v>355.2</v>
      </c>
      <c r="O38">
        <v>287.97000000000003</v>
      </c>
      <c r="P38" s="13">
        <v>1.90325902003681</v>
      </c>
    </row>
    <row r="39" spans="1:16" x14ac:dyDescent="0.3">
      <c r="A39" t="s">
        <v>94</v>
      </c>
      <c r="B39" s="13">
        <v>2.8450492575671</v>
      </c>
      <c r="K39" s="14" t="s">
        <v>389</v>
      </c>
      <c r="L39">
        <v>308.16000000000003</v>
      </c>
      <c r="M39">
        <v>143.40710000000001</v>
      </c>
      <c r="N39">
        <v>420.2</v>
      </c>
      <c r="O39">
        <v>280.85000000000002</v>
      </c>
      <c r="P39" s="13">
        <v>1.99686345024034</v>
      </c>
    </row>
    <row r="40" spans="1:16" x14ac:dyDescent="0.3">
      <c r="A40" t="s">
        <v>504</v>
      </c>
      <c r="B40" s="13">
        <v>1.79456212416205</v>
      </c>
      <c r="K40" s="14" t="s">
        <v>389</v>
      </c>
      <c r="L40">
        <v>300.77999999999997</v>
      </c>
      <c r="M40">
        <v>177.40889999999999</v>
      </c>
      <c r="N40">
        <v>289.10000000000002</v>
      </c>
      <c r="O40">
        <v>276.82</v>
      </c>
      <c r="P40" s="13">
        <v>1.9989700888664099</v>
      </c>
    </row>
    <row r="41" spans="1:16" x14ac:dyDescent="0.3">
      <c r="A41" t="s">
        <v>506</v>
      </c>
      <c r="B41" s="13">
        <v>1.75925090763951</v>
      </c>
      <c r="K41" s="14" t="s">
        <v>389</v>
      </c>
      <c r="L41">
        <v>300.35000000000002</v>
      </c>
      <c r="M41">
        <v>172.8125</v>
      </c>
      <c r="N41">
        <v>400.11</v>
      </c>
      <c r="O41">
        <v>275.95</v>
      </c>
      <c r="P41" s="13">
        <v>2.0916510237361798</v>
      </c>
    </row>
    <row r="42" spans="1:16" x14ac:dyDescent="0.3">
      <c r="A42" t="s">
        <v>508</v>
      </c>
      <c r="B42" s="13">
        <v>1.7962244263614899</v>
      </c>
      <c r="K42" s="14" t="s">
        <v>389</v>
      </c>
      <c r="L42">
        <v>308.58999999999997</v>
      </c>
      <c r="M42">
        <v>135.85069999999999</v>
      </c>
      <c r="N42">
        <v>600.02</v>
      </c>
      <c r="O42">
        <v>284.88</v>
      </c>
      <c r="P42" s="13">
        <v>2.1077151783207002</v>
      </c>
    </row>
    <row r="43" spans="1:16" x14ac:dyDescent="0.3">
      <c r="A43" t="s">
        <v>510</v>
      </c>
      <c r="B43" s="13">
        <v>1.7769937041305</v>
      </c>
      <c r="K43" s="14" t="s">
        <v>389</v>
      </c>
      <c r="L43">
        <v>308.58999999999997</v>
      </c>
      <c r="M43">
        <v>104.2752</v>
      </c>
      <c r="N43">
        <v>740.02</v>
      </c>
      <c r="O43">
        <v>284.02</v>
      </c>
      <c r="P43" s="13">
        <v>2.1310837264981299</v>
      </c>
    </row>
    <row r="44" spans="1:16" x14ac:dyDescent="0.3">
      <c r="A44" t="s">
        <v>512</v>
      </c>
      <c r="B44" s="13">
        <v>1.88575210000402</v>
      </c>
      <c r="K44" s="14" t="s">
        <v>389</v>
      </c>
      <c r="L44">
        <v>300.77999999999997</v>
      </c>
      <c r="M44">
        <v>197.04859999999999</v>
      </c>
      <c r="N44">
        <v>455.2</v>
      </c>
      <c r="O44">
        <v>281.11</v>
      </c>
      <c r="P44" s="13">
        <v>2.1919554622745498</v>
      </c>
    </row>
    <row r="45" spans="1:16" x14ac:dyDescent="0.3">
      <c r="A45" t="s">
        <v>514</v>
      </c>
      <c r="B45" s="13">
        <v>1.60857755152449</v>
      </c>
      <c r="K45" s="14" t="s">
        <v>389</v>
      </c>
      <c r="L45">
        <v>308.58999999999997</v>
      </c>
      <c r="M45">
        <v>202.18170000000001</v>
      </c>
      <c r="N45">
        <v>640.02</v>
      </c>
      <c r="O45">
        <v>293.52</v>
      </c>
      <c r="P45" s="13">
        <v>2.30708946579449</v>
      </c>
    </row>
    <row r="46" spans="1:16" x14ac:dyDescent="0.3">
      <c r="A46" t="s">
        <v>516</v>
      </c>
      <c r="B46" s="13">
        <v>1.9840013733700199</v>
      </c>
      <c r="K46" s="14" t="s">
        <v>389</v>
      </c>
      <c r="L46">
        <v>308.58999999999997</v>
      </c>
      <c r="M46">
        <v>152.01679999999999</v>
      </c>
      <c r="N46">
        <v>920.13</v>
      </c>
      <c r="O46">
        <v>274.20999999999998</v>
      </c>
      <c r="P46" s="13">
        <v>2.5522067028919402</v>
      </c>
    </row>
    <row r="47" spans="1:16" x14ac:dyDescent="0.3">
      <c r="A47" t="s">
        <v>518</v>
      </c>
      <c r="B47" s="13">
        <v>1.9479389748342499</v>
      </c>
      <c r="K47" s="14" t="s">
        <v>391</v>
      </c>
      <c r="L47">
        <v>300.77999999999997</v>
      </c>
      <c r="M47">
        <v>129.66579999999999</v>
      </c>
      <c r="N47">
        <v>226.1</v>
      </c>
      <c r="O47">
        <v>281.38</v>
      </c>
      <c r="P47" s="13">
        <v>1.7386871845902301</v>
      </c>
    </row>
    <row r="48" spans="1:16" x14ac:dyDescent="0.3">
      <c r="A48" t="s">
        <v>41</v>
      </c>
      <c r="B48" s="13">
        <v>1.20222580696115</v>
      </c>
      <c r="K48" s="14" t="s">
        <v>391</v>
      </c>
      <c r="L48">
        <v>300.77999999999997</v>
      </c>
      <c r="M48">
        <v>196.50460000000001</v>
      </c>
      <c r="N48">
        <v>70.099999999999994</v>
      </c>
      <c r="O48">
        <v>282.79000000000002</v>
      </c>
      <c r="P48" s="13">
        <v>1.8229449414760099</v>
      </c>
    </row>
    <row r="49" spans="1:16" x14ac:dyDescent="0.3">
      <c r="A49" t="s">
        <v>43</v>
      </c>
      <c r="B49" s="13">
        <v>1.1762267077631701</v>
      </c>
      <c r="K49" s="14" t="s">
        <v>391</v>
      </c>
      <c r="L49">
        <v>300.77999999999997</v>
      </c>
      <c r="M49">
        <v>137.6953</v>
      </c>
      <c r="N49">
        <v>373.7</v>
      </c>
      <c r="O49">
        <v>292.66000000000003</v>
      </c>
      <c r="P49" s="13">
        <v>1.8302374769356899</v>
      </c>
    </row>
    <row r="50" spans="1:16" x14ac:dyDescent="0.3">
      <c r="A50" t="s">
        <v>56</v>
      </c>
      <c r="B50" s="13">
        <v>1.3043909837672001</v>
      </c>
      <c r="K50" s="14" t="s">
        <v>391</v>
      </c>
      <c r="L50">
        <v>308.16000000000003</v>
      </c>
      <c r="M50">
        <v>188.04249999999999</v>
      </c>
      <c r="N50">
        <v>100.1</v>
      </c>
      <c r="O50">
        <v>281.74</v>
      </c>
      <c r="P50" s="13">
        <v>1.85358309079293</v>
      </c>
    </row>
    <row r="51" spans="1:16" x14ac:dyDescent="0.3">
      <c r="A51" t="s">
        <v>58</v>
      </c>
      <c r="B51" s="13">
        <v>1.2566435341461499</v>
      </c>
      <c r="K51" s="14" t="s">
        <v>391</v>
      </c>
      <c r="L51">
        <v>300.77999999999997</v>
      </c>
      <c r="M51">
        <v>150.35159999999999</v>
      </c>
      <c r="N51">
        <v>290.2</v>
      </c>
      <c r="O51">
        <v>282.83999999999997</v>
      </c>
      <c r="P51" s="13">
        <v>1.86177202658747</v>
      </c>
    </row>
    <row r="52" spans="1:16" x14ac:dyDescent="0.3">
      <c r="A52" t="s">
        <v>63</v>
      </c>
      <c r="B52" s="13">
        <v>1.1547190166786001</v>
      </c>
      <c r="K52" s="14" t="s">
        <v>391</v>
      </c>
      <c r="L52">
        <v>300.77999999999997</v>
      </c>
      <c r="M52">
        <v>182.83430000000001</v>
      </c>
      <c r="N52">
        <v>100.1</v>
      </c>
      <c r="O52">
        <v>270.2</v>
      </c>
      <c r="P52" s="13">
        <v>1.8861595114729801</v>
      </c>
    </row>
    <row r="53" spans="1:16" x14ac:dyDescent="0.3">
      <c r="A53" t="s">
        <v>60</v>
      </c>
      <c r="B53" s="13">
        <v>1.2553618365097301</v>
      </c>
      <c r="K53" s="14" t="s">
        <v>391</v>
      </c>
      <c r="L53">
        <v>301.22000000000003</v>
      </c>
      <c r="M53">
        <v>162.32640000000001</v>
      </c>
      <c r="N53">
        <v>255.1</v>
      </c>
      <c r="O53">
        <v>279.08999999999997</v>
      </c>
      <c r="P53" s="13">
        <v>1.8985717868787899</v>
      </c>
    </row>
    <row r="54" spans="1:16" x14ac:dyDescent="0.3">
      <c r="A54" t="s">
        <v>62</v>
      </c>
      <c r="B54" s="13">
        <v>1.2798339017640199</v>
      </c>
      <c r="K54" s="14" t="s">
        <v>391</v>
      </c>
      <c r="L54">
        <v>300.77999999999997</v>
      </c>
      <c r="M54">
        <v>137.69540000000001</v>
      </c>
      <c r="N54">
        <v>350.1</v>
      </c>
      <c r="O54">
        <v>277.10000000000002</v>
      </c>
      <c r="P54" s="13">
        <v>1.9108675568386899</v>
      </c>
    </row>
    <row r="55" spans="1:16" x14ac:dyDescent="0.3">
      <c r="A55" t="s">
        <v>45</v>
      </c>
      <c r="B55" s="13">
        <v>1.3187259864304599</v>
      </c>
      <c r="K55" s="14" t="s">
        <v>391</v>
      </c>
      <c r="L55">
        <v>300.35000000000002</v>
      </c>
      <c r="M55">
        <v>218.09899999999999</v>
      </c>
      <c r="N55">
        <v>200</v>
      </c>
      <c r="O55">
        <v>294.37</v>
      </c>
      <c r="P55" s="13">
        <v>1.9378639127628501</v>
      </c>
    </row>
    <row r="56" spans="1:16" x14ac:dyDescent="0.3">
      <c r="A56" t="s">
        <v>78</v>
      </c>
      <c r="B56" s="13">
        <v>0.225545744442711</v>
      </c>
      <c r="K56" s="14" t="s">
        <v>391</v>
      </c>
      <c r="L56">
        <v>300.77999999999997</v>
      </c>
      <c r="M56">
        <v>136.6103</v>
      </c>
      <c r="N56">
        <v>350.11</v>
      </c>
      <c r="O56">
        <v>271.60000000000002</v>
      </c>
      <c r="P56" s="13">
        <v>1.9455776877761399</v>
      </c>
    </row>
    <row r="57" spans="1:16" x14ac:dyDescent="0.3">
      <c r="A57" t="s">
        <v>353</v>
      </c>
      <c r="B57" s="13">
        <v>1.4764911126182101</v>
      </c>
      <c r="K57" s="14" t="s">
        <v>391</v>
      </c>
      <c r="L57">
        <v>300.77999999999997</v>
      </c>
      <c r="M57">
        <v>142.6866</v>
      </c>
      <c r="N57">
        <v>440.11</v>
      </c>
      <c r="O57">
        <v>285.07</v>
      </c>
      <c r="P57" s="13">
        <v>1.95704633949556</v>
      </c>
    </row>
    <row r="58" spans="1:16" x14ac:dyDescent="0.3">
      <c r="A58" t="s">
        <v>355</v>
      </c>
      <c r="B58" s="13">
        <v>1.51471781545926</v>
      </c>
      <c r="K58" s="14" t="s">
        <v>391</v>
      </c>
      <c r="L58">
        <v>308.16000000000003</v>
      </c>
      <c r="M58">
        <v>158.39840000000001</v>
      </c>
      <c r="N58">
        <v>250.1</v>
      </c>
      <c r="O58">
        <v>269.58</v>
      </c>
      <c r="P58" s="13">
        <v>1.97189850879145</v>
      </c>
    </row>
    <row r="59" spans="1:16" x14ac:dyDescent="0.3">
      <c r="A59" t="s">
        <v>336</v>
      </c>
      <c r="B59" s="13">
        <v>1.6225024934636201</v>
      </c>
      <c r="K59" s="14" t="s">
        <v>391</v>
      </c>
      <c r="L59">
        <v>301.22000000000003</v>
      </c>
      <c r="M59">
        <v>105.2517</v>
      </c>
      <c r="N59">
        <v>570.29999999999995</v>
      </c>
      <c r="O59">
        <v>280.54000000000002</v>
      </c>
      <c r="P59" s="13">
        <v>1.9774353033435501</v>
      </c>
    </row>
    <row r="60" spans="1:16" x14ac:dyDescent="0.3">
      <c r="A60" t="s">
        <v>338</v>
      </c>
      <c r="B60" s="13">
        <v>1.56790872710847</v>
      </c>
      <c r="K60" s="14" t="s">
        <v>391</v>
      </c>
      <c r="L60">
        <v>307.73</v>
      </c>
      <c r="M60">
        <v>170.02610000000001</v>
      </c>
      <c r="N60">
        <v>360</v>
      </c>
      <c r="O60">
        <v>288.31</v>
      </c>
      <c r="P60" s="13">
        <v>1.98174222191391</v>
      </c>
    </row>
    <row r="61" spans="1:16" x14ac:dyDescent="0.3">
      <c r="A61" t="s">
        <v>339</v>
      </c>
      <c r="B61" s="13">
        <v>1.6857285312271399</v>
      </c>
      <c r="K61" s="14" t="s">
        <v>391</v>
      </c>
      <c r="L61">
        <v>308.16000000000003</v>
      </c>
      <c r="M61">
        <v>218.91059999999999</v>
      </c>
      <c r="N61">
        <v>122.1</v>
      </c>
      <c r="O61">
        <v>280.56</v>
      </c>
      <c r="P61" s="13">
        <v>1.99178999144568</v>
      </c>
    </row>
    <row r="62" spans="1:16" x14ac:dyDescent="0.3">
      <c r="A62" t="s">
        <v>341</v>
      </c>
      <c r="B62" s="13">
        <v>1.84437138911967</v>
      </c>
      <c r="K62" s="14" t="s">
        <v>391</v>
      </c>
      <c r="L62">
        <v>308.16000000000003</v>
      </c>
      <c r="M62">
        <v>170.73349999999999</v>
      </c>
      <c r="N62">
        <v>362.31</v>
      </c>
      <c r="O62">
        <v>287.43</v>
      </c>
      <c r="P62" s="13">
        <v>1.9938562432592299</v>
      </c>
    </row>
    <row r="63" spans="1:16" x14ac:dyDescent="0.3">
      <c r="A63" t="s">
        <v>343</v>
      </c>
      <c r="B63" s="13">
        <v>1.67564984715565</v>
      </c>
      <c r="K63" s="14" t="s">
        <v>391</v>
      </c>
      <c r="L63">
        <v>300.77999999999997</v>
      </c>
      <c r="M63">
        <v>171.16749999999999</v>
      </c>
      <c r="N63">
        <v>350.11</v>
      </c>
      <c r="O63">
        <v>281.95999999999998</v>
      </c>
      <c r="P63" s="13">
        <v>1.9966523620371699</v>
      </c>
    </row>
    <row r="64" spans="1:16" x14ac:dyDescent="0.3">
      <c r="A64" t="s">
        <v>103</v>
      </c>
      <c r="B64" s="13">
        <v>1.4277684582087</v>
      </c>
      <c r="K64" s="14" t="s">
        <v>391</v>
      </c>
      <c r="L64">
        <v>308.16000000000003</v>
      </c>
      <c r="M64">
        <v>171.71010000000001</v>
      </c>
      <c r="N64">
        <v>500.11</v>
      </c>
      <c r="O64">
        <v>294.07</v>
      </c>
      <c r="P64" s="13">
        <v>2.07399156663379</v>
      </c>
    </row>
    <row r="65" spans="1:16" x14ac:dyDescent="0.3">
      <c r="A65" t="s">
        <v>105</v>
      </c>
      <c r="B65" s="13">
        <v>1.3656841648889999</v>
      </c>
      <c r="K65" s="14" t="s">
        <v>391</v>
      </c>
      <c r="L65">
        <v>300.77999999999997</v>
      </c>
      <c r="M65">
        <v>197.91669999999999</v>
      </c>
      <c r="N65">
        <v>288.10000000000002</v>
      </c>
      <c r="O65">
        <v>275.93</v>
      </c>
      <c r="P65" s="13">
        <v>2.07879788352118</v>
      </c>
    </row>
    <row r="66" spans="1:16" x14ac:dyDescent="0.3">
      <c r="A66" t="s">
        <v>145</v>
      </c>
      <c r="B66" s="13">
        <v>1.33966801444215</v>
      </c>
      <c r="K66" s="14" t="s">
        <v>391</v>
      </c>
      <c r="L66">
        <v>300.77999999999997</v>
      </c>
      <c r="M66">
        <v>159.9393</v>
      </c>
      <c r="N66">
        <v>450.01</v>
      </c>
      <c r="O66">
        <v>276.8</v>
      </c>
      <c r="P66" s="13">
        <v>2.08714559248555</v>
      </c>
    </row>
    <row r="67" spans="1:16" x14ac:dyDescent="0.3">
      <c r="A67" t="s">
        <v>107</v>
      </c>
      <c r="B67" s="13">
        <v>1.3446612685295001</v>
      </c>
      <c r="K67" s="14" t="s">
        <v>391</v>
      </c>
      <c r="L67">
        <v>308.58999999999997</v>
      </c>
      <c r="M67">
        <v>134.65710000000001</v>
      </c>
      <c r="N67">
        <v>700.12</v>
      </c>
      <c r="O67">
        <v>292.36</v>
      </c>
      <c r="P67" s="13">
        <v>2.1387272540703202</v>
      </c>
    </row>
    <row r="68" spans="1:16" x14ac:dyDescent="0.3">
      <c r="A68" t="s">
        <v>138</v>
      </c>
      <c r="B68" s="13">
        <v>1.52999615571829</v>
      </c>
      <c r="K68" s="14" t="s">
        <v>393</v>
      </c>
      <c r="L68">
        <v>300.77999999999997</v>
      </c>
      <c r="M68">
        <v>143.95259999999999</v>
      </c>
      <c r="N68">
        <v>111.1</v>
      </c>
      <c r="O68">
        <v>280.85000000000002</v>
      </c>
      <c r="P68" s="13">
        <v>1.68637564536229</v>
      </c>
    </row>
    <row r="69" spans="1:16" x14ac:dyDescent="0.3">
      <c r="A69" t="s">
        <v>135</v>
      </c>
      <c r="B69" s="13">
        <v>1.31652842759885</v>
      </c>
      <c r="K69" s="14" t="s">
        <v>393</v>
      </c>
      <c r="L69">
        <v>300.77999999999997</v>
      </c>
      <c r="M69">
        <v>124.783</v>
      </c>
      <c r="N69">
        <v>266.10000000000002</v>
      </c>
      <c r="O69">
        <v>290.93</v>
      </c>
      <c r="P69" s="13">
        <v>1.7005774584951701</v>
      </c>
    </row>
    <row r="70" spans="1:16" x14ac:dyDescent="0.3">
      <c r="A70" t="s">
        <v>122</v>
      </c>
      <c r="B70" s="13">
        <v>1.28872437570779</v>
      </c>
      <c r="K70" s="14" t="s">
        <v>393</v>
      </c>
      <c r="L70">
        <v>300.35000000000002</v>
      </c>
      <c r="M70">
        <v>134.98269999999999</v>
      </c>
      <c r="N70">
        <v>300.10000000000002</v>
      </c>
      <c r="O70">
        <v>285.72000000000003</v>
      </c>
      <c r="P70" s="13">
        <v>1.79671951560969</v>
      </c>
    </row>
    <row r="71" spans="1:16" x14ac:dyDescent="0.3">
      <c r="A71" t="s">
        <v>123</v>
      </c>
      <c r="B71" s="13">
        <v>1.3688677399801601</v>
      </c>
      <c r="K71" s="14" t="s">
        <v>393</v>
      </c>
      <c r="L71">
        <v>308.16000000000003</v>
      </c>
      <c r="M71">
        <v>142.6302</v>
      </c>
      <c r="N71">
        <v>257.2</v>
      </c>
      <c r="O71">
        <v>277.95</v>
      </c>
      <c r="P71" s="13">
        <v>1.8624292138873899</v>
      </c>
    </row>
    <row r="72" spans="1:16" x14ac:dyDescent="0.3">
      <c r="A72" t="s">
        <v>110</v>
      </c>
      <c r="B72" s="13">
        <v>1.34080911647249</v>
      </c>
      <c r="K72" s="14" t="s">
        <v>393</v>
      </c>
      <c r="L72">
        <v>308.16000000000003</v>
      </c>
      <c r="M72">
        <v>152.08770000000001</v>
      </c>
      <c r="N72">
        <v>340</v>
      </c>
      <c r="O72">
        <v>289.37</v>
      </c>
      <c r="P72" s="13">
        <v>1.89600753360749</v>
      </c>
    </row>
    <row r="73" spans="1:16" x14ac:dyDescent="0.3">
      <c r="A73" t="s">
        <v>112</v>
      </c>
      <c r="B73" s="13">
        <v>1.35534144189313</v>
      </c>
      <c r="K73" s="14" t="s">
        <v>393</v>
      </c>
      <c r="L73">
        <v>300.77999999999997</v>
      </c>
      <c r="M73">
        <v>158.85419999999999</v>
      </c>
      <c r="N73">
        <v>330.1</v>
      </c>
      <c r="O73">
        <v>283.14</v>
      </c>
      <c r="P73" s="13">
        <v>1.92646817828636</v>
      </c>
    </row>
    <row r="74" spans="1:16" x14ac:dyDescent="0.3">
      <c r="A74" t="s">
        <v>113</v>
      </c>
      <c r="B74" s="13">
        <v>1.3861706334359001</v>
      </c>
      <c r="K74" s="14" t="s">
        <v>393</v>
      </c>
      <c r="L74">
        <v>300.77999999999997</v>
      </c>
      <c r="M74">
        <v>134.76560000000001</v>
      </c>
      <c r="N74">
        <v>450.11</v>
      </c>
      <c r="O74">
        <v>280.86</v>
      </c>
      <c r="P74" s="13">
        <v>1.9674364452040201</v>
      </c>
    </row>
    <row r="75" spans="1:16" x14ac:dyDescent="0.3">
      <c r="A75" t="s">
        <v>115</v>
      </c>
      <c r="B75" s="13">
        <v>1.3391827255208999</v>
      </c>
      <c r="K75" s="14" t="s">
        <v>393</v>
      </c>
      <c r="L75">
        <v>308.16000000000003</v>
      </c>
      <c r="M75">
        <v>181.71010000000001</v>
      </c>
      <c r="N75">
        <v>390.11</v>
      </c>
      <c r="O75">
        <v>297.43</v>
      </c>
      <c r="P75" s="13">
        <v>1.9880264263860401</v>
      </c>
    </row>
    <row r="76" spans="1:16" x14ac:dyDescent="0.3">
      <c r="A76" t="s">
        <v>117</v>
      </c>
      <c r="B76" s="13">
        <v>1.30304976893941</v>
      </c>
      <c r="K76" s="14" t="s">
        <v>393</v>
      </c>
      <c r="L76">
        <v>308.58999999999997</v>
      </c>
      <c r="M76">
        <v>135.52520000000001</v>
      </c>
      <c r="N76">
        <v>450.01</v>
      </c>
      <c r="O76">
        <v>277.35000000000002</v>
      </c>
      <c r="P76" s="13">
        <v>2.0231397151613502</v>
      </c>
    </row>
    <row r="77" spans="1:16" x14ac:dyDescent="0.3">
      <c r="A77" t="s">
        <v>118</v>
      </c>
      <c r="B77" s="13">
        <v>1.36937615288128</v>
      </c>
      <c r="K77" s="14" t="s">
        <v>393</v>
      </c>
      <c r="L77">
        <v>300.77999999999997</v>
      </c>
      <c r="M77">
        <v>146.8099</v>
      </c>
      <c r="N77">
        <v>580.11</v>
      </c>
      <c r="O77">
        <v>290.62</v>
      </c>
      <c r="P77" s="13">
        <v>2.0591098341476801</v>
      </c>
    </row>
    <row r="78" spans="1:16" x14ac:dyDescent="0.3">
      <c r="A78" t="s">
        <v>127</v>
      </c>
      <c r="B78" s="13">
        <v>1.76751789876439</v>
      </c>
      <c r="K78" s="14" t="s">
        <v>393</v>
      </c>
      <c r="L78">
        <v>307.73</v>
      </c>
      <c r="M78">
        <v>181.27610000000001</v>
      </c>
      <c r="N78">
        <v>480.01</v>
      </c>
      <c r="O78">
        <v>286.57</v>
      </c>
      <c r="P78" s="13">
        <v>2.1419154133370601</v>
      </c>
    </row>
    <row r="79" spans="1:16" x14ac:dyDescent="0.3">
      <c r="A79" t="s">
        <v>155</v>
      </c>
      <c r="B79" s="13">
        <v>1.0926789822237699</v>
      </c>
      <c r="K79" s="14" t="s">
        <v>393</v>
      </c>
      <c r="L79">
        <v>308.58999999999997</v>
      </c>
      <c r="M79">
        <v>271.846</v>
      </c>
      <c r="N79">
        <v>100.1</v>
      </c>
      <c r="O79">
        <v>278.52999999999997</v>
      </c>
      <c r="P79" s="13">
        <v>2.1773668904606298</v>
      </c>
    </row>
    <row r="80" spans="1:16" x14ac:dyDescent="0.3">
      <c r="A80" t="s">
        <v>156</v>
      </c>
      <c r="B80" s="13">
        <v>1.3275423546278999</v>
      </c>
      <c r="K80" s="14" t="s">
        <v>393</v>
      </c>
      <c r="L80">
        <v>308.58999999999997</v>
      </c>
      <c r="M80">
        <v>184.13480000000001</v>
      </c>
      <c r="N80">
        <v>650.11</v>
      </c>
      <c r="O80">
        <v>286.89999999999998</v>
      </c>
      <c r="P80" s="13">
        <v>2.3065646566748002</v>
      </c>
    </row>
    <row r="81" spans="1:16" x14ac:dyDescent="0.3">
      <c r="A81" t="s">
        <v>207</v>
      </c>
      <c r="B81" s="13">
        <v>1.3566108007361899</v>
      </c>
      <c r="K81" s="14" t="s">
        <v>408</v>
      </c>
      <c r="L81">
        <v>300.35000000000002</v>
      </c>
      <c r="M81">
        <v>136.13999999999999</v>
      </c>
      <c r="N81">
        <v>155.19999999999999</v>
      </c>
      <c r="O81">
        <v>289.45999999999998</v>
      </c>
      <c r="P81" s="13">
        <v>1.6473502383749099</v>
      </c>
    </row>
    <row r="82" spans="1:16" x14ac:dyDescent="0.3">
      <c r="A82" t="s">
        <v>158</v>
      </c>
      <c r="B82" s="13">
        <v>1.3508811360283699</v>
      </c>
      <c r="K82" s="14" t="s">
        <v>408</v>
      </c>
      <c r="L82">
        <v>300.77999999999997</v>
      </c>
      <c r="M82">
        <v>113.9323</v>
      </c>
      <c r="N82">
        <v>280.3</v>
      </c>
      <c r="O82">
        <v>278.52</v>
      </c>
      <c r="P82" s="13">
        <v>1.7506473502800499</v>
      </c>
    </row>
    <row r="83" spans="1:16" x14ac:dyDescent="0.3">
      <c r="A83" t="s">
        <v>160</v>
      </c>
      <c r="B83" s="13">
        <v>1.3041365135473799</v>
      </c>
      <c r="K83" s="14" t="s">
        <v>400</v>
      </c>
      <c r="L83">
        <v>300.77999999999997</v>
      </c>
      <c r="M83">
        <v>146.48439999999999</v>
      </c>
      <c r="N83">
        <v>300.10000000000002</v>
      </c>
      <c r="O83">
        <v>277.67</v>
      </c>
      <c r="P83" s="13">
        <v>1.89177945042677</v>
      </c>
    </row>
    <row r="84" spans="1:16" x14ac:dyDescent="0.3">
      <c r="A84" t="s">
        <v>165</v>
      </c>
      <c r="B84" s="13">
        <v>1.3662663130713899</v>
      </c>
      <c r="K84" s="14" t="s">
        <v>400</v>
      </c>
      <c r="L84">
        <v>300.77999999999997</v>
      </c>
      <c r="M84">
        <v>153.4288</v>
      </c>
      <c r="N84">
        <v>360.11</v>
      </c>
      <c r="O84">
        <v>288.01</v>
      </c>
      <c r="P84" s="13">
        <v>1.9021471476684799</v>
      </c>
    </row>
    <row r="85" spans="1:16" x14ac:dyDescent="0.3">
      <c r="A85" t="s">
        <v>167</v>
      </c>
      <c r="B85" s="13">
        <v>1.42001633532601</v>
      </c>
      <c r="K85" s="14" t="s">
        <v>400</v>
      </c>
      <c r="L85">
        <v>300.35000000000002</v>
      </c>
      <c r="M85">
        <v>206.0547</v>
      </c>
      <c r="N85">
        <v>100.1</v>
      </c>
      <c r="O85">
        <v>276.5</v>
      </c>
      <c r="P85" s="13">
        <v>1.92560831826401</v>
      </c>
    </row>
    <row r="86" spans="1:16" x14ac:dyDescent="0.3">
      <c r="A86" t="s">
        <v>170</v>
      </c>
      <c r="B86" s="13">
        <v>1.2673983914979201</v>
      </c>
      <c r="K86" s="14" t="s">
        <v>400</v>
      </c>
      <c r="L86">
        <v>308.58999999999997</v>
      </c>
      <c r="M86">
        <v>142.88480000000001</v>
      </c>
      <c r="N86">
        <v>380</v>
      </c>
      <c r="O86">
        <v>279.66000000000003</v>
      </c>
      <c r="P86" s="13">
        <v>1.96765643996281</v>
      </c>
    </row>
    <row r="87" spans="1:16" x14ac:dyDescent="0.3">
      <c r="A87" t="s">
        <v>176</v>
      </c>
      <c r="B87" s="13">
        <v>1.4455751247978601</v>
      </c>
      <c r="K87" s="14" t="s">
        <v>400</v>
      </c>
      <c r="L87">
        <v>300.77999999999997</v>
      </c>
      <c r="M87">
        <v>208.63720000000001</v>
      </c>
      <c r="N87">
        <v>180.2</v>
      </c>
      <c r="O87">
        <v>280.54000000000002</v>
      </c>
      <c r="P87" s="13">
        <v>1.9828516432594301</v>
      </c>
    </row>
    <row r="88" spans="1:16" x14ac:dyDescent="0.3">
      <c r="A88" t="s">
        <v>188</v>
      </c>
      <c r="B88" s="13">
        <v>1.40624418410161</v>
      </c>
      <c r="K88" s="14" t="s">
        <v>400</v>
      </c>
      <c r="L88">
        <v>301.22000000000003</v>
      </c>
      <c r="M88">
        <v>127.3134</v>
      </c>
      <c r="N88">
        <v>500.1</v>
      </c>
      <c r="O88">
        <v>281.39999999999998</v>
      </c>
      <c r="P88" s="13">
        <v>1.98493034825871</v>
      </c>
    </row>
    <row r="89" spans="1:16" x14ac:dyDescent="0.3">
      <c r="A89" t="s">
        <v>184</v>
      </c>
      <c r="B89" s="13">
        <v>1.7778989600949899</v>
      </c>
      <c r="K89" s="14" t="s">
        <v>400</v>
      </c>
      <c r="L89">
        <v>300.77999999999997</v>
      </c>
      <c r="M89">
        <v>205.5121</v>
      </c>
      <c r="N89">
        <v>238.2</v>
      </c>
      <c r="O89">
        <v>286</v>
      </c>
      <c r="P89" s="13">
        <v>1.9867975524475501</v>
      </c>
    </row>
    <row r="90" spans="1:16" x14ac:dyDescent="0.3">
      <c r="A90" t="s">
        <v>186</v>
      </c>
      <c r="B90" s="13">
        <v>1.92695411051479</v>
      </c>
      <c r="K90" s="14" t="s">
        <v>400</v>
      </c>
      <c r="L90">
        <v>308.58999999999997</v>
      </c>
      <c r="M90">
        <v>160.48179999999999</v>
      </c>
      <c r="N90">
        <v>370.2</v>
      </c>
      <c r="O90">
        <v>284</v>
      </c>
      <c r="P90" s="13">
        <v>1.99057676056338</v>
      </c>
    </row>
    <row r="91" spans="1:16" x14ac:dyDescent="0.3">
      <c r="A91" t="s">
        <v>520</v>
      </c>
      <c r="B91" s="13">
        <v>1.7804830990501299</v>
      </c>
      <c r="K91" s="14" t="s">
        <v>400</v>
      </c>
      <c r="L91">
        <v>300.35000000000002</v>
      </c>
      <c r="M91">
        <v>142.57810000000001</v>
      </c>
      <c r="N91">
        <v>380.1</v>
      </c>
      <c r="O91">
        <v>269.02</v>
      </c>
      <c r="P91" s="13">
        <v>2.0138060367258901</v>
      </c>
    </row>
    <row r="92" spans="1:16" x14ac:dyDescent="0.3">
      <c r="A92" t="s">
        <v>319</v>
      </c>
      <c r="B92" s="13">
        <v>2.1431120775989099</v>
      </c>
      <c r="K92" s="14" t="s">
        <v>400</v>
      </c>
      <c r="L92">
        <v>292.97000000000003</v>
      </c>
      <c r="M92">
        <v>225.2561</v>
      </c>
      <c r="N92">
        <v>266.01</v>
      </c>
      <c r="O92">
        <v>286.85000000000002</v>
      </c>
      <c r="P92" s="13">
        <v>2.0477207599790801</v>
      </c>
    </row>
    <row r="93" spans="1:16" x14ac:dyDescent="0.3">
      <c r="A93" t="s">
        <v>246</v>
      </c>
      <c r="B93" s="13">
        <v>1.40798604394086</v>
      </c>
      <c r="K93" s="14" t="s">
        <v>400</v>
      </c>
      <c r="L93">
        <v>307.73</v>
      </c>
      <c r="M93">
        <v>207.56950000000001</v>
      </c>
      <c r="N93">
        <v>326.11</v>
      </c>
      <c r="O93">
        <v>290.91000000000003</v>
      </c>
      <c r="P93" s="13">
        <v>2.06279639751126</v>
      </c>
    </row>
    <row r="94" spans="1:16" x14ac:dyDescent="0.3">
      <c r="A94" t="s">
        <v>248</v>
      </c>
      <c r="B94" s="13">
        <v>1.45221013038905</v>
      </c>
      <c r="K94" s="14" t="s">
        <v>400</v>
      </c>
      <c r="L94">
        <v>300.77999999999997</v>
      </c>
      <c r="M94">
        <v>175.78120000000001</v>
      </c>
      <c r="N94">
        <v>380.11</v>
      </c>
      <c r="O94">
        <v>278.24</v>
      </c>
      <c r="P94" s="13">
        <v>2.06796219091432</v>
      </c>
    </row>
    <row r="95" spans="1:16" x14ac:dyDescent="0.3">
      <c r="A95" t="s">
        <v>237</v>
      </c>
      <c r="B95" s="13">
        <v>1.3176186768043301</v>
      </c>
      <c r="K95" s="14" t="s">
        <v>400</v>
      </c>
      <c r="L95">
        <v>308.58999999999997</v>
      </c>
      <c r="M95">
        <v>154.33160000000001</v>
      </c>
      <c r="N95">
        <v>505.01</v>
      </c>
      <c r="O95">
        <v>284.58</v>
      </c>
      <c r="P95" s="13">
        <v>2.0880743551901002</v>
      </c>
    </row>
    <row r="96" spans="1:16" x14ac:dyDescent="0.3">
      <c r="A96" t="s">
        <v>240</v>
      </c>
      <c r="B96" s="13">
        <v>1.6323495650933999</v>
      </c>
      <c r="K96" s="14" t="s">
        <v>400</v>
      </c>
      <c r="L96">
        <v>300.77999999999997</v>
      </c>
      <c r="M96">
        <v>206.59729999999999</v>
      </c>
      <c r="N96">
        <v>400.02</v>
      </c>
      <c r="O96">
        <v>292.62</v>
      </c>
      <c r="P96" s="13">
        <v>2.08933941630784</v>
      </c>
    </row>
    <row r="97" spans="1:16" x14ac:dyDescent="0.3">
      <c r="A97" t="s">
        <v>254</v>
      </c>
      <c r="B97" s="13">
        <v>1.36742117191473</v>
      </c>
      <c r="K97" s="14" t="s">
        <v>400</v>
      </c>
      <c r="L97">
        <v>300.77999999999997</v>
      </c>
      <c r="M97">
        <v>236.11109999999999</v>
      </c>
      <c r="N97">
        <v>111.1</v>
      </c>
      <c r="O97">
        <v>270.45</v>
      </c>
      <c r="P97" s="13">
        <v>2.0919841005731201</v>
      </c>
    </row>
    <row r="98" spans="1:16" x14ac:dyDescent="0.3">
      <c r="A98" t="s">
        <v>283</v>
      </c>
      <c r="B98" s="13">
        <v>1.2759929583976399</v>
      </c>
      <c r="K98" s="14" t="s">
        <v>400</v>
      </c>
      <c r="L98">
        <v>293.39999999999998</v>
      </c>
      <c r="M98">
        <v>203.77600000000001</v>
      </c>
      <c r="N98">
        <v>360.11</v>
      </c>
      <c r="O98">
        <v>282.01</v>
      </c>
      <c r="P98" s="13">
        <v>2.0949774830679799</v>
      </c>
    </row>
    <row r="99" spans="1:16" x14ac:dyDescent="0.3">
      <c r="A99" t="s">
        <v>271</v>
      </c>
      <c r="B99" s="13">
        <v>1.3274681626570199</v>
      </c>
      <c r="K99" s="14" t="s">
        <v>400</v>
      </c>
      <c r="L99">
        <v>300.77999999999997</v>
      </c>
      <c r="M99">
        <v>156.22829999999999</v>
      </c>
      <c r="N99">
        <v>557.30999999999995</v>
      </c>
      <c r="O99">
        <v>284.60000000000002</v>
      </c>
      <c r="P99" s="13">
        <v>2.11492937456079</v>
      </c>
    </row>
    <row r="100" spans="1:16" x14ac:dyDescent="0.3">
      <c r="A100" t="s">
        <v>273</v>
      </c>
      <c r="B100" s="13">
        <v>1.35958662814058</v>
      </c>
      <c r="K100" s="14" t="s">
        <v>400</v>
      </c>
      <c r="L100">
        <v>308.58999999999997</v>
      </c>
      <c r="M100">
        <v>185.256</v>
      </c>
      <c r="N100">
        <v>380.1</v>
      </c>
      <c r="O100">
        <v>280.23</v>
      </c>
      <c r="P100" s="13">
        <v>2.1149484352139298</v>
      </c>
    </row>
    <row r="101" spans="1:16" x14ac:dyDescent="0.3">
      <c r="A101" t="s">
        <v>274</v>
      </c>
      <c r="B101" s="13">
        <v>1.72080384615385</v>
      </c>
      <c r="K101" s="14" t="s">
        <v>400</v>
      </c>
      <c r="L101">
        <v>301.22000000000003</v>
      </c>
      <c r="M101">
        <v>194.8784</v>
      </c>
      <c r="N101">
        <v>410.2</v>
      </c>
      <c r="O101">
        <v>284.87</v>
      </c>
      <c r="P101" s="13">
        <v>2.1158788219187699</v>
      </c>
    </row>
    <row r="102" spans="1:16" x14ac:dyDescent="0.3">
      <c r="A102" t="s">
        <v>276</v>
      </c>
      <c r="B102" s="13">
        <v>1.54369705536415</v>
      </c>
      <c r="K102" s="14" t="s">
        <v>400</v>
      </c>
      <c r="L102">
        <v>300.77999999999997</v>
      </c>
      <c r="M102">
        <v>197.58680000000001</v>
      </c>
      <c r="N102">
        <v>407.21</v>
      </c>
      <c r="O102">
        <v>282.83999999999997</v>
      </c>
      <c r="P102" s="13">
        <v>2.13633644463301</v>
      </c>
    </row>
    <row r="103" spans="1:16" x14ac:dyDescent="0.3">
      <c r="A103" t="s">
        <v>307</v>
      </c>
      <c r="B103" s="13">
        <v>1.9395329449772101</v>
      </c>
      <c r="K103" s="14" t="s">
        <v>400</v>
      </c>
      <c r="L103">
        <v>308.58999999999997</v>
      </c>
      <c r="M103">
        <v>199.28819999999999</v>
      </c>
      <c r="N103">
        <v>370.3</v>
      </c>
      <c r="O103">
        <v>282.24</v>
      </c>
      <c r="P103" s="13">
        <v>2.1405761054421801</v>
      </c>
    </row>
    <row r="104" spans="1:16" x14ac:dyDescent="0.3">
      <c r="A104" t="s">
        <v>309</v>
      </c>
      <c r="B104" s="13">
        <v>2.3015382516395499</v>
      </c>
      <c r="K104" s="14" t="s">
        <v>400</v>
      </c>
      <c r="L104">
        <v>308.58999999999997</v>
      </c>
      <c r="M104">
        <v>167.20920000000001</v>
      </c>
      <c r="N104">
        <v>460.11</v>
      </c>
      <c r="O104">
        <v>275.93</v>
      </c>
      <c r="P104" s="13">
        <v>2.1578943935055999</v>
      </c>
    </row>
    <row r="105" spans="1:16" x14ac:dyDescent="0.3">
      <c r="A105" t="s">
        <v>234</v>
      </c>
      <c r="B105" s="13">
        <v>1.59700361896184</v>
      </c>
      <c r="K105" s="14" t="s">
        <v>400</v>
      </c>
      <c r="L105">
        <v>300.77999999999997</v>
      </c>
      <c r="M105">
        <v>205.51220000000001</v>
      </c>
      <c r="N105">
        <v>275.60000000000002</v>
      </c>
      <c r="O105">
        <v>267.29000000000002</v>
      </c>
      <c r="P105" s="13">
        <v>2.1622514871487901</v>
      </c>
    </row>
    <row r="106" spans="1:16" x14ac:dyDescent="0.3">
      <c r="A106" t="s">
        <v>328</v>
      </c>
      <c r="B106" s="13">
        <v>1.78500400787</v>
      </c>
      <c r="K106" s="14" t="s">
        <v>400</v>
      </c>
      <c r="L106">
        <v>300.77999999999997</v>
      </c>
      <c r="M106">
        <v>146.59289999999999</v>
      </c>
      <c r="N106">
        <v>600.29999999999995</v>
      </c>
      <c r="O106">
        <v>273.69</v>
      </c>
      <c r="P106" s="13">
        <v>2.2048701085169302</v>
      </c>
    </row>
    <row r="107" spans="1:16" x14ac:dyDescent="0.3">
      <c r="A107" t="s">
        <v>74</v>
      </c>
      <c r="B107" s="13">
        <v>1.2356426481335201</v>
      </c>
      <c r="K107" s="14" t="s">
        <v>400</v>
      </c>
      <c r="L107">
        <v>308.58999999999997</v>
      </c>
      <c r="M107">
        <v>189.14490000000001</v>
      </c>
      <c r="N107">
        <v>450.11</v>
      </c>
      <c r="O107">
        <v>274.49</v>
      </c>
      <c r="P107" s="13">
        <v>2.2396571824110199</v>
      </c>
    </row>
    <row r="108" spans="1:16" x14ac:dyDescent="0.3">
      <c r="A108" t="s">
        <v>76</v>
      </c>
      <c r="B108" s="13">
        <v>1.3715182629774101</v>
      </c>
      <c r="K108" s="14" t="s">
        <v>400</v>
      </c>
      <c r="L108">
        <v>300.77999999999997</v>
      </c>
      <c r="M108">
        <v>189.75700000000001</v>
      </c>
      <c r="N108">
        <v>590.12</v>
      </c>
      <c r="O108">
        <v>283.12</v>
      </c>
      <c r="P108" s="13">
        <v>2.2745415371573898</v>
      </c>
    </row>
    <row r="109" spans="1:16" x14ac:dyDescent="0.3">
      <c r="A109" t="s">
        <v>150</v>
      </c>
      <c r="B109" s="13">
        <v>1.3581424989295401</v>
      </c>
      <c r="K109" s="14" t="s">
        <v>400</v>
      </c>
      <c r="L109">
        <v>308.16000000000003</v>
      </c>
      <c r="M109">
        <v>259.90890000000002</v>
      </c>
      <c r="N109">
        <v>420.4</v>
      </c>
      <c r="O109">
        <v>269.88</v>
      </c>
      <c r="P109" s="13">
        <v>2.5099040314213701</v>
      </c>
    </row>
    <row r="110" spans="1:16" x14ac:dyDescent="0.3">
      <c r="A110" t="s">
        <v>395</v>
      </c>
      <c r="B110" s="13">
        <v>2.7050542187728599</v>
      </c>
      <c r="K110" s="14" t="s">
        <v>400</v>
      </c>
      <c r="L110">
        <v>300.77999999999997</v>
      </c>
      <c r="M110">
        <v>507.64760000000001</v>
      </c>
      <c r="N110">
        <v>410.01</v>
      </c>
      <c r="O110">
        <v>284.87</v>
      </c>
      <c r="P110" s="13">
        <v>3.2120974479587199</v>
      </c>
    </row>
    <row r="111" spans="1:16" x14ac:dyDescent="0.3">
      <c r="A111" t="s">
        <v>397</v>
      </c>
      <c r="B111" s="13">
        <v>1.9096194486290099</v>
      </c>
      <c r="K111" s="14" t="s">
        <v>400</v>
      </c>
      <c r="L111">
        <v>300.77999999999997</v>
      </c>
      <c r="M111">
        <v>515.73350000000005</v>
      </c>
      <c r="N111">
        <v>261.2</v>
      </c>
      <c r="O111">
        <v>269.33</v>
      </c>
      <c r="P111" s="13">
        <v>3.2837986856272998</v>
      </c>
    </row>
    <row r="112" spans="1:16" x14ac:dyDescent="0.3">
      <c r="A112" t="s">
        <v>398</v>
      </c>
      <c r="B112" s="13">
        <v>2.2363589656367799</v>
      </c>
      <c r="K112" s="14" t="s">
        <v>402</v>
      </c>
      <c r="L112">
        <v>300.35000000000002</v>
      </c>
      <c r="M112">
        <v>111.2196</v>
      </c>
      <c r="N112">
        <v>215</v>
      </c>
      <c r="O112">
        <v>278.23</v>
      </c>
      <c r="P112" s="13">
        <v>1.68015526722496</v>
      </c>
    </row>
    <row r="113" spans="1:16" x14ac:dyDescent="0.3">
      <c r="A113" t="s">
        <v>593</v>
      </c>
      <c r="K113" s="14" t="s">
        <v>402</v>
      </c>
      <c r="L113">
        <v>300.77999999999997</v>
      </c>
      <c r="M113">
        <v>168.45490000000001</v>
      </c>
      <c r="N113">
        <v>150.1</v>
      </c>
      <c r="O113">
        <v>287.12</v>
      </c>
      <c r="P113" s="13">
        <v>1.7702037475619901</v>
      </c>
    </row>
    <row r="114" spans="1:16" x14ac:dyDescent="0.3">
      <c r="A114" t="s">
        <v>594</v>
      </c>
      <c r="B114" s="13">
        <v>1.4127210792175999</v>
      </c>
      <c r="K114" s="14" t="s">
        <v>402</v>
      </c>
      <c r="L114">
        <v>300.77999999999997</v>
      </c>
      <c r="M114">
        <v>121.25579999999999</v>
      </c>
      <c r="N114">
        <v>270.10000000000002</v>
      </c>
      <c r="O114">
        <v>269.02999999999997</v>
      </c>
      <c r="P114" s="13">
        <v>1.8297654536668799</v>
      </c>
    </row>
    <row r="115" spans="1:16" x14ac:dyDescent="0.3">
      <c r="K115" s="14" t="s">
        <v>402</v>
      </c>
      <c r="L115">
        <v>300.35000000000002</v>
      </c>
      <c r="M115">
        <v>158.20310000000001</v>
      </c>
      <c r="N115">
        <v>100.1</v>
      </c>
      <c r="O115">
        <v>264.39999999999998</v>
      </c>
      <c r="P115" s="13">
        <v>1.8327500000000001</v>
      </c>
    </row>
    <row r="116" spans="1:16" x14ac:dyDescent="0.3">
      <c r="K116" s="14" t="s">
        <v>402</v>
      </c>
      <c r="L116">
        <v>300.77999999999997</v>
      </c>
      <c r="M116">
        <v>110.13460000000001</v>
      </c>
      <c r="N116">
        <v>374.2</v>
      </c>
      <c r="O116">
        <v>275.94</v>
      </c>
      <c r="P116" s="13">
        <v>1.84172863666014</v>
      </c>
    </row>
    <row r="117" spans="1:16" x14ac:dyDescent="0.3">
      <c r="K117" s="14" t="s">
        <v>402</v>
      </c>
      <c r="L117">
        <v>300.35000000000002</v>
      </c>
      <c r="M117">
        <v>125.37909999999999</v>
      </c>
      <c r="N117">
        <v>351.8</v>
      </c>
      <c r="O117">
        <v>272.47000000000003</v>
      </c>
      <c r="P117" s="13">
        <v>1.89817998311741</v>
      </c>
    </row>
    <row r="118" spans="1:16" x14ac:dyDescent="0.3">
      <c r="K118" s="14" t="s">
        <v>402</v>
      </c>
      <c r="L118">
        <v>293.39999999999998</v>
      </c>
      <c r="M118">
        <v>179.53989999999999</v>
      </c>
      <c r="N118">
        <v>177</v>
      </c>
      <c r="O118">
        <v>271.33</v>
      </c>
      <c r="P118" s="13">
        <v>1.91265212103343</v>
      </c>
    </row>
    <row r="119" spans="1:16" x14ac:dyDescent="0.3">
      <c r="K119" s="14" t="s">
        <v>402</v>
      </c>
      <c r="L119">
        <v>300.77999999999997</v>
      </c>
      <c r="M119">
        <v>139.15799999999999</v>
      </c>
      <c r="N119">
        <v>290.10000000000002</v>
      </c>
      <c r="O119">
        <v>268.73</v>
      </c>
      <c r="P119" s="13">
        <v>1.9177762066014199</v>
      </c>
    </row>
    <row r="120" spans="1:16" x14ac:dyDescent="0.3">
      <c r="K120" s="14" t="s">
        <v>402</v>
      </c>
      <c r="L120">
        <v>308.58999999999997</v>
      </c>
      <c r="M120">
        <v>145.1823</v>
      </c>
      <c r="N120">
        <v>320.10000000000002</v>
      </c>
      <c r="O120">
        <v>278.77</v>
      </c>
      <c r="P120" s="13">
        <v>1.9263130896437901</v>
      </c>
    </row>
    <row r="121" spans="1:16" x14ac:dyDescent="0.3">
      <c r="K121" s="14" t="s">
        <v>402</v>
      </c>
      <c r="L121">
        <v>300.77999999999997</v>
      </c>
      <c r="M121">
        <v>190.13460000000001</v>
      </c>
      <c r="N121">
        <v>160.19999999999999</v>
      </c>
      <c r="O121">
        <v>273.33999999999997</v>
      </c>
      <c r="P121" s="13">
        <v>1.9483668691007501</v>
      </c>
    </row>
    <row r="122" spans="1:16" x14ac:dyDescent="0.3">
      <c r="K122" s="14" t="s">
        <v>402</v>
      </c>
      <c r="L122">
        <v>300.35000000000002</v>
      </c>
      <c r="M122">
        <v>154.6224</v>
      </c>
      <c r="N122">
        <v>395.11</v>
      </c>
      <c r="O122">
        <v>284.86</v>
      </c>
      <c r="P122" s="13">
        <v>1.95780734395844</v>
      </c>
    </row>
    <row r="123" spans="1:16" x14ac:dyDescent="0.3">
      <c r="K123" s="14" t="s">
        <v>402</v>
      </c>
      <c r="L123">
        <v>300.77999999999997</v>
      </c>
      <c r="M123">
        <v>177.6953</v>
      </c>
      <c r="N123">
        <v>350.01</v>
      </c>
      <c r="O123">
        <v>289.43</v>
      </c>
      <c r="P123" s="13">
        <v>1.9675842172546001</v>
      </c>
    </row>
    <row r="124" spans="1:16" x14ac:dyDescent="0.3">
      <c r="K124" s="14" t="s">
        <v>402</v>
      </c>
      <c r="L124">
        <v>308.58999999999997</v>
      </c>
      <c r="M124">
        <v>136.61019999999999</v>
      </c>
      <c r="N124">
        <v>320</v>
      </c>
      <c r="O124">
        <v>267</v>
      </c>
      <c r="P124" s="13">
        <v>1.97902696629213</v>
      </c>
    </row>
    <row r="125" spans="1:16" x14ac:dyDescent="0.3">
      <c r="K125" s="14" t="s">
        <v>402</v>
      </c>
      <c r="L125">
        <v>300.35000000000002</v>
      </c>
      <c r="M125">
        <v>134.511</v>
      </c>
      <c r="N125">
        <v>495.11</v>
      </c>
      <c r="O125">
        <v>281.97000000000003</v>
      </c>
      <c r="P125" s="13">
        <v>1.99875731460794</v>
      </c>
    </row>
    <row r="126" spans="1:16" x14ac:dyDescent="0.3">
      <c r="K126" s="14" t="s">
        <v>402</v>
      </c>
      <c r="L126">
        <v>308.58999999999997</v>
      </c>
      <c r="M126">
        <v>185.98089999999999</v>
      </c>
      <c r="N126">
        <v>190.2</v>
      </c>
      <c r="O126">
        <v>271</v>
      </c>
      <c r="P126" s="13">
        <v>2.0074645756457601</v>
      </c>
    </row>
    <row r="127" spans="1:16" x14ac:dyDescent="0.3">
      <c r="K127" s="14" t="s">
        <v>402</v>
      </c>
      <c r="L127">
        <v>301.22000000000003</v>
      </c>
      <c r="M127">
        <v>165.85069999999999</v>
      </c>
      <c r="N127">
        <v>420.11</v>
      </c>
      <c r="O127">
        <v>285.14</v>
      </c>
      <c r="P127" s="13">
        <v>2.02110998106193</v>
      </c>
    </row>
    <row r="128" spans="1:16" x14ac:dyDescent="0.3">
      <c r="K128" s="14" t="s">
        <v>402</v>
      </c>
      <c r="L128">
        <v>300.35000000000002</v>
      </c>
      <c r="M128">
        <v>215.60329999999999</v>
      </c>
      <c r="N128">
        <v>187</v>
      </c>
      <c r="O128">
        <v>279.07</v>
      </c>
      <c r="P128" s="13">
        <v>2.0230526391227999</v>
      </c>
    </row>
    <row r="129" spans="11:16" x14ac:dyDescent="0.3">
      <c r="K129" s="14" t="s">
        <v>402</v>
      </c>
      <c r="L129">
        <v>300.77999999999997</v>
      </c>
      <c r="M129">
        <v>188.67189999999999</v>
      </c>
      <c r="N129">
        <v>350.01</v>
      </c>
      <c r="O129">
        <v>286.89</v>
      </c>
      <c r="P129" s="13">
        <v>2.02326501446547</v>
      </c>
    </row>
    <row r="130" spans="11:16" x14ac:dyDescent="0.3">
      <c r="K130" s="14" t="s">
        <v>402</v>
      </c>
      <c r="L130">
        <v>293.39999999999998</v>
      </c>
      <c r="M130">
        <v>173.4288</v>
      </c>
      <c r="N130">
        <v>300.10000000000002</v>
      </c>
      <c r="O130">
        <v>267.57</v>
      </c>
      <c r="P130" s="13">
        <v>2.0363075083155802</v>
      </c>
    </row>
    <row r="131" spans="11:16" x14ac:dyDescent="0.3">
      <c r="K131" s="14" t="s">
        <v>402</v>
      </c>
      <c r="L131">
        <v>300.77999999999997</v>
      </c>
      <c r="M131">
        <v>186.70140000000001</v>
      </c>
      <c r="N131">
        <v>290.2</v>
      </c>
      <c r="O131">
        <v>274.79000000000002</v>
      </c>
      <c r="P131" s="13">
        <v>2.04859492703519</v>
      </c>
    </row>
    <row r="132" spans="11:16" x14ac:dyDescent="0.3">
      <c r="K132" s="14" t="s">
        <v>402</v>
      </c>
      <c r="L132">
        <v>300.77999999999997</v>
      </c>
      <c r="M132">
        <v>181.4931</v>
      </c>
      <c r="N132">
        <v>300.01</v>
      </c>
      <c r="O132">
        <v>273.33</v>
      </c>
      <c r="P132" s="13">
        <v>2.0498141440749298</v>
      </c>
    </row>
    <row r="133" spans="11:16" x14ac:dyDescent="0.3">
      <c r="K133" s="14" t="s">
        <v>402</v>
      </c>
      <c r="L133">
        <v>293.39999999999998</v>
      </c>
      <c r="M133">
        <v>233.559</v>
      </c>
      <c r="N133">
        <v>200.2</v>
      </c>
      <c r="O133">
        <v>276.83</v>
      </c>
      <c r="P133" s="13">
        <v>2.0915760575082198</v>
      </c>
    </row>
    <row r="134" spans="11:16" x14ac:dyDescent="0.3">
      <c r="K134" s="14" t="s">
        <v>402</v>
      </c>
      <c r="L134">
        <v>300.77999999999997</v>
      </c>
      <c r="M134">
        <v>211.83600000000001</v>
      </c>
      <c r="N134">
        <v>220</v>
      </c>
      <c r="O134">
        <v>269.58999999999997</v>
      </c>
      <c r="P134" s="13">
        <v>2.1136392299417599</v>
      </c>
    </row>
    <row r="135" spans="11:16" x14ac:dyDescent="0.3">
      <c r="K135" s="14" t="s">
        <v>402</v>
      </c>
      <c r="L135">
        <v>292.97000000000003</v>
      </c>
      <c r="M135">
        <v>181.60159999999999</v>
      </c>
      <c r="N135">
        <v>430.01</v>
      </c>
      <c r="O135">
        <v>276.8</v>
      </c>
      <c r="P135" s="13">
        <v>2.1184039017341001</v>
      </c>
    </row>
    <row r="136" spans="11:16" x14ac:dyDescent="0.3">
      <c r="K136" s="14" t="s">
        <v>402</v>
      </c>
      <c r="L136">
        <v>308.58999999999997</v>
      </c>
      <c r="M136">
        <v>153.66319999999999</v>
      </c>
      <c r="N136">
        <v>453.91</v>
      </c>
      <c r="O136">
        <v>271</v>
      </c>
      <c r="P136" s="13">
        <v>2.14121697416974</v>
      </c>
    </row>
    <row r="137" spans="11:16" x14ac:dyDescent="0.3">
      <c r="K137" s="14" t="s">
        <v>402</v>
      </c>
      <c r="L137">
        <v>300.77999999999997</v>
      </c>
      <c r="M137">
        <v>201.71440000000001</v>
      </c>
      <c r="N137">
        <v>400.11</v>
      </c>
      <c r="O137">
        <v>282.29000000000002</v>
      </c>
      <c r="P137" s="13">
        <v>2.14858124623614</v>
      </c>
    </row>
    <row r="138" spans="11:16" x14ac:dyDescent="0.3">
      <c r="K138" s="14" t="s">
        <v>402</v>
      </c>
      <c r="L138">
        <v>307.73</v>
      </c>
      <c r="M138">
        <v>161.34989999999999</v>
      </c>
      <c r="N138">
        <v>330.11</v>
      </c>
      <c r="O138">
        <v>258.08999999999997</v>
      </c>
      <c r="P138" s="13">
        <v>2.15005811926072</v>
      </c>
    </row>
    <row r="139" spans="11:16" x14ac:dyDescent="0.3">
      <c r="K139" s="14" t="s">
        <v>402</v>
      </c>
      <c r="L139">
        <v>293.39999999999998</v>
      </c>
      <c r="M139">
        <v>202.90799999999999</v>
      </c>
      <c r="N139">
        <v>333.01</v>
      </c>
      <c r="O139">
        <v>268.16000000000003</v>
      </c>
      <c r="P139" s="13">
        <v>2.17366721360382</v>
      </c>
    </row>
    <row r="140" spans="11:16" x14ac:dyDescent="0.3">
      <c r="K140" s="14" t="s">
        <v>402</v>
      </c>
      <c r="L140">
        <v>308.58999999999997</v>
      </c>
      <c r="M140">
        <v>233.25229999999999</v>
      </c>
      <c r="N140">
        <v>230.2</v>
      </c>
      <c r="O140">
        <v>276.52</v>
      </c>
      <c r="P140" s="13">
        <v>2.1759521915232201</v>
      </c>
    </row>
    <row r="141" spans="11:16" x14ac:dyDescent="0.3">
      <c r="K141" s="14" t="s">
        <v>402</v>
      </c>
      <c r="L141">
        <v>300.77999999999997</v>
      </c>
      <c r="M141">
        <v>206.46700000000001</v>
      </c>
      <c r="N141">
        <v>414.01</v>
      </c>
      <c r="O141">
        <v>272.72000000000003</v>
      </c>
      <c r="P141" s="13">
        <v>2.25465532414198</v>
      </c>
    </row>
    <row r="142" spans="11:16" x14ac:dyDescent="0.3">
      <c r="K142" s="14" t="s">
        <v>402</v>
      </c>
      <c r="L142">
        <v>300.77999999999997</v>
      </c>
      <c r="M142">
        <v>275.00869999999998</v>
      </c>
      <c r="N142">
        <v>230</v>
      </c>
      <c r="O142">
        <v>273.55</v>
      </c>
      <c r="P142" s="13">
        <v>2.3234827271065601</v>
      </c>
    </row>
    <row r="143" spans="11:16" x14ac:dyDescent="0.3">
      <c r="K143" s="14" t="s">
        <v>402</v>
      </c>
      <c r="L143">
        <v>300.77999999999997</v>
      </c>
      <c r="M143">
        <v>210.26480000000001</v>
      </c>
      <c r="N143">
        <v>488.11</v>
      </c>
      <c r="O143">
        <v>269.27999999999997</v>
      </c>
      <c r="P143" s="13">
        <v>2.3691079916815201</v>
      </c>
    </row>
    <row r="144" spans="11:16" x14ac:dyDescent="0.3">
      <c r="K144" s="14" t="s">
        <v>402</v>
      </c>
      <c r="L144">
        <v>300.77999999999997</v>
      </c>
      <c r="M144">
        <v>354.73669999999998</v>
      </c>
      <c r="N144">
        <v>221.1</v>
      </c>
      <c r="O144">
        <v>277.37</v>
      </c>
      <c r="P144" s="13">
        <v>2.5705833363377399</v>
      </c>
    </row>
    <row r="145" spans="11:16" x14ac:dyDescent="0.3">
      <c r="K145" s="14" t="s">
        <v>403</v>
      </c>
      <c r="L145">
        <v>293.39999999999998</v>
      </c>
      <c r="M145">
        <v>162.8689</v>
      </c>
      <c r="N145">
        <v>200</v>
      </c>
      <c r="O145">
        <v>272.19</v>
      </c>
      <c r="P145" s="13">
        <v>1.86733127594695</v>
      </c>
    </row>
    <row r="146" spans="11:16" x14ac:dyDescent="0.3">
      <c r="K146" s="14" t="s">
        <v>403</v>
      </c>
      <c r="L146">
        <v>300.77999999999997</v>
      </c>
      <c r="M146">
        <v>184.38800000000001</v>
      </c>
      <c r="N146">
        <v>150.1</v>
      </c>
      <c r="O146">
        <v>272.45999999999998</v>
      </c>
      <c r="P146" s="13">
        <v>1.9239301181824899</v>
      </c>
    </row>
    <row r="147" spans="11:16" x14ac:dyDescent="0.3">
      <c r="K147" s="14" t="s">
        <v>403</v>
      </c>
      <c r="L147">
        <v>300.77999999999997</v>
      </c>
      <c r="M147">
        <v>186.48439999999999</v>
      </c>
      <c r="N147">
        <v>587.11</v>
      </c>
      <c r="O147">
        <v>274.45999999999998</v>
      </c>
      <c r="P147" s="13">
        <v>2.3315346498578999</v>
      </c>
    </row>
    <row r="148" spans="11:16" x14ac:dyDescent="0.3">
      <c r="K148" s="14" t="s">
        <v>405</v>
      </c>
      <c r="L148">
        <v>301.22000000000003</v>
      </c>
      <c r="M148">
        <v>173.08600000000001</v>
      </c>
      <c r="N148">
        <v>150.19999999999999</v>
      </c>
      <c r="O148">
        <v>283.97000000000003</v>
      </c>
      <c r="P148" s="13">
        <v>1.8077895552347101</v>
      </c>
    </row>
    <row r="149" spans="11:16" x14ac:dyDescent="0.3">
      <c r="K149" s="14" t="s">
        <v>405</v>
      </c>
      <c r="L149">
        <v>300.35000000000002</v>
      </c>
      <c r="M149">
        <v>161.11109999999999</v>
      </c>
      <c r="N149">
        <v>390.01</v>
      </c>
      <c r="O149">
        <v>281.70999999999998</v>
      </c>
      <c r="P149" s="13">
        <v>1.9980252742181701</v>
      </c>
    </row>
    <row r="150" spans="11:16" x14ac:dyDescent="0.3">
      <c r="K150" s="14" t="s">
        <v>405</v>
      </c>
      <c r="L150">
        <v>307.73</v>
      </c>
      <c r="M150">
        <v>136.82730000000001</v>
      </c>
      <c r="N150">
        <v>370.4</v>
      </c>
      <c r="O150">
        <v>268.98</v>
      </c>
      <c r="P150" s="13">
        <v>2.01078630381441</v>
      </c>
    </row>
    <row r="151" spans="11:16" x14ac:dyDescent="0.3">
      <c r="K151" s="14" t="s">
        <v>405</v>
      </c>
      <c r="L151">
        <v>307.73</v>
      </c>
      <c r="M151">
        <v>194.53129999999999</v>
      </c>
      <c r="N151">
        <v>300.10000000000002</v>
      </c>
      <c r="O151">
        <v>287.70999999999998</v>
      </c>
      <c r="P151" s="13">
        <v>2.0169173820861301</v>
      </c>
    </row>
    <row r="152" spans="11:16" x14ac:dyDescent="0.3">
      <c r="K152" s="14" t="s">
        <v>405</v>
      </c>
      <c r="L152">
        <v>300.35000000000002</v>
      </c>
      <c r="M152">
        <v>206.35849999999999</v>
      </c>
      <c r="N152">
        <v>310.10000000000002</v>
      </c>
      <c r="O152">
        <v>289.14999999999998</v>
      </c>
      <c r="P152" s="13">
        <v>2.0312450285319001</v>
      </c>
    </row>
    <row r="153" spans="11:16" x14ac:dyDescent="0.3">
      <c r="K153" s="14" t="s">
        <v>405</v>
      </c>
      <c r="L153">
        <v>301.22000000000003</v>
      </c>
      <c r="M153">
        <v>193.66319999999999</v>
      </c>
      <c r="N153">
        <v>265.10000000000002</v>
      </c>
      <c r="O153">
        <v>276.19</v>
      </c>
      <c r="P153" s="13">
        <v>2.04138165755458</v>
      </c>
    </row>
    <row r="154" spans="11:16" x14ac:dyDescent="0.3">
      <c r="K154" s="14" t="s">
        <v>405</v>
      </c>
      <c r="L154">
        <v>307.73</v>
      </c>
      <c r="M154">
        <v>135.85069999999999</v>
      </c>
      <c r="N154">
        <v>510.11</v>
      </c>
      <c r="O154">
        <v>273.29000000000002</v>
      </c>
      <c r="P154" s="13">
        <v>2.1084170661202402</v>
      </c>
    </row>
    <row r="155" spans="11:16" x14ac:dyDescent="0.3">
      <c r="K155" s="14" t="s">
        <v>405</v>
      </c>
      <c r="L155">
        <v>307.73</v>
      </c>
      <c r="M155">
        <v>217.3177</v>
      </c>
      <c r="N155">
        <v>450.11</v>
      </c>
      <c r="O155">
        <v>276.8</v>
      </c>
      <c r="P155" s="13">
        <v>2.3196398121387301</v>
      </c>
    </row>
    <row r="156" spans="11:16" x14ac:dyDescent="0.3">
      <c r="K156" s="14" t="s">
        <v>415</v>
      </c>
      <c r="L156">
        <v>307.73</v>
      </c>
      <c r="N156">
        <v>530.12</v>
      </c>
      <c r="O156">
        <v>270</v>
      </c>
      <c r="P156" s="13">
        <v>1.6502266666666701</v>
      </c>
    </row>
    <row r="157" spans="11:16" x14ac:dyDescent="0.3">
      <c r="K157" s="14" t="s">
        <v>415</v>
      </c>
      <c r="L157">
        <v>308.58999999999997</v>
      </c>
      <c r="M157">
        <v>105.2517</v>
      </c>
      <c r="N157">
        <v>350.1</v>
      </c>
      <c r="O157">
        <v>281.95999999999998</v>
      </c>
      <c r="P157" s="13">
        <v>1.7905649737551399</v>
      </c>
    </row>
    <row r="158" spans="11:16" x14ac:dyDescent="0.3">
      <c r="K158" s="14" t="s">
        <v>415</v>
      </c>
      <c r="L158">
        <v>307.73</v>
      </c>
      <c r="M158">
        <v>113.9323</v>
      </c>
      <c r="N158">
        <v>140.19999999999999</v>
      </c>
      <c r="O158">
        <v>254.09</v>
      </c>
      <c r="P158" s="13">
        <v>1.8029607619347501</v>
      </c>
    </row>
    <row r="159" spans="11:16" x14ac:dyDescent="0.3">
      <c r="K159" s="14" t="s">
        <v>415</v>
      </c>
      <c r="L159">
        <v>307.73</v>
      </c>
      <c r="M159">
        <v>155.38200000000001</v>
      </c>
      <c r="N159">
        <v>200.3</v>
      </c>
      <c r="O159">
        <v>282.83999999999997</v>
      </c>
      <c r="P159" s="13">
        <v>1.8214891811625</v>
      </c>
    </row>
    <row r="160" spans="11:16" x14ac:dyDescent="0.3">
      <c r="K160" s="14" t="s">
        <v>415</v>
      </c>
      <c r="L160">
        <v>307.73</v>
      </c>
      <c r="M160">
        <v>197.56950000000001</v>
      </c>
      <c r="N160">
        <v>130.19999999999999</v>
      </c>
      <c r="O160">
        <v>295.55</v>
      </c>
      <c r="P160" s="13">
        <v>1.82423109456945</v>
      </c>
    </row>
    <row r="161" spans="11:16" x14ac:dyDescent="0.3">
      <c r="K161" s="14" t="s">
        <v>415</v>
      </c>
      <c r="L161">
        <v>301.22000000000003</v>
      </c>
      <c r="M161">
        <v>114.4387</v>
      </c>
      <c r="N161">
        <v>400.11</v>
      </c>
      <c r="O161">
        <v>276.79000000000002</v>
      </c>
      <c r="P161" s="13">
        <v>1.8775508508255401</v>
      </c>
    </row>
    <row r="162" spans="11:16" x14ac:dyDescent="0.3">
      <c r="K162" s="14" t="s">
        <v>415</v>
      </c>
      <c r="L162">
        <v>307.73</v>
      </c>
      <c r="M162">
        <v>113.86</v>
      </c>
      <c r="N162">
        <v>439.2</v>
      </c>
      <c r="O162">
        <v>272.16000000000003</v>
      </c>
      <c r="P162" s="13">
        <v>1.9686287477954101</v>
      </c>
    </row>
    <row r="163" spans="11:16" x14ac:dyDescent="0.3">
      <c r="K163" s="14" t="s">
        <v>415</v>
      </c>
      <c r="L163">
        <v>293.39999999999998</v>
      </c>
      <c r="M163">
        <v>153.7876</v>
      </c>
      <c r="N163">
        <v>500.11</v>
      </c>
      <c r="O163">
        <v>270.5</v>
      </c>
      <c r="P163" s="13">
        <v>2.1338861367837301</v>
      </c>
    </row>
    <row r="164" spans="11:16" x14ac:dyDescent="0.3">
      <c r="K164" s="14" t="s">
        <v>415</v>
      </c>
      <c r="L164">
        <v>293.39999999999998</v>
      </c>
      <c r="M164">
        <v>203.559</v>
      </c>
      <c r="N164">
        <v>430.11</v>
      </c>
      <c r="O164">
        <v>274.2</v>
      </c>
      <c r="P164" s="13">
        <v>2.2202319474835899</v>
      </c>
    </row>
    <row r="165" spans="11:16" x14ac:dyDescent="0.3">
      <c r="K165" s="14" t="s">
        <v>415</v>
      </c>
      <c r="L165">
        <v>301.22000000000003</v>
      </c>
      <c r="M165">
        <v>211.11109999999999</v>
      </c>
      <c r="N165">
        <v>480.2</v>
      </c>
      <c r="O165">
        <v>274.20999999999998</v>
      </c>
      <c r="P165" s="13">
        <v>2.3237048247693401</v>
      </c>
    </row>
    <row r="166" spans="11:16" x14ac:dyDescent="0.3">
      <c r="K166" s="14" t="s">
        <v>415</v>
      </c>
      <c r="L166">
        <v>293.39999999999998</v>
      </c>
      <c r="M166">
        <v>204.4271</v>
      </c>
      <c r="N166">
        <v>580.12</v>
      </c>
      <c r="O166">
        <v>276.52</v>
      </c>
      <c r="P166" s="13">
        <v>2.3457916244756301</v>
      </c>
    </row>
    <row r="167" spans="11:16" x14ac:dyDescent="0.3">
      <c r="K167" s="14" t="s">
        <v>415</v>
      </c>
      <c r="L167">
        <v>300.77999999999997</v>
      </c>
      <c r="M167">
        <v>534.63109999999995</v>
      </c>
      <c r="N167">
        <v>111.1</v>
      </c>
      <c r="O167">
        <v>286.76</v>
      </c>
      <c r="P167" s="13">
        <v>3.0140085786023199</v>
      </c>
    </row>
    <row r="168" spans="11:16" x14ac:dyDescent="0.3">
      <c r="K168" s="14" t="s">
        <v>417</v>
      </c>
      <c r="L168">
        <v>307.73</v>
      </c>
      <c r="M168">
        <v>76.388900000000007</v>
      </c>
      <c r="N168">
        <v>320.3</v>
      </c>
      <c r="O168">
        <v>275.36</v>
      </c>
      <c r="P168" s="13">
        <v>1.6974030360255701</v>
      </c>
    </row>
    <row r="169" spans="11:16" x14ac:dyDescent="0.3">
      <c r="K169" s="14" t="s">
        <v>417</v>
      </c>
      <c r="L169">
        <v>300.77999999999997</v>
      </c>
      <c r="M169">
        <v>115.81310000000001</v>
      </c>
      <c r="N169">
        <v>450.11</v>
      </c>
      <c r="O169">
        <v>271</v>
      </c>
      <c r="P169" s="13">
        <v>1.9690837638376399</v>
      </c>
    </row>
    <row r="170" spans="11:16" x14ac:dyDescent="0.3">
      <c r="K170" s="14" t="s">
        <v>417</v>
      </c>
      <c r="L170">
        <v>301.22000000000003</v>
      </c>
      <c r="M170">
        <v>244.55439999999999</v>
      </c>
      <c r="N170">
        <v>260.3</v>
      </c>
      <c r="O170">
        <v>285.7</v>
      </c>
      <c r="P170" s="13">
        <v>2.1471907595379802</v>
      </c>
    </row>
    <row r="171" spans="11:16" x14ac:dyDescent="0.3">
      <c r="K171" s="14" t="s">
        <v>417</v>
      </c>
      <c r="L171">
        <v>300.77999999999997</v>
      </c>
      <c r="M171">
        <v>261.34980000000002</v>
      </c>
      <c r="N171">
        <v>362.3</v>
      </c>
      <c r="O171">
        <v>271.33999999999997</v>
      </c>
      <c r="P171" s="13">
        <v>2.41883909486253</v>
      </c>
    </row>
    <row r="172" spans="11:16" x14ac:dyDescent="0.3">
      <c r="K172" s="14" t="s">
        <v>522</v>
      </c>
      <c r="M172">
        <v>166.23269999999999</v>
      </c>
      <c r="N172">
        <v>350.01</v>
      </c>
      <c r="O172">
        <v>270.52</v>
      </c>
      <c r="P172" s="13">
        <v>0.95089198580511602</v>
      </c>
    </row>
    <row r="173" spans="11:16" x14ac:dyDescent="0.3">
      <c r="K173" s="14" t="s">
        <v>522</v>
      </c>
      <c r="L173">
        <v>150.16999999999999</v>
      </c>
      <c r="M173">
        <v>82.682299999999998</v>
      </c>
      <c r="N173">
        <v>222</v>
      </c>
      <c r="O173">
        <v>285.14999999999998</v>
      </c>
      <c r="P173" s="13">
        <v>1.0190156058215001</v>
      </c>
    </row>
    <row r="174" spans="11:16" x14ac:dyDescent="0.3">
      <c r="K174" s="14" t="s">
        <v>522</v>
      </c>
      <c r="L174">
        <v>203.13</v>
      </c>
      <c r="M174">
        <v>47.200499999999998</v>
      </c>
      <c r="N174">
        <v>190</v>
      </c>
      <c r="O174">
        <v>281.97000000000003</v>
      </c>
      <c r="P174" s="13">
        <v>1.0629871972195599</v>
      </c>
    </row>
    <row r="175" spans="11:16" x14ac:dyDescent="0.3">
      <c r="K175" s="14" t="s">
        <v>522</v>
      </c>
      <c r="L175">
        <v>203.13</v>
      </c>
      <c r="M175">
        <v>52.191800000000001</v>
      </c>
      <c r="N175">
        <v>189</v>
      </c>
      <c r="O175">
        <v>282.26</v>
      </c>
      <c r="P175" s="13">
        <v>1.0786572663501699</v>
      </c>
    </row>
    <row r="176" spans="11:16" x14ac:dyDescent="0.3">
      <c r="K176" s="14" t="s">
        <v>522</v>
      </c>
      <c r="L176">
        <v>150.61000000000001</v>
      </c>
      <c r="M176">
        <v>84.201400000000007</v>
      </c>
      <c r="N176">
        <v>300.01</v>
      </c>
      <c r="O176">
        <v>289.77999999999997</v>
      </c>
      <c r="P176" s="13">
        <v>1.07948788736283</v>
      </c>
    </row>
    <row r="177" spans="11:16" x14ac:dyDescent="0.3">
      <c r="K177" s="14" t="s">
        <v>522</v>
      </c>
      <c r="L177">
        <v>210.5</v>
      </c>
      <c r="M177">
        <v>24.848099999999999</v>
      </c>
      <c r="N177">
        <v>260.01</v>
      </c>
      <c r="O177">
        <v>279.11</v>
      </c>
      <c r="P177" s="13">
        <v>1.08541686073591</v>
      </c>
    </row>
    <row r="178" spans="11:16" x14ac:dyDescent="0.3">
      <c r="K178" s="14" t="s">
        <v>522</v>
      </c>
      <c r="L178">
        <v>203.13</v>
      </c>
      <c r="M178">
        <v>47.308999999999997</v>
      </c>
      <c r="N178">
        <v>220</v>
      </c>
      <c r="O178">
        <v>277.08</v>
      </c>
      <c r="P178" s="13">
        <v>1.11028944709109</v>
      </c>
    </row>
    <row r="179" spans="11:16" x14ac:dyDescent="0.3">
      <c r="K179" s="14" t="s">
        <v>522</v>
      </c>
      <c r="L179">
        <v>149.74</v>
      </c>
      <c r="M179">
        <v>83.875900000000001</v>
      </c>
      <c r="N179">
        <v>300.01</v>
      </c>
      <c r="O179">
        <v>280.56</v>
      </c>
      <c r="P179" s="13">
        <v>1.11070181066439</v>
      </c>
    </row>
    <row r="180" spans="11:16" x14ac:dyDescent="0.3">
      <c r="K180" s="14" t="s">
        <v>522</v>
      </c>
      <c r="L180">
        <v>150.61000000000001</v>
      </c>
      <c r="M180">
        <v>71.831599999999995</v>
      </c>
      <c r="N180">
        <v>353.01</v>
      </c>
      <c r="O180">
        <v>282.86</v>
      </c>
      <c r="P180" s="13">
        <v>1.1108824153291399</v>
      </c>
    </row>
    <row r="181" spans="11:16" x14ac:dyDescent="0.3">
      <c r="K181" s="14" t="s">
        <v>522</v>
      </c>
      <c r="L181">
        <v>157.99</v>
      </c>
      <c r="M181">
        <v>91.471400000000003</v>
      </c>
      <c r="N181">
        <v>333.01</v>
      </c>
      <c r="O181">
        <v>299.86</v>
      </c>
      <c r="P181" s="13">
        <v>1.1206696458347201</v>
      </c>
    </row>
    <row r="182" spans="11:16" x14ac:dyDescent="0.3">
      <c r="K182" s="14" t="s">
        <v>522</v>
      </c>
      <c r="L182">
        <v>194.88</v>
      </c>
      <c r="M182">
        <v>76.388900000000007</v>
      </c>
      <c r="N182">
        <v>200</v>
      </c>
      <c r="O182">
        <v>287.75</v>
      </c>
      <c r="P182" s="13">
        <v>1.1234366637706299</v>
      </c>
    </row>
    <row r="183" spans="11:16" x14ac:dyDescent="0.3">
      <c r="K183" s="14" t="s">
        <v>522</v>
      </c>
      <c r="L183">
        <v>150.61000000000001</v>
      </c>
      <c r="M183">
        <v>51.323799999999999</v>
      </c>
      <c r="N183">
        <v>430.02</v>
      </c>
      <c r="O183">
        <v>279.13</v>
      </c>
      <c r="P183" s="13">
        <v>1.1239888224125001</v>
      </c>
    </row>
    <row r="184" spans="11:16" x14ac:dyDescent="0.3">
      <c r="K184" s="14" t="s">
        <v>522</v>
      </c>
      <c r="L184">
        <v>149.74</v>
      </c>
      <c r="M184">
        <v>103.4071</v>
      </c>
      <c r="N184">
        <v>230</v>
      </c>
      <c r="O184">
        <v>277.67</v>
      </c>
      <c r="P184" s="13">
        <v>1.1270468541794201</v>
      </c>
    </row>
    <row r="185" spans="11:16" x14ac:dyDescent="0.3">
      <c r="K185" s="14" t="s">
        <v>522</v>
      </c>
      <c r="L185">
        <v>150.16999999999999</v>
      </c>
      <c r="M185">
        <v>108.2899</v>
      </c>
      <c r="N185">
        <v>242.01</v>
      </c>
      <c r="O185">
        <v>284.88</v>
      </c>
      <c r="P185" s="13">
        <v>1.12813289806234</v>
      </c>
    </row>
    <row r="186" spans="11:16" x14ac:dyDescent="0.3">
      <c r="K186" s="14" t="s">
        <v>522</v>
      </c>
      <c r="L186">
        <v>150.61000000000001</v>
      </c>
      <c r="M186">
        <v>84.635400000000004</v>
      </c>
      <c r="N186">
        <v>320.01</v>
      </c>
      <c r="O186">
        <v>280.82</v>
      </c>
      <c r="P186" s="13">
        <v>1.1339933053201301</v>
      </c>
    </row>
    <row r="187" spans="11:16" x14ac:dyDescent="0.3">
      <c r="K187" s="14" t="s">
        <v>522</v>
      </c>
      <c r="L187">
        <v>203.56</v>
      </c>
      <c r="M187">
        <v>45.355899999999998</v>
      </c>
      <c r="N187">
        <v>300.01</v>
      </c>
      <c r="O187">
        <v>285.95999999999998</v>
      </c>
      <c r="P187" s="13">
        <v>1.1432315708490699</v>
      </c>
    </row>
    <row r="188" spans="11:16" x14ac:dyDescent="0.3">
      <c r="K188" s="14" t="s">
        <v>522</v>
      </c>
      <c r="L188">
        <v>203.13</v>
      </c>
      <c r="M188">
        <v>50.130200000000002</v>
      </c>
      <c r="N188">
        <v>290.01</v>
      </c>
      <c r="O188">
        <v>286.62</v>
      </c>
      <c r="P188" s="13">
        <v>1.1466848091549799</v>
      </c>
    </row>
    <row r="189" spans="11:16" x14ac:dyDescent="0.3">
      <c r="K189" s="14" t="s">
        <v>522</v>
      </c>
      <c r="L189">
        <v>150.61000000000001</v>
      </c>
      <c r="M189">
        <v>112.1962</v>
      </c>
      <c r="N189">
        <v>280.01</v>
      </c>
      <c r="O189">
        <v>292.35000000000002</v>
      </c>
      <c r="P189" s="13">
        <v>1.14796921498204</v>
      </c>
    </row>
    <row r="190" spans="11:16" x14ac:dyDescent="0.3">
      <c r="K190" s="14" t="s">
        <v>522</v>
      </c>
      <c r="L190">
        <v>203.13</v>
      </c>
      <c r="M190">
        <v>77.799499999999995</v>
      </c>
      <c r="N190">
        <v>177</v>
      </c>
      <c r="O190">
        <v>284.02</v>
      </c>
      <c r="P190" s="13">
        <v>1.1511495669319101</v>
      </c>
    </row>
    <row r="191" spans="11:16" x14ac:dyDescent="0.3">
      <c r="K191" s="14" t="s">
        <v>522</v>
      </c>
      <c r="L191">
        <v>150.16999999999999</v>
      </c>
      <c r="M191">
        <v>83.658900000000003</v>
      </c>
      <c r="N191">
        <v>300.01</v>
      </c>
      <c r="O191">
        <v>268.45999999999998</v>
      </c>
      <c r="P191" s="13">
        <v>1.1615566564851401</v>
      </c>
    </row>
    <row r="192" spans="11:16" x14ac:dyDescent="0.3">
      <c r="K192" s="14" t="s">
        <v>522</v>
      </c>
      <c r="L192">
        <v>196.18</v>
      </c>
      <c r="M192">
        <v>47.200499999999998</v>
      </c>
      <c r="N192">
        <v>340.11</v>
      </c>
      <c r="O192">
        <v>284.01</v>
      </c>
      <c r="P192" s="13">
        <v>1.1683007640576</v>
      </c>
    </row>
    <row r="193" spans="11:16" x14ac:dyDescent="0.3">
      <c r="K193" s="14" t="s">
        <v>522</v>
      </c>
      <c r="L193">
        <v>210.5</v>
      </c>
      <c r="M193">
        <v>98.415800000000004</v>
      </c>
      <c r="N193">
        <v>111.1</v>
      </c>
      <c r="O193">
        <v>288.88</v>
      </c>
      <c r="P193" s="13">
        <v>1.16934990307394</v>
      </c>
    </row>
    <row r="194" spans="11:16" x14ac:dyDescent="0.3">
      <c r="K194" s="14" t="s">
        <v>522</v>
      </c>
      <c r="L194">
        <v>203.13</v>
      </c>
      <c r="M194">
        <v>56.93</v>
      </c>
      <c r="N194">
        <v>270.01</v>
      </c>
      <c r="O194">
        <v>282.27999999999997</v>
      </c>
      <c r="P194" s="13">
        <v>1.1699822870908301</v>
      </c>
    </row>
    <row r="195" spans="11:16" x14ac:dyDescent="0.3">
      <c r="K195" s="14" t="s">
        <v>522</v>
      </c>
      <c r="L195">
        <v>150.61000000000001</v>
      </c>
      <c r="M195">
        <v>85.720500000000001</v>
      </c>
      <c r="N195">
        <v>380.01</v>
      </c>
      <c r="O195">
        <v>286.02</v>
      </c>
      <c r="P195" s="13">
        <v>1.1717121180337</v>
      </c>
    </row>
    <row r="196" spans="11:16" x14ac:dyDescent="0.3">
      <c r="K196" s="14" t="s">
        <v>522</v>
      </c>
      <c r="L196">
        <v>192.27</v>
      </c>
      <c r="M196">
        <v>46.223999999999997</v>
      </c>
      <c r="N196">
        <v>400.11</v>
      </c>
      <c r="O196">
        <v>292.24</v>
      </c>
      <c r="P196" s="13">
        <v>1.17205926635642</v>
      </c>
    </row>
    <row r="197" spans="11:16" x14ac:dyDescent="0.3">
      <c r="K197" s="14" t="s">
        <v>522</v>
      </c>
      <c r="L197">
        <v>195.31</v>
      </c>
      <c r="M197">
        <v>75.737899999999996</v>
      </c>
      <c r="N197">
        <v>270.01</v>
      </c>
      <c r="O197">
        <v>289.18</v>
      </c>
      <c r="P197" s="13">
        <v>1.18006259077391</v>
      </c>
    </row>
    <row r="198" spans="11:16" x14ac:dyDescent="0.3">
      <c r="K198" s="14" t="s">
        <v>522</v>
      </c>
      <c r="L198">
        <v>203.13</v>
      </c>
      <c r="M198">
        <v>47.200499999999998</v>
      </c>
      <c r="N198">
        <v>350.01</v>
      </c>
      <c r="O198">
        <v>288.89999999999998</v>
      </c>
      <c r="P198" s="13">
        <v>1.18149221183801</v>
      </c>
    </row>
    <row r="199" spans="11:16" x14ac:dyDescent="0.3">
      <c r="K199" s="14" t="s">
        <v>522</v>
      </c>
      <c r="L199">
        <v>157.99</v>
      </c>
      <c r="M199">
        <v>117.07899999999999</v>
      </c>
      <c r="N199">
        <v>250.01</v>
      </c>
      <c r="O199">
        <v>287.74</v>
      </c>
      <c r="P199" s="13">
        <v>1.18187113366233</v>
      </c>
    </row>
    <row r="200" spans="11:16" x14ac:dyDescent="0.3">
      <c r="K200" s="14" t="s">
        <v>522</v>
      </c>
      <c r="L200">
        <v>203.56</v>
      </c>
      <c r="M200">
        <v>79.788799999999995</v>
      </c>
      <c r="N200">
        <v>170</v>
      </c>
      <c r="O200">
        <v>276.52</v>
      </c>
      <c r="P200" s="13">
        <v>1.18453927383191</v>
      </c>
    </row>
    <row r="201" spans="11:16" x14ac:dyDescent="0.3">
      <c r="K201" s="14" t="s">
        <v>522</v>
      </c>
      <c r="L201">
        <v>203.13</v>
      </c>
      <c r="M201">
        <v>49.153700000000001</v>
      </c>
      <c r="N201">
        <v>280.01</v>
      </c>
      <c r="O201">
        <v>272.75</v>
      </c>
      <c r="P201" s="13">
        <v>1.1918837763519701</v>
      </c>
    </row>
    <row r="202" spans="11:16" x14ac:dyDescent="0.3">
      <c r="K202" s="14" t="s">
        <v>522</v>
      </c>
      <c r="L202">
        <v>150.61000000000001</v>
      </c>
      <c r="M202">
        <v>81.866299999999995</v>
      </c>
      <c r="N202">
        <v>400.02</v>
      </c>
      <c r="O202">
        <v>281.67</v>
      </c>
      <c r="P202" s="13">
        <v>1.1945947385238</v>
      </c>
    </row>
    <row r="203" spans="11:16" x14ac:dyDescent="0.3">
      <c r="K203" s="14" t="s">
        <v>522</v>
      </c>
      <c r="L203">
        <v>150.61000000000001</v>
      </c>
      <c r="M203">
        <v>83.767399999999995</v>
      </c>
      <c r="N203">
        <v>420.02</v>
      </c>
      <c r="O203">
        <v>287.2</v>
      </c>
      <c r="P203" s="13">
        <v>1.19631824512535</v>
      </c>
    </row>
    <row r="204" spans="11:16" x14ac:dyDescent="0.3">
      <c r="K204" s="14" t="s">
        <v>522</v>
      </c>
      <c r="L204">
        <v>203.13</v>
      </c>
      <c r="M204">
        <v>76.063400000000001</v>
      </c>
      <c r="N204">
        <v>260.10000000000002</v>
      </c>
      <c r="O204">
        <v>289.47000000000003</v>
      </c>
      <c r="P204" s="13">
        <v>1.1981186306007501</v>
      </c>
    </row>
    <row r="205" spans="11:16" x14ac:dyDescent="0.3">
      <c r="K205" s="14" t="s">
        <v>522</v>
      </c>
      <c r="L205">
        <v>150.61000000000001</v>
      </c>
      <c r="M205">
        <v>92.447900000000004</v>
      </c>
      <c r="N205">
        <v>383.51</v>
      </c>
      <c r="O205">
        <v>286.04000000000002</v>
      </c>
      <c r="P205" s="13">
        <v>1.19833065305552</v>
      </c>
    </row>
    <row r="206" spans="11:16" x14ac:dyDescent="0.3">
      <c r="K206" s="14" t="s">
        <v>522</v>
      </c>
      <c r="L206">
        <v>203.13</v>
      </c>
      <c r="M206">
        <v>73.893199999999993</v>
      </c>
      <c r="N206">
        <v>260.01</v>
      </c>
      <c r="O206">
        <v>287.45</v>
      </c>
      <c r="P206" s="13">
        <v>1.1989069403374499</v>
      </c>
    </row>
    <row r="207" spans="11:16" x14ac:dyDescent="0.3">
      <c r="K207" s="14" t="s">
        <v>522</v>
      </c>
      <c r="L207">
        <v>203.13</v>
      </c>
      <c r="M207">
        <v>47.308999999999997</v>
      </c>
      <c r="N207">
        <v>360.01</v>
      </c>
      <c r="O207">
        <v>286.87</v>
      </c>
      <c r="P207" s="13">
        <v>1.1992944539338399</v>
      </c>
    </row>
    <row r="208" spans="11:16" x14ac:dyDescent="0.3">
      <c r="K208" s="14" t="s">
        <v>522</v>
      </c>
      <c r="L208">
        <v>203.56</v>
      </c>
      <c r="M208">
        <v>66.514799999999994</v>
      </c>
      <c r="N208">
        <v>320.01</v>
      </c>
      <c r="O208">
        <v>294.35000000000002</v>
      </c>
      <c r="P208" s="13">
        <v>1.2001950059452999</v>
      </c>
    </row>
    <row r="209" spans="11:16" x14ac:dyDescent="0.3">
      <c r="K209" s="14" t="s">
        <v>522</v>
      </c>
      <c r="L209">
        <v>150.61000000000001</v>
      </c>
      <c r="M209">
        <v>105.36020000000001</v>
      </c>
      <c r="N209">
        <v>300.01</v>
      </c>
      <c r="O209">
        <v>277.68</v>
      </c>
      <c r="P209" s="13">
        <v>1.20272543935465</v>
      </c>
    </row>
    <row r="210" spans="11:16" x14ac:dyDescent="0.3">
      <c r="K210" s="14" t="s">
        <v>522</v>
      </c>
      <c r="L210">
        <v>210.5</v>
      </c>
      <c r="M210">
        <v>45.247399999999999</v>
      </c>
      <c r="N210">
        <v>360.01</v>
      </c>
      <c r="O210">
        <v>290.08</v>
      </c>
      <c r="P210" s="13">
        <v>1.20432294539437</v>
      </c>
    </row>
    <row r="211" spans="11:16" x14ac:dyDescent="0.3">
      <c r="K211" s="14" t="s">
        <v>522</v>
      </c>
      <c r="L211">
        <v>150.61000000000001</v>
      </c>
      <c r="M211">
        <v>83.658900000000003</v>
      </c>
      <c r="N211">
        <v>396.61</v>
      </c>
      <c r="O211">
        <v>279.11</v>
      </c>
      <c r="P211" s="13">
        <v>1.2087976066783701</v>
      </c>
    </row>
    <row r="212" spans="11:16" x14ac:dyDescent="0.3">
      <c r="K212" s="14" t="s">
        <v>522</v>
      </c>
      <c r="L212">
        <v>203.13</v>
      </c>
      <c r="M212">
        <v>104.2752</v>
      </c>
      <c r="N212">
        <v>166</v>
      </c>
      <c r="O212">
        <v>288.88</v>
      </c>
      <c r="P212" s="13">
        <v>1.21353226253115</v>
      </c>
    </row>
    <row r="213" spans="11:16" x14ac:dyDescent="0.3">
      <c r="K213" s="14" t="s">
        <v>522</v>
      </c>
      <c r="L213">
        <v>203.13</v>
      </c>
      <c r="M213">
        <v>84.635400000000004</v>
      </c>
      <c r="N213">
        <v>266.01</v>
      </c>
      <c r="O213">
        <v>292.94</v>
      </c>
      <c r="P213" s="13">
        <v>1.21843380897112</v>
      </c>
    </row>
    <row r="214" spans="11:16" x14ac:dyDescent="0.3">
      <c r="K214" s="14" t="s">
        <v>522</v>
      </c>
      <c r="L214">
        <v>203.13</v>
      </c>
      <c r="M214">
        <v>105.36020000000001</v>
      </c>
      <c r="N214">
        <v>100.1</v>
      </c>
      <c r="O214">
        <v>274.2</v>
      </c>
      <c r="P214" s="13">
        <v>1.2199715536105</v>
      </c>
    </row>
    <row r="215" spans="11:16" x14ac:dyDescent="0.3">
      <c r="K215" s="14" t="s">
        <v>522</v>
      </c>
      <c r="L215">
        <v>203.13</v>
      </c>
      <c r="M215">
        <v>78.414299999999997</v>
      </c>
      <c r="N215">
        <v>200</v>
      </c>
      <c r="O215">
        <v>273.06</v>
      </c>
      <c r="P215" s="13">
        <v>1.22150552992016</v>
      </c>
    </row>
    <row r="216" spans="11:16" x14ac:dyDescent="0.3">
      <c r="K216" s="14" t="s">
        <v>522</v>
      </c>
      <c r="L216">
        <v>203.13</v>
      </c>
      <c r="M216">
        <v>81.705799999999996</v>
      </c>
      <c r="N216">
        <v>211</v>
      </c>
      <c r="O216">
        <v>277.95</v>
      </c>
      <c r="P216" s="13">
        <v>1.22214714876776</v>
      </c>
    </row>
    <row r="217" spans="11:16" x14ac:dyDescent="0.3">
      <c r="K217" s="14" t="s">
        <v>522</v>
      </c>
      <c r="L217">
        <v>210.5</v>
      </c>
      <c r="M217">
        <v>76.714399999999998</v>
      </c>
      <c r="N217">
        <v>200</v>
      </c>
      <c r="O217">
        <v>277.08</v>
      </c>
      <c r="P217" s="13">
        <v>1.2242471488378801</v>
      </c>
    </row>
    <row r="218" spans="11:16" x14ac:dyDescent="0.3">
      <c r="K218" s="14" t="s">
        <v>522</v>
      </c>
      <c r="L218">
        <v>150.61000000000001</v>
      </c>
      <c r="M218">
        <v>92.447900000000004</v>
      </c>
      <c r="N218">
        <v>380.01</v>
      </c>
      <c r="O218">
        <v>278.27999999999997</v>
      </c>
      <c r="P218" s="13">
        <v>1.2284767141009101</v>
      </c>
    </row>
    <row r="219" spans="11:16" x14ac:dyDescent="0.3">
      <c r="K219" s="14" t="s">
        <v>522</v>
      </c>
      <c r="L219">
        <v>203.13</v>
      </c>
      <c r="M219">
        <v>113.2089</v>
      </c>
      <c r="N219">
        <v>120.1</v>
      </c>
      <c r="O219">
        <v>282.56</v>
      </c>
      <c r="P219" s="13">
        <v>1.2300569790486999</v>
      </c>
    </row>
    <row r="220" spans="11:16" x14ac:dyDescent="0.3">
      <c r="K220" s="14" t="s">
        <v>522</v>
      </c>
      <c r="L220">
        <v>150.61000000000001</v>
      </c>
      <c r="M220">
        <v>83.550399999999996</v>
      </c>
      <c r="N220">
        <v>370.01</v>
      </c>
      <c r="O220">
        <v>268.45999999999998</v>
      </c>
      <c r="P220" s="13">
        <v>1.23058556209491</v>
      </c>
    </row>
    <row r="221" spans="11:16" x14ac:dyDescent="0.3">
      <c r="K221" s="14" t="s">
        <v>522</v>
      </c>
      <c r="L221">
        <v>210.94</v>
      </c>
      <c r="M221">
        <v>85.720500000000001</v>
      </c>
      <c r="N221">
        <v>160</v>
      </c>
      <c r="O221">
        <v>274.81</v>
      </c>
      <c r="P221" s="13">
        <v>1.2308886139514601</v>
      </c>
    </row>
    <row r="222" spans="11:16" x14ac:dyDescent="0.3">
      <c r="K222" s="14" t="s">
        <v>522</v>
      </c>
      <c r="L222">
        <v>210.94</v>
      </c>
      <c r="M222">
        <v>84.526899999999998</v>
      </c>
      <c r="N222">
        <v>220</v>
      </c>
      <c r="O222">
        <v>286.27</v>
      </c>
      <c r="P222" s="13">
        <v>1.23193803053062</v>
      </c>
    </row>
    <row r="223" spans="11:16" x14ac:dyDescent="0.3">
      <c r="K223" s="14" t="s">
        <v>522</v>
      </c>
      <c r="L223">
        <v>210.5</v>
      </c>
      <c r="M223">
        <v>87.673599999999993</v>
      </c>
      <c r="N223">
        <v>270.01</v>
      </c>
      <c r="O223">
        <v>298.98</v>
      </c>
      <c r="P223" s="13">
        <v>1.2321098401230799</v>
      </c>
    </row>
    <row r="224" spans="11:16" x14ac:dyDescent="0.3">
      <c r="K224" s="14" t="s">
        <v>522</v>
      </c>
      <c r="L224">
        <v>150.61000000000001</v>
      </c>
      <c r="M224">
        <v>83.658900000000003</v>
      </c>
      <c r="N224">
        <v>360.01</v>
      </c>
      <c r="O224">
        <v>265.87</v>
      </c>
      <c r="P224" s="13">
        <v>1.2332023169218</v>
      </c>
    </row>
    <row r="225" spans="11:16" x14ac:dyDescent="0.3">
      <c r="K225" s="14" t="s">
        <v>522</v>
      </c>
      <c r="L225">
        <v>210.5</v>
      </c>
      <c r="M225">
        <v>135.85069999999999</v>
      </c>
      <c r="N225">
        <v>24.1</v>
      </c>
      <c r="O225">
        <v>285.74</v>
      </c>
      <c r="P225" s="13">
        <v>1.2340473857352801</v>
      </c>
    </row>
    <row r="226" spans="11:16" x14ac:dyDescent="0.3">
      <c r="K226" s="14" t="s">
        <v>522</v>
      </c>
      <c r="L226">
        <v>203.13</v>
      </c>
      <c r="M226">
        <v>78.7761</v>
      </c>
      <c r="N226">
        <v>250.01</v>
      </c>
      <c r="O226">
        <v>281.08</v>
      </c>
      <c r="P226" s="13">
        <v>1.23419916038139</v>
      </c>
    </row>
    <row r="227" spans="11:16" x14ac:dyDescent="0.3">
      <c r="K227" s="14" t="s">
        <v>522</v>
      </c>
      <c r="L227">
        <v>203.13</v>
      </c>
      <c r="M227">
        <v>79.752600000000001</v>
      </c>
      <c r="N227">
        <v>255.01</v>
      </c>
      <c r="O227">
        <v>282.26</v>
      </c>
      <c r="P227" s="13">
        <v>1.2371047969956801</v>
      </c>
    </row>
    <row r="228" spans="11:16" x14ac:dyDescent="0.3">
      <c r="K228" s="14" t="s">
        <v>522</v>
      </c>
      <c r="L228">
        <v>202.69</v>
      </c>
      <c r="M228">
        <v>79.644099999999995</v>
      </c>
      <c r="N228">
        <v>270.01</v>
      </c>
      <c r="O228">
        <v>284.88</v>
      </c>
      <c r="P228" s="13">
        <v>1.23749192642516</v>
      </c>
    </row>
    <row r="229" spans="11:16" x14ac:dyDescent="0.3">
      <c r="K229" s="14" t="s">
        <v>522</v>
      </c>
      <c r="L229">
        <v>203.13</v>
      </c>
      <c r="M229">
        <v>75.846400000000003</v>
      </c>
      <c r="N229">
        <v>300.01</v>
      </c>
      <c r="O229">
        <v>288.3</v>
      </c>
      <c r="P229" s="13">
        <v>1.2382206035379799</v>
      </c>
    </row>
    <row r="230" spans="11:16" x14ac:dyDescent="0.3">
      <c r="K230" s="14" t="s">
        <v>522</v>
      </c>
      <c r="L230">
        <v>203.13</v>
      </c>
      <c r="M230">
        <v>108.54170000000001</v>
      </c>
      <c r="N230">
        <v>150.1</v>
      </c>
      <c r="O230">
        <v>283.16000000000003</v>
      </c>
      <c r="P230" s="13">
        <v>1.2385142675519101</v>
      </c>
    </row>
    <row r="231" spans="11:16" x14ac:dyDescent="0.3">
      <c r="K231" s="14" t="s">
        <v>522</v>
      </c>
      <c r="L231">
        <v>203.13</v>
      </c>
      <c r="M231">
        <v>46.766500000000001</v>
      </c>
      <c r="N231">
        <v>404.61</v>
      </c>
      <c r="O231">
        <v>286.35000000000002</v>
      </c>
      <c r="P231" s="13">
        <v>1.24007368604854</v>
      </c>
    </row>
    <row r="232" spans="11:16" x14ac:dyDescent="0.3">
      <c r="K232" s="14" t="s">
        <v>522</v>
      </c>
      <c r="L232">
        <v>150.61000000000001</v>
      </c>
      <c r="M232">
        <v>124.89149999999999</v>
      </c>
      <c r="N232">
        <v>260.01</v>
      </c>
      <c r="O232">
        <v>276.49</v>
      </c>
      <c r="P232" s="13">
        <v>1.24092770082101</v>
      </c>
    </row>
    <row r="233" spans="11:16" x14ac:dyDescent="0.3">
      <c r="K233" s="14" t="s">
        <v>522</v>
      </c>
      <c r="L233">
        <v>210.5</v>
      </c>
      <c r="M233">
        <v>95.558400000000006</v>
      </c>
      <c r="N233">
        <v>150.1</v>
      </c>
      <c r="O233">
        <v>277.66000000000003</v>
      </c>
      <c r="P233" s="13">
        <v>1.24283080025931</v>
      </c>
    </row>
    <row r="234" spans="11:16" x14ac:dyDescent="0.3">
      <c r="K234" s="14" t="s">
        <v>522</v>
      </c>
      <c r="L234">
        <v>210.5</v>
      </c>
      <c r="M234">
        <v>76.822900000000004</v>
      </c>
      <c r="N234">
        <v>180</v>
      </c>
      <c r="O234">
        <v>268.75</v>
      </c>
      <c r="P234" s="13">
        <v>1.2432479999999999</v>
      </c>
    </row>
    <row r="235" spans="11:16" x14ac:dyDescent="0.3">
      <c r="K235" s="14" t="s">
        <v>522</v>
      </c>
      <c r="L235">
        <v>202.69</v>
      </c>
      <c r="M235">
        <v>90.928799999999995</v>
      </c>
      <c r="N235">
        <v>200</v>
      </c>
      <c r="O235">
        <v>277.95</v>
      </c>
      <c r="P235" s="13">
        <v>1.2434567368231699</v>
      </c>
    </row>
    <row r="236" spans="11:16" x14ac:dyDescent="0.3">
      <c r="K236" s="14" t="s">
        <v>522</v>
      </c>
      <c r="L236">
        <v>150.16999999999999</v>
      </c>
      <c r="M236">
        <v>81.705699999999993</v>
      </c>
      <c r="N236">
        <v>458.11</v>
      </c>
      <c r="O236">
        <v>282.25</v>
      </c>
      <c r="P236" s="13">
        <v>1.2435227635075301</v>
      </c>
    </row>
    <row r="237" spans="11:16" x14ac:dyDescent="0.3">
      <c r="K237" s="14" t="s">
        <v>522</v>
      </c>
      <c r="L237">
        <v>150.61000000000001</v>
      </c>
      <c r="M237">
        <v>103.29859999999999</v>
      </c>
      <c r="N237">
        <v>350.01</v>
      </c>
      <c r="O237">
        <v>277.36</v>
      </c>
      <c r="P237" s="13">
        <v>1.24355062013268</v>
      </c>
    </row>
    <row r="238" spans="11:16" x14ac:dyDescent="0.3">
      <c r="K238" s="14" t="s">
        <v>522</v>
      </c>
      <c r="L238">
        <v>149.74</v>
      </c>
      <c r="M238">
        <v>84.635400000000004</v>
      </c>
      <c r="N238">
        <v>440.02</v>
      </c>
      <c r="O238">
        <v>279.97000000000003</v>
      </c>
      <c r="P238" s="13">
        <v>1.2457784762653099</v>
      </c>
    </row>
    <row r="239" spans="11:16" x14ac:dyDescent="0.3">
      <c r="K239" s="14" t="s">
        <v>522</v>
      </c>
      <c r="L239">
        <v>210.5</v>
      </c>
      <c r="M239">
        <v>51.323799999999999</v>
      </c>
      <c r="N239">
        <v>280.01</v>
      </c>
      <c r="O239">
        <v>268.43</v>
      </c>
      <c r="P239" s="13">
        <v>1.24660581902172</v>
      </c>
    </row>
    <row r="240" spans="11:16" x14ac:dyDescent="0.3">
      <c r="K240" s="14" t="s">
        <v>522</v>
      </c>
      <c r="L240">
        <v>150.16999999999999</v>
      </c>
      <c r="M240">
        <v>80.729200000000006</v>
      </c>
      <c r="N240">
        <v>450.02</v>
      </c>
      <c r="O240">
        <v>278.51</v>
      </c>
      <c r="P240" s="13">
        <v>1.2491630462101899</v>
      </c>
    </row>
    <row r="241" spans="11:16" x14ac:dyDescent="0.3">
      <c r="K241" s="14" t="s">
        <v>522</v>
      </c>
      <c r="L241">
        <v>203.13</v>
      </c>
      <c r="M241">
        <v>82.320599999999999</v>
      </c>
      <c r="N241">
        <v>240.01</v>
      </c>
      <c r="O241">
        <v>277.92</v>
      </c>
      <c r="P241" s="13">
        <v>1.25163068508923</v>
      </c>
    </row>
    <row r="242" spans="11:16" x14ac:dyDescent="0.3">
      <c r="K242" s="14" t="s">
        <v>522</v>
      </c>
      <c r="L242">
        <v>203.56</v>
      </c>
      <c r="M242">
        <v>105.14319999999999</v>
      </c>
      <c r="N242">
        <v>150.1</v>
      </c>
      <c r="O242">
        <v>277.10000000000002</v>
      </c>
      <c r="P242" s="13">
        <v>1.25488704438831</v>
      </c>
    </row>
    <row r="243" spans="11:16" x14ac:dyDescent="0.3">
      <c r="K243" s="14" t="s">
        <v>522</v>
      </c>
      <c r="L243">
        <v>203.56</v>
      </c>
      <c r="M243">
        <v>95.486199999999997</v>
      </c>
      <c r="N243">
        <v>200</v>
      </c>
      <c r="O243">
        <v>279.37</v>
      </c>
      <c r="P243" s="13">
        <v>1.25656369688943</v>
      </c>
    </row>
    <row r="244" spans="11:16" x14ac:dyDescent="0.3">
      <c r="K244" s="14" t="s">
        <v>522</v>
      </c>
      <c r="L244">
        <v>203.13</v>
      </c>
      <c r="M244">
        <v>110.4601</v>
      </c>
      <c r="N244">
        <v>150.1</v>
      </c>
      <c r="O244">
        <v>280.23</v>
      </c>
      <c r="P244" s="13">
        <v>1.2583096028262499</v>
      </c>
    </row>
    <row r="245" spans="11:16" x14ac:dyDescent="0.3">
      <c r="K245" s="14" t="s">
        <v>522</v>
      </c>
      <c r="L245">
        <v>150.61000000000001</v>
      </c>
      <c r="M245">
        <v>85.720500000000001</v>
      </c>
      <c r="N245">
        <v>460.02</v>
      </c>
      <c r="O245">
        <v>282.85000000000002</v>
      </c>
      <c r="P245" s="13">
        <v>1.25839031288669</v>
      </c>
    </row>
    <row r="246" spans="11:16" x14ac:dyDescent="0.3">
      <c r="K246" s="14" t="s">
        <v>522</v>
      </c>
      <c r="L246">
        <v>210.5</v>
      </c>
      <c r="M246">
        <v>92.809600000000003</v>
      </c>
      <c r="N246">
        <v>180</v>
      </c>
      <c r="O246">
        <v>278.20999999999998</v>
      </c>
      <c r="P246" s="13">
        <v>1.2584364329103901</v>
      </c>
    </row>
    <row r="247" spans="11:16" x14ac:dyDescent="0.3">
      <c r="K247" s="14" t="s">
        <v>522</v>
      </c>
      <c r="L247">
        <v>203.13</v>
      </c>
      <c r="M247">
        <v>92.881900000000002</v>
      </c>
      <c r="N247">
        <v>200</v>
      </c>
      <c r="O247">
        <v>276.52</v>
      </c>
      <c r="P247" s="13">
        <v>1.25854151598438</v>
      </c>
    </row>
    <row r="248" spans="11:16" x14ac:dyDescent="0.3">
      <c r="K248" s="14" t="s">
        <v>522</v>
      </c>
      <c r="L248">
        <v>203.13</v>
      </c>
      <c r="M248">
        <v>79.644099999999995</v>
      </c>
      <c r="N248">
        <v>260.01</v>
      </c>
      <c r="O248">
        <v>278.26</v>
      </c>
      <c r="P248" s="13">
        <v>1.2591702005318799</v>
      </c>
    </row>
    <row r="249" spans="11:16" x14ac:dyDescent="0.3">
      <c r="K249" s="14" t="s">
        <v>522</v>
      </c>
      <c r="L249">
        <v>150.16999999999999</v>
      </c>
      <c r="M249">
        <v>84.743899999999996</v>
      </c>
      <c r="N249">
        <v>440.02</v>
      </c>
      <c r="O249">
        <v>277.36</v>
      </c>
      <c r="P249" s="13">
        <v>1.2594429622151699</v>
      </c>
    </row>
    <row r="250" spans="11:16" x14ac:dyDescent="0.3">
      <c r="K250" s="14" t="s">
        <v>522</v>
      </c>
      <c r="L250">
        <v>203.13</v>
      </c>
      <c r="M250">
        <v>75.737899999999996</v>
      </c>
      <c r="N250">
        <v>260.10000000000002</v>
      </c>
      <c r="O250">
        <v>275.07</v>
      </c>
      <c r="P250" s="13">
        <v>1.2596571781728301</v>
      </c>
    </row>
    <row r="251" spans="11:16" x14ac:dyDescent="0.3">
      <c r="K251" s="14" t="s">
        <v>522</v>
      </c>
      <c r="L251">
        <v>203.56</v>
      </c>
      <c r="M251">
        <v>106.3368</v>
      </c>
      <c r="N251">
        <v>180</v>
      </c>
      <c r="O251">
        <v>282.29000000000002</v>
      </c>
      <c r="P251" s="13">
        <v>1.2635828403414899</v>
      </c>
    </row>
    <row r="252" spans="11:16" x14ac:dyDescent="0.3">
      <c r="K252" s="14" t="s">
        <v>522</v>
      </c>
      <c r="L252">
        <v>203.13</v>
      </c>
      <c r="M252">
        <v>110.2431</v>
      </c>
      <c r="N252">
        <v>83.7</v>
      </c>
      <c r="O252">
        <v>265</v>
      </c>
      <c r="P252" s="13">
        <v>1.2646607547169799</v>
      </c>
    </row>
    <row r="253" spans="11:16" x14ac:dyDescent="0.3">
      <c r="K253" s="14" t="s">
        <v>522</v>
      </c>
      <c r="L253">
        <v>203.13</v>
      </c>
      <c r="M253">
        <v>89.518199999999993</v>
      </c>
      <c r="N253">
        <v>250.01</v>
      </c>
      <c r="O253">
        <v>282.54000000000002</v>
      </c>
      <c r="P253" s="13">
        <v>1.2658412968075301</v>
      </c>
    </row>
    <row r="254" spans="11:16" x14ac:dyDescent="0.3">
      <c r="K254" s="14" t="s">
        <v>522</v>
      </c>
      <c r="L254">
        <v>210.5</v>
      </c>
      <c r="M254">
        <v>110.5324</v>
      </c>
      <c r="N254">
        <v>111.1</v>
      </c>
      <c r="O254">
        <v>276.24</v>
      </c>
      <c r="P254" s="13">
        <v>1.2667187952505099</v>
      </c>
    </row>
    <row r="255" spans="11:16" x14ac:dyDescent="0.3">
      <c r="K255" s="14" t="s">
        <v>522</v>
      </c>
      <c r="L255">
        <v>203.13</v>
      </c>
      <c r="M255">
        <v>130.93170000000001</v>
      </c>
      <c r="N255">
        <v>70.099999999999994</v>
      </c>
      <c r="O255">
        <v>277.68</v>
      </c>
      <c r="P255" s="13">
        <v>1.26868229616825</v>
      </c>
    </row>
    <row r="256" spans="11:16" x14ac:dyDescent="0.3">
      <c r="K256" s="14" t="s">
        <v>522</v>
      </c>
      <c r="L256">
        <v>210.5</v>
      </c>
      <c r="M256">
        <v>84.635400000000004</v>
      </c>
      <c r="N256">
        <v>240.01</v>
      </c>
      <c r="O256">
        <v>281.39999999999998</v>
      </c>
      <c r="P256" s="13">
        <v>1.2705685856432101</v>
      </c>
    </row>
    <row r="257" spans="11:16" x14ac:dyDescent="0.3">
      <c r="K257" s="14" t="s">
        <v>522</v>
      </c>
      <c r="L257">
        <v>203.13</v>
      </c>
      <c r="M257">
        <v>74.942099999999996</v>
      </c>
      <c r="N257">
        <v>290.10000000000002</v>
      </c>
      <c r="O257">
        <v>277.7</v>
      </c>
      <c r="P257" s="13">
        <v>1.27294958588405</v>
      </c>
    </row>
    <row r="258" spans="11:16" x14ac:dyDescent="0.3">
      <c r="K258" s="14" t="s">
        <v>522</v>
      </c>
      <c r="L258">
        <v>150.61000000000001</v>
      </c>
      <c r="M258">
        <v>83.658900000000003</v>
      </c>
      <c r="N258">
        <v>466.02</v>
      </c>
      <c r="O258">
        <v>279.14</v>
      </c>
      <c r="P258" s="13">
        <v>1.2733184065343599</v>
      </c>
    </row>
    <row r="259" spans="11:16" x14ac:dyDescent="0.3">
      <c r="K259" s="14" t="s">
        <v>522</v>
      </c>
      <c r="L259">
        <v>203.56</v>
      </c>
      <c r="M259">
        <v>85.503500000000003</v>
      </c>
      <c r="N259">
        <v>230</v>
      </c>
      <c r="O259">
        <v>273.39</v>
      </c>
      <c r="P259" s="13">
        <v>1.27606532791982</v>
      </c>
    </row>
    <row r="260" spans="11:16" x14ac:dyDescent="0.3">
      <c r="K260" s="14" t="s">
        <v>522</v>
      </c>
      <c r="L260">
        <v>210.94</v>
      </c>
      <c r="M260">
        <v>45.0304</v>
      </c>
      <c r="N260">
        <v>370.01</v>
      </c>
      <c r="O260">
        <v>275.67</v>
      </c>
      <c r="P260" s="13">
        <v>1.27751659592992</v>
      </c>
    </row>
    <row r="261" spans="11:16" x14ac:dyDescent="0.3">
      <c r="K261" s="14" t="s">
        <v>522</v>
      </c>
      <c r="L261">
        <v>203.13</v>
      </c>
      <c r="M261">
        <v>121.0938</v>
      </c>
      <c r="N261">
        <v>155</v>
      </c>
      <c r="O261">
        <v>285.16000000000003</v>
      </c>
      <c r="P261" s="13">
        <v>1.27831322766166</v>
      </c>
    </row>
    <row r="262" spans="11:16" x14ac:dyDescent="0.3">
      <c r="K262" s="14" t="s">
        <v>522</v>
      </c>
      <c r="L262">
        <v>203.13</v>
      </c>
      <c r="M262">
        <v>106.6985</v>
      </c>
      <c r="N262">
        <v>200</v>
      </c>
      <c r="O262">
        <v>282.89</v>
      </c>
      <c r="P262" s="13">
        <v>1.27904309095408</v>
      </c>
    </row>
    <row r="263" spans="11:16" x14ac:dyDescent="0.3">
      <c r="K263" s="14" t="s">
        <v>522</v>
      </c>
      <c r="L263">
        <v>195.75</v>
      </c>
      <c r="M263">
        <v>114.2578</v>
      </c>
      <c r="N263">
        <v>200</v>
      </c>
      <c r="O263">
        <v>282.85000000000002</v>
      </c>
      <c r="P263" s="13">
        <v>1.2798578751988701</v>
      </c>
    </row>
    <row r="264" spans="11:16" x14ac:dyDescent="0.3">
      <c r="K264" s="14" t="s">
        <v>522</v>
      </c>
      <c r="L264">
        <v>203.13</v>
      </c>
      <c r="M264">
        <v>83.694999999999993</v>
      </c>
      <c r="N264">
        <v>280.01</v>
      </c>
      <c r="O264">
        <v>280.54000000000002</v>
      </c>
      <c r="P264" s="13">
        <v>1.28191202680545</v>
      </c>
    </row>
    <row r="265" spans="11:16" x14ac:dyDescent="0.3">
      <c r="K265" s="14" t="s">
        <v>522</v>
      </c>
      <c r="L265">
        <v>203.56</v>
      </c>
      <c r="M265">
        <v>86.5886</v>
      </c>
      <c r="N265">
        <v>279.60000000000002</v>
      </c>
      <c r="O265">
        <v>282.23</v>
      </c>
      <c r="P265" s="13">
        <v>1.28563441165007</v>
      </c>
    </row>
    <row r="266" spans="11:16" x14ac:dyDescent="0.3">
      <c r="K266" s="14" t="s">
        <v>522</v>
      </c>
      <c r="L266">
        <v>210.5</v>
      </c>
      <c r="M266">
        <v>107.0963</v>
      </c>
      <c r="N266">
        <v>111.1</v>
      </c>
      <c r="O266">
        <v>269.33</v>
      </c>
      <c r="P266" s="13">
        <v>1.2864601047042701</v>
      </c>
    </row>
    <row r="267" spans="11:16" x14ac:dyDescent="0.3">
      <c r="K267" s="14" t="s">
        <v>522</v>
      </c>
      <c r="L267">
        <v>203.56</v>
      </c>
      <c r="M267">
        <v>83.550399999999996</v>
      </c>
      <c r="N267">
        <v>280.01</v>
      </c>
      <c r="O267">
        <v>279.7</v>
      </c>
      <c r="P267" s="13">
        <v>1.28678226671434</v>
      </c>
    </row>
    <row r="268" spans="11:16" x14ac:dyDescent="0.3">
      <c r="K268" s="14" t="s">
        <v>522</v>
      </c>
      <c r="L268">
        <v>203.56</v>
      </c>
      <c r="M268">
        <v>87.456599999999995</v>
      </c>
      <c r="N268">
        <v>280.01</v>
      </c>
      <c r="O268">
        <v>282.56</v>
      </c>
      <c r="P268" s="13">
        <v>1.2875821064552699</v>
      </c>
    </row>
    <row r="269" spans="11:16" x14ac:dyDescent="0.3">
      <c r="K269" s="14" t="s">
        <v>522</v>
      </c>
      <c r="L269">
        <v>195.75</v>
      </c>
      <c r="M269">
        <v>80.295100000000005</v>
      </c>
      <c r="N269">
        <v>310.01</v>
      </c>
      <c r="O269">
        <v>276.8</v>
      </c>
      <c r="P269" s="13">
        <v>1.2884671242774599</v>
      </c>
    </row>
    <row r="270" spans="11:16" x14ac:dyDescent="0.3">
      <c r="K270" s="14" t="s">
        <v>522</v>
      </c>
      <c r="L270">
        <v>203.13</v>
      </c>
      <c r="M270">
        <v>103.4071</v>
      </c>
      <c r="N270">
        <v>220</v>
      </c>
      <c r="O270">
        <v>282.25</v>
      </c>
      <c r="P270" s="13">
        <v>1.2887054030115099</v>
      </c>
    </row>
    <row r="271" spans="11:16" x14ac:dyDescent="0.3">
      <c r="K271" s="14" t="s">
        <v>522</v>
      </c>
      <c r="L271">
        <v>210.5</v>
      </c>
      <c r="M271">
        <v>90.494799999999998</v>
      </c>
      <c r="N271">
        <v>250.01</v>
      </c>
      <c r="O271">
        <v>283.98</v>
      </c>
      <c r="P271" s="13">
        <v>1.2888140009859801</v>
      </c>
    </row>
    <row r="272" spans="11:16" x14ac:dyDescent="0.3">
      <c r="K272" s="14" t="s">
        <v>522</v>
      </c>
      <c r="L272">
        <v>150.61000000000001</v>
      </c>
      <c r="M272">
        <v>125</v>
      </c>
      <c r="N272">
        <v>324</v>
      </c>
      <c r="O272">
        <v>278.8</v>
      </c>
      <c r="P272" s="13">
        <v>1.2907101865136299</v>
      </c>
    </row>
    <row r="273" spans="11:16" x14ac:dyDescent="0.3">
      <c r="K273" s="14" t="s">
        <v>522</v>
      </c>
      <c r="L273">
        <v>150.61000000000001</v>
      </c>
      <c r="M273">
        <v>114.3837</v>
      </c>
      <c r="N273">
        <v>375.01</v>
      </c>
      <c r="O273">
        <v>280.27999999999997</v>
      </c>
      <c r="P273" s="13">
        <v>1.2933363065505901</v>
      </c>
    </row>
    <row r="274" spans="11:16" x14ac:dyDescent="0.3">
      <c r="K274" s="14" t="s">
        <v>522</v>
      </c>
      <c r="L274">
        <v>203.13</v>
      </c>
      <c r="M274">
        <v>81.8142</v>
      </c>
      <c r="N274">
        <v>340.01</v>
      </c>
      <c r="O274">
        <v>288.35000000000002</v>
      </c>
      <c r="P274" s="13">
        <v>1.2947695508930099</v>
      </c>
    </row>
    <row r="275" spans="11:16" x14ac:dyDescent="0.3">
      <c r="K275" s="14" t="s">
        <v>522</v>
      </c>
      <c r="L275">
        <v>203.13</v>
      </c>
      <c r="M275">
        <v>99.7179</v>
      </c>
      <c r="N275">
        <v>160.19999999999999</v>
      </c>
      <c r="O275">
        <v>265.83999999999997</v>
      </c>
      <c r="P275" s="13">
        <v>1.2958918898585601</v>
      </c>
    </row>
    <row r="276" spans="11:16" x14ac:dyDescent="0.3">
      <c r="K276" s="14" t="s">
        <v>522</v>
      </c>
      <c r="L276">
        <v>150.61000000000001</v>
      </c>
      <c r="M276">
        <v>82.682299999999998</v>
      </c>
      <c r="N276">
        <v>450.02</v>
      </c>
      <c r="O276">
        <v>270.20999999999998</v>
      </c>
      <c r="P276" s="13">
        <v>1.2963898449354201</v>
      </c>
    </row>
    <row r="277" spans="11:16" x14ac:dyDescent="0.3">
      <c r="K277" s="14" t="s">
        <v>522</v>
      </c>
      <c r="L277">
        <v>203.13</v>
      </c>
      <c r="M277">
        <v>79.788799999999995</v>
      </c>
      <c r="N277">
        <v>300.01</v>
      </c>
      <c r="O277">
        <v>278.23</v>
      </c>
      <c r="P277" s="13">
        <v>1.29720518995076</v>
      </c>
    </row>
    <row r="278" spans="11:16" x14ac:dyDescent="0.3">
      <c r="K278" s="14" t="s">
        <v>522</v>
      </c>
      <c r="L278">
        <v>203.13</v>
      </c>
      <c r="M278">
        <v>90.277799999999999</v>
      </c>
      <c r="N278">
        <v>260.01</v>
      </c>
      <c r="O278">
        <v>277.94</v>
      </c>
      <c r="P278" s="13">
        <v>1.2988788947254799</v>
      </c>
    </row>
    <row r="279" spans="11:16" x14ac:dyDescent="0.3">
      <c r="K279" s="14" t="s">
        <v>522</v>
      </c>
      <c r="L279">
        <v>150.16999999999999</v>
      </c>
      <c r="M279">
        <v>103.29859999999999</v>
      </c>
      <c r="N279">
        <v>441.11</v>
      </c>
      <c r="O279">
        <v>283.41000000000003</v>
      </c>
      <c r="P279" s="13">
        <v>1.2990268515578101</v>
      </c>
    </row>
    <row r="280" spans="11:16" x14ac:dyDescent="0.3">
      <c r="K280" s="14" t="s">
        <v>522</v>
      </c>
      <c r="L280">
        <v>211.37</v>
      </c>
      <c r="M280">
        <v>91.579899999999995</v>
      </c>
      <c r="N280">
        <v>200</v>
      </c>
      <c r="O280">
        <v>273.06</v>
      </c>
      <c r="P280" s="13">
        <v>1.2998970922141699</v>
      </c>
    </row>
    <row r="281" spans="11:16" x14ac:dyDescent="0.3">
      <c r="K281" s="14" t="s">
        <v>522</v>
      </c>
      <c r="L281">
        <v>203.13</v>
      </c>
      <c r="M281">
        <v>113.86</v>
      </c>
      <c r="N281">
        <v>160</v>
      </c>
      <c r="O281">
        <v>275.62</v>
      </c>
      <c r="P281" s="13">
        <v>1.3010304041796701</v>
      </c>
    </row>
    <row r="282" spans="11:16" x14ac:dyDescent="0.3">
      <c r="K282" s="14" t="s">
        <v>522</v>
      </c>
      <c r="L282">
        <v>203.13</v>
      </c>
      <c r="M282">
        <v>112.0877</v>
      </c>
      <c r="N282">
        <v>222</v>
      </c>
      <c r="O282">
        <v>286.29000000000002</v>
      </c>
      <c r="P282" s="13">
        <v>1.3026570959516599</v>
      </c>
    </row>
    <row r="283" spans="11:16" x14ac:dyDescent="0.3">
      <c r="K283" s="14" t="s">
        <v>522</v>
      </c>
      <c r="L283">
        <v>203.13</v>
      </c>
      <c r="M283">
        <v>84.635400000000004</v>
      </c>
      <c r="N283">
        <v>330.01</v>
      </c>
      <c r="O283">
        <v>286.57</v>
      </c>
      <c r="P283" s="13">
        <v>1.30358376661898</v>
      </c>
    </row>
    <row r="284" spans="11:16" x14ac:dyDescent="0.3">
      <c r="K284" s="14" t="s">
        <v>522</v>
      </c>
      <c r="L284">
        <v>203.13</v>
      </c>
      <c r="M284">
        <v>93.533000000000001</v>
      </c>
      <c r="N284">
        <v>260.01</v>
      </c>
      <c r="O284">
        <v>279.41000000000003</v>
      </c>
      <c r="P284" s="13">
        <v>1.3036956443935399</v>
      </c>
    </row>
    <row r="285" spans="11:16" x14ac:dyDescent="0.3">
      <c r="K285" s="14" t="s">
        <v>522</v>
      </c>
      <c r="L285">
        <v>195.31</v>
      </c>
      <c r="M285">
        <v>83.658900000000003</v>
      </c>
      <c r="N285">
        <v>333.01</v>
      </c>
      <c r="O285">
        <v>280.23</v>
      </c>
      <c r="P285" s="13">
        <v>1.3044695428755</v>
      </c>
    </row>
    <row r="286" spans="11:16" x14ac:dyDescent="0.3">
      <c r="K286" s="14" t="s">
        <v>522</v>
      </c>
      <c r="L286">
        <v>150.61000000000001</v>
      </c>
      <c r="M286">
        <v>123.1554</v>
      </c>
      <c r="N286">
        <v>300.01</v>
      </c>
      <c r="O286">
        <v>269.60000000000002</v>
      </c>
      <c r="P286" s="13">
        <v>1.30477744807122</v>
      </c>
    </row>
    <row r="287" spans="11:16" x14ac:dyDescent="0.3">
      <c r="K287" s="14" t="s">
        <v>522</v>
      </c>
      <c r="L287">
        <v>203.13</v>
      </c>
      <c r="M287">
        <v>74.978300000000004</v>
      </c>
      <c r="N287">
        <v>340.01</v>
      </c>
      <c r="O287">
        <v>280.52999999999997</v>
      </c>
      <c r="P287" s="13">
        <v>1.3064944925676401</v>
      </c>
    </row>
    <row r="288" spans="11:16" x14ac:dyDescent="0.3">
      <c r="K288" s="14" t="s">
        <v>522</v>
      </c>
      <c r="L288">
        <v>203.13</v>
      </c>
      <c r="M288">
        <v>154.40539999999999</v>
      </c>
      <c r="N288">
        <v>100.1</v>
      </c>
      <c r="O288">
        <v>293.54000000000002</v>
      </c>
      <c r="P288" s="13">
        <v>1.3066750698371601</v>
      </c>
    </row>
    <row r="289" spans="11:16" x14ac:dyDescent="0.3">
      <c r="K289" s="14" t="s">
        <v>522</v>
      </c>
      <c r="L289">
        <v>195.75</v>
      </c>
      <c r="M289">
        <v>90.494799999999998</v>
      </c>
      <c r="N289">
        <v>360.01</v>
      </c>
      <c r="O289">
        <v>290.64999999999998</v>
      </c>
      <c r="P289" s="13">
        <v>1.3068893858592801</v>
      </c>
    </row>
    <row r="290" spans="11:16" x14ac:dyDescent="0.3">
      <c r="K290" s="14" t="s">
        <v>522</v>
      </c>
      <c r="L290">
        <v>203.13</v>
      </c>
      <c r="M290">
        <v>92.881900000000002</v>
      </c>
      <c r="N290">
        <v>270.01</v>
      </c>
      <c r="O290">
        <v>279.68</v>
      </c>
      <c r="P290" s="13">
        <v>1.3094053918764299</v>
      </c>
    </row>
    <row r="291" spans="11:16" x14ac:dyDescent="0.3">
      <c r="K291" s="14" t="s">
        <v>522</v>
      </c>
      <c r="L291">
        <v>203.13</v>
      </c>
      <c r="M291">
        <v>128.9786</v>
      </c>
      <c r="N291">
        <v>155</v>
      </c>
      <c r="O291">
        <v>284.29000000000002</v>
      </c>
      <c r="P291" s="13">
        <v>1.3099602518555</v>
      </c>
    </row>
    <row r="292" spans="11:16" x14ac:dyDescent="0.3">
      <c r="K292" s="14" t="s">
        <v>522</v>
      </c>
      <c r="L292">
        <v>210.5</v>
      </c>
      <c r="M292">
        <v>60.112900000000003</v>
      </c>
      <c r="N292">
        <v>310.01</v>
      </c>
      <c r="O292">
        <v>267.8</v>
      </c>
      <c r="P292" s="13">
        <v>1.3114843166542201</v>
      </c>
    </row>
    <row r="293" spans="11:16" x14ac:dyDescent="0.3">
      <c r="K293" s="14" t="s">
        <v>522</v>
      </c>
      <c r="L293">
        <v>210.5</v>
      </c>
      <c r="M293">
        <v>101.88800000000001</v>
      </c>
      <c r="N293">
        <v>166</v>
      </c>
      <c r="O293">
        <v>271.06</v>
      </c>
      <c r="P293" s="13">
        <v>1.3116948277134199</v>
      </c>
    </row>
    <row r="294" spans="11:16" x14ac:dyDescent="0.3">
      <c r="K294" s="14" t="s">
        <v>522</v>
      </c>
      <c r="L294">
        <v>203.13</v>
      </c>
      <c r="M294">
        <v>132.8125</v>
      </c>
      <c r="N294">
        <v>120.1</v>
      </c>
      <c r="O294">
        <v>279.41000000000003</v>
      </c>
      <c r="P294" s="13">
        <v>1.3140850363265499</v>
      </c>
    </row>
    <row r="295" spans="11:16" x14ac:dyDescent="0.3">
      <c r="K295" s="14" t="s">
        <v>522</v>
      </c>
      <c r="L295">
        <v>203.13</v>
      </c>
      <c r="M295">
        <v>94.256399999999999</v>
      </c>
      <c r="N295">
        <v>200</v>
      </c>
      <c r="O295">
        <v>265.82</v>
      </c>
      <c r="P295" s="13">
        <v>1.31437213151757</v>
      </c>
    </row>
    <row r="296" spans="11:16" x14ac:dyDescent="0.3">
      <c r="K296" s="14" t="s">
        <v>522</v>
      </c>
      <c r="L296">
        <v>203.13</v>
      </c>
      <c r="M296">
        <v>105.3603</v>
      </c>
      <c r="N296">
        <v>220</v>
      </c>
      <c r="O296">
        <v>278.2</v>
      </c>
      <c r="P296" s="13">
        <v>1.3144870596692999</v>
      </c>
    </row>
    <row r="297" spans="11:16" x14ac:dyDescent="0.3">
      <c r="K297" s="14" t="s">
        <v>522</v>
      </c>
      <c r="L297">
        <v>210.5</v>
      </c>
      <c r="M297">
        <v>78.848399999999998</v>
      </c>
      <c r="N297">
        <v>270.01</v>
      </c>
      <c r="O297">
        <v>273.33</v>
      </c>
      <c r="P297" s="13">
        <v>1.3154465298357301</v>
      </c>
    </row>
    <row r="298" spans="11:16" x14ac:dyDescent="0.3">
      <c r="K298" s="14" t="s">
        <v>522</v>
      </c>
      <c r="L298">
        <v>203.13</v>
      </c>
      <c r="M298">
        <v>110.13460000000001</v>
      </c>
      <c r="N298">
        <v>240.01</v>
      </c>
      <c r="O298">
        <v>284.89</v>
      </c>
      <c r="P298" s="13">
        <v>1.3186394748850401</v>
      </c>
    </row>
    <row r="299" spans="11:16" x14ac:dyDescent="0.3">
      <c r="K299" s="14" t="s">
        <v>522</v>
      </c>
      <c r="L299">
        <v>203.13</v>
      </c>
      <c r="M299">
        <v>105.36020000000001</v>
      </c>
      <c r="N299">
        <v>280.01</v>
      </c>
      <c r="O299">
        <v>289.14</v>
      </c>
      <c r="P299" s="13">
        <v>1.3187134260219999</v>
      </c>
    </row>
    <row r="300" spans="11:16" x14ac:dyDescent="0.3">
      <c r="K300" s="14" t="s">
        <v>522</v>
      </c>
      <c r="L300">
        <v>203.13</v>
      </c>
      <c r="M300">
        <v>96.571200000000005</v>
      </c>
      <c r="N300">
        <v>266.01</v>
      </c>
      <c r="O300">
        <v>279.7</v>
      </c>
      <c r="P300" s="13">
        <v>1.31878369681802</v>
      </c>
    </row>
    <row r="301" spans="11:16" x14ac:dyDescent="0.3">
      <c r="K301" s="14" t="s">
        <v>522</v>
      </c>
      <c r="L301">
        <v>210.5</v>
      </c>
      <c r="M301">
        <v>92.556399999999996</v>
      </c>
      <c r="N301">
        <v>310.01</v>
      </c>
      <c r="O301">
        <v>290.88</v>
      </c>
      <c r="P301" s="13">
        <v>1.31895970847085</v>
      </c>
    </row>
    <row r="302" spans="11:16" x14ac:dyDescent="0.3">
      <c r="K302" s="14" t="s">
        <v>522</v>
      </c>
      <c r="L302">
        <v>210.94</v>
      </c>
      <c r="M302">
        <v>104.2752</v>
      </c>
      <c r="N302">
        <v>255.01</v>
      </c>
      <c r="O302">
        <v>289.2</v>
      </c>
      <c r="P302" s="13">
        <v>1.31921784232365</v>
      </c>
    </row>
    <row r="303" spans="11:16" x14ac:dyDescent="0.3">
      <c r="K303" s="14" t="s">
        <v>522</v>
      </c>
      <c r="L303">
        <v>150.61000000000001</v>
      </c>
      <c r="M303">
        <v>132.8125</v>
      </c>
      <c r="N303">
        <v>370.01</v>
      </c>
      <c r="O303">
        <v>287.48</v>
      </c>
      <c r="P303" s="13">
        <v>1.32052699318213</v>
      </c>
    </row>
    <row r="304" spans="11:16" x14ac:dyDescent="0.3">
      <c r="K304" s="14" t="s">
        <v>522</v>
      </c>
      <c r="L304">
        <v>203.13</v>
      </c>
      <c r="M304">
        <v>95.269199999999998</v>
      </c>
      <c r="N304">
        <v>300.01</v>
      </c>
      <c r="O304">
        <v>284.89</v>
      </c>
      <c r="P304" s="13">
        <v>1.3212180139703</v>
      </c>
    </row>
    <row r="305" spans="11:16" x14ac:dyDescent="0.3">
      <c r="K305" s="14" t="s">
        <v>522</v>
      </c>
      <c r="L305">
        <v>202.69</v>
      </c>
      <c r="M305">
        <v>106.3368</v>
      </c>
      <c r="N305">
        <v>300.01</v>
      </c>
      <c r="O305">
        <v>292.64</v>
      </c>
      <c r="P305" s="13">
        <v>1.32254442318207</v>
      </c>
    </row>
    <row r="306" spans="11:16" x14ac:dyDescent="0.3">
      <c r="K306" s="14" t="s">
        <v>522</v>
      </c>
      <c r="L306">
        <v>210.5</v>
      </c>
      <c r="M306">
        <v>82.682299999999998</v>
      </c>
      <c r="N306">
        <v>260.01</v>
      </c>
      <c r="O306">
        <v>272.77999999999997</v>
      </c>
      <c r="P306" s="13">
        <v>1.3226222596964601</v>
      </c>
    </row>
    <row r="307" spans="11:16" x14ac:dyDescent="0.3">
      <c r="K307" s="14" t="s">
        <v>522</v>
      </c>
      <c r="L307">
        <v>203.13</v>
      </c>
      <c r="M307">
        <v>87.673599999999993</v>
      </c>
      <c r="N307">
        <v>300.01</v>
      </c>
      <c r="O307">
        <v>278.8</v>
      </c>
      <c r="P307" s="13">
        <v>1.3228342898134899</v>
      </c>
    </row>
    <row r="308" spans="11:16" x14ac:dyDescent="0.3">
      <c r="K308" s="14" t="s">
        <v>522</v>
      </c>
      <c r="L308">
        <v>203.13</v>
      </c>
      <c r="M308">
        <v>103.29859999999999</v>
      </c>
      <c r="N308">
        <v>255.01</v>
      </c>
      <c r="O308">
        <v>281.70999999999998</v>
      </c>
      <c r="P308" s="13">
        <v>1.32310248127507</v>
      </c>
    </row>
    <row r="309" spans="11:16" x14ac:dyDescent="0.3">
      <c r="K309" s="14" t="s">
        <v>522</v>
      </c>
      <c r="L309">
        <v>203.13</v>
      </c>
      <c r="M309">
        <v>83.658900000000003</v>
      </c>
      <c r="N309">
        <v>340.01</v>
      </c>
      <c r="O309">
        <v>283.39999999999998</v>
      </c>
      <c r="P309" s="13">
        <v>1.3238937896965399</v>
      </c>
    </row>
    <row r="310" spans="11:16" x14ac:dyDescent="0.3">
      <c r="K310" s="14" t="s">
        <v>522</v>
      </c>
      <c r="L310">
        <v>203.13</v>
      </c>
      <c r="M310">
        <v>111.9068</v>
      </c>
      <c r="N310">
        <v>160</v>
      </c>
      <c r="O310">
        <v>269.27999999999997</v>
      </c>
      <c r="P310" s="13">
        <v>1.32440879382056</v>
      </c>
    </row>
    <row r="311" spans="11:16" x14ac:dyDescent="0.3">
      <c r="K311" s="14" t="s">
        <v>522</v>
      </c>
      <c r="L311">
        <v>210.94</v>
      </c>
      <c r="M311">
        <v>104.2752</v>
      </c>
      <c r="N311">
        <v>220</v>
      </c>
      <c r="O311">
        <v>281.14999999999998</v>
      </c>
      <c r="P311" s="13">
        <v>1.32461390716699</v>
      </c>
    </row>
    <row r="312" spans="11:16" x14ac:dyDescent="0.3">
      <c r="K312" s="14" t="s">
        <v>522</v>
      </c>
      <c r="L312">
        <v>203.13</v>
      </c>
      <c r="M312">
        <v>79.644099999999995</v>
      </c>
      <c r="N312">
        <v>350.01</v>
      </c>
      <c r="O312">
        <v>282.16000000000003</v>
      </c>
      <c r="P312" s="13">
        <v>1.3246976892543201</v>
      </c>
    </row>
    <row r="313" spans="11:16" x14ac:dyDescent="0.3">
      <c r="K313" s="14" t="s">
        <v>522</v>
      </c>
      <c r="L313">
        <v>210.5</v>
      </c>
      <c r="M313">
        <v>101.45399999999999</v>
      </c>
      <c r="N313">
        <v>211</v>
      </c>
      <c r="O313">
        <v>276.79000000000002</v>
      </c>
      <c r="P313" s="13">
        <v>1.3252429639799099</v>
      </c>
    </row>
    <row r="314" spans="11:16" x14ac:dyDescent="0.3">
      <c r="K314" s="14" t="s">
        <v>522</v>
      </c>
      <c r="L314">
        <v>203.13</v>
      </c>
      <c r="M314">
        <v>113.38979999999999</v>
      </c>
      <c r="N314">
        <v>222</v>
      </c>
      <c r="O314">
        <v>282.29000000000002</v>
      </c>
      <c r="P314" s="13">
        <v>1.3257281519005299</v>
      </c>
    </row>
    <row r="315" spans="11:16" x14ac:dyDescent="0.3">
      <c r="K315" s="14" t="s">
        <v>522</v>
      </c>
      <c r="L315">
        <v>150.16999999999999</v>
      </c>
      <c r="M315">
        <v>92.447900000000004</v>
      </c>
      <c r="N315">
        <v>499.11</v>
      </c>
      <c r="O315">
        <v>280.86</v>
      </c>
      <c r="P315" s="13">
        <v>1.3258794417147299</v>
      </c>
    </row>
    <row r="316" spans="11:16" x14ac:dyDescent="0.3">
      <c r="K316" s="14" t="s">
        <v>522</v>
      </c>
      <c r="L316">
        <v>210.94</v>
      </c>
      <c r="M316">
        <v>84.418400000000005</v>
      </c>
      <c r="N316">
        <v>300.01</v>
      </c>
      <c r="O316">
        <v>281.39</v>
      </c>
      <c r="P316" s="13">
        <v>1.3268453036710599</v>
      </c>
    </row>
    <row r="317" spans="11:16" x14ac:dyDescent="0.3">
      <c r="K317" s="14" t="s">
        <v>522</v>
      </c>
      <c r="L317">
        <v>157.99</v>
      </c>
      <c r="M317">
        <v>123.9149</v>
      </c>
      <c r="N317">
        <v>380.01</v>
      </c>
      <c r="O317">
        <v>286.89999999999998</v>
      </c>
      <c r="P317" s="13">
        <v>1.32696932729174</v>
      </c>
    </row>
    <row r="318" spans="11:16" x14ac:dyDescent="0.3">
      <c r="K318" s="14" t="s">
        <v>522</v>
      </c>
      <c r="L318">
        <v>210.5</v>
      </c>
      <c r="M318">
        <v>109.2303</v>
      </c>
      <c r="N318">
        <v>200</v>
      </c>
      <c r="O318">
        <v>279.95999999999998</v>
      </c>
      <c r="P318" s="13">
        <v>1.32779789969996</v>
      </c>
    </row>
    <row r="319" spans="11:16" x14ac:dyDescent="0.3">
      <c r="K319" s="14" t="s">
        <v>522</v>
      </c>
      <c r="L319">
        <v>203.13</v>
      </c>
      <c r="M319">
        <v>105.3603</v>
      </c>
      <c r="N319">
        <v>250.01</v>
      </c>
      <c r="O319">
        <v>281.05</v>
      </c>
      <c r="P319" s="13">
        <v>1.32891976516634</v>
      </c>
    </row>
    <row r="320" spans="11:16" x14ac:dyDescent="0.3">
      <c r="K320" s="14" t="s">
        <v>522</v>
      </c>
      <c r="L320">
        <v>157.99</v>
      </c>
      <c r="M320">
        <v>83.875900000000001</v>
      </c>
      <c r="N320">
        <v>450.02</v>
      </c>
      <c r="O320">
        <v>269.89999999999998</v>
      </c>
      <c r="P320" s="13">
        <v>1.32964468321601</v>
      </c>
    </row>
    <row r="321" spans="11:16" x14ac:dyDescent="0.3">
      <c r="K321" s="14" t="s">
        <v>522</v>
      </c>
      <c r="L321">
        <v>210.94</v>
      </c>
      <c r="M321">
        <v>95.377600000000001</v>
      </c>
      <c r="N321">
        <v>270.01</v>
      </c>
      <c r="O321">
        <v>283.12</v>
      </c>
      <c r="P321" s="13">
        <v>1.32989615710653</v>
      </c>
    </row>
    <row r="322" spans="11:16" x14ac:dyDescent="0.3">
      <c r="K322" s="14" t="s">
        <v>522</v>
      </c>
      <c r="L322">
        <v>203.13</v>
      </c>
      <c r="M322">
        <v>84.635400000000004</v>
      </c>
      <c r="N322">
        <v>420.02</v>
      </c>
      <c r="O322">
        <v>298.10000000000002</v>
      </c>
      <c r="P322" s="13">
        <v>1.33166923851057</v>
      </c>
    </row>
    <row r="323" spans="11:16" x14ac:dyDescent="0.3">
      <c r="K323" s="14" t="s">
        <v>522</v>
      </c>
      <c r="L323">
        <v>210.5</v>
      </c>
      <c r="M323">
        <v>113.17270000000001</v>
      </c>
      <c r="N323">
        <v>220</v>
      </c>
      <c r="O323">
        <v>285.72000000000003</v>
      </c>
      <c r="P323" s="13">
        <v>1.33302778944421</v>
      </c>
    </row>
    <row r="324" spans="11:16" x14ac:dyDescent="0.3">
      <c r="K324" s="14" t="s">
        <v>522</v>
      </c>
      <c r="L324">
        <v>203.13</v>
      </c>
      <c r="M324">
        <v>79.716399999999993</v>
      </c>
      <c r="N324">
        <v>315.01</v>
      </c>
      <c r="O324">
        <v>273.07</v>
      </c>
      <c r="P324" s="13">
        <v>1.33573442706998</v>
      </c>
    </row>
    <row r="325" spans="11:16" x14ac:dyDescent="0.3">
      <c r="K325" s="14" t="s">
        <v>522</v>
      </c>
      <c r="L325">
        <v>210.94</v>
      </c>
      <c r="M325">
        <v>83.658900000000003</v>
      </c>
      <c r="N325">
        <v>380.01</v>
      </c>
      <c r="O325">
        <v>294.39</v>
      </c>
      <c r="P325" s="13">
        <v>1.3363276605862999</v>
      </c>
    </row>
    <row r="326" spans="11:16" x14ac:dyDescent="0.3">
      <c r="K326" s="14" t="s">
        <v>522</v>
      </c>
      <c r="L326">
        <v>203.13</v>
      </c>
      <c r="M326">
        <v>113.17270000000001</v>
      </c>
      <c r="N326">
        <v>220</v>
      </c>
      <c r="O326">
        <v>279.36</v>
      </c>
      <c r="P326" s="13">
        <v>1.3369942010309299</v>
      </c>
    </row>
    <row r="327" spans="11:16" x14ac:dyDescent="0.3">
      <c r="K327" s="14" t="s">
        <v>522</v>
      </c>
      <c r="L327">
        <v>203.56</v>
      </c>
      <c r="M327">
        <v>92.809600000000003</v>
      </c>
      <c r="N327">
        <v>310.01</v>
      </c>
      <c r="O327">
        <v>281.7</v>
      </c>
      <c r="P327" s="13">
        <v>1.3382044728434499</v>
      </c>
    </row>
    <row r="328" spans="11:16" x14ac:dyDescent="0.3">
      <c r="K328" s="14" t="s">
        <v>522</v>
      </c>
      <c r="L328">
        <v>203.13</v>
      </c>
      <c r="M328">
        <v>103.4071</v>
      </c>
      <c r="N328">
        <v>280.01</v>
      </c>
      <c r="O328">
        <v>283.43</v>
      </c>
      <c r="P328" s="13">
        <v>1.3383893730374301</v>
      </c>
    </row>
    <row r="329" spans="11:16" x14ac:dyDescent="0.3">
      <c r="K329" s="14" t="s">
        <v>522</v>
      </c>
      <c r="L329">
        <v>196.18</v>
      </c>
      <c r="M329">
        <v>115.01739999999999</v>
      </c>
      <c r="N329">
        <v>300.01</v>
      </c>
      <c r="O329">
        <v>290.63</v>
      </c>
      <c r="P329" s="13">
        <v>1.33915975639129</v>
      </c>
    </row>
    <row r="330" spans="11:16" x14ac:dyDescent="0.3">
      <c r="K330" s="14" t="s">
        <v>522</v>
      </c>
      <c r="L330">
        <v>203.13</v>
      </c>
      <c r="M330">
        <v>111.11109999999999</v>
      </c>
      <c r="N330">
        <v>266.01</v>
      </c>
      <c r="O330">
        <v>286.02</v>
      </c>
      <c r="P330" s="13">
        <v>1.34047863785749</v>
      </c>
    </row>
    <row r="331" spans="11:16" x14ac:dyDescent="0.3">
      <c r="K331" s="14" t="s">
        <v>522</v>
      </c>
      <c r="L331">
        <v>202.26</v>
      </c>
      <c r="M331">
        <v>86.263000000000005</v>
      </c>
      <c r="N331">
        <v>320.01</v>
      </c>
      <c r="O331">
        <v>277.06</v>
      </c>
      <c r="P331" s="13">
        <v>1.3416790586876499</v>
      </c>
    </row>
    <row r="332" spans="11:16" x14ac:dyDescent="0.3">
      <c r="K332" s="14" t="s">
        <v>522</v>
      </c>
      <c r="L332">
        <v>210.5</v>
      </c>
      <c r="M332">
        <v>113.0642</v>
      </c>
      <c r="N332">
        <v>233.01</v>
      </c>
      <c r="O332">
        <v>286.01</v>
      </c>
      <c r="P332" s="13">
        <v>1.34312366700465</v>
      </c>
    </row>
    <row r="333" spans="11:16" x14ac:dyDescent="0.3">
      <c r="K333" s="14" t="s">
        <v>522</v>
      </c>
      <c r="L333">
        <v>150.61000000000001</v>
      </c>
      <c r="M333">
        <v>84.635400000000004</v>
      </c>
      <c r="N333">
        <v>576.02</v>
      </c>
      <c r="O333">
        <v>286.58</v>
      </c>
      <c r="P333" s="13">
        <v>1.3434663968176399</v>
      </c>
    </row>
    <row r="334" spans="11:16" x14ac:dyDescent="0.3">
      <c r="K334" s="14" t="s">
        <v>522</v>
      </c>
      <c r="L334">
        <v>210.5</v>
      </c>
      <c r="M334">
        <v>102.4306</v>
      </c>
      <c r="N334">
        <v>230</v>
      </c>
      <c r="O334">
        <v>277.37</v>
      </c>
      <c r="P334" s="13">
        <v>1.3438028626023</v>
      </c>
    </row>
    <row r="335" spans="11:16" x14ac:dyDescent="0.3">
      <c r="K335" s="14" t="s">
        <v>522</v>
      </c>
      <c r="L335">
        <v>203.13</v>
      </c>
      <c r="M335">
        <v>90.928799999999995</v>
      </c>
      <c r="N335">
        <v>270.01</v>
      </c>
      <c r="O335">
        <v>271.06</v>
      </c>
      <c r="P335" s="13">
        <v>1.3438404781229201</v>
      </c>
    </row>
    <row r="336" spans="11:16" x14ac:dyDescent="0.3">
      <c r="K336" s="14" t="s">
        <v>522</v>
      </c>
      <c r="L336">
        <v>210.5</v>
      </c>
      <c r="M336">
        <v>113.2089</v>
      </c>
      <c r="N336">
        <v>170</v>
      </c>
      <c r="O336">
        <v>273.62</v>
      </c>
      <c r="P336" s="13">
        <v>1.3445979826036101</v>
      </c>
    </row>
    <row r="337" spans="11:16" x14ac:dyDescent="0.3">
      <c r="K337" s="14" t="s">
        <v>522</v>
      </c>
      <c r="L337">
        <v>203.13</v>
      </c>
      <c r="M337">
        <v>134.65710000000001</v>
      </c>
      <c r="N337">
        <v>200</v>
      </c>
      <c r="O337">
        <v>289.5</v>
      </c>
      <c r="P337" s="13">
        <v>1.3464148531951601</v>
      </c>
    </row>
    <row r="338" spans="11:16" x14ac:dyDescent="0.3">
      <c r="K338" s="14" t="s">
        <v>522</v>
      </c>
      <c r="L338">
        <v>210.07</v>
      </c>
      <c r="M338">
        <v>111.11109999999999</v>
      </c>
      <c r="N338">
        <v>166</v>
      </c>
      <c r="O338">
        <v>270.19</v>
      </c>
      <c r="P338" s="13">
        <v>1.3484625633813201</v>
      </c>
    </row>
    <row r="339" spans="11:16" x14ac:dyDescent="0.3">
      <c r="K339" s="14" t="s">
        <v>522</v>
      </c>
      <c r="L339">
        <v>203.13</v>
      </c>
      <c r="M339">
        <v>98.307299999999998</v>
      </c>
      <c r="N339">
        <v>320.01</v>
      </c>
      <c r="O339">
        <v>285.16000000000003</v>
      </c>
      <c r="P339" s="13">
        <v>1.3488564314770699</v>
      </c>
    </row>
    <row r="340" spans="11:16" x14ac:dyDescent="0.3">
      <c r="K340" s="14" t="s">
        <v>522</v>
      </c>
      <c r="L340">
        <v>203.13</v>
      </c>
      <c r="M340">
        <v>110.5324</v>
      </c>
      <c r="N340">
        <v>240.01</v>
      </c>
      <c r="O340">
        <v>278.63</v>
      </c>
      <c r="P340" s="13">
        <v>1.3496931414420601</v>
      </c>
    </row>
    <row r="341" spans="11:16" x14ac:dyDescent="0.3">
      <c r="K341" s="14" t="s">
        <v>522</v>
      </c>
      <c r="L341">
        <v>210.5</v>
      </c>
      <c r="M341">
        <v>118.2726</v>
      </c>
      <c r="N341">
        <v>220</v>
      </c>
      <c r="O341">
        <v>285.45</v>
      </c>
      <c r="P341" s="13">
        <v>1.3521548432299899</v>
      </c>
    </row>
    <row r="342" spans="11:16" x14ac:dyDescent="0.3">
      <c r="K342" s="14" t="s">
        <v>522</v>
      </c>
      <c r="L342">
        <v>203.13</v>
      </c>
      <c r="M342">
        <v>70.9636</v>
      </c>
      <c r="N342">
        <v>397.01</v>
      </c>
      <c r="O342">
        <v>278.83999999999997</v>
      </c>
      <c r="P342" s="13">
        <v>1.3531638215464099</v>
      </c>
    </row>
    <row r="343" spans="11:16" x14ac:dyDescent="0.3">
      <c r="K343" s="14" t="s">
        <v>522</v>
      </c>
      <c r="L343">
        <v>211.37</v>
      </c>
      <c r="M343">
        <v>84.635400000000004</v>
      </c>
      <c r="N343">
        <v>270.01</v>
      </c>
      <c r="O343">
        <v>270.18</v>
      </c>
      <c r="P343" s="13">
        <v>1.3554223110518899</v>
      </c>
    </row>
    <row r="344" spans="11:16" x14ac:dyDescent="0.3">
      <c r="K344" s="14" t="s">
        <v>522</v>
      </c>
      <c r="L344">
        <v>203.13</v>
      </c>
      <c r="M344">
        <v>111.2196</v>
      </c>
      <c r="N344">
        <v>256.01</v>
      </c>
      <c r="O344">
        <v>280.81</v>
      </c>
      <c r="P344" s="13">
        <v>1.35647662120295</v>
      </c>
    </row>
    <row r="345" spans="11:16" x14ac:dyDescent="0.3">
      <c r="K345" s="14" t="s">
        <v>522</v>
      </c>
      <c r="L345">
        <v>203.13</v>
      </c>
      <c r="M345">
        <v>115.23439999999999</v>
      </c>
      <c r="N345">
        <v>260.01</v>
      </c>
      <c r="O345">
        <v>284.29000000000002</v>
      </c>
      <c r="P345" s="13">
        <v>1.3576523972000401</v>
      </c>
    </row>
    <row r="346" spans="11:16" x14ac:dyDescent="0.3">
      <c r="K346" s="14" t="s">
        <v>522</v>
      </c>
      <c r="L346">
        <v>210.5</v>
      </c>
      <c r="M346">
        <v>111.25579999999999</v>
      </c>
      <c r="N346">
        <v>250.1</v>
      </c>
      <c r="O346">
        <v>284.54000000000002</v>
      </c>
      <c r="P346" s="13">
        <v>1.35932311801504</v>
      </c>
    </row>
    <row r="347" spans="11:16" x14ac:dyDescent="0.3">
      <c r="K347" s="14" t="s">
        <v>522</v>
      </c>
      <c r="L347">
        <v>210.5</v>
      </c>
      <c r="M347">
        <v>92.556399999999996</v>
      </c>
      <c r="N347">
        <v>300.01</v>
      </c>
      <c r="O347">
        <v>280.23</v>
      </c>
      <c r="P347" s="13">
        <v>1.3598080148449501</v>
      </c>
    </row>
    <row r="348" spans="11:16" x14ac:dyDescent="0.3">
      <c r="K348" s="14" t="s">
        <v>522</v>
      </c>
      <c r="L348">
        <v>203.13</v>
      </c>
      <c r="M348">
        <v>106.2283</v>
      </c>
      <c r="N348">
        <v>340.01</v>
      </c>
      <c r="O348">
        <v>292.35000000000002</v>
      </c>
      <c r="P348" s="13">
        <v>1.3605640499401399</v>
      </c>
    </row>
    <row r="349" spans="11:16" x14ac:dyDescent="0.3">
      <c r="K349" s="14" t="s">
        <v>522</v>
      </c>
      <c r="L349">
        <v>195.75</v>
      </c>
      <c r="M349">
        <v>127.8935</v>
      </c>
      <c r="N349">
        <v>230</v>
      </c>
      <c r="O349">
        <v>281.74</v>
      </c>
      <c r="P349" s="13">
        <v>1.36098353091503</v>
      </c>
    </row>
    <row r="350" spans="11:16" x14ac:dyDescent="0.3">
      <c r="K350" s="14" t="s">
        <v>522</v>
      </c>
      <c r="L350">
        <v>203.13</v>
      </c>
      <c r="M350">
        <v>114.511</v>
      </c>
      <c r="N350">
        <v>230</v>
      </c>
      <c r="O350">
        <v>277.07</v>
      </c>
      <c r="P350" s="13">
        <v>1.3622586350019801</v>
      </c>
    </row>
    <row r="351" spans="11:16" x14ac:dyDescent="0.3">
      <c r="K351" s="14" t="s">
        <v>522</v>
      </c>
      <c r="L351">
        <v>203.13</v>
      </c>
      <c r="M351">
        <v>104.4922</v>
      </c>
      <c r="N351">
        <v>200</v>
      </c>
      <c r="O351">
        <v>263.85000000000002</v>
      </c>
      <c r="P351" s="13">
        <v>1.3629797233276499</v>
      </c>
    </row>
    <row r="352" spans="11:16" x14ac:dyDescent="0.3">
      <c r="K352" s="14" t="s">
        <v>522</v>
      </c>
      <c r="L352">
        <v>203.13</v>
      </c>
      <c r="M352">
        <v>115.08969999999999</v>
      </c>
      <c r="N352">
        <v>170</v>
      </c>
      <c r="O352">
        <v>265.85000000000002</v>
      </c>
      <c r="P352" s="13">
        <v>1.36324882452511</v>
      </c>
    </row>
    <row r="353" spans="11:16" x14ac:dyDescent="0.3">
      <c r="K353" s="14" t="s">
        <v>522</v>
      </c>
      <c r="L353">
        <v>210.5</v>
      </c>
      <c r="M353">
        <v>113.86</v>
      </c>
      <c r="N353">
        <v>200</v>
      </c>
      <c r="O353">
        <v>275.62</v>
      </c>
      <c r="P353" s="13">
        <v>1.3655032290835201</v>
      </c>
    </row>
    <row r="354" spans="11:16" x14ac:dyDescent="0.3">
      <c r="K354" s="14" t="s">
        <v>522</v>
      </c>
      <c r="L354">
        <v>202.26</v>
      </c>
      <c r="M354">
        <v>111.68980000000001</v>
      </c>
      <c r="N354">
        <v>280.01</v>
      </c>
      <c r="O354">
        <v>283.13</v>
      </c>
      <c r="P354" s="13">
        <v>1.3659887684102701</v>
      </c>
    </row>
    <row r="355" spans="11:16" x14ac:dyDescent="0.3">
      <c r="K355" s="14" t="s">
        <v>522</v>
      </c>
      <c r="L355">
        <v>203.13</v>
      </c>
      <c r="M355">
        <v>71.289100000000005</v>
      </c>
      <c r="N355">
        <v>340.01</v>
      </c>
      <c r="O355">
        <v>265.57</v>
      </c>
      <c r="P355" s="13">
        <v>1.36619987197349</v>
      </c>
    </row>
    <row r="356" spans="11:16" x14ac:dyDescent="0.3">
      <c r="K356" s="14" t="s">
        <v>522</v>
      </c>
      <c r="L356">
        <v>203.13</v>
      </c>
      <c r="M356">
        <v>104.4922</v>
      </c>
      <c r="N356">
        <v>260.01</v>
      </c>
      <c r="O356">
        <v>274.51</v>
      </c>
      <c r="P356" s="13">
        <v>1.3668893665076001</v>
      </c>
    </row>
    <row r="357" spans="11:16" x14ac:dyDescent="0.3">
      <c r="K357" s="14" t="s">
        <v>522</v>
      </c>
      <c r="L357">
        <v>203.13</v>
      </c>
      <c r="M357">
        <v>104.3837</v>
      </c>
      <c r="N357">
        <v>260.01</v>
      </c>
      <c r="O357">
        <v>274.22000000000003</v>
      </c>
      <c r="P357" s="13">
        <v>1.36793924586099</v>
      </c>
    </row>
    <row r="358" spans="11:16" x14ac:dyDescent="0.3">
      <c r="K358" s="14" t="s">
        <v>522</v>
      </c>
      <c r="L358">
        <v>202.69</v>
      </c>
      <c r="M358">
        <v>113.1728</v>
      </c>
      <c r="N358">
        <v>260.01</v>
      </c>
      <c r="O358">
        <v>280.23</v>
      </c>
      <c r="P358" s="13">
        <v>1.3683952467615901</v>
      </c>
    </row>
    <row r="359" spans="11:16" x14ac:dyDescent="0.3">
      <c r="K359" s="14" t="s">
        <v>522</v>
      </c>
      <c r="L359">
        <v>203.13</v>
      </c>
      <c r="M359">
        <v>108.2899</v>
      </c>
      <c r="N359">
        <v>240.01</v>
      </c>
      <c r="O359">
        <v>273.07</v>
      </c>
      <c r="P359" s="13">
        <v>1.3689621708719399</v>
      </c>
    </row>
    <row r="360" spans="11:16" x14ac:dyDescent="0.3">
      <c r="K360" s="14" t="s">
        <v>522</v>
      </c>
      <c r="L360">
        <v>203.13</v>
      </c>
      <c r="M360">
        <v>113.2089</v>
      </c>
      <c r="N360">
        <v>260.01</v>
      </c>
      <c r="O360">
        <v>280.31</v>
      </c>
      <c r="P360" s="13">
        <v>1.3697031857586199</v>
      </c>
    </row>
    <row r="361" spans="11:16" x14ac:dyDescent="0.3">
      <c r="K361" s="14" t="s">
        <v>522</v>
      </c>
      <c r="L361">
        <v>203.13</v>
      </c>
      <c r="M361">
        <v>114.4387</v>
      </c>
      <c r="N361">
        <v>250.01</v>
      </c>
      <c r="O361">
        <v>279.11</v>
      </c>
      <c r="P361" s="13">
        <v>1.3706828848841</v>
      </c>
    </row>
    <row r="362" spans="11:16" x14ac:dyDescent="0.3">
      <c r="K362" s="14" t="s">
        <v>522</v>
      </c>
      <c r="L362">
        <v>203.13</v>
      </c>
      <c r="M362">
        <v>83.224800000000002</v>
      </c>
      <c r="N362">
        <v>380.01</v>
      </c>
      <c r="O362">
        <v>280.82</v>
      </c>
      <c r="P362" s="13">
        <v>1.37154547396909</v>
      </c>
    </row>
    <row r="363" spans="11:16" x14ac:dyDescent="0.3">
      <c r="K363" s="14" t="s">
        <v>522</v>
      </c>
      <c r="L363">
        <v>203.13</v>
      </c>
      <c r="M363">
        <v>91.471400000000003</v>
      </c>
      <c r="N363">
        <v>270.01</v>
      </c>
      <c r="O363">
        <v>265.85000000000002</v>
      </c>
      <c r="P363" s="13">
        <v>1.3722174158360001</v>
      </c>
    </row>
    <row r="364" spans="11:16" x14ac:dyDescent="0.3">
      <c r="K364" s="14" t="s">
        <v>522</v>
      </c>
      <c r="L364">
        <v>203.13</v>
      </c>
      <c r="M364">
        <v>105.3603</v>
      </c>
      <c r="N364">
        <v>210</v>
      </c>
      <c r="O364">
        <v>264.14</v>
      </c>
      <c r="P364" s="13">
        <v>1.3746130839706201</v>
      </c>
    </row>
    <row r="365" spans="11:16" x14ac:dyDescent="0.3">
      <c r="K365" s="14" t="s">
        <v>522</v>
      </c>
      <c r="L365">
        <v>203.13</v>
      </c>
      <c r="M365">
        <v>113.1366</v>
      </c>
      <c r="N365">
        <v>270.01</v>
      </c>
      <c r="O365">
        <v>281.12</v>
      </c>
      <c r="P365" s="13">
        <v>1.3747481502561201</v>
      </c>
    </row>
    <row r="366" spans="11:16" x14ac:dyDescent="0.3">
      <c r="K366" s="14" t="s">
        <v>522</v>
      </c>
      <c r="L366">
        <v>203.13</v>
      </c>
      <c r="M366">
        <v>114.94499999999999</v>
      </c>
      <c r="N366">
        <v>230</v>
      </c>
      <c r="O366">
        <v>274.79000000000002</v>
      </c>
      <c r="P366" s="13">
        <v>1.37514101677645</v>
      </c>
    </row>
    <row r="367" spans="11:16" x14ac:dyDescent="0.3">
      <c r="K367" s="14" t="s">
        <v>522</v>
      </c>
      <c r="L367">
        <v>210.5</v>
      </c>
      <c r="M367">
        <v>104.8177</v>
      </c>
      <c r="N367">
        <v>268.3</v>
      </c>
      <c r="O367">
        <v>279.94</v>
      </c>
      <c r="P367" s="13">
        <v>1.3755651210973801</v>
      </c>
    </row>
    <row r="368" spans="11:16" x14ac:dyDescent="0.3">
      <c r="K368" s="14" t="s">
        <v>522</v>
      </c>
      <c r="L368">
        <v>203.13</v>
      </c>
      <c r="M368">
        <v>93.533000000000001</v>
      </c>
      <c r="N368">
        <v>330.01</v>
      </c>
      <c r="O368">
        <v>277.67</v>
      </c>
      <c r="P368" s="13">
        <v>1.3774105953109801</v>
      </c>
    </row>
    <row r="369" spans="11:16" x14ac:dyDescent="0.3">
      <c r="K369" s="14" t="s">
        <v>522</v>
      </c>
      <c r="L369">
        <v>203.13</v>
      </c>
      <c r="M369">
        <v>85.611999999999995</v>
      </c>
      <c r="N369">
        <v>328.01</v>
      </c>
      <c r="O369">
        <v>271.36</v>
      </c>
      <c r="P369" s="13">
        <v>1.37833357900943</v>
      </c>
    </row>
    <row r="370" spans="11:16" x14ac:dyDescent="0.3">
      <c r="K370" s="14" t="s">
        <v>522</v>
      </c>
      <c r="L370">
        <v>203.13</v>
      </c>
      <c r="M370">
        <v>84.635400000000004</v>
      </c>
      <c r="N370">
        <v>380.01</v>
      </c>
      <c r="O370">
        <v>280.45999999999998</v>
      </c>
      <c r="P370" s="13">
        <v>1.3783355915282001</v>
      </c>
    </row>
    <row r="371" spans="11:16" x14ac:dyDescent="0.3">
      <c r="K371" s="14" t="s">
        <v>522</v>
      </c>
      <c r="L371">
        <v>203.13</v>
      </c>
      <c r="M371">
        <v>113.9323</v>
      </c>
      <c r="N371">
        <v>245.01</v>
      </c>
      <c r="O371">
        <v>275.94</v>
      </c>
      <c r="P371" s="13">
        <v>1.37988294556788</v>
      </c>
    </row>
    <row r="372" spans="11:16" x14ac:dyDescent="0.3">
      <c r="K372" s="14" t="s">
        <v>522</v>
      </c>
      <c r="L372">
        <v>210.5</v>
      </c>
      <c r="M372">
        <v>107.0964</v>
      </c>
      <c r="N372">
        <v>250.01</v>
      </c>
      <c r="O372">
        <v>277.10000000000002</v>
      </c>
      <c r="P372" s="13">
        <v>1.3807253699025599</v>
      </c>
    </row>
    <row r="373" spans="11:16" x14ac:dyDescent="0.3">
      <c r="K373" s="14" t="s">
        <v>522</v>
      </c>
      <c r="L373">
        <v>202.26</v>
      </c>
      <c r="M373">
        <v>104.16670000000001</v>
      </c>
      <c r="N373">
        <v>266.01</v>
      </c>
      <c r="O373">
        <v>271.91000000000003</v>
      </c>
      <c r="P373" s="13">
        <v>1.3813000625206899</v>
      </c>
    </row>
    <row r="374" spans="11:16" x14ac:dyDescent="0.3">
      <c r="K374" s="14" t="s">
        <v>522</v>
      </c>
      <c r="L374">
        <v>202.69</v>
      </c>
      <c r="M374">
        <v>117.8386</v>
      </c>
      <c r="N374">
        <v>220</v>
      </c>
      <c r="O374">
        <v>273.05</v>
      </c>
      <c r="P374" s="13">
        <v>1.38336788134041</v>
      </c>
    </row>
    <row r="375" spans="11:16" x14ac:dyDescent="0.3">
      <c r="K375" s="14" t="s">
        <v>522</v>
      </c>
      <c r="L375">
        <v>203.13</v>
      </c>
      <c r="M375">
        <v>107.63890000000001</v>
      </c>
      <c r="N375">
        <v>220</v>
      </c>
      <c r="O375">
        <v>265.5</v>
      </c>
      <c r="P375" s="13">
        <v>1.38594689265537</v>
      </c>
    </row>
    <row r="376" spans="11:16" x14ac:dyDescent="0.3">
      <c r="K376" s="14" t="s">
        <v>522</v>
      </c>
      <c r="L376">
        <v>203.13</v>
      </c>
      <c r="M376">
        <v>110.13460000000001</v>
      </c>
      <c r="N376">
        <v>277.01</v>
      </c>
      <c r="O376">
        <v>277.95</v>
      </c>
      <c r="P376" s="13">
        <v>1.38617449181507</v>
      </c>
    </row>
    <row r="377" spans="11:16" x14ac:dyDescent="0.3">
      <c r="K377" s="14" t="s">
        <v>522</v>
      </c>
      <c r="L377">
        <v>202.69</v>
      </c>
      <c r="M377">
        <v>85.720500000000001</v>
      </c>
      <c r="N377">
        <v>359.01</v>
      </c>
      <c r="O377">
        <v>275.05</v>
      </c>
      <c r="P377" s="13">
        <v>1.3879407380476301</v>
      </c>
    </row>
    <row r="378" spans="11:16" x14ac:dyDescent="0.3">
      <c r="K378" s="14" t="s">
        <v>522</v>
      </c>
      <c r="L378">
        <v>210.5</v>
      </c>
      <c r="M378">
        <v>81.705699999999993</v>
      </c>
      <c r="N378">
        <v>320.01</v>
      </c>
      <c r="O378">
        <v>270.45999999999998</v>
      </c>
      <c r="P378" s="13">
        <v>1.38803630851143</v>
      </c>
    </row>
    <row r="379" spans="11:16" x14ac:dyDescent="0.3">
      <c r="K379" s="14" t="s">
        <v>522</v>
      </c>
      <c r="L379">
        <v>195.75</v>
      </c>
      <c r="M379">
        <v>154.9479</v>
      </c>
      <c r="N379">
        <v>160.19999999999999</v>
      </c>
      <c r="O379">
        <v>282.56</v>
      </c>
      <c r="P379" s="13">
        <v>1.38855428935447</v>
      </c>
    </row>
    <row r="380" spans="11:16" x14ac:dyDescent="0.3">
      <c r="K380" s="14" t="s">
        <v>522</v>
      </c>
      <c r="L380">
        <v>203.13</v>
      </c>
      <c r="M380">
        <v>125.1259</v>
      </c>
      <c r="N380">
        <v>265.01</v>
      </c>
      <c r="O380">
        <v>286.02</v>
      </c>
      <c r="P380" s="13">
        <v>1.3885689811901301</v>
      </c>
    </row>
    <row r="381" spans="11:16" x14ac:dyDescent="0.3">
      <c r="K381" s="14" t="s">
        <v>522</v>
      </c>
      <c r="L381">
        <v>203.13</v>
      </c>
      <c r="M381">
        <v>131.7997</v>
      </c>
      <c r="N381">
        <v>166</v>
      </c>
      <c r="O381">
        <v>271.63</v>
      </c>
      <c r="P381" s="13">
        <v>1.39192909472444</v>
      </c>
    </row>
    <row r="382" spans="11:16" x14ac:dyDescent="0.3">
      <c r="K382" s="14" t="s">
        <v>522</v>
      </c>
      <c r="L382">
        <v>203.13</v>
      </c>
      <c r="M382">
        <v>104.2752</v>
      </c>
      <c r="N382">
        <v>330.01</v>
      </c>
      <c r="O382">
        <v>281.95999999999998</v>
      </c>
      <c r="P382" s="13">
        <v>1.3945517094623301</v>
      </c>
    </row>
    <row r="383" spans="11:16" x14ac:dyDescent="0.3">
      <c r="K383" s="14" t="s">
        <v>522</v>
      </c>
      <c r="L383">
        <v>203.13</v>
      </c>
      <c r="M383">
        <v>110.4601</v>
      </c>
      <c r="N383">
        <v>333.01</v>
      </c>
      <c r="O383">
        <v>286.77</v>
      </c>
      <c r="P383" s="13">
        <v>1.3954482686473499</v>
      </c>
    </row>
    <row r="384" spans="11:16" x14ac:dyDescent="0.3">
      <c r="K384" s="14" t="s">
        <v>522</v>
      </c>
      <c r="L384">
        <v>203.13</v>
      </c>
      <c r="M384">
        <v>87.601299999999995</v>
      </c>
      <c r="N384">
        <v>366.01</v>
      </c>
      <c r="O384">
        <v>276.5</v>
      </c>
      <c r="P384" s="13">
        <v>1.3956379746835399</v>
      </c>
    </row>
    <row r="385" spans="11:16" x14ac:dyDescent="0.3">
      <c r="K385" s="14" t="s">
        <v>522</v>
      </c>
      <c r="L385">
        <v>203.13</v>
      </c>
      <c r="M385">
        <v>85.611999999999995</v>
      </c>
      <c r="N385">
        <v>416.02</v>
      </c>
      <c r="O385">
        <v>284</v>
      </c>
      <c r="P385" s="13">
        <v>1.3975605633802799</v>
      </c>
    </row>
    <row r="386" spans="11:16" x14ac:dyDescent="0.3">
      <c r="K386" s="14" t="s">
        <v>522</v>
      </c>
      <c r="L386">
        <v>210.5</v>
      </c>
      <c r="M386">
        <v>112.4855</v>
      </c>
      <c r="N386">
        <v>199</v>
      </c>
      <c r="O386">
        <v>267.85000000000002</v>
      </c>
      <c r="P386" s="13">
        <v>1.39901250700019</v>
      </c>
    </row>
    <row r="387" spans="11:16" x14ac:dyDescent="0.3">
      <c r="K387" s="14" t="s">
        <v>522</v>
      </c>
      <c r="L387">
        <v>210.5</v>
      </c>
      <c r="M387">
        <v>118.1641</v>
      </c>
      <c r="N387">
        <v>266.01</v>
      </c>
      <c r="O387">
        <v>284.3</v>
      </c>
      <c r="P387" s="13">
        <v>1.3993200844178699</v>
      </c>
    </row>
    <row r="388" spans="11:16" x14ac:dyDescent="0.3">
      <c r="K388" s="14" t="s">
        <v>522</v>
      </c>
      <c r="L388">
        <v>210.5</v>
      </c>
      <c r="M388">
        <v>115.9939</v>
      </c>
      <c r="N388">
        <v>290.01</v>
      </c>
      <c r="O388">
        <v>287.16000000000003</v>
      </c>
      <c r="P388" s="13">
        <v>1.39955599665692</v>
      </c>
    </row>
    <row r="389" spans="11:16" x14ac:dyDescent="0.3">
      <c r="K389" s="14" t="s">
        <v>522</v>
      </c>
      <c r="L389">
        <v>210.5</v>
      </c>
      <c r="M389">
        <v>93.460599999999999</v>
      </c>
      <c r="N389">
        <v>350.01</v>
      </c>
      <c r="O389">
        <v>281.97000000000003</v>
      </c>
      <c r="P389" s="13">
        <v>1.4007277369933</v>
      </c>
    </row>
    <row r="390" spans="11:16" x14ac:dyDescent="0.3">
      <c r="K390" s="14" t="s">
        <v>522</v>
      </c>
      <c r="L390">
        <v>210.5</v>
      </c>
      <c r="M390">
        <v>84.635400000000004</v>
      </c>
      <c r="N390">
        <v>380.8</v>
      </c>
      <c r="O390">
        <v>281.13</v>
      </c>
      <c r="P390" s="13">
        <v>1.4019969409170101</v>
      </c>
    </row>
    <row r="391" spans="11:16" x14ac:dyDescent="0.3">
      <c r="K391" s="14" t="s">
        <v>522</v>
      </c>
      <c r="L391">
        <v>203.13</v>
      </c>
      <c r="M391">
        <v>83.658900000000003</v>
      </c>
      <c r="N391">
        <v>380.01</v>
      </c>
      <c r="O391">
        <v>274.76</v>
      </c>
      <c r="P391" s="13">
        <v>1.4033756733148901</v>
      </c>
    </row>
    <row r="392" spans="11:16" x14ac:dyDescent="0.3">
      <c r="K392" s="14" t="s">
        <v>522</v>
      </c>
      <c r="L392">
        <v>210.5</v>
      </c>
      <c r="M392">
        <v>128.90629999999999</v>
      </c>
      <c r="N392">
        <v>240.01</v>
      </c>
      <c r="O392">
        <v>286.3</v>
      </c>
      <c r="P392" s="13">
        <v>1.40345406915823</v>
      </c>
    </row>
    <row r="393" spans="11:16" x14ac:dyDescent="0.3">
      <c r="K393" s="14" t="s">
        <v>522</v>
      </c>
      <c r="L393">
        <v>210.94</v>
      </c>
      <c r="M393">
        <v>82.682299999999998</v>
      </c>
      <c r="N393">
        <v>320.01</v>
      </c>
      <c r="O393">
        <v>268.43</v>
      </c>
      <c r="P393" s="13">
        <v>1.40381067689901</v>
      </c>
    </row>
    <row r="394" spans="11:16" x14ac:dyDescent="0.3">
      <c r="K394" s="14" t="s">
        <v>522</v>
      </c>
      <c r="L394">
        <v>203.13</v>
      </c>
      <c r="M394">
        <v>74.327299999999994</v>
      </c>
      <c r="N394">
        <v>400.02</v>
      </c>
      <c r="O394">
        <v>271.61</v>
      </c>
      <c r="P394" s="13">
        <v>1.4044493943522001</v>
      </c>
    </row>
    <row r="395" spans="11:16" x14ac:dyDescent="0.3">
      <c r="K395" s="14" t="s">
        <v>522</v>
      </c>
      <c r="L395">
        <v>203.13</v>
      </c>
      <c r="M395">
        <v>109.26649999999999</v>
      </c>
      <c r="N395">
        <v>266.01</v>
      </c>
      <c r="O395">
        <v>271.32</v>
      </c>
      <c r="P395" s="13">
        <v>1.4063065752616799</v>
      </c>
    </row>
    <row r="396" spans="11:16" x14ac:dyDescent="0.3">
      <c r="K396" s="14" t="s">
        <v>522</v>
      </c>
      <c r="L396">
        <v>210.5</v>
      </c>
      <c r="M396">
        <v>87.565100000000001</v>
      </c>
      <c r="N396">
        <v>395.11</v>
      </c>
      <c r="O396">
        <v>284.88</v>
      </c>
      <c r="P396" s="13">
        <v>1.4068860572872799</v>
      </c>
    </row>
    <row r="397" spans="11:16" x14ac:dyDescent="0.3">
      <c r="K397" s="14" t="s">
        <v>522</v>
      </c>
      <c r="L397">
        <v>203.56</v>
      </c>
      <c r="M397">
        <v>130.0087</v>
      </c>
      <c r="N397">
        <v>240.01</v>
      </c>
      <c r="O397">
        <v>281.13</v>
      </c>
      <c r="P397" s="13">
        <v>1.4084989150926599</v>
      </c>
    </row>
    <row r="398" spans="11:16" x14ac:dyDescent="0.3">
      <c r="K398" s="14" t="s">
        <v>522</v>
      </c>
      <c r="L398">
        <v>210.5</v>
      </c>
      <c r="M398">
        <v>111.2196</v>
      </c>
      <c r="N398">
        <v>285.01</v>
      </c>
      <c r="O398">
        <v>280.83</v>
      </c>
      <c r="P398" s="13">
        <v>1.4094726346900299</v>
      </c>
    </row>
    <row r="399" spans="11:16" x14ac:dyDescent="0.3">
      <c r="K399" s="14" t="s">
        <v>522</v>
      </c>
      <c r="L399">
        <v>210.94</v>
      </c>
      <c r="M399">
        <v>131.72739999999999</v>
      </c>
      <c r="N399">
        <v>180</v>
      </c>
      <c r="O399">
        <v>276.27</v>
      </c>
      <c r="P399" s="13">
        <v>1.4097346798421799</v>
      </c>
    </row>
    <row r="400" spans="11:16" x14ac:dyDescent="0.3">
      <c r="K400" s="14" t="s">
        <v>522</v>
      </c>
      <c r="L400">
        <v>210.94</v>
      </c>
      <c r="M400">
        <v>79.644099999999995</v>
      </c>
      <c r="N400">
        <v>400.02</v>
      </c>
      <c r="O400">
        <v>279.85000000000002</v>
      </c>
      <c r="P400" s="13">
        <v>1.4100028586742901</v>
      </c>
    </row>
    <row r="401" spans="11:16" x14ac:dyDescent="0.3">
      <c r="K401" s="14" t="s">
        <v>522</v>
      </c>
      <c r="L401">
        <v>210.94</v>
      </c>
      <c r="M401">
        <v>94.256399999999999</v>
      </c>
      <c r="N401">
        <v>300.01</v>
      </c>
      <c r="O401">
        <v>271.56</v>
      </c>
      <c r="P401" s="13">
        <v>1.4111025187803801</v>
      </c>
    </row>
    <row r="402" spans="11:16" x14ac:dyDescent="0.3">
      <c r="K402" s="14" t="s">
        <v>522</v>
      </c>
      <c r="L402">
        <v>203.13</v>
      </c>
      <c r="M402">
        <v>126.22969999999999</v>
      </c>
      <c r="N402">
        <v>300.01</v>
      </c>
      <c r="O402">
        <v>288.52999999999997</v>
      </c>
      <c r="P402" s="13">
        <v>1.4118542265968901</v>
      </c>
    </row>
    <row r="403" spans="11:16" x14ac:dyDescent="0.3">
      <c r="K403" s="14" t="s">
        <v>522</v>
      </c>
      <c r="L403">
        <v>210.94</v>
      </c>
      <c r="M403">
        <v>95.394999999999996</v>
      </c>
      <c r="N403">
        <v>300.01</v>
      </c>
      <c r="O403">
        <v>272.17</v>
      </c>
      <c r="P403" s="13">
        <v>1.41212330528714</v>
      </c>
    </row>
    <row r="404" spans="11:16" x14ac:dyDescent="0.3">
      <c r="K404" s="14" t="s">
        <v>522</v>
      </c>
      <c r="L404">
        <v>203.13</v>
      </c>
      <c r="M404">
        <v>111.11109999999999</v>
      </c>
      <c r="N404">
        <v>266.01</v>
      </c>
      <c r="O404">
        <v>271.33</v>
      </c>
      <c r="P404" s="13">
        <v>1.41305310876055</v>
      </c>
    </row>
    <row r="405" spans="11:16" x14ac:dyDescent="0.3">
      <c r="K405" s="14" t="s">
        <v>522</v>
      </c>
      <c r="L405">
        <v>203.13</v>
      </c>
      <c r="M405">
        <v>84.743899999999996</v>
      </c>
      <c r="N405">
        <v>460.02</v>
      </c>
      <c r="O405">
        <v>288.33</v>
      </c>
      <c r="P405" s="13">
        <v>1.41323865015781</v>
      </c>
    </row>
    <row r="406" spans="11:16" x14ac:dyDescent="0.3">
      <c r="K406" s="14" t="s">
        <v>522</v>
      </c>
      <c r="L406">
        <v>210.5</v>
      </c>
      <c r="M406">
        <v>124.67440000000001</v>
      </c>
      <c r="N406">
        <v>200</v>
      </c>
      <c r="O406">
        <v>273.26</v>
      </c>
      <c r="P406" s="13">
        <v>1.41687184366537</v>
      </c>
    </row>
    <row r="407" spans="11:16" x14ac:dyDescent="0.3">
      <c r="K407" s="14" t="s">
        <v>522</v>
      </c>
      <c r="L407">
        <v>203.13</v>
      </c>
      <c r="M407">
        <v>105.3603</v>
      </c>
      <c r="N407">
        <v>360.01</v>
      </c>
      <c r="O407">
        <v>283.69</v>
      </c>
      <c r="P407" s="13">
        <v>1.4173671965878201</v>
      </c>
    </row>
    <row r="408" spans="11:16" x14ac:dyDescent="0.3">
      <c r="K408" s="14" t="s">
        <v>522</v>
      </c>
      <c r="L408">
        <v>203.13</v>
      </c>
      <c r="M408">
        <v>107.20489999999999</v>
      </c>
      <c r="N408">
        <v>300.01</v>
      </c>
      <c r="O408">
        <v>273.91000000000003</v>
      </c>
      <c r="P408" s="13">
        <v>1.41775583220766</v>
      </c>
    </row>
    <row r="409" spans="11:16" x14ac:dyDescent="0.3">
      <c r="K409" s="14" t="s">
        <v>522</v>
      </c>
      <c r="L409">
        <v>203.13</v>
      </c>
      <c r="M409">
        <v>105.3603</v>
      </c>
      <c r="N409">
        <v>320.01</v>
      </c>
      <c r="O409">
        <v>275.92</v>
      </c>
      <c r="P409" s="13">
        <v>1.4195886488837299</v>
      </c>
    </row>
    <row r="410" spans="11:16" x14ac:dyDescent="0.3">
      <c r="K410" s="14" t="s">
        <v>522</v>
      </c>
      <c r="L410">
        <v>210.5</v>
      </c>
      <c r="M410">
        <v>127.7127</v>
      </c>
      <c r="N410">
        <v>260.01</v>
      </c>
      <c r="O410">
        <v>284.56</v>
      </c>
      <c r="P410" s="13">
        <v>1.42611505482148</v>
      </c>
    </row>
    <row r="411" spans="11:16" x14ac:dyDescent="0.3">
      <c r="K411" s="14" t="s">
        <v>522</v>
      </c>
      <c r="L411">
        <v>203.13</v>
      </c>
      <c r="M411">
        <v>122.9384</v>
      </c>
      <c r="N411">
        <v>255.01</v>
      </c>
      <c r="O411">
        <v>274.79000000000002</v>
      </c>
      <c r="P411" s="13">
        <v>1.4278940281669601</v>
      </c>
    </row>
    <row r="412" spans="11:16" x14ac:dyDescent="0.3">
      <c r="K412" s="14" t="s">
        <v>522</v>
      </c>
      <c r="L412">
        <v>203.13</v>
      </c>
      <c r="M412">
        <v>126.95310000000001</v>
      </c>
      <c r="N412">
        <v>280.39999999999998</v>
      </c>
      <c r="O412">
        <v>281.73</v>
      </c>
      <c r="P412" s="13">
        <v>1.43040180314485</v>
      </c>
    </row>
    <row r="413" spans="11:16" x14ac:dyDescent="0.3">
      <c r="K413" s="14" t="s">
        <v>522</v>
      </c>
      <c r="L413">
        <v>203.13</v>
      </c>
      <c r="M413">
        <v>116.3918</v>
      </c>
      <c r="N413">
        <v>280.01</v>
      </c>
      <c r="O413">
        <v>274.20999999999998</v>
      </c>
      <c r="P413" s="13">
        <v>1.4307443200466801</v>
      </c>
    </row>
    <row r="414" spans="11:16" x14ac:dyDescent="0.3">
      <c r="K414" s="14" t="s">
        <v>522</v>
      </c>
      <c r="L414">
        <v>210.94</v>
      </c>
      <c r="M414">
        <v>104.2752</v>
      </c>
      <c r="N414">
        <v>280.01</v>
      </c>
      <c r="O414">
        <v>271.01</v>
      </c>
      <c r="P414" s="13">
        <v>1.43174716800118</v>
      </c>
    </row>
    <row r="415" spans="11:16" x14ac:dyDescent="0.3">
      <c r="K415" s="14" t="s">
        <v>522</v>
      </c>
      <c r="L415">
        <v>203.13</v>
      </c>
      <c r="M415">
        <v>108.2899</v>
      </c>
      <c r="N415">
        <v>366.01</v>
      </c>
      <c r="O415">
        <v>283.97000000000003</v>
      </c>
      <c r="P415" s="13">
        <v>1.4317797654681801</v>
      </c>
    </row>
    <row r="416" spans="11:16" x14ac:dyDescent="0.3">
      <c r="K416" s="14" t="s">
        <v>522</v>
      </c>
      <c r="L416">
        <v>210.5</v>
      </c>
      <c r="M416">
        <v>115.16200000000001</v>
      </c>
      <c r="N416">
        <v>233.01</v>
      </c>
      <c r="O416">
        <v>269.62</v>
      </c>
      <c r="P416" s="13">
        <v>1.4325517394852001</v>
      </c>
    </row>
    <row r="417" spans="11:16" x14ac:dyDescent="0.3">
      <c r="K417" s="14" t="s">
        <v>522</v>
      </c>
      <c r="L417">
        <v>203.13</v>
      </c>
      <c r="M417">
        <v>84.526899999999998</v>
      </c>
      <c r="N417">
        <v>450.02</v>
      </c>
      <c r="O417">
        <v>282.24</v>
      </c>
      <c r="P417" s="13">
        <v>1.4337517715419501</v>
      </c>
    </row>
    <row r="418" spans="11:16" x14ac:dyDescent="0.3">
      <c r="K418" s="14" t="s">
        <v>522</v>
      </c>
      <c r="L418">
        <v>210.5</v>
      </c>
      <c r="M418">
        <v>103.8412</v>
      </c>
      <c r="N418">
        <v>260.01</v>
      </c>
      <c r="O418">
        <v>266.37</v>
      </c>
      <c r="P418" s="13">
        <v>1.43388444644667</v>
      </c>
    </row>
    <row r="419" spans="11:16" x14ac:dyDescent="0.3">
      <c r="K419" s="14" t="s">
        <v>522</v>
      </c>
      <c r="L419">
        <v>210.5</v>
      </c>
      <c r="M419">
        <v>111.32810000000001</v>
      </c>
      <c r="N419">
        <v>325.01</v>
      </c>
      <c r="O419">
        <v>283.37</v>
      </c>
      <c r="P419" s="13">
        <v>1.43392278646293</v>
      </c>
    </row>
    <row r="420" spans="11:16" x14ac:dyDescent="0.3">
      <c r="K420" s="14" t="s">
        <v>522</v>
      </c>
      <c r="L420">
        <v>210.5</v>
      </c>
      <c r="M420">
        <v>83.658900000000003</v>
      </c>
      <c r="N420">
        <v>440.02</v>
      </c>
      <c r="O420">
        <v>284.86</v>
      </c>
      <c r="P420" s="13">
        <v>1.4342627957593199</v>
      </c>
    </row>
    <row r="421" spans="11:16" x14ac:dyDescent="0.3">
      <c r="K421" s="14" t="s">
        <v>522</v>
      </c>
      <c r="L421">
        <v>203.13</v>
      </c>
      <c r="M421">
        <v>158.52869999999999</v>
      </c>
      <c r="N421">
        <v>200</v>
      </c>
      <c r="O421">
        <v>287.75</v>
      </c>
      <c r="P421" s="13">
        <v>1.43756281494353</v>
      </c>
    </row>
    <row r="422" spans="11:16" x14ac:dyDescent="0.3">
      <c r="K422" s="14" t="s">
        <v>522</v>
      </c>
      <c r="L422">
        <v>203.13</v>
      </c>
      <c r="M422">
        <v>145.97800000000001</v>
      </c>
      <c r="N422">
        <v>188</v>
      </c>
      <c r="O422">
        <v>276.52</v>
      </c>
      <c r="P422" s="13">
        <v>1.43927383191089</v>
      </c>
    </row>
    <row r="423" spans="11:16" x14ac:dyDescent="0.3">
      <c r="K423" s="14" t="s">
        <v>522</v>
      </c>
      <c r="L423">
        <v>210.5</v>
      </c>
      <c r="M423">
        <v>114.1493</v>
      </c>
      <c r="N423">
        <v>280.10000000000002</v>
      </c>
      <c r="O423">
        <v>275.87</v>
      </c>
      <c r="P423" s="13">
        <v>1.44080653931199</v>
      </c>
    </row>
    <row r="424" spans="11:16" x14ac:dyDescent="0.3">
      <c r="K424" s="14" t="s">
        <v>522</v>
      </c>
      <c r="L424">
        <v>256.08</v>
      </c>
      <c r="M424">
        <v>81.8142</v>
      </c>
      <c r="N424">
        <v>270.01</v>
      </c>
      <c r="O424">
        <v>283.14</v>
      </c>
      <c r="P424" s="13">
        <v>1.44132513950696</v>
      </c>
    </row>
    <row r="425" spans="11:16" x14ac:dyDescent="0.3">
      <c r="K425" s="14" t="s">
        <v>522</v>
      </c>
      <c r="L425">
        <v>203.13</v>
      </c>
      <c r="M425">
        <v>100.4774</v>
      </c>
      <c r="N425">
        <v>380.01</v>
      </c>
      <c r="O425">
        <v>276.82</v>
      </c>
      <c r="P425" s="13">
        <v>1.4536883173181101</v>
      </c>
    </row>
    <row r="426" spans="11:16" x14ac:dyDescent="0.3">
      <c r="K426" s="14" t="s">
        <v>522</v>
      </c>
      <c r="L426">
        <v>210.5</v>
      </c>
      <c r="M426">
        <v>105.7205</v>
      </c>
      <c r="N426">
        <v>310.01</v>
      </c>
      <c r="O426">
        <v>271.93</v>
      </c>
      <c r="P426" s="13">
        <v>1.45928400691354</v>
      </c>
    </row>
    <row r="427" spans="11:16" x14ac:dyDescent="0.3">
      <c r="K427" s="14" t="s">
        <v>522</v>
      </c>
      <c r="L427">
        <v>210.5</v>
      </c>
      <c r="M427">
        <v>77.691000000000003</v>
      </c>
      <c r="N427">
        <v>420.11</v>
      </c>
      <c r="O427">
        <v>272.18</v>
      </c>
      <c r="P427" s="13">
        <v>1.4601352046439899</v>
      </c>
    </row>
    <row r="428" spans="11:16" x14ac:dyDescent="0.3">
      <c r="K428" s="14" t="s">
        <v>522</v>
      </c>
      <c r="L428">
        <v>203.13</v>
      </c>
      <c r="M428">
        <v>110.13460000000001</v>
      </c>
      <c r="N428">
        <v>320.01</v>
      </c>
      <c r="O428">
        <v>271.33999999999997</v>
      </c>
      <c r="P428" s="13">
        <v>1.4611454264023001</v>
      </c>
    </row>
    <row r="429" spans="11:16" x14ac:dyDescent="0.3">
      <c r="K429" s="14" t="s">
        <v>522</v>
      </c>
      <c r="L429">
        <v>202.69</v>
      </c>
      <c r="M429">
        <v>136.0677</v>
      </c>
      <c r="N429">
        <v>288.01</v>
      </c>
      <c r="O429">
        <v>282.75</v>
      </c>
      <c r="P429" s="13">
        <v>1.4629188328912499</v>
      </c>
    </row>
    <row r="430" spans="11:16" x14ac:dyDescent="0.3">
      <c r="K430" s="14" t="s">
        <v>522</v>
      </c>
      <c r="L430">
        <v>203.13</v>
      </c>
      <c r="M430">
        <v>98.741299999999995</v>
      </c>
      <c r="N430">
        <v>390.01</v>
      </c>
      <c r="O430">
        <v>273.94</v>
      </c>
      <c r="P430" s="13">
        <v>1.47212491786523</v>
      </c>
    </row>
    <row r="431" spans="11:16" x14ac:dyDescent="0.3">
      <c r="K431" s="14" t="s">
        <v>522</v>
      </c>
      <c r="L431">
        <v>202.26</v>
      </c>
      <c r="M431">
        <v>94.328699999999998</v>
      </c>
      <c r="N431">
        <v>350.01</v>
      </c>
      <c r="O431">
        <v>263.27</v>
      </c>
      <c r="P431" s="13">
        <v>1.4722197743761201</v>
      </c>
    </row>
    <row r="432" spans="11:16" x14ac:dyDescent="0.3">
      <c r="K432" s="14" t="s">
        <v>522</v>
      </c>
      <c r="L432">
        <v>203.13</v>
      </c>
      <c r="M432">
        <v>165.3646</v>
      </c>
      <c r="N432">
        <v>150.1</v>
      </c>
      <c r="O432">
        <v>276.22000000000003</v>
      </c>
      <c r="P432" s="13">
        <v>1.47534791108537</v>
      </c>
    </row>
    <row r="433" spans="11:16" x14ac:dyDescent="0.3">
      <c r="K433" s="14" t="s">
        <v>522</v>
      </c>
      <c r="L433">
        <v>210.5</v>
      </c>
      <c r="M433">
        <v>122.6129</v>
      </c>
      <c r="N433">
        <v>310.11</v>
      </c>
      <c r="O433">
        <v>280.25</v>
      </c>
      <c r="P433" s="13">
        <v>1.4763300624442499</v>
      </c>
    </row>
    <row r="434" spans="11:16" x14ac:dyDescent="0.3">
      <c r="K434" s="14" t="s">
        <v>522</v>
      </c>
      <c r="L434">
        <v>210.5</v>
      </c>
      <c r="M434">
        <v>142.03559999999999</v>
      </c>
      <c r="N434">
        <v>300.11</v>
      </c>
      <c r="O434">
        <v>290.91000000000003</v>
      </c>
      <c r="P434" s="13">
        <v>1.4800598123130899</v>
      </c>
    </row>
    <row r="435" spans="11:16" x14ac:dyDescent="0.3">
      <c r="K435" s="14" t="s">
        <v>522</v>
      </c>
      <c r="L435">
        <v>210.5</v>
      </c>
      <c r="M435">
        <v>102.4306</v>
      </c>
      <c r="N435">
        <v>420.02</v>
      </c>
      <c r="O435">
        <v>284.01</v>
      </c>
      <c r="P435" s="13">
        <v>1.4863413260096501</v>
      </c>
    </row>
    <row r="436" spans="11:16" x14ac:dyDescent="0.3">
      <c r="K436" s="14" t="s">
        <v>522</v>
      </c>
      <c r="L436">
        <v>203.13</v>
      </c>
      <c r="M436">
        <v>111.32810000000001</v>
      </c>
      <c r="N436">
        <v>358.61</v>
      </c>
      <c r="O436">
        <v>273.01</v>
      </c>
      <c r="P436" s="13">
        <v>1.4933398044027699</v>
      </c>
    </row>
    <row r="437" spans="11:16" x14ac:dyDescent="0.3">
      <c r="K437" s="14" t="s">
        <v>522</v>
      </c>
      <c r="L437">
        <v>210.5</v>
      </c>
      <c r="M437">
        <v>147.35239999999999</v>
      </c>
      <c r="N437">
        <v>220.1</v>
      </c>
      <c r="O437">
        <v>275.37</v>
      </c>
      <c r="P437" s="13">
        <v>1.5073479318734799</v>
      </c>
    </row>
    <row r="438" spans="11:16" x14ac:dyDescent="0.3">
      <c r="K438" s="14" t="s">
        <v>522</v>
      </c>
      <c r="L438">
        <v>203.13</v>
      </c>
      <c r="M438">
        <v>114.4387</v>
      </c>
      <c r="N438">
        <v>415.11</v>
      </c>
      <c r="O438">
        <v>278.83</v>
      </c>
      <c r="P438" s="13">
        <v>1.5260097550478799</v>
      </c>
    </row>
    <row r="439" spans="11:16" x14ac:dyDescent="0.3">
      <c r="K439" s="14" t="s">
        <v>522</v>
      </c>
      <c r="L439">
        <v>203.13</v>
      </c>
      <c r="M439">
        <v>126.22969999999999</v>
      </c>
      <c r="N439">
        <v>333.01</v>
      </c>
      <c r="O439">
        <v>271.51</v>
      </c>
      <c r="P439" s="13">
        <v>1.53195941217635</v>
      </c>
    </row>
    <row r="440" spans="11:16" x14ac:dyDescent="0.3">
      <c r="K440" s="14" t="s">
        <v>522</v>
      </c>
      <c r="L440">
        <v>203.13</v>
      </c>
      <c r="M440">
        <v>112.1962</v>
      </c>
      <c r="N440">
        <v>500.02</v>
      </c>
      <c r="O440">
        <v>285.36</v>
      </c>
      <c r="P440" s="13">
        <v>1.56059503784693</v>
      </c>
    </row>
    <row r="441" spans="11:16" x14ac:dyDescent="0.3">
      <c r="K441" s="14" t="s">
        <v>522</v>
      </c>
      <c r="L441">
        <v>203.13</v>
      </c>
      <c r="M441">
        <v>128.8339</v>
      </c>
      <c r="N441">
        <v>400.02</v>
      </c>
      <c r="O441">
        <v>279.33999999999997</v>
      </c>
      <c r="P441" s="13">
        <v>1.56071131953891</v>
      </c>
    </row>
    <row r="442" spans="11:16" x14ac:dyDescent="0.3">
      <c r="K442" s="14" t="s">
        <v>522</v>
      </c>
      <c r="L442">
        <v>203.13</v>
      </c>
      <c r="M442">
        <v>156.684</v>
      </c>
      <c r="N442">
        <v>300.01</v>
      </c>
      <c r="O442">
        <v>279.42</v>
      </c>
      <c r="P442" s="13">
        <v>1.5668763868012301</v>
      </c>
    </row>
    <row r="443" spans="11:16" x14ac:dyDescent="0.3">
      <c r="K443" s="14" t="s">
        <v>522</v>
      </c>
      <c r="L443">
        <v>203.56</v>
      </c>
      <c r="M443">
        <v>184.78729999999999</v>
      </c>
      <c r="N443">
        <v>166.2</v>
      </c>
      <c r="O443">
        <v>274.49</v>
      </c>
      <c r="P443" s="13">
        <v>1.5722223031804401</v>
      </c>
    </row>
    <row r="444" spans="11:16" x14ac:dyDescent="0.3">
      <c r="K444" s="14" t="s">
        <v>522</v>
      </c>
      <c r="L444">
        <v>202.69</v>
      </c>
      <c r="M444">
        <v>158.9265</v>
      </c>
      <c r="N444">
        <v>240.01</v>
      </c>
      <c r="O444">
        <v>269.60000000000002</v>
      </c>
      <c r="P444" s="13">
        <v>1.57277114243323</v>
      </c>
    </row>
    <row r="445" spans="11:16" x14ac:dyDescent="0.3">
      <c r="K445" s="14" t="s">
        <v>522</v>
      </c>
      <c r="L445">
        <v>203.13</v>
      </c>
      <c r="M445">
        <v>111.11109999999999</v>
      </c>
      <c r="N445">
        <v>420.11</v>
      </c>
      <c r="O445">
        <v>266.73</v>
      </c>
      <c r="P445" s="13">
        <v>1.5876343118509399</v>
      </c>
    </row>
    <row r="446" spans="11:16" x14ac:dyDescent="0.3">
      <c r="K446" s="14" t="s">
        <v>522</v>
      </c>
      <c r="L446">
        <v>203.13</v>
      </c>
      <c r="M446">
        <v>164.13480000000001</v>
      </c>
      <c r="N446">
        <v>270.01</v>
      </c>
      <c r="O446">
        <v>272.45999999999998</v>
      </c>
      <c r="P446" s="13">
        <v>1.60562064156206</v>
      </c>
    </row>
    <row r="447" spans="11:16" x14ac:dyDescent="0.3">
      <c r="K447" s="14" t="s">
        <v>522</v>
      </c>
      <c r="L447">
        <v>203.13</v>
      </c>
      <c r="M447">
        <v>160.87960000000001</v>
      </c>
      <c r="N447">
        <v>255.01</v>
      </c>
      <c r="O447">
        <v>265.83</v>
      </c>
      <c r="P447" s="13">
        <v>1.6187495767972</v>
      </c>
    </row>
    <row r="448" spans="11:16" x14ac:dyDescent="0.3">
      <c r="K448" s="14" t="s">
        <v>522</v>
      </c>
      <c r="L448">
        <v>203.13</v>
      </c>
      <c r="M448">
        <v>114.4387</v>
      </c>
      <c r="N448">
        <v>511.11</v>
      </c>
      <c r="O448">
        <v>277.12</v>
      </c>
      <c r="P448" s="13">
        <v>1.6254954532332599</v>
      </c>
    </row>
    <row r="449" spans="11:16" x14ac:dyDescent="0.3">
      <c r="K449" s="14" t="s">
        <v>522</v>
      </c>
      <c r="L449">
        <v>203.13</v>
      </c>
      <c r="M449">
        <v>111.68980000000001</v>
      </c>
      <c r="N449">
        <v>528.01</v>
      </c>
      <c r="O449">
        <v>270.74</v>
      </c>
      <c r="P449" s="13">
        <v>1.6698766344094</v>
      </c>
    </row>
    <row r="450" spans="11:16" x14ac:dyDescent="0.3">
      <c r="K450" s="14" t="s">
        <v>522</v>
      </c>
      <c r="L450">
        <v>203.13</v>
      </c>
      <c r="M450">
        <v>135.41669999999999</v>
      </c>
      <c r="N450">
        <v>476.11</v>
      </c>
      <c r="O450">
        <v>270.99</v>
      </c>
      <c r="P450" s="13">
        <v>1.7060972729621</v>
      </c>
    </row>
    <row r="451" spans="11:16" x14ac:dyDescent="0.3">
      <c r="K451" s="14" t="s">
        <v>522</v>
      </c>
      <c r="L451">
        <v>203.13</v>
      </c>
      <c r="M451">
        <v>160.59030000000001</v>
      </c>
      <c r="N451">
        <v>500.01</v>
      </c>
      <c r="O451">
        <v>277.99</v>
      </c>
      <c r="P451" s="13">
        <v>1.7760455412065199</v>
      </c>
    </row>
    <row r="452" spans="11:16" x14ac:dyDescent="0.3">
      <c r="K452" s="14" t="s">
        <v>522</v>
      </c>
      <c r="L452">
        <v>421.01</v>
      </c>
      <c r="M452">
        <v>61.957500000000003</v>
      </c>
      <c r="N452">
        <v>250.01</v>
      </c>
      <c r="O452">
        <v>276.81</v>
      </c>
      <c r="P452" s="13">
        <v>1.97958924894332</v>
      </c>
    </row>
    <row r="453" spans="11:16" x14ac:dyDescent="0.3">
      <c r="K453" s="14" t="s">
        <v>66</v>
      </c>
      <c r="L453">
        <v>195.31</v>
      </c>
      <c r="M453">
        <v>106.6262</v>
      </c>
      <c r="N453">
        <v>170.6</v>
      </c>
      <c r="O453">
        <v>283.08999999999997</v>
      </c>
      <c r="P453" s="13">
        <v>1.22325832774029</v>
      </c>
    </row>
    <row r="454" spans="11:16" x14ac:dyDescent="0.3">
      <c r="K454" s="14" t="s">
        <v>66</v>
      </c>
      <c r="L454">
        <v>203.13</v>
      </c>
      <c r="M454">
        <v>88.541700000000006</v>
      </c>
      <c r="N454">
        <v>224.6</v>
      </c>
      <c r="O454">
        <v>284.69</v>
      </c>
      <c r="P454" s="13">
        <v>1.22964522814289</v>
      </c>
    </row>
    <row r="455" spans="11:16" x14ac:dyDescent="0.3">
      <c r="K455" s="14" t="s">
        <v>66</v>
      </c>
      <c r="L455">
        <v>202.69</v>
      </c>
      <c r="M455">
        <v>76.822900000000004</v>
      </c>
      <c r="N455">
        <v>270.01</v>
      </c>
      <c r="O455">
        <v>282.54000000000002</v>
      </c>
      <c r="P455" s="13">
        <v>1.23775571600481</v>
      </c>
    </row>
    <row r="456" spans="11:16" x14ac:dyDescent="0.3">
      <c r="K456" s="14" t="s">
        <v>66</v>
      </c>
      <c r="L456">
        <v>203.13</v>
      </c>
      <c r="M456">
        <v>72.627300000000005</v>
      </c>
      <c r="N456">
        <v>371.01</v>
      </c>
      <c r="O456">
        <v>286.85000000000002</v>
      </c>
      <c r="P456" s="13">
        <v>1.2976116437162299</v>
      </c>
    </row>
    <row r="457" spans="11:16" x14ac:dyDescent="0.3">
      <c r="K457" s="14" t="s">
        <v>66</v>
      </c>
      <c r="L457">
        <v>203.13</v>
      </c>
      <c r="M457">
        <v>106.0475</v>
      </c>
      <c r="N457">
        <v>254.81</v>
      </c>
      <c r="O457">
        <v>281.39</v>
      </c>
      <c r="P457" s="13">
        <v>1.3341913358683699</v>
      </c>
    </row>
    <row r="458" spans="11:16" x14ac:dyDescent="0.3">
      <c r="K458" s="14" t="s">
        <v>66</v>
      </c>
      <c r="L458">
        <v>203.13</v>
      </c>
      <c r="M458">
        <v>130.136</v>
      </c>
      <c r="N458">
        <v>150.1</v>
      </c>
      <c r="O458">
        <v>276.5</v>
      </c>
      <c r="P458" s="13">
        <v>1.3464448462929499</v>
      </c>
    </row>
    <row r="459" spans="11:16" x14ac:dyDescent="0.3">
      <c r="K459" s="14" t="s">
        <v>66</v>
      </c>
      <c r="L459">
        <v>203.13</v>
      </c>
      <c r="M459">
        <v>107.27719999999999</v>
      </c>
      <c r="N459">
        <v>300.01</v>
      </c>
      <c r="O459">
        <v>288</v>
      </c>
      <c r="P459" s="13">
        <v>1.34864513888889</v>
      </c>
    </row>
    <row r="460" spans="11:16" x14ac:dyDescent="0.3">
      <c r="K460" s="14" t="s">
        <v>66</v>
      </c>
      <c r="L460">
        <v>203.13</v>
      </c>
      <c r="M460">
        <v>75.846400000000003</v>
      </c>
      <c r="N460">
        <v>380.01</v>
      </c>
      <c r="O460">
        <v>276.14999999999998</v>
      </c>
      <c r="P460" s="13">
        <v>1.36802100307804</v>
      </c>
    </row>
    <row r="461" spans="11:16" x14ac:dyDescent="0.3">
      <c r="K461" s="14" t="s">
        <v>66</v>
      </c>
      <c r="L461">
        <v>203.13</v>
      </c>
      <c r="M461">
        <v>150.60769999999999</v>
      </c>
      <c r="N461">
        <v>144.1</v>
      </c>
      <c r="O461">
        <v>285.20999999999998</v>
      </c>
      <c r="P461" s="13">
        <v>1.37163388380492</v>
      </c>
    </row>
    <row r="462" spans="11:16" x14ac:dyDescent="0.3">
      <c r="K462" s="14" t="s">
        <v>66</v>
      </c>
      <c r="L462">
        <v>202.69</v>
      </c>
      <c r="M462">
        <v>109.375</v>
      </c>
      <c r="N462">
        <v>240.01</v>
      </c>
      <c r="O462">
        <v>271.61</v>
      </c>
      <c r="P462" s="13">
        <v>1.37869592430323</v>
      </c>
    </row>
    <row r="463" spans="11:16" x14ac:dyDescent="0.3">
      <c r="K463" s="14" t="s">
        <v>66</v>
      </c>
      <c r="L463">
        <v>203.13</v>
      </c>
      <c r="M463">
        <v>109.9537</v>
      </c>
      <c r="N463">
        <v>315.01</v>
      </c>
      <c r="O463">
        <v>283.69</v>
      </c>
      <c r="P463" s="13">
        <v>1.3923166132045499</v>
      </c>
    </row>
    <row r="464" spans="11:16" x14ac:dyDescent="0.3">
      <c r="K464" s="14" t="s">
        <v>66</v>
      </c>
      <c r="L464">
        <v>202.69</v>
      </c>
      <c r="M464">
        <v>110.13460000000001</v>
      </c>
      <c r="N464">
        <v>299.01</v>
      </c>
      <c r="O464">
        <v>277.95999999999998</v>
      </c>
      <c r="P464" s="13">
        <v>1.4051201611742701</v>
      </c>
    </row>
    <row r="465" spans="11:16" x14ac:dyDescent="0.3">
      <c r="K465" s="14" t="s">
        <v>66</v>
      </c>
      <c r="L465">
        <v>210.5</v>
      </c>
      <c r="M465">
        <v>112.0877</v>
      </c>
      <c r="N465">
        <v>320.01</v>
      </c>
      <c r="O465">
        <v>288.02999999999997</v>
      </c>
      <c r="P465" s="13">
        <v>1.4088473422907299</v>
      </c>
    </row>
    <row r="466" spans="11:16" x14ac:dyDescent="0.3">
      <c r="K466" s="14" t="s">
        <v>66</v>
      </c>
      <c r="L466">
        <v>210.94</v>
      </c>
      <c r="M466">
        <v>74.761300000000006</v>
      </c>
      <c r="N466">
        <v>400.02</v>
      </c>
      <c r="O466">
        <v>276.52</v>
      </c>
      <c r="P466" s="13">
        <v>1.4093248227976301</v>
      </c>
    </row>
    <row r="467" spans="11:16" x14ac:dyDescent="0.3">
      <c r="K467" s="14" t="s">
        <v>66</v>
      </c>
      <c r="L467">
        <v>203.13</v>
      </c>
      <c r="M467">
        <v>113.1728</v>
      </c>
      <c r="N467">
        <v>330.01</v>
      </c>
      <c r="O467">
        <v>285.18</v>
      </c>
      <c r="P467" s="13">
        <v>1.4100056104916201</v>
      </c>
    </row>
    <row r="468" spans="11:16" x14ac:dyDescent="0.3">
      <c r="K468" s="14" t="s">
        <v>66</v>
      </c>
      <c r="L468">
        <v>203.13</v>
      </c>
      <c r="M468">
        <v>101.3455</v>
      </c>
      <c r="N468">
        <v>293.01</v>
      </c>
      <c r="O468">
        <v>269.89</v>
      </c>
      <c r="P468" s="13">
        <v>1.4104194301382</v>
      </c>
    </row>
    <row r="469" spans="11:16" x14ac:dyDescent="0.3">
      <c r="K469" s="14" t="s">
        <v>66</v>
      </c>
      <c r="L469">
        <v>203.13</v>
      </c>
      <c r="M469">
        <v>89.518199999999993</v>
      </c>
      <c r="N469">
        <v>410.02</v>
      </c>
      <c r="O469">
        <v>282.29000000000002</v>
      </c>
      <c r="P469" s="13">
        <v>1.41433773778738</v>
      </c>
    </row>
    <row r="470" spans="11:16" x14ac:dyDescent="0.3">
      <c r="K470" s="14" t="s">
        <v>66</v>
      </c>
      <c r="L470">
        <v>203.13</v>
      </c>
      <c r="M470">
        <v>163.4838</v>
      </c>
      <c r="N470">
        <v>188</v>
      </c>
      <c r="O470">
        <v>289.75</v>
      </c>
      <c r="P470" s="13">
        <v>1.4339734253667</v>
      </c>
    </row>
    <row r="471" spans="11:16" x14ac:dyDescent="0.3">
      <c r="K471" s="14" t="s">
        <v>66</v>
      </c>
      <c r="L471">
        <v>195.31</v>
      </c>
      <c r="M471">
        <v>124.2043</v>
      </c>
      <c r="N471">
        <v>249.01</v>
      </c>
      <c r="O471">
        <v>267.55</v>
      </c>
      <c r="P471" s="13">
        <v>1.43620594281443</v>
      </c>
    </row>
    <row r="472" spans="11:16" x14ac:dyDescent="0.3">
      <c r="K472" s="14" t="s">
        <v>66</v>
      </c>
      <c r="L472">
        <v>203.13</v>
      </c>
      <c r="M472">
        <v>126.73609999999999</v>
      </c>
      <c r="N472">
        <v>301.01</v>
      </c>
      <c r="O472">
        <v>283.08999999999997</v>
      </c>
      <c r="P472" s="13">
        <v>1.4416923946448099</v>
      </c>
    </row>
    <row r="473" spans="11:16" x14ac:dyDescent="0.3">
      <c r="K473" s="14" t="s">
        <v>66</v>
      </c>
      <c r="L473">
        <v>203.13</v>
      </c>
      <c r="M473">
        <v>147.20779999999999</v>
      </c>
      <c r="N473">
        <v>120.1</v>
      </c>
      <c r="O473">
        <v>263.58999999999997</v>
      </c>
      <c r="P473" s="13">
        <v>1.44756553738761</v>
      </c>
    </row>
    <row r="474" spans="11:16" x14ac:dyDescent="0.3">
      <c r="K474" s="14" t="s">
        <v>66</v>
      </c>
      <c r="L474">
        <v>203.13</v>
      </c>
      <c r="M474">
        <v>121.0938</v>
      </c>
      <c r="N474">
        <v>368.01</v>
      </c>
      <c r="O474">
        <v>289.48</v>
      </c>
      <c r="P474" s="13">
        <v>1.45055409700152</v>
      </c>
    </row>
    <row r="475" spans="11:16" x14ac:dyDescent="0.3">
      <c r="K475" s="14" t="s">
        <v>66</v>
      </c>
      <c r="L475">
        <v>202.69</v>
      </c>
      <c r="M475">
        <v>107.3134</v>
      </c>
      <c r="N475">
        <v>340.01</v>
      </c>
      <c r="O475">
        <v>273.06</v>
      </c>
      <c r="P475" s="13">
        <v>1.45904196879807</v>
      </c>
    </row>
    <row r="476" spans="11:16" x14ac:dyDescent="0.3">
      <c r="K476" s="14" t="s">
        <v>66</v>
      </c>
      <c r="L476">
        <v>202.26</v>
      </c>
      <c r="M476">
        <v>159.6499</v>
      </c>
      <c r="N476">
        <v>266.01</v>
      </c>
      <c r="O476">
        <v>293.48</v>
      </c>
      <c r="P476" s="13">
        <v>1.4688309254463701</v>
      </c>
    </row>
    <row r="477" spans="11:16" x14ac:dyDescent="0.3">
      <c r="K477" s="14" t="s">
        <v>66</v>
      </c>
      <c r="L477">
        <v>195.75</v>
      </c>
      <c r="M477">
        <v>191.94890000000001</v>
      </c>
      <c r="N477">
        <v>104.3</v>
      </c>
      <c r="O477">
        <v>280.82</v>
      </c>
      <c r="P477" s="13">
        <v>1.4771629513567399</v>
      </c>
    </row>
    <row r="478" spans="11:16" x14ac:dyDescent="0.3">
      <c r="K478" s="14" t="s">
        <v>66</v>
      </c>
      <c r="L478">
        <v>203.13</v>
      </c>
      <c r="M478">
        <v>126.88079999999999</v>
      </c>
      <c r="N478">
        <v>339.01</v>
      </c>
      <c r="O478">
        <v>283.07</v>
      </c>
      <c r="P478" s="13">
        <v>1.4772084643374399</v>
      </c>
    </row>
    <row r="479" spans="11:16" x14ac:dyDescent="0.3">
      <c r="K479" s="14" t="s">
        <v>66</v>
      </c>
      <c r="L479">
        <v>203.13</v>
      </c>
      <c r="M479">
        <v>138.78039999999999</v>
      </c>
      <c r="N479">
        <v>300.01</v>
      </c>
      <c r="O479">
        <v>281.13</v>
      </c>
      <c r="P479" s="13">
        <v>1.49366129548607</v>
      </c>
    </row>
    <row r="480" spans="11:16" x14ac:dyDescent="0.3">
      <c r="K480" s="14" t="s">
        <v>66</v>
      </c>
      <c r="L480">
        <v>203.13</v>
      </c>
      <c r="M480">
        <v>166.01570000000001</v>
      </c>
      <c r="N480">
        <v>200</v>
      </c>
      <c r="O480">
        <v>277.98</v>
      </c>
      <c r="P480" s="13">
        <v>1.5150215842866399</v>
      </c>
    </row>
    <row r="481" spans="11:16" x14ac:dyDescent="0.3">
      <c r="K481" s="14" t="s">
        <v>66</v>
      </c>
      <c r="L481">
        <v>203.13</v>
      </c>
      <c r="M481">
        <v>126.1936</v>
      </c>
      <c r="N481">
        <v>300.01</v>
      </c>
      <c r="O481">
        <v>266.7</v>
      </c>
      <c r="P481" s="13">
        <v>1.5272823397075399</v>
      </c>
    </row>
    <row r="482" spans="11:16" x14ac:dyDescent="0.3">
      <c r="K482" s="14" t="s">
        <v>66</v>
      </c>
      <c r="L482">
        <v>203.13</v>
      </c>
      <c r="M482">
        <v>128.1105</v>
      </c>
      <c r="N482">
        <v>350.01</v>
      </c>
      <c r="O482">
        <v>273.04000000000002</v>
      </c>
      <c r="P482" s="13">
        <v>1.54645143568708</v>
      </c>
    </row>
    <row r="483" spans="11:16" x14ac:dyDescent="0.3">
      <c r="K483" s="14" t="s">
        <v>66</v>
      </c>
      <c r="L483">
        <v>195.75</v>
      </c>
      <c r="M483">
        <v>158.27549999999999</v>
      </c>
      <c r="N483">
        <v>280.81</v>
      </c>
      <c r="O483">
        <v>275.89999999999998</v>
      </c>
      <c r="P483" s="13">
        <v>1.5477930409568701</v>
      </c>
    </row>
    <row r="484" spans="11:16" x14ac:dyDescent="0.3">
      <c r="K484" s="14" t="s">
        <v>66</v>
      </c>
      <c r="L484">
        <v>203.13</v>
      </c>
      <c r="M484">
        <v>102.32210000000001</v>
      </c>
      <c r="N484">
        <v>440.02</v>
      </c>
      <c r="O484">
        <v>268.16000000000003</v>
      </c>
      <c r="P484" s="13">
        <v>1.5656969719570399</v>
      </c>
    </row>
    <row r="485" spans="11:16" x14ac:dyDescent="0.3">
      <c r="K485" s="14" t="s">
        <v>66</v>
      </c>
      <c r="L485">
        <v>203.13</v>
      </c>
      <c r="M485">
        <v>158.27549999999999</v>
      </c>
      <c r="N485">
        <v>300.01</v>
      </c>
      <c r="O485">
        <v>279.63</v>
      </c>
      <c r="P485" s="13">
        <v>1.57139112398527</v>
      </c>
    </row>
    <row r="486" spans="11:16" x14ac:dyDescent="0.3">
      <c r="K486" s="14" t="s">
        <v>66</v>
      </c>
      <c r="L486">
        <v>203.13</v>
      </c>
      <c r="M486">
        <v>139.97399999999999</v>
      </c>
      <c r="N486">
        <v>410.02</v>
      </c>
      <c r="O486">
        <v>280.49</v>
      </c>
      <c r="P486" s="13">
        <v>1.6032985133159801</v>
      </c>
    </row>
    <row r="487" spans="11:16" x14ac:dyDescent="0.3">
      <c r="K487" s="14" t="s">
        <v>66</v>
      </c>
      <c r="L487">
        <v>203.13</v>
      </c>
      <c r="M487">
        <v>109.809</v>
      </c>
      <c r="N487">
        <v>555.01</v>
      </c>
      <c r="O487">
        <v>273.64</v>
      </c>
      <c r="P487" s="13">
        <v>1.6709603859084901</v>
      </c>
    </row>
    <row r="488" spans="11:16" x14ac:dyDescent="0.3">
      <c r="K488" s="14" t="s">
        <v>68</v>
      </c>
      <c r="L488">
        <v>203.13</v>
      </c>
      <c r="M488">
        <v>105.2517</v>
      </c>
      <c r="N488">
        <v>181.3</v>
      </c>
      <c r="O488">
        <v>277.05</v>
      </c>
      <c r="P488" s="13">
        <v>1.28323299043494</v>
      </c>
    </row>
    <row r="489" spans="11:16" x14ac:dyDescent="0.3">
      <c r="K489" s="14" t="s">
        <v>68</v>
      </c>
      <c r="L489">
        <v>202.26</v>
      </c>
      <c r="M489">
        <v>75.882499999999993</v>
      </c>
      <c r="N489">
        <v>308</v>
      </c>
      <c r="O489">
        <v>278.77999999999997</v>
      </c>
      <c r="P489" s="13">
        <v>1.28496484683263</v>
      </c>
    </row>
    <row r="490" spans="11:16" x14ac:dyDescent="0.3">
      <c r="K490" s="14" t="s">
        <v>68</v>
      </c>
      <c r="L490">
        <v>203.13</v>
      </c>
      <c r="M490">
        <v>83.658900000000003</v>
      </c>
      <c r="N490">
        <v>340.01</v>
      </c>
      <c r="O490">
        <v>283.41000000000003</v>
      </c>
      <c r="P490" s="13">
        <v>1.3238470766733701</v>
      </c>
    </row>
    <row r="491" spans="11:16" x14ac:dyDescent="0.3">
      <c r="K491" s="14" t="s">
        <v>68</v>
      </c>
      <c r="L491">
        <v>210.94</v>
      </c>
      <c r="M491">
        <v>112.0877</v>
      </c>
      <c r="N491">
        <v>270.01</v>
      </c>
      <c r="O491">
        <v>277.10000000000002</v>
      </c>
      <c r="P491" s="13">
        <v>1.41909166365933</v>
      </c>
    </row>
    <row r="492" spans="11:16" x14ac:dyDescent="0.3">
      <c r="K492" s="14" t="s">
        <v>68</v>
      </c>
      <c r="L492">
        <v>210.94</v>
      </c>
      <c r="M492">
        <v>107.3134</v>
      </c>
      <c r="N492">
        <v>350.01</v>
      </c>
      <c r="O492">
        <v>286.87</v>
      </c>
      <c r="P492" s="13">
        <v>1.4266253006588301</v>
      </c>
    </row>
    <row r="493" spans="11:16" x14ac:dyDescent="0.3">
      <c r="K493" s="14" t="s">
        <v>68</v>
      </c>
      <c r="L493">
        <v>203.13</v>
      </c>
      <c r="M493">
        <v>137.6953</v>
      </c>
      <c r="N493">
        <v>300.01</v>
      </c>
      <c r="O493">
        <v>284.64</v>
      </c>
      <c r="P493" s="13">
        <v>1.4714302276559901</v>
      </c>
    </row>
    <row r="494" spans="11:16" x14ac:dyDescent="0.3">
      <c r="K494" s="14" t="s">
        <v>68</v>
      </c>
      <c r="L494">
        <v>210.5</v>
      </c>
      <c r="M494">
        <v>114.2578</v>
      </c>
      <c r="N494">
        <v>300.01</v>
      </c>
      <c r="O494">
        <v>272.45999999999998</v>
      </c>
      <c r="P494" s="13">
        <v>1.47823680540263</v>
      </c>
    </row>
    <row r="495" spans="11:16" x14ac:dyDescent="0.3">
      <c r="K495" s="14" t="s">
        <v>68</v>
      </c>
      <c r="L495">
        <v>203.13</v>
      </c>
      <c r="M495">
        <v>147.6953</v>
      </c>
      <c r="N495">
        <v>290.01</v>
      </c>
      <c r="O495">
        <v>268.74</v>
      </c>
      <c r="P495" s="13">
        <v>1.5860232938900001</v>
      </c>
    </row>
    <row r="496" spans="11:16" x14ac:dyDescent="0.3">
      <c r="K496" s="14" t="s">
        <v>70</v>
      </c>
      <c r="L496">
        <v>195.75</v>
      </c>
      <c r="M496">
        <v>125.6511</v>
      </c>
      <c r="N496">
        <v>360.01</v>
      </c>
      <c r="O496">
        <v>282.83999999999997</v>
      </c>
      <c r="P496" s="13">
        <v>1.46727372366002</v>
      </c>
    </row>
    <row r="497" spans="11:16" x14ac:dyDescent="0.3">
      <c r="K497" s="14" t="s">
        <v>70</v>
      </c>
      <c r="L497">
        <v>203.13</v>
      </c>
      <c r="M497">
        <v>168.1858</v>
      </c>
      <c r="N497">
        <v>220</v>
      </c>
      <c r="O497">
        <v>265.56</v>
      </c>
      <c r="P497" s="13">
        <v>1.61363081789426</v>
      </c>
    </row>
    <row r="498" spans="11:16" x14ac:dyDescent="0.3">
      <c r="K498" s="14" t="s">
        <v>209</v>
      </c>
      <c r="M498">
        <v>139.53989999999999</v>
      </c>
      <c r="N498">
        <v>300.01</v>
      </c>
      <c r="O498">
        <v>288.5</v>
      </c>
      <c r="P498" s="13">
        <v>0.75404679376083195</v>
      </c>
    </row>
    <row r="499" spans="11:16" x14ac:dyDescent="0.3">
      <c r="K499" s="14" t="s">
        <v>209</v>
      </c>
      <c r="L499">
        <v>202.26</v>
      </c>
      <c r="M499">
        <v>82.682299999999998</v>
      </c>
      <c r="N499">
        <v>140.1</v>
      </c>
      <c r="O499">
        <v>280.52999999999997</v>
      </c>
      <c r="P499" s="13">
        <v>1.14557551776994</v>
      </c>
    </row>
    <row r="500" spans="11:16" x14ac:dyDescent="0.3">
      <c r="K500" s="14" t="s">
        <v>209</v>
      </c>
      <c r="L500">
        <v>157.99</v>
      </c>
      <c r="M500">
        <v>84.635400000000004</v>
      </c>
      <c r="N500">
        <v>300.01</v>
      </c>
      <c r="O500">
        <v>279.67</v>
      </c>
      <c r="P500" s="13">
        <v>1.1464511745986301</v>
      </c>
    </row>
    <row r="501" spans="11:16" x14ac:dyDescent="0.3">
      <c r="K501" s="14" t="s">
        <v>209</v>
      </c>
      <c r="L501">
        <v>150.16999999999999</v>
      </c>
      <c r="M501">
        <v>103.29859999999999</v>
      </c>
      <c r="N501">
        <v>280.01</v>
      </c>
      <c r="O501">
        <v>279.43</v>
      </c>
      <c r="P501" s="13">
        <v>1.16763124932899</v>
      </c>
    </row>
    <row r="502" spans="11:16" x14ac:dyDescent="0.3">
      <c r="K502" s="14" t="s">
        <v>209</v>
      </c>
      <c r="L502">
        <v>150.61000000000001</v>
      </c>
      <c r="M502">
        <v>116.2109</v>
      </c>
      <c r="N502">
        <v>300.01</v>
      </c>
      <c r="O502">
        <v>284.57</v>
      </c>
      <c r="P502" s="13">
        <v>1.2117352496749501</v>
      </c>
    </row>
    <row r="503" spans="11:16" x14ac:dyDescent="0.3">
      <c r="K503" s="14" t="s">
        <v>209</v>
      </c>
      <c r="L503">
        <v>150.61000000000001</v>
      </c>
      <c r="M503">
        <v>113.17270000000001</v>
      </c>
      <c r="N503">
        <v>340.01</v>
      </c>
      <c r="O503">
        <v>287.74</v>
      </c>
      <c r="P503" s="13">
        <v>1.22397059845694</v>
      </c>
    </row>
    <row r="504" spans="11:16" x14ac:dyDescent="0.3">
      <c r="K504" s="14" t="s">
        <v>209</v>
      </c>
      <c r="L504">
        <v>157.99</v>
      </c>
      <c r="M504">
        <v>134.76570000000001</v>
      </c>
      <c r="N504">
        <v>255.01</v>
      </c>
      <c r="O504">
        <v>286.58</v>
      </c>
      <c r="P504" s="13">
        <v>1.2529077395491699</v>
      </c>
    </row>
    <row r="505" spans="11:16" x14ac:dyDescent="0.3">
      <c r="K505" s="14" t="s">
        <v>209</v>
      </c>
      <c r="L505">
        <v>150.16999999999999</v>
      </c>
      <c r="M505">
        <v>144.63980000000001</v>
      </c>
      <c r="N505">
        <v>266.01</v>
      </c>
      <c r="O505">
        <v>283.74</v>
      </c>
      <c r="P505" s="13">
        <v>1.28276732219638</v>
      </c>
    </row>
    <row r="506" spans="11:16" x14ac:dyDescent="0.3">
      <c r="K506" s="14" t="s">
        <v>209</v>
      </c>
      <c r="L506">
        <v>157.99</v>
      </c>
      <c r="M506">
        <v>105.2517</v>
      </c>
      <c r="N506">
        <v>400.02</v>
      </c>
      <c r="O506">
        <v>283.69</v>
      </c>
      <c r="P506" s="13">
        <v>1.29453593711446</v>
      </c>
    </row>
    <row r="507" spans="11:16" x14ac:dyDescent="0.3">
      <c r="K507" s="14" t="s">
        <v>209</v>
      </c>
      <c r="L507">
        <v>203.13</v>
      </c>
      <c r="M507">
        <v>111.2196</v>
      </c>
      <c r="N507">
        <v>135.1</v>
      </c>
      <c r="O507">
        <v>269</v>
      </c>
      <c r="P507" s="13">
        <v>1.29916579925651</v>
      </c>
    </row>
    <row r="508" spans="11:16" x14ac:dyDescent="0.3">
      <c r="K508" s="14" t="s">
        <v>209</v>
      </c>
      <c r="L508">
        <v>150.16999999999999</v>
      </c>
      <c r="M508">
        <v>124.349</v>
      </c>
      <c r="N508">
        <v>350.01</v>
      </c>
      <c r="O508">
        <v>277.12</v>
      </c>
      <c r="P508" s="13">
        <v>1.31900115473441</v>
      </c>
    </row>
    <row r="509" spans="11:16" x14ac:dyDescent="0.3">
      <c r="K509" s="14" t="s">
        <v>209</v>
      </c>
      <c r="L509">
        <v>195.31</v>
      </c>
      <c r="M509">
        <v>127.5318</v>
      </c>
      <c r="N509">
        <v>250.01</v>
      </c>
      <c r="O509">
        <v>285.08999999999997</v>
      </c>
      <c r="P509" s="13">
        <v>1.3604279350380599</v>
      </c>
    </row>
    <row r="510" spans="11:16" x14ac:dyDescent="0.3">
      <c r="K510" s="14" t="s">
        <v>209</v>
      </c>
      <c r="L510">
        <v>157.99</v>
      </c>
      <c r="M510">
        <v>161.8186</v>
      </c>
      <c r="N510">
        <v>222</v>
      </c>
      <c r="O510">
        <v>276.18</v>
      </c>
      <c r="P510" s="13">
        <v>1.3669657469766101</v>
      </c>
    </row>
    <row r="511" spans="11:16" x14ac:dyDescent="0.3">
      <c r="K511" s="14" t="s">
        <v>209</v>
      </c>
      <c r="L511">
        <v>195.75</v>
      </c>
      <c r="M511">
        <v>128.76159999999999</v>
      </c>
      <c r="N511">
        <v>250.01</v>
      </c>
      <c r="O511">
        <v>281.10000000000002</v>
      </c>
      <c r="P511" s="13">
        <v>1.38567840626112</v>
      </c>
    </row>
    <row r="512" spans="11:16" x14ac:dyDescent="0.3">
      <c r="K512" s="14" t="s">
        <v>209</v>
      </c>
      <c r="L512">
        <v>203.13</v>
      </c>
      <c r="M512">
        <v>129.48490000000001</v>
      </c>
      <c r="N512">
        <v>150.1</v>
      </c>
      <c r="O512">
        <v>266.39</v>
      </c>
      <c r="P512" s="13">
        <v>1.39510079207177</v>
      </c>
    </row>
    <row r="513" spans="11:16" x14ac:dyDescent="0.3">
      <c r="K513" s="14" t="s">
        <v>209</v>
      </c>
      <c r="L513">
        <v>202.69</v>
      </c>
      <c r="M513">
        <v>128.2552</v>
      </c>
      <c r="N513">
        <v>200</v>
      </c>
      <c r="O513">
        <v>273.89</v>
      </c>
      <c r="P513" s="13">
        <v>1.39817152871591</v>
      </c>
    </row>
    <row r="514" spans="11:16" x14ac:dyDescent="0.3">
      <c r="K514" s="14" t="s">
        <v>209</v>
      </c>
      <c r="L514">
        <v>203.13</v>
      </c>
      <c r="M514">
        <v>139.97399999999999</v>
      </c>
      <c r="N514">
        <v>150.1</v>
      </c>
      <c r="O514">
        <v>273.29000000000002</v>
      </c>
      <c r="P514" s="13">
        <v>1.3982582604559299</v>
      </c>
    </row>
    <row r="515" spans="11:16" x14ac:dyDescent="0.3">
      <c r="K515" s="14" t="s">
        <v>209</v>
      </c>
      <c r="L515">
        <v>203.13</v>
      </c>
      <c r="M515">
        <v>138.78039999999999</v>
      </c>
      <c r="N515">
        <v>222</v>
      </c>
      <c r="O515">
        <v>279.81</v>
      </c>
      <c r="P515" s="13">
        <v>1.4282205782495301</v>
      </c>
    </row>
    <row r="516" spans="11:16" x14ac:dyDescent="0.3">
      <c r="K516" s="14" t="s">
        <v>209</v>
      </c>
      <c r="L516">
        <v>203.13</v>
      </c>
      <c r="M516">
        <v>145.6164</v>
      </c>
      <c r="N516">
        <v>200</v>
      </c>
      <c r="O516">
        <v>277.37</v>
      </c>
      <c r="P516" s="13">
        <v>1.4448080181706699</v>
      </c>
    </row>
    <row r="517" spans="11:16" x14ac:dyDescent="0.3">
      <c r="K517" s="14" t="s">
        <v>209</v>
      </c>
      <c r="L517">
        <v>203.13</v>
      </c>
      <c r="M517">
        <v>155.74359999999999</v>
      </c>
      <c r="N517">
        <v>230</v>
      </c>
      <c r="O517">
        <v>276.54000000000002</v>
      </c>
      <c r="P517" s="13">
        <v>1.51397121573733</v>
      </c>
    </row>
    <row r="518" spans="11:16" x14ac:dyDescent="0.3">
      <c r="K518" s="14" t="s">
        <v>209</v>
      </c>
      <c r="L518">
        <v>307.73</v>
      </c>
      <c r="M518">
        <v>153.8629</v>
      </c>
      <c r="N518">
        <v>320.01</v>
      </c>
      <c r="O518">
        <v>288.04000000000002</v>
      </c>
      <c r="P518" s="13">
        <v>1.8913883488404399</v>
      </c>
    </row>
    <row r="519" spans="11:16" x14ac:dyDescent="0.3">
      <c r="K519" s="14" t="s">
        <v>211</v>
      </c>
      <c r="L519">
        <v>150.61000000000001</v>
      </c>
      <c r="M519">
        <v>128.03819999999999</v>
      </c>
      <c r="N519">
        <v>266.01</v>
      </c>
      <c r="O519">
        <v>287.18</v>
      </c>
      <c r="P519" s="13">
        <v>1.2111247301344099</v>
      </c>
    </row>
    <row r="520" spans="11:16" x14ac:dyDescent="0.3">
      <c r="K520" s="14" t="s">
        <v>211</v>
      </c>
      <c r="L520">
        <v>210.5</v>
      </c>
      <c r="M520">
        <v>104.92619999999999</v>
      </c>
      <c r="N520">
        <v>200</v>
      </c>
      <c r="O520">
        <v>300.14999999999998</v>
      </c>
      <c r="P520" s="13">
        <v>1.22414192903548</v>
      </c>
    </row>
    <row r="521" spans="11:16" x14ac:dyDescent="0.3">
      <c r="K521" s="14" t="s">
        <v>211</v>
      </c>
      <c r="L521">
        <v>210.5</v>
      </c>
      <c r="M521">
        <v>104.4922</v>
      </c>
      <c r="N521">
        <v>220</v>
      </c>
      <c r="O521">
        <v>293.49</v>
      </c>
      <c r="P521" s="13">
        <v>1.2681597328699401</v>
      </c>
    </row>
    <row r="522" spans="11:16" x14ac:dyDescent="0.3">
      <c r="K522" s="14" t="s">
        <v>211</v>
      </c>
      <c r="L522">
        <v>203.13</v>
      </c>
      <c r="M522">
        <v>110.2431</v>
      </c>
      <c r="N522">
        <v>170</v>
      </c>
      <c r="O522">
        <v>274.24</v>
      </c>
      <c r="P522" s="13">
        <v>1.3038692386230999</v>
      </c>
    </row>
    <row r="523" spans="11:16" x14ac:dyDescent="0.3">
      <c r="K523" s="14" t="s">
        <v>211</v>
      </c>
      <c r="L523">
        <v>203.13</v>
      </c>
      <c r="M523">
        <v>112.8472</v>
      </c>
      <c r="N523">
        <v>200</v>
      </c>
      <c r="O523">
        <v>281.99</v>
      </c>
      <c r="P523" s="13">
        <v>1.30492996205539</v>
      </c>
    </row>
    <row r="524" spans="11:16" x14ac:dyDescent="0.3">
      <c r="K524" s="14" t="s">
        <v>211</v>
      </c>
      <c r="L524">
        <v>202.26</v>
      </c>
      <c r="M524">
        <v>150.0651</v>
      </c>
      <c r="N524">
        <v>170</v>
      </c>
      <c r="O524">
        <v>296.42</v>
      </c>
      <c r="P524" s="13">
        <v>1.3377137170231399</v>
      </c>
    </row>
    <row r="525" spans="11:16" x14ac:dyDescent="0.3">
      <c r="K525" s="14" t="s">
        <v>211</v>
      </c>
      <c r="L525">
        <v>203.13</v>
      </c>
      <c r="M525">
        <v>106.2283</v>
      </c>
      <c r="N525">
        <v>320.01</v>
      </c>
      <c r="O525">
        <v>289.20999999999998</v>
      </c>
      <c r="P525" s="13">
        <v>1.35735590055669</v>
      </c>
    </row>
    <row r="526" spans="11:16" x14ac:dyDescent="0.3">
      <c r="K526" s="14" t="s">
        <v>211</v>
      </c>
      <c r="L526">
        <v>210.5</v>
      </c>
      <c r="M526">
        <v>122.9384</v>
      </c>
      <c r="N526">
        <v>180</v>
      </c>
      <c r="O526">
        <v>279.95999999999998</v>
      </c>
      <c r="P526" s="13">
        <v>1.3581883126160901</v>
      </c>
    </row>
    <row r="527" spans="11:16" x14ac:dyDescent="0.3">
      <c r="K527" s="14" t="s">
        <v>211</v>
      </c>
      <c r="L527">
        <v>203.13</v>
      </c>
      <c r="M527">
        <v>102.32210000000001</v>
      </c>
      <c r="N527">
        <v>430.11</v>
      </c>
      <c r="O527">
        <v>279.13</v>
      </c>
      <c r="P527" s="13">
        <v>1.4949331852541801</v>
      </c>
    </row>
    <row r="528" spans="11:16" x14ac:dyDescent="0.3">
      <c r="K528" s="14" t="s">
        <v>211</v>
      </c>
      <c r="L528">
        <v>202.26</v>
      </c>
      <c r="M528">
        <v>164.71360000000001</v>
      </c>
      <c r="N528">
        <v>210.2</v>
      </c>
      <c r="O528">
        <v>275.69</v>
      </c>
      <c r="P528" s="13">
        <v>1.52934673002285</v>
      </c>
    </row>
    <row r="529" spans="11:16" x14ac:dyDescent="0.3">
      <c r="K529" s="14" t="s">
        <v>212</v>
      </c>
      <c r="L529">
        <v>203.13</v>
      </c>
      <c r="M529">
        <v>132.3785</v>
      </c>
      <c r="N529">
        <v>222</v>
      </c>
      <c r="O529">
        <v>291.2</v>
      </c>
      <c r="P529" s="13">
        <v>1.35037259615385</v>
      </c>
    </row>
    <row r="530" spans="11:16" x14ac:dyDescent="0.3">
      <c r="K530" s="14" t="s">
        <v>212</v>
      </c>
      <c r="L530">
        <v>203.13</v>
      </c>
      <c r="M530">
        <v>127.9297</v>
      </c>
      <c r="N530">
        <v>260.01</v>
      </c>
      <c r="O530">
        <v>291.2</v>
      </c>
      <c r="P530" s="13">
        <v>1.3690326236263699</v>
      </c>
    </row>
    <row r="531" spans="11:16" x14ac:dyDescent="0.3">
      <c r="K531" s="14" t="s">
        <v>212</v>
      </c>
      <c r="L531">
        <v>210.5</v>
      </c>
      <c r="M531">
        <v>126.95310000000001</v>
      </c>
      <c r="N531">
        <v>220</v>
      </c>
      <c r="O531">
        <v>285.42</v>
      </c>
      <c r="P531" s="13">
        <v>1.3827100413425799</v>
      </c>
    </row>
    <row r="532" spans="11:16" x14ac:dyDescent="0.3">
      <c r="K532" s="14" t="s">
        <v>212</v>
      </c>
      <c r="L532">
        <v>202.69</v>
      </c>
      <c r="M532">
        <v>165.5078</v>
      </c>
      <c r="N532">
        <v>250.01</v>
      </c>
      <c r="O532">
        <v>286.3</v>
      </c>
      <c r="P532" s="13">
        <v>1.5130995459308401</v>
      </c>
    </row>
    <row r="533" spans="11:16" x14ac:dyDescent="0.3">
      <c r="K533" s="14" t="s">
        <v>226</v>
      </c>
      <c r="L533">
        <v>203.56</v>
      </c>
      <c r="M533">
        <v>136.0677</v>
      </c>
      <c r="N533">
        <v>222</v>
      </c>
      <c r="O533">
        <v>263.58</v>
      </c>
      <c r="P533" s="13">
        <v>1.5075032248273801</v>
      </c>
    </row>
    <row r="534" spans="11:16" x14ac:dyDescent="0.3">
      <c r="K534" s="14" t="s">
        <v>226</v>
      </c>
      <c r="L534">
        <v>150.16999999999999</v>
      </c>
      <c r="M534">
        <v>342.78649999999999</v>
      </c>
      <c r="N534">
        <v>311.39999999999998</v>
      </c>
      <c r="O534">
        <v>273.91000000000003</v>
      </c>
      <c r="P534" s="13">
        <v>2.09528859844474</v>
      </c>
    </row>
    <row r="535" spans="11:16" x14ac:dyDescent="0.3">
      <c r="K535" s="14" t="s">
        <v>228</v>
      </c>
      <c r="L535">
        <v>203.13</v>
      </c>
      <c r="M535">
        <v>141.3484</v>
      </c>
      <c r="N535">
        <v>414.81</v>
      </c>
      <c r="O535">
        <v>274.2</v>
      </c>
      <c r="P535" s="13">
        <v>1.64963165572575</v>
      </c>
    </row>
    <row r="536" spans="11:16" x14ac:dyDescent="0.3">
      <c r="K536" s="14" t="s">
        <v>230</v>
      </c>
      <c r="L536">
        <v>203.13</v>
      </c>
      <c r="M536">
        <v>275.56420000000003</v>
      </c>
      <c r="N536">
        <v>369.11</v>
      </c>
      <c r="O536">
        <v>254.61</v>
      </c>
      <c r="P536" s="13">
        <v>2.2570315384313302</v>
      </c>
    </row>
    <row r="537" spans="11:16" x14ac:dyDescent="0.3">
      <c r="K537" s="14" t="s">
        <v>525</v>
      </c>
      <c r="L537">
        <v>300.35000000000002</v>
      </c>
      <c r="N537">
        <v>200</v>
      </c>
      <c r="O537">
        <v>288.91000000000003</v>
      </c>
      <c r="P537" s="13">
        <v>1.2195839534803199</v>
      </c>
    </row>
    <row r="538" spans="11:16" x14ac:dyDescent="0.3">
      <c r="K538" s="14" t="s">
        <v>525</v>
      </c>
      <c r="L538">
        <v>307.73</v>
      </c>
      <c r="M538">
        <v>45.862299999999998</v>
      </c>
      <c r="N538">
        <v>310.11</v>
      </c>
      <c r="O538">
        <v>283.19</v>
      </c>
      <c r="P538" s="13">
        <v>1.53332003248702</v>
      </c>
    </row>
    <row r="539" spans="11:16" x14ac:dyDescent="0.3">
      <c r="K539" s="14" t="s">
        <v>525</v>
      </c>
      <c r="L539">
        <v>307.73</v>
      </c>
      <c r="M539">
        <v>57.0747</v>
      </c>
      <c r="N539">
        <v>340.1</v>
      </c>
      <c r="O539">
        <v>284.27</v>
      </c>
      <c r="P539" s="13">
        <v>1.59436697505892</v>
      </c>
    </row>
    <row r="540" spans="11:16" x14ac:dyDescent="0.3">
      <c r="K540" s="14" t="s">
        <v>528</v>
      </c>
      <c r="L540">
        <v>300.35000000000002</v>
      </c>
      <c r="M540">
        <v>94.4011</v>
      </c>
      <c r="N540">
        <v>100.1</v>
      </c>
      <c r="O540">
        <v>278.56</v>
      </c>
      <c r="P540" s="13">
        <v>1.5105438684664001</v>
      </c>
    </row>
    <row r="541" spans="11:16" x14ac:dyDescent="0.3">
      <c r="K541" s="14" t="s">
        <v>528</v>
      </c>
      <c r="L541">
        <v>300.35000000000002</v>
      </c>
      <c r="M541">
        <v>81.705699999999993</v>
      </c>
      <c r="N541">
        <v>100.1</v>
      </c>
      <c r="O541">
        <v>266.44</v>
      </c>
      <c r="P541" s="13">
        <v>1.5316082420057</v>
      </c>
    </row>
    <row r="542" spans="11:16" x14ac:dyDescent="0.3">
      <c r="K542" s="14" t="s">
        <v>528</v>
      </c>
      <c r="L542">
        <v>300.35000000000002</v>
      </c>
      <c r="M542">
        <v>81.597200000000001</v>
      </c>
      <c r="N542">
        <v>230.3</v>
      </c>
      <c r="O542">
        <v>287.47000000000003</v>
      </c>
      <c r="P542" s="13">
        <v>1.5369436810797601</v>
      </c>
    </row>
    <row r="543" spans="11:16" x14ac:dyDescent="0.3">
      <c r="K543" s="14" t="s">
        <v>528</v>
      </c>
      <c r="L543">
        <v>308.58999999999997</v>
      </c>
      <c r="M543">
        <v>45.355899999999998</v>
      </c>
      <c r="N543">
        <v>340.21</v>
      </c>
      <c r="O543">
        <v>284.52999999999997</v>
      </c>
      <c r="P543" s="13">
        <v>1.5548465891118699</v>
      </c>
    </row>
    <row r="544" spans="11:16" x14ac:dyDescent="0.3">
      <c r="K544" s="14" t="s">
        <v>528</v>
      </c>
      <c r="L544">
        <v>308.16000000000003</v>
      </c>
      <c r="M544">
        <v>129.77430000000001</v>
      </c>
      <c r="N544">
        <v>170</v>
      </c>
      <c r="O544">
        <v>291.45999999999998</v>
      </c>
      <c r="P544" s="13">
        <v>1.6542040074109701</v>
      </c>
    </row>
    <row r="545" spans="11:16" x14ac:dyDescent="0.3">
      <c r="K545" s="14" t="s">
        <v>528</v>
      </c>
      <c r="L545">
        <v>308.16000000000003</v>
      </c>
      <c r="M545">
        <v>138.90629999999999</v>
      </c>
      <c r="N545">
        <v>70.099999999999994</v>
      </c>
      <c r="O545">
        <v>280.26</v>
      </c>
      <c r="P545" s="13">
        <v>1.6602165846000101</v>
      </c>
    </row>
    <row r="546" spans="11:16" x14ac:dyDescent="0.3">
      <c r="K546" s="14" t="s">
        <v>528</v>
      </c>
      <c r="L546">
        <v>308.16000000000003</v>
      </c>
      <c r="M546">
        <v>131.83590000000001</v>
      </c>
      <c r="N546">
        <v>170</v>
      </c>
      <c r="O546">
        <v>286.02</v>
      </c>
      <c r="P546" s="13">
        <v>1.6928742745262599</v>
      </c>
    </row>
    <row r="547" spans="11:16" x14ac:dyDescent="0.3">
      <c r="K547" s="14" t="s">
        <v>528</v>
      </c>
      <c r="L547">
        <v>300.35000000000002</v>
      </c>
      <c r="M547">
        <v>129.77430000000001</v>
      </c>
      <c r="N547">
        <v>180</v>
      </c>
      <c r="O547">
        <v>279.14999999999998</v>
      </c>
      <c r="P547" s="13">
        <v>1.7084875514956099</v>
      </c>
    </row>
    <row r="548" spans="11:16" x14ac:dyDescent="0.3">
      <c r="K548" s="14" t="s">
        <v>528</v>
      </c>
      <c r="L548">
        <v>300.35000000000002</v>
      </c>
      <c r="M548">
        <v>116.9705</v>
      </c>
      <c r="N548">
        <v>272.3</v>
      </c>
      <c r="O548">
        <v>284.85000000000002</v>
      </c>
      <c r="P548" s="13">
        <v>1.7135983851149701</v>
      </c>
    </row>
    <row r="549" spans="11:16" x14ac:dyDescent="0.3">
      <c r="K549" s="14" t="s">
        <v>528</v>
      </c>
      <c r="L549">
        <v>307.73</v>
      </c>
      <c r="M549">
        <v>128.6892</v>
      </c>
      <c r="N549">
        <v>160</v>
      </c>
      <c r="O549">
        <v>277.67</v>
      </c>
      <c r="P549" s="13">
        <v>1.7215370763856399</v>
      </c>
    </row>
    <row r="550" spans="11:16" x14ac:dyDescent="0.3">
      <c r="K550" s="14" t="s">
        <v>528</v>
      </c>
      <c r="L550">
        <v>308.16000000000003</v>
      </c>
      <c r="M550">
        <v>133.78909999999999</v>
      </c>
      <c r="N550">
        <v>180</v>
      </c>
      <c r="O550">
        <v>283.44</v>
      </c>
      <c r="P550" s="13">
        <v>1.72434765735253</v>
      </c>
    </row>
    <row r="551" spans="11:16" x14ac:dyDescent="0.3">
      <c r="K551" s="14" t="s">
        <v>528</v>
      </c>
      <c r="L551">
        <v>308.58999999999997</v>
      </c>
      <c r="M551">
        <v>115.23439999999999</v>
      </c>
      <c r="N551">
        <v>238.2</v>
      </c>
      <c r="O551">
        <v>279.98</v>
      </c>
      <c r="P551" s="13">
        <v>1.73496821201514</v>
      </c>
    </row>
    <row r="552" spans="11:16" x14ac:dyDescent="0.3">
      <c r="K552" s="14" t="s">
        <v>528</v>
      </c>
      <c r="L552">
        <v>300.35000000000002</v>
      </c>
      <c r="M552">
        <v>97.4392</v>
      </c>
      <c r="N552">
        <v>300.10000000000002</v>
      </c>
      <c r="O552">
        <v>270.76</v>
      </c>
      <c r="P552" s="13">
        <v>1.75733195449845</v>
      </c>
    </row>
    <row r="553" spans="11:16" x14ac:dyDescent="0.3">
      <c r="K553" s="14" t="s">
        <v>528</v>
      </c>
      <c r="L553">
        <v>308.16000000000003</v>
      </c>
      <c r="M553">
        <v>151.47569999999999</v>
      </c>
      <c r="N553">
        <v>130.1</v>
      </c>
      <c r="O553">
        <v>279.12</v>
      </c>
      <c r="P553" s="13">
        <v>1.76791953281743</v>
      </c>
    </row>
    <row r="554" spans="11:16" x14ac:dyDescent="0.3">
      <c r="K554" s="14" t="s">
        <v>528</v>
      </c>
      <c r="L554">
        <v>308.16000000000003</v>
      </c>
      <c r="M554">
        <v>135.7422</v>
      </c>
      <c r="N554">
        <v>250.2</v>
      </c>
      <c r="O554">
        <v>278.22000000000003</v>
      </c>
      <c r="P554" s="13">
        <v>1.82932283804184</v>
      </c>
    </row>
    <row r="555" spans="11:16" x14ac:dyDescent="0.3">
      <c r="K555" s="14" t="s">
        <v>528</v>
      </c>
      <c r="L555">
        <v>300.35000000000002</v>
      </c>
      <c r="M555">
        <v>221.85769999999999</v>
      </c>
      <c r="N555">
        <v>100.1</v>
      </c>
      <c r="O555">
        <v>290.93</v>
      </c>
      <c r="P555" s="13">
        <v>1.88441790121335</v>
      </c>
    </row>
    <row r="556" spans="11:16" x14ac:dyDescent="0.3">
      <c r="K556" s="14" t="s">
        <v>528</v>
      </c>
      <c r="L556">
        <v>299.05</v>
      </c>
      <c r="M556">
        <v>201.47569999999999</v>
      </c>
      <c r="N556">
        <v>289.2</v>
      </c>
      <c r="O556">
        <v>292.64999999999998</v>
      </c>
      <c r="P556" s="13">
        <v>1.96725679138903</v>
      </c>
    </row>
    <row r="557" spans="11:16" x14ac:dyDescent="0.3">
      <c r="K557" s="14" t="s">
        <v>528</v>
      </c>
      <c r="L557">
        <v>308.16000000000003</v>
      </c>
      <c r="M557">
        <v>136.6276</v>
      </c>
      <c r="N557">
        <v>280.10000000000002</v>
      </c>
      <c r="O557">
        <v>261.83</v>
      </c>
      <c r="P557" s="13">
        <v>1.9769071534965399</v>
      </c>
    </row>
    <row r="558" spans="11:16" x14ac:dyDescent="0.3">
      <c r="K558" s="14" t="s">
        <v>528</v>
      </c>
      <c r="L558">
        <v>300.35000000000002</v>
      </c>
      <c r="M558">
        <v>204.51390000000001</v>
      </c>
      <c r="N558">
        <v>310.10000000000002</v>
      </c>
      <c r="O558">
        <v>276.22000000000003</v>
      </c>
      <c r="P558" s="13">
        <v>2.1196506407935698</v>
      </c>
    </row>
    <row r="559" spans="11:16" x14ac:dyDescent="0.3">
      <c r="K559" s="14" t="s">
        <v>529</v>
      </c>
      <c r="L559">
        <v>301.22000000000003</v>
      </c>
      <c r="M559">
        <v>108.1814</v>
      </c>
      <c r="N559">
        <v>270.3</v>
      </c>
      <c r="O559">
        <v>286.52999999999997</v>
      </c>
      <c r="P559" s="13">
        <v>1.6740983492129999</v>
      </c>
    </row>
    <row r="560" spans="11:16" x14ac:dyDescent="0.3">
      <c r="K560" s="14" t="s">
        <v>529</v>
      </c>
      <c r="L560">
        <v>307.73</v>
      </c>
      <c r="M560">
        <v>139.64840000000001</v>
      </c>
      <c r="N560">
        <v>130.1</v>
      </c>
      <c r="O560">
        <v>282.54000000000002</v>
      </c>
      <c r="P560" s="13">
        <v>1.7031372549019601</v>
      </c>
    </row>
    <row r="561" spans="11:16" x14ac:dyDescent="0.3">
      <c r="K561" s="14" t="s">
        <v>529</v>
      </c>
      <c r="L561">
        <v>307.73</v>
      </c>
      <c r="M561">
        <v>138.67189999999999</v>
      </c>
      <c r="N561">
        <v>140.1</v>
      </c>
      <c r="O561">
        <v>282.89</v>
      </c>
      <c r="P561" s="13">
        <v>1.7067690621796501</v>
      </c>
    </row>
    <row r="562" spans="11:16" x14ac:dyDescent="0.3">
      <c r="K562" s="14" t="s">
        <v>529</v>
      </c>
      <c r="L562">
        <v>300.77999999999997</v>
      </c>
      <c r="M562">
        <v>160.26480000000001</v>
      </c>
      <c r="N562">
        <v>160.19999999999999</v>
      </c>
      <c r="O562">
        <v>286.58999999999997</v>
      </c>
      <c r="P562" s="13">
        <v>1.7540625981367099</v>
      </c>
    </row>
    <row r="563" spans="11:16" x14ac:dyDescent="0.3">
      <c r="K563" s="14" t="s">
        <v>529</v>
      </c>
      <c r="L563">
        <v>300.35000000000002</v>
      </c>
      <c r="M563">
        <v>174.71350000000001</v>
      </c>
      <c r="N563">
        <v>150.1</v>
      </c>
      <c r="O563">
        <v>281.39999999999998</v>
      </c>
      <c r="P563" s="13">
        <v>1.8268994314143601</v>
      </c>
    </row>
    <row r="564" spans="11:16" x14ac:dyDescent="0.3">
      <c r="K564" s="14" t="s">
        <v>529</v>
      </c>
      <c r="L564">
        <v>301.22000000000003</v>
      </c>
      <c r="M564">
        <v>201.3672</v>
      </c>
      <c r="N564">
        <v>100.1</v>
      </c>
      <c r="O564">
        <v>288.02</v>
      </c>
      <c r="P564" s="13">
        <v>1.8353350461773501</v>
      </c>
    </row>
    <row r="565" spans="11:16" x14ac:dyDescent="0.3">
      <c r="K565" s="14" t="s">
        <v>529</v>
      </c>
      <c r="L565">
        <v>301.22000000000003</v>
      </c>
      <c r="M565">
        <v>135.01740000000001</v>
      </c>
      <c r="N565">
        <v>380.11</v>
      </c>
      <c r="O565">
        <v>285.43</v>
      </c>
      <c r="P565" s="13">
        <v>1.87459622324213</v>
      </c>
    </row>
    <row r="566" spans="11:16" x14ac:dyDescent="0.3">
      <c r="K566" s="14" t="s">
        <v>529</v>
      </c>
      <c r="L566">
        <v>301.22000000000003</v>
      </c>
      <c r="M566">
        <v>202.45230000000001</v>
      </c>
      <c r="N566">
        <v>200</v>
      </c>
      <c r="O566">
        <v>286.57</v>
      </c>
      <c r="P566" s="13">
        <v>1.93904560840283</v>
      </c>
    </row>
    <row r="567" spans="11:16" x14ac:dyDescent="0.3">
      <c r="K567" s="14" t="s">
        <v>529</v>
      </c>
      <c r="L567">
        <v>292.97000000000003</v>
      </c>
      <c r="M567">
        <v>224.10159999999999</v>
      </c>
      <c r="N567">
        <v>333.01</v>
      </c>
      <c r="O567">
        <v>281.11</v>
      </c>
      <c r="P567" s="13">
        <v>2.1473949699405899</v>
      </c>
    </row>
    <row r="568" spans="11:16" x14ac:dyDescent="0.3">
      <c r="K568" s="14" t="s">
        <v>529</v>
      </c>
      <c r="L568">
        <v>301.22000000000003</v>
      </c>
      <c r="M568">
        <v>212.45230000000001</v>
      </c>
      <c r="N568">
        <v>290.10000000000002</v>
      </c>
      <c r="O568">
        <v>267.56</v>
      </c>
      <c r="P568" s="13">
        <v>2.2017427866646702</v>
      </c>
    </row>
    <row r="569" spans="11:16" x14ac:dyDescent="0.3">
      <c r="K569" s="14" t="s">
        <v>29</v>
      </c>
      <c r="L569">
        <v>202.69</v>
      </c>
      <c r="M569">
        <v>52.372700000000002</v>
      </c>
      <c r="N569">
        <v>160</v>
      </c>
      <c r="O569">
        <v>271.04000000000002</v>
      </c>
      <c r="P569" s="13">
        <v>1.09453475501771</v>
      </c>
    </row>
    <row r="570" spans="11:16" x14ac:dyDescent="0.3">
      <c r="K570" s="14" t="s">
        <v>29</v>
      </c>
      <c r="L570">
        <v>195.31</v>
      </c>
      <c r="M570">
        <v>79.861099999999993</v>
      </c>
      <c r="N570">
        <v>100.1</v>
      </c>
      <c r="O570">
        <v>265.58</v>
      </c>
      <c r="P570" s="13">
        <v>1.1341106258001401</v>
      </c>
    </row>
    <row r="571" spans="11:16" x14ac:dyDescent="0.3">
      <c r="K571" s="14" t="s">
        <v>29</v>
      </c>
      <c r="L571">
        <v>203.13</v>
      </c>
      <c r="M571">
        <v>79.788799999999995</v>
      </c>
      <c r="N571">
        <v>220</v>
      </c>
      <c r="O571">
        <v>294.72000000000003</v>
      </c>
      <c r="P571" s="13">
        <v>1.1540404451683</v>
      </c>
    </row>
    <row r="572" spans="11:16" x14ac:dyDescent="0.3">
      <c r="K572" s="14" t="s">
        <v>29</v>
      </c>
      <c r="L572">
        <v>203.13</v>
      </c>
      <c r="M572">
        <v>76.714399999999998</v>
      </c>
      <c r="N572">
        <v>202.3</v>
      </c>
      <c r="O572">
        <v>287.14999999999998</v>
      </c>
      <c r="P572" s="13">
        <v>1.15773080271635</v>
      </c>
    </row>
    <row r="573" spans="11:16" x14ac:dyDescent="0.3">
      <c r="K573" s="14" t="s">
        <v>29</v>
      </c>
      <c r="L573">
        <v>203.13</v>
      </c>
      <c r="M573">
        <v>77.763300000000001</v>
      </c>
      <c r="N573">
        <v>200</v>
      </c>
      <c r="O573">
        <v>277.64999999999998</v>
      </c>
      <c r="P573" s="13">
        <v>1.1989674050062999</v>
      </c>
    </row>
    <row r="574" spans="11:16" x14ac:dyDescent="0.3">
      <c r="K574" s="14" t="s">
        <v>29</v>
      </c>
      <c r="L574">
        <v>203.13</v>
      </c>
      <c r="M574">
        <v>104.7454</v>
      </c>
      <c r="N574">
        <v>188</v>
      </c>
      <c r="O574">
        <v>285.47000000000003</v>
      </c>
      <c r="P574" s="13">
        <v>1.2497124041055101</v>
      </c>
    </row>
    <row r="575" spans="11:16" x14ac:dyDescent="0.3">
      <c r="K575" s="14" t="s">
        <v>29</v>
      </c>
      <c r="L575">
        <v>203.56</v>
      </c>
      <c r="M575">
        <v>112.1962</v>
      </c>
      <c r="N575">
        <v>220.8</v>
      </c>
      <c r="O575">
        <v>289.18</v>
      </c>
      <c r="P575" s="13">
        <v>1.29042188256449</v>
      </c>
    </row>
    <row r="576" spans="11:16" x14ac:dyDescent="0.3">
      <c r="K576" s="14" t="s">
        <v>29</v>
      </c>
      <c r="L576">
        <v>203.13</v>
      </c>
      <c r="M576">
        <v>107.9282</v>
      </c>
      <c r="N576">
        <v>160</v>
      </c>
      <c r="O576">
        <v>270.47000000000003</v>
      </c>
      <c r="P576" s="13">
        <v>1.3038717787555001</v>
      </c>
    </row>
    <row r="577" spans="11:16" x14ac:dyDescent="0.3">
      <c r="K577" s="14" t="s">
        <v>29</v>
      </c>
      <c r="L577">
        <v>203.13</v>
      </c>
      <c r="M577">
        <v>105.3241</v>
      </c>
      <c r="N577">
        <v>250.2</v>
      </c>
      <c r="O577">
        <v>284.32</v>
      </c>
      <c r="P577" s="13">
        <v>1.3136821187394501</v>
      </c>
    </row>
    <row r="578" spans="11:16" x14ac:dyDescent="0.3">
      <c r="K578" s="14" t="s">
        <v>29</v>
      </c>
      <c r="L578">
        <v>270.39999999999998</v>
      </c>
      <c r="M578">
        <v>102.8646</v>
      </c>
      <c r="N578">
        <v>30</v>
      </c>
      <c r="O578">
        <v>279.99</v>
      </c>
      <c r="P578" s="13">
        <v>1.3609936069145301</v>
      </c>
    </row>
    <row r="579" spans="11:16" x14ac:dyDescent="0.3">
      <c r="K579" s="14" t="s">
        <v>29</v>
      </c>
      <c r="L579">
        <v>203.13</v>
      </c>
      <c r="M579">
        <v>83.658900000000003</v>
      </c>
      <c r="N579">
        <v>388.01</v>
      </c>
      <c r="O579">
        <v>275.92</v>
      </c>
      <c r="P579" s="13">
        <v>1.4050141345317499</v>
      </c>
    </row>
    <row r="580" spans="11:16" x14ac:dyDescent="0.3">
      <c r="K580" s="14" t="s">
        <v>29</v>
      </c>
      <c r="L580">
        <v>203.13</v>
      </c>
      <c r="M580">
        <v>123.9149</v>
      </c>
      <c r="N580">
        <v>280.10000000000002</v>
      </c>
      <c r="O580">
        <v>273.07</v>
      </c>
      <c r="P580" s="13">
        <v>1.4643530962756801</v>
      </c>
    </row>
    <row r="581" spans="11:16" x14ac:dyDescent="0.3">
      <c r="K581" s="14" t="s">
        <v>471</v>
      </c>
      <c r="M581">
        <v>325.37619999999998</v>
      </c>
      <c r="N581">
        <v>270.3</v>
      </c>
      <c r="O581">
        <v>277.02</v>
      </c>
      <c r="P581" s="13">
        <v>1.42825138979135</v>
      </c>
    </row>
    <row r="582" spans="11:16" x14ac:dyDescent="0.3">
      <c r="K582" s="14" t="s">
        <v>471</v>
      </c>
      <c r="L582">
        <v>203.13</v>
      </c>
      <c r="M582">
        <v>94.4011</v>
      </c>
      <c r="N582">
        <v>480.11</v>
      </c>
      <c r="O582">
        <v>269.04000000000002</v>
      </c>
      <c r="P582" s="13">
        <v>1.5698769699672901</v>
      </c>
    </row>
    <row r="583" spans="11:16" x14ac:dyDescent="0.3">
      <c r="K583" s="14" t="s">
        <v>471</v>
      </c>
      <c r="L583">
        <v>210.5</v>
      </c>
      <c r="M583">
        <v>189.67009999999999</v>
      </c>
      <c r="N583">
        <v>144.1</v>
      </c>
      <c r="O583">
        <v>270.47000000000003</v>
      </c>
      <c r="P583" s="13">
        <v>1.61805782526713</v>
      </c>
    </row>
    <row r="584" spans="11:16" x14ac:dyDescent="0.3">
      <c r="K584" s="14" t="s">
        <v>350</v>
      </c>
      <c r="L584">
        <v>203.13</v>
      </c>
      <c r="M584">
        <v>163.86</v>
      </c>
      <c r="N584">
        <v>107.6</v>
      </c>
      <c r="O584">
        <v>276.8</v>
      </c>
      <c r="P584" s="13">
        <v>1.4269002890173399</v>
      </c>
    </row>
    <row r="585" spans="11:16" x14ac:dyDescent="0.3">
      <c r="K585" s="14" t="s">
        <v>350</v>
      </c>
      <c r="L585">
        <v>210.5</v>
      </c>
      <c r="M585">
        <v>160.952</v>
      </c>
      <c r="N585">
        <v>120.1</v>
      </c>
      <c r="O585">
        <v>268.73</v>
      </c>
      <c r="P585" s="13">
        <v>1.4984482566144499</v>
      </c>
    </row>
    <row r="586" spans="11:16" x14ac:dyDescent="0.3">
      <c r="K586" s="14" t="s">
        <v>350</v>
      </c>
      <c r="L586">
        <v>203.13</v>
      </c>
      <c r="M586">
        <v>156.24420000000001</v>
      </c>
      <c r="N586">
        <v>270.01</v>
      </c>
      <c r="O586">
        <v>273.95999999999998</v>
      </c>
      <c r="P586" s="13">
        <v>1.56802744926267</v>
      </c>
    </row>
    <row r="587" spans="11:16" x14ac:dyDescent="0.3">
      <c r="K587" s="14" t="s">
        <v>350</v>
      </c>
      <c r="L587">
        <v>307.73</v>
      </c>
      <c r="M587">
        <v>104.4922</v>
      </c>
      <c r="N587">
        <v>200</v>
      </c>
      <c r="O587">
        <v>273.89999999999998</v>
      </c>
      <c r="P587" s="13">
        <v>1.6948601679445101</v>
      </c>
    </row>
    <row r="588" spans="11:16" x14ac:dyDescent="0.3">
      <c r="K588" s="14" t="s">
        <v>350</v>
      </c>
      <c r="L588">
        <v>203.13</v>
      </c>
      <c r="M588">
        <v>222.8356</v>
      </c>
      <c r="N588">
        <v>300.01</v>
      </c>
      <c r="O588">
        <v>280.52999999999997</v>
      </c>
      <c r="P588" s="13">
        <v>1.7964859373329101</v>
      </c>
    </row>
    <row r="589" spans="11:16" x14ac:dyDescent="0.3">
      <c r="K589" s="14" t="s">
        <v>350</v>
      </c>
      <c r="L589">
        <v>300.35000000000002</v>
      </c>
      <c r="M589">
        <v>208.99879999999999</v>
      </c>
      <c r="N589">
        <v>100.1</v>
      </c>
      <c r="O589">
        <v>286.3</v>
      </c>
      <c r="P589" s="13">
        <v>1.8699783443939899</v>
      </c>
    </row>
    <row r="590" spans="11:16" x14ac:dyDescent="0.3">
      <c r="K590" s="14" t="s">
        <v>350</v>
      </c>
      <c r="L590">
        <v>307.73</v>
      </c>
      <c r="M590">
        <v>170.60769999999999</v>
      </c>
      <c r="N590">
        <v>250.01</v>
      </c>
      <c r="O590">
        <v>280.23</v>
      </c>
      <c r="P590" s="13">
        <v>1.93890839667416</v>
      </c>
    </row>
    <row r="591" spans="11:16" x14ac:dyDescent="0.3">
      <c r="K591" s="14" t="s">
        <v>350</v>
      </c>
      <c r="L591">
        <v>203.13</v>
      </c>
      <c r="M591">
        <v>237.20920000000001</v>
      </c>
      <c r="N591">
        <v>400.02</v>
      </c>
      <c r="O591">
        <v>274.99</v>
      </c>
      <c r="P591" s="13">
        <v>1.9795061638605</v>
      </c>
    </row>
    <row r="592" spans="11:16" x14ac:dyDescent="0.3">
      <c r="K592" s="14" t="s">
        <v>350</v>
      </c>
      <c r="L592">
        <v>307.73</v>
      </c>
      <c r="M592">
        <v>185.47309999999999</v>
      </c>
      <c r="N592">
        <v>270.01</v>
      </c>
      <c r="O592">
        <v>278.52</v>
      </c>
      <c r="P592" s="13">
        <v>2.0228554502369702</v>
      </c>
    </row>
    <row r="593" spans="11:16" x14ac:dyDescent="0.3">
      <c r="K593" s="14" t="s">
        <v>350</v>
      </c>
      <c r="L593">
        <v>315.97000000000003</v>
      </c>
      <c r="M593">
        <v>228.40710000000001</v>
      </c>
      <c r="N593">
        <v>56.5</v>
      </c>
      <c r="O593">
        <v>276.24</v>
      </c>
      <c r="P593" s="13">
        <v>2.0238455690703701</v>
      </c>
    </row>
    <row r="594" spans="11:16" x14ac:dyDescent="0.3">
      <c r="K594" s="14" t="s">
        <v>350</v>
      </c>
      <c r="L594">
        <v>210.5</v>
      </c>
      <c r="M594">
        <v>296.00700000000001</v>
      </c>
      <c r="N594">
        <v>150.1</v>
      </c>
      <c r="O594">
        <v>265.58999999999997</v>
      </c>
      <c r="P594" s="13">
        <v>2.0540419443503102</v>
      </c>
    </row>
    <row r="595" spans="11:16" x14ac:dyDescent="0.3">
      <c r="K595" s="14" t="s">
        <v>350</v>
      </c>
      <c r="L595">
        <v>210.94</v>
      </c>
      <c r="M595">
        <v>274.51830000000001</v>
      </c>
      <c r="N595">
        <v>400.02</v>
      </c>
      <c r="O595">
        <v>275.36</v>
      </c>
      <c r="P595" s="13">
        <v>2.1407012638001199</v>
      </c>
    </row>
    <row r="596" spans="11:16" x14ac:dyDescent="0.3">
      <c r="K596" s="14" t="s">
        <v>350</v>
      </c>
      <c r="L596">
        <v>210.5</v>
      </c>
      <c r="M596">
        <v>254.6789</v>
      </c>
      <c r="N596">
        <v>400.02</v>
      </c>
      <c r="O596">
        <v>258.95</v>
      </c>
      <c r="P596" s="13">
        <v>2.19804634099247</v>
      </c>
    </row>
    <row r="597" spans="11:16" x14ac:dyDescent="0.3">
      <c r="K597" s="14" t="s">
        <v>493</v>
      </c>
      <c r="L597">
        <v>300.77999999999997</v>
      </c>
      <c r="M597">
        <v>114.01909999999999</v>
      </c>
      <c r="N597">
        <v>80.099999999999994</v>
      </c>
      <c r="O597">
        <v>282.26</v>
      </c>
      <c r="P597" s="13">
        <v>1.54334691419259</v>
      </c>
    </row>
    <row r="598" spans="11:16" x14ac:dyDescent="0.3">
      <c r="K598" s="14" t="s">
        <v>493</v>
      </c>
      <c r="L598">
        <v>308.16000000000003</v>
      </c>
      <c r="M598">
        <v>140.13460000000001</v>
      </c>
      <c r="N598">
        <v>80.099999999999994</v>
      </c>
      <c r="O598">
        <v>269.61</v>
      </c>
      <c r="P598" s="13">
        <v>1.7399970327510099</v>
      </c>
    </row>
    <row r="599" spans="11:16" x14ac:dyDescent="0.3">
      <c r="K599" s="14" t="s">
        <v>493</v>
      </c>
      <c r="L599">
        <v>300.35000000000002</v>
      </c>
      <c r="M599">
        <v>137.3134</v>
      </c>
      <c r="N599">
        <v>230.2</v>
      </c>
      <c r="O599">
        <v>278.52</v>
      </c>
      <c r="P599" s="13">
        <v>1.78628249317823</v>
      </c>
    </row>
    <row r="600" spans="11:16" x14ac:dyDescent="0.3">
      <c r="K600" s="14" t="s">
        <v>419</v>
      </c>
      <c r="L600">
        <v>203.13</v>
      </c>
      <c r="M600">
        <v>79.644099999999995</v>
      </c>
      <c r="N600">
        <v>140.1</v>
      </c>
      <c r="O600">
        <v>282.85000000000002</v>
      </c>
      <c r="P600" s="13">
        <v>1.1285136998409</v>
      </c>
    </row>
    <row r="601" spans="11:16" x14ac:dyDescent="0.3">
      <c r="K601" s="14" t="s">
        <v>419</v>
      </c>
      <c r="L601">
        <v>203.13</v>
      </c>
      <c r="M601">
        <v>80.620699999999999</v>
      </c>
      <c r="N601">
        <v>240.01</v>
      </c>
      <c r="O601">
        <v>280.56</v>
      </c>
      <c r="P601" s="13">
        <v>1.23379419731965</v>
      </c>
    </row>
    <row r="602" spans="11:16" x14ac:dyDescent="0.3">
      <c r="K602" s="14" t="s">
        <v>419</v>
      </c>
      <c r="L602">
        <v>203.13</v>
      </c>
      <c r="M602">
        <v>135.3443</v>
      </c>
      <c r="N602">
        <v>130.1</v>
      </c>
      <c r="O602">
        <v>290.64</v>
      </c>
      <c r="P602" s="13">
        <v>1.2809671758876999</v>
      </c>
    </row>
    <row r="603" spans="11:16" x14ac:dyDescent="0.3">
      <c r="K603" s="14" t="s">
        <v>419</v>
      </c>
      <c r="L603">
        <v>202.69</v>
      </c>
      <c r="M603">
        <v>125.5787</v>
      </c>
      <c r="N603">
        <v>150.1</v>
      </c>
      <c r="O603">
        <v>285.16000000000003</v>
      </c>
      <c r="P603" s="13">
        <v>1.2880302286435701</v>
      </c>
    </row>
    <row r="604" spans="11:16" x14ac:dyDescent="0.3">
      <c r="K604" s="14" t="s">
        <v>419</v>
      </c>
      <c r="L604">
        <v>210.5</v>
      </c>
      <c r="M604">
        <v>84.526899999999998</v>
      </c>
      <c r="N604">
        <v>180</v>
      </c>
      <c r="O604">
        <v>261.58</v>
      </c>
      <c r="P604" s="13">
        <v>1.30677765884242</v>
      </c>
    </row>
    <row r="605" spans="11:16" x14ac:dyDescent="0.3">
      <c r="K605" s="14" t="s">
        <v>419</v>
      </c>
      <c r="L605">
        <v>203.13</v>
      </c>
      <c r="M605">
        <v>85.720500000000001</v>
      </c>
      <c r="N605">
        <v>200</v>
      </c>
      <c r="O605">
        <v>258.94</v>
      </c>
      <c r="P605" s="13">
        <v>1.3163300378466101</v>
      </c>
    </row>
    <row r="606" spans="11:16" x14ac:dyDescent="0.3">
      <c r="K606" s="14" t="s">
        <v>419</v>
      </c>
      <c r="L606">
        <v>210.5</v>
      </c>
      <c r="M606">
        <v>109.158</v>
      </c>
      <c r="N606">
        <v>290.01</v>
      </c>
      <c r="O606">
        <v>286.02</v>
      </c>
      <c r="P606" s="13">
        <v>1.3812341794280101</v>
      </c>
    </row>
    <row r="607" spans="11:16" x14ac:dyDescent="0.3">
      <c r="K607" s="14" t="s">
        <v>419</v>
      </c>
      <c r="L607">
        <v>210.94</v>
      </c>
      <c r="M607">
        <v>86.116900000000001</v>
      </c>
      <c r="N607">
        <v>350.01</v>
      </c>
      <c r="O607">
        <v>280.3</v>
      </c>
      <c r="P607" s="13">
        <v>1.3844434534427399</v>
      </c>
    </row>
    <row r="608" spans="11:16" x14ac:dyDescent="0.3">
      <c r="K608" s="14" t="s">
        <v>419</v>
      </c>
      <c r="L608">
        <v>210.94</v>
      </c>
      <c r="M608">
        <v>108.941</v>
      </c>
      <c r="N608">
        <v>300.01</v>
      </c>
      <c r="O608">
        <v>281.98</v>
      </c>
      <c r="P608" s="13">
        <v>1.4110348251649101</v>
      </c>
    </row>
    <row r="609" spans="11:16" x14ac:dyDescent="0.3">
      <c r="K609" s="14" t="s">
        <v>419</v>
      </c>
      <c r="L609">
        <v>203.13</v>
      </c>
      <c r="M609">
        <v>135.7422</v>
      </c>
      <c r="N609">
        <v>288.01</v>
      </c>
      <c r="O609">
        <v>272.14999999999998</v>
      </c>
      <c r="P609" s="13">
        <v>1.52031894176006</v>
      </c>
    </row>
    <row r="610" spans="11:16" x14ac:dyDescent="0.3">
      <c r="K610" s="14" t="s">
        <v>419</v>
      </c>
      <c r="L610">
        <v>277.77999999999997</v>
      </c>
      <c r="M610">
        <v>116.2109</v>
      </c>
      <c r="N610">
        <v>260.10000000000002</v>
      </c>
      <c r="O610">
        <v>267.87</v>
      </c>
      <c r="P610" s="13">
        <v>1.7232870422219699</v>
      </c>
    </row>
    <row r="611" spans="11:16" x14ac:dyDescent="0.3">
      <c r="K611" s="14" t="s">
        <v>421</v>
      </c>
      <c r="L611">
        <v>210.5</v>
      </c>
      <c r="M611">
        <v>112.1962</v>
      </c>
      <c r="N611">
        <v>140.1</v>
      </c>
      <c r="O611">
        <v>275.88</v>
      </c>
      <c r="P611" s="13">
        <v>1.30173336233145</v>
      </c>
    </row>
    <row r="612" spans="11:16" x14ac:dyDescent="0.3">
      <c r="K612" s="14" t="s">
        <v>421</v>
      </c>
      <c r="L612">
        <v>203.13</v>
      </c>
      <c r="M612">
        <v>115.5599</v>
      </c>
      <c r="N612">
        <v>300.01</v>
      </c>
      <c r="O612">
        <v>279.39999999999998</v>
      </c>
      <c r="P612" s="13">
        <v>1.4198013600572701</v>
      </c>
    </row>
    <row r="613" spans="11:16" x14ac:dyDescent="0.3">
      <c r="K613" s="14" t="s">
        <v>429</v>
      </c>
      <c r="L613">
        <v>210.5</v>
      </c>
      <c r="M613">
        <v>85.720500000000001</v>
      </c>
      <c r="N613">
        <v>160</v>
      </c>
      <c r="O613">
        <v>277.95</v>
      </c>
      <c r="P613" s="13">
        <v>1.21540025184386</v>
      </c>
    </row>
    <row r="614" spans="11:16" x14ac:dyDescent="0.3">
      <c r="K614" s="14" t="s">
        <v>429</v>
      </c>
      <c r="L614">
        <v>149.74</v>
      </c>
      <c r="M614">
        <v>115.36020000000001</v>
      </c>
      <c r="N614">
        <v>370.01</v>
      </c>
      <c r="O614">
        <v>289.18</v>
      </c>
      <c r="P614" s="13">
        <v>1.24940452313438</v>
      </c>
    </row>
    <row r="615" spans="11:16" x14ac:dyDescent="0.3">
      <c r="K615" s="14" t="s">
        <v>429</v>
      </c>
      <c r="L615">
        <v>150.61000000000001</v>
      </c>
      <c r="M615">
        <v>129.8828</v>
      </c>
      <c r="N615">
        <v>300.01</v>
      </c>
      <c r="O615">
        <v>282.89999999999998</v>
      </c>
      <c r="P615" s="13">
        <v>1.2672159773771701</v>
      </c>
    </row>
    <row r="616" spans="11:16" x14ac:dyDescent="0.3">
      <c r="K616" s="14" t="s">
        <v>429</v>
      </c>
      <c r="L616">
        <v>203.13</v>
      </c>
      <c r="M616">
        <v>81.597200000000001</v>
      </c>
      <c r="N616">
        <v>320.01</v>
      </c>
      <c r="O616">
        <v>282.24</v>
      </c>
      <c r="P616" s="13">
        <v>1.3036061507936501</v>
      </c>
    </row>
    <row r="617" spans="11:16" x14ac:dyDescent="0.3">
      <c r="K617" s="14" t="s">
        <v>429</v>
      </c>
      <c r="L617">
        <v>203.13</v>
      </c>
      <c r="M617">
        <v>129.8466</v>
      </c>
      <c r="N617">
        <v>120.1</v>
      </c>
      <c r="O617">
        <v>271.31</v>
      </c>
      <c r="P617" s="13">
        <v>1.34238546312336</v>
      </c>
    </row>
    <row r="618" spans="11:16" x14ac:dyDescent="0.3">
      <c r="K618" s="14" t="s">
        <v>429</v>
      </c>
      <c r="L618">
        <v>150.61000000000001</v>
      </c>
      <c r="M618">
        <v>133.78909999999999</v>
      </c>
      <c r="N618">
        <v>280.01</v>
      </c>
      <c r="O618">
        <v>266.07</v>
      </c>
      <c r="P618" s="13">
        <v>1.34251024166573</v>
      </c>
    </row>
    <row r="619" spans="11:16" x14ac:dyDescent="0.3">
      <c r="K619" s="14" t="s">
        <v>429</v>
      </c>
      <c r="L619">
        <v>150.16999999999999</v>
      </c>
      <c r="M619">
        <v>145.6163</v>
      </c>
      <c r="N619">
        <v>380.01</v>
      </c>
      <c r="O619">
        <v>289.45999999999998</v>
      </c>
      <c r="P619" s="13">
        <v>1.36318973260554</v>
      </c>
    </row>
    <row r="620" spans="11:16" x14ac:dyDescent="0.3">
      <c r="K620" s="14" t="s">
        <v>429</v>
      </c>
      <c r="L620">
        <v>202.69</v>
      </c>
      <c r="M620">
        <v>124.2766</v>
      </c>
      <c r="N620">
        <v>250.01</v>
      </c>
      <c r="O620">
        <v>287.36</v>
      </c>
      <c r="P620" s="13">
        <v>1.3640353563474401</v>
      </c>
    </row>
    <row r="621" spans="11:16" x14ac:dyDescent="0.3">
      <c r="K621" s="14" t="s">
        <v>429</v>
      </c>
      <c r="L621">
        <v>202.69</v>
      </c>
      <c r="M621">
        <v>103.29859999999999</v>
      </c>
      <c r="N621">
        <v>350.01</v>
      </c>
      <c r="O621">
        <v>282.54000000000002</v>
      </c>
      <c r="P621" s="13">
        <v>1.4050796347419801</v>
      </c>
    </row>
    <row r="622" spans="11:16" x14ac:dyDescent="0.3">
      <c r="K622" s="14" t="s">
        <v>429</v>
      </c>
      <c r="L622">
        <v>203.13</v>
      </c>
      <c r="M622">
        <v>105.3603</v>
      </c>
      <c r="N622">
        <v>320.01</v>
      </c>
      <c r="O622">
        <v>278.55</v>
      </c>
      <c r="P622" s="13">
        <v>1.4061852450188499</v>
      </c>
    </row>
    <row r="623" spans="11:16" x14ac:dyDescent="0.3">
      <c r="K623" s="14" t="s">
        <v>429</v>
      </c>
      <c r="L623">
        <v>203.13</v>
      </c>
      <c r="M623">
        <v>134.04220000000001</v>
      </c>
      <c r="N623">
        <v>170</v>
      </c>
      <c r="O623">
        <v>268.98</v>
      </c>
      <c r="P623" s="13">
        <v>1.41784593650085</v>
      </c>
    </row>
    <row r="624" spans="11:16" x14ac:dyDescent="0.3">
      <c r="K624" s="14" t="s">
        <v>429</v>
      </c>
      <c r="L624">
        <v>203.13</v>
      </c>
      <c r="M624">
        <v>139.3229</v>
      </c>
      <c r="N624">
        <v>250.01</v>
      </c>
      <c r="O624">
        <v>282.52</v>
      </c>
      <c r="P624" s="13">
        <v>1.4422182500353999</v>
      </c>
    </row>
    <row r="625" spans="11:16" x14ac:dyDescent="0.3">
      <c r="K625" s="14" t="s">
        <v>429</v>
      </c>
      <c r="L625">
        <v>149.74</v>
      </c>
      <c r="M625">
        <v>237.08770000000001</v>
      </c>
      <c r="N625">
        <v>100.1</v>
      </c>
      <c r="O625">
        <v>283.13</v>
      </c>
      <c r="P625" s="13">
        <v>1.4581771624342199</v>
      </c>
    </row>
    <row r="626" spans="11:16" x14ac:dyDescent="0.3">
      <c r="K626" s="14" t="s">
        <v>429</v>
      </c>
      <c r="L626">
        <v>203.13</v>
      </c>
      <c r="M626">
        <v>150.39060000000001</v>
      </c>
      <c r="N626">
        <v>300.10000000000002</v>
      </c>
      <c r="O626">
        <v>273.64</v>
      </c>
      <c r="P626" s="13">
        <v>1.57705964040345</v>
      </c>
    </row>
    <row r="627" spans="11:16" x14ac:dyDescent="0.3">
      <c r="K627" s="14" t="s">
        <v>429</v>
      </c>
      <c r="L627">
        <v>203.13</v>
      </c>
      <c r="M627">
        <v>155.02029999999999</v>
      </c>
      <c r="N627">
        <v>250.01</v>
      </c>
      <c r="O627">
        <v>266.67</v>
      </c>
      <c r="P627" s="13">
        <v>1.5868035399557501</v>
      </c>
    </row>
    <row r="628" spans="11:16" x14ac:dyDescent="0.3">
      <c r="K628" s="14" t="s">
        <v>432</v>
      </c>
      <c r="L628">
        <v>308.58999999999997</v>
      </c>
      <c r="M628">
        <v>143.7876</v>
      </c>
      <c r="N628">
        <v>440.1</v>
      </c>
      <c r="O628">
        <v>268.16000000000003</v>
      </c>
      <c r="P628" s="13">
        <v>2.11367690930788</v>
      </c>
    </row>
    <row r="629" spans="11:16" x14ac:dyDescent="0.3">
      <c r="K629" s="14" t="s">
        <v>94</v>
      </c>
      <c r="L629">
        <v>360.24</v>
      </c>
      <c r="M629">
        <v>228.7978</v>
      </c>
      <c r="N629">
        <v>800.12</v>
      </c>
      <c r="O629">
        <v>280.16000000000003</v>
      </c>
      <c r="P629" s="13">
        <v>2.8450492575671</v>
      </c>
    </row>
    <row r="630" spans="11:16" x14ac:dyDescent="0.3">
      <c r="K630" s="14" t="s">
        <v>504</v>
      </c>
      <c r="L630">
        <v>300.35000000000002</v>
      </c>
      <c r="N630">
        <v>80.099999999999994</v>
      </c>
      <c r="O630">
        <v>257.77999999999997</v>
      </c>
      <c r="P630" s="13">
        <v>1.2459306385289799</v>
      </c>
    </row>
    <row r="631" spans="11:16" x14ac:dyDescent="0.3">
      <c r="K631" s="14" t="s">
        <v>504</v>
      </c>
      <c r="L631">
        <v>300.35000000000002</v>
      </c>
      <c r="M631">
        <v>73.929400000000001</v>
      </c>
      <c r="N631">
        <v>120.1</v>
      </c>
      <c r="O631">
        <v>292.94</v>
      </c>
      <c r="P631" s="13">
        <v>1.3842609408069899</v>
      </c>
    </row>
    <row r="632" spans="11:16" x14ac:dyDescent="0.3">
      <c r="K632" s="14" t="s">
        <v>504</v>
      </c>
      <c r="L632">
        <v>301.22000000000003</v>
      </c>
      <c r="M632">
        <v>88.576400000000007</v>
      </c>
      <c r="N632">
        <v>80.099999999999994</v>
      </c>
      <c r="O632">
        <v>286.92</v>
      </c>
      <c r="P632" s="13">
        <v>1.4311389934476499</v>
      </c>
    </row>
    <row r="633" spans="11:16" x14ac:dyDescent="0.3">
      <c r="K633" s="14" t="s">
        <v>504</v>
      </c>
      <c r="L633">
        <v>300.35000000000002</v>
      </c>
      <c r="M633">
        <v>59.534100000000002</v>
      </c>
      <c r="N633">
        <v>250.1</v>
      </c>
      <c r="O633">
        <v>285.42</v>
      </c>
      <c r="P633" s="13">
        <v>1.4887187302922</v>
      </c>
    </row>
    <row r="634" spans="11:16" x14ac:dyDescent="0.3">
      <c r="K634" s="14" t="s">
        <v>504</v>
      </c>
      <c r="L634">
        <v>300.35000000000002</v>
      </c>
      <c r="M634">
        <v>49.2622</v>
      </c>
      <c r="N634">
        <v>240.2</v>
      </c>
      <c r="O634">
        <v>271.91000000000003</v>
      </c>
      <c r="P634" s="13">
        <v>1.51544334522452</v>
      </c>
    </row>
    <row r="635" spans="11:16" x14ac:dyDescent="0.3">
      <c r="K635" s="14" t="s">
        <v>504</v>
      </c>
      <c r="L635">
        <v>308.58999999999997</v>
      </c>
      <c r="M635">
        <v>84.346100000000007</v>
      </c>
      <c r="N635">
        <v>230.2</v>
      </c>
      <c r="O635">
        <v>273.64</v>
      </c>
      <c r="P635" s="13">
        <v>1.6546853530185599</v>
      </c>
    </row>
    <row r="636" spans="11:16" x14ac:dyDescent="0.3">
      <c r="K636" s="14" t="s">
        <v>504</v>
      </c>
      <c r="L636">
        <v>301.22000000000003</v>
      </c>
      <c r="M636">
        <v>118.29</v>
      </c>
      <c r="N636">
        <v>130.1</v>
      </c>
      <c r="O636">
        <v>263.83</v>
      </c>
      <c r="P636" s="13">
        <v>1.71828829170299</v>
      </c>
    </row>
    <row r="637" spans="11:16" x14ac:dyDescent="0.3">
      <c r="K637" s="14" t="s">
        <v>504</v>
      </c>
      <c r="L637">
        <v>300.35000000000002</v>
      </c>
      <c r="M637">
        <v>37.977400000000003</v>
      </c>
      <c r="N637">
        <v>560.11</v>
      </c>
      <c r="O637">
        <v>280.27999999999997</v>
      </c>
      <c r="P637" s="13">
        <v>1.72668759811617</v>
      </c>
    </row>
    <row r="638" spans="11:16" x14ac:dyDescent="0.3">
      <c r="K638" s="14" t="s">
        <v>504</v>
      </c>
      <c r="L638">
        <v>308.58999999999997</v>
      </c>
      <c r="M638">
        <v>98.414299999999997</v>
      </c>
      <c r="N638">
        <v>322.10000000000002</v>
      </c>
      <c r="O638">
        <v>279.72000000000003</v>
      </c>
      <c r="P638" s="13">
        <v>1.75443407693408</v>
      </c>
    </row>
    <row r="639" spans="11:16" x14ac:dyDescent="0.3">
      <c r="K639" s="14" t="s">
        <v>504</v>
      </c>
      <c r="L639">
        <v>300.35000000000002</v>
      </c>
      <c r="M639">
        <v>126.6276</v>
      </c>
      <c r="N639">
        <v>255.1</v>
      </c>
      <c r="O639">
        <v>278.81</v>
      </c>
      <c r="P639" s="13">
        <v>1.7693181736666601</v>
      </c>
    </row>
    <row r="640" spans="11:16" x14ac:dyDescent="0.3">
      <c r="K640" s="14" t="s">
        <v>504</v>
      </c>
      <c r="L640">
        <v>308.58999999999997</v>
      </c>
      <c r="M640">
        <v>163.303</v>
      </c>
      <c r="N640">
        <v>77.099999999999994</v>
      </c>
      <c r="O640">
        <v>275.94</v>
      </c>
      <c r="P640" s="13">
        <v>1.78277524099442</v>
      </c>
    </row>
    <row r="641" spans="11:16" x14ac:dyDescent="0.3">
      <c r="K641" s="14" t="s">
        <v>504</v>
      </c>
      <c r="L641">
        <v>300.77999999999997</v>
      </c>
      <c r="M641">
        <v>145.79429999999999</v>
      </c>
      <c r="N641">
        <v>240.1</v>
      </c>
      <c r="O641">
        <v>285.42</v>
      </c>
      <c r="P641" s="13">
        <v>1.78333788802467</v>
      </c>
    </row>
    <row r="642" spans="11:16" x14ac:dyDescent="0.3">
      <c r="K642" s="14" t="s">
        <v>504</v>
      </c>
      <c r="L642">
        <v>308.58999999999997</v>
      </c>
      <c r="M642">
        <v>100.2604</v>
      </c>
      <c r="N642">
        <v>400.2</v>
      </c>
      <c r="O642">
        <v>282.54000000000002</v>
      </c>
      <c r="P642" s="13">
        <v>1.8153266794082299</v>
      </c>
    </row>
    <row r="643" spans="11:16" x14ac:dyDescent="0.3">
      <c r="K643" s="14" t="s">
        <v>504</v>
      </c>
      <c r="L643">
        <v>308.16000000000003</v>
      </c>
      <c r="M643">
        <v>154.40539999999999</v>
      </c>
      <c r="N643">
        <v>177.2</v>
      </c>
      <c r="O643">
        <v>277.07</v>
      </c>
      <c r="P643" s="13">
        <v>1.83577218753384</v>
      </c>
    </row>
    <row r="644" spans="11:16" x14ac:dyDescent="0.3">
      <c r="K644" s="14" t="s">
        <v>504</v>
      </c>
      <c r="L644">
        <v>300.77999999999997</v>
      </c>
      <c r="M644">
        <v>166.95310000000001</v>
      </c>
      <c r="N644">
        <v>170.2</v>
      </c>
      <c r="O644">
        <v>276.77999999999997</v>
      </c>
      <c r="P644" s="13">
        <v>1.8497908085844399</v>
      </c>
    </row>
    <row r="645" spans="11:16" x14ac:dyDescent="0.3">
      <c r="K645" s="14" t="s">
        <v>504</v>
      </c>
      <c r="L645">
        <v>308.16000000000003</v>
      </c>
      <c r="M645">
        <v>145.6164</v>
      </c>
      <c r="N645">
        <v>199.8</v>
      </c>
      <c r="O645">
        <v>272.18</v>
      </c>
      <c r="P645" s="13">
        <v>1.8580512895877701</v>
      </c>
    </row>
    <row r="646" spans="11:16" x14ac:dyDescent="0.3">
      <c r="K646" s="14" t="s">
        <v>504</v>
      </c>
      <c r="L646">
        <v>300.77999999999997</v>
      </c>
      <c r="M646">
        <v>142.12379999999999</v>
      </c>
      <c r="N646">
        <v>320.10000000000002</v>
      </c>
      <c r="O646">
        <v>271.05</v>
      </c>
      <c r="P646" s="13">
        <v>1.9410802434975101</v>
      </c>
    </row>
    <row r="647" spans="11:16" x14ac:dyDescent="0.3">
      <c r="K647" s="14" t="s">
        <v>504</v>
      </c>
      <c r="L647">
        <v>300.35000000000002</v>
      </c>
      <c r="M647">
        <v>215.4948</v>
      </c>
      <c r="N647">
        <v>25</v>
      </c>
      <c r="O647">
        <v>268.45</v>
      </c>
      <c r="P647" s="13">
        <v>1.9457805922890701</v>
      </c>
    </row>
    <row r="648" spans="11:16" x14ac:dyDescent="0.3">
      <c r="K648" s="14" t="s">
        <v>504</v>
      </c>
      <c r="L648">
        <v>300.35000000000002</v>
      </c>
      <c r="M648">
        <v>180.98519999999999</v>
      </c>
      <c r="N648">
        <v>290.3</v>
      </c>
      <c r="O648">
        <v>278.2</v>
      </c>
      <c r="P648" s="13">
        <v>2.0014852624011499</v>
      </c>
    </row>
    <row r="649" spans="11:16" x14ac:dyDescent="0.3">
      <c r="K649" s="14" t="s">
        <v>504</v>
      </c>
      <c r="L649">
        <v>300.77999999999997</v>
      </c>
      <c r="M649">
        <v>141.43809999999999</v>
      </c>
      <c r="N649">
        <v>450.11</v>
      </c>
      <c r="O649">
        <v>266.76</v>
      </c>
      <c r="P649" s="13">
        <v>2.0964413705203202</v>
      </c>
    </row>
    <row r="650" spans="11:16" x14ac:dyDescent="0.3">
      <c r="K650" s="14" t="s">
        <v>504</v>
      </c>
      <c r="L650">
        <v>300.35000000000002</v>
      </c>
      <c r="M650">
        <v>215.16929999999999</v>
      </c>
      <c r="N650">
        <v>300.10000000000002</v>
      </c>
      <c r="O650">
        <v>276.75</v>
      </c>
      <c r="P650" s="13">
        <v>2.1446984643179801</v>
      </c>
    </row>
    <row r="651" spans="11:16" x14ac:dyDescent="0.3">
      <c r="K651" s="14" t="s">
        <v>504</v>
      </c>
      <c r="L651">
        <v>300.35000000000002</v>
      </c>
      <c r="M651">
        <v>289.69040000000001</v>
      </c>
      <c r="N651">
        <v>99.1</v>
      </c>
      <c r="O651">
        <v>278.85000000000002</v>
      </c>
      <c r="P651" s="13">
        <v>2.2083786982248501</v>
      </c>
    </row>
    <row r="652" spans="11:16" x14ac:dyDescent="0.3">
      <c r="K652" s="14" t="s">
        <v>504</v>
      </c>
      <c r="L652">
        <v>308.16000000000003</v>
      </c>
      <c r="M652">
        <v>331.14159999999998</v>
      </c>
      <c r="N652">
        <v>50.1</v>
      </c>
      <c r="O652">
        <v>280.8</v>
      </c>
      <c r="P652" s="13">
        <v>2.3231039886039899</v>
      </c>
    </row>
    <row r="653" spans="11:16" x14ac:dyDescent="0.3">
      <c r="K653" s="14" t="s">
        <v>506</v>
      </c>
      <c r="L653">
        <v>300.35000000000002</v>
      </c>
      <c r="N653">
        <v>132.19999999999999</v>
      </c>
      <c r="O653">
        <v>279.42</v>
      </c>
      <c r="P653" s="13">
        <v>1.1979171140219</v>
      </c>
    </row>
    <row r="654" spans="11:16" x14ac:dyDescent="0.3">
      <c r="K654" s="14" t="s">
        <v>506</v>
      </c>
      <c r="L654">
        <v>300.35000000000002</v>
      </c>
      <c r="M654">
        <v>70.023200000000003</v>
      </c>
      <c r="N654">
        <v>150.1</v>
      </c>
      <c r="O654">
        <v>284.02</v>
      </c>
      <c r="P654" s="13">
        <v>1.4414449686641799</v>
      </c>
    </row>
    <row r="655" spans="11:16" x14ac:dyDescent="0.3">
      <c r="K655" s="14" t="s">
        <v>506</v>
      </c>
      <c r="L655">
        <v>301.22000000000003</v>
      </c>
      <c r="M655">
        <v>62.066000000000003</v>
      </c>
      <c r="N655">
        <v>140.19999999999999</v>
      </c>
      <c r="O655">
        <v>271.35000000000002</v>
      </c>
      <c r="P655" s="13">
        <v>1.4731453841901601</v>
      </c>
    </row>
    <row r="656" spans="11:16" x14ac:dyDescent="0.3">
      <c r="K656" s="14" t="s">
        <v>506</v>
      </c>
      <c r="L656">
        <v>300.35000000000002</v>
      </c>
      <c r="M656">
        <v>64.742500000000007</v>
      </c>
      <c r="N656">
        <v>270.10000000000002</v>
      </c>
      <c r="O656">
        <v>271.66000000000003</v>
      </c>
      <c r="P656" s="13">
        <v>1.6024387101524</v>
      </c>
    </row>
    <row r="657" spans="11:16" x14ac:dyDescent="0.3">
      <c r="K657" s="14" t="s">
        <v>506</v>
      </c>
      <c r="L657">
        <v>301.22000000000003</v>
      </c>
      <c r="M657">
        <v>60.980899999999998</v>
      </c>
      <c r="N657">
        <v>450.11</v>
      </c>
      <c r="O657">
        <v>291.51</v>
      </c>
      <c r="P657" s="13">
        <v>1.64395561044218</v>
      </c>
    </row>
    <row r="658" spans="11:16" x14ac:dyDescent="0.3">
      <c r="K658" s="14" t="s">
        <v>506</v>
      </c>
      <c r="L658">
        <v>300.35000000000002</v>
      </c>
      <c r="M658">
        <v>41.341200000000001</v>
      </c>
      <c r="N658">
        <v>493.21</v>
      </c>
      <c r="O658">
        <v>281.70999999999998</v>
      </c>
      <c r="P658" s="13">
        <v>1.66811898761137</v>
      </c>
    </row>
    <row r="659" spans="11:16" x14ac:dyDescent="0.3">
      <c r="K659" s="14" t="s">
        <v>506</v>
      </c>
      <c r="L659">
        <v>300.35000000000002</v>
      </c>
      <c r="M659">
        <v>93.533000000000001</v>
      </c>
      <c r="N659">
        <v>281.41000000000003</v>
      </c>
      <c r="O659">
        <v>279.39999999999998</v>
      </c>
      <c r="P659" s="13">
        <v>1.6716163206871899</v>
      </c>
    </row>
    <row r="660" spans="11:16" x14ac:dyDescent="0.3">
      <c r="K660" s="14" t="s">
        <v>506</v>
      </c>
      <c r="L660">
        <v>300.35000000000002</v>
      </c>
      <c r="M660">
        <v>109.8814</v>
      </c>
      <c r="N660">
        <v>280.2</v>
      </c>
      <c r="O660">
        <v>276.23</v>
      </c>
      <c r="P660" s="13">
        <v>1.7488448032436701</v>
      </c>
    </row>
    <row r="661" spans="11:16" x14ac:dyDescent="0.3">
      <c r="K661" s="14" t="s">
        <v>506</v>
      </c>
      <c r="L661">
        <v>300.77999999999997</v>
      </c>
      <c r="M661">
        <v>134.4922</v>
      </c>
      <c r="N661">
        <v>250.2</v>
      </c>
      <c r="O661">
        <v>283.13</v>
      </c>
      <c r="P661" s="13">
        <v>1.7671182848867999</v>
      </c>
    </row>
    <row r="662" spans="11:16" x14ac:dyDescent="0.3">
      <c r="K662" s="14" t="s">
        <v>506</v>
      </c>
      <c r="L662">
        <v>300.35000000000002</v>
      </c>
      <c r="M662">
        <v>177.07900000000001</v>
      </c>
      <c r="N662">
        <v>80.099999999999994</v>
      </c>
      <c r="O662">
        <v>280.01</v>
      </c>
      <c r="P662" s="13">
        <v>1.77941859219314</v>
      </c>
    </row>
    <row r="663" spans="11:16" x14ac:dyDescent="0.3">
      <c r="K663" s="14" t="s">
        <v>506</v>
      </c>
      <c r="L663">
        <v>301.22000000000003</v>
      </c>
      <c r="M663">
        <v>177.26130000000001</v>
      </c>
      <c r="N663">
        <v>150.1</v>
      </c>
      <c r="O663">
        <v>290.36</v>
      </c>
      <c r="P663" s="13">
        <v>1.7822954263672699</v>
      </c>
    </row>
    <row r="664" spans="11:16" x14ac:dyDescent="0.3">
      <c r="K664" s="14" t="s">
        <v>506</v>
      </c>
      <c r="L664">
        <v>307.73</v>
      </c>
      <c r="M664">
        <v>105.36020000000001</v>
      </c>
      <c r="N664">
        <v>440.1</v>
      </c>
      <c r="O664">
        <v>292.33999999999997</v>
      </c>
      <c r="P664" s="13">
        <v>1.80446124375727</v>
      </c>
    </row>
    <row r="665" spans="11:16" x14ac:dyDescent="0.3">
      <c r="K665" s="14" t="s">
        <v>506</v>
      </c>
      <c r="L665">
        <v>308.16000000000003</v>
      </c>
      <c r="M665">
        <v>152.45230000000001</v>
      </c>
      <c r="N665">
        <v>255.1</v>
      </c>
      <c r="O665">
        <v>286.58</v>
      </c>
      <c r="P665" s="13">
        <v>1.83871275036639</v>
      </c>
    </row>
    <row r="666" spans="11:16" x14ac:dyDescent="0.3">
      <c r="K666" s="14" t="s">
        <v>506</v>
      </c>
      <c r="L666">
        <v>300.35000000000002</v>
      </c>
      <c r="M666">
        <v>100.72920000000001</v>
      </c>
      <c r="N666">
        <v>500.11</v>
      </c>
      <c r="O666">
        <v>280.8</v>
      </c>
      <c r="P666" s="13">
        <v>1.89140954415954</v>
      </c>
    </row>
    <row r="667" spans="11:16" x14ac:dyDescent="0.3">
      <c r="K667" s="14" t="s">
        <v>506</v>
      </c>
      <c r="L667">
        <v>308.16000000000003</v>
      </c>
      <c r="M667">
        <v>236.25</v>
      </c>
      <c r="N667">
        <v>50.1</v>
      </c>
      <c r="O667">
        <v>280.55</v>
      </c>
      <c r="P667" s="13">
        <v>1.98693993940474</v>
      </c>
    </row>
    <row r="668" spans="11:16" x14ac:dyDescent="0.3">
      <c r="K668" s="14" t="s">
        <v>506</v>
      </c>
      <c r="L668">
        <v>308.16000000000003</v>
      </c>
      <c r="M668">
        <v>272.43490000000003</v>
      </c>
      <c r="N668">
        <v>200</v>
      </c>
      <c r="O668">
        <v>287.73</v>
      </c>
      <c r="P668" s="13">
        <v>2.19857122997254</v>
      </c>
    </row>
    <row r="669" spans="11:16" x14ac:dyDescent="0.3">
      <c r="K669" s="14" t="s">
        <v>506</v>
      </c>
      <c r="L669">
        <v>300.77999999999997</v>
      </c>
      <c r="M669">
        <v>295.42239999999998</v>
      </c>
      <c r="N669">
        <v>343</v>
      </c>
      <c r="O669">
        <v>284.29000000000002</v>
      </c>
      <c r="P669" s="13">
        <v>2.4108565197509599</v>
      </c>
    </row>
    <row r="670" spans="11:16" x14ac:dyDescent="0.3">
      <c r="K670" s="14" t="s">
        <v>508</v>
      </c>
      <c r="L670">
        <v>300.77999999999997</v>
      </c>
      <c r="M670">
        <v>92.954300000000003</v>
      </c>
      <c r="N670">
        <v>270.2</v>
      </c>
      <c r="O670">
        <v>263.5</v>
      </c>
      <c r="P670" s="13">
        <v>1.76085882352941</v>
      </c>
    </row>
    <row r="671" spans="11:16" x14ac:dyDescent="0.3">
      <c r="K671" s="14" t="s">
        <v>508</v>
      </c>
      <c r="L671">
        <v>300.35000000000002</v>
      </c>
      <c r="M671">
        <v>138.31020000000001</v>
      </c>
      <c r="N671">
        <v>220</v>
      </c>
      <c r="O671">
        <v>278.52999999999997</v>
      </c>
      <c r="P671" s="13">
        <v>1.7802757333141901</v>
      </c>
    </row>
    <row r="672" spans="11:16" x14ac:dyDescent="0.3">
      <c r="K672" s="14" t="s">
        <v>508</v>
      </c>
      <c r="L672">
        <v>301.22000000000003</v>
      </c>
      <c r="M672">
        <v>120.9288</v>
      </c>
      <c r="N672">
        <v>180.2</v>
      </c>
      <c r="O672">
        <v>262.39</v>
      </c>
      <c r="P672" s="13">
        <v>1.7874187278478599</v>
      </c>
    </row>
    <row r="673" spans="11:16" x14ac:dyDescent="0.3">
      <c r="K673" s="14" t="s">
        <v>508</v>
      </c>
      <c r="L673">
        <v>308.16000000000003</v>
      </c>
      <c r="M673">
        <v>163.303</v>
      </c>
      <c r="N673">
        <v>150.19999999999999</v>
      </c>
      <c r="O673">
        <v>283.72000000000003</v>
      </c>
      <c r="P673" s="13">
        <v>1.79936204708868</v>
      </c>
    </row>
    <row r="674" spans="11:16" x14ac:dyDescent="0.3">
      <c r="K674" s="14" t="s">
        <v>508</v>
      </c>
      <c r="L674">
        <v>308.16000000000003</v>
      </c>
      <c r="M674">
        <v>161.89240000000001</v>
      </c>
      <c r="N674">
        <v>280.10000000000002</v>
      </c>
      <c r="O674">
        <v>292.94</v>
      </c>
      <c r="P674" s="13">
        <v>1.8532068000273101</v>
      </c>
    </row>
    <row r="675" spans="11:16" x14ac:dyDescent="0.3">
      <c r="K675" s="14" t="s">
        <v>510</v>
      </c>
      <c r="L675">
        <v>300.35000000000002</v>
      </c>
      <c r="N675">
        <v>470.2</v>
      </c>
      <c r="O675">
        <v>284.27</v>
      </c>
      <c r="P675" s="13">
        <v>1.4866218735709</v>
      </c>
    </row>
    <row r="676" spans="11:16" x14ac:dyDescent="0.3">
      <c r="K676" s="14" t="s">
        <v>510</v>
      </c>
      <c r="L676">
        <v>300.35000000000002</v>
      </c>
      <c r="M676">
        <v>69.372100000000003</v>
      </c>
      <c r="N676">
        <v>230.2</v>
      </c>
      <c r="O676">
        <v>266.45999999999998</v>
      </c>
      <c r="P676" s="13">
        <v>1.6121522930270999</v>
      </c>
    </row>
    <row r="677" spans="11:16" x14ac:dyDescent="0.3">
      <c r="K677" s="14" t="s">
        <v>510</v>
      </c>
      <c r="L677">
        <v>300.35000000000002</v>
      </c>
      <c r="M677">
        <v>117.07899999999999</v>
      </c>
      <c r="N677">
        <v>160.19999999999999</v>
      </c>
      <c r="O677">
        <v>277.95</v>
      </c>
      <c r="P677" s="13">
        <v>1.6516675661090101</v>
      </c>
    </row>
    <row r="678" spans="11:16" x14ac:dyDescent="0.3">
      <c r="K678" s="14" t="s">
        <v>510</v>
      </c>
      <c r="L678">
        <v>308.58999999999997</v>
      </c>
      <c r="M678">
        <v>102.32210000000001</v>
      </c>
      <c r="N678">
        <v>230.1</v>
      </c>
      <c r="O678">
        <v>278.83</v>
      </c>
      <c r="P678" s="13">
        <v>1.68826202345515</v>
      </c>
    </row>
    <row r="679" spans="11:16" x14ac:dyDescent="0.3">
      <c r="K679" s="14" t="s">
        <v>510</v>
      </c>
      <c r="L679">
        <v>308.16000000000003</v>
      </c>
      <c r="M679">
        <v>163.55609999999999</v>
      </c>
      <c r="N679">
        <v>55.1</v>
      </c>
      <c r="O679">
        <v>271.02</v>
      </c>
      <c r="P679" s="13">
        <v>1.79338093129658</v>
      </c>
    </row>
    <row r="680" spans="11:16" x14ac:dyDescent="0.3">
      <c r="K680" s="14" t="s">
        <v>510</v>
      </c>
      <c r="L680">
        <v>300.35000000000002</v>
      </c>
      <c r="M680">
        <v>162.32640000000001</v>
      </c>
      <c r="N680">
        <v>350.2</v>
      </c>
      <c r="O680">
        <v>288.02999999999997</v>
      </c>
      <c r="P680" s="13">
        <v>1.9224677984932099</v>
      </c>
    </row>
    <row r="681" spans="11:16" x14ac:dyDescent="0.3">
      <c r="K681" s="14" t="s">
        <v>510</v>
      </c>
      <c r="L681">
        <v>307.73</v>
      </c>
      <c r="M681">
        <v>128.03819999999999</v>
      </c>
      <c r="N681">
        <v>335.7</v>
      </c>
      <c r="O681">
        <v>271.64</v>
      </c>
      <c r="P681" s="13">
        <v>1.925527168311</v>
      </c>
    </row>
    <row r="682" spans="11:16" x14ac:dyDescent="0.3">
      <c r="K682" s="14" t="s">
        <v>510</v>
      </c>
      <c r="L682">
        <v>307.73</v>
      </c>
      <c r="M682">
        <v>166.57409999999999</v>
      </c>
      <c r="N682">
        <v>421.21</v>
      </c>
      <c r="O682">
        <v>273.33999999999997</v>
      </c>
      <c r="P682" s="13">
        <v>2.13586997878101</v>
      </c>
    </row>
    <row r="683" spans="11:16" x14ac:dyDescent="0.3">
      <c r="K683" s="14" t="s">
        <v>512</v>
      </c>
      <c r="L683">
        <v>300.35000000000002</v>
      </c>
      <c r="N683">
        <v>350.1</v>
      </c>
      <c r="O683">
        <v>267.86</v>
      </c>
      <c r="P683" s="13">
        <v>1.4611214813708699</v>
      </c>
    </row>
    <row r="684" spans="11:16" x14ac:dyDescent="0.3">
      <c r="K684" s="14" t="s">
        <v>512</v>
      </c>
      <c r="L684">
        <v>300.77999999999997</v>
      </c>
      <c r="M684">
        <v>84.526899999999998</v>
      </c>
      <c r="N684">
        <v>155</v>
      </c>
      <c r="O684">
        <v>277.63</v>
      </c>
      <c r="P684" s="13">
        <v>1.5330003962107801</v>
      </c>
    </row>
    <row r="685" spans="11:16" x14ac:dyDescent="0.3">
      <c r="K685" s="14" t="s">
        <v>512</v>
      </c>
      <c r="L685">
        <v>294.7</v>
      </c>
      <c r="M685">
        <v>72.555000000000007</v>
      </c>
      <c r="N685">
        <v>280.10000000000002</v>
      </c>
      <c r="O685">
        <v>283.42</v>
      </c>
      <c r="P685" s="13">
        <v>1.5527520993578401</v>
      </c>
    </row>
    <row r="686" spans="11:16" x14ac:dyDescent="0.3">
      <c r="K686" s="14" t="s">
        <v>512</v>
      </c>
      <c r="L686">
        <v>293.39999999999998</v>
      </c>
      <c r="M686">
        <v>142.6867</v>
      </c>
      <c r="N686">
        <v>50.1</v>
      </c>
      <c r="O686">
        <v>279.98</v>
      </c>
      <c r="P686" s="13">
        <v>1.6040885063218799</v>
      </c>
    </row>
    <row r="687" spans="11:16" x14ac:dyDescent="0.3">
      <c r="K687" s="14" t="s">
        <v>512</v>
      </c>
      <c r="L687">
        <v>292.97000000000003</v>
      </c>
      <c r="M687">
        <v>139.64850000000001</v>
      </c>
      <c r="N687">
        <v>120.1</v>
      </c>
      <c r="O687">
        <v>287.67</v>
      </c>
      <c r="P687" s="13">
        <v>1.61241874369938</v>
      </c>
    </row>
    <row r="688" spans="11:16" x14ac:dyDescent="0.3">
      <c r="K688" s="14" t="s">
        <v>512</v>
      </c>
      <c r="L688">
        <v>300.77999999999997</v>
      </c>
      <c r="M688">
        <v>134.04230000000001</v>
      </c>
      <c r="N688">
        <v>166</v>
      </c>
      <c r="O688">
        <v>273.04000000000002</v>
      </c>
      <c r="P688" s="13">
        <v>1.75059441840023</v>
      </c>
    </row>
    <row r="689" spans="11:16" x14ac:dyDescent="0.3">
      <c r="K689" s="14" t="s">
        <v>512</v>
      </c>
      <c r="L689">
        <v>308.58999999999997</v>
      </c>
      <c r="M689">
        <v>120.9491</v>
      </c>
      <c r="N689">
        <v>276.10000000000002</v>
      </c>
      <c r="O689">
        <v>275.05</v>
      </c>
      <c r="P689" s="13">
        <v>1.82266896927831</v>
      </c>
    </row>
    <row r="690" spans="11:16" x14ac:dyDescent="0.3">
      <c r="K690" s="14" t="s">
        <v>512</v>
      </c>
      <c r="L690">
        <v>300.77999999999997</v>
      </c>
      <c r="M690">
        <v>136.82730000000001</v>
      </c>
      <c r="N690">
        <v>266.3</v>
      </c>
      <c r="O690">
        <v>277.68</v>
      </c>
      <c r="P690" s="13">
        <v>1.82528558052434</v>
      </c>
    </row>
    <row r="691" spans="11:16" x14ac:dyDescent="0.3">
      <c r="K691" s="14" t="s">
        <v>512</v>
      </c>
      <c r="L691">
        <v>300.77999999999997</v>
      </c>
      <c r="M691">
        <v>168.29429999999999</v>
      </c>
      <c r="N691">
        <v>201.8</v>
      </c>
      <c r="O691">
        <v>282.83</v>
      </c>
      <c r="P691" s="13">
        <v>1.8440133649188599</v>
      </c>
    </row>
    <row r="692" spans="11:16" x14ac:dyDescent="0.3">
      <c r="K692" s="14" t="s">
        <v>512</v>
      </c>
      <c r="L692">
        <v>308.58999999999997</v>
      </c>
      <c r="M692">
        <v>125.2517</v>
      </c>
      <c r="N692">
        <v>373.3</v>
      </c>
      <c r="O692">
        <v>283.98</v>
      </c>
      <c r="P692" s="13">
        <v>1.8694967955489801</v>
      </c>
    </row>
    <row r="693" spans="11:16" x14ac:dyDescent="0.3">
      <c r="K693" s="14" t="s">
        <v>512</v>
      </c>
      <c r="L693">
        <v>292.97000000000003</v>
      </c>
      <c r="M693">
        <v>175.2749</v>
      </c>
      <c r="N693">
        <v>120.1</v>
      </c>
      <c r="O693">
        <v>266.45999999999998</v>
      </c>
      <c r="P693" s="13">
        <v>1.8744685881558201</v>
      </c>
    </row>
    <row r="694" spans="11:16" x14ac:dyDescent="0.3">
      <c r="K694" s="14" t="s">
        <v>512</v>
      </c>
      <c r="L694">
        <v>300.77999999999997</v>
      </c>
      <c r="M694">
        <v>161.5307</v>
      </c>
      <c r="N694">
        <v>80.099999999999994</v>
      </c>
      <c r="O694">
        <v>256.39999999999998</v>
      </c>
      <c r="P694" s="13">
        <v>1.8843085023400901</v>
      </c>
    </row>
    <row r="695" spans="11:16" x14ac:dyDescent="0.3">
      <c r="K695" s="14" t="s">
        <v>512</v>
      </c>
      <c r="L695">
        <v>300.77999999999997</v>
      </c>
      <c r="M695">
        <v>113.86</v>
      </c>
      <c r="N695">
        <v>530.5</v>
      </c>
      <c r="O695">
        <v>282.26</v>
      </c>
      <c r="P695" s="13">
        <v>1.9576631474527</v>
      </c>
    </row>
    <row r="696" spans="11:16" x14ac:dyDescent="0.3">
      <c r="K696" s="14" t="s">
        <v>512</v>
      </c>
      <c r="L696">
        <v>308.16000000000003</v>
      </c>
      <c r="M696">
        <v>161.67529999999999</v>
      </c>
      <c r="N696">
        <v>316.3</v>
      </c>
      <c r="O696">
        <v>279.68</v>
      </c>
      <c r="P696" s="13">
        <v>1.9739462957665901</v>
      </c>
    </row>
    <row r="697" spans="11:16" x14ac:dyDescent="0.3">
      <c r="K697" s="14" t="s">
        <v>512</v>
      </c>
      <c r="L697">
        <v>307.73</v>
      </c>
      <c r="M697">
        <v>154.65710000000001</v>
      </c>
      <c r="N697">
        <v>390.21</v>
      </c>
      <c r="O697">
        <v>278.79000000000002</v>
      </c>
      <c r="P697" s="13">
        <v>2.0224602747587799</v>
      </c>
    </row>
    <row r="698" spans="11:16" x14ac:dyDescent="0.3">
      <c r="K698" s="14" t="s">
        <v>512</v>
      </c>
      <c r="L698">
        <v>308.16000000000003</v>
      </c>
      <c r="M698">
        <v>172.0196</v>
      </c>
      <c r="N698">
        <v>300.10000000000002</v>
      </c>
      <c r="O698">
        <v>269.89</v>
      </c>
      <c r="P698" s="13">
        <v>2.06827077698322</v>
      </c>
    </row>
    <row r="699" spans="11:16" x14ac:dyDescent="0.3">
      <c r="K699" s="14" t="s">
        <v>512</v>
      </c>
      <c r="L699">
        <v>308.16000000000003</v>
      </c>
      <c r="M699">
        <v>215.60329999999999</v>
      </c>
      <c r="N699">
        <v>230.1</v>
      </c>
      <c r="O699">
        <v>277.64999999999998</v>
      </c>
      <c r="P699" s="13">
        <v>2.1018883486403701</v>
      </c>
    </row>
    <row r="700" spans="11:16" x14ac:dyDescent="0.3">
      <c r="K700" s="14" t="s">
        <v>512</v>
      </c>
      <c r="L700">
        <v>300.35000000000002</v>
      </c>
      <c r="M700">
        <v>139.97389999999999</v>
      </c>
      <c r="N700">
        <v>550.11</v>
      </c>
      <c r="O700">
        <v>277.38</v>
      </c>
      <c r="P700" s="13">
        <v>2.1030806114355798</v>
      </c>
    </row>
    <row r="701" spans="11:16" x14ac:dyDescent="0.3">
      <c r="K701" s="14" t="s">
        <v>512</v>
      </c>
      <c r="L701">
        <v>300.77999999999997</v>
      </c>
      <c r="M701">
        <v>213.65020000000001</v>
      </c>
      <c r="N701">
        <v>400.01</v>
      </c>
      <c r="O701">
        <v>269.87</v>
      </c>
      <c r="P701" s="13">
        <v>2.2915952125097299</v>
      </c>
    </row>
    <row r="702" spans="11:16" x14ac:dyDescent="0.3">
      <c r="K702" s="14" t="s">
        <v>512</v>
      </c>
      <c r="L702">
        <v>301.2</v>
      </c>
      <c r="M702">
        <v>254.39240000000001</v>
      </c>
      <c r="N702">
        <v>500.11</v>
      </c>
      <c r="O702">
        <v>267.62</v>
      </c>
      <c r="P702" s="13">
        <v>2.5619198864061001</v>
      </c>
    </row>
    <row r="703" spans="11:16" x14ac:dyDescent="0.3">
      <c r="K703" s="14" t="s">
        <v>514</v>
      </c>
      <c r="M703">
        <v>125.9766</v>
      </c>
      <c r="N703">
        <v>160</v>
      </c>
      <c r="O703">
        <v>273.33999999999997</v>
      </c>
      <c r="P703" s="13">
        <v>0.61307016902026801</v>
      </c>
    </row>
    <row r="704" spans="11:16" x14ac:dyDescent="0.3">
      <c r="K704" s="14" t="s">
        <v>514</v>
      </c>
      <c r="L704">
        <v>292.52999999999997</v>
      </c>
      <c r="M704">
        <v>89.733800000000002</v>
      </c>
      <c r="N704">
        <v>150.1</v>
      </c>
      <c r="O704">
        <v>270.48</v>
      </c>
      <c r="P704" s="13">
        <v>1.55756359065365</v>
      </c>
    </row>
    <row r="705" spans="11:16" x14ac:dyDescent="0.3">
      <c r="K705" s="14" t="s">
        <v>514</v>
      </c>
      <c r="L705">
        <v>300.77999999999997</v>
      </c>
      <c r="M705">
        <v>128.7978</v>
      </c>
      <c r="N705">
        <v>200.2</v>
      </c>
      <c r="O705">
        <v>285.47000000000003</v>
      </c>
      <c r="P705" s="13">
        <v>1.6871468105230001</v>
      </c>
    </row>
    <row r="706" spans="11:16" x14ac:dyDescent="0.3">
      <c r="K706" s="14" t="s">
        <v>514</v>
      </c>
      <c r="L706">
        <v>300.77999999999997</v>
      </c>
      <c r="M706">
        <v>132.4855</v>
      </c>
      <c r="N706">
        <v>250.2</v>
      </c>
      <c r="O706">
        <v>286.02999999999997</v>
      </c>
      <c r="P706" s="13">
        <v>1.7421861343215701</v>
      </c>
    </row>
    <row r="707" spans="11:16" x14ac:dyDescent="0.3">
      <c r="K707" s="14" t="s">
        <v>514</v>
      </c>
      <c r="L707">
        <v>300.35000000000002</v>
      </c>
      <c r="M707">
        <v>160.26480000000001</v>
      </c>
      <c r="N707">
        <v>280.3</v>
      </c>
      <c r="O707">
        <v>291.77999999999997</v>
      </c>
      <c r="P707" s="13">
        <v>1.8284077044348499</v>
      </c>
    </row>
    <row r="708" spans="11:16" x14ac:dyDescent="0.3">
      <c r="K708" s="14" t="s">
        <v>514</v>
      </c>
      <c r="L708">
        <v>300.35000000000002</v>
      </c>
      <c r="M708">
        <v>165.52520000000001</v>
      </c>
      <c r="N708">
        <v>211.2</v>
      </c>
      <c r="O708">
        <v>281.38</v>
      </c>
      <c r="P708" s="13">
        <v>1.85083232639136</v>
      </c>
    </row>
    <row r="709" spans="11:16" x14ac:dyDescent="0.3">
      <c r="K709" s="14" t="s">
        <v>514</v>
      </c>
      <c r="L709">
        <v>307.73</v>
      </c>
      <c r="M709">
        <v>155.32689999999999</v>
      </c>
      <c r="N709">
        <v>288.3</v>
      </c>
      <c r="O709">
        <v>271.61</v>
      </c>
      <c r="P709" s="13">
        <v>1.9808361253267599</v>
      </c>
    </row>
    <row r="710" spans="11:16" x14ac:dyDescent="0.3">
      <c r="K710" s="14" t="s">
        <v>516</v>
      </c>
      <c r="L710">
        <v>307.73</v>
      </c>
      <c r="M710">
        <v>130.4948</v>
      </c>
      <c r="N710">
        <v>390.11</v>
      </c>
      <c r="O710">
        <v>282.58</v>
      </c>
      <c r="P710" s="13">
        <v>1.90973671172765</v>
      </c>
    </row>
    <row r="711" spans="11:16" x14ac:dyDescent="0.3">
      <c r="K711" s="14" t="s">
        <v>516</v>
      </c>
      <c r="L711">
        <v>307.73</v>
      </c>
      <c r="M711">
        <v>222.36689999999999</v>
      </c>
      <c r="N711">
        <v>100.1</v>
      </c>
      <c r="O711">
        <v>270.19</v>
      </c>
      <c r="P711" s="13">
        <v>2.0582660350123998</v>
      </c>
    </row>
    <row r="712" spans="11:16" x14ac:dyDescent="0.3">
      <c r="K712" s="14" t="s">
        <v>518</v>
      </c>
      <c r="L712">
        <v>301.22000000000003</v>
      </c>
      <c r="M712">
        <v>198.40280000000001</v>
      </c>
      <c r="N712">
        <v>180.2</v>
      </c>
      <c r="O712">
        <v>280.54000000000002</v>
      </c>
      <c r="P712" s="13">
        <v>1.9479389748342499</v>
      </c>
    </row>
    <row r="713" spans="11:16" x14ac:dyDescent="0.3">
      <c r="K713" s="14" t="s">
        <v>41</v>
      </c>
      <c r="L713">
        <v>150.16999999999999</v>
      </c>
      <c r="M713">
        <v>52.083300000000001</v>
      </c>
      <c r="N713">
        <v>150.1</v>
      </c>
      <c r="O713">
        <v>276.24</v>
      </c>
      <c r="P713" s="13">
        <v>0.87344084853750403</v>
      </c>
    </row>
    <row r="714" spans="11:16" x14ac:dyDescent="0.3">
      <c r="K714" s="14" t="s">
        <v>41</v>
      </c>
      <c r="L714">
        <v>150.61000000000001</v>
      </c>
      <c r="M714">
        <v>51.540799999999997</v>
      </c>
      <c r="N714">
        <v>150.1</v>
      </c>
      <c r="O714">
        <v>272.79000000000002</v>
      </c>
      <c r="P714" s="13">
        <v>0.88411158766817</v>
      </c>
    </row>
    <row r="715" spans="11:16" x14ac:dyDescent="0.3">
      <c r="K715" s="14" t="s">
        <v>41</v>
      </c>
      <c r="L715">
        <v>157.99</v>
      </c>
      <c r="M715">
        <v>52.083300000000001</v>
      </c>
      <c r="N715">
        <v>170</v>
      </c>
      <c r="O715">
        <v>283.44</v>
      </c>
      <c r="P715" s="13">
        <v>0.89709744566751304</v>
      </c>
    </row>
    <row r="716" spans="11:16" x14ac:dyDescent="0.3">
      <c r="K716" s="14" t="s">
        <v>41</v>
      </c>
      <c r="L716">
        <v>149.74</v>
      </c>
      <c r="M716">
        <v>50.238700000000001</v>
      </c>
      <c r="N716">
        <v>110.1</v>
      </c>
      <c r="O716">
        <v>253.21</v>
      </c>
      <c r="P716" s="13">
        <v>0.902826507641878</v>
      </c>
    </row>
    <row r="717" spans="11:16" x14ac:dyDescent="0.3">
      <c r="K717" s="14" t="s">
        <v>41</v>
      </c>
      <c r="L717">
        <v>150.61000000000001</v>
      </c>
      <c r="M717">
        <v>50.238700000000001</v>
      </c>
      <c r="N717">
        <v>150.1</v>
      </c>
      <c r="O717">
        <v>263.25</v>
      </c>
      <c r="P717" s="13">
        <v>0.91120493827160498</v>
      </c>
    </row>
    <row r="718" spans="11:16" x14ac:dyDescent="0.3">
      <c r="K718" s="14" t="s">
        <v>41</v>
      </c>
      <c r="L718">
        <v>149.74</v>
      </c>
      <c r="M718">
        <v>84.635400000000004</v>
      </c>
      <c r="N718">
        <v>120.1</v>
      </c>
      <c r="O718">
        <v>291.06</v>
      </c>
      <c r="P718" s="13">
        <v>0.91253143681715099</v>
      </c>
    </row>
    <row r="719" spans="11:16" x14ac:dyDescent="0.3">
      <c r="K719" s="14" t="s">
        <v>41</v>
      </c>
      <c r="L719">
        <v>150.61000000000001</v>
      </c>
      <c r="M719">
        <v>84.852500000000006</v>
      </c>
      <c r="N719">
        <v>122.1</v>
      </c>
      <c r="O719">
        <v>292.07</v>
      </c>
      <c r="P719" s="13">
        <v>0.91487828260348603</v>
      </c>
    </row>
    <row r="720" spans="11:16" x14ac:dyDescent="0.3">
      <c r="K720" s="14" t="s">
        <v>41</v>
      </c>
      <c r="L720">
        <v>157.99</v>
      </c>
      <c r="M720">
        <v>51.1068</v>
      </c>
      <c r="N720">
        <v>210</v>
      </c>
      <c r="O720">
        <v>286.02</v>
      </c>
      <c r="P720" s="13">
        <v>0.92195231102720099</v>
      </c>
    </row>
    <row r="721" spans="11:16" x14ac:dyDescent="0.3">
      <c r="K721" s="14" t="s">
        <v>41</v>
      </c>
      <c r="L721">
        <v>150.61000000000001</v>
      </c>
      <c r="M721">
        <v>49.370699999999999</v>
      </c>
      <c r="N721">
        <v>280.01</v>
      </c>
      <c r="O721">
        <v>291.48</v>
      </c>
      <c r="P721" s="13">
        <v>0.93585597639632201</v>
      </c>
    </row>
    <row r="722" spans="11:16" x14ac:dyDescent="0.3">
      <c r="K722" s="14" t="s">
        <v>41</v>
      </c>
      <c r="L722">
        <v>203.13</v>
      </c>
      <c r="M722">
        <v>30.164899999999999</v>
      </c>
      <c r="N722">
        <v>80.099999999999994</v>
      </c>
      <c r="O722">
        <v>270.77999999999997</v>
      </c>
      <c r="P722" s="13">
        <v>0.93847736169584195</v>
      </c>
    </row>
    <row r="723" spans="11:16" x14ac:dyDescent="0.3">
      <c r="K723" s="14" t="s">
        <v>41</v>
      </c>
      <c r="L723">
        <v>203.13</v>
      </c>
      <c r="M723">
        <v>46.441000000000003</v>
      </c>
      <c r="N723">
        <v>60.1</v>
      </c>
      <c r="O723">
        <v>280.27999999999997</v>
      </c>
      <c r="P723" s="13">
        <v>0.94618595690024299</v>
      </c>
    </row>
    <row r="724" spans="11:16" x14ac:dyDescent="0.3">
      <c r="K724" s="14" t="s">
        <v>41</v>
      </c>
      <c r="L724">
        <v>195.75</v>
      </c>
      <c r="M724">
        <v>47.308999999999997</v>
      </c>
      <c r="N724">
        <v>100.1</v>
      </c>
      <c r="O724">
        <v>282.89</v>
      </c>
      <c r="P724" s="13">
        <v>0.95120011311817299</v>
      </c>
    </row>
    <row r="725" spans="11:16" x14ac:dyDescent="0.3">
      <c r="K725" s="14" t="s">
        <v>41</v>
      </c>
      <c r="L725">
        <v>150.61000000000001</v>
      </c>
      <c r="M725">
        <v>50.347200000000001</v>
      </c>
      <c r="N725">
        <v>250.01</v>
      </c>
      <c r="O725">
        <v>278.27</v>
      </c>
      <c r="P725" s="13">
        <v>0.95576167032019299</v>
      </c>
    </row>
    <row r="726" spans="11:16" x14ac:dyDescent="0.3">
      <c r="K726" s="14" t="s">
        <v>41</v>
      </c>
      <c r="L726">
        <v>195.75</v>
      </c>
      <c r="M726">
        <v>54.325800000000001</v>
      </c>
      <c r="N726">
        <v>50.1</v>
      </c>
      <c r="O726">
        <v>273.56</v>
      </c>
      <c r="P726" s="13">
        <v>0.96176999561339405</v>
      </c>
    </row>
    <row r="727" spans="11:16" x14ac:dyDescent="0.3">
      <c r="K727" s="14" t="s">
        <v>41</v>
      </c>
      <c r="L727">
        <v>195.75</v>
      </c>
      <c r="M727">
        <v>46.983499999999999</v>
      </c>
      <c r="N727">
        <v>130.1</v>
      </c>
      <c r="O727">
        <v>282.83999999999997</v>
      </c>
      <c r="P727" s="13">
        <v>0.97779486635553703</v>
      </c>
    </row>
    <row r="728" spans="11:16" x14ac:dyDescent="0.3">
      <c r="K728" s="14" t="s">
        <v>41</v>
      </c>
      <c r="L728">
        <v>157.99</v>
      </c>
      <c r="M728">
        <v>75.195300000000003</v>
      </c>
      <c r="N728">
        <v>180</v>
      </c>
      <c r="O728">
        <v>286.02</v>
      </c>
      <c r="P728" s="13">
        <v>0.97890112579539901</v>
      </c>
    </row>
    <row r="729" spans="11:16" x14ac:dyDescent="0.3">
      <c r="K729" s="14" t="s">
        <v>41</v>
      </c>
      <c r="L729">
        <v>150.61000000000001</v>
      </c>
      <c r="M729">
        <v>80.729200000000006</v>
      </c>
      <c r="N729">
        <v>210</v>
      </c>
      <c r="O729">
        <v>290.31</v>
      </c>
      <c r="P729" s="13">
        <v>0.98494436981158096</v>
      </c>
    </row>
    <row r="730" spans="11:16" x14ac:dyDescent="0.3">
      <c r="K730" s="14" t="s">
        <v>41</v>
      </c>
      <c r="L730">
        <v>149.74</v>
      </c>
      <c r="M730">
        <v>49.913200000000003</v>
      </c>
      <c r="N730">
        <v>230</v>
      </c>
      <c r="O730">
        <v>262.17</v>
      </c>
      <c r="P730" s="13">
        <v>0.98963725826753601</v>
      </c>
    </row>
    <row r="731" spans="11:16" x14ac:dyDescent="0.3">
      <c r="K731" s="14" t="s">
        <v>41</v>
      </c>
      <c r="L731">
        <v>203.13</v>
      </c>
      <c r="M731">
        <v>52.372700000000002</v>
      </c>
      <c r="N731">
        <v>120.1</v>
      </c>
      <c r="O731">
        <v>289.51</v>
      </c>
      <c r="P731" s="13">
        <v>0.99039307795931097</v>
      </c>
    </row>
    <row r="732" spans="11:16" x14ac:dyDescent="0.3">
      <c r="K732" s="14" t="s">
        <v>41</v>
      </c>
      <c r="L732">
        <v>203.13</v>
      </c>
      <c r="M732">
        <v>47.091999999999999</v>
      </c>
      <c r="N732">
        <v>120.1</v>
      </c>
      <c r="O732">
        <v>282.87</v>
      </c>
      <c r="P732" s="13">
        <v>0.99497295577473699</v>
      </c>
    </row>
    <row r="733" spans="11:16" x14ac:dyDescent="0.3">
      <c r="K733" s="14" t="s">
        <v>41</v>
      </c>
      <c r="L733">
        <v>203.13</v>
      </c>
      <c r="N733">
        <v>260.01</v>
      </c>
      <c r="O733">
        <v>271.95</v>
      </c>
      <c r="P733" s="13">
        <v>0.99552344180915597</v>
      </c>
    </row>
    <row r="734" spans="11:16" x14ac:dyDescent="0.3">
      <c r="K734" s="14" t="s">
        <v>41</v>
      </c>
      <c r="L734">
        <v>150.61000000000001</v>
      </c>
      <c r="M734">
        <v>82.682299999999998</v>
      </c>
      <c r="N734">
        <v>100.1</v>
      </c>
      <c r="O734">
        <v>259.79000000000002</v>
      </c>
      <c r="P734" s="13">
        <v>0.99818430270603198</v>
      </c>
    </row>
    <row r="735" spans="11:16" x14ac:dyDescent="0.3">
      <c r="K735" s="14" t="s">
        <v>41</v>
      </c>
      <c r="L735">
        <v>203.13</v>
      </c>
      <c r="M735">
        <v>46.332500000000003</v>
      </c>
      <c r="N735">
        <v>120.1</v>
      </c>
      <c r="O735">
        <v>281.13</v>
      </c>
      <c r="P735" s="13">
        <v>0.99842955216447904</v>
      </c>
    </row>
    <row r="736" spans="11:16" x14ac:dyDescent="0.3">
      <c r="K736" s="14" t="s">
        <v>41</v>
      </c>
      <c r="L736">
        <v>203.13</v>
      </c>
      <c r="M736">
        <v>49.153700000000001</v>
      </c>
      <c r="N736">
        <v>130.1</v>
      </c>
      <c r="O736">
        <v>286.3</v>
      </c>
      <c r="P736" s="13">
        <v>0.99933531260915098</v>
      </c>
    </row>
    <row r="737" spans="11:16" x14ac:dyDescent="0.3">
      <c r="K737" s="14" t="s">
        <v>41</v>
      </c>
      <c r="L737">
        <v>150.16999999999999</v>
      </c>
      <c r="M737">
        <v>51.215299999999999</v>
      </c>
      <c r="N737">
        <v>260.01</v>
      </c>
      <c r="O737">
        <v>269.02999999999997</v>
      </c>
      <c r="P737" s="13">
        <v>0.99984351187599896</v>
      </c>
    </row>
    <row r="738" spans="11:16" x14ac:dyDescent="0.3">
      <c r="K738" s="14" t="s">
        <v>41</v>
      </c>
      <c r="L738">
        <v>149.74</v>
      </c>
      <c r="M738">
        <v>75.195300000000003</v>
      </c>
      <c r="N738">
        <v>200</v>
      </c>
      <c r="O738">
        <v>276.52</v>
      </c>
      <c r="P738" s="13">
        <v>1.00150188051497</v>
      </c>
    </row>
    <row r="739" spans="11:16" x14ac:dyDescent="0.3">
      <c r="K739" s="14" t="s">
        <v>41</v>
      </c>
      <c r="L739">
        <v>203.13</v>
      </c>
      <c r="M739">
        <v>62.138300000000001</v>
      </c>
      <c r="N739">
        <v>60.1</v>
      </c>
      <c r="O739">
        <v>280.25</v>
      </c>
      <c r="P739" s="13">
        <v>1.0022990187332701</v>
      </c>
    </row>
    <row r="740" spans="11:16" x14ac:dyDescent="0.3">
      <c r="K740" s="14" t="s">
        <v>41</v>
      </c>
      <c r="L740">
        <v>149.74</v>
      </c>
      <c r="M740">
        <v>83.658900000000003</v>
      </c>
      <c r="N740">
        <v>210</v>
      </c>
      <c r="O740">
        <v>285.19</v>
      </c>
      <c r="P740" s="13">
        <v>1.0098492233248</v>
      </c>
    </row>
    <row r="741" spans="11:16" x14ac:dyDescent="0.3">
      <c r="K741" s="14" t="s">
        <v>41</v>
      </c>
      <c r="L741">
        <v>203.13</v>
      </c>
      <c r="M741">
        <v>47.308999999999997</v>
      </c>
      <c r="N741">
        <v>150.1</v>
      </c>
      <c r="O741">
        <v>284.87</v>
      </c>
      <c r="P741" s="13">
        <v>1.0161301646365</v>
      </c>
    </row>
    <row r="742" spans="11:16" x14ac:dyDescent="0.3">
      <c r="K742" s="14" t="s">
        <v>41</v>
      </c>
      <c r="L742">
        <v>203.13</v>
      </c>
      <c r="M742">
        <v>67.346599999999995</v>
      </c>
      <c r="N742">
        <v>100.1</v>
      </c>
      <c r="O742">
        <v>289.95999999999998</v>
      </c>
      <c r="P742" s="13">
        <v>1.02256380190371</v>
      </c>
    </row>
    <row r="743" spans="11:16" x14ac:dyDescent="0.3">
      <c r="K743" s="14" t="s">
        <v>41</v>
      </c>
      <c r="L743">
        <v>150.61000000000001</v>
      </c>
      <c r="M743">
        <v>98.415800000000004</v>
      </c>
      <c r="N743">
        <v>150.1</v>
      </c>
      <c r="O743">
        <v>279.36</v>
      </c>
      <c r="P743" s="13">
        <v>1.0311132588774301</v>
      </c>
    </row>
    <row r="744" spans="11:16" x14ac:dyDescent="0.3">
      <c r="K744" s="14" t="s">
        <v>41</v>
      </c>
      <c r="L744">
        <v>203.13</v>
      </c>
      <c r="M744">
        <v>60.980899999999998</v>
      </c>
      <c r="N744">
        <v>100.1</v>
      </c>
      <c r="O744">
        <v>281.13</v>
      </c>
      <c r="P744" s="13">
        <v>1.0320382029666</v>
      </c>
    </row>
    <row r="745" spans="11:16" x14ac:dyDescent="0.3">
      <c r="K745" s="14" t="s">
        <v>41</v>
      </c>
      <c r="L745">
        <v>203.13</v>
      </c>
      <c r="M745">
        <v>79.861099999999993</v>
      </c>
      <c r="N745">
        <v>50.1</v>
      </c>
      <c r="O745">
        <v>285.14999999999998</v>
      </c>
      <c r="P745" s="13">
        <v>1.03811011748203</v>
      </c>
    </row>
    <row r="746" spans="11:16" x14ac:dyDescent="0.3">
      <c r="K746" s="14" t="s">
        <v>41</v>
      </c>
      <c r="L746">
        <v>210.5</v>
      </c>
      <c r="M746">
        <v>58.232100000000003</v>
      </c>
      <c r="N746">
        <v>100.1</v>
      </c>
      <c r="O746">
        <v>282.54000000000002</v>
      </c>
      <c r="P746" s="13">
        <v>1.04324378849013</v>
      </c>
    </row>
    <row r="747" spans="11:16" x14ac:dyDescent="0.3">
      <c r="K747" s="14" t="s">
        <v>41</v>
      </c>
      <c r="L747">
        <v>202.26</v>
      </c>
      <c r="M747">
        <v>50.4557</v>
      </c>
      <c r="N747">
        <v>166</v>
      </c>
      <c r="O747">
        <v>282.57</v>
      </c>
      <c r="P747" s="13">
        <v>1.0470881551474001</v>
      </c>
    </row>
    <row r="748" spans="11:16" x14ac:dyDescent="0.3">
      <c r="K748" s="14" t="s">
        <v>41</v>
      </c>
      <c r="L748">
        <v>202.26</v>
      </c>
      <c r="M748">
        <v>51.215299999999999</v>
      </c>
      <c r="N748">
        <v>166</v>
      </c>
      <c r="O748">
        <v>281.99</v>
      </c>
      <c r="P748" s="13">
        <v>1.0519355296287101</v>
      </c>
    </row>
    <row r="749" spans="11:16" x14ac:dyDescent="0.3">
      <c r="K749" s="14" t="s">
        <v>41</v>
      </c>
      <c r="L749">
        <v>203.13</v>
      </c>
      <c r="M749">
        <v>57.581000000000003</v>
      </c>
      <c r="N749">
        <v>80.099999999999994</v>
      </c>
      <c r="O749">
        <v>267.57</v>
      </c>
      <c r="P749" s="13">
        <v>1.05219942444968</v>
      </c>
    </row>
    <row r="750" spans="11:16" x14ac:dyDescent="0.3">
      <c r="K750" s="14" t="s">
        <v>41</v>
      </c>
      <c r="L750">
        <v>203.13</v>
      </c>
      <c r="M750">
        <v>71.831599999999995</v>
      </c>
      <c r="N750">
        <v>88.1</v>
      </c>
      <c r="O750">
        <v>283.08999999999997</v>
      </c>
      <c r="P750" s="13">
        <v>1.05220106679854</v>
      </c>
    </row>
    <row r="751" spans="11:16" x14ac:dyDescent="0.3">
      <c r="K751" s="14" t="s">
        <v>41</v>
      </c>
      <c r="L751">
        <v>203.13</v>
      </c>
      <c r="M751">
        <v>83.658900000000003</v>
      </c>
      <c r="N751">
        <v>50.1</v>
      </c>
      <c r="O751">
        <v>284.55</v>
      </c>
      <c r="P751" s="13">
        <v>1.0536457564575601</v>
      </c>
    </row>
    <row r="752" spans="11:16" x14ac:dyDescent="0.3">
      <c r="K752" s="14" t="s">
        <v>41</v>
      </c>
      <c r="L752">
        <v>203.13</v>
      </c>
      <c r="M752">
        <v>76.822900000000004</v>
      </c>
      <c r="N752">
        <v>71.099999999999994</v>
      </c>
      <c r="O752">
        <v>282.85000000000002</v>
      </c>
      <c r="P752" s="13">
        <v>1.05511366448648</v>
      </c>
    </row>
    <row r="753" spans="11:16" x14ac:dyDescent="0.3">
      <c r="K753" s="14" t="s">
        <v>41</v>
      </c>
      <c r="L753">
        <v>210.5</v>
      </c>
      <c r="M753">
        <v>54.253500000000003</v>
      </c>
      <c r="N753">
        <v>110.1</v>
      </c>
      <c r="O753">
        <v>277.08</v>
      </c>
      <c r="P753" s="13">
        <v>1.05882597083875</v>
      </c>
    </row>
    <row r="754" spans="11:16" x14ac:dyDescent="0.3">
      <c r="K754" s="14" t="s">
        <v>41</v>
      </c>
      <c r="L754">
        <v>203.13</v>
      </c>
      <c r="M754">
        <v>78.7761</v>
      </c>
      <c r="N754">
        <v>80.099999999999994</v>
      </c>
      <c r="O754">
        <v>284.31</v>
      </c>
      <c r="P754" s="13">
        <v>1.06479582146249</v>
      </c>
    </row>
    <row r="755" spans="11:16" x14ac:dyDescent="0.3">
      <c r="K755" s="14" t="s">
        <v>41</v>
      </c>
      <c r="L755">
        <v>149.74</v>
      </c>
      <c r="M755">
        <v>82.682299999999998</v>
      </c>
      <c r="N755">
        <v>200</v>
      </c>
      <c r="O755">
        <v>265.83</v>
      </c>
      <c r="P755" s="13">
        <v>1.0699405635180399</v>
      </c>
    </row>
    <row r="756" spans="11:16" x14ac:dyDescent="0.3">
      <c r="K756" s="14" t="s">
        <v>41</v>
      </c>
      <c r="L756">
        <v>203.13</v>
      </c>
      <c r="M756">
        <v>62.933999999999997</v>
      </c>
      <c r="N756">
        <v>150.1</v>
      </c>
      <c r="O756">
        <v>285.08999999999997</v>
      </c>
      <c r="P756" s="13">
        <v>1.0701532849275699</v>
      </c>
    </row>
    <row r="757" spans="11:16" x14ac:dyDescent="0.3">
      <c r="K757" s="14" t="s">
        <v>41</v>
      </c>
      <c r="L757">
        <v>150.61000000000001</v>
      </c>
      <c r="M757">
        <v>71.723100000000002</v>
      </c>
      <c r="N757">
        <v>250.1</v>
      </c>
      <c r="O757">
        <v>267.27999999999997</v>
      </c>
      <c r="P757" s="13">
        <v>1.07512384016761</v>
      </c>
    </row>
    <row r="758" spans="11:16" x14ac:dyDescent="0.3">
      <c r="K758" s="14" t="s">
        <v>41</v>
      </c>
      <c r="L758">
        <v>149.74</v>
      </c>
      <c r="M758">
        <v>81.705699999999993</v>
      </c>
      <c r="N758">
        <v>240.01</v>
      </c>
      <c r="O758">
        <v>273.06</v>
      </c>
      <c r="P758" s="13">
        <v>1.0761308869845501</v>
      </c>
    </row>
    <row r="759" spans="11:16" x14ac:dyDescent="0.3">
      <c r="K759" s="14" t="s">
        <v>41</v>
      </c>
      <c r="L759">
        <v>203.13</v>
      </c>
      <c r="M759">
        <v>53.168399999999998</v>
      </c>
      <c r="N759">
        <v>176</v>
      </c>
      <c r="O759">
        <v>280.52999999999997</v>
      </c>
      <c r="P759" s="13">
        <v>1.07674188143871</v>
      </c>
    </row>
    <row r="760" spans="11:16" x14ac:dyDescent="0.3">
      <c r="K760" s="14" t="s">
        <v>41</v>
      </c>
      <c r="L760">
        <v>203.13</v>
      </c>
      <c r="M760">
        <v>75.737899999999996</v>
      </c>
      <c r="N760">
        <v>100.1</v>
      </c>
      <c r="O760">
        <v>283.12</v>
      </c>
      <c r="P760" s="13">
        <v>1.0769069652444201</v>
      </c>
    </row>
    <row r="761" spans="11:16" x14ac:dyDescent="0.3">
      <c r="K761" s="14" t="s">
        <v>41</v>
      </c>
      <c r="L761">
        <v>202.69</v>
      </c>
      <c r="M761">
        <v>46.441000000000003</v>
      </c>
      <c r="N761">
        <v>220</v>
      </c>
      <c r="O761">
        <v>284.02999999999997</v>
      </c>
      <c r="P761" s="13">
        <v>1.0785163539062801</v>
      </c>
    </row>
    <row r="762" spans="11:16" x14ac:dyDescent="0.3">
      <c r="K762" s="14" t="s">
        <v>41</v>
      </c>
      <c r="L762">
        <v>210.94</v>
      </c>
      <c r="M762">
        <v>79.535600000000002</v>
      </c>
      <c r="N762">
        <v>100.1</v>
      </c>
      <c r="O762">
        <v>292.64</v>
      </c>
      <c r="P762" s="13">
        <v>1.0815390924002199</v>
      </c>
    </row>
    <row r="763" spans="11:16" x14ac:dyDescent="0.3">
      <c r="K763" s="14" t="s">
        <v>41</v>
      </c>
      <c r="L763">
        <v>210.5</v>
      </c>
      <c r="M763">
        <v>47.851599999999998</v>
      </c>
      <c r="N763">
        <v>130.1</v>
      </c>
      <c r="O763">
        <v>269.93</v>
      </c>
      <c r="P763" s="13">
        <v>1.0824198866372801</v>
      </c>
    </row>
    <row r="764" spans="11:16" x14ac:dyDescent="0.3">
      <c r="K764" s="14" t="s">
        <v>41</v>
      </c>
      <c r="L764">
        <v>210.5</v>
      </c>
      <c r="M764">
        <v>62.427700000000002</v>
      </c>
      <c r="N764">
        <v>60.1</v>
      </c>
      <c r="O764">
        <v>266.48</v>
      </c>
      <c r="P764" s="13">
        <v>1.0828343590513401</v>
      </c>
    </row>
    <row r="765" spans="11:16" x14ac:dyDescent="0.3">
      <c r="K765" s="14" t="s">
        <v>41</v>
      </c>
      <c r="L765">
        <v>195.31</v>
      </c>
      <c r="M765">
        <v>75.737899999999996</v>
      </c>
      <c r="N765">
        <v>70.099999999999994</v>
      </c>
      <c r="O765">
        <v>267.05</v>
      </c>
      <c r="P765" s="13">
        <v>1.0832199962553799</v>
      </c>
    </row>
    <row r="766" spans="11:16" x14ac:dyDescent="0.3">
      <c r="K766" s="14" t="s">
        <v>41</v>
      </c>
      <c r="L766">
        <v>203.13</v>
      </c>
      <c r="M766">
        <v>51.215299999999999</v>
      </c>
      <c r="N766">
        <v>150.1</v>
      </c>
      <c r="O766">
        <v>270.76</v>
      </c>
      <c r="P766" s="13">
        <v>1.08351048899394</v>
      </c>
    </row>
    <row r="767" spans="11:16" x14ac:dyDescent="0.3">
      <c r="K767" s="14" t="s">
        <v>41</v>
      </c>
      <c r="L767">
        <v>210.5</v>
      </c>
      <c r="M767">
        <v>71.252899999999997</v>
      </c>
      <c r="N767">
        <v>70.099999999999994</v>
      </c>
      <c r="O767">
        <v>276.54000000000002</v>
      </c>
      <c r="P767" s="13">
        <v>1.0847577204021099</v>
      </c>
    </row>
    <row r="768" spans="11:16" x14ac:dyDescent="0.3">
      <c r="K768" s="14" t="s">
        <v>41</v>
      </c>
      <c r="L768">
        <v>195.75</v>
      </c>
      <c r="M768">
        <v>78.667500000000004</v>
      </c>
      <c r="N768">
        <v>130.1</v>
      </c>
      <c r="O768">
        <v>283.74</v>
      </c>
      <c r="P768" s="13">
        <v>1.08635899062522</v>
      </c>
    </row>
    <row r="769" spans="11:16" x14ac:dyDescent="0.3">
      <c r="K769" s="14" t="s">
        <v>41</v>
      </c>
      <c r="L769">
        <v>203.13</v>
      </c>
      <c r="M769">
        <v>62.933999999999997</v>
      </c>
      <c r="N769">
        <v>66.099999999999994</v>
      </c>
      <c r="O769">
        <v>260.67</v>
      </c>
      <c r="P769" s="13">
        <v>1.0866229332105699</v>
      </c>
    </row>
    <row r="770" spans="11:16" x14ac:dyDescent="0.3">
      <c r="K770" s="14" t="s">
        <v>41</v>
      </c>
      <c r="L770">
        <v>150.16999999999999</v>
      </c>
      <c r="M770">
        <v>103.29859999999999</v>
      </c>
      <c r="N770">
        <v>200</v>
      </c>
      <c r="O770">
        <v>280.83999999999997</v>
      </c>
      <c r="P770" s="13">
        <v>1.08769619712292</v>
      </c>
    </row>
    <row r="771" spans="11:16" x14ac:dyDescent="0.3">
      <c r="K771" s="14" t="s">
        <v>41</v>
      </c>
      <c r="L771">
        <v>203.13</v>
      </c>
      <c r="M771">
        <v>84.526899999999998</v>
      </c>
      <c r="N771">
        <v>80.099999999999994</v>
      </c>
      <c r="O771">
        <v>283.43</v>
      </c>
      <c r="P771" s="13">
        <v>1.0883918427830499</v>
      </c>
    </row>
    <row r="772" spans="11:16" x14ac:dyDescent="0.3">
      <c r="K772" s="14" t="s">
        <v>41</v>
      </c>
      <c r="L772">
        <v>210.5</v>
      </c>
      <c r="M772">
        <v>83.116299999999995</v>
      </c>
      <c r="N772">
        <v>50.1</v>
      </c>
      <c r="O772">
        <v>281.43</v>
      </c>
      <c r="P772" s="13">
        <v>1.08958639803859</v>
      </c>
    </row>
    <row r="773" spans="11:16" x14ac:dyDescent="0.3">
      <c r="K773" s="14" t="s">
        <v>41</v>
      </c>
      <c r="L773">
        <v>203.13</v>
      </c>
      <c r="M773">
        <v>75.882499999999993</v>
      </c>
      <c r="N773">
        <v>100.1</v>
      </c>
      <c r="O773">
        <v>279.93</v>
      </c>
      <c r="P773" s="13">
        <v>1.0896956381952601</v>
      </c>
    </row>
    <row r="774" spans="11:16" x14ac:dyDescent="0.3">
      <c r="K774" s="14" t="s">
        <v>41</v>
      </c>
      <c r="L774">
        <v>202.69</v>
      </c>
      <c r="M774">
        <v>78.414400000000001</v>
      </c>
      <c r="N774">
        <v>100.1</v>
      </c>
      <c r="O774">
        <v>281.67</v>
      </c>
      <c r="P774" s="13">
        <v>1.0903908829481299</v>
      </c>
    </row>
    <row r="775" spans="11:16" x14ac:dyDescent="0.3">
      <c r="K775" s="14" t="s">
        <v>41</v>
      </c>
      <c r="L775">
        <v>210.5</v>
      </c>
      <c r="M775">
        <v>84.635400000000004</v>
      </c>
      <c r="N775">
        <v>50.1</v>
      </c>
      <c r="O775">
        <v>282.24</v>
      </c>
      <c r="P775" s="13">
        <v>1.0918416950113401</v>
      </c>
    </row>
    <row r="776" spans="11:16" x14ac:dyDescent="0.3">
      <c r="K776" s="14" t="s">
        <v>41</v>
      </c>
      <c r="L776">
        <v>203.13</v>
      </c>
      <c r="M776">
        <v>75.737899999999996</v>
      </c>
      <c r="N776">
        <v>180</v>
      </c>
      <c r="O776">
        <v>296.42</v>
      </c>
      <c r="P776" s="13">
        <v>1.09867046757979</v>
      </c>
    </row>
    <row r="777" spans="11:16" x14ac:dyDescent="0.3">
      <c r="K777" s="14" t="s">
        <v>41</v>
      </c>
      <c r="L777">
        <v>203.13</v>
      </c>
      <c r="M777">
        <v>76.533600000000007</v>
      </c>
      <c r="N777">
        <v>100.1</v>
      </c>
      <c r="O777">
        <v>278.22000000000003</v>
      </c>
      <c r="P777" s="13">
        <v>1.0987333764646701</v>
      </c>
    </row>
    <row r="778" spans="11:16" x14ac:dyDescent="0.3">
      <c r="K778" s="14" t="s">
        <v>41</v>
      </c>
      <c r="L778">
        <v>203.13</v>
      </c>
      <c r="M778">
        <v>45.247399999999999</v>
      </c>
      <c r="N778">
        <v>200</v>
      </c>
      <c r="O778">
        <v>273.07</v>
      </c>
      <c r="P778" s="13">
        <v>1.10000146482587</v>
      </c>
    </row>
    <row r="779" spans="11:16" x14ac:dyDescent="0.3">
      <c r="K779" s="14" t="s">
        <v>41</v>
      </c>
      <c r="L779">
        <v>150.61000000000001</v>
      </c>
      <c r="M779">
        <v>159.5052</v>
      </c>
      <c r="N779">
        <v>24.9</v>
      </c>
      <c r="O779">
        <v>287.74</v>
      </c>
      <c r="P779" s="13">
        <v>1.10026134704942</v>
      </c>
    </row>
    <row r="780" spans="11:16" x14ac:dyDescent="0.3">
      <c r="K780" s="14" t="s">
        <v>41</v>
      </c>
      <c r="L780">
        <v>203.13</v>
      </c>
      <c r="M780">
        <v>73.784700000000001</v>
      </c>
      <c r="N780">
        <v>170</v>
      </c>
      <c r="O780">
        <v>291.77999999999997</v>
      </c>
      <c r="P780" s="13">
        <v>1.1005370484611701</v>
      </c>
    </row>
    <row r="781" spans="11:16" x14ac:dyDescent="0.3">
      <c r="K781" s="14" t="s">
        <v>41</v>
      </c>
      <c r="L781">
        <v>203.13</v>
      </c>
      <c r="M781">
        <v>48.068600000000004</v>
      </c>
      <c r="N781">
        <v>180</v>
      </c>
      <c r="O781">
        <v>270.18</v>
      </c>
      <c r="P781" s="13">
        <v>1.1029632097120401</v>
      </c>
    </row>
    <row r="782" spans="11:16" x14ac:dyDescent="0.3">
      <c r="K782" s="14" t="s">
        <v>41</v>
      </c>
      <c r="L782">
        <v>203.13</v>
      </c>
      <c r="M782">
        <v>67.925399999999996</v>
      </c>
      <c r="N782">
        <v>110.1</v>
      </c>
      <c r="O782">
        <v>271.61</v>
      </c>
      <c r="P782" s="13">
        <v>1.10335186480616</v>
      </c>
    </row>
    <row r="783" spans="11:16" x14ac:dyDescent="0.3">
      <c r="K783" s="14" t="s">
        <v>41</v>
      </c>
      <c r="L783">
        <v>203.13</v>
      </c>
      <c r="M783">
        <v>84.346100000000007</v>
      </c>
      <c r="N783">
        <v>90.1</v>
      </c>
      <c r="O783">
        <v>281.69</v>
      </c>
      <c r="P783" s="13">
        <v>1.1037030068514999</v>
      </c>
    </row>
    <row r="784" spans="11:16" x14ac:dyDescent="0.3">
      <c r="K784" s="14" t="s">
        <v>41</v>
      </c>
      <c r="L784">
        <v>203.13</v>
      </c>
      <c r="M784">
        <v>85.611999999999995</v>
      </c>
      <c r="N784">
        <v>88.1</v>
      </c>
      <c r="O784">
        <v>281.99</v>
      </c>
      <c r="P784" s="13">
        <v>1.10517394233838</v>
      </c>
    </row>
    <row r="785" spans="11:16" x14ac:dyDescent="0.3">
      <c r="K785" s="14" t="s">
        <v>41</v>
      </c>
      <c r="L785">
        <v>203.13</v>
      </c>
      <c r="M785">
        <v>75.412300000000002</v>
      </c>
      <c r="N785">
        <v>100.1</v>
      </c>
      <c r="O785">
        <v>275.08999999999997</v>
      </c>
      <c r="P785" s="13">
        <v>1.10715874804609</v>
      </c>
    </row>
    <row r="786" spans="11:16" x14ac:dyDescent="0.3">
      <c r="K786" s="14" t="s">
        <v>41</v>
      </c>
      <c r="L786">
        <v>210.5</v>
      </c>
      <c r="M786">
        <v>66.224000000000004</v>
      </c>
      <c r="N786">
        <v>100.1</v>
      </c>
      <c r="O786">
        <v>273.35000000000002</v>
      </c>
      <c r="P786" s="13">
        <v>1.1075544174135701</v>
      </c>
    </row>
    <row r="787" spans="11:16" x14ac:dyDescent="0.3">
      <c r="K787" s="14" t="s">
        <v>41</v>
      </c>
      <c r="L787">
        <v>203.13</v>
      </c>
      <c r="M787">
        <v>48.285600000000002</v>
      </c>
      <c r="N787">
        <v>220</v>
      </c>
      <c r="O787">
        <v>278.52999999999997</v>
      </c>
      <c r="P787" s="13">
        <v>1.1080156536100201</v>
      </c>
    </row>
    <row r="788" spans="11:16" x14ac:dyDescent="0.3">
      <c r="K788" s="14" t="s">
        <v>41</v>
      </c>
      <c r="L788">
        <v>210.5</v>
      </c>
      <c r="M788">
        <v>71.397599999999997</v>
      </c>
      <c r="N788">
        <v>120.1</v>
      </c>
      <c r="O788">
        <v>282.29000000000002</v>
      </c>
      <c r="P788" s="13">
        <v>1.10922668178115</v>
      </c>
    </row>
    <row r="789" spans="11:16" x14ac:dyDescent="0.3">
      <c r="K789" s="14" t="s">
        <v>41</v>
      </c>
      <c r="L789">
        <v>210.5</v>
      </c>
      <c r="M789">
        <v>50.9983</v>
      </c>
      <c r="N789">
        <v>160</v>
      </c>
      <c r="O789">
        <v>272.79000000000002</v>
      </c>
      <c r="P789" s="13">
        <v>1.11110487921111</v>
      </c>
    </row>
    <row r="790" spans="11:16" x14ac:dyDescent="0.3">
      <c r="K790" s="14" t="s">
        <v>41</v>
      </c>
      <c r="L790">
        <v>203.13</v>
      </c>
      <c r="M790">
        <v>77.908000000000001</v>
      </c>
      <c r="N790">
        <v>160</v>
      </c>
      <c r="O790">
        <v>290</v>
      </c>
      <c r="P790" s="13">
        <v>1.11254482758621</v>
      </c>
    </row>
    <row r="791" spans="11:16" x14ac:dyDescent="0.3">
      <c r="K791" s="14" t="s">
        <v>41</v>
      </c>
      <c r="L791">
        <v>203.13</v>
      </c>
      <c r="M791">
        <v>68.721100000000007</v>
      </c>
      <c r="N791">
        <v>160</v>
      </c>
      <c r="O791">
        <v>281.39999999999998</v>
      </c>
      <c r="P791" s="13">
        <v>1.1138987206822999</v>
      </c>
    </row>
    <row r="792" spans="11:16" x14ac:dyDescent="0.3">
      <c r="K792" s="14" t="s">
        <v>41</v>
      </c>
      <c r="L792">
        <v>210.5</v>
      </c>
      <c r="M792">
        <v>78.558999999999997</v>
      </c>
      <c r="N792">
        <v>80.099999999999994</v>
      </c>
      <c r="O792">
        <v>276.77999999999997</v>
      </c>
      <c r="P792" s="13">
        <v>1.11960763060915</v>
      </c>
    </row>
    <row r="793" spans="11:16" x14ac:dyDescent="0.3">
      <c r="K793" s="14" t="s">
        <v>41</v>
      </c>
      <c r="L793">
        <v>202.69</v>
      </c>
      <c r="M793">
        <v>70.746499999999997</v>
      </c>
      <c r="N793">
        <v>150.1</v>
      </c>
      <c r="O793">
        <v>278.85000000000002</v>
      </c>
      <c r="P793" s="13">
        <v>1.12053971669356</v>
      </c>
    </row>
    <row r="794" spans="11:16" x14ac:dyDescent="0.3">
      <c r="K794" s="14" t="s">
        <v>41</v>
      </c>
      <c r="L794">
        <v>150.61000000000001</v>
      </c>
      <c r="M794">
        <v>51.323799999999999</v>
      </c>
      <c r="N794">
        <v>450.11</v>
      </c>
      <c r="O794">
        <v>284.57</v>
      </c>
      <c r="P794" s="13">
        <v>1.12085743402326</v>
      </c>
    </row>
    <row r="795" spans="11:16" x14ac:dyDescent="0.3">
      <c r="K795" s="14" t="s">
        <v>41</v>
      </c>
      <c r="L795">
        <v>203.13</v>
      </c>
      <c r="M795">
        <v>47.200499999999998</v>
      </c>
      <c r="N795">
        <v>200</v>
      </c>
      <c r="O795">
        <v>269.37</v>
      </c>
      <c r="P795" s="13">
        <v>1.12236143594313</v>
      </c>
    </row>
    <row r="796" spans="11:16" x14ac:dyDescent="0.3">
      <c r="K796" s="14" t="s">
        <v>41</v>
      </c>
      <c r="L796">
        <v>203.13</v>
      </c>
      <c r="M796">
        <v>80.078100000000006</v>
      </c>
      <c r="N796">
        <v>100.1</v>
      </c>
      <c r="O796">
        <v>274.77</v>
      </c>
      <c r="P796" s="13">
        <v>1.1254289041743999</v>
      </c>
    </row>
    <row r="797" spans="11:16" x14ac:dyDescent="0.3">
      <c r="K797" s="14" t="s">
        <v>41</v>
      </c>
      <c r="L797">
        <v>203.13</v>
      </c>
      <c r="M797">
        <v>91.796899999999994</v>
      </c>
      <c r="N797">
        <v>100.1</v>
      </c>
      <c r="O797">
        <v>285.17</v>
      </c>
      <c r="P797" s="13">
        <v>1.1254791878528601</v>
      </c>
    </row>
    <row r="798" spans="11:16" x14ac:dyDescent="0.3">
      <c r="K798" s="14" t="s">
        <v>41</v>
      </c>
      <c r="L798">
        <v>203.13</v>
      </c>
      <c r="M798">
        <v>92.230900000000005</v>
      </c>
      <c r="N798">
        <v>50.1</v>
      </c>
      <c r="O798">
        <v>273.91000000000003</v>
      </c>
      <c r="P798" s="13">
        <v>1.12586944616845</v>
      </c>
    </row>
    <row r="799" spans="11:16" x14ac:dyDescent="0.3">
      <c r="K799" s="14" t="s">
        <v>41</v>
      </c>
      <c r="L799">
        <v>203.13</v>
      </c>
      <c r="M799">
        <v>85.720500000000001</v>
      </c>
      <c r="N799">
        <v>110.1</v>
      </c>
      <c r="O799">
        <v>281.88</v>
      </c>
      <c r="P799" s="13">
        <v>1.12628246062154</v>
      </c>
    </row>
    <row r="800" spans="11:16" x14ac:dyDescent="0.3">
      <c r="K800" s="14" t="s">
        <v>41</v>
      </c>
      <c r="L800">
        <v>203.13</v>
      </c>
      <c r="M800">
        <v>51.323799999999999</v>
      </c>
      <c r="N800">
        <v>220</v>
      </c>
      <c r="O800">
        <v>276.23</v>
      </c>
      <c r="P800" s="13">
        <v>1.1282402345871201</v>
      </c>
    </row>
    <row r="801" spans="11:16" x14ac:dyDescent="0.3">
      <c r="K801" s="14" t="s">
        <v>41</v>
      </c>
      <c r="L801">
        <v>202.69</v>
      </c>
      <c r="M801">
        <v>74.508099999999999</v>
      </c>
      <c r="N801">
        <v>100.1</v>
      </c>
      <c r="O801">
        <v>268.13</v>
      </c>
      <c r="P801" s="13">
        <v>1.1308846455077799</v>
      </c>
    </row>
    <row r="802" spans="11:16" x14ac:dyDescent="0.3">
      <c r="K802" s="14" t="s">
        <v>41</v>
      </c>
      <c r="L802">
        <v>210.5</v>
      </c>
      <c r="M802">
        <v>82.754599999999996</v>
      </c>
      <c r="N802">
        <v>120.1</v>
      </c>
      <c r="O802">
        <v>285.7</v>
      </c>
      <c r="P802" s="13">
        <v>1.1357388869443501</v>
      </c>
    </row>
    <row r="803" spans="11:16" x14ac:dyDescent="0.3">
      <c r="K803" s="14" t="s">
        <v>41</v>
      </c>
      <c r="L803">
        <v>203.13</v>
      </c>
      <c r="M803">
        <v>51.323799999999999</v>
      </c>
      <c r="N803">
        <v>220</v>
      </c>
      <c r="O803">
        <v>274.19</v>
      </c>
      <c r="P803" s="13">
        <v>1.13663445056348</v>
      </c>
    </row>
    <row r="804" spans="11:16" x14ac:dyDescent="0.3">
      <c r="K804" s="14" t="s">
        <v>41</v>
      </c>
      <c r="L804">
        <v>203.13</v>
      </c>
      <c r="M804">
        <v>74.761300000000006</v>
      </c>
      <c r="N804">
        <v>110.1</v>
      </c>
      <c r="O804">
        <v>269.61</v>
      </c>
      <c r="P804" s="13">
        <v>1.1368914357776001</v>
      </c>
    </row>
    <row r="805" spans="11:16" x14ac:dyDescent="0.3">
      <c r="K805" s="14" t="s">
        <v>41</v>
      </c>
      <c r="L805">
        <v>202.69</v>
      </c>
      <c r="M805">
        <v>92.303200000000004</v>
      </c>
      <c r="N805">
        <v>100.1</v>
      </c>
      <c r="O805">
        <v>281.70999999999998</v>
      </c>
      <c r="P805" s="13">
        <v>1.13953782258351</v>
      </c>
    </row>
    <row r="806" spans="11:16" x14ac:dyDescent="0.3">
      <c r="K806" s="14" t="s">
        <v>41</v>
      </c>
      <c r="L806">
        <v>203.13</v>
      </c>
      <c r="M806">
        <v>96.788200000000003</v>
      </c>
      <c r="N806">
        <v>80.099999999999994</v>
      </c>
      <c r="O806">
        <v>281.13</v>
      </c>
      <c r="P806" s="13">
        <v>1.14091061074948</v>
      </c>
    </row>
    <row r="807" spans="11:16" x14ac:dyDescent="0.3">
      <c r="K807" s="14" t="s">
        <v>41</v>
      </c>
      <c r="L807">
        <v>210.5</v>
      </c>
      <c r="M807">
        <v>46.332500000000003</v>
      </c>
      <c r="N807">
        <v>260.01</v>
      </c>
      <c r="O807">
        <v>284.29000000000002</v>
      </c>
      <c r="P807" s="13">
        <v>1.1412117907770201</v>
      </c>
    </row>
    <row r="808" spans="11:16" x14ac:dyDescent="0.3">
      <c r="K808" s="14" t="s">
        <v>41</v>
      </c>
      <c r="L808">
        <v>203.13</v>
      </c>
      <c r="M808">
        <v>85.503500000000003</v>
      </c>
      <c r="N808">
        <v>100.1</v>
      </c>
      <c r="O808">
        <v>275.62</v>
      </c>
      <c r="P808" s="13">
        <v>1.14164247877513</v>
      </c>
    </row>
    <row r="809" spans="11:16" x14ac:dyDescent="0.3">
      <c r="K809" s="14" t="s">
        <v>41</v>
      </c>
      <c r="L809">
        <v>202.69</v>
      </c>
      <c r="M809">
        <v>78.7761</v>
      </c>
      <c r="N809">
        <v>150.1</v>
      </c>
      <c r="O809">
        <v>280.56</v>
      </c>
      <c r="P809" s="13">
        <v>1.14232998289136</v>
      </c>
    </row>
    <row r="810" spans="11:16" x14ac:dyDescent="0.3">
      <c r="K810" s="14" t="s">
        <v>41</v>
      </c>
      <c r="L810">
        <v>203.13</v>
      </c>
      <c r="M810">
        <v>90.277799999999999</v>
      </c>
      <c r="N810">
        <v>140.1</v>
      </c>
      <c r="O810">
        <v>287.45</v>
      </c>
      <c r="P810" s="13">
        <v>1.1474475560967099</v>
      </c>
    </row>
    <row r="811" spans="11:16" x14ac:dyDescent="0.3">
      <c r="K811" s="14" t="s">
        <v>41</v>
      </c>
      <c r="L811">
        <v>203.13</v>
      </c>
      <c r="M811">
        <v>47.200499999999998</v>
      </c>
      <c r="N811">
        <v>258.31</v>
      </c>
      <c r="O811">
        <v>276.49</v>
      </c>
      <c r="P811" s="13">
        <v>1.14829143911172</v>
      </c>
    </row>
    <row r="812" spans="11:16" x14ac:dyDescent="0.3">
      <c r="K812" s="14" t="s">
        <v>41</v>
      </c>
      <c r="L812">
        <v>203.13</v>
      </c>
      <c r="M812">
        <v>76.822900000000004</v>
      </c>
      <c r="N812">
        <v>150.1</v>
      </c>
      <c r="O812">
        <v>277.06</v>
      </c>
      <c r="P812" s="13">
        <v>1.15129899660723</v>
      </c>
    </row>
    <row r="813" spans="11:16" x14ac:dyDescent="0.3">
      <c r="K813" s="14" t="s">
        <v>41</v>
      </c>
      <c r="L813">
        <v>202.69</v>
      </c>
      <c r="M813">
        <v>90.133099999999999</v>
      </c>
      <c r="N813">
        <v>130.1</v>
      </c>
      <c r="O813">
        <v>283.44</v>
      </c>
      <c r="P813" s="13">
        <v>1.15244531470505</v>
      </c>
    </row>
    <row r="814" spans="11:16" x14ac:dyDescent="0.3">
      <c r="K814" s="14" t="s">
        <v>41</v>
      </c>
      <c r="L814">
        <v>203.13</v>
      </c>
      <c r="M814">
        <v>77.763300000000001</v>
      </c>
      <c r="N814">
        <v>150.1</v>
      </c>
      <c r="O814">
        <v>277.38</v>
      </c>
      <c r="P814" s="13">
        <v>1.1533610930853</v>
      </c>
    </row>
    <row r="815" spans="11:16" x14ac:dyDescent="0.3">
      <c r="K815" s="14" t="s">
        <v>41</v>
      </c>
      <c r="L815">
        <v>150.61000000000001</v>
      </c>
      <c r="M815">
        <v>82.682299999999998</v>
      </c>
      <c r="N815">
        <v>260.10000000000002</v>
      </c>
      <c r="O815">
        <v>260.66000000000003</v>
      </c>
      <c r="P815" s="13">
        <v>1.1544475562034799</v>
      </c>
    </row>
    <row r="816" spans="11:16" x14ac:dyDescent="0.3">
      <c r="K816" s="14" t="s">
        <v>41</v>
      </c>
      <c r="L816">
        <v>203.56</v>
      </c>
      <c r="M816">
        <v>89.048000000000002</v>
      </c>
      <c r="N816">
        <v>100.1</v>
      </c>
      <c r="O816">
        <v>275.37</v>
      </c>
      <c r="P816" s="13">
        <v>1.1571122489741099</v>
      </c>
    </row>
    <row r="817" spans="11:16" x14ac:dyDescent="0.3">
      <c r="K817" s="14" t="s">
        <v>41</v>
      </c>
      <c r="L817">
        <v>210.5</v>
      </c>
      <c r="M817">
        <v>55.555599999999998</v>
      </c>
      <c r="N817">
        <v>200</v>
      </c>
      <c r="O817">
        <v>274.83999999999997</v>
      </c>
      <c r="P817" s="13">
        <v>1.1572391209430899</v>
      </c>
    </row>
    <row r="818" spans="11:16" x14ac:dyDescent="0.3">
      <c r="K818" s="14" t="s">
        <v>41</v>
      </c>
      <c r="L818">
        <v>202.69</v>
      </c>
      <c r="M818">
        <v>78.558999999999997</v>
      </c>
      <c r="N818">
        <v>111.1</v>
      </c>
      <c r="O818">
        <v>267.92</v>
      </c>
      <c r="P818" s="13">
        <v>1.1575656912511201</v>
      </c>
    </row>
    <row r="819" spans="11:16" x14ac:dyDescent="0.3">
      <c r="K819" s="14" t="s">
        <v>41</v>
      </c>
      <c r="L819">
        <v>203.13</v>
      </c>
      <c r="M819">
        <v>90.205399999999997</v>
      </c>
      <c r="N819">
        <v>120.1</v>
      </c>
      <c r="O819">
        <v>279.98</v>
      </c>
      <c r="P819" s="13">
        <v>1.1592306593328101</v>
      </c>
    </row>
    <row r="820" spans="11:16" x14ac:dyDescent="0.3">
      <c r="K820" s="14" t="s">
        <v>41</v>
      </c>
      <c r="L820">
        <v>203.13</v>
      </c>
      <c r="M820">
        <v>89.048000000000002</v>
      </c>
      <c r="N820">
        <v>100.1</v>
      </c>
      <c r="O820">
        <v>274.45</v>
      </c>
      <c r="P820" s="13">
        <v>1.1594243031517599</v>
      </c>
    </row>
    <row r="821" spans="11:16" x14ac:dyDescent="0.3">
      <c r="K821" s="14" t="s">
        <v>41</v>
      </c>
      <c r="L821">
        <v>210.5</v>
      </c>
      <c r="M821">
        <v>56.351300000000002</v>
      </c>
      <c r="N821">
        <v>200</v>
      </c>
      <c r="O821">
        <v>274.82</v>
      </c>
      <c r="P821" s="13">
        <v>1.1602186885961701</v>
      </c>
    </row>
    <row r="822" spans="11:16" x14ac:dyDescent="0.3">
      <c r="K822" s="14" t="s">
        <v>41</v>
      </c>
      <c r="L822">
        <v>203.13</v>
      </c>
      <c r="M822">
        <v>59.606499999999997</v>
      </c>
      <c r="N822">
        <v>220</v>
      </c>
      <c r="O822">
        <v>275.64999999999998</v>
      </c>
      <c r="P822" s="13">
        <v>1.16066207146744</v>
      </c>
    </row>
    <row r="823" spans="11:16" x14ac:dyDescent="0.3">
      <c r="K823" s="14" t="s">
        <v>41</v>
      </c>
      <c r="L823">
        <v>203.13</v>
      </c>
      <c r="M823">
        <v>46.223999999999997</v>
      </c>
      <c r="N823">
        <v>240.01</v>
      </c>
      <c r="O823">
        <v>268.45</v>
      </c>
      <c r="P823" s="13">
        <v>1.1613209163717599</v>
      </c>
    </row>
    <row r="824" spans="11:16" x14ac:dyDescent="0.3">
      <c r="K824" s="14" t="s">
        <v>41</v>
      </c>
      <c r="L824">
        <v>202.69</v>
      </c>
      <c r="M824">
        <v>87.565100000000001</v>
      </c>
      <c r="N824">
        <v>200</v>
      </c>
      <c r="O824">
        <v>294.69</v>
      </c>
      <c r="P824" s="13">
        <v>1.1614072415080301</v>
      </c>
    </row>
    <row r="825" spans="11:16" x14ac:dyDescent="0.3">
      <c r="K825" s="14" t="s">
        <v>41</v>
      </c>
      <c r="L825">
        <v>203.13</v>
      </c>
      <c r="M825">
        <v>78.884600000000006</v>
      </c>
      <c r="N825">
        <v>160</v>
      </c>
      <c r="O825">
        <v>278.52</v>
      </c>
      <c r="P825" s="13">
        <v>1.1619079419790299</v>
      </c>
    </row>
    <row r="826" spans="11:16" x14ac:dyDescent="0.3">
      <c r="K826" s="14" t="s">
        <v>41</v>
      </c>
      <c r="L826">
        <v>203.13</v>
      </c>
      <c r="M826">
        <v>89.265000000000001</v>
      </c>
      <c r="N826">
        <v>100.1</v>
      </c>
      <c r="O826">
        <v>273.91000000000003</v>
      </c>
      <c r="P826" s="13">
        <v>1.1625022817713799</v>
      </c>
    </row>
    <row r="827" spans="11:16" x14ac:dyDescent="0.3">
      <c r="K827" s="14" t="s">
        <v>41</v>
      </c>
      <c r="L827">
        <v>203.13</v>
      </c>
      <c r="M827">
        <v>49.153700000000001</v>
      </c>
      <c r="N827">
        <v>310.01</v>
      </c>
      <c r="O827">
        <v>286.32</v>
      </c>
      <c r="P827" s="13">
        <v>1.1626372590109</v>
      </c>
    </row>
    <row r="828" spans="11:16" x14ac:dyDescent="0.3">
      <c r="K828" s="14" t="s">
        <v>41</v>
      </c>
      <c r="L828">
        <v>210.07</v>
      </c>
      <c r="M828">
        <v>78.7761</v>
      </c>
      <c r="N828">
        <v>180</v>
      </c>
      <c r="O828">
        <v>288.61</v>
      </c>
      <c r="P828" s="13">
        <v>1.1629746024046299</v>
      </c>
    </row>
    <row r="829" spans="11:16" x14ac:dyDescent="0.3">
      <c r="K829" s="14" t="s">
        <v>41</v>
      </c>
      <c r="L829">
        <v>203.13</v>
      </c>
      <c r="M829">
        <v>88.252300000000005</v>
      </c>
      <c r="N829">
        <v>150.1</v>
      </c>
      <c r="O829">
        <v>283.95</v>
      </c>
      <c r="P829" s="13">
        <v>1.1636143687268901</v>
      </c>
    </row>
    <row r="830" spans="11:16" x14ac:dyDescent="0.3">
      <c r="K830" s="14" t="s">
        <v>41</v>
      </c>
      <c r="L830">
        <v>195.31</v>
      </c>
      <c r="M830">
        <v>87.673599999999993</v>
      </c>
      <c r="N830">
        <v>150.1</v>
      </c>
      <c r="O830">
        <v>276.47000000000003</v>
      </c>
      <c r="P830" s="13">
        <v>1.1647180525916001</v>
      </c>
    </row>
    <row r="831" spans="11:16" x14ac:dyDescent="0.3">
      <c r="K831" s="14" t="s">
        <v>41</v>
      </c>
      <c r="L831">
        <v>203.13</v>
      </c>
      <c r="M831">
        <v>76.822900000000004</v>
      </c>
      <c r="N831">
        <v>170</v>
      </c>
      <c r="O831">
        <v>278.26</v>
      </c>
      <c r="P831" s="13">
        <v>1.16492812477539</v>
      </c>
    </row>
    <row r="832" spans="11:16" x14ac:dyDescent="0.3">
      <c r="K832" s="14" t="s">
        <v>41</v>
      </c>
      <c r="L832">
        <v>210.5</v>
      </c>
      <c r="M832">
        <v>91.579899999999995</v>
      </c>
      <c r="N832">
        <v>111.1</v>
      </c>
      <c r="O832">
        <v>282.57</v>
      </c>
      <c r="P832" s="13">
        <v>1.1712704816505599</v>
      </c>
    </row>
    <row r="833" spans="11:16" x14ac:dyDescent="0.3">
      <c r="K833" s="14" t="s">
        <v>41</v>
      </c>
      <c r="L833">
        <v>210.94</v>
      </c>
      <c r="M833">
        <v>46.332500000000003</v>
      </c>
      <c r="N833">
        <v>300.01</v>
      </c>
      <c r="O833">
        <v>285.17</v>
      </c>
      <c r="P833" s="13">
        <v>1.1757025633832401</v>
      </c>
    </row>
    <row r="834" spans="11:16" x14ac:dyDescent="0.3">
      <c r="K834" s="14" t="s">
        <v>41</v>
      </c>
      <c r="L834">
        <v>203.13</v>
      </c>
      <c r="M834">
        <v>106.5538</v>
      </c>
      <c r="N834">
        <v>88.1</v>
      </c>
      <c r="O834">
        <v>282.88</v>
      </c>
      <c r="P834" s="13">
        <v>1.1757275169683301</v>
      </c>
    </row>
    <row r="835" spans="11:16" x14ac:dyDescent="0.3">
      <c r="K835" s="14" t="s">
        <v>41</v>
      </c>
      <c r="L835">
        <v>203.13</v>
      </c>
      <c r="M835">
        <v>90.639499999999998</v>
      </c>
      <c r="N835">
        <v>120.1</v>
      </c>
      <c r="O835">
        <v>275.93</v>
      </c>
      <c r="P835" s="13">
        <v>1.17781864965752</v>
      </c>
    </row>
    <row r="836" spans="11:16" x14ac:dyDescent="0.3">
      <c r="K836" s="14" t="s">
        <v>41</v>
      </c>
      <c r="L836">
        <v>210.94</v>
      </c>
      <c r="M836">
        <v>74.0017</v>
      </c>
      <c r="N836">
        <v>150.1</v>
      </c>
      <c r="O836">
        <v>274.92</v>
      </c>
      <c r="P836" s="13">
        <v>1.1784071729957799</v>
      </c>
    </row>
    <row r="837" spans="11:16" x14ac:dyDescent="0.3">
      <c r="K837" s="14" t="s">
        <v>41</v>
      </c>
      <c r="L837">
        <v>203.13</v>
      </c>
      <c r="M837">
        <v>81.8142</v>
      </c>
      <c r="N837">
        <v>170</v>
      </c>
      <c r="O837">
        <v>279.13</v>
      </c>
      <c r="P837" s="13">
        <v>1.1791788772256699</v>
      </c>
    </row>
    <row r="838" spans="11:16" x14ac:dyDescent="0.3">
      <c r="K838" s="14" t="s">
        <v>41</v>
      </c>
      <c r="L838">
        <v>211.37</v>
      </c>
      <c r="M838">
        <v>82.790800000000004</v>
      </c>
      <c r="N838">
        <v>150.1</v>
      </c>
      <c r="O838">
        <v>282.20999999999998</v>
      </c>
      <c r="P838" s="13">
        <v>1.1806342794372999</v>
      </c>
    </row>
    <row r="839" spans="11:16" x14ac:dyDescent="0.3">
      <c r="K839" s="14" t="s">
        <v>41</v>
      </c>
      <c r="L839">
        <v>203.13</v>
      </c>
      <c r="M839">
        <v>88.541700000000006</v>
      </c>
      <c r="N839">
        <v>155</v>
      </c>
      <c r="O839">
        <v>281.12</v>
      </c>
      <c r="P839" s="13">
        <v>1.1808896556630599</v>
      </c>
    </row>
    <row r="840" spans="11:16" x14ac:dyDescent="0.3">
      <c r="K840" s="14" t="s">
        <v>41</v>
      </c>
      <c r="L840">
        <v>202.26</v>
      </c>
      <c r="M840">
        <v>86.697100000000006</v>
      </c>
      <c r="N840">
        <v>179.3</v>
      </c>
      <c r="O840">
        <v>284</v>
      </c>
      <c r="P840" s="13">
        <v>1.18160246478873</v>
      </c>
    </row>
    <row r="841" spans="11:16" x14ac:dyDescent="0.3">
      <c r="K841" s="14" t="s">
        <v>41</v>
      </c>
      <c r="L841">
        <v>203.13</v>
      </c>
      <c r="M841">
        <v>67.925399999999996</v>
      </c>
      <c r="N841">
        <v>235.1</v>
      </c>
      <c r="O841">
        <v>280.26</v>
      </c>
      <c r="P841" s="13">
        <v>1.18526154285306</v>
      </c>
    </row>
    <row r="842" spans="11:16" x14ac:dyDescent="0.3">
      <c r="K842" s="14" t="s">
        <v>41</v>
      </c>
      <c r="L842">
        <v>202.26</v>
      </c>
      <c r="M842">
        <v>72.916700000000006</v>
      </c>
      <c r="N842">
        <v>260.01</v>
      </c>
      <c r="O842">
        <v>288.89</v>
      </c>
      <c r="P842" s="13">
        <v>1.18653916715705</v>
      </c>
    </row>
    <row r="843" spans="11:16" x14ac:dyDescent="0.3">
      <c r="K843" s="14" t="s">
        <v>41</v>
      </c>
      <c r="L843">
        <v>203.13</v>
      </c>
      <c r="M843">
        <v>94.4011</v>
      </c>
      <c r="N843">
        <v>125.1</v>
      </c>
      <c r="O843">
        <v>277.95</v>
      </c>
      <c r="P843" s="13">
        <v>1.1874693290160101</v>
      </c>
    </row>
    <row r="844" spans="11:16" x14ac:dyDescent="0.3">
      <c r="K844" s="14" t="s">
        <v>41</v>
      </c>
      <c r="L844">
        <v>203.13</v>
      </c>
      <c r="M844">
        <v>49.2622</v>
      </c>
      <c r="N844">
        <v>260.01</v>
      </c>
      <c r="O844">
        <v>268.73</v>
      </c>
      <c r="P844" s="13">
        <v>1.1907669407955901</v>
      </c>
    </row>
    <row r="845" spans="11:16" x14ac:dyDescent="0.3">
      <c r="K845" s="14" t="s">
        <v>41</v>
      </c>
      <c r="L845">
        <v>203.13</v>
      </c>
      <c r="M845">
        <v>50.9983</v>
      </c>
      <c r="N845">
        <v>282.10000000000002</v>
      </c>
      <c r="O845">
        <v>274.51</v>
      </c>
      <c r="P845" s="13">
        <v>1.1929412407562601</v>
      </c>
    </row>
    <row r="846" spans="11:16" x14ac:dyDescent="0.3">
      <c r="K846" s="14" t="s">
        <v>41</v>
      </c>
      <c r="L846">
        <v>210.94</v>
      </c>
      <c r="M846">
        <v>87.456599999999995</v>
      </c>
      <c r="N846">
        <v>80.099999999999994</v>
      </c>
      <c r="O846">
        <v>267.32</v>
      </c>
      <c r="P846" s="13">
        <v>1.19415906030226</v>
      </c>
    </row>
    <row r="847" spans="11:16" x14ac:dyDescent="0.3">
      <c r="K847" s="14" t="s">
        <v>41</v>
      </c>
      <c r="L847">
        <v>210.5</v>
      </c>
      <c r="M847">
        <v>90.277799999999999</v>
      </c>
      <c r="N847">
        <v>130.1</v>
      </c>
      <c r="O847">
        <v>279.98</v>
      </c>
      <c r="P847" s="13">
        <v>1.19509893563826</v>
      </c>
    </row>
    <row r="848" spans="11:16" x14ac:dyDescent="0.3">
      <c r="K848" s="14" t="s">
        <v>41</v>
      </c>
      <c r="L848">
        <v>202.26</v>
      </c>
      <c r="M848">
        <v>84.635400000000004</v>
      </c>
      <c r="N848">
        <v>166</v>
      </c>
      <c r="O848">
        <v>275.92</v>
      </c>
      <c r="P848" s="13">
        <v>1.1961996230791501</v>
      </c>
    </row>
    <row r="849" spans="11:16" x14ac:dyDescent="0.3">
      <c r="K849" s="14" t="s">
        <v>41</v>
      </c>
      <c r="L849">
        <v>203.56</v>
      </c>
      <c r="M849">
        <v>92.230900000000005</v>
      </c>
      <c r="N849">
        <v>130.1</v>
      </c>
      <c r="O849">
        <v>275.39</v>
      </c>
      <c r="P849" s="13">
        <v>1.1969094738371</v>
      </c>
    </row>
    <row r="850" spans="11:16" x14ac:dyDescent="0.3">
      <c r="K850" s="14" t="s">
        <v>41</v>
      </c>
      <c r="L850">
        <v>202.69</v>
      </c>
      <c r="M850">
        <v>90.277799999999999</v>
      </c>
      <c r="N850">
        <v>190</v>
      </c>
      <c r="O850">
        <v>286.04000000000002</v>
      </c>
      <c r="P850" s="13">
        <v>1.1969228079988801</v>
      </c>
    </row>
    <row r="851" spans="11:16" x14ac:dyDescent="0.3">
      <c r="K851" s="14" t="s">
        <v>41</v>
      </c>
      <c r="L851">
        <v>210.5</v>
      </c>
      <c r="M851">
        <v>77.691000000000003</v>
      </c>
      <c r="N851">
        <v>180</v>
      </c>
      <c r="O851">
        <v>279.67</v>
      </c>
      <c r="P851" s="13">
        <v>1.19780813101155</v>
      </c>
    </row>
    <row r="852" spans="11:16" x14ac:dyDescent="0.3">
      <c r="K852" s="14" t="s">
        <v>41</v>
      </c>
      <c r="L852">
        <v>202.69</v>
      </c>
      <c r="M852">
        <v>87.456599999999995</v>
      </c>
      <c r="N852">
        <v>150.1</v>
      </c>
      <c r="O852">
        <v>274.79000000000002</v>
      </c>
      <c r="P852" s="13">
        <v>1.1979060373376</v>
      </c>
    </row>
    <row r="853" spans="11:16" x14ac:dyDescent="0.3">
      <c r="K853" s="14" t="s">
        <v>41</v>
      </c>
      <c r="L853">
        <v>203.13</v>
      </c>
      <c r="M853">
        <v>82.682299999999998</v>
      </c>
      <c r="N853">
        <v>166</v>
      </c>
      <c r="O853">
        <v>274.51</v>
      </c>
      <c r="P853" s="13">
        <v>1.1983982368584001</v>
      </c>
    </row>
    <row r="854" spans="11:16" x14ac:dyDescent="0.3">
      <c r="K854" s="14" t="s">
        <v>41</v>
      </c>
      <c r="L854">
        <v>203.13</v>
      </c>
      <c r="M854">
        <v>84.346100000000007</v>
      </c>
      <c r="N854">
        <v>150.1</v>
      </c>
      <c r="O854">
        <v>271.94</v>
      </c>
      <c r="P854" s="13">
        <v>1.20064021475325</v>
      </c>
    </row>
    <row r="855" spans="11:16" x14ac:dyDescent="0.3">
      <c r="K855" s="14" t="s">
        <v>41</v>
      </c>
      <c r="L855">
        <v>210.5</v>
      </c>
      <c r="M855">
        <v>91.652199999999993</v>
      </c>
      <c r="N855">
        <v>77.099999999999994</v>
      </c>
      <c r="O855">
        <v>268.17</v>
      </c>
      <c r="P855" s="13">
        <v>1.20146996308312</v>
      </c>
    </row>
    <row r="856" spans="11:16" x14ac:dyDescent="0.3">
      <c r="K856" s="14" t="s">
        <v>41</v>
      </c>
      <c r="L856">
        <v>203.13</v>
      </c>
      <c r="M856">
        <v>92.556399999999996</v>
      </c>
      <c r="N856">
        <v>200</v>
      </c>
      <c r="O856">
        <v>288.60000000000002</v>
      </c>
      <c r="P856" s="13">
        <v>1.20473458073458</v>
      </c>
    </row>
    <row r="857" spans="11:16" x14ac:dyDescent="0.3">
      <c r="K857" s="14" t="s">
        <v>41</v>
      </c>
      <c r="L857">
        <v>203.13</v>
      </c>
      <c r="M857">
        <v>91.471400000000003</v>
      </c>
      <c r="N857">
        <v>200</v>
      </c>
      <c r="O857">
        <v>287.17</v>
      </c>
      <c r="P857" s="13">
        <v>1.2069554619215099</v>
      </c>
    </row>
    <row r="858" spans="11:16" x14ac:dyDescent="0.3">
      <c r="K858" s="14" t="s">
        <v>41</v>
      </c>
      <c r="L858">
        <v>203.13</v>
      </c>
      <c r="M858">
        <v>47.091999999999999</v>
      </c>
      <c r="N858">
        <v>310.01</v>
      </c>
      <c r="O858">
        <v>273.36</v>
      </c>
      <c r="P858" s="13">
        <v>1.2102158326017001</v>
      </c>
    </row>
    <row r="859" spans="11:16" x14ac:dyDescent="0.3">
      <c r="K859" s="14" t="s">
        <v>41</v>
      </c>
      <c r="L859">
        <v>203.13</v>
      </c>
      <c r="M859">
        <v>90.603300000000004</v>
      </c>
      <c r="N859">
        <v>120.1</v>
      </c>
      <c r="O859">
        <v>268.47000000000003</v>
      </c>
      <c r="P859" s="13">
        <v>1.2104119640928199</v>
      </c>
    </row>
    <row r="860" spans="11:16" x14ac:dyDescent="0.3">
      <c r="K860" s="14" t="s">
        <v>41</v>
      </c>
      <c r="L860">
        <v>210.5</v>
      </c>
      <c r="M860">
        <v>74.580399999999997</v>
      </c>
      <c r="N860">
        <v>188</v>
      </c>
      <c r="O860">
        <v>275.89999999999998</v>
      </c>
      <c r="P860" s="13">
        <v>1.2104400144980101</v>
      </c>
    </row>
    <row r="861" spans="11:16" x14ac:dyDescent="0.3">
      <c r="K861" s="14" t="s">
        <v>41</v>
      </c>
      <c r="L861">
        <v>203.13</v>
      </c>
      <c r="M861">
        <v>84.635400000000004</v>
      </c>
      <c r="N861">
        <v>230</v>
      </c>
      <c r="O861">
        <v>287.13</v>
      </c>
      <c r="P861" s="13">
        <v>1.21048096680946</v>
      </c>
    </row>
    <row r="862" spans="11:16" x14ac:dyDescent="0.3">
      <c r="K862" s="14" t="s">
        <v>41</v>
      </c>
      <c r="L862">
        <v>210.5</v>
      </c>
      <c r="M862">
        <v>79.137699999999995</v>
      </c>
      <c r="N862">
        <v>140.1</v>
      </c>
      <c r="O862">
        <v>269.04000000000002</v>
      </c>
      <c r="P862" s="13">
        <v>1.2119524977698499</v>
      </c>
    </row>
    <row r="863" spans="11:16" x14ac:dyDescent="0.3">
      <c r="K863" s="14" t="s">
        <v>41</v>
      </c>
      <c r="L863">
        <v>203.13</v>
      </c>
      <c r="M863">
        <v>115.9939</v>
      </c>
      <c r="N863">
        <v>100.1</v>
      </c>
      <c r="O863">
        <v>284.58999999999997</v>
      </c>
      <c r="P863" s="13">
        <v>1.21279700621947</v>
      </c>
    </row>
    <row r="864" spans="11:16" x14ac:dyDescent="0.3">
      <c r="K864" s="14" t="s">
        <v>41</v>
      </c>
      <c r="L864">
        <v>210.5</v>
      </c>
      <c r="M864">
        <v>71.252899999999997</v>
      </c>
      <c r="N864">
        <v>200</v>
      </c>
      <c r="O864">
        <v>274.76</v>
      </c>
      <c r="P864" s="13">
        <v>1.2147070170330501</v>
      </c>
    </row>
    <row r="865" spans="11:16" x14ac:dyDescent="0.3">
      <c r="K865" s="14" t="s">
        <v>41</v>
      </c>
      <c r="L865">
        <v>210.94</v>
      </c>
      <c r="M865">
        <v>95.486099999999993</v>
      </c>
      <c r="N865">
        <v>150.1</v>
      </c>
      <c r="O865">
        <v>284.27999999999997</v>
      </c>
      <c r="P865" s="13">
        <v>1.2151825664837499</v>
      </c>
    </row>
    <row r="866" spans="11:16" x14ac:dyDescent="0.3">
      <c r="K866" s="14" t="s">
        <v>41</v>
      </c>
      <c r="L866">
        <v>203.13</v>
      </c>
      <c r="M866">
        <v>110.13460000000001</v>
      </c>
      <c r="N866">
        <v>190</v>
      </c>
      <c r="O866">
        <v>298.13</v>
      </c>
      <c r="P866" s="13">
        <v>1.21646462952403</v>
      </c>
    </row>
    <row r="867" spans="11:16" x14ac:dyDescent="0.3">
      <c r="K867" s="14" t="s">
        <v>41</v>
      </c>
      <c r="L867">
        <v>210.5</v>
      </c>
      <c r="M867">
        <v>83.043999999999997</v>
      </c>
      <c r="N867">
        <v>120.1</v>
      </c>
      <c r="O867">
        <v>266.75</v>
      </c>
      <c r="P867" s="13">
        <v>1.21750702905342</v>
      </c>
    </row>
    <row r="868" spans="11:16" x14ac:dyDescent="0.3">
      <c r="K868" s="14" t="s">
        <v>41</v>
      </c>
      <c r="L868">
        <v>195.75</v>
      </c>
      <c r="M868">
        <v>87.239599999999996</v>
      </c>
      <c r="N868">
        <v>250.01</v>
      </c>
      <c r="O868">
        <v>285.74</v>
      </c>
      <c r="P868" s="13">
        <v>1.21786309232169</v>
      </c>
    </row>
    <row r="869" spans="11:16" x14ac:dyDescent="0.3">
      <c r="K869" s="14" t="s">
        <v>41</v>
      </c>
      <c r="L869">
        <v>203.13</v>
      </c>
      <c r="M869">
        <v>120.298</v>
      </c>
      <c r="N869">
        <v>111.1</v>
      </c>
      <c r="O869">
        <v>289.14</v>
      </c>
      <c r="P869" s="13">
        <v>1.2184893131355099</v>
      </c>
    </row>
    <row r="870" spans="11:16" x14ac:dyDescent="0.3">
      <c r="K870" s="14" t="s">
        <v>41</v>
      </c>
      <c r="L870">
        <v>202.69</v>
      </c>
      <c r="M870">
        <v>90.928799999999995</v>
      </c>
      <c r="N870">
        <v>160</v>
      </c>
      <c r="O870">
        <v>275.06</v>
      </c>
      <c r="P870" s="13">
        <v>1.2187115538427999</v>
      </c>
    </row>
    <row r="871" spans="11:16" x14ac:dyDescent="0.3">
      <c r="K871" s="14" t="s">
        <v>41</v>
      </c>
      <c r="L871">
        <v>202.26</v>
      </c>
      <c r="M871">
        <v>72.916700000000006</v>
      </c>
      <c r="N871">
        <v>300.01</v>
      </c>
      <c r="O871">
        <v>289.2</v>
      </c>
      <c r="P871" s="13">
        <v>1.2212285615491001</v>
      </c>
    </row>
    <row r="872" spans="11:16" x14ac:dyDescent="0.3">
      <c r="K872" s="14" t="s">
        <v>41</v>
      </c>
      <c r="L872">
        <v>210.5</v>
      </c>
      <c r="M872">
        <v>78.7761</v>
      </c>
      <c r="N872">
        <v>170</v>
      </c>
      <c r="O872">
        <v>273.06</v>
      </c>
      <c r="P872" s="13">
        <v>1.22125576796308</v>
      </c>
    </row>
    <row r="873" spans="11:16" x14ac:dyDescent="0.3">
      <c r="K873" s="14" t="s">
        <v>41</v>
      </c>
      <c r="L873">
        <v>202.26</v>
      </c>
      <c r="M873">
        <v>97.439300000000003</v>
      </c>
      <c r="N873">
        <v>155</v>
      </c>
      <c r="O873">
        <v>277.89999999999998</v>
      </c>
      <c r="P873" s="13">
        <v>1.2234591579704901</v>
      </c>
    </row>
    <row r="874" spans="11:16" x14ac:dyDescent="0.3">
      <c r="K874" s="14" t="s">
        <v>41</v>
      </c>
      <c r="L874">
        <v>203.13</v>
      </c>
      <c r="M874">
        <v>93.6053</v>
      </c>
      <c r="N874">
        <v>130.1</v>
      </c>
      <c r="O874">
        <v>269.93</v>
      </c>
      <c r="P874" s="13">
        <v>1.22461860482347</v>
      </c>
    </row>
    <row r="875" spans="11:16" x14ac:dyDescent="0.3">
      <c r="K875" s="14" t="s">
        <v>41</v>
      </c>
      <c r="L875">
        <v>211.37</v>
      </c>
      <c r="M875">
        <v>80.186599999999999</v>
      </c>
      <c r="N875">
        <v>150.1</v>
      </c>
      <c r="O875">
        <v>269.89999999999998</v>
      </c>
      <c r="P875" s="13">
        <v>1.2248336420896599</v>
      </c>
    </row>
    <row r="876" spans="11:16" x14ac:dyDescent="0.3">
      <c r="K876" s="14" t="s">
        <v>41</v>
      </c>
      <c r="L876">
        <v>203.13</v>
      </c>
      <c r="M876">
        <v>120.98520000000001</v>
      </c>
      <c r="N876">
        <v>30.5</v>
      </c>
      <c r="O876">
        <v>270.74</v>
      </c>
      <c r="P876" s="13">
        <v>1.2264356947624999</v>
      </c>
    </row>
    <row r="877" spans="11:16" x14ac:dyDescent="0.3">
      <c r="K877" s="14" t="s">
        <v>41</v>
      </c>
      <c r="L877">
        <v>203.13</v>
      </c>
      <c r="M877">
        <v>112.1962</v>
      </c>
      <c r="N877">
        <v>100.1</v>
      </c>
      <c r="O877">
        <v>278.27</v>
      </c>
      <c r="P877" s="13">
        <v>1.2266942178459801</v>
      </c>
    </row>
    <row r="878" spans="11:16" x14ac:dyDescent="0.3">
      <c r="K878" s="14" t="s">
        <v>41</v>
      </c>
      <c r="L878">
        <v>194.88</v>
      </c>
      <c r="M878">
        <v>83.658900000000003</v>
      </c>
      <c r="N878">
        <v>260.01</v>
      </c>
      <c r="O878">
        <v>281.70999999999998</v>
      </c>
      <c r="P878" s="13">
        <v>1.22871570054311</v>
      </c>
    </row>
    <row r="879" spans="11:16" x14ac:dyDescent="0.3">
      <c r="K879" s="14" t="s">
        <v>41</v>
      </c>
      <c r="L879">
        <v>203.13</v>
      </c>
      <c r="M879">
        <v>89.626800000000003</v>
      </c>
      <c r="N879">
        <v>165</v>
      </c>
      <c r="O879">
        <v>273.08999999999997</v>
      </c>
      <c r="P879" s="13">
        <v>1.22910688783917</v>
      </c>
    </row>
    <row r="880" spans="11:16" x14ac:dyDescent="0.3">
      <c r="K880" s="14" t="s">
        <v>41</v>
      </c>
      <c r="L880">
        <v>210.94</v>
      </c>
      <c r="M880">
        <v>92.954300000000003</v>
      </c>
      <c r="N880">
        <v>155</v>
      </c>
      <c r="O880">
        <v>279.93</v>
      </c>
      <c r="P880" s="13">
        <v>1.2295727503304399</v>
      </c>
    </row>
    <row r="881" spans="11:16" x14ac:dyDescent="0.3">
      <c r="K881" s="14" t="s">
        <v>41</v>
      </c>
      <c r="L881">
        <v>202.69</v>
      </c>
      <c r="M881">
        <v>113.1366</v>
      </c>
      <c r="N881">
        <v>100.1</v>
      </c>
      <c r="O881">
        <v>278</v>
      </c>
      <c r="P881" s="13">
        <v>1.2296856115107899</v>
      </c>
    </row>
    <row r="882" spans="11:16" x14ac:dyDescent="0.3">
      <c r="K882" s="14" t="s">
        <v>41</v>
      </c>
      <c r="L882">
        <v>203.13</v>
      </c>
      <c r="M882">
        <v>92.881900000000002</v>
      </c>
      <c r="N882">
        <v>100.1</v>
      </c>
      <c r="O882">
        <v>261.83</v>
      </c>
      <c r="P882" s="13">
        <v>1.2299503494633901</v>
      </c>
    </row>
    <row r="883" spans="11:16" x14ac:dyDescent="0.3">
      <c r="K883" s="14" t="s">
        <v>41</v>
      </c>
      <c r="L883">
        <v>203.13</v>
      </c>
      <c r="M883">
        <v>67.346599999999995</v>
      </c>
      <c r="N883">
        <v>260</v>
      </c>
      <c r="O883">
        <v>274.52</v>
      </c>
      <c r="P883" s="13">
        <v>1.23151901500801</v>
      </c>
    </row>
    <row r="884" spans="11:16" x14ac:dyDescent="0.3">
      <c r="K884" s="14" t="s">
        <v>41</v>
      </c>
      <c r="L884">
        <v>203.13</v>
      </c>
      <c r="M884">
        <v>94.111699999999999</v>
      </c>
      <c r="N884">
        <v>200</v>
      </c>
      <c r="O884">
        <v>283.41000000000003</v>
      </c>
      <c r="P884" s="13">
        <v>1.23228432306552</v>
      </c>
    </row>
    <row r="885" spans="11:16" x14ac:dyDescent="0.3">
      <c r="K885" s="14" t="s">
        <v>41</v>
      </c>
      <c r="L885">
        <v>202.69</v>
      </c>
      <c r="M885">
        <v>84.635400000000004</v>
      </c>
      <c r="N885">
        <v>240.01</v>
      </c>
      <c r="O885">
        <v>283.74</v>
      </c>
      <c r="P885" s="13">
        <v>1.2325650243180399</v>
      </c>
    </row>
    <row r="886" spans="11:16" x14ac:dyDescent="0.3">
      <c r="K886" s="14" t="s">
        <v>41</v>
      </c>
      <c r="L886">
        <v>202.69</v>
      </c>
      <c r="M886">
        <v>122.3235</v>
      </c>
      <c r="N886">
        <v>99.1</v>
      </c>
      <c r="O886">
        <v>284.55</v>
      </c>
      <c r="P886" s="13">
        <v>1.2327517132314201</v>
      </c>
    </row>
    <row r="887" spans="11:16" x14ac:dyDescent="0.3">
      <c r="K887" s="14" t="s">
        <v>41</v>
      </c>
      <c r="L887">
        <v>203.13</v>
      </c>
      <c r="M887">
        <v>71.723100000000002</v>
      </c>
      <c r="N887">
        <v>250.01</v>
      </c>
      <c r="O887">
        <v>275.64999999999998</v>
      </c>
      <c r="P887" s="13">
        <v>1.2329247233811</v>
      </c>
    </row>
    <row r="888" spans="11:16" x14ac:dyDescent="0.3">
      <c r="K888" s="14" t="s">
        <v>41</v>
      </c>
      <c r="L888">
        <v>210.94</v>
      </c>
      <c r="M888">
        <v>87.022599999999997</v>
      </c>
      <c r="N888">
        <v>180</v>
      </c>
      <c r="O888">
        <v>279.41000000000003</v>
      </c>
      <c r="P888" s="13">
        <v>1.2338949930210099</v>
      </c>
    </row>
    <row r="889" spans="11:16" x14ac:dyDescent="0.3">
      <c r="K889" s="14" t="s">
        <v>41</v>
      </c>
      <c r="L889">
        <v>203.13</v>
      </c>
      <c r="M889">
        <v>60.185200000000002</v>
      </c>
      <c r="N889">
        <v>240.1</v>
      </c>
      <c r="O889">
        <v>263.82</v>
      </c>
      <c r="P889" s="13">
        <v>1.2347100295656099</v>
      </c>
    </row>
    <row r="890" spans="11:16" x14ac:dyDescent="0.3">
      <c r="K890" s="14" t="s">
        <v>41</v>
      </c>
      <c r="L890">
        <v>211.37</v>
      </c>
      <c r="M890">
        <v>84.418400000000005</v>
      </c>
      <c r="N890">
        <v>190</v>
      </c>
      <c r="O890">
        <v>279.56</v>
      </c>
      <c r="P890" s="13">
        <v>1.2347560452139099</v>
      </c>
    </row>
    <row r="891" spans="11:16" x14ac:dyDescent="0.3">
      <c r="K891" s="14" t="s">
        <v>41</v>
      </c>
      <c r="L891">
        <v>203.13</v>
      </c>
      <c r="M891">
        <v>94.4011</v>
      </c>
      <c r="N891">
        <v>180</v>
      </c>
      <c r="O891">
        <v>278.83999999999997</v>
      </c>
      <c r="P891" s="13">
        <v>1.2348698178166699</v>
      </c>
    </row>
    <row r="892" spans="11:16" x14ac:dyDescent="0.3">
      <c r="K892" s="14" t="s">
        <v>41</v>
      </c>
      <c r="L892">
        <v>210.5</v>
      </c>
      <c r="M892">
        <v>89.6267</v>
      </c>
      <c r="N892">
        <v>122.1</v>
      </c>
      <c r="O892">
        <v>268.74</v>
      </c>
      <c r="P892" s="13">
        <v>1.2349211133437501</v>
      </c>
    </row>
    <row r="893" spans="11:16" x14ac:dyDescent="0.3">
      <c r="K893" s="14" t="s">
        <v>41</v>
      </c>
      <c r="L893">
        <v>210.94</v>
      </c>
      <c r="M893">
        <v>92.122399999999999</v>
      </c>
      <c r="N893">
        <v>170</v>
      </c>
      <c r="O893">
        <v>281.13</v>
      </c>
      <c r="P893" s="13">
        <v>1.2352377903461</v>
      </c>
    </row>
    <row r="894" spans="11:16" x14ac:dyDescent="0.3">
      <c r="K894" s="14" t="s">
        <v>41</v>
      </c>
      <c r="L894">
        <v>203.13</v>
      </c>
      <c r="M894">
        <v>76.388900000000007</v>
      </c>
      <c r="N894">
        <v>210</v>
      </c>
      <c r="O894">
        <v>269.93</v>
      </c>
      <c r="P894" s="13">
        <v>1.2377983180824701</v>
      </c>
    </row>
    <row r="895" spans="11:16" x14ac:dyDescent="0.3">
      <c r="K895" s="14" t="s">
        <v>41</v>
      </c>
      <c r="L895">
        <v>210.5</v>
      </c>
      <c r="M895">
        <v>89.554400000000001</v>
      </c>
      <c r="N895">
        <v>160</v>
      </c>
      <c r="O895">
        <v>275.92</v>
      </c>
      <c r="P895" s="13">
        <v>1.2382371701942601</v>
      </c>
    </row>
    <row r="896" spans="11:16" x14ac:dyDescent="0.3">
      <c r="K896" s="14" t="s">
        <v>41</v>
      </c>
      <c r="L896">
        <v>210.07</v>
      </c>
      <c r="M896">
        <v>115.23439999999999</v>
      </c>
      <c r="N896">
        <v>70.099999999999994</v>
      </c>
      <c r="O896">
        <v>277.41000000000003</v>
      </c>
      <c r="P896" s="13">
        <v>1.23834901409466</v>
      </c>
    </row>
    <row r="897" spans="11:16" x14ac:dyDescent="0.3">
      <c r="K897" s="14" t="s">
        <v>41</v>
      </c>
      <c r="L897">
        <v>203.13</v>
      </c>
      <c r="M897">
        <v>75.303799999999995</v>
      </c>
      <c r="N897">
        <v>200</v>
      </c>
      <c r="O897">
        <v>266.7</v>
      </c>
      <c r="P897" s="13">
        <v>1.23897187851519</v>
      </c>
    </row>
    <row r="898" spans="11:16" x14ac:dyDescent="0.3">
      <c r="K898" s="14" t="s">
        <v>41</v>
      </c>
      <c r="L898">
        <v>203.13</v>
      </c>
      <c r="M898">
        <v>87.565100000000001</v>
      </c>
      <c r="N898">
        <v>230</v>
      </c>
      <c r="O898">
        <v>282.88</v>
      </c>
      <c r="P898" s="13">
        <v>1.23902396776018</v>
      </c>
    </row>
    <row r="899" spans="11:16" x14ac:dyDescent="0.3">
      <c r="K899" s="14" t="s">
        <v>41</v>
      </c>
      <c r="L899">
        <v>210.94</v>
      </c>
      <c r="M899">
        <v>88.541700000000006</v>
      </c>
      <c r="N899">
        <v>155</v>
      </c>
      <c r="O899">
        <v>273.52</v>
      </c>
      <c r="P899" s="13">
        <v>1.2422554109388699</v>
      </c>
    </row>
    <row r="900" spans="11:16" x14ac:dyDescent="0.3">
      <c r="K900" s="14" t="s">
        <v>41</v>
      </c>
      <c r="L900">
        <v>210.5</v>
      </c>
      <c r="M900">
        <v>87.565100000000001</v>
      </c>
      <c r="N900">
        <v>165</v>
      </c>
      <c r="O900">
        <v>273.94</v>
      </c>
      <c r="P900" s="13">
        <v>1.24467073081697</v>
      </c>
    </row>
    <row r="901" spans="11:16" x14ac:dyDescent="0.3">
      <c r="K901" s="14" t="s">
        <v>41</v>
      </c>
      <c r="L901">
        <v>203.13</v>
      </c>
      <c r="M901">
        <v>96.462699999999998</v>
      </c>
      <c r="N901">
        <v>200</v>
      </c>
      <c r="O901">
        <v>282.29000000000002</v>
      </c>
      <c r="P901" s="13">
        <v>1.24550178894045</v>
      </c>
    </row>
    <row r="902" spans="11:16" x14ac:dyDescent="0.3">
      <c r="K902" s="14" t="s">
        <v>41</v>
      </c>
      <c r="L902">
        <v>203.13</v>
      </c>
      <c r="M902">
        <v>89.554400000000001</v>
      </c>
      <c r="N902">
        <v>233.01</v>
      </c>
      <c r="O902">
        <v>283.45999999999998</v>
      </c>
      <c r="P902" s="13">
        <v>1.2462675509772101</v>
      </c>
    </row>
    <row r="903" spans="11:16" x14ac:dyDescent="0.3">
      <c r="K903" s="14" t="s">
        <v>41</v>
      </c>
      <c r="L903">
        <v>202.26</v>
      </c>
      <c r="M903">
        <v>117.8386</v>
      </c>
      <c r="N903">
        <v>100.1</v>
      </c>
      <c r="O903">
        <v>277.66000000000003</v>
      </c>
      <c r="P903" s="13">
        <v>1.24657710869409</v>
      </c>
    </row>
    <row r="904" spans="11:16" x14ac:dyDescent="0.3">
      <c r="K904" s="14" t="s">
        <v>41</v>
      </c>
      <c r="L904">
        <v>203.13</v>
      </c>
      <c r="M904">
        <v>76.822900000000004</v>
      </c>
      <c r="N904">
        <v>230</v>
      </c>
      <c r="O904">
        <v>272.47000000000003</v>
      </c>
      <c r="P904" s="13">
        <v>1.2469369104855601</v>
      </c>
    </row>
    <row r="905" spans="11:16" x14ac:dyDescent="0.3">
      <c r="K905" s="14" t="s">
        <v>41</v>
      </c>
      <c r="L905">
        <v>203.13</v>
      </c>
      <c r="M905">
        <v>91.579899999999995</v>
      </c>
      <c r="N905">
        <v>276.01</v>
      </c>
      <c r="O905">
        <v>293.79000000000002</v>
      </c>
      <c r="P905" s="13">
        <v>1.2473960992545701</v>
      </c>
    </row>
    <row r="906" spans="11:16" x14ac:dyDescent="0.3">
      <c r="K906" s="14" t="s">
        <v>41</v>
      </c>
      <c r="L906">
        <v>203.13</v>
      </c>
      <c r="M906">
        <v>90.603300000000004</v>
      </c>
      <c r="N906">
        <v>200</v>
      </c>
      <c r="O906">
        <v>276.8</v>
      </c>
      <c r="P906" s="13">
        <v>1.2490364884393099</v>
      </c>
    </row>
    <row r="907" spans="11:16" x14ac:dyDescent="0.3">
      <c r="K907" s="14" t="s">
        <v>41</v>
      </c>
      <c r="L907">
        <v>203.13</v>
      </c>
      <c r="M907">
        <v>102.2136</v>
      </c>
      <c r="N907">
        <v>160</v>
      </c>
      <c r="O907">
        <v>277.39</v>
      </c>
      <c r="P907" s="13">
        <v>1.25074299722412</v>
      </c>
    </row>
    <row r="908" spans="11:16" x14ac:dyDescent="0.3">
      <c r="K908" s="14" t="s">
        <v>41</v>
      </c>
      <c r="L908">
        <v>202.26</v>
      </c>
      <c r="M908">
        <v>83.658900000000003</v>
      </c>
      <c r="N908">
        <v>300.01</v>
      </c>
      <c r="O908">
        <v>290.89999999999998</v>
      </c>
      <c r="P908" s="13">
        <v>1.25101925060158</v>
      </c>
    </row>
    <row r="909" spans="11:16" x14ac:dyDescent="0.3">
      <c r="K909" s="14" t="s">
        <v>41</v>
      </c>
      <c r="L909">
        <v>210.94</v>
      </c>
      <c r="M909">
        <v>83.658900000000003</v>
      </c>
      <c r="N909">
        <v>230</v>
      </c>
      <c r="O909">
        <v>283.16000000000003</v>
      </c>
      <c r="P909" s="13">
        <v>1.2515853227856999</v>
      </c>
    </row>
    <row r="910" spans="11:16" x14ac:dyDescent="0.3">
      <c r="K910" s="14" t="s">
        <v>41</v>
      </c>
      <c r="L910">
        <v>203.13</v>
      </c>
      <c r="M910">
        <v>86.299199999999999</v>
      </c>
      <c r="N910">
        <v>200</v>
      </c>
      <c r="O910">
        <v>272.73</v>
      </c>
      <c r="P910" s="13">
        <v>1.25189454772119</v>
      </c>
    </row>
    <row r="911" spans="11:16" x14ac:dyDescent="0.3">
      <c r="K911" s="14" t="s">
        <v>41</v>
      </c>
      <c r="L911">
        <v>203.13</v>
      </c>
      <c r="M911">
        <v>92.881900000000002</v>
      </c>
      <c r="N911">
        <v>150.1</v>
      </c>
      <c r="O911">
        <v>266.75</v>
      </c>
      <c r="P911" s="13">
        <v>1.2559996251171499</v>
      </c>
    </row>
    <row r="912" spans="11:16" x14ac:dyDescent="0.3">
      <c r="K912" s="14" t="s">
        <v>41</v>
      </c>
      <c r="L912">
        <v>210.5</v>
      </c>
      <c r="M912">
        <v>85.069500000000005</v>
      </c>
      <c r="N912">
        <v>200</v>
      </c>
      <c r="O912">
        <v>276.22000000000003</v>
      </c>
      <c r="P912" s="13">
        <v>1.25830678444718</v>
      </c>
    </row>
    <row r="913" spans="11:16" x14ac:dyDescent="0.3">
      <c r="K913" s="14" t="s">
        <v>41</v>
      </c>
      <c r="L913">
        <v>203.13</v>
      </c>
      <c r="M913">
        <v>125.9766</v>
      </c>
      <c r="N913">
        <v>122.1</v>
      </c>
      <c r="O913">
        <v>286.58</v>
      </c>
      <c r="P913" s="13">
        <v>1.2591688184800101</v>
      </c>
    </row>
    <row r="914" spans="11:16" x14ac:dyDescent="0.3">
      <c r="K914" s="14" t="s">
        <v>41</v>
      </c>
      <c r="L914">
        <v>203.13</v>
      </c>
      <c r="M914">
        <v>87.673599999999993</v>
      </c>
      <c r="N914">
        <v>199</v>
      </c>
      <c r="O914">
        <v>271.89999999999998</v>
      </c>
      <c r="P914" s="13">
        <v>1.2598146377344599</v>
      </c>
    </row>
    <row r="915" spans="11:16" x14ac:dyDescent="0.3">
      <c r="K915" s="14" t="s">
        <v>41</v>
      </c>
      <c r="L915">
        <v>210.5</v>
      </c>
      <c r="M915">
        <v>89.518199999999993</v>
      </c>
      <c r="N915">
        <v>220.2</v>
      </c>
      <c r="O915">
        <v>283.45999999999998</v>
      </c>
      <c r="P915" s="13">
        <v>1.2603901785084299</v>
      </c>
    </row>
    <row r="916" spans="11:16" x14ac:dyDescent="0.3">
      <c r="K916" s="14" t="s">
        <v>41</v>
      </c>
      <c r="L916">
        <v>203.13</v>
      </c>
      <c r="M916">
        <v>91.362899999999996</v>
      </c>
      <c r="N916">
        <v>188</v>
      </c>
      <c r="O916">
        <v>271.91000000000003</v>
      </c>
      <c r="P916" s="13">
        <v>1.26281821190835</v>
      </c>
    </row>
    <row r="917" spans="11:16" x14ac:dyDescent="0.3">
      <c r="K917" s="14" t="s">
        <v>41</v>
      </c>
      <c r="L917">
        <v>203.13</v>
      </c>
      <c r="M917">
        <v>120.6597</v>
      </c>
      <c r="N917">
        <v>55.1</v>
      </c>
      <c r="O917">
        <v>267.29000000000002</v>
      </c>
      <c r="P917" s="13">
        <v>1.2649769912828801</v>
      </c>
    </row>
    <row r="918" spans="11:16" x14ac:dyDescent="0.3">
      <c r="K918" s="14" t="s">
        <v>41</v>
      </c>
      <c r="L918">
        <v>210.5</v>
      </c>
      <c r="M918">
        <v>85.503500000000003</v>
      </c>
      <c r="N918">
        <v>230</v>
      </c>
      <c r="O918">
        <v>281.11</v>
      </c>
      <c r="P918" s="13">
        <v>1.2657091530005999</v>
      </c>
    </row>
    <row r="919" spans="11:16" x14ac:dyDescent="0.3">
      <c r="K919" s="14" t="s">
        <v>41</v>
      </c>
      <c r="L919">
        <v>210.5</v>
      </c>
      <c r="M919">
        <v>80.729200000000006</v>
      </c>
      <c r="N919">
        <v>220.1</v>
      </c>
      <c r="O919">
        <v>274.41000000000003</v>
      </c>
      <c r="P919" s="13">
        <v>1.2698341897161201</v>
      </c>
    </row>
    <row r="920" spans="11:16" x14ac:dyDescent="0.3">
      <c r="K920" s="14" t="s">
        <v>41</v>
      </c>
      <c r="L920">
        <v>203.13</v>
      </c>
      <c r="M920">
        <v>95.486099999999993</v>
      </c>
      <c r="N920">
        <v>220</v>
      </c>
      <c r="O920">
        <v>279.97000000000003</v>
      </c>
      <c r="P920" s="13">
        <v>1.2709079544236901</v>
      </c>
    </row>
    <row r="921" spans="11:16" x14ac:dyDescent="0.3">
      <c r="K921" s="14" t="s">
        <v>41</v>
      </c>
      <c r="L921">
        <v>203.13</v>
      </c>
      <c r="M921">
        <v>94.509600000000006</v>
      </c>
      <c r="N921">
        <v>220</v>
      </c>
      <c r="O921">
        <v>278.58999999999997</v>
      </c>
      <c r="P921" s="13">
        <v>1.2736982662694301</v>
      </c>
    </row>
    <row r="922" spans="11:16" x14ac:dyDescent="0.3">
      <c r="K922" s="14" t="s">
        <v>41</v>
      </c>
      <c r="L922">
        <v>210.5</v>
      </c>
      <c r="M922">
        <v>90.133099999999999</v>
      </c>
      <c r="N922">
        <v>190</v>
      </c>
      <c r="O922">
        <v>274.7</v>
      </c>
      <c r="P922" s="13">
        <v>1.2742377138696801</v>
      </c>
    </row>
    <row r="923" spans="11:16" x14ac:dyDescent="0.3">
      <c r="K923" s="14" t="s">
        <v>41</v>
      </c>
      <c r="L923">
        <v>203.13</v>
      </c>
      <c r="M923">
        <v>80.439800000000005</v>
      </c>
      <c r="N923">
        <v>230.2</v>
      </c>
      <c r="O923">
        <v>269.29000000000002</v>
      </c>
      <c r="P923" s="13">
        <v>1.27528612276728</v>
      </c>
    </row>
    <row r="924" spans="11:16" x14ac:dyDescent="0.3">
      <c r="K924" s="14" t="s">
        <v>41</v>
      </c>
      <c r="L924">
        <v>203.13</v>
      </c>
      <c r="M924">
        <v>111.83450000000001</v>
      </c>
      <c r="N924">
        <v>120.1</v>
      </c>
      <c r="O924">
        <v>271.3</v>
      </c>
      <c r="P924" s="13">
        <v>1.27604312569112</v>
      </c>
    </row>
    <row r="925" spans="11:16" x14ac:dyDescent="0.3">
      <c r="K925" s="14" t="s">
        <v>41</v>
      </c>
      <c r="L925">
        <v>203.13</v>
      </c>
      <c r="M925">
        <v>117.07899999999999</v>
      </c>
      <c r="N925">
        <v>66.099999999999994</v>
      </c>
      <c r="O925">
        <v>264.14</v>
      </c>
      <c r="P925" s="13">
        <v>1.2773339895510001</v>
      </c>
    </row>
    <row r="926" spans="11:16" x14ac:dyDescent="0.3">
      <c r="K926" s="14" t="s">
        <v>41</v>
      </c>
      <c r="L926">
        <v>203.13</v>
      </c>
      <c r="M926">
        <v>95.486099999999993</v>
      </c>
      <c r="N926">
        <v>230</v>
      </c>
      <c r="O926">
        <v>280.26</v>
      </c>
      <c r="P926" s="13">
        <v>1.27886997787768</v>
      </c>
    </row>
    <row r="927" spans="11:16" x14ac:dyDescent="0.3">
      <c r="K927" s="14" t="s">
        <v>41</v>
      </c>
      <c r="L927">
        <v>203.13</v>
      </c>
      <c r="M927">
        <v>84.635400000000004</v>
      </c>
      <c r="N927">
        <v>282.41000000000003</v>
      </c>
      <c r="O927">
        <v>281.95999999999998</v>
      </c>
      <c r="P927" s="13">
        <v>1.2810043977869201</v>
      </c>
    </row>
    <row r="928" spans="11:16" x14ac:dyDescent="0.3">
      <c r="K928" s="14" t="s">
        <v>41</v>
      </c>
      <c r="L928">
        <v>210.5</v>
      </c>
      <c r="M928">
        <v>79.752600000000001</v>
      </c>
      <c r="N928">
        <v>250.1</v>
      </c>
      <c r="O928">
        <v>276.77999999999997</v>
      </c>
      <c r="P928" s="13">
        <v>1.2836137004118799</v>
      </c>
    </row>
    <row r="929" spans="11:16" x14ac:dyDescent="0.3">
      <c r="K929" s="14" t="s">
        <v>41</v>
      </c>
      <c r="L929">
        <v>203.13</v>
      </c>
      <c r="M929">
        <v>86.48</v>
      </c>
      <c r="N929">
        <v>266.01</v>
      </c>
      <c r="O929">
        <v>279.11</v>
      </c>
      <c r="P929" s="13">
        <v>1.2854165024542299</v>
      </c>
    </row>
    <row r="930" spans="11:16" x14ac:dyDescent="0.3">
      <c r="K930" s="14" t="s">
        <v>41</v>
      </c>
      <c r="L930">
        <v>203.13</v>
      </c>
      <c r="M930">
        <v>93.641499999999994</v>
      </c>
      <c r="N930">
        <v>188</v>
      </c>
      <c r="O930">
        <v>268.73</v>
      </c>
      <c r="P930" s="13">
        <v>1.2862408365273701</v>
      </c>
    </row>
    <row r="931" spans="11:16" x14ac:dyDescent="0.3">
      <c r="K931" s="14" t="s">
        <v>41</v>
      </c>
      <c r="L931">
        <v>203.13</v>
      </c>
      <c r="M931">
        <v>92.447900000000004</v>
      </c>
      <c r="N931">
        <v>155</v>
      </c>
      <c r="O931">
        <v>260.95999999999998</v>
      </c>
      <c r="P931" s="13">
        <v>1.2870857602697701</v>
      </c>
    </row>
    <row r="932" spans="11:16" x14ac:dyDescent="0.3">
      <c r="K932" s="14" t="s">
        <v>41</v>
      </c>
      <c r="L932">
        <v>195.75</v>
      </c>
      <c r="M932">
        <v>139.64840000000001</v>
      </c>
      <c r="N932">
        <v>100.1</v>
      </c>
      <c r="O932">
        <v>280.52999999999997</v>
      </c>
      <c r="P932" s="13">
        <v>1.2883627419527299</v>
      </c>
    </row>
    <row r="933" spans="11:16" x14ac:dyDescent="0.3">
      <c r="K933" s="14" t="s">
        <v>41</v>
      </c>
      <c r="L933">
        <v>210.5</v>
      </c>
      <c r="M933">
        <v>89.6267</v>
      </c>
      <c r="N933">
        <v>240.01</v>
      </c>
      <c r="O933">
        <v>279.93</v>
      </c>
      <c r="P933" s="13">
        <v>1.29507126781695</v>
      </c>
    </row>
    <row r="934" spans="11:16" x14ac:dyDescent="0.3">
      <c r="K934" s="14" t="s">
        <v>41</v>
      </c>
      <c r="L934">
        <v>210.94</v>
      </c>
      <c r="M934">
        <v>84.526899999999998</v>
      </c>
      <c r="N934">
        <v>200</v>
      </c>
      <c r="O934">
        <v>268.17</v>
      </c>
      <c r="P934" s="13">
        <v>1.2956963866204301</v>
      </c>
    </row>
    <row r="935" spans="11:16" x14ac:dyDescent="0.3">
      <c r="K935" s="14" t="s">
        <v>41</v>
      </c>
      <c r="L935">
        <v>203.13</v>
      </c>
      <c r="M935">
        <v>89.518199999999993</v>
      </c>
      <c r="N935">
        <v>220</v>
      </c>
      <c r="O935">
        <v>270</v>
      </c>
      <c r="P935" s="13">
        <v>1.2957340740740699</v>
      </c>
    </row>
    <row r="936" spans="11:16" x14ac:dyDescent="0.3">
      <c r="K936" s="14" t="s">
        <v>41</v>
      </c>
      <c r="L936">
        <v>203.13</v>
      </c>
      <c r="M936">
        <v>93.533000000000001</v>
      </c>
      <c r="N936">
        <v>155</v>
      </c>
      <c r="O936">
        <v>259.83</v>
      </c>
      <c r="P936" s="13">
        <v>1.29685948504792</v>
      </c>
    </row>
    <row r="937" spans="11:16" x14ac:dyDescent="0.3">
      <c r="K937" s="14" t="s">
        <v>41</v>
      </c>
      <c r="L937">
        <v>195.75</v>
      </c>
      <c r="M937">
        <v>75.846400000000003</v>
      </c>
      <c r="N937">
        <v>350.1</v>
      </c>
      <c r="O937">
        <v>279.13</v>
      </c>
      <c r="P937" s="13">
        <v>1.2991165406799701</v>
      </c>
    </row>
    <row r="938" spans="11:16" x14ac:dyDescent="0.3">
      <c r="K938" s="14" t="s">
        <v>41</v>
      </c>
      <c r="L938">
        <v>210.5</v>
      </c>
      <c r="M938">
        <v>88.650199999999998</v>
      </c>
      <c r="N938">
        <v>180</v>
      </c>
      <c r="O938">
        <v>266.16000000000003</v>
      </c>
      <c r="P938" s="13">
        <v>1.2997828373910401</v>
      </c>
    </row>
    <row r="939" spans="11:16" x14ac:dyDescent="0.3">
      <c r="K939" s="14" t="s">
        <v>41</v>
      </c>
      <c r="L939">
        <v>210.5</v>
      </c>
      <c r="M939">
        <v>88.541700000000006</v>
      </c>
      <c r="N939">
        <v>185</v>
      </c>
      <c r="O939">
        <v>266.16000000000003</v>
      </c>
      <c r="P939" s="13">
        <v>1.3042594679891799</v>
      </c>
    </row>
    <row r="940" spans="11:16" x14ac:dyDescent="0.3">
      <c r="K940" s="14" t="s">
        <v>41</v>
      </c>
      <c r="L940">
        <v>203.13</v>
      </c>
      <c r="M940">
        <v>91.471400000000003</v>
      </c>
      <c r="N940">
        <v>200</v>
      </c>
      <c r="O940">
        <v>265.58999999999997</v>
      </c>
      <c r="P940" s="13">
        <v>1.3050242855529199</v>
      </c>
    </row>
    <row r="941" spans="11:16" x14ac:dyDescent="0.3">
      <c r="K941" s="14" t="s">
        <v>41</v>
      </c>
      <c r="L941">
        <v>203.13</v>
      </c>
      <c r="M941">
        <v>79.644099999999995</v>
      </c>
      <c r="N941">
        <v>254.6</v>
      </c>
      <c r="O941">
        <v>267.31</v>
      </c>
      <c r="P941" s="13">
        <v>1.3054883842729399</v>
      </c>
    </row>
    <row r="942" spans="11:16" x14ac:dyDescent="0.3">
      <c r="K942" s="14" t="s">
        <v>41</v>
      </c>
      <c r="L942">
        <v>203.13</v>
      </c>
      <c r="M942">
        <v>85.720500000000001</v>
      </c>
      <c r="N942">
        <v>220</v>
      </c>
      <c r="O942">
        <v>264.66000000000003</v>
      </c>
      <c r="P942" s="13">
        <v>1.3075285271669299</v>
      </c>
    </row>
    <row r="943" spans="11:16" x14ac:dyDescent="0.3">
      <c r="K943" s="14" t="s">
        <v>41</v>
      </c>
      <c r="L943">
        <v>203.13</v>
      </c>
      <c r="M943">
        <v>86.697100000000006</v>
      </c>
      <c r="N943">
        <v>255.01</v>
      </c>
      <c r="O943">
        <v>272.18</v>
      </c>
      <c r="P943" s="13">
        <v>1.3084344918803701</v>
      </c>
    </row>
    <row r="944" spans="11:16" x14ac:dyDescent="0.3">
      <c r="K944" s="14" t="s">
        <v>41</v>
      </c>
      <c r="L944">
        <v>203.13</v>
      </c>
      <c r="M944">
        <v>90.0608</v>
      </c>
      <c r="N944">
        <v>230</v>
      </c>
      <c r="O944">
        <v>269.05</v>
      </c>
      <c r="P944" s="13">
        <v>1.3119895930124501</v>
      </c>
    </row>
    <row r="945" spans="11:16" x14ac:dyDescent="0.3">
      <c r="K945" s="14" t="s">
        <v>41</v>
      </c>
      <c r="L945">
        <v>210.5</v>
      </c>
      <c r="M945">
        <v>129.01480000000001</v>
      </c>
      <c r="N945">
        <v>111.1</v>
      </c>
      <c r="O945">
        <v>279.95999999999998</v>
      </c>
      <c r="P945" s="13">
        <v>1.3159051293041899</v>
      </c>
    </row>
    <row r="946" spans="11:16" x14ac:dyDescent="0.3">
      <c r="K946" s="14" t="s">
        <v>41</v>
      </c>
      <c r="L946">
        <v>203.13</v>
      </c>
      <c r="M946">
        <v>89.137699999999995</v>
      </c>
      <c r="N946">
        <v>200</v>
      </c>
      <c r="O946">
        <v>261.48</v>
      </c>
      <c r="P946" s="13">
        <v>1.3166119779715499</v>
      </c>
    </row>
    <row r="947" spans="11:16" x14ac:dyDescent="0.3">
      <c r="K947" s="14" t="s">
        <v>41</v>
      </c>
      <c r="L947">
        <v>203.13</v>
      </c>
      <c r="M947">
        <v>115.9939</v>
      </c>
      <c r="N947">
        <v>200</v>
      </c>
      <c r="O947">
        <v>281.11</v>
      </c>
      <c r="P947" s="13">
        <v>1.3202088150546001</v>
      </c>
    </row>
    <row r="948" spans="11:16" x14ac:dyDescent="0.3">
      <c r="K948" s="14" t="s">
        <v>41</v>
      </c>
      <c r="L948">
        <v>203.13</v>
      </c>
      <c r="M948">
        <v>91.579899999999995</v>
      </c>
      <c r="N948">
        <v>233.01</v>
      </c>
      <c r="O948">
        <v>267.86</v>
      </c>
      <c r="P948" s="13">
        <v>1.3264111849473601</v>
      </c>
    </row>
    <row r="949" spans="11:16" x14ac:dyDescent="0.3">
      <c r="K949" s="14" t="s">
        <v>41</v>
      </c>
      <c r="L949">
        <v>210.5</v>
      </c>
      <c r="M949">
        <v>87.348100000000002</v>
      </c>
      <c r="N949">
        <v>330.01</v>
      </c>
      <c r="O949">
        <v>289.19</v>
      </c>
      <c r="P949" s="13">
        <v>1.3266388879283499</v>
      </c>
    </row>
    <row r="950" spans="11:16" x14ac:dyDescent="0.3">
      <c r="K950" s="14" t="s">
        <v>41</v>
      </c>
      <c r="L950">
        <v>210.5</v>
      </c>
      <c r="M950">
        <v>106.3368</v>
      </c>
      <c r="N950">
        <v>166</v>
      </c>
      <c r="O950">
        <v>271.06</v>
      </c>
      <c r="P950" s="13">
        <v>1.3281074300892799</v>
      </c>
    </row>
    <row r="951" spans="11:16" x14ac:dyDescent="0.3">
      <c r="K951" s="14" t="s">
        <v>41</v>
      </c>
      <c r="L951">
        <v>210.5</v>
      </c>
      <c r="M951">
        <v>93.6053</v>
      </c>
      <c r="N951">
        <v>236.01</v>
      </c>
      <c r="O951">
        <v>274.51</v>
      </c>
      <c r="P951" s="13">
        <v>1.3313463990382901</v>
      </c>
    </row>
    <row r="952" spans="11:16" x14ac:dyDescent="0.3">
      <c r="K952" s="14" t="s">
        <v>41</v>
      </c>
      <c r="L952">
        <v>210.5</v>
      </c>
      <c r="M952">
        <v>126.22969999999999</v>
      </c>
      <c r="N952">
        <v>77.099999999999994</v>
      </c>
      <c r="O952">
        <v>267.88</v>
      </c>
      <c r="P952" s="13">
        <v>1.3318489622218901</v>
      </c>
    </row>
    <row r="953" spans="11:16" x14ac:dyDescent="0.3">
      <c r="K953" s="14" t="s">
        <v>41</v>
      </c>
      <c r="L953">
        <v>210.94</v>
      </c>
      <c r="M953">
        <v>83.658900000000003</v>
      </c>
      <c r="N953">
        <v>260.01</v>
      </c>
      <c r="O953">
        <v>271.06</v>
      </c>
      <c r="P953" s="13">
        <v>1.3362410536412599</v>
      </c>
    </row>
    <row r="954" spans="11:16" x14ac:dyDescent="0.3">
      <c r="K954" s="14" t="s">
        <v>41</v>
      </c>
      <c r="L954">
        <v>210.5</v>
      </c>
      <c r="M954">
        <v>129.77430000000001</v>
      </c>
      <c r="N954">
        <v>150.1</v>
      </c>
      <c r="O954">
        <v>280.26</v>
      </c>
      <c r="P954" s="13">
        <v>1.3533872118746899</v>
      </c>
    </row>
    <row r="955" spans="11:16" x14ac:dyDescent="0.3">
      <c r="K955" s="14" t="s">
        <v>41</v>
      </c>
      <c r="L955">
        <v>210.5</v>
      </c>
      <c r="M955">
        <v>80.439800000000005</v>
      </c>
      <c r="N955">
        <v>300.11</v>
      </c>
      <c r="O955">
        <v>271.91000000000003</v>
      </c>
      <c r="P955" s="13">
        <v>1.3569504615497801</v>
      </c>
    </row>
    <row r="956" spans="11:16" x14ac:dyDescent="0.3">
      <c r="K956" s="14" t="s">
        <v>41</v>
      </c>
      <c r="L956">
        <v>203.13</v>
      </c>
      <c r="M956">
        <v>109.809</v>
      </c>
      <c r="N956">
        <v>200</v>
      </c>
      <c r="O956">
        <v>268.7</v>
      </c>
      <c r="P956" s="13">
        <v>1.35816524004466</v>
      </c>
    </row>
    <row r="957" spans="11:16" x14ac:dyDescent="0.3">
      <c r="K957" s="14" t="s">
        <v>41</v>
      </c>
      <c r="L957">
        <v>210.94</v>
      </c>
      <c r="M957">
        <v>87.673599999999993</v>
      </c>
      <c r="N957">
        <v>320.11</v>
      </c>
      <c r="O957">
        <v>281.13</v>
      </c>
      <c r="P957" s="13">
        <v>1.35824067157543</v>
      </c>
    </row>
    <row r="958" spans="11:16" x14ac:dyDescent="0.3">
      <c r="K958" s="14" t="s">
        <v>41</v>
      </c>
      <c r="L958">
        <v>203.13</v>
      </c>
      <c r="M958">
        <v>131.5104</v>
      </c>
      <c r="N958">
        <v>111.1</v>
      </c>
      <c r="O958">
        <v>267.56</v>
      </c>
      <c r="P958" s="13">
        <v>1.3586724473015399</v>
      </c>
    </row>
    <row r="959" spans="11:16" x14ac:dyDescent="0.3">
      <c r="K959" s="14" t="s">
        <v>41</v>
      </c>
      <c r="L959">
        <v>203.13</v>
      </c>
      <c r="M959">
        <v>127.5318</v>
      </c>
      <c r="N959">
        <v>155</v>
      </c>
      <c r="O959">
        <v>272.41000000000003</v>
      </c>
      <c r="P959" s="13">
        <v>1.3617774677875301</v>
      </c>
    </row>
    <row r="960" spans="11:16" x14ac:dyDescent="0.3">
      <c r="K960" s="14" t="s">
        <v>41</v>
      </c>
      <c r="L960">
        <v>210.5</v>
      </c>
      <c r="M960">
        <v>98.415800000000004</v>
      </c>
      <c r="N960">
        <v>270.01</v>
      </c>
      <c r="O960">
        <v>277.39999999999998</v>
      </c>
      <c r="P960" s="13">
        <v>1.3666849315068501</v>
      </c>
    </row>
    <row r="961" spans="11:16" x14ac:dyDescent="0.3">
      <c r="K961" s="14" t="s">
        <v>41</v>
      </c>
      <c r="L961">
        <v>210.5</v>
      </c>
      <c r="M961">
        <v>88.901899999999998</v>
      </c>
      <c r="N961">
        <v>300.01</v>
      </c>
      <c r="O961">
        <v>275.56</v>
      </c>
      <c r="P961" s="13">
        <v>1.3695910146610499</v>
      </c>
    </row>
    <row r="962" spans="11:16" x14ac:dyDescent="0.3">
      <c r="K962" s="14" t="s">
        <v>41</v>
      </c>
      <c r="L962">
        <v>195.75</v>
      </c>
      <c r="M962">
        <v>143.88030000000001</v>
      </c>
      <c r="N962">
        <v>90.1</v>
      </c>
      <c r="O962">
        <v>264.89</v>
      </c>
      <c r="P962" s="13">
        <v>1.3705926988561301</v>
      </c>
    </row>
    <row r="963" spans="11:16" x14ac:dyDescent="0.3">
      <c r="K963" s="14" t="s">
        <v>41</v>
      </c>
      <c r="L963">
        <v>195.31</v>
      </c>
      <c r="M963">
        <v>121.7448</v>
      </c>
      <c r="N963">
        <v>155</v>
      </c>
      <c r="O963">
        <v>260.33999999999997</v>
      </c>
      <c r="P963" s="13">
        <v>1.37264653914112</v>
      </c>
    </row>
    <row r="964" spans="11:16" x14ac:dyDescent="0.3">
      <c r="K964" s="14" t="s">
        <v>41</v>
      </c>
      <c r="L964">
        <v>195.75</v>
      </c>
      <c r="M964">
        <v>130.7509</v>
      </c>
      <c r="N964">
        <v>160</v>
      </c>
      <c r="O964">
        <v>267.89999999999998</v>
      </c>
      <c r="P964" s="13">
        <v>1.3740235162373999</v>
      </c>
    </row>
    <row r="965" spans="11:16" x14ac:dyDescent="0.3">
      <c r="K965" s="14" t="s">
        <v>41</v>
      </c>
      <c r="L965">
        <v>210.5</v>
      </c>
      <c r="M965">
        <v>131.72739999999999</v>
      </c>
      <c r="N965">
        <v>150.1</v>
      </c>
      <c r="O965">
        <v>277.16000000000003</v>
      </c>
      <c r="P965" s="13">
        <v>1.37557151104055</v>
      </c>
    </row>
    <row r="966" spans="11:16" x14ac:dyDescent="0.3">
      <c r="K966" s="14" t="s">
        <v>41</v>
      </c>
      <c r="L966">
        <v>150.61000000000001</v>
      </c>
      <c r="M966">
        <v>105.2517</v>
      </c>
      <c r="N966">
        <v>460.11</v>
      </c>
      <c r="O966">
        <v>272.20999999999998</v>
      </c>
      <c r="P966" s="13">
        <v>1.3794140553249301</v>
      </c>
    </row>
    <row r="967" spans="11:16" x14ac:dyDescent="0.3">
      <c r="K967" s="14" t="s">
        <v>41</v>
      </c>
      <c r="L967">
        <v>210.94</v>
      </c>
      <c r="M967">
        <v>85.828999999999994</v>
      </c>
      <c r="N967">
        <v>300.01</v>
      </c>
      <c r="O967">
        <v>270.76</v>
      </c>
      <c r="P967" s="13">
        <v>1.3841468459152</v>
      </c>
    </row>
    <row r="968" spans="11:16" x14ac:dyDescent="0.3">
      <c r="K968" s="14" t="s">
        <v>41</v>
      </c>
      <c r="L968">
        <v>195.75</v>
      </c>
      <c r="M968">
        <v>133.2089</v>
      </c>
      <c r="N968">
        <v>230</v>
      </c>
      <c r="O968">
        <v>280.86</v>
      </c>
      <c r="P968" s="13">
        <v>1.3841732535783</v>
      </c>
    </row>
    <row r="969" spans="11:16" x14ac:dyDescent="0.3">
      <c r="K969" s="14" t="s">
        <v>41</v>
      </c>
      <c r="L969">
        <v>203.13</v>
      </c>
      <c r="M969">
        <v>119.5009</v>
      </c>
      <c r="N969">
        <v>170</v>
      </c>
      <c r="O969">
        <v>264.45</v>
      </c>
      <c r="P969" s="13">
        <v>1.3871465305350701</v>
      </c>
    </row>
    <row r="970" spans="11:16" x14ac:dyDescent="0.3">
      <c r="K970" s="14" t="s">
        <v>41</v>
      </c>
      <c r="L970">
        <v>203.13</v>
      </c>
      <c r="M970">
        <v>164.38800000000001</v>
      </c>
      <c r="N970">
        <v>120.1</v>
      </c>
      <c r="O970">
        <v>283.94</v>
      </c>
      <c r="P970" s="13">
        <v>1.40432485736423</v>
      </c>
    </row>
    <row r="971" spans="11:16" x14ac:dyDescent="0.3">
      <c r="K971" s="14" t="s">
        <v>41</v>
      </c>
      <c r="L971">
        <v>210.5</v>
      </c>
      <c r="M971">
        <v>110.89409999999999</v>
      </c>
      <c r="N971">
        <v>250.2</v>
      </c>
      <c r="O971">
        <v>273.39</v>
      </c>
      <c r="P971" s="13">
        <v>1.41353414536011</v>
      </c>
    </row>
    <row r="972" spans="11:16" x14ac:dyDescent="0.3">
      <c r="K972" s="14" t="s">
        <v>41</v>
      </c>
      <c r="L972">
        <v>202.69</v>
      </c>
      <c r="M972">
        <v>154.2405</v>
      </c>
      <c r="N972">
        <v>180.2</v>
      </c>
      <c r="O972">
        <v>284.75</v>
      </c>
      <c r="P972" s="13">
        <v>1.41802458296752</v>
      </c>
    </row>
    <row r="973" spans="11:16" x14ac:dyDescent="0.3">
      <c r="K973" s="14" t="s">
        <v>41</v>
      </c>
      <c r="L973">
        <v>203.13</v>
      </c>
      <c r="M973">
        <v>148.7268</v>
      </c>
      <c r="N973">
        <v>155</v>
      </c>
      <c r="O973">
        <v>275.60000000000002</v>
      </c>
      <c r="P973" s="13">
        <v>1.42292017416546</v>
      </c>
    </row>
    <row r="974" spans="11:16" x14ac:dyDescent="0.3">
      <c r="K974" s="14" t="s">
        <v>41</v>
      </c>
      <c r="L974">
        <v>203.13</v>
      </c>
      <c r="M974">
        <v>91.507499999999993</v>
      </c>
      <c r="N974">
        <v>380.11</v>
      </c>
      <c r="O974">
        <v>275.12</v>
      </c>
      <c r="P974" s="13">
        <v>1.43016174760105</v>
      </c>
    </row>
    <row r="975" spans="11:16" x14ac:dyDescent="0.3">
      <c r="K975" s="14" t="s">
        <v>41</v>
      </c>
      <c r="L975">
        <v>202.69</v>
      </c>
      <c r="M975">
        <v>161.34979999999999</v>
      </c>
      <c r="N975">
        <v>100.1</v>
      </c>
      <c r="O975">
        <v>268.73</v>
      </c>
      <c r="P975" s="13">
        <v>1.45151564767611</v>
      </c>
    </row>
    <row r="976" spans="11:16" x14ac:dyDescent="0.3">
      <c r="K976" s="14" t="s">
        <v>41</v>
      </c>
      <c r="L976">
        <v>203.13</v>
      </c>
      <c r="M976">
        <v>72.699700000000007</v>
      </c>
      <c r="N976">
        <v>538.61</v>
      </c>
      <c r="O976">
        <v>286.27999999999997</v>
      </c>
      <c r="P976" s="13">
        <v>1.45266277770015</v>
      </c>
    </row>
    <row r="977" spans="11:16" x14ac:dyDescent="0.3">
      <c r="K977" s="14" t="s">
        <v>41</v>
      </c>
      <c r="L977">
        <v>203.56</v>
      </c>
      <c r="M977">
        <v>92.954300000000003</v>
      </c>
      <c r="N977">
        <v>330.1</v>
      </c>
      <c r="O977">
        <v>261.49</v>
      </c>
      <c r="P977" s="13">
        <v>1.4621603120578199</v>
      </c>
    </row>
    <row r="978" spans="11:16" x14ac:dyDescent="0.3">
      <c r="K978" s="14" t="s">
        <v>41</v>
      </c>
      <c r="L978">
        <v>217.88</v>
      </c>
      <c r="M978">
        <v>139.86539999999999</v>
      </c>
      <c r="N978">
        <v>155</v>
      </c>
      <c r="O978">
        <v>270.49</v>
      </c>
      <c r="P978" s="13">
        <v>1.47157159229546</v>
      </c>
    </row>
    <row r="979" spans="11:16" x14ac:dyDescent="0.3">
      <c r="K979" s="14" t="s">
        <v>41</v>
      </c>
      <c r="L979">
        <v>202.69</v>
      </c>
      <c r="M979">
        <v>136.0677</v>
      </c>
      <c r="N979">
        <v>250.01</v>
      </c>
      <c r="O979">
        <v>271.33</v>
      </c>
      <c r="P979" s="13">
        <v>1.48807835477094</v>
      </c>
    </row>
    <row r="980" spans="11:16" x14ac:dyDescent="0.3">
      <c r="K980" s="14" t="s">
        <v>41</v>
      </c>
      <c r="L980">
        <v>203.13</v>
      </c>
      <c r="M980">
        <v>86.299199999999999</v>
      </c>
      <c r="N980">
        <v>500.21</v>
      </c>
      <c r="O980">
        <v>281.13</v>
      </c>
      <c r="P980" s="13">
        <v>1.4921345996514099</v>
      </c>
    </row>
    <row r="981" spans="11:16" x14ac:dyDescent="0.3">
      <c r="K981" s="14" t="s">
        <v>41</v>
      </c>
      <c r="L981">
        <v>202.69</v>
      </c>
      <c r="M981">
        <v>113.1366</v>
      </c>
      <c r="N981">
        <v>430.21</v>
      </c>
      <c r="O981">
        <v>282.26</v>
      </c>
      <c r="P981" s="13">
        <v>1.51520300432226</v>
      </c>
    </row>
    <row r="982" spans="11:16" x14ac:dyDescent="0.3">
      <c r="K982" s="14" t="s">
        <v>41</v>
      </c>
      <c r="L982">
        <v>210.5</v>
      </c>
      <c r="M982">
        <v>113.38979999999999</v>
      </c>
      <c r="N982">
        <v>320.10000000000002</v>
      </c>
      <c r="O982">
        <v>268.64999999999998</v>
      </c>
      <c r="P982" s="13">
        <v>1.51541336311186</v>
      </c>
    </row>
    <row r="983" spans="11:16" x14ac:dyDescent="0.3">
      <c r="K983" s="14" t="s">
        <v>41</v>
      </c>
      <c r="L983">
        <v>203.13</v>
      </c>
      <c r="M983">
        <v>113.1728</v>
      </c>
      <c r="N983">
        <v>310.11</v>
      </c>
      <c r="O983">
        <v>259.23</v>
      </c>
      <c r="P983" s="13">
        <v>1.53119392045674</v>
      </c>
    </row>
    <row r="984" spans="11:16" x14ac:dyDescent="0.3">
      <c r="K984" s="14" t="s">
        <v>41</v>
      </c>
      <c r="L984">
        <v>210.94</v>
      </c>
      <c r="M984">
        <v>147.89490000000001</v>
      </c>
      <c r="N984">
        <v>166.2</v>
      </c>
      <c r="O984">
        <v>259.82</v>
      </c>
      <c r="P984" s="13">
        <v>1.5474055115079699</v>
      </c>
    </row>
    <row r="985" spans="11:16" x14ac:dyDescent="0.3">
      <c r="K985" s="14" t="s">
        <v>41</v>
      </c>
      <c r="L985">
        <v>337.67</v>
      </c>
      <c r="M985">
        <v>46.332500000000003</v>
      </c>
      <c r="N985">
        <v>310.01</v>
      </c>
      <c r="O985">
        <v>276.23</v>
      </c>
      <c r="P985" s="13">
        <v>1.68195018643884</v>
      </c>
    </row>
    <row r="986" spans="11:16" x14ac:dyDescent="0.3">
      <c r="K986" s="14" t="s">
        <v>41</v>
      </c>
      <c r="L986">
        <v>150.61000000000001</v>
      </c>
      <c r="M986">
        <v>120.369</v>
      </c>
      <c r="N986">
        <v>710.12</v>
      </c>
      <c r="O986">
        <v>249.13</v>
      </c>
      <c r="P986" s="13">
        <v>1.82880504154458</v>
      </c>
    </row>
    <row r="987" spans="11:16" x14ac:dyDescent="0.3">
      <c r="K987" s="14" t="s">
        <v>41</v>
      </c>
      <c r="L987">
        <v>510.85</v>
      </c>
      <c r="M987">
        <v>81.705699999999993</v>
      </c>
      <c r="N987">
        <v>104.8</v>
      </c>
      <c r="O987">
        <v>283.45999999999998</v>
      </c>
      <c r="P987" s="13">
        <v>2.1865649474352602</v>
      </c>
    </row>
    <row r="988" spans="11:16" x14ac:dyDescent="0.3">
      <c r="K988" s="14" t="s">
        <v>41</v>
      </c>
      <c r="L988">
        <v>631.51</v>
      </c>
      <c r="M988">
        <v>84.526899999999998</v>
      </c>
      <c r="N988">
        <v>180</v>
      </c>
      <c r="O988">
        <v>276.51</v>
      </c>
      <c r="P988" s="13">
        <v>2.7588040215543699</v>
      </c>
    </row>
    <row r="989" spans="11:16" x14ac:dyDescent="0.3">
      <c r="K989" s="14" t="s">
        <v>43</v>
      </c>
      <c r="L989">
        <v>157.12</v>
      </c>
      <c r="M989">
        <v>51.323799999999999</v>
      </c>
      <c r="N989">
        <v>230</v>
      </c>
      <c r="O989">
        <v>281.41000000000003</v>
      </c>
      <c r="P989" s="13">
        <v>0.95321346078675195</v>
      </c>
    </row>
    <row r="990" spans="11:16" x14ac:dyDescent="0.3">
      <c r="K990" s="14" t="s">
        <v>43</v>
      </c>
      <c r="L990">
        <v>157.99</v>
      </c>
      <c r="M990">
        <v>83.007800000000003</v>
      </c>
      <c r="N990">
        <v>130.1</v>
      </c>
      <c r="O990">
        <v>286.04000000000002</v>
      </c>
      <c r="P990" s="13">
        <v>0.96078800167808698</v>
      </c>
    </row>
    <row r="991" spans="11:16" x14ac:dyDescent="0.3">
      <c r="K991" s="14" t="s">
        <v>43</v>
      </c>
      <c r="L991">
        <v>202.69</v>
      </c>
      <c r="M991">
        <v>50.347200000000001</v>
      </c>
      <c r="N991">
        <v>80.099999999999994</v>
      </c>
      <c r="O991">
        <v>279.36</v>
      </c>
      <c r="P991" s="13">
        <v>0.98032359679266901</v>
      </c>
    </row>
    <row r="992" spans="11:16" x14ac:dyDescent="0.3">
      <c r="K992" s="14" t="s">
        <v>43</v>
      </c>
      <c r="L992">
        <v>203.13</v>
      </c>
      <c r="M992">
        <v>50.347200000000001</v>
      </c>
      <c r="N992">
        <v>100.1</v>
      </c>
      <c r="O992">
        <v>281.95</v>
      </c>
      <c r="P992" s="13">
        <v>0.99132186557900304</v>
      </c>
    </row>
    <row r="993" spans="11:16" x14ac:dyDescent="0.3">
      <c r="K993" s="14" t="s">
        <v>43</v>
      </c>
      <c r="L993">
        <v>203.13</v>
      </c>
      <c r="M993">
        <v>73.893199999999993</v>
      </c>
      <c r="N993">
        <v>70.099999999999994</v>
      </c>
      <c r="O993">
        <v>284.24</v>
      </c>
      <c r="P993" s="13">
        <v>1.0387320574162699</v>
      </c>
    </row>
    <row r="994" spans="11:16" x14ac:dyDescent="0.3">
      <c r="K994" s="14" t="s">
        <v>43</v>
      </c>
      <c r="L994">
        <v>149.74</v>
      </c>
      <c r="M994">
        <v>82.573800000000006</v>
      </c>
      <c r="N994">
        <v>222</v>
      </c>
      <c r="O994">
        <v>277.64999999999998</v>
      </c>
      <c r="P994" s="13">
        <v>1.0446021970106301</v>
      </c>
    </row>
    <row r="995" spans="11:16" x14ac:dyDescent="0.3">
      <c r="K995" s="14" t="s">
        <v>43</v>
      </c>
      <c r="L995">
        <v>203.13</v>
      </c>
      <c r="M995">
        <v>78.667500000000004</v>
      </c>
      <c r="N995">
        <v>100.1</v>
      </c>
      <c r="O995">
        <v>284.58</v>
      </c>
      <c r="P995" s="13">
        <v>1.08167650572774</v>
      </c>
    </row>
    <row r="996" spans="11:16" x14ac:dyDescent="0.3">
      <c r="K996" s="14" t="s">
        <v>43</v>
      </c>
      <c r="L996">
        <v>203.13</v>
      </c>
      <c r="M996">
        <v>89.409700000000001</v>
      </c>
      <c r="N996">
        <v>60.1</v>
      </c>
      <c r="O996">
        <v>277.39</v>
      </c>
      <c r="P996" s="13">
        <v>1.1109474025739901</v>
      </c>
    </row>
    <row r="997" spans="11:16" x14ac:dyDescent="0.3">
      <c r="K997" s="14" t="s">
        <v>43</v>
      </c>
      <c r="L997">
        <v>155.38</v>
      </c>
      <c r="M997">
        <v>82.790800000000004</v>
      </c>
      <c r="N997">
        <v>240.01</v>
      </c>
      <c r="O997">
        <v>268.2</v>
      </c>
      <c r="P997" s="13">
        <v>1.1207061894108901</v>
      </c>
    </row>
    <row r="998" spans="11:16" x14ac:dyDescent="0.3">
      <c r="K998" s="14" t="s">
        <v>43</v>
      </c>
      <c r="L998">
        <v>203.13</v>
      </c>
      <c r="M998">
        <v>71.723100000000002</v>
      </c>
      <c r="N998">
        <v>260.01</v>
      </c>
      <c r="O998">
        <v>289.49</v>
      </c>
      <c r="P998" s="13">
        <v>1.1829621057722199</v>
      </c>
    </row>
    <row r="999" spans="11:16" x14ac:dyDescent="0.3">
      <c r="K999" s="14" t="s">
        <v>43</v>
      </c>
      <c r="L999">
        <v>203.13</v>
      </c>
      <c r="M999">
        <v>78.667500000000004</v>
      </c>
      <c r="N999">
        <v>260.01</v>
      </c>
      <c r="O999">
        <v>288.91000000000003</v>
      </c>
      <c r="P999" s="13">
        <v>1.20937350732062</v>
      </c>
    </row>
    <row r="1000" spans="11:16" x14ac:dyDescent="0.3">
      <c r="K1000" s="14" t="s">
        <v>43</v>
      </c>
      <c r="L1000">
        <v>203.13</v>
      </c>
      <c r="M1000">
        <v>78.7761</v>
      </c>
      <c r="N1000">
        <v>260.01</v>
      </c>
      <c r="O1000">
        <v>283.74</v>
      </c>
      <c r="P1000" s="13">
        <v>1.2317921336434801</v>
      </c>
    </row>
    <row r="1001" spans="11:16" x14ac:dyDescent="0.3">
      <c r="K1001" s="14" t="s">
        <v>43</v>
      </c>
      <c r="L1001">
        <v>203.13</v>
      </c>
      <c r="M1001">
        <v>104.4922</v>
      </c>
      <c r="N1001">
        <v>150.1</v>
      </c>
      <c r="O1001">
        <v>272.75</v>
      </c>
      <c r="P1001" s="13">
        <v>1.2709374885426199</v>
      </c>
    </row>
    <row r="1002" spans="11:16" x14ac:dyDescent="0.3">
      <c r="K1002" s="14" t="s">
        <v>43</v>
      </c>
      <c r="L1002">
        <v>203.13</v>
      </c>
      <c r="M1002">
        <v>91.471400000000003</v>
      </c>
      <c r="N1002">
        <v>260.10000000000002</v>
      </c>
      <c r="O1002">
        <v>281.73</v>
      </c>
      <c r="P1002" s="13">
        <v>1.28572533986441</v>
      </c>
    </row>
    <row r="1003" spans="11:16" x14ac:dyDescent="0.3">
      <c r="K1003" s="14" t="s">
        <v>43</v>
      </c>
      <c r="L1003">
        <v>210.5</v>
      </c>
      <c r="M1003">
        <v>96.860500000000002</v>
      </c>
      <c r="N1003">
        <v>200.2</v>
      </c>
      <c r="O1003">
        <v>278.83</v>
      </c>
      <c r="P1003" s="13">
        <v>1.28900225944124</v>
      </c>
    </row>
    <row r="1004" spans="11:16" x14ac:dyDescent="0.3">
      <c r="K1004" s="14" t="s">
        <v>43</v>
      </c>
      <c r="L1004">
        <v>210.5</v>
      </c>
      <c r="M1004">
        <v>116.1024</v>
      </c>
      <c r="N1004">
        <v>181.9</v>
      </c>
      <c r="O1004">
        <v>280.27</v>
      </c>
      <c r="P1004" s="13">
        <v>1.3340578727655501</v>
      </c>
    </row>
    <row r="1005" spans="11:16" x14ac:dyDescent="0.3">
      <c r="K1005" s="14" t="s">
        <v>43</v>
      </c>
      <c r="L1005">
        <v>203.13</v>
      </c>
      <c r="M1005">
        <v>94.4011</v>
      </c>
      <c r="N1005">
        <v>330.1</v>
      </c>
      <c r="O1005">
        <v>282.45</v>
      </c>
      <c r="P1005" s="13">
        <v>1.35725650557621</v>
      </c>
    </row>
    <row r="1006" spans="11:16" x14ac:dyDescent="0.3">
      <c r="K1006" s="14" t="s">
        <v>43</v>
      </c>
      <c r="L1006">
        <v>210.94</v>
      </c>
      <c r="M1006">
        <v>135.7422</v>
      </c>
      <c r="N1006">
        <v>121.8</v>
      </c>
      <c r="O1006">
        <v>268.73</v>
      </c>
      <c r="P1006" s="13">
        <v>1.4079194730770701</v>
      </c>
    </row>
    <row r="1007" spans="11:16" x14ac:dyDescent="0.3">
      <c r="K1007" s="14" t="s">
        <v>43</v>
      </c>
      <c r="L1007">
        <v>203.13</v>
      </c>
      <c r="M1007">
        <v>158.3117</v>
      </c>
      <c r="N1007">
        <v>170.2</v>
      </c>
      <c r="O1007">
        <v>271.01</v>
      </c>
      <c r="P1007" s="13">
        <v>1.4969694845208701</v>
      </c>
    </row>
    <row r="1008" spans="11:16" x14ac:dyDescent="0.3">
      <c r="K1008" s="14" t="s">
        <v>56</v>
      </c>
      <c r="L1008">
        <v>203.13</v>
      </c>
      <c r="M1008">
        <v>79.752600000000001</v>
      </c>
      <c r="N1008">
        <v>80.099999999999994</v>
      </c>
      <c r="O1008">
        <v>294.35000000000002</v>
      </c>
      <c r="P1008" s="13">
        <v>1.03179412264311</v>
      </c>
    </row>
    <row r="1009" spans="11:16" x14ac:dyDescent="0.3">
      <c r="K1009" s="14" t="s">
        <v>56</v>
      </c>
      <c r="L1009">
        <v>203.13</v>
      </c>
      <c r="M1009">
        <v>73.893199999999993</v>
      </c>
      <c r="N1009">
        <v>120.1</v>
      </c>
      <c r="O1009">
        <v>286.87</v>
      </c>
      <c r="P1009" s="13">
        <v>1.0745257433680799</v>
      </c>
    </row>
    <row r="1010" spans="11:16" x14ac:dyDescent="0.3">
      <c r="K1010" s="14" t="s">
        <v>56</v>
      </c>
      <c r="L1010">
        <v>203.13</v>
      </c>
      <c r="M1010">
        <v>74.580399999999997</v>
      </c>
      <c r="N1010">
        <v>130.1</v>
      </c>
      <c r="O1010">
        <v>280.83</v>
      </c>
      <c r="P1010" s="13">
        <v>1.10934159455899</v>
      </c>
    </row>
    <row r="1011" spans="11:16" x14ac:dyDescent="0.3">
      <c r="K1011" s="14" t="s">
        <v>56</v>
      </c>
      <c r="L1011">
        <v>203.13</v>
      </c>
      <c r="M1011">
        <v>80.620699999999999</v>
      </c>
      <c r="N1011">
        <v>120.1</v>
      </c>
      <c r="O1011">
        <v>283.14</v>
      </c>
      <c r="P1011" s="13">
        <v>1.11244154835064</v>
      </c>
    </row>
    <row r="1012" spans="11:16" x14ac:dyDescent="0.3">
      <c r="K1012" s="14" t="s">
        <v>56</v>
      </c>
      <c r="L1012">
        <v>202.69</v>
      </c>
      <c r="M1012">
        <v>61.089399999999998</v>
      </c>
      <c r="N1012">
        <v>230</v>
      </c>
      <c r="O1012">
        <v>287.18</v>
      </c>
      <c r="P1012" s="13">
        <v>1.12674768437914</v>
      </c>
    </row>
    <row r="1013" spans="11:16" x14ac:dyDescent="0.3">
      <c r="K1013" s="14" t="s">
        <v>56</v>
      </c>
      <c r="L1013">
        <v>202.69</v>
      </c>
      <c r="M1013">
        <v>94.835099999999997</v>
      </c>
      <c r="N1013">
        <v>111.1</v>
      </c>
      <c r="O1013">
        <v>288.07</v>
      </c>
      <c r="P1013" s="13">
        <v>1.1330964696080801</v>
      </c>
    </row>
    <row r="1014" spans="11:16" x14ac:dyDescent="0.3">
      <c r="K1014" s="14" t="s">
        <v>56</v>
      </c>
      <c r="L1014">
        <v>203.13</v>
      </c>
      <c r="M1014">
        <v>87.094899999999996</v>
      </c>
      <c r="N1014">
        <v>60.1</v>
      </c>
      <c r="O1014">
        <v>269.64999999999998</v>
      </c>
      <c r="P1014" s="13">
        <v>1.1342514370480301</v>
      </c>
    </row>
    <row r="1015" spans="11:16" x14ac:dyDescent="0.3">
      <c r="K1015" s="14" t="s">
        <v>56</v>
      </c>
      <c r="L1015">
        <v>203.13</v>
      </c>
      <c r="M1015">
        <v>92.447900000000004</v>
      </c>
      <c r="N1015">
        <v>140.1</v>
      </c>
      <c r="O1015">
        <v>291.19</v>
      </c>
      <c r="P1015" s="13">
        <v>1.1401624368968699</v>
      </c>
    </row>
    <row r="1016" spans="11:16" x14ac:dyDescent="0.3">
      <c r="K1016" s="14" t="s">
        <v>56</v>
      </c>
      <c r="L1016">
        <v>203.13</v>
      </c>
      <c r="M1016">
        <v>109.158</v>
      </c>
      <c r="N1016">
        <v>77.099999999999994</v>
      </c>
      <c r="O1016">
        <v>291.2</v>
      </c>
      <c r="P1016" s="13">
        <v>1.14125686813187</v>
      </c>
    </row>
    <row r="1017" spans="11:16" x14ac:dyDescent="0.3">
      <c r="K1017" s="14" t="s">
        <v>56</v>
      </c>
      <c r="L1017">
        <v>203.13</v>
      </c>
      <c r="M1017">
        <v>94.328699999999998</v>
      </c>
      <c r="N1017">
        <v>111.1</v>
      </c>
      <c r="O1017">
        <v>281.70999999999998</v>
      </c>
      <c r="P1017" s="13">
        <v>1.15844201483795</v>
      </c>
    </row>
    <row r="1018" spans="11:16" x14ac:dyDescent="0.3">
      <c r="K1018" s="14" t="s">
        <v>56</v>
      </c>
      <c r="L1018">
        <v>203.13</v>
      </c>
      <c r="M1018">
        <v>80.837699999999998</v>
      </c>
      <c r="N1018">
        <v>200</v>
      </c>
      <c r="O1018">
        <v>288.89</v>
      </c>
      <c r="P1018" s="13">
        <v>1.1629606424590699</v>
      </c>
    </row>
    <row r="1019" spans="11:16" x14ac:dyDescent="0.3">
      <c r="K1019" s="14" t="s">
        <v>56</v>
      </c>
      <c r="L1019">
        <v>210.5</v>
      </c>
      <c r="M1019">
        <v>78.558999999999997</v>
      </c>
      <c r="N1019">
        <v>129.80000000000001</v>
      </c>
      <c r="O1019">
        <v>276.81</v>
      </c>
      <c r="P1019" s="13">
        <v>1.1661681297641</v>
      </c>
    </row>
    <row r="1020" spans="11:16" x14ac:dyDescent="0.3">
      <c r="K1020" s="14" t="s">
        <v>56</v>
      </c>
      <c r="L1020">
        <v>210.5</v>
      </c>
      <c r="M1020">
        <v>93.533000000000001</v>
      </c>
      <c r="N1020">
        <v>70.099999999999994</v>
      </c>
      <c r="O1020">
        <v>275.93</v>
      </c>
      <c r="P1020" s="13">
        <v>1.1679012793099699</v>
      </c>
    </row>
    <row r="1021" spans="11:16" x14ac:dyDescent="0.3">
      <c r="K1021" s="14" t="s">
        <v>56</v>
      </c>
      <c r="L1021">
        <v>203.13</v>
      </c>
      <c r="M1021">
        <v>86.5886</v>
      </c>
      <c r="N1021">
        <v>155</v>
      </c>
      <c r="O1021">
        <v>282.27</v>
      </c>
      <c r="P1021" s="13">
        <v>1.1691593155489399</v>
      </c>
    </row>
    <row r="1022" spans="11:16" x14ac:dyDescent="0.3">
      <c r="K1022" s="14" t="s">
        <v>56</v>
      </c>
      <c r="L1022">
        <v>203.13</v>
      </c>
      <c r="M1022">
        <v>73.893199999999993</v>
      </c>
      <c r="N1022">
        <v>220</v>
      </c>
      <c r="O1022">
        <v>283.39</v>
      </c>
      <c r="P1022" s="13">
        <v>1.1793754190338399</v>
      </c>
    </row>
    <row r="1023" spans="11:16" x14ac:dyDescent="0.3">
      <c r="K1023" s="14" t="s">
        <v>56</v>
      </c>
      <c r="L1023">
        <v>150.61000000000001</v>
      </c>
      <c r="M1023">
        <v>123.9149</v>
      </c>
      <c r="N1023">
        <v>220.2</v>
      </c>
      <c r="O1023">
        <v>280.86</v>
      </c>
      <c r="P1023" s="13">
        <v>1.18128925443281</v>
      </c>
    </row>
    <row r="1024" spans="11:16" x14ac:dyDescent="0.3">
      <c r="K1024" s="14" t="s">
        <v>56</v>
      </c>
      <c r="L1024">
        <v>203.13</v>
      </c>
      <c r="M1024">
        <v>71.940100000000001</v>
      </c>
      <c r="N1024">
        <v>220</v>
      </c>
      <c r="O1024">
        <v>281.11</v>
      </c>
      <c r="P1024" s="13">
        <v>1.18199316993348</v>
      </c>
    </row>
    <row r="1025" spans="11:16" x14ac:dyDescent="0.3">
      <c r="K1025" s="14" t="s">
        <v>56</v>
      </c>
      <c r="L1025">
        <v>210.5</v>
      </c>
      <c r="M1025">
        <v>88.324600000000004</v>
      </c>
      <c r="N1025">
        <v>100.1</v>
      </c>
      <c r="O1025">
        <v>273.63</v>
      </c>
      <c r="P1025" s="13">
        <v>1.1871892701823601</v>
      </c>
    </row>
    <row r="1026" spans="11:16" x14ac:dyDescent="0.3">
      <c r="K1026" s="14" t="s">
        <v>56</v>
      </c>
      <c r="L1026">
        <v>149.74</v>
      </c>
      <c r="M1026">
        <v>134.0061</v>
      </c>
      <c r="N1026">
        <v>220</v>
      </c>
      <c r="O1026">
        <v>285.74</v>
      </c>
      <c r="P1026" s="13">
        <v>1.19320396164345</v>
      </c>
    </row>
    <row r="1027" spans="11:16" x14ac:dyDescent="0.3">
      <c r="K1027" s="14" t="s">
        <v>56</v>
      </c>
      <c r="L1027">
        <v>202.69</v>
      </c>
      <c r="M1027">
        <v>91.723100000000002</v>
      </c>
      <c r="N1027">
        <v>155</v>
      </c>
      <c r="O1027">
        <v>279.66000000000003</v>
      </c>
      <c r="P1027" s="13">
        <v>1.1968572552385</v>
      </c>
    </row>
    <row r="1028" spans="11:16" x14ac:dyDescent="0.3">
      <c r="K1028" s="14" t="s">
        <v>56</v>
      </c>
      <c r="L1028">
        <v>203.13</v>
      </c>
      <c r="M1028">
        <v>104.4922</v>
      </c>
      <c r="N1028">
        <v>140.1</v>
      </c>
      <c r="O1028">
        <v>285.72000000000003</v>
      </c>
      <c r="P1028" s="13">
        <v>1.20414461710766</v>
      </c>
    </row>
    <row r="1029" spans="11:16" x14ac:dyDescent="0.3">
      <c r="K1029" s="14" t="s">
        <v>56</v>
      </c>
      <c r="L1029">
        <v>203.13</v>
      </c>
      <c r="M1029">
        <v>105.9028</v>
      </c>
      <c r="N1029">
        <v>140.19999999999999</v>
      </c>
      <c r="O1029">
        <v>286.56</v>
      </c>
      <c r="P1029" s="13">
        <v>1.2056281407035201</v>
      </c>
    </row>
    <row r="1030" spans="11:16" x14ac:dyDescent="0.3">
      <c r="K1030" s="14" t="s">
        <v>56</v>
      </c>
      <c r="L1030">
        <v>195.75</v>
      </c>
      <c r="M1030">
        <v>111.32810000000001</v>
      </c>
      <c r="N1030">
        <v>110.1</v>
      </c>
      <c r="O1030">
        <v>275.68</v>
      </c>
      <c r="P1030" s="13">
        <v>1.2177310650029001</v>
      </c>
    </row>
    <row r="1031" spans="11:16" x14ac:dyDescent="0.3">
      <c r="K1031" s="14" t="s">
        <v>56</v>
      </c>
      <c r="L1031">
        <v>210.94</v>
      </c>
      <c r="M1031">
        <v>72.916700000000006</v>
      </c>
      <c r="N1031">
        <v>200</v>
      </c>
      <c r="O1031">
        <v>274.2</v>
      </c>
      <c r="P1031" s="13">
        <v>1.22486032093363</v>
      </c>
    </row>
    <row r="1032" spans="11:16" x14ac:dyDescent="0.3">
      <c r="K1032" s="14" t="s">
        <v>56</v>
      </c>
      <c r="L1032">
        <v>210.94</v>
      </c>
      <c r="M1032">
        <v>78.901899999999998</v>
      </c>
      <c r="N1032">
        <v>200.2</v>
      </c>
      <c r="O1032">
        <v>273.91000000000003</v>
      </c>
      <c r="P1032" s="13">
        <v>1.24819794823117</v>
      </c>
    </row>
    <row r="1033" spans="11:16" x14ac:dyDescent="0.3">
      <c r="K1033" s="14" t="s">
        <v>56</v>
      </c>
      <c r="L1033">
        <v>203.13</v>
      </c>
      <c r="M1033">
        <v>95.5946</v>
      </c>
      <c r="N1033">
        <v>190.2</v>
      </c>
      <c r="O1033">
        <v>278.85000000000002</v>
      </c>
      <c r="P1033" s="13">
        <v>1.24861610184687</v>
      </c>
    </row>
    <row r="1034" spans="11:16" x14ac:dyDescent="0.3">
      <c r="K1034" s="14" t="s">
        <v>56</v>
      </c>
      <c r="L1034">
        <v>203.13</v>
      </c>
      <c r="M1034">
        <v>93.459199999999996</v>
      </c>
      <c r="N1034">
        <v>200</v>
      </c>
      <c r="O1034">
        <v>275.35000000000002</v>
      </c>
      <c r="P1034" s="13">
        <v>1.2659858362084599</v>
      </c>
    </row>
    <row r="1035" spans="11:16" x14ac:dyDescent="0.3">
      <c r="K1035" s="14" t="s">
        <v>56</v>
      </c>
      <c r="L1035">
        <v>203.56</v>
      </c>
      <c r="M1035">
        <v>102.8646</v>
      </c>
      <c r="N1035">
        <v>140.1</v>
      </c>
      <c r="O1035">
        <v>270.77999999999997</v>
      </c>
      <c r="P1035" s="13">
        <v>1.2661592436664499</v>
      </c>
    </row>
    <row r="1036" spans="11:16" x14ac:dyDescent="0.3">
      <c r="K1036" s="14" t="s">
        <v>56</v>
      </c>
      <c r="L1036">
        <v>210.5</v>
      </c>
      <c r="M1036">
        <v>124.2752</v>
      </c>
      <c r="N1036">
        <v>120.1</v>
      </c>
      <c r="O1036">
        <v>288.86</v>
      </c>
      <c r="P1036" s="13">
        <v>1.2670539361628499</v>
      </c>
    </row>
    <row r="1037" spans="11:16" x14ac:dyDescent="0.3">
      <c r="K1037" s="14" t="s">
        <v>56</v>
      </c>
      <c r="L1037">
        <v>203.13</v>
      </c>
      <c r="M1037">
        <v>114.3663</v>
      </c>
      <c r="N1037">
        <v>111.1</v>
      </c>
      <c r="O1037">
        <v>272.77999999999997</v>
      </c>
      <c r="P1037" s="13">
        <v>1.2698229342327201</v>
      </c>
    </row>
    <row r="1038" spans="11:16" x14ac:dyDescent="0.3">
      <c r="K1038" s="14" t="s">
        <v>56</v>
      </c>
      <c r="L1038">
        <v>203.13</v>
      </c>
      <c r="M1038">
        <v>73.893199999999993</v>
      </c>
      <c r="N1038">
        <v>310.01</v>
      </c>
      <c r="O1038">
        <v>281.13</v>
      </c>
      <c r="P1038" s="13">
        <v>1.27210116316295</v>
      </c>
    </row>
    <row r="1039" spans="11:16" x14ac:dyDescent="0.3">
      <c r="K1039" s="14" t="s">
        <v>56</v>
      </c>
      <c r="L1039">
        <v>203.13</v>
      </c>
      <c r="M1039">
        <v>113.1366</v>
      </c>
      <c r="N1039">
        <v>150.1</v>
      </c>
      <c r="O1039">
        <v>278.79000000000002</v>
      </c>
      <c r="P1039" s="13">
        <v>1.2744094121023</v>
      </c>
    </row>
    <row r="1040" spans="11:16" x14ac:dyDescent="0.3">
      <c r="K1040" s="14" t="s">
        <v>56</v>
      </c>
      <c r="L1040">
        <v>203.13</v>
      </c>
      <c r="M1040">
        <v>111.11109999999999</v>
      </c>
      <c r="N1040">
        <v>100.1</v>
      </c>
      <c r="O1040">
        <v>266.45</v>
      </c>
      <c r="P1040" s="13">
        <v>1.2770392193657301</v>
      </c>
    </row>
    <row r="1041" spans="11:16" x14ac:dyDescent="0.3">
      <c r="K1041" s="14" t="s">
        <v>56</v>
      </c>
      <c r="L1041">
        <v>203.13</v>
      </c>
      <c r="M1041">
        <v>114.511</v>
      </c>
      <c r="N1041">
        <v>130.1</v>
      </c>
      <c r="O1041">
        <v>273.31</v>
      </c>
      <c r="P1041" s="13">
        <v>1.28596465551937</v>
      </c>
    </row>
    <row r="1042" spans="11:16" x14ac:dyDescent="0.3">
      <c r="K1042" s="14" t="s">
        <v>56</v>
      </c>
      <c r="L1042">
        <v>202.69</v>
      </c>
      <c r="M1042">
        <v>74.544300000000007</v>
      </c>
      <c r="N1042">
        <v>288.01</v>
      </c>
      <c r="O1042">
        <v>270.5</v>
      </c>
      <c r="P1042" s="13">
        <v>1.3017260628465801</v>
      </c>
    </row>
    <row r="1043" spans="11:16" x14ac:dyDescent="0.3">
      <c r="K1043" s="14" t="s">
        <v>56</v>
      </c>
      <c r="L1043">
        <v>203.13</v>
      </c>
      <c r="M1043">
        <v>112.0877</v>
      </c>
      <c r="N1043">
        <v>200</v>
      </c>
      <c r="O1043">
        <v>281.08999999999997</v>
      </c>
      <c r="P1043" s="13">
        <v>1.3064061332669299</v>
      </c>
    </row>
    <row r="1044" spans="11:16" x14ac:dyDescent="0.3">
      <c r="K1044" s="14" t="s">
        <v>56</v>
      </c>
      <c r="L1044">
        <v>195.75</v>
      </c>
      <c r="M1044">
        <v>170.625</v>
      </c>
      <c r="N1044">
        <v>50.1</v>
      </c>
      <c r="O1044">
        <v>290.06</v>
      </c>
      <c r="P1044" s="13">
        <v>1.30800868785768</v>
      </c>
    </row>
    <row r="1045" spans="11:16" x14ac:dyDescent="0.3">
      <c r="K1045" s="14" t="s">
        <v>56</v>
      </c>
      <c r="L1045">
        <v>150.61000000000001</v>
      </c>
      <c r="M1045">
        <v>156.57550000000001</v>
      </c>
      <c r="N1045">
        <v>260.01</v>
      </c>
      <c r="O1045">
        <v>285.47000000000003</v>
      </c>
      <c r="P1045" s="13">
        <v>1.31288086313798</v>
      </c>
    </row>
    <row r="1046" spans="11:16" x14ac:dyDescent="0.3">
      <c r="K1046" s="14" t="s">
        <v>56</v>
      </c>
      <c r="L1046">
        <v>203.13</v>
      </c>
      <c r="M1046">
        <v>103.6589</v>
      </c>
      <c r="N1046">
        <v>240.01</v>
      </c>
      <c r="O1046">
        <v>280.56</v>
      </c>
      <c r="P1046" s="13">
        <v>1.3159092529227301</v>
      </c>
    </row>
    <row r="1047" spans="11:16" x14ac:dyDescent="0.3">
      <c r="K1047" s="14" t="s">
        <v>56</v>
      </c>
      <c r="L1047">
        <v>203.13</v>
      </c>
      <c r="M1047">
        <v>121.3455</v>
      </c>
      <c r="N1047">
        <v>255.01</v>
      </c>
      <c r="O1047">
        <v>295.8</v>
      </c>
      <c r="P1047" s="13">
        <v>1.32108891142664</v>
      </c>
    </row>
    <row r="1048" spans="11:16" x14ac:dyDescent="0.3">
      <c r="K1048" s="14" t="s">
        <v>56</v>
      </c>
      <c r="L1048">
        <v>157.99</v>
      </c>
      <c r="M1048">
        <v>143.66329999999999</v>
      </c>
      <c r="N1048">
        <v>220</v>
      </c>
      <c r="O1048">
        <v>271</v>
      </c>
      <c r="P1048" s="13">
        <v>1.3241819188191899</v>
      </c>
    </row>
    <row r="1049" spans="11:16" x14ac:dyDescent="0.3">
      <c r="K1049" s="14" t="s">
        <v>56</v>
      </c>
      <c r="L1049">
        <v>202.69</v>
      </c>
      <c r="M1049">
        <v>102.32210000000001</v>
      </c>
      <c r="N1049">
        <v>300.01</v>
      </c>
      <c r="O1049">
        <v>289.18</v>
      </c>
      <c r="P1049" s="13">
        <v>1.3244854415934699</v>
      </c>
    </row>
    <row r="1050" spans="11:16" x14ac:dyDescent="0.3">
      <c r="K1050" s="14" t="s">
        <v>56</v>
      </c>
      <c r="L1050">
        <v>203.13</v>
      </c>
      <c r="M1050">
        <v>124.7092</v>
      </c>
      <c r="N1050">
        <v>180</v>
      </c>
      <c r="O1050">
        <v>282.55</v>
      </c>
      <c r="P1050" s="13">
        <v>1.3259217837550901</v>
      </c>
    </row>
    <row r="1051" spans="11:16" x14ac:dyDescent="0.3">
      <c r="K1051" s="14" t="s">
        <v>56</v>
      </c>
      <c r="L1051">
        <v>210.94</v>
      </c>
      <c r="M1051">
        <v>103.73260000000001</v>
      </c>
      <c r="N1051">
        <v>200</v>
      </c>
      <c r="O1051">
        <v>276.5</v>
      </c>
      <c r="P1051" s="13">
        <v>1.3261215189873401</v>
      </c>
    </row>
    <row r="1052" spans="11:16" x14ac:dyDescent="0.3">
      <c r="K1052" s="14" t="s">
        <v>56</v>
      </c>
      <c r="L1052">
        <v>203.13</v>
      </c>
      <c r="M1052">
        <v>102.6476</v>
      </c>
      <c r="N1052">
        <v>290.01</v>
      </c>
      <c r="O1052">
        <v>287.42</v>
      </c>
      <c r="P1052" s="13">
        <v>1.3262132071532899</v>
      </c>
    </row>
    <row r="1053" spans="11:16" x14ac:dyDescent="0.3">
      <c r="K1053" s="14" t="s">
        <v>56</v>
      </c>
      <c r="L1053">
        <v>203.13</v>
      </c>
      <c r="M1053">
        <v>133.89760000000001</v>
      </c>
      <c r="N1053">
        <v>150.1</v>
      </c>
      <c r="O1053">
        <v>283.17</v>
      </c>
      <c r="P1053" s="13">
        <v>1.3280135607585499</v>
      </c>
    </row>
    <row r="1054" spans="11:16" x14ac:dyDescent="0.3">
      <c r="K1054" s="14" t="s">
        <v>56</v>
      </c>
      <c r="L1054">
        <v>210.5</v>
      </c>
      <c r="M1054">
        <v>133.46350000000001</v>
      </c>
      <c r="N1054">
        <v>122.1</v>
      </c>
      <c r="O1054">
        <v>281.99</v>
      </c>
      <c r="P1054" s="13">
        <v>1.33235043795879</v>
      </c>
    </row>
    <row r="1055" spans="11:16" x14ac:dyDescent="0.3">
      <c r="K1055" s="14" t="s">
        <v>56</v>
      </c>
      <c r="L1055">
        <v>210.5</v>
      </c>
      <c r="M1055">
        <v>140.6251</v>
      </c>
      <c r="N1055">
        <v>24.8</v>
      </c>
      <c r="O1055">
        <v>267.32</v>
      </c>
      <c r="P1055" s="13">
        <v>1.33762195121951</v>
      </c>
    </row>
    <row r="1056" spans="11:16" x14ac:dyDescent="0.3">
      <c r="K1056" s="14" t="s">
        <v>56</v>
      </c>
      <c r="L1056">
        <v>203.13</v>
      </c>
      <c r="M1056">
        <v>143.22919999999999</v>
      </c>
      <c r="N1056">
        <v>120.1</v>
      </c>
      <c r="O1056">
        <v>281.14</v>
      </c>
      <c r="P1056" s="13">
        <v>1.3430504375044501</v>
      </c>
    </row>
    <row r="1057" spans="11:16" x14ac:dyDescent="0.3">
      <c r="K1057" s="14" t="s">
        <v>56</v>
      </c>
      <c r="L1057">
        <v>203.13</v>
      </c>
      <c r="M1057">
        <v>137.91239999999999</v>
      </c>
      <c r="N1057">
        <v>122.1</v>
      </c>
      <c r="O1057">
        <v>276.81</v>
      </c>
      <c r="P1057" s="13">
        <v>1.3467302481846799</v>
      </c>
    </row>
    <row r="1058" spans="11:16" x14ac:dyDescent="0.3">
      <c r="K1058" s="14" t="s">
        <v>56</v>
      </c>
      <c r="L1058">
        <v>202.69</v>
      </c>
      <c r="M1058">
        <v>111.2196</v>
      </c>
      <c r="N1058">
        <v>200</v>
      </c>
      <c r="O1058">
        <v>268.75</v>
      </c>
      <c r="P1058" s="13">
        <v>1.3615240930232599</v>
      </c>
    </row>
    <row r="1059" spans="11:16" x14ac:dyDescent="0.3">
      <c r="K1059" s="14" t="s">
        <v>56</v>
      </c>
      <c r="L1059">
        <v>210.5</v>
      </c>
      <c r="M1059">
        <v>127.0616</v>
      </c>
      <c r="N1059">
        <v>150.1</v>
      </c>
      <c r="O1059">
        <v>276.52</v>
      </c>
      <c r="P1059" s="13">
        <v>1.3618819615217701</v>
      </c>
    </row>
    <row r="1060" spans="11:16" x14ac:dyDescent="0.3">
      <c r="K1060" s="14" t="s">
        <v>56</v>
      </c>
      <c r="L1060">
        <v>210.5</v>
      </c>
      <c r="M1060">
        <v>127.3134</v>
      </c>
      <c r="N1060">
        <v>180</v>
      </c>
      <c r="O1060">
        <v>279.08999999999997</v>
      </c>
      <c r="P1060" s="13">
        <v>1.3780981045540901</v>
      </c>
    </row>
    <row r="1061" spans="11:16" x14ac:dyDescent="0.3">
      <c r="K1061" s="14" t="s">
        <v>56</v>
      </c>
      <c r="L1061">
        <v>210.5</v>
      </c>
      <c r="M1061">
        <v>88.667500000000004</v>
      </c>
      <c r="N1061">
        <v>300.10000000000002</v>
      </c>
      <c r="O1061">
        <v>270.45999999999998</v>
      </c>
      <c r="P1061" s="13">
        <v>1.39463691488575</v>
      </c>
    </row>
    <row r="1062" spans="11:16" x14ac:dyDescent="0.3">
      <c r="K1062" s="14" t="s">
        <v>56</v>
      </c>
      <c r="L1062">
        <v>210.5</v>
      </c>
      <c r="M1062">
        <v>135.01740000000001</v>
      </c>
      <c r="N1062">
        <v>232.6</v>
      </c>
      <c r="O1062">
        <v>290.93</v>
      </c>
      <c r="P1062" s="13">
        <v>1.3955020107929701</v>
      </c>
    </row>
    <row r="1063" spans="11:16" x14ac:dyDescent="0.3">
      <c r="K1063" s="14" t="s">
        <v>56</v>
      </c>
      <c r="L1063">
        <v>270.39999999999998</v>
      </c>
      <c r="M1063">
        <v>84.960999999999999</v>
      </c>
      <c r="N1063">
        <v>100.1</v>
      </c>
      <c r="O1063">
        <v>273.06</v>
      </c>
      <c r="P1063" s="13">
        <v>1.3967150076906201</v>
      </c>
    </row>
    <row r="1064" spans="11:16" x14ac:dyDescent="0.3">
      <c r="K1064" s="14" t="s">
        <v>56</v>
      </c>
      <c r="L1064">
        <v>210.5</v>
      </c>
      <c r="M1064">
        <v>128.79769999999999</v>
      </c>
      <c r="N1064">
        <v>200</v>
      </c>
      <c r="O1064">
        <v>277.95</v>
      </c>
      <c r="P1064" s="13">
        <v>1.4077988846914899</v>
      </c>
    </row>
    <row r="1065" spans="11:16" x14ac:dyDescent="0.3">
      <c r="K1065" s="14" t="s">
        <v>56</v>
      </c>
      <c r="L1065">
        <v>210.5</v>
      </c>
      <c r="M1065">
        <v>113.17270000000001</v>
      </c>
      <c r="N1065">
        <v>240.01</v>
      </c>
      <c r="O1065">
        <v>273.06</v>
      </c>
      <c r="P1065" s="13">
        <v>1.4138844942503499</v>
      </c>
    </row>
    <row r="1066" spans="11:16" x14ac:dyDescent="0.3">
      <c r="K1066" s="14" t="s">
        <v>56</v>
      </c>
      <c r="L1066">
        <v>210.94</v>
      </c>
      <c r="M1066">
        <v>134.27520000000001</v>
      </c>
      <c r="N1066">
        <v>195</v>
      </c>
      <c r="O1066">
        <v>280</v>
      </c>
      <c r="P1066" s="13">
        <v>1.4139828571428601</v>
      </c>
    </row>
    <row r="1067" spans="11:16" x14ac:dyDescent="0.3">
      <c r="K1067" s="14" t="s">
        <v>56</v>
      </c>
      <c r="L1067">
        <v>203.13</v>
      </c>
      <c r="M1067">
        <v>158.42019999999999</v>
      </c>
      <c r="N1067">
        <v>120.1</v>
      </c>
      <c r="O1067">
        <v>276.27</v>
      </c>
      <c r="P1067" s="13">
        <v>1.42171136931263</v>
      </c>
    </row>
    <row r="1068" spans="11:16" x14ac:dyDescent="0.3">
      <c r="K1068" s="14" t="s">
        <v>56</v>
      </c>
      <c r="L1068">
        <v>203.13</v>
      </c>
      <c r="M1068">
        <v>118.41719999999999</v>
      </c>
      <c r="N1068">
        <v>266.01</v>
      </c>
      <c r="O1068">
        <v>274.74</v>
      </c>
      <c r="P1068" s="13">
        <v>1.4221074470408399</v>
      </c>
    </row>
    <row r="1069" spans="11:16" x14ac:dyDescent="0.3">
      <c r="K1069" s="14" t="s">
        <v>56</v>
      </c>
      <c r="L1069">
        <v>210.5</v>
      </c>
      <c r="M1069">
        <v>113.17270000000001</v>
      </c>
      <c r="N1069">
        <v>250.01</v>
      </c>
      <c r="O1069">
        <v>272.77999999999997</v>
      </c>
      <c r="P1069" s="13">
        <v>1.42486729232348</v>
      </c>
    </row>
    <row r="1070" spans="11:16" x14ac:dyDescent="0.3">
      <c r="K1070" s="14" t="s">
        <v>56</v>
      </c>
      <c r="L1070">
        <v>203.13</v>
      </c>
      <c r="M1070">
        <v>124.13200000000001</v>
      </c>
      <c r="N1070">
        <v>280</v>
      </c>
      <c r="O1070">
        <v>279.39</v>
      </c>
      <c r="P1070" s="13">
        <v>1.43191238054333</v>
      </c>
    </row>
    <row r="1071" spans="11:16" x14ac:dyDescent="0.3">
      <c r="K1071" s="14" t="s">
        <v>56</v>
      </c>
      <c r="L1071">
        <v>210.5</v>
      </c>
      <c r="M1071">
        <v>155.59899999999999</v>
      </c>
      <c r="N1071">
        <v>130.1</v>
      </c>
      <c r="O1071">
        <v>279.23</v>
      </c>
      <c r="P1071" s="13">
        <v>1.4322422375819199</v>
      </c>
    </row>
    <row r="1072" spans="11:16" x14ac:dyDescent="0.3">
      <c r="K1072" s="14" t="s">
        <v>56</v>
      </c>
      <c r="L1072">
        <v>210.5</v>
      </c>
      <c r="M1072">
        <v>159.5052</v>
      </c>
      <c r="N1072">
        <v>100.1</v>
      </c>
      <c r="O1072">
        <v>275.64</v>
      </c>
      <c r="P1072" s="13">
        <v>1.43676969960818</v>
      </c>
    </row>
    <row r="1073" spans="11:16" x14ac:dyDescent="0.3">
      <c r="K1073" s="14" t="s">
        <v>56</v>
      </c>
      <c r="L1073">
        <v>211.37</v>
      </c>
      <c r="M1073">
        <v>111.11109999999999</v>
      </c>
      <c r="N1073">
        <v>268.01</v>
      </c>
      <c r="O1073">
        <v>272.49</v>
      </c>
      <c r="P1073" s="13">
        <v>1.4391856581892899</v>
      </c>
    </row>
    <row r="1074" spans="11:16" x14ac:dyDescent="0.3">
      <c r="K1074" s="14" t="s">
        <v>56</v>
      </c>
      <c r="L1074">
        <v>210.5</v>
      </c>
      <c r="M1074">
        <v>121.23699999999999</v>
      </c>
      <c r="N1074">
        <v>240.01</v>
      </c>
      <c r="O1074">
        <v>272.19</v>
      </c>
      <c r="P1074" s="13">
        <v>1.4480311547081099</v>
      </c>
    </row>
    <row r="1075" spans="11:16" x14ac:dyDescent="0.3">
      <c r="K1075" s="14" t="s">
        <v>56</v>
      </c>
      <c r="L1075">
        <v>210.94</v>
      </c>
      <c r="M1075">
        <v>208.4418</v>
      </c>
      <c r="N1075">
        <v>40.1</v>
      </c>
      <c r="O1075">
        <v>287.16000000000003</v>
      </c>
      <c r="P1075" s="13">
        <v>1.4967537261457</v>
      </c>
    </row>
    <row r="1076" spans="11:16" x14ac:dyDescent="0.3">
      <c r="K1076" s="14" t="s">
        <v>56</v>
      </c>
      <c r="L1076">
        <v>202.69</v>
      </c>
      <c r="M1076">
        <v>137.3698</v>
      </c>
      <c r="N1076">
        <v>320.11</v>
      </c>
      <c r="O1076">
        <v>281.61</v>
      </c>
      <c r="P1076" s="13">
        <v>1.5031014523632</v>
      </c>
    </row>
    <row r="1077" spans="11:16" x14ac:dyDescent="0.3">
      <c r="K1077" s="14" t="s">
        <v>56</v>
      </c>
      <c r="L1077">
        <v>157.12</v>
      </c>
      <c r="M1077">
        <v>145.2517</v>
      </c>
      <c r="N1077">
        <v>350.01</v>
      </c>
      <c r="O1077">
        <v>261.01</v>
      </c>
      <c r="P1077" s="13">
        <v>1.5071234818589301</v>
      </c>
    </row>
    <row r="1078" spans="11:16" x14ac:dyDescent="0.3">
      <c r="K1078" s="14" t="s">
        <v>56</v>
      </c>
      <c r="L1078">
        <v>203.13</v>
      </c>
      <c r="M1078">
        <v>148.65450000000001</v>
      </c>
      <c r="N1078">
        <v>255.01</v>
      </c>
      <c r="O1078">
        <v>273.36</v>
      </c>
      <c r="P1078" s="13">
        <v>1.5294377377816799</v>
      </c>
    </row>
    <row r="1079" spans="11:16" x14ac:dyDescent="0.3">
      <c r="K1079" s="14" t="s">
        <v>56</v>
      </c>
      <c r="L1079">
        <v>203.13</v>
      </c>
      <c r="M1079">
        <v>133.89760000000001</v>
      </c>
      <c r="N1079">
        <v>380.11</v>
      </c>
      <c r="O1079">
        <v>277.93</v>
      </c>
      <c r="P1079" s="13">
        <v>1.56822293383226</v>
      </c>
    </row>
    <row r="1080" spans="11:16" x14ac:dyDescent="0.3">
      <c r="K1080" s="14" t="s">
        <v>56</v>
      </c>
      <c r="L1080">
        <v>202.69</v>
      </c>
      <c r="M1080">
        <v>133.6806</v>
      </c>
      <c r="N1080">
        <v>377</v>
      </c>
      <c r="O1080">
        <v>274.77</v>
      </c>
      <c r="P1080" s="13">
        <v>1.5809244095061299</v>
      </c>
    </row>
    <row r="1081" spans="11:16" x14ac:dyDescent="0.3">
      <c r="K1081" s="14" t="s">
        <v>56</v>
      </c>
      <c r="L1081">
        <v>203.13</v>
      </c>
      <c r="M1081">
        <v>206.08799999999999</v>
      </c>
      <c r="N1081">
        <v>255.01</v>
      </c>
      <c r="O1081">
        <v>279.39999999999998</v>
      </c>
      <c r="P1081" s="13">
        <v>1.7019348604151801</v>
      </c>
    </row>
    <row r="1082" spans="11:16" x14ac:dyDescent="0.3">
      <c r="K1082" s="14" t="s">
        <v>58</v>
      </c>
      <c r="L1082">
        <v>202.69</v>
      </c>
      <c r="M1082">
        <v>78.667500000000004</v>
      </c>
      <c r="N1082">
        <v>130.1</v>
      </c>
      <c r="O1082">
        <v>283.44</v>
      </c>
      <c r="P1082" s="13">
        <v>1.1119937200112899</v>
      </c>
    </row>
    <row r="1083" spans="11:16" x14ac:dyDescent="0.3">
      <c r="K1083" s="14" t="s">
        <v>58</v>
      </c>
      <c r="L1083">
        <v>203.13</v>
      </c>
      <c r="M1083">
        <v>127.6041</v>
      </c>
      <c r="N1083">
        <v>170.2</v>
      </c>
      <c r="O1083">
        <v>267.60000000000002</v>
      </c>
      <c r="P1083" s="13">
        <v>1.4012933482810199</v>
      </c>
    </row>
    <row r="1084" spans="11:16" x14ac:dyDescent="0.3">
      <c r="K1084" s="14" t="s">
        <v>63</v>
      </c>
      <c r="L1084">
        <v>150.61000000000001</v>
      </c>
      <c r="M1084">
        <v>51.1068</v>
      </c>
      <c r="N1084">
        <v>160</v>
      </c>
      <c r="O1084">
        <v>282.83999999999997</v>
      </c>
      <c r="P1084" s="13">
        <v>0.86026304624522698</v>
      </c>
    </row>
    <row r="1085" spans="11:16" x14ac:dyDescent="0.3">
      <c r="K1085" s="14" t="s">
        <v>63</v>
      </c>
      <c r="L1085">
        <v>157.55000000000001</v>
      </c>
      <c r="M1085">
        <v>50.238700000000001</v>
      </c>
      <c r="N1085">
        <v>200</v>
      </c>
      <c r="O1085">
        <v>284.04000000000002</v>
      </c>
      <c r="P1085" s="13">
        <v>0.91462012392620795</v>
      </c>
    </row>
    <row r="1086" spans="11:16" x14ac:dyDescent="0.3">
      <c r="K1086" s="14" t="s">
        <v>63</v>
      </c>
      <c r="L1086">
        <v>150.16999999999999</v>
      </c>
      <c r="M1086">
        <v>102.32210000000001</v>
      </c>
      <c r="N1086">
        <v>80.099999999999994</v>
      </c>
      <c r="O1086">
        <v>298.13</v>
      </c>
      <c r="P1086" s="13">
        <v>0.91677489685707603</v>
      </c>
    </row>
    <row r="1087" spans="11:16" x14ac:dyDescent="0.3">
      <c r="K1087" s="14" t="s">
        <v>63</v>
      </c>
      <c r="L1087">
        <v>203.13</v>
      </c>
      <c r="M1087">
        <v>58.883099999999999</v>
      </c>
      <c r="N1087">
        <v>70.099999999999994</v>
      </c>
      <c r="O1087">
        <v>292.08</v>
      </c>
      <c r="P1087" s="13">
        <v>0.95946007943029299</v>
      </c>
    </row>
    <row r="1088" spans="11:16" x14ac:dyDescent="0.3">
      <c r="K1088" s="14" t="s">
        <v>63</v>
      </c>
      <c r="L1088">
        <v>150.16999999999999</v>
      </c>
      <c r="M1088">
        <v>83.441800000000001</v>
      </c>
      <c r="N1088">
        <v>175</v>
      </c>
      <c r="O1088">
        <v>286.3</v>
      </c>
      <c r="P1088" s="13">
        <v>0.97489276982186501</v>
      </c>
    </row>
    <row r="1089" spans="11:16" x14ac:dyDescent="0.3">
      <c r="K1089" s="14" t="s">
        <v>63</v>
      </c>
      <c r="L1089">
        <v>203.13</v>
      </c>
      <c r="M1089">
        <v>59.534100000000002</v>
      </c>
      <c r="N1089">
        <v>30</v>
      </c>
      <c r="O1089">
        <v>273.62</v>
      </c>
      <c r="P1089" s="13">
        <v>0.988466120897595</v>
      </c>
    </row>
    <row r="1090" spans="11:16" x14ac:dyDescent="0.3">
      <c r="K1090" s="14" t="s">
        <v>63</v>
      </c>
      <c r="L1090">
        <v>150.61000000000001</v>
      </c>
      <c r="M1090">
        <v>81.705699999999993</v>
      </c>
      <c r="N1090">
        <v>158.69999999999999</v>
      </c>
      <c r="O1090">
        <v>274.51</v>
      </c>
      <c r="P1090" s="13">
        <v>0.99660376671159501</v>
      </c>
    </row>
    <row r="1091" spans="11:16" x14ac:dyDescent="0.3">
      <c r="K1091" s="14" t="s">
        <v>63</v>
      </c>
      <c r="L1091">
        <v>150.16999999999999</v>
      </c>
      <c r="M1091">
        <v>82.682299999999998</v>
      </c>
      <c r="N1091">
        <v>200</v>
      </c>
      <c r="O1091">
        <v>285.72000000000003</v>
      </c>
      <c r="P1091" s="13">
        <v>0.99696311073778499</v>
      </c>
    </row>
    <row r="1092" spans="11:16" x14ac:dyDescent="0.3">
      <c r="K1092" s="14" t="s">
        <v>63</v>
      </c>
      <c r="L1092">
        <v>157.99</v>
      </c>
      <c r="M1092">
        <v>94.726600000000005</v>
      </c>
      <c r="N1092">
        <v>95.1</v>
      </c>
      <c r="O1092">
        <v>276.24</v>
      </c>
      <c r="P1092" s="13">
        <v>1.0043534607587601</v>
      </c>
    </row>
    <row r="1093" spans="11:16" x14ac:dyDescent="0.3">
      <c r="K1093" s="14" t="s">
        <v>63</v>
      </c>
      <c r="L1093">
        <v>150.61000000000001</v>
      </c>
      <c r="M1093">
        <v>84.635400000000004</v>
      </c>
      <c r="N1093">
        <v>222</v>
      </c>
      <c r="O1093">
        <v>289.23</v>
      </c>
      <c r="P1093" s="13">
        <v>1.0129149811568601</v>
      </c>
    </row>
    <row r="1094" spans="11:16" x14ac:dyDescent="0.3">
      <c r="K1094" s="14" t="s">
        <v>63</v>
      </c>
      <c r="L1094">
        <v>203.13</v>
      </c>
      <c r="M1094">
        <v>61.487299999999998</v>
      </c>
      <c r="N1094">
        <v>120.1</v>
      </c>
      <c r="O1094">
        <v>283.69</v>
      </c>
      <c r="P1094" s="13">
        <v>1.0428400719094799</v>
      </c>
    </row>
    <row r="1095" spans="11:16" x14ac:dyDescent="0.3">
      <c r="K1095" s="14" t="s">
        <v>63</v>
      </c>
      <c r="L1095">
        <v>150.61000000000001</v>
      </c>
      <c r="M1095">
        <v>104.2752</v>
      </c>
      <c r="N1095">
        <v>178</v>
      </c>
      <c r="O1095">
        <v>287.47000000000003</v>
      </c>
      <c r="P1095" s="13">
        <v>1.0476404494381999</v>
      </c>
    </row>
    <row r="1096" spans="11:16" x14ac:dyDescent="0.3">
      <c r="K1096" s="14" t="s">
        <v>63</v>
      </c>
      <c r="L1096">
        <v>203.13</v>
      </c>
      <c r="M1096">
        <v>83.550399999999996</v>
      </c>
      <c r="N1096">
        <v>50.1</v>
      </c>
      <c r="O1096">
        <v>284.31</v>
      </c>
      <c r="P1096" s="13">
        <v>1.05415356477085</v>
      </c>
    </row>
    <row r="1097" spans="11:16" x14ac:dyDescent="0.3">
      <c r="K1097" s="14" t="s">
        <v>63</v>
      </c>
      <c r="L1097">
        <v>203.13</v>
      </c>
      <c r="M1097">
        <v>59.678800000000003</v>
      </c>
      <c r="N1097">
        <v>130.1</v>
      </c>
      <c r="O1097">
        <v>281.11</v>
      </c>
      <c r="P1097" s="13">
        <v>1.0552267795524899</v>
      </c>
    </row>
    <row r="1098" spans="11:16" x14ac:dyDescent="0.3">
      <c r="K1098" s="14" t="s">
        <v>63</v>
      </c>
      <c r="L1098">
        <v>203.13</v>
      </c>
      <c r="M1098">
        <v>71.940100000000001</v>
      </c>
      <c r="N1098">
        <v>120.1</v>
      </c>
      <c r="O1098">
        <v>288.86</v>
      </c>
      <c r="P1098" s="13">
        <v>1.06036176694593</v>
      </c>
    </row>
    <row r="1099" spans="11:16" x14ac:dyDescent="0.3">
      <c r="K1099" s="14" t="s">
        <v>63</v>
      </c>
      <c r="L1099">
        <v>149.74</v>
      </c>
      <c r="M1099">
        <v>83.658900000000003</v>
      </c>
      <c r="N1099">
        <v>200</v>
      </c>
      <c r="O1099">
        <v>269.02</v>
      </c>
      <c r="P1099" s="13">
        <v>1.06088357742919</v>
      </c>
    </row>
    <row r="1100" spans="11:16" x14ac:dyDescent="0.3">
      <c r="K1100" s="14" t="s">
        <v>63</v>
      </c>
      <c r="L1100">
        <v>149.74</v>
      </c>
      <c r="M1100">
        <v>93.424499999999995</v>
      </c>
      <c r="N1100">
        <v>210</v>
      </c>
      <c r="O1100">
        <v>277.95</v>
      </c>
      <c r="P1100" s="13">
        <v>1.07128800143911</v>
      </c>
    </row>
    <row r="1101" spans="11:16" x14ac:dyDescent="0.3">
      <c r="K1101" s="14" t="s">
        <v>63</v>
      </c>
      <c r="L1101">
        <v>203.13</v>
      </c>
      <c r="M1101">
        <v>57.653399999999998</v>
      </c>
      <c r="N1101">
        <v>180</v>
      </c>
      <c r="O1101">
        <v>285.99</v>
      </c>
      <c r="P1101" s="13">
        <v>1.0755040386027499</v>
      </c>
    </row>
    <row r="1102" spans="11:16" x14ac:dyDescent="0.3">
      <c r="K1102" s="14" t="s">
        <v>63</v>
      </c>
      <c r="L1102">
        <v>202.69</v>
      </c>
      <c r="M1102">
        <v>51.215299999999999</v>
      </c>
      <c r="N1102">
        <v>120.1</v>
      </c>
      <c r="O1102">
        <v>264.70999999999998</v>
      </c>
      <c r="P1102" s="13">
        <v>1.07714593328548</v>
      </c>
    </row>
    <row r="1103" spans="11:16" x14ac:dyDescent="0.3">
      <c r="K1103" s="14" t="s">
        <v>63</v>
      </c>
      <c r="L1103">
        <v>210.5</v>
      </c>
      <c r="M1103">
        <v>67.201999999999998</v>
      </c>
      <c r="N1103">
        <v>110.1</v>
      </c>
      <c r="O1103">
        <v>283.43</v>
      </c>
      <c r="P1103" s="13">
        <v>1.08078890731398</v>
      </c>
    </row>
    <row r="1104" spans="11:16" x14ac:dyDescent="0.3">
      <c r="K1104" s="14" t="s">
        <v>63</v>
      </c>
      <c r="L1104">
        <v>203.13</v>
      </c>
      <c r="M1104">
        <v>52.083300000000001</v>
      </c>
      <c r="N1104">
        <v>240.01</v>
      </c>
      <c r="O1104">
        <v>293.75</v>
      </c>
      <c r="P1104" s="13">
        <v>1.0812456170212801</v>
      </c>
    </row>
    <row r="1105" spans="11:16" x14ac:dyDescent="0.3">
      <c r="K1105" s="14" t="s">
        <v>63</v>
      </c>
      <c r="L1105">
        <v>150.16999999999999</v>
      </c>
      <c r="M1105">
        <v>82.573800000000006</v>
      </c>
      <c r="N1105">
        <v>260.01</v>
      </c>
      <c r="O1105">
        <v>275.94</v>
      </c>
      <c r="P1105" s="13">
        <v>1.08844821337972</v>
      </c>
    </row>
    <row r="1106" spans="11:16" x14ac:dyDescent="0.3">
      <c r="K1106" s="14" t="s">
        <v>63</v>
      </c>
      <c r="L1106">
        <v>157.99</v>
      </c>
      <c r="M1106">
        <v>102.4306</v>
      </c>
      <c r="N1106">
        <v>160</v>
      </c>
      <c r="O1106">
        <v>276.82</v>
      </c>
      <c r="P1106" s="13">
        <v>1.09103605230836</v>
      </c>
    </row>
    <row r="1107" spans="11:16" x14ac:dyDescent="0.3">
      <c r="K1107" s="14" t="s">
        <v>63</v>
      </c>
      <c r="L1107">
        <v>203.13</v>
      </c>
      <c r="M1107">
        <v>73.784700000000001</v>
      </c>
      <c r="N1107">
        <v>140.1</v>
      </c>
      <c r="O1107">
        <v>286.60000000000002</v>
      </c>
      <c r="P1107" s="13">
        <v>1.09330321004885</v>
      </c>
    </row>
    <row r="1108" spans="11:16" x14ac:dyDescent="0.3">
      <c r="K1108" s="14" t="s">
        <v>63</v>
      </c>
      <c r="L1108">
        <v>203.13</v>
      </c>
      <c r="M1108">
        <v>51.323799999999999</v>
      </c>
      <c r="N1108">
        <v>186</v>
      </c>
      <c r="O1108">
        <v>276.8</v>
      </c>
      <c r="P1108" s="13">
        <v>1.0939804913294799</v>
      </c>
    </row>
    <row r="1109" spans="11:16" x14ac:dyDescent="0.3">
      <c r="K1109" s="14" t="s">
        <v>63</v>
      </c>
      <c r="L1109">
        <v>203.13</v>
      </c>
      <c r="M1109">
        <v>74.942099999999996</v>
      </c>
      <c r="N1109">
        <v>70.099999999999994</v>
      </c>
      <c r="O1109">
        <v>270.77</v>
      </c>
      <c r="P1109" s="13">
        <v>1.09427964693282</v>
      </c>
    </row>
    <row r="1110" spans="11:16" x14ac:dyDescent="0.3">
      <c r="K1110" s="14" t="s">
        <v>63</v>
      </c>
      <c r="L1110">
        <v>203.13</v>
      </c>
      <c r="M1110">
        <v>49.370699999999999</v>
      </c>
      <c r="N1110">
        <v>210</v>
      </c>
      <c r="O1110">
        <v>280.52</v>
      </c>
      <c r="P1110" s="13">
        <v>1.0947550976757501</v>
      </c>
    </row>
    <row r="1111" spans="11:16" x14ac:dyDescent="0.3">
      <c r="K1111" s="14" t="s">
        <v>63</v>
      </c>
      <c r="L1111">
        <v>210.5</v>
      </c>
      <c r="M1111">
        <v>75.159099999999995</v>
      </c>
      <c r="N1111">
        <v>100.1</v>
      </c>
      <c r="O1111">
        <v>282.58</v>
      </c>
      <c r="P1111" s="13">
        <v>1.10299773515465</v>
      </c>
    </row>
    <row r="1112" spans="11:16" x14ac:dyDescent="0.3">
      <c r="K1112" s="14" t="s">
        <v>63</v>
      </c>
      <c r="L1112">
        <v>203.13</v>
      </c>
      <c r="M1112">
        <v>78.7761</v>
      </c>
      <c r="N1112">
        <v>124.1</v>
      </c>
      <c r="O1112">
        <v>284.54000000000002</v>
      </c>
      <c r="P1112" s="13">
        <v>1.1041403669079899</v>
      </c>
    </row>
    <row r="1113" spans="11:16" x14ac:dyDescent="0.3">
      <c r="K1113" s="14" t="s">
        <v>63</v>
      </c>
      <c r="L1113">
        <v>202.69</v>
      </c>
      <c r="M1113">
        <v>72.916700000000006</v>
      </c>
      <c r="N1113">
        <v>160</v>
      </c>
      <c r="O1113">
        <v>284.57</v>
      </c>
      <c r="P1113" s="13">
        <v>1.1146877745370201</v>
      </c>
    </row>
    <row r="1114" spans="11:16" x14ac:dyDescent="0.3">
      <c r="K1114" s="14" t="s">
        <v>63</v>
      </c>
      <c r="L1114">
        <v>149.74</v>
      </c>
      <c r="M1114">
        <v>90.928799999999995</v>
      </c>
      <c r="N1114">
        <v>321.60000000000002</v>
      </c>
      <c r="O1114">
        <v>290.08</v>
      </c>
      <c r="P1114" s="13">
        <v>1.1179150579150601</v>
      </c>
    </row>
    <row r="1115" spans="11:16" x14ac:dyDescent="0.3">
      <c r="K1115" s="14" t="s">
        <v>63</v>
      </c>
      <c r="L1115">
        <v>210.07</v>
      </c>
      <c r="M1115">
        <v>87.673599999999993</v>
      </c>
      <c r="N1115">
        <v>73.099999999999994</v>
      </c>
      <c r="O1115">
        <v>280.94</v>
      </c>
      <c r="P1115" s="13">
        <v>1.1274635153413499</v>
      </c>
    </row>
    <row r="1116" spans="11:16" x14ac:dyDescent="0.3">
      <c r="K1116" s="14" t="s">
        <v>63</v>
      </c>
      <c r="L1116">
        <v>203.13</v>
      </c>
      <c r="M1116">
        <v>92.773399999999995</v>
      </c>
      <c r="N1116">
        <v>55.1</v>
      </c>
      <c r="O1116">
        <v>275.08999999999997</v>
      </c>
      <c r="P1116" s="13">
        <v>1.12773783125523</v>
      </c>
    </row>
    <row r="1117" spans="11:16" x14ac:dyDescent="0.3">
      <c r="K1117" s="14" t="s">
        <v>63</v>
      </c>
      <c r="L1117">
        <v>203.13</v>
      </c>
      <c r="M1117">
        <v>77.691000000000003</v>
      </c>
      <c r="N1117">
        <v>122.1</v>
      </c>
      <c r="O1117">
        <v>275.94</v>
      </c>
      <c r="P1117" s="13">
        <v>1.1327353772559301</v>
      </c>
    </row>
    <row r="1118" spans="11:16" x14ac:dyDescent="0.3">
      <c r="K1118" s="14" t="s">
        <v>63</v>
      </c>
      <c r="L1118">
        <v>210.5</v>
      </c>
      <c r="M1118">
        <v>81.741900000000001</v>
      </c>
      <c r="N1118">
        <v>120.1</v>
      </c>
      <c r="O1118">
        <v>283.69</v>
      </c>
      <c r="P1118" s="13">
        <v>1.1402160809334101</v>
      </c>
    </row>
    <row r="1119" spans="11:16" x14ac:dyDescent="0.3">
      <c r="K1119" s="14" t="s">
        <v>63</v>
      </c>
      <c r="L1119">
        <v>210.94</v>
      </c>
      <c r="M1119">
        <v>91.471299999999999</v>
      </c>
      <c r="N1119">
        <v>102.1</v>
      </c>
      <c r="O1119">
        <v>288</v>
      </c>
      <c r="P1119" s="13">
        <v>1.1422128472222199</v>
      </c>
    </row>
    <row r="1120" spans="11:16" x14ac:dyDescent="0.3">
      <c r="K1120" s="14" t="s">
        <v>63</v>
      </c>
      <c r="L1120">
        <v>203.13</v>
      </c>
      <c r="M1120">
        <v>47.200499999999998</v>
      </c>
      <c r="N1120">
        <v>240.01</v>
      </c>
      <c r="O1120">
        <v>271.61</v>
      </c>
      <c r="P1120" s="13">
        <v>1.15140495563492</v>
      </c>
    </row>
    <row r="1121" spans="11:16" x14ac:dyDescent="0.3">
      <c r="K1121" s="14" t="s">
        <v>63</v>
      </c>
      <c r="L1121">
        <v>157.99</v>
      </c>
      <c r="M1121">
        <v>93.424499999999995</v>
      </c>
      <c r="N1121">
        <v>300.01</v>
      </c>
      <c r="O1121">
        <v>285.76</v>
      </c>
      <c r="P1121" s="13">
        <v>1.1527754059350499</v>
      </c>
    </row>
    <row r="1122" spans="11:16" x14ac:dyDescent="0.3">
      <c r="K1122" s="14" t="s">
        <v>63</v>
      </c>
      <c r="L1122">
        <v>203.13</v>
      </c>
      <c r="M1122">
        <v>85.720500000000001</v>
      </c>
      <c r="N1122">
        <v>88.1</v>
      </c>
      <c r="O1122">
        <v>269.93</v>
      </c>
      <c r="P1122" s="13">
        <v>1.1549531359982199</v>
      </c>
    </row>
    <row r="1123" spans="11:16" x14ac:dyDescent="0.3">
      <c r="K1123" s="14" t="s">
        <v>63</v>
      </c>
      <c r="L1123">
        <v>195.75</v>
      </c>
      <c r="M1123">
        <v>77.691000000000003</v>
      </c>
      <c r="N1123">
        <v>160</v>
      </c>
      <c r="O1123">
        <v>272.49</v>
      </c>
      <c r="P1123" s="13">
        <v>1.1561561892179499</v>
      </c>
    </row>
    <row r="1124" spans="11:16" x14ac:dyDescent="0.3">
      <c r="K1124" s="14" t="s">
        <v>63</v>
      </c>
      <c r="L1124">
        <v>202.26</v>
      </c>
      <c r="M1124">
        <v>85.286500000000004</v>
      </c>
      <c r="N1124">
        <v>166</v>
      </c>
      <c r="O1124">
        <v>284.87</v>
      </c>
      <c r="P1124" s="13">
        <v>1.16090321901218</v>
      </c>
    </row>
    <row r="1125" spans="11:16" x14ac:dyDescent="0.3">
      <c r="K1125" s="14" t="s">
        <v>63</v>
      </c>
      <c r="L1125">
        <v>203.13</v>
      </c>
      <c r="M1125">
        <v>100.47750000000001</v>
      </c>
      <c r="N1125">
        <v>120.1</v>
      </c>
      <c r="O1125">
        <v>288.27999999999997</v>
      </c>
      <c r="P1125" s="13">
        <v>1.16148709587901</v>
      </c>
    </row>
    <row r="1126" spans="11:16" x14ac:dyDescent="0.3">
      <c r="K1126" s="14" t="s">
        <v>63</v>
      </c>
      <c r="L1126">
        <v>150.16999999999999</v>
      </c>
      <c r="M1126">
        <v>93.424499999999995</v>
      </c>
      <c r="N1126">
        <v>333.01</v>
      </c>
      <c r="O1126">
        <v>284.02</v>
      </c>
      <c r="P1126" s="13">
        <v>1.16251355538342</v>
      </c>
    </row>
    <row r="1127" spans="11:16" x14ac:dyDescent="0.3">
      <c r="K1127" s="14" t="s">
        <v>63</v>
      </c>
      <c r="L1127">
        <v>203.13</v>
      </c>
      <c r="M1127">
        <v>111.7621</v>
      </c>
      <c r="N1127">
        <v>27.1</v>
      </c>
      <c r="O1127">
        <v>275.64</v>
      </c>
      <c r="P1127" s="13">
        <v>1.16796582498912</v>
      </c>
    </row>
    <row r="1128" spans="11:16" x14ac:dyDescent="0.3">
      <c r="K1128" s="14" t="s">
        <v>63</v>
      </c>
      <c r="L1128">
        <v>195.75</v>
      </c>
      <c r="M1128">
        <v>86.5886</v>
      </c>
      <c r="N1128">
        <v>140.1</v>
      </c>
      <c r="O1128">
        <v>271.58999999999997</v>
      </c>
      <c r="P1128" s="13">
        <v>1.17369785338194</v>
      </c>
    </row>
    <row r="1129" spans="11:16" x14ac:dyDescent="0.3">
      <c r="K1129" s="14" t="s">
        <v>63</v>
      </c>
      <c r="L1129">
        <v>210.5</v>
      </c>
      <c r="M1129">
        <v>79.644099999999995</v>
      </c>
      <c r="N1129">
        <v>120.1</v>
      </c>
      <c r="O1129">
        <v>273.62</v>
      </c>
      <c r="P1129" s="13">
        <v>1.17451246253929</v>
      </c>
    </row>
    <row r="1130" spans="11:16" x14ac:dyDescent="0.3">
      <c r="K1130" s="14" t="s">
        <v>63</v>
      </c>
      <c r="L1130">
        <v>203.13</v>
      </c>
      <c r="M1130">
        <v>87.673599999999993</v>
      </c>
      <c r="N1130">
        <v>160</v>
      </c>
      <c r="O1130">
        <v>280.01</v>
      </c>
      <c r="P1130" s="13">
        <v>1.18711331738152</v>
      </c>
    </row>
    <row r="1131" spans="11:16" x14ac:dyDescent="0.3">
      <c r="K1131" s="14" t="s">
        <v>63</v>
      </c>
      <c r="L1131">
        <v>203.13</v>
      </c>
      <c r="M1131">
        <v>96.028599999999997</v>
      </c>
      <c r="N1131">
        <v>100.1</v>
      </c>
      <c r="O1131">
        <v>273.68</v>
      </c>
      <c r="P1131" s="13">
        <v>1.18819277988892</v>
      </c>
    </row>
    <row r="1132" spans="11:16" x14ac:dyDescent="0.3">
      <c r="K1132" s="14" t="s">
        <v>63</v>
      </c>
      <c r="L1132">
        <v>210.5</v>
      </c>
      <c r="M1132">
        <v>56.206600000000002</v>
      </c>
      <c r="N1132">
        <v>230</v>
      </c>
      <c r="O1132">
        <v>274.77</v>
      </c>
      <c r="P1132" s="13">
        <v>1.1882905702951601</v>
      </c>
    </row>
    <row r="1133" spans="11:16" x14ac:dyDescent="0.3">
      <c r="K1133" s="14" t="s">
        <v>63</v>
      </c>
      <c r="L1133">
        <v>203.13</v>
      </c>
      <c r="M1133">
        <v>83.658900000000003</v>
      </c>
      <c r="N1133">
        <v>200</v>
      </c>
      <c r="O1133">
        <v>284.27</v>
      </c>
      <c r="P1133" s="13">
        <v>1.1917856263411499</v>
      </c>
    </row>
    <row r="1134" spans="11:16" x14ac:dyDescent="0.3">
      <c r="K1134" s="14" t="s">
        <v>63</v>
      </c>
      <c r="L1134">
        <v>203.56</v>
      </c>
      <c r="M1134">
        <v>90.133099999999999</v>
      </c>
      <c r="N1134">
        <v>150.1</v>
      </c>
      <c r="O1134">
        <v>279.17</v>
      </c>
      <c r="P1134" s="13">
        <v>1.1918153813088801</v>
      </c>
    </row>
    <row r="1135" spans="11:16" x14ac:dyDescent="0.3">
      <c r="K1135" s="14" t="s">
        <v>63</v>
      </c>
      <c r="L1135">
        <v>203.13</v>
      </c>
      <c r="M1135">
        <v>89.554400000000001</v>
      </c>
      <c r="N1135">
        <v>171</v>
      </c>
      <c r="O1135">
        <v>282.54000000000002</v>
      </c>
      <c r="P1135" s="13">
        <v>1.1932625468960101</v>
      </c>
    </row>
    <row r="1136" spans="11:16" x14ac:dyDescent="0.3">
      <c r="K1136" s="14" t="s">
        <v>63</v>
      </c>
      <c r="L1136">
        <v>203.13</v>
      </c>
      <c r="M1136">
        <v>83.767399999999995</v>
      </c>
      <c r="N1136">
        <v>151</v>
      </c>
      <c r="O1136">
        <v>272.18</v>
      </c>
      <c r="P1136" s="13">
        <v>1.1983150856051099</v>
      </c>
    </row>
    <row r="1137" spans="11:16" x14ac:dyDescent="0.3">
      <c r="K1137" s="14" t="s">
        <v>63</v>
      </c>
      <c r="L1137">
        <v>210.5</v>
      </c>
      <c r="M1137">
        <v>75.954899999999995</v>
      </c>
      <c r="N1137">
        <v>100.1</v>
      </c>
      <c r="O1137">
        <v>260.70999999999998</v>
      </c>
      <c r="P1137" s="13">
        <v>1.1985765793410299</v>
      </c>
    </row>
    <row r="1138" spans="11:16" x14ac:dyDescent="0.3">
      <c r="K1138" s="14" t="s">
        <v>63</v>
      </c>
      <c r="L1138">
        <v>202.69</v>
      </c>
      <c r="M1138">
        <v>92.230900000000005</v>
      </c>
      <c r="N1138">
        <v>165</v>
      </c>
      <c r="O1138">
        <v>280.52</v>
      </c>
      <c r="P1138" s="13">
        <v>1.2042667189505201</v>
      </c>
    </row>
    <row r="1139" spans="11:16" x14ac:dyDescent="0.3">
      <c r="K1139" s="14" t="s">
        <v>63</v>
      </c>
      <c r="L1139">
        <v>210.5</v>
      </c>
      <c r="M1139">
        <v>110.4601</v>
      </c>
      <c r="N1139">
        <v>122.1</v>
      </c>
      <c r="O1139">
        <v>290.05</v>
      </c>
      <c r="P1139" s="13">
        <v>1.2160182727116</v>
      </c>
    </row>
    <row r="1140" spans="11:16" x14ac:dyDescent="0.3">
      <c r="K1140" s="14" t="s">
        <v>63</v>
      </c>
      <c r="L1140">
        <v>203.13</v>
      </c>
      <c r="M1140">
        <v>73.893199999999993</v>
      </c>
      <c r="N1140">
        <v>250.01</v>
      </c>
      <c r="O1140">
        <v>280.23</v>
      </c>
      <c r="P1140" s="13">
        <v>1.2205181458087999</v>
      </c>
    </row>
    <row r="1141" spans="11:16" x14ac:dyDescent="0.3">
      <c r="K1141" s="14" t="s">
        <v>63</v>
      </c>
      <c r="L1141">
        <v>202.69</v>
      </c>
      <c r="M1141">
        <v>81.488699999999994</v>
      </c>
      <c r="N1141">
        <v>150.1</v>
      </c>
      <c r="O1141">
        <v>264.73</v>
      </c>
      <c r="P1141" s="13">
        <v>1.2208842972084799</v>
      </c>
    </row>
    <row r="1142" spans="11:16" x14ac:dyDescent="0.3">
      <c r="K1142" s="14" t="s">
        <v>63</v>
      </c>
      <c r="L1142">
        <v>210.07</v>
      </c>
      <c r="M1142">
        <v>93.641499999999994</v>
      </c>
      <c r="N1142">
        <v>88.1</v>
      </c>
      <c r="O1142">
        <v>267.24</v>
      </c>
      <c r="P1142" s="13">
        <v>1.22218792096991</v>
      </c>
    </row>
    <row r="1143" spans="11:16" x14ac:dyDescent="0.3">
      <c r="K1143" s="14" t="s">
        <v>63</v>
      </c>
      <c r="L1143">
        <v>210.5</v>
      </c>
      <c r="M1143">
        <v>121.7448</v>
      </c>
      <c r="N1143">
        <v>80.099999999999994</v>
      </c>
      <c r="O1143">
        <v>286.85000000000002</v>
      </c>
      <c r="P1143" s="13">
        <v>1.23085515077567</v>
      </c>
    </row>
    <row r="1144" spans="11:16" x14ac:dyDescent="0.3">
      <c r="K1144" s="14" t="s">
        <v>63</v>
      </c>
      <c r="L1144">
        <v>203.13</v>
      </c>
      <c r="M1144">
        <v>86.48</v>
      </c>
      <c r="N1144">
        <v>222</v>
      </c>
      <c r="O1144">
        <v>280.55</v>
      </c>
      <c r="P1144" s="13">
        <v>1.2380324362858699</v>
      </c>
    </row>
    <row r="1145" spans="11:16" x14ac:dyDescent="0.3">
      <c r="K1145" s="14" t="s">
        <v>63</v>
      </c>
      <c r="L1145">
        <v>210.5</v>
      </c>
      <c r="M1145">
        <v>92.954300000000003</v>
      </c>
      <c r="N1145">
        <v>130.1</v>
      </c>
      <c r="O1145">
        <v>271.94</v>
      </c>
      <c r="P1145" s="13">
        <v>1.2402746929469699</v>
      </c>
    </row>
    <row r="1146" spans="11:16" x14ac:dyDescent="0.3">
      <c r="K1146" s="14" t="s">
        <v>63</v>
      </c>
      <c r="L1146">
        <v>210.5</v>
      </c>
      <c r="M1146">
        <v>88.107600000000005</v>
      </c>
      <c r="N1146">
        <v>200</v>
      </c>
      <c r="O1146">
        <v>282.49</v>
      </c>
      <c r="P1146" s="13">
        <v>1.2411327834613599</v>
      </c>
    </row>
    <row r="1147" spans="11:16" x14ac:dyDescent="0.3">
      <c r="K1147" s="14" t="s">
        <v>63</v>
      </c>
      <c r="L1147">
        <v>203.13</v>
      </c>
      <c r="M1147">
        <v>89.518199999999993</v>
      </c>
      <c r="N1147">
        <v>240.01</v>
      </c>
      <c r="O1147">
        <v>280.18</v>
      </c>
      <c r="P1147" s="13">
        <v>1.26722392747519</v>
      </c>
    </row>
    <row r="1148" spans="11:16" x14ac:dyDescent="0.3">
      <c r="K1148" s="14" t="s">
        <v>63</v>
      </c>
      <c r="L1148">
        <v>210.5</v>
      </c>
      <c r="M1148">
        <v>90.133099999999999</v>
      </c>
      <c r="N1148">
        <v>160</v>
      </c>
      <c r="O1148">
        <v>269.62</v>
      </c>
      <c r="P1148" s="13">
        <v>1.2693164453675501</v>
      </c>
    </row>
    <row r="1149" spans="11:16" x14ac:dyDescent="0.3">
      <c r="K1149" s="14" t="s">
        <v>63</v>
      </c>
      <c r="L1149">
        <v>210.5</v>
      </c>
      <c r="M1149">
        <v>116.10250000000001</v>
      </c>
      <c r="N1149">
        <v>130.1</v>
      </c>
      <c r="O1149">
        <v>278.83</v>
      </c>
      <c r="P1149" s="13">
        <v>1.2926460567370801</v>
      </c>
    </row>
    <row r="1150" spans="11:16" x14ac:dyDescent="0.3">
      <c r="K1150" s="14" t="s">
        <v>63</v>
      </c>
      <c r="L1150">
        <v>210.5</v>
      </c>
      <c r="M1150">
        <v>113.2089</v>
      </c>
      <c r="N1150">
        <v>96.1</v>
      </c>
      <c r="O1150">
        <v>269.01</v>
      </c>
      <c r="P1150" s="13">
        <v>1.29621538232779</v>
      </c>
    </row>
    <row r="1151" spans="11:16" x14ac:dyDescent="0.3">
      <c r="K1151" s="14" t="s">
        <v>63</v>
      </c>
      <c r="L1151">
        <v>210.5</v>
      </c>
      <c r="M1151">
        <v>90.494799999999998</v>
      </c>
      <c r="N1151">
        <v>210</v>
      </c>
      <c r="O1151">
        <v>272.99</v>
      </c>
      <c r="P1151" s="13">
        <v>1.3025927689659</v>
      </c>
    </row>
    <row r="1152" spans="11:16" x14ac:dyDescent="0.3">
      <c r="K1152" s="14" t="s">
        <v>63</v>
      </c>
      <c r="L1152">
        <v>210.5</v>
      </c>
      <c r="M1152">
        <v>84.635400000000004</v>
      </c>
      <c r="N1152">
        <v>200</v>
      </c>
      <c r="O1152">
        <v>266.14</v>
      </c>
      <c r="P1152" s="13">
        <v>1.3043338092733101</v>
      </c>
    </row>
    <row r="1153" spans="11:16" x14ac:dyDescent="0.3">
      <c r="K1153" s="14" t="s">
        <v>63</v>
      </c>
      <c r="L1153">
        <v>203.13</v>
      </c>
      <c r="M1153">
        <v>94.328699999999998</v>
      </c>
      <c r="N1153">
        <v>260.01</v>
      </c>
      <c r="O1153">
        <v>277.37</v>
      </c>
      <c r="P1153" s="13">
        <v>1.3161527922991001</v>
      </c>
    </row>
    <row r="1154" spans="11:16" x14ac:dyDescent="0.3">
      <c r="K1154" s="14" t="s">
        <v>63</v>
      </c>
      <c r="L1154">
        <v>203.13</v>
      </c>
      <c r="M1154">
        <v>119.0322</v>
      </c>
      <c r="N1154">
        <v>168</v>
      </c>
      <c r="O1154">
        <v>277.63</v>
      </c>
      <c r="P1154" s="13">
        <v>1.3177329539314899</v>
      </c>
    </row>
    <row r="1155" spans="11:16" x14ac:dyDescent="0.3">
      <c r="K1155" s="14" t="s">
        <v>63</v>
      </c>
      <c r="L1155">
        <v>210.94</v>
      </c>
      <c r="M1155">
        <v>148.78039999999999</v>
      </c>
      <c r="N1155">
        <v>66.099999999999994</v>
      </c>
      <c r="O1155">
        <v>277.66000000000003</v>
      </c>
      <c r="P1155" s="13">
        <v>1.35743859396384</v>
      </c>
    </row>
    <row r="1156" spans="11:16" x14ac:dyDescent="0.3">
      <c r="K1156" s="14" t="s">
        <v>63</v>
      </c>
      <c r="L1156">
        <v>210.94</v>
      </c>
      <c r="M1156">
        <v>90.494799999999998</v>
      </c>
      <c r="N1156">
        <v>185</v>
      </c>
      <c r="O1156">
        <v>257.45</v>
      </c>
      <c r="P1156" s="13">
        <v>1.3576803262769499</v>
      </c>
    </row>
    <row r="1157" spans="11:16" x14ac:dyDescent="0.3">
      <c r="K1157" s="14" t="s">
        <v>63</v>
      </c>
      <c r="L1157">
        <v>210.94</v>
      </c>
      <c r="M1157">
        <v>125.9766</v>
      </c>
      <c r="N1157">
        <v>130.1</v>
      </c>
      <c r="O1157">
        <v>272.79000000000002</v>
      </c>
      <c r="P1157" s="13">
        <v>1.35907694563584</v>
      </c>
    </row>
    <row r="1158" spans="11:16" x14ac:dyDescent="0.3">
      <c r="K1158" s="14" t="s">
        <v>63</v>
      </c>
      <c r="L1158">
        <v>149.74</v>
      </c>
      <c r="M1158">
        <v>134.3837</v>
      </c>
      <c r="N1158">
        <v>389.01</v>
      </c>
      <c r="O1158">
        <v>282.57</v>
      </c>
      <c r="P1158" s="13">
        <v>1.36343667055951</v>
      </c>
    </row>
    <row r="1159" spans="11:16" x14ac:dyDescent="0.3">
      <c r="K1159" s="14" t="s">
        <v>63</v>
      </c>
      <c r="L1159">
        <v>203.13</v>
      </c>
      <c r="M1159">
        <v>124.9277</v>
      </c>
      <c r="N1159">
        <v>190.2</v>
      </c>
      <c r="O1159">
        <v>270.52999999999997</v>
      </c>
      <c r="P1159" s="13">
        <v>1.3954448674823501</v>
      </c>
    </row>
    <row r="1160" spans="11:16" x14ac:dyDescent="0.3">
      <c r="K1160" s="14" t="s">
        <v>63</v>
      </c>
      <c r="L1160">
        <v>203.13</v>
      </c>
      <c r="M1160">
        <v>161.45830000000001</v>
      </c>
      <c r="N1160">
        <v>155</v>
      </c>
      <c r="O1160">
        <v>265</v>
      </c>
      <c r="P1160" s="13">
        <v>1.5278803773584899</v>
      </c>
    </row>
    <row r="1161" spans="11:16" x14ac:dyDescent="0.3">
      <c r="K1161" s="14" t="s">
        <v>60</v>
      </c>
      <c r="L1161">
        <v>203.13</v>
      </c>
      <c r="M1161">
        <v>88.650199999999998</v>
      </c>
      <c r="N1161">
        <v>80.099999999999994</v>
      </c>
      <c r="O1161">
        <v>284.58999999999997</v>
      </c>
      <c r="P1161" s="13">
        <v>1.0984440774447499</v>
      </c>
    </row>
    <row r="1162" spans="11:16" x14ac:dyDescent="0.3">
      <c r="K1162" s="14" t="s">
        <v>60</v>
      </c>
      <c r="L1162">
        <v>203.13</v>
      </c>
      <c r="M1162">
        <v>74.761300000000006</v>
      </c>
      <c r="N1162">
        <v>200</v>
      </c>
      <c r="O1162">
        <v>289.8</v>
      </c>
      <c r="P1162" s="13">
        <v>1.13834126984127</v>
      </c>
    </row>
    <row r="1163" spans="11:16" x14ac:dyDescent="0.3">
      <c r="K1163" s="14" t="s">
        <v>60</v>
      </c>
      <c r="L1163">
        <v>203.13</v>
      </c>
      <c r="M1163">
        <v>73.893199999999993</v>
      </c>
      <c r="N1163">
        <v>180</v>
      </c>
      <c r="O1163">
        <v>283.76</v>
      </c>
      <c r="P1163" s="13">
        <v>1.1411869185226999</v>
      </c>
    </row>
    <row r="1164" spans="11:16" x14ac:dyDescent="0.3">
      <c r="K1164" s="14" t="s">
        <v>60</v>
      </c>
      <c r="L1164">
        <v>203.13</v>
      </c>
      <c r="M1164">
        <v>83.767399999999995</v>
      </c>
      <c r="N1164">
        <v>99.1</v>
      </c>
      <c r="O1164">
        <v>273.64</v>
      </c>
      <c r="P1164" s="13">
        <v>1.1426085367636301</v>
      </c>
    </row>
    <row r="1165" spans="11:16" x14ac:dyDescent="0.3">
      <c r="K1165" s="14" t="s">
        <v>60</v>
      </c>
      <c r="L1165">
        <v>210.5</v>
      </c>
      <c r="M1165">
        <v>91.471400000000003</v>
      </c>
      <c r="N1165">
        <v>88.1</v>
      </c>
      <c r="O1165">
        <v>282.29000000000002</v>
      </c>
      <c r="P1165" s="13">
        <v>1.1508640051011401</v>
      </c>
    </row>
    <row r="1166" spans="11:16" x14ac:dyDescent="0.3">
      <c r="K1166" s="14" t="s">
        <v>60</v>
      </c>
      <c r="L1166">
        <v>203.13</v>
      </c>
      <c r="M1166">
        <v>105.36020000000001</v>
      </c>
      <c r="N1166">
        <v>100.1</v>
      </c>
      <c r="O1166">
        <v>283.13</v>
      </c>
      <c r="P1166" s="13">
        <v>1.1814933069614699</v>
      </c>
    </row>
    <row r="1167" spans="11:16" x14ac:dyDescent="0.3">
      <c r="K1167" s="14" t="s">
        <v>60</v>
      </c>
      <c r="L1167">
        <v>203.13</v>
      </c>
      <c r="M1167">
        <v>83.658900000000003</v>
      </c>
      <c r="N1167">
        <v>211.7</v>
      </c>
      <c r="O1167">
        <v>287.98</v>
      </c>
      <c r="P1167" s="13">
        <v>1.18699527744982</v>
      </c>
    </row>
    <row r="1168" spans="11:16" x14ac:dyDescent="0.3">
      <c r="K1168" s="14" t="s">
        <v>60</v>
      </c>
      <c r="L1168">
        <v>203.13</v>
      </c>
      <c r="M1168">
        <v>142.79519999999999</v>
      </c>
      <c r="N1168">
        <v>130.1</v>
      </c>
      <c r="O1168">
        <v>303.58999999999997</v>
      </c>
      <c r="P1168" s="13">
        <v>1.2508686056853</v>
      </c>
    </row>
    <row r="1169" spans="11:16" x14ac:dyDescent="0.3">
      <c r="K1169" s="14" t="s">
        <v>60</v>
      </c>
      <c r="L1169">
        <v>203.13</v>
      </c>
      <c r="M1169">
        <v>72.808199999999999</v>
      </c>
      <c r="N1169">
        <v>300.01</v>
      </c>
      <c r="O1169">
        <v>279.35000000000002</v>
      </c>
      <c r="P1169" s="13">
        <v>1.2670155718632501</v>
      </c>
    </row>
    <row r="1170" spans="11:16" x14ac:dyDescent="0.3">
      <c r="K1170" s="14" t="s">
        <v>60</v>
      </c>
      <c r="L1170">
        <v>195.75</v>
      </c>
      <c r="M1170">
        <v>107.63890000000001</v>
      </c>
      <c r="N1170">
        <v>200</v>
      </c>
      <c r="O1170">
        <v>280.25</v>
      </c>
      <c r="P1170" s="13">
        <v>1.2681138269402299</v>
      </c>
    </row>
    <row r="1171" spans="11:16" x14ac:dyDescent="0.3">
      <c r="K1171" s="14" t="s">
        <v>60</v>
      </c>
      <c r="L1171">
        <v>210.5</v>
      </c>
      <c r="M1171">
        <v>74.761300000000006</v>
      </c>
      <c r="N1171">
        <v>260.01</v>
      </c>
      <c r="O1171">
        <v>277.67</v>
      </c>
      <c r="P1171" s="13">
        <v>1.2708031116073</v>
      </c>
    </row>
    <row r="1172" spans="11:16" x14ac:dyDescent="0.3">
      <c r="K1172" s="14" t="s">
        <v>60</v>
      </c>
      <c r="L1172">
        <v>203.13</v>
      </c>
      <c r="M1172">
        <v>89.988399999999999</v>
      </c>
      <c r="N1172">
        <v>210</v>
      </c>
      <c r="O1172">
        <v>269.61</v>
      </c>
      <c r="P1172" s="13">
        <v>1.2897088386929301</v>
      </c>
    </row>
    <row r="1173" spans="11:16" x14ac:dyDescent="0.3">
      <c r="K1173" s="14" t="s">
        <v>60</v>
      </c>
      <c r="L1173">
        <v>202.69</v>
      </c>
      <c r="M1173">
        <v>123.5894</v>
      </c>
      <c r="N1173">
        <v>180</v>
      </c>
      <c r="O1173">
        <v>286.32</v>
      </c>
      <c r="P1173" s="13">
        <v>1.3030155071249001</v>
      </c>
    </row>
    <row r="1174" spans="11:16" x14ac:dyDescent="0.3">
      <c r="K1174" s="14" t="s">
        <v>60</v>
      </c>
      <c r="L1174">
        <v>195.75</v>
      </c>
      <c r="M1174">
        <v>115.9939</v>
      </c>
      <c r="N1174">
        <v>255.01</v>
      </c>
      <c r="O1174">
        <v>283.69</v>
      </c>
      <c r="P1174" s="13">
        <v>1.33260425111918</v>
      </c>
    </row>
    <row r="1175" spans="11:16" x14ac:dyDescent="0.3">
      <c r="K1175" s="14" t="s">
        <v>60</v>
      </c>
      <c r="L1175">
        <v>210.5</v>
      </c>
      <c r="M1175">
        <v>112.3047</v>
      </c>
      <c r="N1175">
        <v>122.1</v>
      </c>
      <c r="O1175">
        <v>262.44</v>
      </c>
      <c r="P1175" s="13">
        <v>1.3509781283341</v>
      </c>
    </row>
    <row r="1176" spans="11:16" x14ac:dyDescent="0.3">
      <c r="K1176" s="14" t="s">
        <v>60</v>
      </c>
      <c r="L1176">
        <v>203.13</v>
      </c>
      <c r="M1176">
        <v>134.76560000000001</v>
      </c>
      <c r="N1176">
        <v>333.01</v>
      </c>
      <c r="O1176">
        <v>289.44</v>
      </c>
      <c r="P1176" s="13">
        <v>1.46654988944168</v>
      </c>
    </row>
    <row r="1177" spans="11:16" x14ac:dyDescent="0.3">
      <c r="K1177" s="14" t="s">
        <v>60</v>
      </c>
      <c r="L1177">
        <v>210.5</v>
      </c>
      <c r="M1177">
        <v>143.1728</v>
      </c>
      <c r="N1177">
        <v>270.01</v>
      </c>
      <c r="O1177">
        <v>282.29000000000002</v>
      </c>
      <c r="P1177" s="13">
        <v>1.50156009777179</v>
      </c>
    </row>
    <row r="1178" spans="11:16" x14ac:dyDescent="0.3">
      <c r="K1178" s="14" t="s">
        <v>62</v>
      </c>
      <c r="L1178">
        <v>203.13</v>
      </c>
      <c r="M1178">
        <v>80</v>
      </c>
      <c r="N1178">
        <v>170</v>
      </c>
      <c r="O1178">
        <v>285.74</v>
      </c>
      <c r="P1178" s="13">
        <v>1.14555190032897</v>
      </c>
    </row>
    <row r="1179" spans="11:16" x14ac:dyDescent="0.3">
      <c r="K1179" s="14" t="s">
        <v>62</v>
      </c>
      <c r="L1179">
        <v>210.94</v>
      </c>
      <c r="M1179">
        <v>74.978300000000004</v>
      </c>
      <c r="N1179">
        <v>250.01</v>
      </c>
      <c r="O1179">
        <v>289.76</v>
      </c>
      <c r="P1179" s="13">
        <v>1.21107433738266</v>
      </c>
    </row>
    <row r="1180" spans="11:16" x14ac:dyDescent="0.3">
      <c r="K1180" s="14" t="s">
        <v>62</v>
      </c>
      <c r="L1180">
        <v>211.37</v>
      </c>
      <c r="M1180">
        <v>112.4855</v>
      </c>
      <c r="N1180">
        <v>130.1</v>
      </c>
      <c r="O1180">
        <v>263.89</v>
      </c>
      <c r="P1180" s="13">
        <v>1.3554189245518999</v>
      </c>
    </row>
    <row r="1181" spans="11:16" x14ac:dyDescent="0.3">
      <c r="K1181" s="14" t="s">
        <v>62</v>
      </c>
      <c r="L1181">
        <v>210.94</v>
      </c>
      <c r="M1181">
        <v>144.14930000000001</v>
      </c>
      <c r="N1181">
        <v>120.1</v>
      </c>
      <c r="O1181">
        <v>274.51</v>
      </c>
      <c r="P1181" s="13">
        <v>1.4072904447925401</v>
      </c>
    </row>
    <row r="1182" spans="11:16" x14ac:dyDescent="0.3">
      <c r="K1182" s="14" t="s">
        <v>45</v>
      </c>
      <c r="L1182">
        <v>203.13</v>
      </c>
      <c r="M1182">
        <v>77.799499999999995</v>
      </c>
      <c r="N1182">
        <v>180</v>
      </c>
      <c r="O1182">
        <v>278.83</v>
      </c>
      <c r="P1182" s="13">
        <v>1.17537388372844</v>
      </c>
    </row>
    <row r="1183" spans="11:16" x14ac:dyDescent="0.3">
      <c r="K1183" s="14" t="s">
        <v>45</v>
      </c>
      <c r="L1183">
        <v>203.13</v>
      </c>
      <c r="M1183">
        <v>105.36020000000001</v>
      </c>
      <c r="N1183">
        <v>149.4</v>
      </c>
      <c r="O1183">
        <v>280.29000000000002</v>
      </c>
      <c r="P1183" s="13">
        <v>1.23919583288737</v>
      </c>
    </row>
    <row r="1184" spans="11:16" x14ac:dyDescent="0.3">
      <c r="K1184" s="14" t="s">
        <v>45</v>
      </c>
      <c r="L1184">
        <v>203.13</v>
      </c>
      <c r="M1184">
        <v>105.3603</v>
      </c>
      <c r="N1184">
        <v>170</v>
      </c>
      <c r="O1184">
        <v>274.54000000000002</v>
      </c>
      <c r="P1184" s="13">
        <v>1.2846590660741599</v>
      </c>
    </row>
    <row r="1185" spans="11:16" x14ac:dyDescent="0.3">
      <c r="K1185" s="14" t="s">
        <v>45</v>
      </c>
      <c r="L1185">
        <v>210.94</v>
      </c>
      <c r="M1185">
        <v>107.20489999999999</v>
      </c>
      <c r="N1185">
        <v>250.01</v>
      </c>
      <c r="O1185">
        <v>290.07</v>
      </c>
      <c r="P1185" s="13">
        <v>1.3208794428931001</v>
      </c>
    </row>
    <row r="1186" spans="11:16" x14ac:dyDescent="0.3">
      <c r="K1186" s="14" t="s">
        <v>45</v>
      </c>
      <c r="L1186">
        <v>210.5</v>
      </c>
      <c r="M1186">
        <v>88.252300000000005</v>
      </c>
      <c r="N1186">
        <v>290.01</v>
      </c>
      <c r="O1186">
        <v>281.39</v>
      </c>
      <c r="P1186" s="13">
        <v>1.3296666548207099</v>
      </c>
    </row>
    <row r="1187" spans="11:16" x14ac:dyDescent="0.3">
      <c r="K1187" s="14" t="s">
        <v>45</v>
      </c>
      <c r="L1187">
        <v>203.13</v>
      </c>
      <c r="M1187">
        <v>125.0001</v>
      </c>
      <c r="N1187">
        <v>200</v>
      </c>
      <c r="O1187">
        <v>267.63</v>
      </c>
      <c r="P1187" s="13">
        <v>1.4203568359301999</v>
      </c>
    </row>
    <row r="1188" spans="11:16" x14ac:dyDescent="0.3">
      <c r="K1188" s="14" t="s">
        <v>45</v>
      </c>
      <c r="L1188">
        <v>203.13</v>
      </c>
      <c r="M1188">
        <v>97.4392</v>
      </c>
      <c r="N1188">
        <v>333.01</v>
      </c>
      <c r="O1188">
        <v>265</v>
      </c>
      <c r="P1188" s="13">
        <v>1.46095018867925</v>
      </c>
    </row>
    <row r="1189" spans="11:16" x14ac:dyDescent="0.3">
      <c r="K1189" s="14" t="s">
        <v>78</v>
      </c>
      <c r="M1189">
        <v>45.247399999999999</v>
      </c>
      <c r="O1189">
        <v>292.61</v>
      </c>
      <c r="P1189" s="13">
        <v>0.15463381292505399</v>
      </c>
    </row>
    <row r="1190" spans="11:16" x14ac:dyDescent="0.3">
      <c r="K1190" s="14" t="s">
        <v>78</v>
      </c>
      <c r="M1190">
        <v>46.441000000000003</v>
      </c>
      <c r="O1190">
        <v>287.98</v>
      </c>
      <c r="P1190" s="13">
        <v>0.161264671157719</v>
      </c>
    </row>
    <row r="1191" spans="11:16" x14ac:dyDescent="0.3">
      <c r="K1191" s="14" t="s">
        <v>78</v>
      </c>
      <c r="M1191">
        <v>45.247399999999999</v>
      </c>
      <c r="O1191">
        <v>279.95999999999998</v>
      </c>
      <c r="P1191" s="13">
        <v>0.16162094584940701</v>
      </c>
    </row>
    <row r="1192" spans="11:16" x14ac:dyDescent="0.3">
      <c r="K1192" s="14" t="s">
        <v>78</v>
      </c>
      <c r="M1192">
        <v>46.441000000000003</v>
      </c>
      <c r="O1192">
        <v>278.52</v>
      </c>
      <c r="P1192" s="13">
        <v>0.166742065201781</v>
      </c>
    </row>
    <row r="1193" spans="11:16" x14ac:dyDescent="0.3">
      <c r="K1193" s="14" t="s">
        <v>78</v>
      </c>
      <c r="M1193">
        <v>50.347200000000001</v>
      </c>
      <c r="O1193">
        <v>288.20999999999998</v>
      </c>
      <c r="P1193" s="13">
        <v>0.17468928906006001</v>
      </c>
    </row>
    <row r="1194" spans="11:16" x14ac:dyDescent="0.3">
      <c r="K1194" s="14" t="s">
        <v>78</v>
      </c>
      <c r="M1194">
        <v>51.215299999999999</v>
      </c>
      <c r="O1194">
        <v>283.98</v>
      </c>
      <c r="P1194" s="13">
        <v>0.18034826396225101</v>
      </c>
    </row>
    <row r="1195" spans="11:16" x14ac:dyDescent="0.3">
      <c r="K1195" s="14" t="s">
        <v>78</v>
      </c>
      <c r="M1195">
        <v>51.215299999999999</v>
      </c>
      <c r="O1195">
        <v>283.41000000000003</v>
      </c>
      <c r="P1195" s="13">
        <v>0.180710984086659</v>
      </c>
    </row>
    <row r="1196" spans="11:16" x14ac:dyDescent="0.3">
      <c r="K1196" s="14" t="s">
        <v>78</v>
      </c>
      <c r="M1196">
        <v>51.1068</v>
      </c>
      <c r="O1196">
        <v>282.57</v>
      </c>
      <c r="P1196" s="13">
        <v>0.18086421063807201</v>
      </c>
    </row>
    <row r="1197" spans="11:16" x14ac:dyDescent="0.3">
      <c r="K1197" s="14" t="s">
        <v>78</v>
      </c>
      <c r="M1197">
        <v>50.347200000000001</v>
      </c>
      <c r="O1197">
        <v>272.77</v>
      </c>
      <c r="P1197" s="13">
        <v>0.18457748286101799</v>
      </c>
    </row>
    <row r="1198" spans="11:16" x14ac:dyDescent="0.3">
      <c r="K1198" s="14" t="s">
        <v>78</v>
      </c>
      <c r="M1198">
        <v>52.191800000000001</v>
      </c>
      <c r="O1198">
        <v>278.51</v>
      </c>
      <c r="P1198" s="13">
        <v>0.18739650281857001</v>
      </c>
    </row>
    <row r="1199" spans="11:16" x14ac:dyDescent="0.3">
      <c r="K1199" s="14" t="s">
        <v>78</v>
      </c>
      <c r="M1199">
        <v>52.3003</v>
      </c>
      <c r="O1199">
        <v>278.2</v>
      </c>
      <c r="P1199" s="13">
        <v>0.18799532710280401</v>
      </c>
    </row>
    <row r="1200" spans="11:16" x14ac:dyDescent="0.3">
      <c r="K1200" s="14" t="s">
        <v>78</v>
      </c>
      <c r="M1200">
        <v>49.2622</v>
      </c>
      <c r="O1200">
        <v>259.81</v>
      </c>
      <c r="P1200" s="13">
        <v>0.18960856010161301</v>
      </c>
    </row>
    <row r="1201" spans="11:16" x14ac:dyDescent="0.3">
      <c r="K1201" s="14" t="s">
        <v>78</v>
      </c>
      <c r="M1201">
        <v>58.051200000000001</v>
      </c>
      <c r="O1201">
        <v>282.52999999999997</v>
      </c>
      <c r="P1201" s="13">
        <v>0.205469153718189</v>
      </c>
    </row>
    <row r="1202" spans="11:16" x14ac:dyDescent="0.3">
      <c r="K1202" s="14" t="s">
        <v>78</v>
      </c>
      <c r="M1202">
        <v>59.136299999999999</v>
      </c>
      <c r="O1202">
        <v>285.43</v>
      </c>
      <c r="P1202" s="13">
        <v>0.207183197281295</v>
      </c>
    </row>
    <row r="1203" spans="11:16" x14ac:dyDescent="0.3">
      <c r="K1203" s="14" t="s">
        <v>78</v>
      </c>
      <c r="M1203">
        <v>72.916700000000006</v>
      </c>
      <c r="O1203">
        <v>280.27999999999997</v>
      </c>
      <c r="P1203" s="13">
        <v>0.26015662908520099</v>
      </c>
    </row>
    <row r="1204" spans="11:16" x14ac:dyDescent="0.3">
      <c r="K1204" s="14" t="s">
        <v>78</v>
      </c>
      <c r="M1204">
        <v>83.658900000000003</v>
      </c>
      <c r="O1204">
        <v>282.86</v>
      </c>
      <c r="P1204" s="13">
        <v>0.29576080039595598</v>
      </c>
    </row>
    <row r="1205" spans="11:16" x14ac:dyDescent="0.3">
      <c r="K1205" s="14" t="s">
        <v>78</v>
      </c>
      <c r="M1205">
        <v>86.697100000000006</v>
      </c>
      <c r="O1205">
        <v>277.08</v>
      </c>
      <c r="P1205" s="13">
        <v>0.31289555363072002</v>
      </c>
    </row>
    <row r="1206" spans="11:16" x14ac:dyDescent="0.3">
      <c r="K1206" s="14" t="s">
        <v>78</v>
      </c>
      <c r="M1206">
        <v>85.611999999999995</v>
      </c>
      <c r="O1206">
        <v>272.23</v>
      </c>
      <c r="P1206" s="13">
        <v>0.31448407596517602</v>
      </c>
    </row>
    <row r="1207" spans="11:16" x14ac:dyDescent="0.3">
      <c r="K1207" s="14" t="s">
        <v>78</v>
      </c>
      <c r="M1207">
        <v>88.541700000000006</v>
      </c>
      <c r="O1207">
        <v>280.83</v>
      </c>
      <c r="P1207" s="13">
        <v>0.315285760068369</v>
      </c>
    </row>
    <row r="1208" spans="11:16" x14ac:dyDescent="0.3">
      <c r="K1208" s="14" t="s">
        <v>78</v>
      </c>
      <c r="M1208">
        <v>88.758700000000005</v>
      </c>
      <c r="O1208">
        <v>275.07</v>
      </c>
      <c r="P1208" s="13">
        <v>0.32267677318500698</v>
      </c>
    </row>
    <row r="1209" spans="11:16" x14ac:dyDescent="0.3">
      <c r="K1209" s="14" t="s">
        <v>78</v>
      </c>
      <c r="M1209">
        <v>110.6771</v>
      </c>
      <c r="O1209">
        <v>282.27</v>
      </c>
      <c r="P1209" s="13">
        <v>0.392096574202005</v>
      </c>
    </row>
    <row r="1210" spans="11:16" x14ac:dyDescent="0.3">
      <c r="K1210" s="14" t="s">
        <v>353</v>
      </c>
      <c r="L1210">
        <v>203.13</v>
      </c>
      <c r="M1210">
        <v>83.694999999999993</v>
      </c>
      <c r="N1210">
        <v>250.01</v>
      </c>
      <c r="O1210">
        <v>278.51</v>
      </c>
      <c r="P1210" s="13">
        <v>1.2632494344906799</v>
      </c>
    </row>
    <row r="1211" spans="11:16" x14ac:dyDescent="0.3">
      <c r="K1211" s="14" t="s">
        <v>353</v>
      </c>
      <c r="L1211">
        <v>202.69</v>
      </c>
      <c r="M1211">
        <v>84.997100000000003</v>
      </c>
      <c r="N1211">
        <v>300.01</v>
      </c>
      <c r="O1211">
        <v>274.47000000000003</v>
      </c>
      <c r="P1211" s="13">
        <v>1.3323485262505901</v>
      </c>
    </row>
    <row r="1212" spans="11:16" x14ac:dyDescent="0.3">
      <c r="K1212" s="14" t="s">
        <v>353</v>
      </c>
      <c r="L1212">
        <v>149.74</v>
      </c>
      <c r="M1212">
        <v>102.32210000000001</v>
      </c>
      <c r="N1212">
        <v>480.02</v>
      </c>
      <c r="O1212">
        <v>281.95999999999998</v>
      </c>
      <c r="P1212" s="13">
        <v>1.33659845368137</v>
      </c>
    </row>
    <row r="1213" spans="11:16" x14ac:dyDescent="0.3">
      <c r="K1213" s="14" t="s">
        <v>353</v>
      </c>
      <c r="L1213">
        <v>203.13</v>
      </c>
      <c r="M1213">
        <v>126.0851</v>
      </c>
      <c r="N1213">
        <v>155</v>
      </c>
      <c r="O1213">
        <v>272.74</v>
      </c>
      <c r="P1213" s="13">
        <v>1.3548254748111801</v>
      </c>
    </row>
    <row r="1214" spans="11:16" x14ac:dyDescent="0.3">
      <c r="K1214" s="14" t="s">
        <v>353</v>
      </c>
      <c r="L1214">
        <v>195.75</v>
      </c>
      <c r="M1214">
        <v>134.76560000000001</v>
      </c>
      <c r="N1214">
        <v>180</v>
      </c>
      <c r="O1214">
        <v>277.39</v>
      </c>
      <c r="P1214" s="13">
        <v>1.3602350481271901</v>
      </c>
    </row>
    <row r="1215" spans="11:16" x14ac:dyDescent="0.3">
      <c r="K1215" s="14" t="s">
        <v>353</v>
      </c>
      <c r="L1215">
        <v>203.13</v>
      </c>
      <c r="M1215">
        <v>109.26649999999999</v>
      </c>
      <c r="N1215">
        <v>325.10000000000002</v>
      </c>
      <c r="O1215">
        <v>283.74</v>
      </c>
      <c r="P1215" s="13">
        <v>1.39889511524635</v>
      </c>
    </row>
    <row r="1216" spans="11:16" x14ac:dyDescent="0.3">
      <c r="K1216" s="14" t="s">
        <v>353</v>
      </c>
      <c r="L1216">
        <v>195.75</v>
      </c>
      <c r="M1216">
        <v>103.29859999999999</v>
      </c>
      <c r="N1216">
        <v>350.01</v>
      </c>
      <c r="O1216">
        <v>271.32</v>
      </c>
      <c r="P1216" s="13">
        <v>1.43760577915377</v>
      </c>
    </row>
    <row r="1217" spans="11:16" x14ac:dyDescent="0.3">
      <c r="K1217" s="14" t="s">
        <v>353</v>
      </c>
      <c r="L1217">
        <v>150.61000000000001</v>
      </c>
      <c r="M1217">
        <v>91.579899999999995</v>
      </c>
      <c r="N1217">
        <v>643.02</v>
      </c>
      <c r="O1217">
        <v>283.39</v>
      </c>
      <c r="P1217" s="13">
        <v>1.4445643812414</v>
      </c>
    </row>
    <row r="1218" spans="11:16" x14ac:dyDescent="0.3">
      <c r="K1218" s="14" t="s">
        <v>353</v>
      </c>
      <c r="L1218">
        <v>203.13</v>
      </c>
      <c r="M1218">
        <v>198.15100000000001</v>
      </c>
      <c r="N1218">
        <v>122.1</v>
      </c>
      <c r="O1218">
        <v>287.18</v>
      </c>
      <c r="P1218" s="13">
        <v>1.5078591823943199</v>
      </c>
    </row>
    <row r="1219" spans="11:16" x14ac:dyDescent="0.3">
      <c r="K1219" s="14" t="s">
        <v>353</v>
      </c>
      <c r="L1219">
        <v>210.94</v>
      </c>
      <c r="M1219">
        <v>162.0009</v>
      </c>
      <c r="N1219">
        <v>132.1</v>
      </c>
      <c r="O1219">
        <v>254.69</v>
      </c>
      <c r="P1219" s="13">
        <v>1.5991475911892901</v>
      </c>
    </row>
    <row r="1220" spans="11:16" x14ac:dyDescent="0.3">
      <c r="K1220" s="14" t="s">
        <v>353</v>
      </c>
      <c r="L1220">
        <v>203.13</v>
      </c>
      <c r="M1220">
        <v>157.1181</v>
      </c>
      <c r="N1220">
        <v>343.11</v>
      </c>
      <c r="O1220">
        <v>276.83</v>
      </c>
      <c r="P1220" s="13">
        <v>1.6235837878842601</v>
      </c>
    </row>
    <row r="1221" spans="11:16" x14ac:dyDescent="0.3">
      <c r="K1221" s="14" t="s">
        <v>353</v>
      </c>
      <c r="L1221">
        <v>203.13</v>
      </c>
      <c r="M1221">
        <v>176.46700000000001</v>
      </c>
      <c r="N1221">
        <v>255.01</v>
      </c>
      <c r="O1221">
        <v>273.35000000000002</v>
      </c>
      <c r="P1221" s="13">
        <v>1.6312405341137699</v>
      </c>
    </row>
    <row r="1222" spans="11:16" x14ac:dyDescent="0.3">
      <c r="K1222" s="14" t="s">
        <v>353</v>
      </c>
      <c r="L1222">
        <v>195.75</v>
      </c>
      <c r="M1222">
        <v>172.5608</v>
      </c>
      <c r="N1222">
        <v>342.41</v>
      </c>
      <c r="O1222">
        <v>278.52999999999997</v>
      </c>
      <c r="P1222" s="13">
        <v>1.6419681901411001</v>
      </c>
    </row>
    <row r="1223" spans="11:16" x14ac:dyDescent="0.3">
      <c r="K1223" s="14" t="s">
        <v>353</v>
      </c>
      <c r="L1223">
        <v>203.13</v>
      </c>
      <c r="M1223">
        <v>169.27090000000001</v>
      </c>
      <c r="N1223">
        <v>392.11</v>
      </c>
      <c r="O1223">
        <v>272.81</v>
      </c>
      <c r="P1223" s="13">
        <v>1.7387540779296899</v>
      </c>
    </row>
    <row r="1224" spans="11:16" x14ac:dyDescent="0.3">
      <c r="K1224" s="14" t="s">
        <v>355</v>
      </c>
      <c r="L1224">
        <v>203.13</v>
      </c>
      <c r="M1224">
        <v>115.7407</v>
      </c>
      <c r="N1224">
        <v>155</v>
      </c>
      <c r="O1224">
        <v>277.92</v>
      </c>
      <c r="P1224" s="13">
        <v>1.2923528353483</v>
      </c>
    </row>
    <row r="1225" spans="11:16" x14ac:dyDescent="0.3">
      <c r="K1225" s="14" t="s">
        <v>355</v>
      </c>
      <c r="L1225">
        <v>203.56</v>
      </c>
      <c r="M1225">
        <v>150.17359999999999</v>
      </c>
      <c r="N1225">
        <v>145.1</v>
      </c>
      <c r="O1225">
        <v>282.58</v>
      </c>
      <c r="P1225" s="13">
        <v>1.38530540024064</v>
      </c>
    </row>
    <row r="1226" spans="11:16" x14ac:dyDescent="0.3">
      <c r="K1226" s="14" t="s">
        <v>355</v>
      </c>
      <c r="L1226">
        <v>203.13</v>
      </c>
      <c r="M1226">
        <v>155.74359999999999</v>
      </c>
      <c r="N1226">
        <v>89.1</v>
      </c>
      <c r="O1226">
        <v>271.63</v>
      </c>
      <c r="P1226" s="13">
        <v>1.4064705665795401</v>
      </c>
    </row>
    <row r="1227" spans="11:16" x14ac:dyDescent="0.3">
      <c r="K1227" s="14" t="s">
        <v>355</v>
      </c>
      <c r="L1227">
        <v>202.69</v>
      </c>
      <c r="M1227">
        <v>105.3603</v>
      </c>
      <c r="N1227">
        <v>365.61</v>
      </c>
      <c r="O1227">
        <v>282.27999999999997</v>
      </c>
      <c r="P1227" s="13">
        <v>1.4280462661187501</v>
      </c>
    </row>
    <row r="1228" spans="11:16" x14ac:dyDescent="0.3">
      <c r="K1228" s="14" t="s">
        <v>355</v>
      </c>
      <c r="L1228">
        <v>210.94</v>
      </c>
      <c r="M1228">
        <v>147.8588</v>
      </c>
      <c r="N1228">
        <v>200</v>
      </c>
      <c r="O1228">
        <v>281.44</v>
      </c>
      <c r="P1228" s="13">
        <v>1.4596318931210901</v>
      </c>
    </row>
    <row r="1229" spans="11:16" x14ac:dyDescent="0.3">
      <c r="K1229" s="14" t="s">
        <v>355</v>
      </c>
      <c r="L1229">
        <v>203.13</v>
      </c>
      <c r="M1229">
        <v>124.349</v>
      </c>
      <c r="N1229">
        <v>300.01</v>
      </c>
      <c r="O1229">
        <v>273.58999999999997</v>
      </c>
      <c r="P1229" s="13">
        <v>1.48207756131438</v>
      </c>
    </row>
    <row r="1230" spans="11:16" x14ac:dyDescent="0.3">
      <c r="K1230" s="14" t="s">
        <v>355</v>
      </c>
      <c r="L1230">
        <v>202.69</v>
      </c>
      <c r="M1230">
        <v>121.8533</v>
      </c>
      <c r="N1230">
        <v>350.01</v>
      </c>
      <c r="O1230">
        <v>278.52</v>
      </c>
      <c r="P1230" s="13">
        <v>1.49197867298578</v>
      </c>
    </row>
    <row r="1231" spans="11:16" x14ac:dyDescent="0.3">
      <c r="K1231" s="14" t="s">
        <v>355</v>
      </c>
      <c r="L1231">
        <v>202.69</v>
      </c>
      <c r="M1231">
        <v>106.3368</v>
      </c>
      <c r="N1231">
        <v>390.01</v>
      </c>
      <c r="O1231">
        <v>274.22000000000003</v>
      </c>
      <c r="P1231" s="13">
        <v>1.4967157756545799</v>
      </c>
    </row>
    <row r="1232" spans="11:16" x14ac:dyDescent="0.3">
      <c r="K1232" s="14" t="s">
        <v>355</v>
      </c>
      <c r="L1232">
        <v>210.5</v>
      </c>
      <c r="M1232">
        <v>113.17270000000001</v>
      </c>
      <c r="N1232">
        <v>400.02</v>
      </c>
      <c r="O1232">
        <v>285.13</v>
      </c>
      <c r="P1232" s="13">
        <v>1.49994002735594</v>
      </c>
    </row>
    <row r="1233" spans="11:16" x14ac:dyDescent="0.3">
      <c r="K1233" s="14" t="s">
        <v>355</v>
      </c>
      <c r="L1233">
        <v>210.5</v>
      </c>
      <c r="M1233">
        <v>145.4716</v>
      </c>
      <c r="N1233">
        <v>270.01</v>
      </c>
      <c r="O1233">
        <v>281.16000000000003</v>
      </c>
      <c r="P1233" s="13">
        <v>1.51577109119363</v>
      </c>
    </row>
    <row r="1234" spans="11:16" x14ac:dyDescent="0.3">
      <c r="K1234" s="14" t="s">
        <v>355</v>
      </c>
      <c r="L1234">
        <v>210.5</v>
      </c>
      <c r="M1234">
        <v>134.76560000000001</v>
      </c>
      <c r="N1234">
        <v>360.01</v>
      </c>
      <c r="O1234">
        <v>288.32</v>
      </c>
      <c r="P1234" s="13">
        <v>1.5221566315205299</v>
      </c>
    </row>
    <row r="1235" spans="11:16" x14ac:dyDescent="0.3">
      <c r="K1235" s="14" t="s">
        <v>355</v>
      </c>
      <c r="L1235">
        <v>210.5</v>
      </c>
      <c r="M1235">
        <v>113.9323</v>
      </c>
      <c r="N1235">
        <v>380.01</v>
      </c>
      <c r="O1235">
        <v>274.5</v>
      </c>
      <c r="P1235" s="13">
        <v>1.5418393442623</v>
      </c>
    </row>
    <row r="1236" spans="11:16" x14ac:dyDescent="0.3">
      <c r="K1236" s="14" t="s">
        <v>355</v>
      </c>
      <c r="L1236">
        <v>210.5</v>
      </c>
      <c r="M1236">
        <v>108.2899</v>
      </c>
      <c r="N1236">
        <v>430.11</v>
      </c>
      <c r="O1236">
        <v>276.22000000000003</v>
      </c>
      <c r="P1236" s="13">
        <v>1.5589692998334701</v>
      </c>
    </row>
    <row r="1237" spans="11:16" x14ac:dyDescent="0.3">
      <c r="K1237" s="14" t="s">
        <v>355</v>
      </c>
      <c r="L1237">
        <v>210.5</v>
      </c>
      <c r="M1237">
        <v>144.63980000000001</v>
      </c>
      <c r="N1237">
        <v>390.01</v>
      </c>
      <c r="O1237">
        <v>290.36</v>
      </c>
      <c r="P1237" s="13">
        <v>1.57233227717316</v>
      </c>
    </row>
    <row r="1238" spans="11:16" x14ac:dyDescent="0.3">
      <c r="K1238" s="14" t="s">
        <v>355</v>
      </c>
      <c r="L1238">
        <v>210.5</v>
      </c>
      <c r="M1238">
        <v>195.67420000000001</v>
      </c>
      <c r="N1238">
        <v>111.1</v>
      </c>
      <c r="O1238">
        <v>275.10000000000002</v>
      </c>
      <c r="P1238" s="13">
        <v>1.5814620138131601</v>
      </c>
    </row>
    <row r="1239" spans="11:16" x14ac:dyDescent="0.3">
      <c r="K1239" s="14" t="s">
        <v>355</v>
      </c>
      <c r="L1239">
        <v>210.5</v>
      </c>
      <c r="M1239">
        <v>133.40710000000001</v>
      </c>
      <c r="N1239">
        <v>400.02</v>
      </c>
      <c r="O1239">
        <v>273.63</v>
      </c>
      <c r="P1239" s="13">
        <v>1.6369268720535</v>
      </c>
    </row>
    <row r="1240" spans="11:16" x14ac:dyDescent="0.3">
      <c r="K1240" s="14" t="s">
        <v>355</v>
      </c>
      <c r="L1240">
        <v>210.5</v>
      </c>
      <c r="M1240">
        <v>129.9913</v>
      </c>
      <c r="N1240">
        <v>500.11</v>
      </c>
      <c r="O1240">
        <v>278.51</v>
      </c>
      <c r="P1240" s="13">
        <v>1.68941833327349</v>
      </c>
    </row>
    <row r="1241" spans="11:16" x14ac:dyDescent="0.3">
      <c r="K1241" s="14" t="s">
        <v>355</v>
      </c>
      <c r="L1241">
        <v>210.5</v>
      </c>
      <c r="M1241">
        <v>172.6866</v>
      </c>
      <c r="N1241">
        <v>370.01</v>
      </c>
      <c r="O1241">
        <v>281.41000000000003</v>
      </c>
      <c r="P1241" s="13">
        <v>1.70352581642443</v>
      </c>
    </row>
    <row r="1242" spans="11:16" x14ac:dyDescent="0.3">
      <c r="K1242" s="14" t="s">
        <v>336</v>
      </c>
      <c r="L1242">
        <v>195.75</v>
      </c>
      <c r="M1242">
        <v>141.71010000000001</v>
      </c>
      <c r="N1242">
        <v>50.1</v>
      </c>
      <c r="O1242">
        <v>271.91000000000003</v>
      </c>
      <c r="P1242" s="13">
        <v>1.2889783384208</v>
      </c>
    </row>
    <row r="1243" spans="11:16" x14ac:dyDescent="0.3">
      <c r="K1243" s="14" t="s">
        <v>336</v>
      </c>
      <c r="L1243">
        <v>203.13</v>
      </c>
      <c r="M1243">
        <v>151.76509999999999</v>
      </c>
      <c r="N1243">
        <v>250.01</v>
      </c>
      <c r="O1243">
        <v>290.67</v>
      </c>
      <c r="P1243" s="13">
        <v>1.44458561255031</v>
      </c>
    </row>
    <row r="1244" spans="11:16" x14ac:dyDescent="0.3">
      <c r="K1244" s="14" t="s">
        <v>336</v>
      </c>
      <c r="L1244">
        <v>203.13</v>
      </c>
      <c r="M1244">
        <v>156.46700000000001</v>
      </c>
      <c r="N1244">
        <v>294.10000000000002</v>
      </c>
      <c r="O1244">
        <v>292.62</v>
      </c>
      <c r="P1244" s="13">
        <v>1.4902023101633499</v>
      </c>
    </row>
    <row r="1245" spans="11:16" x14ac:dyDescent="0.3">
      <c r="K1245" s="14" t="s">
        <v>336</v>
      </c>
      <c r="L1245">
        <v>210.94</v>
      </c>
      <c r="M1245">
        <v>140.95060000000001</v>
      </c>
      <c r="N1245">
        <v>230</v>
      </c>
      <c r="O1245">
        <v>272.77</v>
      </c>
      <c r="P1245" s="13">
        <v>1.5092957436668299</v>
      </c>
    </row>
    <row r="1246" spans="11:16" x14ac:dyDescent="0.3">
      <c r="K1246" s="14" t="s">
        <v>336</v>
      </c>
      <c r="L1246">
        <v>202.26</v>
      </c>
      <c r="M1246">
        <v>160.7509</v>
      </c>
      <c r="N1246">
        <v>280.01</v>
      </c>
      <c r="O1246">
        <v>286.27</v>
      </c>
      <c r="P1246" s="13">
        <v>1.52238620882384</v>
      </c>
    </row>
    <row r="1247" spans="11:16" x14ac:dyDescent="0.3">
      <c r="K1247" s="14" t="s">
        <v>336</v>
      </c>
      <c r="L1247">
        <v>202.69</v>
      </c>
      <c r="M1247">
        <v>191.22399999999999</v>
      </c>
      <c r="N1247">
        <v>155</v>
      </c>
      <c r="O1247">
        <v>284.02</v>
      </c>
      <c r="P1247" s="13">
        <v>1.5288148721921</v>
      </c>
    </row>
    <row r="1248" spans="11:16" x14ac:dyDescent="0.3">
      <c r="K1248" s="14" t="s">
        <v>336</v>
      </c>
      <c r="L1248">
        <v>203.13</v>
      </c>
      <c r="M1248">
        <v>154.3837</v>
      </c>
      <c r="N1248">
        <v>290.01</v>
      </c>
      <c r="O1248">
        <v>282.83999999999997</v>
      </c>
      <c r="P1248" s="13">
        <v>1.5306049356526701</v>
      </c>
    </row>
    <row r="1249" spans="11:16" x14ac:dyDescent="0.3">
      <c r="K1249" s="14" t="s">
        <v>336</v>
      </c>
      <c r="L1249">
        <v>210.94</v>
      </c>
      <c r="M1249">
        <v>153.4288</v>
      </c>
      <c r="N1249">
        <v>200</v>
      </c>
      <c r="O1249">
        <v>266.44</v>
      </c>
      <c r="P1249" s="13">
        <v>1.56271130460892</v>
      </c>
    </row>
    <row r="1250" spans="11:16" x14ac:dyDescent="0.3">
      <c r="K1250" s="14" t="s">
        <v>336</v>
      </c>
      <c r="L1250">
        <v>203.13</v>
      </c>
      <c r="M1250">
        <v>179.2535</v>
      </c>
      <c r="N1250">
        <v>250.01</v>
      </c>
      <c r="O1250">
        <v>277.57</v>
      </c>
      <c r="P1250" s="13">
        <v>1.6117955830961599</v>
      </c>
    </row>
    <row r="1251" spans="11:16" x14ac:dyDescent="0.3">
      <c r="K1251" s="14" t="s">
        <v>336</v>
      </c>
      <c r="L1251">
        <v>203.13</v>
      </c>
      <c r="M1251">
        <v>208.27549999999999</v>
      </c>
      <c r="N1251">
        <v>200</v>
      </c>
      <c r="O1251">
        <v>274.79000000000002</v>
      </c>
      <c r="P1251" s="13">
        <v>1.68639870446523</v>
      </c>
    </row>
    <row r="1252" spans="11:16" x14ac:dyDescent="0.3">
      <c r="K1252" s="14" t="s">
        <v>336</v>
      </c>
      <c r="L1252">
        <v>210.5</v>
      </c>
      <c r="M1252">
        <v>155.38200000000001</v>
      </c>
      <c r="N1252">
        <v>380.1</v>
      </c>
      <c r="O1252">
        <v>272.19</v>
      </c>
      <c r="P1252" s="13">
        <v>1.70729269995224</v>
      </c>
    </row>
    <row r="1253" spans="11:16" x14ac:dyDescent="0.3">
      <c r="K1253" s="14" t="s">
        <v>336</v>
      </c>
      <c r="L1253">
        <v>301.22000000000003</v>
      </c>
      <c r="M1253">
        <v>175.7422</v>
      </c>
      <c r="N1253">
        <v>111.1</v>
      </c>
      <c r="O1253">
        <v>275.62</v>
      </c>
      <c r="P1253" s="13">
        <v>1.8353102097090199</v>
      </c>
    </row>
    <row r="1254" spans="11:16" x14ac:dyDescent="0.3">
      <c r="K1254" s="14" t="s">
        <v>336</v>
      </c>
      <c r="L1254">
        <v>209.2</v>
      </c>
      <c r="M1254">
        <v>306.3657</v>
      </c>
      <c r="N1254">
        <v>510.01</v>
      </c>
      <c r="O1254">
        <v>273.01</v>
      </c>
      <c r="P1254" s="13">
        <v>2.3741558917255801</v>
      </c>
    </row>
    <row r="1255" spans="11:16" x14ac:dyDescent="0.3">
      <c r="K1255" s="14" t="s">
        <v>338</v>
      </c>
      <c r="L1255">
        <v>194.88</v>
      </c>
      <c r="M1255">
        <v>111.9068</v>
      </c>
      <c r="N1255">
        <v>200</v>
      </c>
      <c r="O1255">
        <v>272.76</v>
      </c>
      <c r="P1255" s="13">
        <v>1.31539375274967</v>
      </c>
    </row>
    <row r="1256" spans="11:16" x14ac:dyDescent="0.3">
      <c r="K1256" s="14" t="s">
        <v>338</v>
      </c>
      <c r="L1256">
        <v>194.44</v>
      </c>
      <c r="M1256">
        <v>129.8828</v>
      </c>
      <c r="N1256">
        <v>400.11</v>
      </c>
      <c r="O1256">
        <v>266.7</v>
      </c>
      <c r="P1256" s="13">
        <v>1.60611698537683</v>
      </c>
    </row>
    <row r="1257" spans="11:16" x14ac:dyDescent="0.3">
      <c r="K1257" s="14" t="s">
        <v>338</v>
      </c>
      <c r="L1257">
        <v>202.26</v>
      </c>
      <c r="M1257">
        <v>174.8742</v>
      </c>
      <c r="N1257">
        <v>300.01</v>
      </c>
      <c r="O1257">
        <v>277.95</v>
      </c>
      <c r="P1257" s="13">
        <v>1.63747724410865</v>
      </c>
    </row>
    <row r="1258" spans="11:16" x14ac:dyDescent="0.3">
      <c r="K1258" s="14" t="s">
        <v>338</v>
      </c>
      <c r="L1258">
        <v>300.35000000000002</v>
      </c>
      <c r="M1258">
        <v>111.2196</v>
      </c>
      <c r="N1258">
        <v>170</v>
      </c>
      <c r="O1258">
        <v>266.12</v>
      </c>
      <c r="P1258" s="13">
        <v>1.7126469261987101</v>
      </c>
    </row>
    <row r="1259" spans="11:16" x14ac:dyDescent="0.3">
      <c r="K1259" s="14" t="s">
        <v>339</v>
      </c>
      <c r="L1259">
        <v>210.5</v>
      </c>
      <c r="N1259">
        <v>366.01</v>
      </c>
      <c r="O1259">
        <v>275.62</v>
      </c>
      <c r="P1259" s="13">
        <v>1.1090000725636699</v>
      </c>
    </row>
    <row r="1260" spans="11:16" x14ac:dyDescent="0.3">
      <c r="K1260" s="14" t="s">
        <v>339</v>
      </c>
      <c r="L1260">
        <v>203.13</v>
      </c>
      <c r="M1260">
        <v>146.70140000000001</v>
      </c>
      <c r="N1260">
        <v>160</v>
      </c>
      <c r="O1260">
        <v>290.61</v>
      </c>
      <c r="P1260" s="13">
        <v>1.3469302501634499</v>
      </c>
    </row>
    <row r="1261" spans="11:16" x14ac:dyDescent="0.3">
      <c r="K1261" s="14" t="s">
        <v>339</v>
      </c>
      <c r="L1261">
        <v>195.31</v>
      </c>
      <c r="M1261">
        <v>147.56950000000001</v>
      </c>
      <c r="N1261">
        <v>200</v>
      </c>
      <c r="O1261">
        <v>282.26</v>
      </c>
      <c r="P1261" s="13">
        <v>1.39899206405442</v>
      </c>
    </row>
    <row r="1262" spans="11:16" x14ac:dyDescent="0.3">
      <c r="K1262" s="14" t="s">
        <v>339</v>
      </c>
      <c r="L1262">
        <v>203.13</v>
      </c>
      <c r="M1262">
        <v>146.59289999999999</v>
      </c>
      <c r="N1262">
        <v>150.1</v>
      </c>
      <c r="O1262">
        <v>271.06</v>
      </c>
      <c r="P1262" s="13">
        <v>1.4341802552940299</v>
      </c>
    </row>
    <row r="1263" spans="11:16" x14ac:dyDescent="0.3">
      <c r="K1263" s="14" t="s">
        <v>339</v>
      </c>
      <c r="L1263">
        <v>195.75</v>
      </c>
      <c r="M1263">
        <v>149.52260000000001</v>
      </c>
      <c r="N1263">
        <v>230</v>
      </c>
      <c r="O1263">
        <v>281.69</v>
      </c>
      <c r="P1263" s="13">
        <v>1.43800844900422</v>
      </c>
    </row>
    <row r="1264" spans="11:16" x14ac:dyDescent="0.3">
      <c r="K1264" s="14" t="s">
        <v>339</v>
      </c>
      <c r="L1264">
        <v>203.13</v>
      </c>
      <c r="M1264">
        <v>133.78909999999999</v>
      </c>
      <c r="N1264">
        <v>250.01</v>
      </c>
      <c r="O1264">
        <v>277.08999999999997</v>
      </c>
      <c r="P1264" s="13">
        <v>1.4505095817243501</v>
      </c>
    </row>
    <row r="1265" spans="11:16" x14ac:dyDescent="0.3">
      <c r="K1265" s="14" t="s">
        <v>339</v>
      </c>
      <c r="L1265">
        <v>195.31</v>
      </c>
      <c r="M1265">
        <v>148.54599999999999</v>
      </c>
      <c r="N1265">
        <v>260.01</v>
      </c>
      <c r="O1265">
        <v>283.41000000000003</v>
      </c>
      <c r="P1265" s="13">
        <v>1.45181397974666</v>
      </c>
    </row>
    <row r="1266" spans="11:16" x14ac:dyDescent="0.3">
      <c r="K1266" s="14" t="s">
        <v>339</v>
      </c>
      <c r="L1266">
        <v>203.56</v>
      </c>
      <c r="M1266">
        <v>135.7422</v>
      </c>
      <c r="N1266">
        <v>240.01</v>
      </c>
      <c r="O1266">
        <v>272.76</v>
      </c>
      <c r="P1266" s="13">
        <v>1.4727408710954699</v>
      </c>
    </row>
    <row r="1267" spans="11:16" x14ac:dyDescent="0.3">
      <c r="K1267" s="14" t="s">
        <v>339</v>
      </c>
      <c r="L1267">
        <v>150.61000000000001</v>
      </c>
      <c r="M1267">
        <v>164.17099999999999</v>
      </c>
      <c r="N1267">
        <v>400.02</v>
      </c>
      <c r="O1267">
        <v>284.02</v>
      </c>
      <c r="P1267" s="13">
        <v>1.4744954580663301</v>
      </c>
    </row>
    <row r="1268" spans="11:16" x14ac:dyDescent="0.3">
      <c r="K1268" s="14" t="s">
        <v>339</v>
      </c>
      <c r="L1268">
        <v>202.69</v>
      </c>
      <c r="M1268">
        <v>142.6867</v>
      </c>
      <c r="N1268">
        <v>300.01</v>
      </c>
      <c r="O1268">
        <v>285.99</v>
      </c>
      <c r="P1268" s="13">
        <v>1.4803989649987801</v>
      </c>
    </row>
    <row r="1269" spans="11:16" x14ac:dyDescent="0.3">
      <c r="K1269" s="14" t="s">
        <v>339</v>
      </c>
      <c r="L1269">
        <v>300.77999999999997</v>
      </c>
      <c r="M1269">
        <v>87.673599999999993</v>
      </c>
      <c r="N1269">
        <v>176.9</v>
      </c>
      <c r="O1269">
        <v>289.14999999999998</v>
      </c>
      <c r="P1269" s="13">
        <v>1.50249904893654</v>
      </c>
    </row>
    <row r="1270" spans="11:16" x14ac:dyDescent="0.3">
      <c r="K1270" s="14" t="s">
        <v>339</v>
      </c>
      <c r="L1270">
        <v>203.13</v>
      </c>
      <c r="M1270">
        <v>155.6163</v>
      </c>
      <c r="N1270">
        <v>201.6</v>
      </c>
      <c r="O1270">
        <v>269.3</v>
      </c>
      <c r="P1270" s="13">
        <v>1.5267816561455601</v>
      </c>
    </row>
    <row r="1271" spans="11:16" x14ac:dyDescent="0.3">
      <c r="K1271" s="14" t="s">
        <v>339</v>
      </c>
      <c r="L1271">
        <v>203.56</v>
      </c>
      <c r="M1271">
        <v>134.04220000000001</v>
      </c>
      <c r="N1271">
        <v>350.11</v>
      </c>
      <c r="O1271">
        <v>279.42</v>
      </c>
      <c r="P1271" s="13">
        <v>1.5340018609977799</v>
      </c>
    </row>
    <row r="1272" spans="11:16" x14ac:dyDescent="0.3">
      <c r="K1272" s="14" t="s">
        <v>339</v>
      </c>
      <c r="L1272">
        <v>195.31</v>
      </c>
      <c r="M1272">
        <v>151.47569999999999</v>
      </c>
      <c r="N1272">
        <v>288.61</v>
      </c>
      <c r="O1272">
        <v>273.31</v>
      </c>
      <c r="P1272" s="13">
        <v>1.5433913870696301</v>
      </c>
    </row>
    <row r="1273" spans="11:16" x14ac:dyDescent="0.3">
      <c r="K1273" s="14" t="s">
        <v>339</v>
      </c>
      <c r="L1273">
        <v>203.13</v>
      </c>
      <c r="M1273">
        <v>134.65710000000001</v>
      </c>
      <c r="N1273">
        <v>380.01</v>
      </c>
      <c r="O1273">
        <v>281.70999999999998</v>
      </c>
      <c r="P1273" s="13">
        <v>1.54978417521565</v>
      </c>
    </row>
    <row r="1274" spans="11:16" x14ac:dyDescent="0.3">
      <c r="K1274" s="14" t="s">
        <v>339</v>
      </c>
      <c r="L1274">
        <v>195.31</v>
      </c>
      <c r="M1274">
        <v>147.56950000000001</v>
      </c>
      <c r="N1274">
        <v>320.01</v>
      </c>
      <c r="O1274">
        <v>274.47000000000003</v>
      </c>
      <c r="P1274" s="13">
        <v>1.5523813167195</v>
      </c>
    </row>
    <row r="1275" spans="11:16" x14ac:dyDescent="0.3">
      <c r="K1275" s="14" t="s">
        <v>339</v>
      </c>
      <c r="L1275">
        <v>203.13</v>
      </c>
      <c r="M1275">
        <v>144.53129999999999</v>
      </c>
      <c r="N1275">
        <v>366.01</v>
      </c>
      <c r="O1275">
        <v>284.58999999999997</v>
      </c>
      <c r="P1275" s="13">
        <v>1.5560065357180499</v>
      </c>
    </row>
    <row r="1276" spans="11:16" x14ac:dyDescent="0.3">
      <c r="K1276" s="14" t="s">
        <v>339</v>
      </c>
      <c r="L1276">
        <v>202.69</v>
      </c>
      <c r="M1276">
        <v>157.76910000000001</v>
      </c>
      <c r="N1276">
        <v>200</v>
      </c>
      <c r="O1276">
        <v>265</v>
      </c>
      <c r="P1276" s="13">
        <v>1.5564494339622601</v>
      </c>
    </row>
    <row r="1277" spans="11:16" x14ac:dyDescent="0.3">
      <c r="K1277" s="14" t="s">
        <v>339</v>
      </c>
      <c r="L1277">
        <v>203.13</v>
      </c>
      <c r="M1277">
        <v>164.63980000000001</v>
      </c>
      <c r="N1277">
        <v>320.01</v>
      </c>
      <c r="O1277">
        <v>289.19</v>
      </c>
      <c r="P1277" s="13">
        <v>1.55943289878627</v>
      </c>
    </row>
    <row r="1278" spans="11:16" x14ac:dyDescent="0.3">
      <c r="K1278" s="14" t="s">
        <v>339</v>
      </c>
      <c r="L1278">
        <v>203.13</v>
      </c>
      <c r="M1278">
        <v>188.25960000000001</v>
      </c>
      <c r="N1278">
        <v>170</v>
      </c>
      <c r="O1278">
        <v>277.67</v>
      </c>
      <c r="P1278" s="13">
        <v>1.5687312277163501</v>
      </c>
    </row>
    <row r="1279" spans="11:16" x14ac:dyDescent="0.3">
      <c r="K1279" s="14" t="s">
        <v>339</v>
      </c>
      <c r="L1279">
        <v>203.13</v>
      </c>
      <c r="M1279">
        <v>148.54599999999999</v>
      </c>
      <c r="N1279">
        <v>394.21</v>
      </c>
      <c r="O1279">
        <v>287.17</v>
      </c>
      <c r="P1279" s="13">
        <v>1.58153915799004</v>
      </c>
    </row>
    <row r="1280" spans="11:16" x14ac:dyDescent="0.3">
      <c r="K1280" s="14" t="s">
        <v>339</v>
      </c>
      <c r="L1280">
        <v>301.22000000000003</v>
      </c>
      <c r="M1280">
        <v>92.954300000000003</v>
      </c>
      <c r="N1280">
        <v>120.1</v>
      </c>
      <c r="O1280">
        <v>268.91000000000003</v>
      </c>
      <c r="P1280" s="13">
        <v>1.5819430292662999</v>
      </c>
    </row>
    <row r="1281" spans="11:16" x14ac:dyDescent="0.3">
      <c r="K1281" s="14" t="s">
        <v>339</v>
      </c>
      <c r="L1281">
        <v>195.31</v>
      </c>
      <c r="M1281">
        <v>165.6163</v>
      </c>
      <c r="N1281">
        <v>300.01</v>
      </c>
      <c r="O1281">
        <v>276.52</v>
      </c>
      <c r="P1281" s="13">
        <v>1.58733147692753</v>
      </c>
    </row>
    <row r="1282" spans="11:16" x14ac:dyDescent="0.3">
      <c r="K1282" s="14" t="s">
        <v>339</v>
      </c>
      <c r="L1282">
        <v>203.13</v>
      </c>
      <c r="M1282">
        <v>218.64160000000001</v>
      </c>
      <c r="N1282">
        <v>130.1</v>
      </c>
      <c r="O1282">
        <v>284.01</v>
      </c>
      <c r="P1282" s="13">
        <v>1.6041604168867301</v>
      </c>
    </row>
    <row r="1283" spans="11:16" x14ac:dyDescent="0.3">
      <c r="K1283" s="14" t="s">
        <v>339</v>
      </c>
      <c r="L1283">
        <v>203.13</v>
      </c>
      <c r="M1283">
        <v>207.1036</v>
      </c>
      <c r="N1283">
        <v>200</v>
      </c>
      <c r="O1283">
        <v>286.3</v>
      </c>
      <c r="P1283" s="13">
        <v>1.6145078588892801</v>
      </c>
    </row>
    <row r="1284" spans="11:16" x14ac:dyDescent="0.3">
      <c r="K1284" s="14" t="s">
        <v>339</v>
      </c>
      <c r="L1284">
        <v>307.73</v>
      </c>
      <c r="M1284">
        <v>99.971100000000007</v>
      </c>
      <c r="N1284">
        <v>230</v>
      </c>
      <c r="O1284">
        <v>284.27</v>
      </c>
      <c r="P1284" s="13">
        <v>1.6445671368769099</v>
      </c>
    </row>
    <row r="1285" spans="11:16" x14ac:dyDescent="0.3">
      <c r="K1285" s="14" t="s">
        <v>339</v>
      </c>
      <c r="L1285">
        <v>203.13</v>
      </c>
      <c r="M1285">
        <v>186.9734</v>
      </c>
      <c r="N1285">
        <v>300.01</v>
      </c>
      <c r="O1285">
        <v>284.58999999999997</v>
      </c>
      <c r="P1285" s="13">
        <v>1.64484345901121</v>
      </c>
    </row>
    <row r="1286" spans="11:16" x14ac:dyDescent="0.3">
      <c r="K1286" s="14" t="s">
        <v>339</v>
      </c>
      <c r="L1286">
        <v>203.13</v>
      </c>
      <c r="M1286">
        <v>184.63980000000001</v>
      </c>
      <c r="N1286">
        <v>300.01</v>
      </c>
      <c r="O1286">
        <v>280.83</v>
      </c>
      <c r="P1286" s="13">
        <v>1.65855642203468</v>
      </c>
    </row>
    <row r="1287" spans="11:16" x14ac:dyDescent="0.3">
      <c r="K1287" s="14" t="s">
        <v>339</v>
      </c>
      <c r="L1287">
        <v>301.22000000000003</v>
      </c>
      <c r="M1287">
        <v>113.1366</v>
      </c>
      <c r="N1287">
        <v>150.1</v>
      </c>
      <c r="O1287">
        <v>271.33</v>
      </c>
      <c r="P1287" s="13">
        <v>1.6709637710537</v>
      </c>
    </row>
    <row r="1288" spans="11:16" x14ac:dyDescent="0.3">
      <c r="K1288" s="14" t="s">
        <v>339</v>
      </c>
      <c r="L1288">
        <v>301.22000000000003</v>
      </c>
      <c r="M1288">
        <v>95.703100000000006</v>
      </c>
      <c r="N1288">
        <v>260.01</v>
      </c>
      <c r="O1288">
        <v>277.38</v>
      </c>
      <c r="P1288" s="13">
        <v>1.67469067704954</v>
      </c>
    </row>
    <row r="1289" spans="11:16" x14ac:dyDescent="0.3">
      <c r="K1289" s="14" t="s">
        <v>339</v>
      </c>
      <c r="L1289">
        <v>202.69</v>
      </c>
      <c r="M1289">
        <v>137.04429999999999</v>
      </c>
      <c r="N1289">
        <v>554.02</v>
      </c>
      <c r="O1289">
        <v>288.3</v>
      </c>
      <c r="P1289" s="13">
        <v>1.67804197016996</v>
      </c>
    </row>
    <row r="1290" spans="11:16" x14ac:dyDescent="0.3">
      <c r="K1290" s="14" t="s">
        <v>339</v>
      </c>
      <c r="L1290">
        <v>203.13</v>
      </c>
      <c r="M1290">
        <v>173.4288</v>
      </c>
      <c r="N1290">
        <v>400.11</v>
      </c>
      <c r="O1290">
        <v>284.69</v>
      </c>
      <c r="P1290" s="13">
        <v>1.6881077663423401</v>
      </c>
    </row>
    <row r="1291" spans="11:16" x14ac:dyDescent="0.3">
      <c r="K1291" s="14" t="s">
        <v>339</v>
      </c>
      <c r="L1291">
        <v>301.22000000000003</v>
      </c>
      <c r="M1291">
        <v>137.0428</v>
      </c>
      <c r="N1291">
        <v>100.1</v>
      </c>
      <c r="O1291">
        <v>274.19</v>
      </c>
      <c r="P1291" s="13">
        <v>1.6933104781356001</v>
      </c>
    </row>
    <row r="1292" spans="11:16" x14ac:dyDescent="0.3">
      <c r="K1292" s="14" t="s">
        <v>339</v>
      </c>
      <c r="L1292">
        <v>300.77999999999997</v>
      </c>
      <c r="M1292">
        <v>99.392399999999995</v>
      </c>
      <c r="N1292">
        <v>300.01</v>
      </c>
      <c r="O1292">
        <v>281.98</v>
      </c>
      <c r="P1292" s="13">
        <v>1.6957762961912199</v>
      </c>
    </row>
    <row r="1293" spans="11:16" x14ac:dyDescent="0.3">
      <c r="K1293" s="14" t="s">
        <v>339</v>
      </c>
      <c r="L1293">
        <v>202.69</v>
      </c>
      <c r="M1293">
        <v>165.3646</v>
      </c>
      <c r="N1293">
        <v>450.11</v>
      </c>
      <c r="O1293">
        <v>285.72000000000003</v>
      </c>
      <c r="P1293" s="13">
        <v>1.6977572448550999</v>
      </c>
    </row>
    <row r="1294" spans="11:16" x14ac:dyDescent="0.3">
      <c r="K1294" s="14" t="s">
        <v>339</v>
      </c>
      <c r="L1294">
        <v>203.13</v>
      </c>
      <c r="M1294">
        <v>179.1609</v>
      </c>
      <c r="N1294">
        <v>320.01</v>
      </c>
      <c r="O1294">
        <v>271.88</v>
      </c>
      <c r="P1294" s="13">
        <v>1.7121285125790799</v>
      </c>
    </row>
    <row r="1295" spans="11:16" x14ac:dyDescent="0.3">
      <c r="K1295" s="14" t="s">
        <v>339</v>
      </c>
      <c r="L1295">
        <v>300.77999999999997</v>
      </c>
      <c r="M1295">
        <v>142.46960000000001</v>
      </c>
      <c r="N1295">
        <v>99.1</v>
      </c>
      <c r="O1295">
        <v>271.89999999999998</v>
      </c>
      <c r="P1295" s="13">
        <v>1.7249562339095299</v>
      </c>
    </row>
    <row r="1296" spans="11:16" x14ac:dyDescent="0.3">
      <c r="K1296" s="14" t="s">
        <v>339</v>
      </c>
      <c r="L1296">
        <v>292.97000000000003</v>
      </c>
      <c r="M1296">
        <v>158.67189999999999</v>
      </c>
      <c r="N1296">
        <v>166</v>
      </c>
      <c r="O1296">
        <v>286.83</v>
      </c>
      <c r="P1296" s="13">
        <v>1.72507025067113</v>
      </c>
    </row>
    <row r="1297" spans="11:16" x14ac:dyDescent="0.3">
      <c r="K1297" s="14" t="s">
        <v>339</v>
      </c>
      <c r="L1297">
        <v>300.77999999999997</v>
      </c>
      <c r="M1297">
        <v>131.43809999999999</v>
      </c>
      <c r="N1297">
        <v>275.81</v>
      </c>
      <c r="O1297">
        <v>290.01</v>
      </c>
      <c r="P1297" s="13">
        <v>1.73762525430158</v>
      </c>
    </row>
    <row r="1298" spans="11:16" x14ac:dyDescent="0.3">
      <c r="K1298" s="14" t="s">
        <v>339</v>
      </c>
      <c r="L1298">
        <v>300.77999999999997</v>
      </c>
      <c r="M1298">
        <v>126.2109</v>
      </c>
      <c r="N1298">
        <v>200</v>
      </c>
      <c r="O1298">
        <v>275.64999999999998</v>
      </c>
      <c r="P1298" s="13">
        <v>1.73767785234899</v>
      </c>
    </row>
    <row r="1299" spans="11:16" x14ac:dyDescent="0.3">
      <c r="K1299" s="14" t="s">
        <v>339</v>
      </c>
      <c r="L1299">
        <v>210.07</v>
      </c>
      <c r="M1299">
        <v>190.7552</v>
      </c>
      <c r="N1299">
        <v>200</v>
      </c>
      <c r="O1299">
        <v>260</v>
      </c>
      <c r="P1299" s="13">
        <v>1.74163538461538</v>
      </c>
    </row>
    <row r="1300" spans="11:16" x14ac:dyDescent="0.3">
      <c r="K1300" s="14" t="s">
        <v>339</v>
      </c>
      <c r="L1300">
        <v>300.77999999999997</v>
      </c>
      <c r="M1300">
        <v>113.1366</v>
      </c>
      <c r="N1300">
        <v>300.01</v>
      </c>
      <c r="O1300">
        <v>280.77</v>
      </c>
      <c r="P1300" s="13">
        <v>1.75203618620223</v>
      </c>
    </row>
    <row r="1301" spans="11:16" x14ac:dyDescent="0.3">
      <c r="K1301" s="14" t="s">
        <v>339</v>
      </c>
      <c r="L1301">
        <v>300.35000000000002</v>
      </c>
      <c r="M1301">
        <v>141.71010000000001</v>
      </c>
      <c r="N1301">
        <v>220</v>
      </c>
      <c r="O1301">
        <v>284.25</v>
      </c>
      <c r="P1301" s="13">
        <v>1.75641196130167</v>
      </c>
    </row>
    <row r="1302" spans="11:16" x14ac:dyDescent="0.3">
      <c r="K1302" s="14" t="s">
        <v>339</v>
      </c>
      <c r="L1302">
        <v>300.35000000000002</v>
      </c>
      <c r="M1302">
        <v>141.60159999999999</v>
      </c>
      <c r="N1302">
        <v>243.4</v>
      </c>
      <c r="O1302">
        <v>282.56</v>
      </c>
      <c r="P1302" s="13">
        <v>1.7880648357870901</v>
      </c>
    </row>
    <row r="1303" spans="11:16" x14ac:dyDescent="0.3">
      <c r="K1303" s="14" t="s">
        <v>339</v>
      </c>
      <c r="L1303">
        <v>203.13</v>
      </c>
      <c r="M1303">
        <v>227.3177</v>
      </c>
      <c r="N1303">
        <v>222</v>
      </c>
      <c r="O1303">
        <v>272.76</v>
      </c>
      <c r="P1303" s="13">
        <v>1.7897334653175001</v>
      </c>
    </row>
    <row r="1304" spans="11:16" x14ac:dyDescent="0.3">
      <c r="K1304" s="14" t="s">
        <v>339</v>
      </c>
      <c r="L1304">
        <v>300.35000000000002</v>
      </c>
      <c r="M1304">
        <v>140.51650000000001</v>
      </c>
      <c r="N1304">
        <v>300.01</v>
      </c>
      <c r="O1304">
        <v>288.88</v>
      </c>
      <c r="P1304" s="13">
        <v>1.7961406120188299</v>
      </c>
    </row>
    <row r="1305" spans="11:16" x14ac:dyDescent="0.3">
      <c r="K1305" s="14" t="s">
        <v>339</v>
      </c>
      <c r="L1305">
        <v>300.77999999999997</v>
      </c>
      <c r="M1305">
        <v>163.98869999999999</v>
      </c>
      <c r="N1305">
        <v>180</v>
      </c>
      <c r="O1305">
        <v>282.83</v>
      </c>
      <c r="P1305" s="13">
        <v>1.8087497790192</v>
      </c>
    </row>
    <row r="1306" spans="11:16" x14ac:dyDescent="0.3">
      <c r="K1306" s="14" t="s">
        <v>339</v>
      </c>
      <c r="L1306">
        <v>203.13</v>
      </c>
      <c r="M1306">
        <v>260.08969999999999</v>
      </c>
      <c r="N1306">
        <v>120.1</v>
      </c>
      <c r="O1306">
        <v>273.35000000000002</v>
      </c>
      <c r="P1306" s="13">
        <v>1.8088373879641499</v>
      </c>
    </row>
    <row r="1307" spans="11:16" x14ac:dyDescent="0.3">
      <c r="K1307" s="14" t="s">
        <v>339</v>
      </c>
      <c r="L1307">
        <v>300.77999999999997</v>
      </c>
      <c r="M1307">
        <v>146.59289999999999</v>
      </c>
      <c r="N1307">
        <v>250.01</v>
      </c>
      <c r="O1307">
        <v>281.41000000000003</v>
      </c>
      <c r="P1307" s="13">
        <v>1.82074375466401</v>
      </c>
    </row>
    <row r="1308" spans="11:16" x14ac:dyDescent="0.3">
      <c r="K1308" s="14" t="s">
        <v>339</v>
      </c>
      <c r="L1308">
        <v>300.77999999999997</v>
      </c>
      <c r="M1308">
        <v>180.87960000000001</v>
      </c>
      <c r="N1308">
        <v>200</v>
      </c>
      <c r="O1308">
        <v>291.74</v>
      </c>
      <c r="P1308" s="13">
        <v>1.82923013642284</v>
      </c>
    </row>
    <row r="1309" spans="11:16" x14ac:dyDescent="0.3">
      <c r="K1309" s="14" t="s">
        <v>339</v>
      </c>
      <c r="L1309">
        <v>300.77999999999997</v>
      </c>
      <c r="M1309">
        <v>166.66669999999999</v>
      </c>
      <c r="N1309">
        <v>222</v>
      </c>
      <c r="O1309">
        <v>285.99</v>
      </c>
      <c r="P1309" s="13">
        <v>1.8363114094898401</v>
      </c>
    </row>
    <row r="1310" spans="11:16" x14ac:dyDescent="0.3">
      <c r="K1310" s="14" t="s">
        <v>339</v>
      </c>
      <c r="L1310">
        <v>210.5</v>
      </c>
      <c r="M1310">
        <v>214.98840000000001</v>
      </c>
      <c r="N1310">
        <v>250.01</v>
      </c>
      <c r="O1310">
        <v>266.43</v>
      </c>
      <c r="P1310" s="13">
        <v>1.8409751154149301</v>
      </c>
    </row>
    <row r="1311" spans="11:16" x14ac:dyDescent="0.3">
      <c r="K1311" s="14" t="s">
        <v>339</v>
      </c>
      <c r="L1311">
        <v>308.16000000000003</v>
      </c>
      <c r="M1311">
        <v>107.3134</v>
      </c>
      <c r="N1311">
        <v>419.2</v>
      </c>
      <c r="O1311">
        <v>283.14999999999998</v>
      </c>
      <c r="P1311" s="13">
        <v>1.8522528695038001</v>
      </c>
    </row>
    <row r="1312" spans="11:16" x14ac:dyDescent="0.3">
      <c r="K1312" s="14" t="s">
        <v>339</v>
      </c>
      <c r="L1312">
        <v>203.13</v>
      </c>
      <c r="M1312">
        <v>226.92420000000001</v>
      </c>
      <c r="N1312">
        <v>300.01</v>
      </c>
      <c r="O1312">
        <v>273.94</v>
      </c>
      <c r="P1312" s="13">
        <v>1.8546280207344701</v>
      </c>
    </row>
    <row r="1313" spans="11:16" x14ac:dyDescent="0.3">
      <c r="K1313" s="14" t="s">
        <v>339</v>
      </c>
      <c r="L1313">
        <v>308.16000000000003</v>
      </c>
      <c r="M1313">
        <v>142.6866</v>
      </c>
      <c r="N1313">
        <v>416.02</v>
      </c>
      <c r="O1313">
        <v>294.37</v>
      </c>
      <c r="P1313" s="13">
        <v>1.8990107687604001</v>
      </c>
    </row>
    <row r="1314" spans="11:16" x14ac:dyDescent="0.3">
      <c r="K1314" s="14" t="s">
        <v>339</v>
      </c>
      <c r="L1314">
        <v>203.13</v>
      </c>
      <c r="M1314">
        <v>224.71639999999999</v>
      </c>
      <c r="N1314">
        <v>444.01</v>
      </c>
      <c r="O1314">
        <v>278.52999999999997</v>
      </c>
      <c r="P1314" s="13">
        <v>1.95055828815567</v>
      </c>
    </row>
    <row r="1315" spans="11:16" x14ac:dyDescent="0.3">
      <c r="K1315" s="14" t="s">
        <v>339</v>
      </c>
      <c r="L1315">
        <v>308.16000000000003</v>
      </c>
      <c r="M1315">
        <v>178.42019999999999</v>
      </c>
      <c r="N1315">
        <v>300.01</v>
      </c>
      <c r="O1315">
        <v>287.19</v>
      </c>
      <c r="P1315" s="13">
        <v>1.9658859988161099</v>
      </c>
    </row>
    <row r="1316" spans="11:16" x14ac:dyDescent="0.3">
      <c r="K1316" s="14" t="s">
        <v>339</v>
      </c>
      <c r="L1316">
        <v>308.16000000000003</v>
      </c>
      <c r="M1316">
        <v>139.64840000000001</v>
      </c>
      <c r="N1316">
        <v>450.02</v>
      </c>
      <c r="O1316">
        <v>284.87</v>
      </c>
      <c r="P1316" s="13">
        <v>1.9827064977007101</v>
      </c>
    </row>
    <row r="1317" spans="11:16" x14ac:dyDescent="0.3">
      <c r="K1317" s="14" t="s">
        <v>339</v>
      </c>
      <c r="L1317">
        <v>203.13</v>
      </c>
      <c r="M1317">
        <v>208.5504</v>
      </c>
      <c r="N1317">
        <v>698.12</v>
      </c>
      <c r="O1317">
        <v>292.33</v>
      </c>
      <c r="P1317" s="13">
        <v>2.0291848253685898</v>
      </c>
    </row>
    <row r="1318" spans="11:16" x14ac:dyDescent="0.3">
      <c r="K1318" s="14" t="s">
        <v>339</v>
      </c>
      <c r="M1318">
        <v>323.5677</v>
      </c>
      <c r="N1318">
        <v>930.21</v>
      </c>
      <c r="O1318">
        <v>267.3</v>
      </c>
      <c r="P1318" s="13">
        <v>2.1153097643097598</v>
      </c>
    </row>
    <row r="1319" spans="11:16" x14ac:dyDescent="0.3">
      <c r="K1319" s="14" t="s">
        <v>339</v>
      </c>
      <c r="L1319">
        <v>308.16000000000003</v>
      </c>
      <c r="M1319">
        <v>211.3716</v>
      </c>
      <c r="N1319">
        <v>299.2</v>
      </c>
      <c r="O1319">
        <v>278.23</v>
      </c>
      <c r="P1319" s="13">
        <v>2.1468698558746402</v>
      </c>
    </row>
    <row r="1320" spans="11:16" x14ac:dyDescent="0.3">
      <c r="K1320" s="14" t="s">
        <v>339</v>
      </c>
      <c r="L1320">
        <v>157.99</v>
      </c>
      <c r="M1320">
        <v>225.59899999999999</v>
      </c>
      <c r="N1320">
        <v>983.03</v>
      </c>
      <c r="O1320">
        <v>279.14</v>
      </c>
      <c r="P1320" s="13">
        <v>2.2898072651715999</v>
      </c>
    </row>
    <row r="1321" spans="11:16" x14ac:dyDescent="0.3">
      <c r="K1321" s="14" t="s">
        <v>341</v>
      </c>
      <c r="L1321">
        <v>203.13</v>
      </c>
      <c r="M1321">
        <v>73.784700000000001</v>
      </c>
      <c r="N1321">
        <v>250.01</v>
      </c>
      <c r="O1321">
        <v>267.27</v>
      </c>
      <c r="P1321" s="13">
        <v>1.27929546900138</v>
      </c>
    </row>
    <row r="1322" spans="11:16" x14ac:dyDescent="0.3">
      <c r="K1322" s="14" t="s">
        <v>341</v>
      </c>
      <c r="L1322">
        <v>203.13</v>
      </c>
      <c r="M1322">
        <v>189.67009999999999</v>
      </c>
      <c r="N1322">
        <v>300.01</v>
      </c>
      <c r="O1322">
        <v>283.11</v>
      </c>
      <c r="P1322" s="13">
        <v>1.66296739783123</v>
      </c>
    </row>
    <row r="1323" spans="11:16" x14ac:dyDescent="0.3">
      <c r="K1323" s="14" t="s">
        <v>341</v>
      </c>
      <c r="L1323">
        <v>210.5</v>
      </c>
      <c r="M1323">
        <v>160.3733</v>
      </c>
      <c r="N1323">
        <v>400.02</v>
      </c>
      <c r="O1323">
        <v>276.8</v>
      </c>
      <c r="P1323" s="13">
        <v>1.7156015173410399</v>
      </c>
    </row>
    <row r="1324" spans="11:16" x14ac:dyDescent="0.3">
      <c r="K1324" s="14" t="s">
        <v>341</v>
      </c>
      <c r="L1324">
        <v>300.35000000000002</v>
      </c>
      <c r="M1324">
        <v>152.66929999999999</v>
      </c>
      <c r="N1324">
        <v>200</v>
      </c>
      <c r="O1324">
        <v>283.69</v>
      </c>
      <c r="P1324" s="13">
        <v>1.7801801261940899</v>
      </c>
    </row>
    <row r="1325" spans="11:16" x14ac:dyDescent="0.3">
      <c r="K1325" s="14" t="s">
        <v>341</v>
      </c>
      <c r="L1325">
        <v>301.22000000000003</v>
      </c>
      <c r="M1325">
        <v>146.41210000000001</v>
      </c>
      <c r="N1325">
        <v>180</v>
      </c>
      <c r="O1325">
        <v>276.51</v>
      </c>
      <c r="P1325" s="13">
        <v>1.7881165238146901</v>
      </c>
    </row>
    <row r="1326" spans="11:16" x14ac:dyDescent="0.3">
      <c r="K1326" s="14" t="s">
        <v>341</v>
      </c>
      <c r="L1326">
        <v>300.35000000000002</v>
      </c>
      <c r="M1326">
        <v>142.6867</v>
      </c>
      <c r="N1326">
        <v>222</v>
      </c>
      <c r="O1326">
        <v>279.38</v>
      </c>
      <c r="P1326" s="13">
        <v>1.7923856396306099</v>
      </c>
    </row>
    <row r="1327" spans="11:16" x14ac:dyDescent="0.3">
      <c r="K1327" s="14" t="s">
        <v>341</v>
      </c>
      <c r="L1327">
        <v>593.75</v>
      </c>
      <c r="M1327">
        <v>170.625</v>
      </c>
      <c r="N1327">
        <v>222</v>
      </c>
      <c r="O1327">
        <v>284.26</v>
      </c>
      <c r="P1327" s="13">
        <v>2.89205305002463</v>
      </c>
    </row>
    <row r="1328" spans="11:16" x14ac:dyDescent="0.3">
      <c r="K1328" s="14" t="s">
        <v>343</v>
      </c>
      <c r="L1328">
        <v>203.13</v>
      </c>
      <c r="N1328">
        <v>411.02</v>
      </c>
      <c r="O1328">
        <v>282.32</v>
      </c>
      <c r="P1328" s="13">
        <v>1.09802776990649</v>
      </c>
    </row>
    <row r="1329" spans="11:16" x14ac:dyDescent="0.3">
      <c r="K1329" s="14" t="s">
        <v>343</v>
      </c>
      <c r="L1329">
        <v>210.5</v>
      </c>
      <c r="M1329">
        <v>214.21010000000001</v>
      </c>
      <c r="N1329">
        <v>200</v>
      </c>
      <c r="O1329">
        <v>286.89</v>
      </c>
      <c r="P1329" s="13">
        <v>1.66164766983861</v>
      </c>
    </row>
    <row r="1330" spans="11:16" x14ac:dyDescent="0.3">
      <c r="K1330" s="14" t="s">
        <v>343</v>
      </c>
      <c r="L1330">
        <v>203.13</v>
      </c>
      <c r="M1330">
        <v>251.08510000000001</v>
      </c>
      <c r="N1330">
        <v>200</v>
      </c>
      <c r="O1330">
        <v>289.48</v>
      </c>
      <c r="P1330" s="13">
        <v>1.7487049191654001</v>
      </c>
    </row>
    <row r="1331" spans="11:16" x14ac:dyDescent="0.3">
      <c r="K1331" s="14" t="s">
        <v>343</v>
      </c>
      <c r="L1331">
        <v>210.5</v>
      </c>
      <c r="M1331">
        <v>232.5478</v>
      </c>
      <c r="N1331">
        <v>255.01</v>
      </c>
      <c r="O1331">
        <v>284.31</v>
      </c>
      <c r="P1331" s="13">
        <v>1.79153177869227</v>
      </c>
    </row>
    <row r="1332" spans="11:16" x14ac:dyDescent="0.3">
      <c r="K1332" s="14" t="s">
        <v>343</v>
      </c>
      <c r="L1332">
        <v>203.13</v>
      </c>
      <c r="M1332">
        <v>264.88290000000001</v>
      </c>
      <c r="N1332">
        <v>500.11</v>
      </c>
      <c r="O1332">
        <v>287.75</v>
      </c>
      <c r="P1332" s="13">
        <v>2.0783370981755001</v>
      </c>
    </row>
    <row r="1333" spans="11:16" x14ac:dyDescent="0.3">
      <c r="K1333" s="14" t="s">
        <v>103</v>
      </c>
      <c r="L1333">
        <v>195.75</v>
      </c>
      <c r="M1333">
        <v>83.043999999999997</v>
      </c>
      <c r="N1333">
        <v>230</v>
      </c>
      <c r="O1333">
        <v>282.25</v>
      </c>
      <c r="P1333" s="13">
        <v>1.1996244464127499</v>
      </c>
    </row>
    <row r="1334" spans="11:16" x14ac:dyDescent="0.3">
      <c r="K1334" s="14" t="s">
        <v>103</v>
      </c>
      <c r="L1334">
        <v>203.13</v>
      </c>
      <c r="M1334">
        <v>103.73260000000001</v>
      </c>
      <c r="N1334">
        <v>155</v>
      </c>
      <c r="O1334">
        <v>282.85000000000002</v>
      </c>
      <c r="P1334" s="13">
        <v>1.22737351953332</v>
      </c>
    </row>
    <row r="1335" spans="11:16" x14ac:dyDescent="0.3">
      <c r="K1335" s="14" t="s">
        <v>103</v>
      </c>
      <c r="L1335">
        <v>203.13</v>
      </c>
      <c r="M1335">
        <v>77.835700000000003</v>
      </c>
      <c r="N1335">
        <v>260.01</v>
      </c>
      <c r="O1335">
        <v>282.57</v>
      </c>
      <c r="P1335" s="13">
        <v>1.23356442651378</v>
      </c>
    </row>
    <row r="1336" spans="11:16" x14ac:dyDescent="0.3">
      <c r="K1336" s="14" t="s">
        <v>103</v>
      </c>
      <c r="L1336">
        <v>150.61000000000001</v>
      </c>
      <c r="M1336">
        <v>73.784700000000001</v>
      </c>
      <c r="N1336">
        <v>500.02</v>
      </c>
      <c r="O1336">
        <v>286.89</v>
      </c>
      <c r="P1336" s="13">
        <v>1.2353163233294999</v>
      </c>
    </row>
    <row r="1337" spans="11:16" x14ac:dyDescent="0.3">
      <c r="K1337" s="14" t="s">
        <v>103</v>
      </c>
      <c r="L1337">
        <v>203.13</v>
      </c>
      <c r="M1337">
        <v>76.714399999999998</v>
      </c>
      <c r="N1337">
        <v>220</v>
      </c>
      <c r="O1337">
        <v>271.66000000000003</v>
      </c>
      <c r="P1337" s="13">
        <v>1.2406846793786399</v>
      </c>
    </row>
    <row r="1338" spans="11:16" x14ac:dyDescent="0.3">
      <c r="K1338" s="14" t="s">
        <v>103</v>
      </c>
      <c r="L1338">
        <v>203.13</v>
      </c>
      <c r="M1338">
        <v>79.861099999999993</v>
      </c>
      <c r="N1338">
        <v>360.01</v>
      </c>
      <c r="O1338">
        <v>301.83999999999997</v>
      </c>
      <c r="P1338" s="13">
        <v>1.2476600185528799</v>
      </c>
    </row>
    <row r="1339" spans="11:16" x14ac:dyDescent="0.3">
      <c r="K1339" s="14" t="s">
        <v>103</v>
      </c>
      <c r="L1339">
        <v>150.16999999999999</v>
      </c>
      <c r="M1339">
        <v>131.72749999999999</v>
      </c>
      <c r="N1339">
        <v>300.01</v>
      </c>
      <c r="O1339">
        <v>288.02999999999997</v>
      </c>
      <c r="P1339" s="13">
        <v>1.2495229663576699</v>
      </c>
    </row>
    <row r="1340" spans="11:16" x14ac:dyDescent="0.3">
      <c r="K1340" s="14" t="s">
        <v>103</v>
      </c>
      <c r="L1340">
        <v>203.13</v>
      </c>
      <c r="M1340">
        <v>86.5886</v>
      </c>
      <c r="N1340">
        <v>280.01</v>
      </c>
      <c r="O1340">
        <v>288.89999999999998</v>
      </c>
      <c r="P1340" s="13">
        <v>1.25483281412253</v>
      </c>
    </row>
    <row r="1341" spans="11:16" x14ac:dyDescent="0.3">
      <c r="K1341" s="14" t="s">
        <v>103</v>
      </c>
      <c r="L1341">
        <v>203.13</v>
      </c>
      <c r="M1341">
        <v>104.673</v>
      </c>
      <c r="N1341">
        <v>210</v>
      </c>
      <c r="O1341">
        <v>288.64999999999998</v>
      </c>
      <c r="P1341" s="13">
        <v>1.25551013337953</v>
      </c>
    </row>
    <row r="1342" spans="11:16" x14ac:dyDescent="0.3">
      <c r="K1342" s="14" t="s">
        <v>103</v>
      </c>
      <c r="L1342">
        <v>150.61000000000001</v>
      </c>
      <c r="M1342">
        <v>124.89149999999999</v>
      </c>
      <c r="N1342">
        <v>300.01</v>
      </c>
      <c r="O1342">
        <v>280.56</v>
      </c>
      <c r="P1342" s="13">
        <v>1.2599946535500399</v>
      </c>
    </row>
    <row r="1343" spans="11:16" x14ac:dyDescent="0.3">
      <c r="K1343" s="14" t="s">
        <v>103</v>
      </c>
      <c r="L1343">
        <v>150.61000000000001</v>
      </c>
      <c r="M1343">
        <v>82.573800000000006</v>
      </c>
      <c r="N1343">
        <v>520.02</v>
      </c>
      <c r="O1343">
        <v>291.51</v>
      </c>
      <c r="P1343" s="13">
        <v>1.2637268018249801</v>
      </c>
    </row>
    <row r="1344" spans="11:16" x14ac:dyDescent="0.3">
      <c r="K1344" s="14" t="s">
        <v>103</v>
      </c>
      <c r="L1344">
        <v>209.64</v>
      </c>
      <c r="M1344">
        <v>78.667500000000004</v>
      </c>
      <c r="N1344">
        <v>320.7</v>
      </c>
      <c r="O1344">
        <v>291.85000000000002</v>
      </c>
      <c r="P1344" s="13">
        <v>1.2735634743875299</v>
      </c>
    </row>
    <row r="1345" spans="11:16" x14ac:dyDescent="0.3">
      <c r="K1345" s="14" t="s">
        <v>103</v>
      </c>
      <c r="L1345">
        <v>203.13</v>
      </c>
      <c r="M1345">
        <v>86.5886</v>
      </c>
      <c r="N1345">
        <v>280.01</v>
      </c>
      <c r="O1345">
        <v>283.72000000000003</v>
      </c>
      <c r="P1345" s="13">
        <v>1.27774284505851</v>
      </c>
    </row>
    <row r="1346" spans="11:16" x14ac:dyDescent="0.3">
      <c r="K1346" s="14" t="s">
        <v>103</v>
      </c>
      <c r="L1346">
        <v>195.75</v>
      </c>
      <c r="M1346">
        <v>94.183999999999997</v>
      </c>
      <c r="N1346">
        <v>250.01</v>
      </c>
      <c r="O1346">
        <v>277.42</v>
      </c>
      <c r="P1346" s="13">
        <v>1.2794196525124399</v>
      </c>
    </row>
    <row r="1347" spans="11:16" x14ac:dyDescent="0.3">
      <c r="K1347" s="14" t="s">
        <v>103</v>
      </c>
      <c r="L1347">
        <v>203.13</v>
      </c>
      <c r="M1347">
        <v>89.518199999999993</v>
      </c>
      <c r="N1347">
        <v>240.01</v>
      </c>
      <c r="O1347">
        <v>275.32</v>
      </c>
      <c r="P1347" s="13">
        <v>1.2895932006392601</v>
      </c>
    </row>
    <row r="1348" spans="11:16" x14ac:dyDescent="0.3">
      <c r="K1348" s="14" t="s">
        <v>103</v>
      </c>
      <c r="L1348">
        <v>195.31</v>
      </c>
      <c r="M1348">
        <v>119.0321</v>
      </c>
      <c r="N1348">
        <v>240.01</v>
      </c>
      <c r="O1348">
        <v>292.06</v>
      </c>
      <c r="P1348" s="13">
        <v>1.2899565157844299</v>
      </c>
    </row>
    <row r="1349" spans="11:16" x14ac:dyDescent="0.3">
      <c r="K1349" s="14" t="s">
        <v>103</v>
      </c>
      <c r="L1349">
        <v>203.13</v>
      </c>
      <c r="M1349">
        <v>91.579899999999995</v>
      </c>
      <c r="N1349">
        <v>290.01</v>
      </c>
      <c r="O1349">
        <v>286.85000000000002</v>
      </c>
      <c r="P1349" s="13">
        <v>1.2902649468363301</v>
      </c>
    </row>
    <row r="1350" spans="11:16" x14ac:dyDescent="0.3">
      <c r="K1350" s="14" t="s">
        <v>103</v>
      </c>
      <c r="L1350">
        <v>194.88</v>
      </c>
      <c r="M1350">
        <v>113.2089</v>
      </c>
      <c r="N1350">
        <v>260.01</v>
      </c>
      <c r="O1350">
        <v>290.81</v>
      </c>
      <c r="P1350" s="13">
        <v>1.29187957773116</v>
      </c>
    </row>
    <row r="1351" spans="11:16" x14ac:dyDescent="0.3">
      <c r="K1351" s="14" t="s">
        <v>103</v>
      </c>
      <c r="L1351">
        <v>203.13</v>
      </c>
      <c r="M1351">
        <v>83.658900000000003</v>
      </c>
      <c r="N1351">
        <v>360.01</v>
      </c>
      <c r="O1351">
        <v>294.37</v>
      </c>
      <c r="P1351" s="13">
        <v>1.2922223732037901</v>
      </c>
    </row>
    <row r="1352" spans="11:16" x14ac:dyDescent="0.3">
      <c r="K1352" s="14" t="s">
        <v>103</v>
      </c>
      <c r="L1352">
        <v>203.13</v>
      </c>
      <c r="M1352">
        <v>85.611999999999995</v>
      </c>
      <c r="N1352">
        <v>210</v>
      </c>
      <c r="O1352">
        <v>265.58</v>
      </c>
      <c r="P1352" s="13">
        <v>1.2928006627005</v>
      </c>
    </row>
    <row r="1353" spans="11:16" x14ac:dyDescent="0.3">
      <c r="K1353" s="14" t="s">
        <v>103</v>
      </c>
      <c r="L1353">
        <v>203.13</v>
      </c>
      <c r="M1353">
        <v>113.0643</v>
      </c>
      <c r="N1353">
        <v>170</v>
      </c>
      <c r="O1353">
        <v>277.92</v>
      </c>
      <c r="P1353" s="13">
        <v>1.2967555411629199</v>
      </c>
    </row>
    <row r="1354" spans="11:16" x14ac:dyDescent="0.3">
      <c r="K1354" s="14" t="s">
        <v>103</v>
      </c>
      <c r="L1354">
        <v>150.61000000000001</v>
      </c>
      <c r="M1354">
        <v>123.04689999999999</v>
      </c>
      <c r="N1354">
        <v>350.01</v>
      </c>
      <c r="O1354">
        <v>281.12</v>
      </c>
      <c r="P1354" s="13">
        <v>1.2971666903813299</v>
      </c>
    </row>
    <row r="1355" spans="11:16" x14ac:dyDescent="0.3">
      <c r="K1355" s="14" t="s">
        <v>103</v>
      </c>
      <c r="L1355">
        <v>203.13</v>
      </c>
      <c r="M1355">
        <v>76.822900000000004</v>
      </c>
      <c r="N1355">
        <v>260.01</v>
      </c>
      <c r="O1355">
        <v>266.92</v>
      </c>
      <c r="P1355" s="13">
        <v>1.3020961336730099</v>
      </c>
    </row>
    <row r="1356" spans="11:16" x14ac:dyDescent="0.3">
      <c r="K1356" s="14" t="s">
        <v>103</v>
      </c>
      <c r="L1356">
        <v>203.13</v>
      </c>
      <c r="M1356">
        <v>78.667500000000004</v>
      </c>
      <c r="N1356">
        <v>310.01</v>
      </c>
      <c r="O1356">
        <v>278.24</v>
      </c>
      <c r="P1356" s="13">
        <v>1.3024730448533599</v>
      </c>
    </row>
    <row r="1357" spans="11:16" x14ac:dyDescent="0.3">
      <c r="K1357" s="14" t="s">
        <v>103</v>
      </c>
      <c r="L1357">
        <v>210.5</v>
      </c>
      <c r="M1357">
        <v>78.7761</v>
      </c>
      <c r="N1357">
        <v>260.01</v>
      </c>
      <c r="O1357">
        <v>273.62</v>
      </c>
      <c r="P1357" s="13">
        <v>1.30428587091587</v>
      </c>
    </row>
    <row r="1358" spans="11:16" x14ac:dyDescent="0.3">
      <c r="K1358" s="14" t="s">
        <v>103</v>
      </c>
      <c r="L1358">
        <v>203.13</v>
      </c>
      <c r="M1358">
        <v>82.465299999999999</v>
      </c>
      <c r="N1358">
        <v>360.01</v>
      </c>
      <c r="O1358">
        <v>290.05</v>
      </c>
      <c r="P1358" s="13">
        <v>1.3073535597310799</v>
      </c>
    </row>
    <row r="1359" spans="11:16" x14ac:dyDescent="0.3">
      <c r="K1359" s="14" t="s">
        <v>103</v>
      </c>
      <c r="L1359">
        <v>203.13</v>
      </c>
      <c r="M1359">
        <v>75.846400000000003</v>
      </c>
      <c r="N1359">
        <v>320.01</v>
      </c>
      <c r="O1359">
        <v>276.8</v>
      </c>
      <c r="P1359" s="13">
        <v>1.30845014450867</v>
      </c>
    </row>
    <row r="1360" spans="11:16" x14ac:dyDescent="0.3">
      <c r="K1360" s="14" t="s">
        <v>103</v>
      </c>
      <c r="L1360">
        <v>203.13</v>
      </c>
      <c r="M1360">
        <v>76.605900000000005</v>
      </c>
      <c r="N1360">
        <v>300.01</v>
      </c>
      <c r="O1360">
        <v>273.06</v>
      </c>
      <c r="P1360" s="13">
        <v>1.31010949974365</v>
      </c>
    </row>
    <row r="1361" spans="11:16" x14ac:dyDescent="0.3">
      <c r="K1361" s="14" t="s">
        <v>103</v>
      </c>
      <c r="L1361">
        <v>203.13</v>
      </c>
      <c r="M1361">
        <v>77.474000000000004</v>
      </c>
      <c r="N1361">
        <v>310.01</v>
      </c>
      <c r="O1361">
        <v>274.24</v>
      </c>
      <c r="P1361" s="13">
        <v>1.3171185822637099</v>
      </c>
    </row>
    <row r="1362" spans="11:16" x14ac:dyDescent="0.3">
      <c r="K1362" s="14" t="s">
        <v>103</v>
      </c>
      <c r="L1362">
        <v>203.13</v>
      </c>
      <c r="M1362">
        <v>92.303200000000004</v>
      </c>
      <c r="N1362">
        <v>260.01</v>
      </c>
      <c r="O1362">
        <v>275.35000000000002</v>
      </c>
      <c r="P1362" s="13">
        <v>1.31845215180679</v>
      </c>
    </row>
    <row r="1363" spans="11:16" x14ac:dyDescent="0.3">
      <c r="K1363" s="14" t="s">
        <v>103</v>
      </c>
      <c r="L1363">
        <v>203.13</v>
      </c>
      <c r="M1363">
        <v>80.620699999999999</v>
      </c>
      <c r="N1363">
        <v>280.01</v>
      </c>
      <c r="O1363">
        <v>269</v>
      </c>
      <c r="P1363" s="13">
        <v>1.3254769516728599</v>
      </c>
    </row>
    <row r="1364" spans="11:16" x14ac:dyDescent="0.3">
      <c r="K1364" s="14" t="s">
        <v>103</v>
      </c>
      <c r="L1364">
        <v>202.69</v>
      </c>
      <c r="M1364">
        <v>129.9914</v>
      </c>
      <c r="N1364">
        <v>133.1</v>
      </c>
      <c r="O1364">
        <v>275.95</v>
      </c>
      <c r="P1364" s="13">
        <v>1.33099257111796</v>
      </c>
    </row>
    <row r="1365" spans="11:16" x14ac:dyDescent="0.3">
      <c r="K1365" s="14" t="s">
        <v>103</v>
      </c>
      <c r="L1365">
        <v>202.26</v>
      </c>
      <c r="M1365">
        <v>79.644099999999995</v>
      </c>
      <c r="N1365">
        <v>330.01</v>
      </c>
      <c r="O1365">
        <v>276.22000000000003</v>
      </c>
      <c r="P1365" s="13">
        <v>1.3312095431177999</v>
      </c>
    </row>
    <row r="1366" spans="11:16" x14ac:dyDescent="0.3">
      <c r="K1366" s="14" t="s">
        <v>103</v>
      </c>
      <c r="L1366">
        <v>150.61000000000001</v>
      </c>
      <c r="M1366">
        <v>84.309899999999999</v>
      </c>
      <c r="N1366">
        <v>542.12</v>
      </c>
      <c r="O1366">
        <v>281.98</v>
      </c>
      <c r="P1366" s="13">
        <v>1.33297077806937</v>
      </c>
    </row>
    <row r="1367" spans="11:16" x14ac:dyDescent="0.3">
      <c r="K1367" s="14" t="s">
        <v>103</v>
      </c>
      <c r="L1367">
        <v>202.69</v>
      </c>
      <c r="M1367">
        <v>114.1493</v>
      </c>
      <c r="N1367">
        <v>133.1</v>
      </c>
      <c r="O1367">
        <v>263.57</v>
      </c>
      <c r="P1367" s="13">
        <v>1.3334040292901299</v>
      </c>
    </row>
    <row r="1368" spans="11:16" x14ac:dyDescent="0.3">
      <c r="K1368" s="14" t="s">
        <v>103</v>
      </c>
      <c r="L1368">
        <v>203.13</v>
      </c>
      <c r="M1368">
        <v>76.822900000000004</v>
      </c>
      <c r="N1368">
        <v>380.01</v>
      </c>
      <c r="O1368">
        <v>283.43</v>
      </c>
      <c r="P1368" s="13">
        <v>1.33632819391031</v>
      </c>
    </row>
    <row r="1369" spans="11:16" x14ac:dyDescent="0.3">
      <c r="K1369" s="14" t="s">
        <v>103</v>
      </c>
      <c r="L1369">
        <v>203.13</v>
      </c>
      <c r="M1369">
        <v>113.7876</v>
      </c>
      <c r="N1369">
        <v>177</v>
      </c>
      <c r="O1369">
        <v>270.77999999999997</v>
      </c>
      <c r="P1369" s="13">
        <v>1.3403412364281</v>
      </c>
    </row>
    <row r="1370" spans="11:16" x14ac:dyDescent="0.3">
      <c r="K1370" s="14" t="s">
        <v>103</v>
      </c>
      <c r="L1370">
        <v>203.13</v>
      </c>
      <c r="M1370">
        <v>72.808199999999999</v>
      </c>
      <c r="N1370">
        <v>340.01</v>
      </c>
      <c r="O1370">
        <v>271.63</v>
      </c>
      <c r="P1370" s="13">
        <v>1.3413128152265901</v>
      </c>
    </row>
    <row r="1371" spans="11:16" x14ac:dyDescent="0.3">
      <c r="K1371" s="14" t="s">
        <v>103</v>
      </c>
      <c r="L1371">
        <v>195.75</v>
      </c>
      <c r="M1371">
        <v>115.7407</v>
      </c>
      <c r="N1371">
        <v>280.01</v>
      </c>
      <c r="O1371">
        <v>286.18</v>
      </c>
      <c r="P1371" s="13">
        <v>1.3428377245090499</v>
      </c>
    </row>
    <row r="1372" spans="11:16" x14ac:dyDescent="0.3">
      <c r="K1372" s="14" t="s">
        <v>103</v>
      </c>
      <c r="L1372">
        <v>195.75</v>
      </c>
      <c r="M1372">
        <v>113.1366</v>
      </c>
      <c r="N1372">
        <v>260.01</v>
      </c>
      <c r="O1372">
        <v>280.27999999999997</v>
      </c>
      <c r="P1372" s="13">
        <v>1.3432610246896</v>
      </c>
    </row>
    <row r="1373" spans="11:16" x14ac:dyDescent="0.3">
      <c r="K1373" s="14" t="s">
        <v>103</v>
      </c>
      <c r="L1373">
        <v>203.13</v>
      </c>
      <c r="M1373">
        <v>150.71619999999999</v>
      </c>
      <c r="N1373">
        <v>88.1</v>
      </c>
      <c r="O1373">
        <v>280.26</v>
      </c>
      <c r="P1373" s="13">
        <v>1.3442952972240101</v>
      </c>
    </row>
    <row r="1374" spans="11:16" x14ac:dyDescent="0.3">
      <c r="K1374" s="14" t="s">
        <v>103</v>
      </c>
      <c r="L1374">
        <v>203.13</v>
      </c>
      <c r="M1374">
        <v>90.928799999999995</v>
      </c>
      <c r="N1374">
        <v>240.01</v>
      </c>
      <c r="O1374">
        <v>265.01</v>
      </c>
      <c r="P1374" s="13">
        <v>1.3450866005056401</v>
      </c>
    </row>
    <row r="1375" spans="11:16" x14ac:dyDescent="0.3">
      <c r="K1375" s="14" t="s">
        <v>103</v>
      </c>
      <c r="L1375">
        <v>195.75</v>
      </c>
      <c r="M1375">
        <v>83.622699999999995</v>
      </c>
      <c r="N1375">
        <v>360.01</v>
      </c>
      <c r="O1375">
        <v>277.11</v>
      </c>
      <c r="P1375" s="13">
        <v>1.34594673595323</v>
      </c>
    </row>
    <row r="1376" spans="11:16" x14ac:dyDescent="0.3">
      <c r="K1376" s="14" t="s">
        <v>103</v>
      </c>
      <c r="L1376">
        <v>210.5</v>
      </c>
      <c r="M1376">
        <v>90.603300000000004</v>
      </c>
      <c r="N1376">
        <v>300.01</v>
      </c>
      <c r="O1376">
        <v>280.8</v>
      </c>
      <c r="P1376" s="13">
        <v>1.3500922364672401</v>
      </c>
    </row>
    <row r="1377" spans="11:16" x14ac:dyDescent="0.3">
      <c r="K1377" s="14" t="s">
        <v>103</v>
      </c>
      <c r="L1377">
        <v>195.75</v>
      </c>
      <c r="M1377">
        <v>126.2298</v>
      </c>
      <c r="N1377">
        <v>222</v>
      </c>
      <c r="O1377">
        <v>280.98</v>
      </c>
      <c r="P1377" s="13">
        <v>1.3513410207132199</v>
      </c>
    </row>
    <row r="1378" spans="11:16" x14ac:dyDescent="0.3">
      <c r="K1378" s="14" t="s">
        <v>103</v>
      </c>
      <c r="L1378">
        <v>202.26</v>
      </c>
      <c r="M1378">
        <v>78.667500000000004</v>
      </c>
      <c r="N1378">
        <v>400.02</v>
      </c>
      <c r="O1378">
        <v>284.85000000000002</v>
      </c>
      <c r="P1378" s="13">
        <v>1.3513522906793001</v>
      </c>
    </row>
    <row r="1379" spans="11:16" x14ac:dyDescent="0.3">
      <c r="K1379" s="14" t="s">
        <v>103</v>
      </c>
      <c r="L1379">
        <v>150.61000000000001</v>
      </c>
      <c r="M1379">
        <v>103.29859999999999</v>
      </c>
      <c r="N1379">
        <v>455.51</v>
      </c>
      <c r="O1379">
        <v>273.06</v>
      </c>
      <c r="P1379" s="13">
        <v>1.36358748992895</v>
      </c>
    </row>
    <row r="1380" spans="11:16" x14ac:dyDescent="0.3">
      <c r="K1380" s="14" t="s">
        <v>103</v>
      </c>
      <c r="L1380">
        <v>203.13</v>
      </c>
      <c r="M1380">
        <v>76.822900000000004</v>
      </c>
      <c r="N1380">
        <v>400.02</v>
      </c>
      <c r="O1380">
        <v>281.11</v>
      </c>
      <c r="P1380" s="13">
        <v>1.3658642524278799</v>
      </c>
    </row>
    <row r="1381" spans="11:16" x14ac:dyDescent="0.3">
      <c r="K1381" s="14" t="s">
        <v>103</v>
      </c>
      <c r="L1381">
        <v>210.5</v>
      </c>
      <c r="M1381">
        <v>79.861099999999993</v>
      </c>
      <c r="N1381">
        <v>400.02</v>
      </c>
      <c r="O1381">
        <v>288</v>
      </c>
      <c r="P1381" s="13">
        <v>1.3693274305555601</v>
      </c>
    </row>
    <row r="1382" spans="11:16" x14ac:dyDescent="0.3">
      <c r="K1382" s="14" t="s">
        <v>103</v>
      </c>
      <c r="L1382">
        <v>203.13</v>
      </c>
      <c r="M1382">
        <v>104.2752</v>
      </c>
      <c r="N1382">
        <v>310.01</v>
      </c>
      <c r="O1382">
        <v>282.89</v>
      </c>
      <c r="P1382" s="13">
        <v>1.37158542189544</v>
      </c>
    </row>
    <row r="1383" spans="11:16" x14ac:dyDescent="0.3">
      <c r="K1383" s="14" t="s">
        <v>103</v>
      </c>
      <c r="L1383">
        <v>210.5</v>
      </c>
      <c r="M1383">
        <v>84.0929</v>
      </c>
      <c r="N1383">
        <v>320.01</v>
      </c>
      <c r="O1383">
        <v>275.11</v>
      </c>
      <c r="P1383" s="13">
        <v>1.3732525171749499</v>
      </c>
    </row>
    <row r="1384" spans="11:16" x14ac:dyDescent="0.3">
      <c r="K1384" s="14" t="s">
        <v>103</v>
      </c>
      <c r="L1384">
        <v>202.26</v>
      </c>
      <c r="M1384">
        <v>79.752600000000001</v>
      </c>
      <c r="N1384">
        <v>380.01</v>
      </c>
      <c r="O1384">
        <v>277.07</v>
      </c>
      <c r="P1384" s="13">
        <v>1.3744367849279999</v>
      </c>
    </row>
    <row r="1385" spans="11:16" x14ac:dyDescent="0.3">
      <c r="K1385" s="14" t="s">
        <v>103</v>
      </c>
      <c r="L1385">
        <v>203.13</v>
      </c>
      <c r="M1385">
        <v>114.511</v>
      </c>
      <c r="N1385">
        <v>260.01</v>
      </c>
      <c r="O1385">
        <v>279.68</v>
      </c>
      <c r="P1385" s="13">
        <v>1.3774442219679599</v>
      </c>
    </row>
    <row r="1386" spans="11:16" x14ac:dyDescent="0.3">
      <c r="K1386" s="14" t="s">
        <v>103</v>
      </c>
      <c r="L1386">
        <v>203.13</v>
      </c>
      <c r="M1386">
        <v>114.2578</v>
      </c>
      <c r="N1386">
        <v>333.01</v>
      </c>
      <c r="O1386">
        <v>293.19</v>
      </c>
      <c r="P1386" s="13">
        <v>1.37784508339302</v>
      </c>
    </row>
    <row r="1387" spans="11:16" x14ac:dyDescent="0.3">
      <c r="K1387" s="14" t="s">
        <v>103</v>
      </c>
      <c r="L1387">
        <v>203.13</v>
      </c>
      <c r="M1387">
        <v>81.705699999999993</v>
      </c>
      <c r="N1387">
        <v>400.02</v>
      </c>
      <c r="O1387">
        <v>280.83999999999997</v>
      </c>
      <c r="P1387" s="13">
        <v>1.38456380857428</v>
      </c>
    </row>
    <row r="1388" spans="11:16" x14ac:dyDescent="0.3">
      <c r="K1388" s="14" t="s">
        <v>103</v>
      </c>
      <c r="L1388">
        <v>203.13</v>
      </c>
      <c r="M1388">
        <v>114.1493</v>
      </c>
      <c r="N1388">
        <v>320.01</v>
      </c>
      <c r="O1388">
        <v>288.87</v>
      </c>
      <c r="P1388" s="13">
        <v>1.3863741475404201</v>
      </c>
    </row>
    <row r="1389" spans="11:16" x14ac:dyDescent="0.3">
      <c r="K1389" s="14" t="s">
        <v>103</v>
      </c>
      <c r="L1389">
        <v>203.13</v>
      </c>
      <c r="M1389">
        <v>116.1024</v>
      </c>
      <c r="N1389">
        <v>270.01</v>
      </c>
      <c r="O1389">
        <v>280.54000000000002</v>
      </c>
      <c r="P1389" s="13">
        <v>1.3881621159193001</v>
      </c>
    </row>
    <row r="1390" spans="11:16" x14ac:dyDescent="0.3">
      <c r="K1390" s="14" t="s">
        <v>103</v>
      </c>
      <c r="L1390">
        <v>203.13</v>
      </c>
      <c r="M1390">
        <v>103.29859999999999</v>
      </c>
      <c r="N1390">
        <v>280.01</v>
      </c>
      <c r="O1390">
        <v>272.47000000000003</v>
      </c>
      <c r="P1390" s="13">
        <v>1.39182735714024</v>
      </c>
    </row>
    <row r="1391" spans="11:16" x14ac:dyDescent="0.3">
      <c r="K1391" s="14" t="s">
        <v>103</v>
      </c>
      <c r="L1391">
        <v>210.94</v>
      </c>
      <c r="M1391">
        <v>90.494799999999998</v>
      </c>
      <c r="N1391">
        <v>320.01</v>
      </c>
      <c r="O1391">
        <v>276.26</v>
      </c>
      <c r="P1391" s="13">
        <v>1.3923021791066399</v>
      </c>
    </row>
    <row r="1392" spans="11:16" x14ac:dyDescent="0.3">
      <c r="K1392" s="14" t="s">
        <v>103</v>
      </c>
      <c r="L1392">
        <v>210.5</v>
      </c>
      <c r="M1392">
        <v>80.837699999999998</v>
      </c>
      <c r="N1392">
        <v>400.02</v>
      </c>
      <c r="O1392">
        <v>283.43</v>
      </c>
      <c r="P1392" s="13">
        <v>1.3948519916734301</v>
      </c>
    </row>
    <row r="1393" spans="11:16" x14ac:dyDescent="0.3">
      <c r="K1393" s="14" t="s">
        <v>103</v>
      </c>
      <c r="L1393">
        <v>195.75</v>
      </c>
      <c r="M1393">
        <v>111.97920000000001</v>
      </c>
      <c r="N1393">
        <v>340.01</v>
      </c>
      <c r="O1393">
        <v>283.98</v>
      </c>
      <c r="P1393" s="13">
        <v>1.3949285160926801</v>
      </c>
    </row>
    <row r="1394" spans="11:16" x14ac:dyDescent="0.3">
      <c r="K1394" s="14" t="s">
        <v>103</v>
      </c>
      <c r="L1394">
        <v>202.69</v>
      </c>
      <c r="M1394">
        <v>76.171899999999994</v>
      </c>
      <c r="N1394">
        <v>400.02</v>
      </c>
      <c r="O1394">
        <v>273.94</v>
      </c>
      <c r="P1394" s="13">
        <v>1.39763123311674</v>
      </c>
    </row>
    <row r="1395" spans="11:16" x14ac:dyDescent="0.3">
      <c r="K1395" s="14" t="s">
        <v>103</v>
      </c>
      <c r="L1395">
        <v>203.13</v>
      </c>
      <c r="M1395">
        <v>77.799499999999995</v>
      </c>
      <c r="N1395">
        <v>440.02</v>
      </c>
      <c r="O1395">
        <v>282.27</v>
      </c>
      <c r="P1395" s="13">
        <v>1.4005551422397</v>
      </c>
    </row>
    <row r="1396" spans="11:16" x14ac:dyDescent="0.3">
      <c r="K1396" s="14" t="s">
        <v>103</v>
      </c>
      <c r="L1396">
        <v>203.13</v>
      </c>
      <c r="M1396">
        <v>110.3516</v>
      </c>
      <c r="N1396">
        <v>367</v>
      </c>
      <c r="O1396">
        <v>291.47000000000003</v>
      </c>
      <c r="P1396" s="13">
        <v>1.4028942944385401</v>
      </c>
    </row>
    <row r="1397" spans="11:16" x14ac:dyDescent="0.3">
      <c r="K1397" s="14" t="s">
        <v>103</v>
      </c>
      <c r="L1397">
        <v>203.13</v>
      </c>
      <c r="M1397">
        <v>80.729200000000006</v>
      </c>
      <c r="N1397">
        <v>420.02</v>
      </c>
      <c r="O1397">
        <v>279.36</v>
      </c>
      <c r="P1397" s="13">
        <v>1.4070174684994301</v>
      </c>
    </row>
    <row r="1398" spans="11:16" x14ac:dyDescent="0.3">
      <c r="K1398" s="14" t="s">
        <v>103</v>
      </c>
      <c r="L1398">
        <v>210.5</v>
      </c>
      <c r="M1398">
        <v>109.158</v>
      </c>
      <c r="N1398">
        <v>222</v>
      </c>
      <c r="O1398">
        <v>268.14</v>
      </c>
      <c r="P1398" s="13">
        <v>1.4073916610725701</v>
      </c>
    </row>
    <row r="1399" spans="11:16" x14ac:dyDescent="0.3">
      <c r="K1399" s="14" t="s">
        <v>103</v>
      </c>
      <c r="L1399">
        <v>202.69</v>
      </c>
      <c r="M1399">
        <v>115.23439999999999</v>
      </c>
      <c r="N1399">
        <v>255.01</v>
      </c>
      <c r="O1399">
        <v>272.81</v>
      </c>
      <c r="P1399" s="13">
        <v>1.40840511711448</v>
      </c>
    </row>
    <row r="1400" spans="11:16" x14ac:dyDescent="0.3">
      <c r="K1400" s="14" t="s">
        <v>103</v>
      </c>
      <c r="L1400">
        <v>203.13</v>
      </c>
      <c r="M1400">
        <v>113.1728</v>
      </c>
      <c r="N1400">
        <v>330.01</v>
      </c>
      <c r="O1400">
        <v>285.45</v>
      </c>
      <c r="P1400" s="13">
        <v>1.4086719215274099</v>
      </c>
    </row>
    <row r="1401" spans="11:16" x14ac:dyDescent="0.3">
      <c r="K1401" s="14" t="s">
        <v>103</v>
      </c>
      <c r="L1401">
        <v>203.13</v>
      </c>
      <c r="M1401">
        <v>156.46700000000001</v>
      </c>
      <c r="N1401">
        <v>149.6</v>
      </c>
      <c r="O1401">
        <v>282.27</v>
      </c>
      <c r="P1401" s="13">
        <v>1.4117440748219801</v>
      </c>
    </row>
    <row r="1402" spans="11:16" x14ac:dyDescent="0.3">
      <c r="K1402" s="14" t="s">
        <v>103</v>
      </c>
      <c r="L1402">
        <v>203.13</v>
      </c>
      <c r="M1402">
        <v>124.13200000000001</v>
      </c>
      <c r="N1402">
        <v>340.01</v>
      </c>
      <c r="O1402">
        <v>293.52</v>
      </c>
      <c r="P1402" s="13">
        <v>1.41613723085309</v>
      </c>
    </row>
    <row r="1403" spans="11:16" x14ac:dyDescent="0.3">
      <c r="K1403" s="14" t="s">
        <v>103</v>
      </c>
      <c r="L1403">
        <v>203.13</v>
      </c>
      <c r="M1403">
        <v>114.1493</v>
      </c>
      <c r="N1403">
        <v>321.31</v>
      </c>
      <c r="O1403">
        <v>281.39999999999998</v>
      </c>
      <c r="P1403" s="13">
        <v>1.42437775408671</v>
      </c>
    </row>
    <row r="1404" spans="11:16" x14ac:dyDescent="0.3">
      <c r="K1404" s="14" t="s">
        <v>103</v>
      </c>
      <c r="L1404">
        <v>202.69</v>
      </c>
      <c r="M1404">
        <v>99.283900000000003</v>
      </c>
      <c r="N1404">
        <v>355.01</v>
      </c>
      <c r="O1404">
        <v>276.48</v>
      </c>
      <c r="P1404" s="13">
        <v>1.42605794270833</v>
      </c>
    </row>
    <row r="1405" spans="11:16" x14ac:dyDescent="0.3">
      <c r="K1405" s="14" t="s">
        <v>103</v>
      </c>
      <c r="L1405">
        <v>202.69</v>
      </c>
      <c r="M1405">
        <v>91.471400000000003</v>
      </c>
      <c r="N1405">
        <v>390.11</v>
      </c>
      <c r="O1405">
        <v>276.52</v>
      </c>
      <c r="P1405" s="13">
        <v>1.4306017647909699</v>
      </c>
    </row>
    <row r="1406" spans="11:16" x14ac:dyDescent="0.3">
      <c r="K1406" s="14" t="s">
        <v>103</v>
      </c>
      <c r="L1406">
        <v>203.13</v>
      </c>
      <c r="M1406">
        <v>151.04169999999999</v>
      </c>
      <c r="N1406">
        <v>170</v>
      </c>
      <c r="O1406">
        <v>277.67</v>
      </c>
      <c r="P1406" s="13">
        <v>1.43469478157525</v>
      </c>
    </row>
    <row r="1407" spans="11:16" x14ac:dyDescent="0.3">
      <c r="K1407" s="14" t="s">
        <v>103</v>
      </c>
      <c r="L1407">
        <v>203.13</v>
      </c>
      <c r="M1407">
        <v>131.36580000000001</v>
      </c>
      <c r="N1407">
        <v>250.01</v>
      </c>
      <c r="O1407">
        <v>278.3</v>
      </c>
      <c r="P1407" s="13">
        <v>1.4354955084441301</v>
      </c>
    </row>
    <row r="1408" spans="11:16" x14ac:dyDescent="0.3">
      <c r="K1408" s="14" t="s">
        <v>103</v>
      </c>
      <c r="L1408">
        <v>203.13</v>
      </c>
      <c r="M1408">
        <v>119.9002</v>
      </c>
      <c r="N1408">
        <v>350.01</v>
      </c>
      <c r="O1408">
        <v>288.04000000000002</v>
      </c>
      <c r="P1408" s="13">
        <v>1.4374142480211101</v>
      </c>
    </row>
    <row r="1409" spans="11:16" x14ac:dyDescent="0.3">
      <c r="K1409" s="14" t="s">
        <v>103</v>
      </c>
      <c r="L1409">
        <v>203.13</v>
      </c>
      <c r="M1409">
        <v>110.3516</v>
      </c>
      <c r="N1409">
        <v>380.01</v>
      </c>
      <c r="O1409">
        <v>286.60000000000002</v>
      </c>
      <c r="P1409" s="13">
        <v>1.43853524075366</v>
      </c>
    </row>
    <row r="1410" spans="11:16" x14ac:dyDescent="0.3">
      <c r="K1410" s="14" t="s">
        <v>103</v>
      </c>
      <c r="L1410">
        <v>202.69</v>
      </c>
      <c r="M1410">
        <v>136.8272</v>
      </c>
      <c r="N1410">
        <v>220</v>
      </c>
      <c r="O1410">
        <v>275.39</v>
      </c>
      <c r="P1410" s="13">
        <v>1.44056501688514</v>
      </c>
    </row>
    <row r="1411" spans="11:16" x14ac:dyDescent="0.3">
      <c r="K1411" s="14" t="s">
        <v>103</v>
      </c>
      <c r="L1411">
        <v>203.13</v>
      </c>
      <c r="M1411">
        <v>141.71010000000001</v>
      </c>
      <c r="N1411">
        <v>255.01</v>
      </c>
      <c r="O1411">
        <v>285.27</v>
      </c>
      <c r="P1411" s="13">
        <v>1.4412405791005001</v>
      </c>
    </row>
    <row r="1412" spans="11:16" x14ac:dyDescent="0.3">
      <c r="K1412" s="14" t="s">
        <v>103</v>
      </c>
      <c r="L1412">
        <v>210.5</v>
      </c>
      <c r="M1412">
        <v>85.611999999999995</v>
      </c>
      <c r="N1412">
        <v>330.01</v>
      </c>
      <c r="O1412">
        <v>264.69</v>
      </c>
      <c r="P1412" s="13">
        <v>1.44287506139257</v>
      </c>
    </row>
    <row r="1413" spans="11:16" x14ac:dyDescent="0.3">
      <c r="K1413" s="14" t="s">
        <v>103</v>
      </c>
      <c r="L1413">
        <v>202.69</v>
      </c>
      <c r="M1413">
        <v>109.26649999999999</v>
      </c>
      <c r="N1413">
        <v>230</v>
      </c>
      <c r="O1413">
        <v>256.93</v>
      </c>
      <c r="P1413" s="13">
        <v>1.44691744833223</v>
      </c>
    </row>
    <row r="1414" spans="11:16" x14ac:dyDescent="0.3">
      <c r="K1414" s="14" t="s">
        <v>103</v>
      </c>
      <c r="L1414">
        <v>203.13</v>
      </c>
      <c r="M1414">
        <v>137.6592</v>
      </c>
      <c r="N1414">
        <v>260.01</v>
      </c>
      <c r="O1414">
        <v>281.73</v>
      </c>
      <c r="P1414" s="13">
        <v>1.44958577361303</v>
      </c>
    </row>
    <row r="1415" spans="11:16" x14ac:dyDescent="0.3">
      <c r="K1415" s="14" t="s">
        <v>103</v>
      </c>
      <c r="L1415">
        <v>203.13</v>
      </c>
      <c r="M1415">
        <v>112.1962</v>
      </c>
      <c r="N1415">
        <v>366.01</v>
      </c>
      <c r="O1415">
        <v>282.55</v>
      </c>
      <c r="P1415" s="13">
        <v>1.45280056627146</v>
      </c>
    </row>
    <row r="1416" spans="11:16" x14ac:dyDescent="0.3">
      <c r="K1416" s="14" t="s">
        <v>103</v>
      </c>
      <c r="L1416">
        <v>203.13</v>
      </c>
      <c r="M1416">
        <v>107.0964</v>
      </c>
      <c r="N1416">
        <v>333.01</v>
      </c>
      <c r="O1416">
        <v>272.76</v>
      </c>
      <c r="P1416" s="13">
        <v>1.45479175832233</v>
      </c>
    </row>
    <row r="1417" spans="11:16" x14ac:dyDescent="0.3">
      <c r="K1417" s="14" t="s">
        <v>103</v>
      </c>
      <c r="L1417">
        <v>210.5</v>
      </c>
      <c r="M1417">
        <v>105.2517</v>
      </c>
      <c r="N1417">
        <v>317.11</v>
      </c>
      <c r="O1417">
        <v>273.62</v>
      </c>
      <c r="P1417" s="13">
        <v>1.45530407133981</v>
      </c>
    </row>
    <row r="1418" spans="11:16" x14ac:dyDescent="0.3">
      <c r="K1418" s="14" t="s">
        <v>103</v>
      </c>
      <c r="L1418">
        <v>210.5</v>
      </c>
      <c r="M1418">
        <v>97.222200000000001</v>
      </c>
      <c r="N1418">
        <v>360.01</v>
      </c>
      <c r="O1418">
        <v>275.07</v>
      </c>
      <c r="P1418" s="13">
        <v>1.45899152942887</v>
      </c>
    </row>
    <row r="1419" spans="11:16" x14ac:dyDescent="0.3">
      <c r="K1419" s="14" t="s">
        <v>103</v>
      </c>
      <c r="L1419">
        <v>157.55000000000001</v>
      </c>
      <c r="M1419">
        <v>103.29859999999999</v>
      </c>
      <c r="N1419">
        <v>500.02</v>
      </c>
      <c r="O1419">
        <v>267.3</v>
      </c>
      <c r="P1419" s="13">
        <v>1.4622289562289601</v>
      </c>
    </row>
    <row r="1420" spans="11:16" x14ac:dyDescent="0.3">
      <c r="K1420" s="14" t="s">
        <v>103</v>
      </c>
      <c r="L1420">
        <v>202.69</v>
      </c>
      <c r="M1420">
        <v>111.2196</v>
      </c>
      <c r="N1420">
        <v>351.41</v>
      </c>
      <c r="O1420">
        <v>276.20999999999998</v>
      </c>
      <c r="P1420" s="13">
        <v>1.46727562361971</v>
      </c>
    </row>
    <row r="1421" spans="11:16" x14ac:dyDescent="0.3">
      <c r="K1421" s="14" t="s">
        <v>103</v>
      </c>
      <c r="L1421">
        <v>202.69</v>
      </c>
      <c r="M1421">
        <v>133.2465</v>
      </c>
      <c r="N1421">
        <v>280.01</v>
      </c>
      <c r="O1421">
        <v>277.92</v>
      </c>
      <c r="P1421" s="13">
        <v>1.47070775762809</v>
      </c>
    </row>
    <row r="1422" spans="11:16" x14ac:dyDescent="0.3">
      <c r="K1422" s="14" t="s">
        <v>103</v>
      </c>
      <c r="L1422">
        <v>210.5</v>
      </c>
      <c r="M1422">
        <v>139.4314</v>
      </c>
      <c r="N1422">
        <v>260.01</v>
      </c>
      <c r="O1422">
        <v>283.72000000000003</v>
      </c>
      <c r="P1422" s="13">
        <v>1.4716410545608301</v>
      </c>
    </row>
    <row r="1423" spans="11:16" x14ac:dyDescent="0.3">
      <c r="K1423" s="14" t="s">
        <v>103</v>
      </c>
      <c r="L1423">
        <v>210.5</v>
      </c>
      <c r="M1423">
        <v>84.635400000000004</v>
      </c>
      <c r="N1423">
        <v>416.02</v>
      </c>
      <c r="O1423">
        <v>273.89999999999998</v>
      </c>
      <c r="P1423" s="13">
        <v>1.4724373859072699</v>
      </c>
    </row>
    <row r="1424" spans="11:16" x14ac:dyDescent="0.3">
      <c r="K1424" s="14" t="s">
        <v>103</v>
      </c>
      <c r="L1424">
        <v>210.94</v>
      </c>
      <c r="M1424">
        <v>149.52260000000001</v>
      </c>
      <c r="N1424">
        <v>170</v>
      </c>
      <c r="O1424">
        <v>274.51</v>
      </c>
      <c r="P1424" s="13">
        <v>1.4741269899092899</v>
      </c>
    </row>
    <row r="1425" spans="11:16" x14ac:dyDescent="0.3">
      <c r="K1425" s="14" t="s">
        <v>103</v>
      </c>
      <c r="L1425">
        <v>210.94</v>
      </c>
      <c r="M1425">
        <v>100.803</v>
      </c>
      <c r="N1425">
        <v>315.11</v>
      </c>
      <c r="O1425">
        <v>266.48</v>
      </c>
      <c r="P1425" s="13">
        <v>1.4773026118282799</v>
      </c>
    </row>
    <row r="1426" spans="11:16" x14ac:dyDescent="0.3">
      <c r="K1426" s="14" t="s">
        <v>103</v>
      </c>
      <c r="L1426">
        <v>203.13</v>
      </c>
      <c r="M1426">
        <v>151.6927</v>
      </c>
      <c r="N1426">
        <v>210</v>
      </c>
      <c r="O1426">
        <v>275.35000000000002</v>
      </c>
      <c r="P1426" s="13">
        <v>1.4869173778826901</v>
      </c>
    </row>
    <row r="1427" spans="11:16" x14ac:dyDescent="0.3">
      <c r="K1427" s="14" t="s">
        <v>103</v>
      </c>
      <c r="L1427">
        <v>203.56</v>
      </c>
      <c r="M1427">
        <v>145.6164</v>
      </c>
      <c r="N1427">
        <v>200</v>
      </c>
      <c r="O1427">
        <v>268.38</v>
      </c>
      <c r="P1427" s="13">
        <v>1.4948073626946901</v>
      </c>
    </row>
    <row r="1428" spans="11:16" x14ac:dyDescent="0.3">
      <c r="K1428" s="14" t="s">
        <v>103</v>
      </c>
      <c r="L1428">
        <v>202.69</v>
      </c>
      <c r="M1428">
        <v>156.46700000000001</v>
      </c>
      <c r="N1428">
        <v>230</v>
      </c>
      <c r="O1428">
        <v>279.37</v>
      </c>
      <c r="P1428" s="13">
        <v>1.4996492107241299</v>
      </c>
    </row>
    <row r="1429" spans="11:16" x14ac:dyDescent="0.3">
      <c r="K1429" s="14" t="s">
        <v>103</v>
      </c>
      <c r="L1429">
        <v>203.13</v>
      </c>
      <c r="M1429">
        <v>152.34379999999999</v>
      </c>
      <c r="N1429">
        <v>250.01</v>
      </c>
      <c r="O1429">
        <v>279.39999999999998</v>
      </c>
      <c r="P1429" s="13">
        <v>1.5049262705798101</v>
      </c>
    </row>
    <row r="1430" spans="11:16" x14ac:dyDescent="0.3">
      <c r="K1430" s="14" t="s">
        <v>103</v>
      </c>
      <c r="L1430">
        <v>202.69</v>
      </c>
      <c r="M1430">
        <v>88.324700000000007</v>
      </c>
      <c r="N1430">
        <v>480.02</v>
      </c>
      <c r="O1430">
        <v>276.2</v>
      </c>
      <c r="P1430" s="13">
        <v>1.50550289645185</v>
      </c>
    </row>
    <row r="1431" spans="11:16" x14ac:dyDescent="0.3">
      <c r="K1431" s="14" t="s">
        <v>103</v>
      </c>
      <c r="L1431">
        <v>203.13</v>
      </c>
      <c r="M1431">
        <v>138.67189999999999</v>
      </c>
      <c r="N1431">
        <v>300.01</v>
      </c>
      <c r="O1431">
        <v>277.70999999999998</v>
      </c>
      <c r="P1431" s="13">
        <v>1.5116650462712899</v>
      </c>
    </row>
    <row r="1432" spans="11:16" x14ac:dyDescent="0.3">
      <c r="K1432" s="14" t="s">
        <v>103</v>
      </c>
      <c r="L1432">
        <v>210.5</v>
      </c>
      <c r="M1432">
        <v>123.04689999999999</v>
      </c>
      <c r="N1432">
        <v>266.01</v>
      </c>
      <c r="O1432">
        <v>264.44</v>
      </c>
      <c r="P1432" s="13">
        <v>1.5228766449856299</v>
      </c>
    </row>
    <row r="1433" spans="11:16" x14ac:dyDescent="0.3">
      <c r="K1433" s="14" t="s">
        <v>103</v>
      </c>
      <c r="L1433">
        <v>210.94</v>
      </c>
      <c r="M1433">
        <v>88.541700000000006</v>
      </c>
      <c r="N1433">
        <v>437.01</v>
      </c>
      <c r="O1433">
        <v>271.06</v>
      </c>
      <c r="P1433" s="13">
        <v>1.5240326864900799</v>
      </c>
    </row>
    <row r="1434" spans="11:16" x14ac:dyDescent="0.3">
      <c r="K1434" s="14" t="s">
        <v>103</v>
      </c>
      <c r="L1434">
        <v>203.13</v>
      </c>
      <c r="M1434">
        <v>116.8229</v>
      </c>
      <c r="N1434">
        <v>410.11</v>
      </c>
      <c r="O1434">
        <v>279.14999999999998</v>
      </c>
      <c r="P1434" s="13">
        <v>1.52814436682787</v>
      </c>
    </row>
    <row r="1435" spans="11:16" x14ac:dyDescent="0.3">
      <c r="K1435" s="14" t="s">
        <v>103</v>
      </c>
      <c r="L1435">
        <v>203.56</v>
      </c>
      <c r="M1435">
        <v>154.40539999999999</v>
      </c>
      <c r="N1435">
        <v>290.01</v>
      </c>
      <c r="O1435">
        <v>283.32</v>
      </c>
      <c r="P1435" s="13">
        <v>1.52960609911055</v>
      </c>
    </row>
    <row r="1436" spans="11:16" x14ac:dyDescent="0.3">
      <c r="K1436" s="14" t="s">
        <v>103</v>
      </c>
      <c r="L1436">
        <v>150.61000000000001</v>
      </c>
      <c r="M1436">
        <v>193.6849</v>
      </c>
      <c r="N1436">
        <v>355.01</v>
      </c>
      <c r="O1436">
        <v>285.14</v>
      </c>
      <c r="P1436" s="13">
        <v>1.53116889948797</v>
      </c>
    </row>
    <row r="1437" spans="11:16" x14ac:dyDescent="0.3">
      <c r="K1437" s="14" t="s">
        <v>103</v>
      </c>
      <c r="L1437">
        <v>211.37</v>
      </c>
      <c r="M1437">
        <v>116.2109</v>
      </c>
      <c r="N1437">
        <v>399.02</v>
      </c>
      <c r="O1437">
        <v>281.69</v>
      </c>
      <c r="P1437" s="13">
        <v>1.53120842060421</v>
      </c>
    </row>
    <row r="1438" spans="11:16" x14ac:dyDescent="0.3">
      <c r="K1438" s="14" t="s">
        <v>103</v>
      </c>
      <c r="L1438">
        <v>195.75</v>
      </c>
      <c r="M1438">
        <v>123.9149</v>
      </c>
      <c r="N1438">
        <v>444.02</v>
      </c>
      <c r="O1438">
        <v>280.85000000000002</v>
      </c>
      <c r="P1438" s="13">
        <v>1.5492615275057899</v>
      </c>
    </row>
    <row r="1439" spans="11:16" x14ac:dyDescent="0.3">
      <c r="K1439" s="14" t="s">
        <v>103</v>
      </c>
      <c r="L1439">
        <v>210.94</v>
      </c>
      <c r="M1439">
        <v>110.13460000000001</v>
      </c>
      <c r="N1439">
        <v>466.02</v>
      </c>
      <c r="O1439">
        <v>285.14</v>
      </c>
      <c r="P1439" s="13">
        <v>1.5509567230132599</v>
      </c>
    </row>
    <row r="1440" spans="11:16" x14ac:dyDescent="0.3">
      <c r="K1440" s="14" t="s">
        <v>103</v>
      </c>
      <c r="L1440">
        <v>203.13</v>
      </c>
      <c r="M1440">
        <v>108.724</v>
      </c>
      <c r="N1440">
        <v>500.02</v>
      </c>
      <c r="O1440">
        <v>283.39</v>
      </c>
      <c r="P1440" s="13">
        <v>1.5591912205794101</v>
      </c>
    </row>
    <row r="1441" spans="11:16" x14ac:dyDescent="0.3">
      <c r="K1441" s="14" t="s">
        <v>103</v>
      </c>
      <c r="L1441">
        <v>195.31</v>
      </c>
      <c r="M1441">
        <v>126.95310000000001</v>
      </c>
      <c r="N1441">
        <v>360.01</v>
      </c>
      <c r="O1441">
        <v>265.86</v>
      </c>
      <c r="P1441" s="13">
        <v>1.5642281651997301</v>
      </c>
    </row>
    <row r="1442" spans="11:16" x14ac:dyDescent="0.3">
      <c r="K1442" s="14" t="s">
        <v>103</v>
      </c>
      <c r="L1442">
        <v>210.5</v>
      </c>
      <c r="M1442">
        <v>117.94710000000001</v>
      </c>
      <c r="N1442">
        <v>350.01</v>
      </c>
      <c r="O1442">
        <v>267.01</v>
      </c>
      <c r="P1442" s="13">
        <v>1.5709138234523099</v>
      </c>
    </row>
    <row r="1443" spans="11:16" x14ac:dyDescent="0.3">
      <c r="K1443" s="14" t="s">
        <v>103</v>
      </c>
      <c r="L1443">
        <v>203.13</v>
      </c>
      <c r="M1443">
        <v>213.10759999999999</v>
      </c>
      <c r="N1443">
        <v>60.1</v>
      </c>
      <c r="O1443">
        <v>273.57</v>
      </c>
      <c r="P1443" s="13">
        <v>1.5786219249186699</v>
      </c>
    </row>
    <row r="1444" spans="11:16" x14ac:dyDescent="0.3">
      <c r="K1444" s="14" t="s">
        <v>103</v>
      </c>
      <c r="L1444">
        <v>202.69</v>
      </c>
      <c r="M1444">
        <v>131.5104</v>
      </c>
      <c r="N1444">
        <v>350.01</v>
      </c>
      <c r="O1444">
        <v>268.68</v>
      </c>
      <c r="P1444" s="13">
        <v>1.5825629001042101</v>
      </c>
    </row>
    <row r="1445" spans="11:16" x14ac:dyDescent="0.3">
      <c r="K1445" s="14" t="s">
        <v>103</v>
      </c>
      <c r="L1445">
        <v>203.56</v>
      </c>
      <c r="M1445">
        <v>145.5078</v>
      </c>
      <c r="N1445">
        <v>300.10000000000002</v>
      </c>
      <c r="O1445">
        <v>269.02999999999997</v>
      </c>
      <c r="P1445" s="13">
        <v>1.58753224547448</v>
      </c>
    </row>
    <row r="1446" spans="11:16" x14ac:dyDescent="0.3">
      <c r="K1446" s="14" t="s">
        <v>103</v>
      </c>
      <c r="L1446">
        <v>203.13</v>
      </c>
      <c r="M1446">
        <v>137.9485</v>
      </c>
      <c r="N1446">
        <v>380.01</v>
      </c>
      <c r="O1446">
        <v>275.87</v>
      </c>
      <c r="P1446" s="13">
        <v>1.59452314495958</v>
      </c>
    </row>
    <row r="1447" spans="11:16" x14ac:dyDescent="0.3">
      <c r="K1447" s="14" t="s">
        <v>103</v>
      </c>
      <c r="L1447">
        <v>195.75</v>
      </c>
      <c r="M1447">
        <v>164.27950000000001</v>
      </c>
      <c r="N1447">
        <v>400.02</v>
      </c>
      <c r="O1447">
        <v>288.91000000000003</v>
      </c>
      <c r="P1447" s="13">
        <v>1.60615658855699</v>
      </c>
    </row>
    <row r="1448" spans="11:16" x14ac:dyDescent="0.3">
      <c r="K1448" s="14" t="s">
        <v>103</v>
      </c>
      <c r="L1448">
        <v>210.5</v>
      </c>
      <c r="M1448">
        <v>214.40539999999999</v>
      </c>
      <c r="N1448">
        <v>150.1</v>
      </c>
      <c r="O1448">
        <v>287.18</v>
      </c>
      <c r="P1448" s="13">
        <v>1.61547252594192</v>
      </c>
    </row>
    <row r="1449" spans="11:16" x14ac:dyDescent="0.3">
      <c r="K1449" s="14" t="s">
        <v>103</v>
      </c>
      <c r="L1449">
        <v>202.69</v>
      </c>
      <c r="M1449">
        <v>146.8099</v>
      </c>
      <c r="N1449">
        <v>300.01</v>
      </c>
      <c r="O1449">
        <v>263.58999999999997</v>
      </c>
      <c r="P1449" s="13">
        <v>1.6218464281649501</v>
      </c>
    </row>
    <row r="1450" spans="11:16" x14ac:dyDescent="0.3">
      <c r="K1450" s="14" t="s">
        <v>103</v>
      </c>
      <c r="L1450">
        <v>203.13</v>
      </c>
      <c r="M1450">
        <v>156.32239999999999</v>
      </c>
      <c r="N1450">
        <v>300.01</v>
      </c>
      <c r="O1450">
        <v>267.3</v>
      </c>
      <c r="P1450" s="13">
        <v>1.63656939768051</v>
      </c>
    </row>
    <row r="1451" spans="11:16" x14ac:dyDescent="0.3">
      <c r="K1451" s="14" t="s">
        <v>103</v>
      </c>
      <c r="L1451">
        <v>210.94</v>
      </c>
      <c r="M1451">
        <v>133.17420000000001</v>
      </c>
      <c r="N1451">
        <v>450.11</v>
      </c>
      <c r="O1451">
        <v>281.68</v>
      </c>
      <c r="P1451" s="13">
        <v>1.6371158761715401</v>
      </c>
    </row>
    <row r="1452" spans="11:16" x14ac:dyDescent="0.3">
      <c r="K1452" s="14" t="s">
        <v>103</v>
      </c>
      <c r="L1452">
        <v>203.13</v>
      </c>
      <c r="M1452">
        <v>111.11109999999999</v>
      </c>
      <c r="N1452">
        <v>609.71</v>
      </c>
      <c r="O1452">
        <v>288.02</v>
      </c>
      <c r="P1452" s="13">
        <v>1.6414335810013201</v>
      </c>
    </row>
    <row r="1453" spans="11:16" x14ac:dyDescent="0.3">
      <c r="K1453" s="14" t="s">
        <v>103</v>
      </c>
      <c r="L1453">
        <v>203.13</v>
      </c>
      <c r="M1453">
        <v>156.61019999999999</v>
      </c>
      <c r="N1453">
        <v>400.02</v>
      </c>
      <c r="O1453">
        <v>280.29000000000002</v>
      </c>
      <c r="P1453" s="13">
        <v>1.65451996146848</v>
      </c>
    </row>
    <row r="1454" spans="11:16" x14ac:dyDescent="0.3">
      <c r="K1454" s="14" t="s">
        <v>103</v>
      </c>
      <c r="L1454">
        <v>203.13</v>
      </c>
      <c r="M1454">
        <v>114.1493</v>
      </c>
      <c r="N1454">
        <v>510.01</v>
      </c>
      <c r="O1454">
        <v>268.70999999999998</v>
      </c>
      <c r="P1454" s="13">
        <v>1.67422835026609</v>
      </c>
    </row>
    <row r="1455" spans="11:16" x14ac:dyDescent="0.3">
      <c r="K1455" s="14" t="s">
        <v>103</v>
      </c>
      <c r="L1455">
        <v>202.69</v>
      </c>
      <c r="M1455">
        <v>131.72739999999999</v>
      </c>
      <c r="N1455">
        <v>533.11</v>
      </c>
      <c r="O1455">
        <v>278.70999999999998</v>
      </c>
      <c r="P1455" s="13">
        <v>1.69719780416921</v>
      </c>
    </row>
    <row r="1456" spans="11:16" x14ac:dyDescent="0.3">
      <c r="K1456" s="14" t="s">
        <v>103</v>
      </c>
      <c r="L1456">
        <v>203.13</v>
      </c>
      <c r="M1456">
        <v>204.71639999999999</v>
      </c>
      <c r="N1456">
        <v>299.3</v>
      </c>
      <c r="O1456">
        <v>279.95999999999998</v>
      </c>
      <c r="P1456" s="13">
        <v>1.73476353764824</v>
      </c>
    </row>
    <row r="1457" spans="11:16" x14ac:dyDescent="0.3">
      <c r="K1457" s="14" t="s">
        <v>103</v>
      </c>
      <c r="L1457">
        <v>203.13</v>
      </c>
      <c r="M1457">
        <v>103.08159999999999</v>
      </c>
      <c r="N1457">
        <v>680.52</v>
      </c>
      <c r="O1457">
        <v>276.77999999999997</v>
      </c>
      <c r="P1457" s="13">
        <v>1.7455986704241599</v>
      </c>
    </row>
    <row r="1458" spans="11:16" x14ac:dyDescent="0.3">
      <c r="K1458" s="14" t="s">
        <v>103</v>
      </c>
      <c r="L1458">
        <v>209.64</v>
      </c>
      <c r="M1458">
        <v>140.625</v>
      </c>
      <c r="N1458">
        <v>470.21</v>
      </c>
      <c r="O1458">
        <v>267.89999999999998</v>
      </c>
      <c r="P1458" s="13">
        <v>1.76379096677865</v>
      </c>
    </row>
    <row r="1459" spans="11:16" x14ac:dyDescent="0.3">
      <c r="K1459" s="14" t="s">
        <v>103</v>
      </c>
      <c r="L1459">
        <v>203.13</v>
      </c>
      <c r="M1459">
        <v>155.4905</v>
      </c>
      <c r="N1459">
        <v>715.42</v>
      </c>
      <c r="O1459">
        <v>279.58</v>
      </c>
      <c r="P1459" s="13">
        <v>1.9480281135989701</v>
      </c>
    </row>
    <row r="1460" spans="11:16" x14ac:dyDescent="0.3">
      <c r="K1460" s="14" t="s">
        <v>103</v>
      </c>
      <c r="L1460">
        <v>203.13</v>
      </c>
      <c r="M1460">
        <v>178.0599</v>
      </c>
      <c r="N1460">
        <v>743.02</v>
      </c>
      <c r="O1460">
        <v>289.97000000000003</v>
      </c>
      <c r="P1460" s="13">
        <v>1.9808087043487299</v>
      </c>
    </row>
    <row r="1461" spans="11:16" x14ac:dyDescent="0.3">
      <c r="K1461" s="14" t="s">
        <v>105</v>
      </c>
      <c r="M1461">
        <v>83.224800000000002</v>
      </c>
      <c r="N1461">
        <v>260.01</v>
      </c>
      <c r="O1461">
        <v>285.44</v>
      </c>
      <c r="P1461" s="13">
        <v>0.52840316704035895</v>
      </c>
    </row>
    <row r="1462" spans="11:16" x14ac:dyDescent="0.3">
      <c r="K1462" s="14" t="s">
        <v>105</v>
      </c>
      <c r="L1462">
        <v>195.75</v>
      </c>
      <c r="N1462">
        <v>350.01</v>
      </c>
      <c r="O1462">
        <v>279.8</v>
      </c>
      <c r="P1462" s="13">
        <v>1.0248484631879899</v>
      </c>
    </row>
    <row r="1463" spans="11:16" x14ac:dyDescent="0.3">
      <c r="K1463" s="14" t="s">
        <v>105</v>
      </c>
      <c r="L1463">
        <v>203.13</v>
      </c>
      <c r="M1463">
        <v>77.184600000000003</v>
      </c>
      <c r="N1463">
        <v>80.099999999999994</v>
      </c>
      <c r="O1463">
        <v>281.38</v>
      </c>
      <c r="P1463" s="13">
        <v>1.0702274504229199</v>
      </c>
    </row>
    <row r="1464" spans="11:16" x14ac:dyDescent="0.3">
      <c r="K1464" s="14" t="s">
        <v>105</v>
      </c>
      <c r="L1464">
        <v>203.13</v>
      </c>
      <c r="M1464">
        <v>74.508099999999999</v>
      </c>
      <c r="N1464">
        <v>100.1</v>
      </c>
      <c r="O1464">
        <v>282.25</v>
      </c>
      <c r="P1464" s="13">
        <v>1.0758692648361401</v>
      </c>
    </row>
    <row r="1465" spans="11:16" x14ac:dyDescent="0.3">
      <c r="K1465" s="14" t="s">
        <v>105</v>
      </c>
      <c r="L1465">
        <v>203.13</v>
      </c>
      <c r="M1465">
        <v>78.667500000000004</v>
      </c>
      <c r="N1465">
        <v>140.1</v>
      </c>
      <c r="O1465">
        <v>288.3</v>
      </c>
      <c r="P1465" s="13">
        <v>1.10379292403746</v>
      </c>
    </row>
    <row r="1466" spans="11:16" x14ac:dyDescent="0.3">
      <c r="K1466" s="14" t="s">
        <v>105</v>
      </c>
      <c r="L1466">
        <v>203.13</v>
      </c>
      <c r="M1466">
        <v>89.6267</v>
      </c>
      <c r="N1466">
        <v>96</v>
      </c>
      <c r="O1466">
        <v>281.06</v>
      </c>
      <c r="P1466" s="13">
        <v>1.1304230413434899</v>
      </c>
    </row>
    <row r="1467" spans="11:16" x14ac:dyDescent="0.3">
      <c r="K1467" s="14" t="s">
        <v>105</v>
      </c>
      <c r="L1467">
        <v>149.74</v>
      </c>
      <c r="M1467">
        <v>73.893199999999993</v>
      </c>
      <c r="N1467">
        <v>400.02</v>
      </c>
      <c r="O1467">
        <v>288.32</v>
      </c>
      <c r="P1467" s="13">
        <v>1.13637069922309</v>
      </c>
    </row>
    <row r="1468" spans="11:16" x14ac:dyDescent="0.3">
      <c r="K1468" s="14" t="s">
        <v>105</v>
      </c>
      <c r="L1468">
        <v>203.13</v>
      </c>
      <c r="M1468">
        <v>83.658900000000003</v>
      </c>
      <c r="N1468">
        <v>140.1</v>
      </c>
      <c r="O1468">
        <v>283.70999999999998</v>
      </c>
      <c r="P1468" s="13">
        <v>1.13924394628318</v>
      </c>
    </row>
    <row r="1469" spans="11:16" x14ac:dyDescent="0.3">
      <c r="K1469" s="14" t="s">
        <v>105</v>
      </c>
      <c r="L1469">
        <v>203.13</v>
      </c>
      <c r="M1469">
        <v>67.925399999999996</v>
      </c>
      <c r="N1469">
        <v>200</v>
      </c>
      <c r="O1469">
        <v>283.14</v>
      </c>
      <c r="P1469" s="13">
        <v>1.14097407642862</v>
      </c>
    </row>
    <row r="1470" spans="11:16" x14ac:dyDescent="0.3">
      <c r="K1470" s="14" t="s">
        <v>105</v>
      </c>
      <c r="L1470">
        <v>210.5</v>
      </c>
      <c r="M1470">
        <v>78.667500000000004</v>
      </c>
      <c r="N1470">
        <v>100.1</v>
      </c>
      <c r="O1470">
        <v>276.23</v>
      </c>
      <c r="P1470" s="13">
        <v>1.14105455598595</v>
      </c>
    </row>
    <row r="1471" spans="11:16" x14ac:dyDescent="0.3">
      <c r="K1471" s="14" t="s">
        <v>105</v>
      </c>
      <c r="L1471">
        <v>157.55000000000001</v>
      </c>
      <c r="M1471">
        <v>70.855000000000004</v>
      </c>
      <c r="N1471">
        <v>370.01</v>
      </c>
      <c r="O1471">
        <v>283.42</v>
      </c>
      <c r="P1471" s="13">
        <v>1.1453235480911701</v>
      </c>
    </row>
    <row r="1472" spans="11:16" x14ac:dyDescent="0.3">
      <c r="K1472" s="14" t="s">
        <v>105</v>
      </c>
      <c r="L1472">
        <v>202.26</v>
      </c>
      <c r="M1472">
        <v>79.644099999999995</v>
      </c>
      <c r="N1472">
        <v>155</v>
      </c>
      <c r="O1472">
        <v>281.10000000000002</v>
      </c>
      <c r="P1472" s="13">
        <v>1.1462258982568501</v>
      </c>
    </row>
    <row r="1473" spans="11:16" x14ac:dyDescent="0.3">
      <c r="K1473" s="14" t="s">
        <v>105</v>
      </c>
      <c r="L1473">
        <v>203.13</v>
      </c>
      <c r="M1473">
        <v>75.231499999999997</v>
      </c>
      <c r="N1473">
        <v>150.1</v>
      </c>
      <c r="O1473">
        <v>276.24</v>
      </c>
      <c r="P1473" s="13">
        <v>1.1489556183029199</v>
      </c>
    </row>
    <row r="1474" spans="11:16" x14ac:dyDescent="0.3">
      <c r="K1474" s="14" t="s">
        <v>105</v>
      </c>
      <c r="L1474">
        <v>150.61000000000001</v>
      </c>
      <c r="M1474">
        <v>124.0234</v>
      </c>
      <c r="N1474">
        <v>200</v>
      </c>
      <c r="O1474">
        <v>280.82</v>
      </c>
      <c r="P1474" s="13">
        <v>1.1631415141371699</v>
      </c>
    </row>
    <row r="1475" spans="11:16" x14ac:dyDescent="0.3">
      <c r="K1475" s="14" t="s">
        <v>105</v>
      </c>
      <c r="L1475">
        <v>210.94</v>
      </c>
      <c r="M1475">
        <v>80.620699999999999</v>
      </c>
      <c r="N1475">
        <v>150.1</v>
      </c>
      <c r="O1475">
        <v>284</v>
      </c>
      <c r="P1475" s="13">
        <v>1.16403767605634</v>
      </c>
    </row>
    <row r="1476" spans="11:16" x14ac:dyDescent="0.3">
      <c r="K1476" s="14" t="s">
        <v>105</v>
      </c>
      <c r="L1476">
        <v>203.13</v>
      </c>
      <c r="M1476">
        <v>74.2911</v>
      </c>
      <c r="N1476">
        <v>160</v>
      </c>
      <c r="O1476">
        <v>273.35000000000002</v>
      </c>
      <c r="P1476" s="13">
        <v>1.16707920248765</v>
      </c>
    </row>
    <row r="1477" spans="11:16" x14ac:dyDescent="0.3">
      <c r="K1477" s="14" t="s">
        <v>105</v>
      </c>
      <c r="L1477">
        <v>203.13</v>
      </c>
      <c r="M1477">
        <v>77.691000000000003</v>
      </c>
      <c r="N1477">
        <v>220</v>
      </c>
      <c r="O1477">
        <v>289.48</v>
      </c>
      <c r="P1477" s="13">
        <v>1.16768343236148</v>
      </c>
    </row>
    <row r="1478" spans="11:16" x14ac:dyDescent="0.3">
      <c r="K1478" s="14" t="s">
        <v>105</v>
      </c>
      <c r="L1478">
        <v>203.13</v>
      </c>
      <c r="M1478">
        <v>83.116299999999995</v>
      </c>
      <c r="N1478">
        <v>130.1</v>
      </c>
      <c r="O1478">
        <v>273.33999999999997</v>
      </c>
      <c r="P1478" s="13">
        <v>1.1709676593253799</v>
      </c>
    </row>
    <row r="1479" spans="11:16" x14ac:dyDescent="0.3">
      <c r="K1479" s="14" t="s">
        <v>105</v>
      </c>
      <c r="L1479">
        <v>203.13</v>
      </c>
      <c r="M1479">
        <v>81.886600000000001</v>
      </c>
      <c r="N1479">
        <v>170</v>
      </c>
      <c r="O1479">
        <v>279.64999999999998</v>
      </c>
      <c r="P1479" s="13">
        <v>1.17724512783837</v>
      </c>
    </row>
    <row r="1480" spans="11:16" x14ac:dyDescent="0.3">
      <c r="K1480" s="14" t="s">
        <v>105</v>
      </c>
      <c r="L1480">
        <v>203.13</v>
      </c>
      <c r="M1480">
        <v>106.3368</v>
      </c>
      <c r="N1480">
        <v>150.1</v>
      </c>
      <c r="O1480">
        <v>295.56</v>
      </c>
      <c r="P1480" s="13">
        <v>1.1790932467180899</v>
      </c>
    </row>
    <row r="1481" spans="11:16" x14ac:dyDescent="0.3">
      <c r="K1481" s="14" t="s">
        <v>105</v>
      </c>
      <c r="L1481">
        <v>203.99</v>
      </c>
      <c r="M1481">
        <v>84.201400000000007</v>
      </c>
      <c r="N1481">
        <v>200</v>
      </c>
      <c r="O1481">
        <v>287.73</v>
      </c>
      <c r="P1481" s="13">
        <v>1.18232857192507</v>
      </c>
    </row>
    <row r="1482" spans="11:16" x14ac:dyDescent="0.3">
      <c r="K1482" s="14" t="s">
        <v>105</v>
      </c>
      <c r="L1482">
        <v>203.13</v>
      </c>
      <c r="M1482">
        <v>73.278400000000005</v>
      </c>
      <c r="N1482">
        <v>222</v>
      </c>
      <c r="O1482">
        <v>282.24</v>
      </c>
      <c r="P1482" s="13">
        <v>1.1838449546485299</v>
      </c>
    </row>
    <row r="1483" spans="11:16" x14ac:dyDescent="0.3">
      <c r="K1483" s="14" t="s">
        <v>105</v>
      </c>
      <c r="L1483">
        <v>203.13</v>
      </c>
      <c r="M1483">
        <v>89.518199999999993</v>
      </c>
      <c r="N1483">
        <v>140.1</v>
      </c>
      <c r="O1483">
        <v>277.93</v>
      </c>
      <c r="P1483" s="13">
        <v>1.1840182779836601</v>
      </c>
    </row>
    <row r="1484" spans="11:16" x14ac:dyDescent="0.3">
      <c r="K1484" s="14" t="s">
        <v>105</v>
      </c>
      <c r="L1484">
        <v>203.13</v>
      </c>
      <c r="M1484">
        <v>75.737899999999996</v>
      </c>
      <c r="N1484">
        <v>220</v>
      </c>
      <c r="O1484">
        <v>283.14999999999998</v>
      </c>
      <c r="P1484" s="13">
        <v>1.18688998763906</v>
      </c>
    </row>
    <row r="1485" spans="11:16" x14ac:dyDescent="0.3">
      <c r="K1485" s="14" t="s">
        <v>105</v>
      </c>
      <c r="L1485">
        <v>203.13</v>
      </c>
      <c r="M1485">
        <v>77.799499999999995</v>
      </c>
      <c r="N1485">
        <v>260.01</v>
      </c>
      <c r="O1485">
        <v>293.51</v>
      </c>
      <c r="P1485" s="13">
        <v>1.1874624373956599</v>
      </c>
    </row>
    <row r="1486" spans="11:16" x14ac:dyDescent="0.3">
      <c r="K1486" s="14" t="s">
        <v>105</v>
      </c>
      <c r="L1486">
        <v>203.13</v>
      </c>
      <c r="M1486">
        <v>81.090900000000005</v>
      </c>
      <c r="N1486">
        <v>190</v>
      </c>
      <c r="O1486">
        <v>280.83999999999997</v>
      </c>
      <c r="P1486" s="13">
        <v>1.1879393960974201</v>
      </c>
    </row>
    <row r="1487" spans="11:16" x14ac:dyDescent="0.3">
      <c r="K1487" s="14" t="s">
        <v>105</v>
      </c>
      <c r="L1487">
        <v>210.94</v>
      </c>
      <c r="M1487">
        <v>99.826400000000007</v>
      </c>
      <c r="N1487">
        <v>122.1</v>
      </c>
      <c r="O1487">
        <v>288.04000000000002</v>
      </c>
      <c r="P1487" s="13">
        <v>1.1891140119427901</v>
      </c>
    </row>
    <row r="1488" spans="11:16" x14ac:dyDescent="0.3">
      <c r="K1488" s="14" t="s">
        <v>105</v>
      </c>
      <c r="L1488">
        <v>210.5</v>
      </c>
      <c r="M1488">
        <v>82.392899999999997</v>
      </c>
      <c r="N1488">
        <v>200</v>
      </c>
      <c r="O1488">
        <v>289.77999999999997</v>
      </c>
      <c r="P1488" s="13">
        <v>1.1901887638898501</v>
      </c>
    </row>
    <row r="1489" spans="11:16" x14ac:dyDescent="0.3">
      <c r="K1489" s="14" t="s">
        <v>105</v>
      </c>
      <c r="L1489">
        <v>203.13</v>
      </c>
      <c r="M1489">
        <v>91.579899999999995</v>
      </c>
      <c r="N1489">
        <v>180</v>
      </c>
      <c r="O1489">
        <v>286.57</v>
      </c>
      <c r="P1489" s="13">
        <v>1.19171546219074</v>
      </c>
    </row>
    <row r="1490" spans="11:16" x14ac:dyDescent="0.3">
      <c r="K1490" s="14" t="s">
        <v>105</v>
      </c>
      <c r="L1490">
        <v>203.13</v>
      </c>
      <c r="M1490">
        <v>80.620699999999999</v>
      </c>
      <c r="N1490">
        <v>220</v>
      </c>
      <c r="O1490">
        <v>285.72000000000003</v>
      </c>
      <c r="P1490" s="13">
        <v>1.1933035839283199</v>
      </c>
    </row>
    <row r="1491" spans="11:16" x14ac:dyDescent="0.3">
      <c r="K1491" s="14" t="s">
        <v>105</v>
      </c>
      <c r="L1491">
        <v>210.07</v>
      </c>
      <c r="M1491">
        <v>80.837699999999998</v>
      </c>
      <c r="N1491">
        <v>210</v>
      </c>
      <c r="O1491">
        <v>288.86</v>
      </c>
      <c r="P1491" s="13">
        <v>1.1961078030879999</v>
      </c>
    </row>
    <row r="1492" spans="11:16" x14ac:dyDescent="0.3">
      <c r="K1492" s="14" t="s">
        <v>105</v>
      </c>
      <c r="L1492">
        <v>195.75</v>
      </c>
      <c r="M1492">
        <v>79.788799999999995</v>
      </c>
      <c r="N1492">
        <v>230</v>
      </c>
      <c r="O1492">
        <v>279.45</v>
      </c>
      <c r="P1492" s="13">
        <v>1.19999570585078</v>
      </c>
    </row>
    <row r="1493" spans="11:16" x14ac:dyDescent="0.3">
      <c r="K1493" s="14" t="s">
        <v>105</v>
      </c>
      <c r="L1493">
        <v>150.61000000000001</v>
      </c>
      <c r="M1493">
        <v>104.2752</v>
      </c>
      <c r="N1493">
        <v>300.01</v>
      </c>
      <c r="O1493">
        <v>277.08999999999997</v>
      </c>
      <c r="P1493" s="13">
        <v>1.2013706737883001</v>
      </c>
    </row>
    <row r="1494" spans="11:16" x14ac:dyDescent="0.3">
      <c r="K1494" s="14" t="s">
        <v>105</v>
      </c>
      <c r="L1494">
        <v>149.74</v>
      </c>
      <c r="M1494">
        <v>72.699700000000007</v>
      </c>
      <c r="N1494">
        <v>404.31</v>
      </c>
      <c r="O1494">
        <v>272.48</v>
      </c>
      <c r="P1494" s="13">
        <v>1.2021443775689999</v>
      </c>
    </row>
    <row r="1495" spans="11:16" x14ac:dyDescent="0.3">
      <c r="K1495" s="14" t="s">
        <v>105</v>
      </c>
      <c r="L1495">
        <v>150.16999999999999</v>
      </c>
      <c r="M1495">
        <v>72.699700000000007</v>
      </c>
      <c r="N1495">
        <v>452.02</v>
      </c>
      <c r="O1495">
        <v>282.54000000000002</v>
      </c>
      <c r="P1495" s="13">
        <v>1.20476711262122</v>
      </c>
    </row>
    <row r="1496" spans="11:16" x14ac:dyDescent="0.3">
      <c r="K1496" s="14" t="s">
        <v>105</v>
      </c>
      <c r="L1496">
        <v>195.75</v>
      </c>
      <c r="M1496">
        <v>88.107600000000005</v>
      </c>
      <c r="N1496">
        <v>200</v>
      </c>
      <c r="O1496">
        <v>278.52</v>
      </c>
      <c r="P1496" s="13">
        <v>1.2058652879506</v>
      </c>
    </row>
    <row r="1497" spans="11:16" x14ac:dyDescent="0.3">
      <c r="K1497" s="14" t="s">
        <v>105</v>
      </c>
      <c r="L1497">
        <v>150.16999999999999</v>
      </c>
      <c r="M1497">
        <v>103.4071</v>
      </c>
      <c r="N1497">
        <v>300.01</v>
      </c>
      <c r="O1497">
        <v>274.79000000000002</v>
      </c>
      <c r="P1497" s="13">
        <v>1.20666581753339</v>
      </c>
    </row>
    <row r="1498" spans="11:16" x14ac:dyDescent="0.3">
      <c r="K1498" s="14" t="s">
        <v>105</v>
      </c>
      <c r="L1498">
        <v>150.61000000000001</v>
      </c>
      <c r="M1498">
        <v>134.8742</v>
      </c>
      <c r="N1498">
        <v>255.01</v>
      </c>
      <c r="O1498">
        <v>291.47000000000003</v>
      </c>
      <c r="P1498" s="13">
        <v>1.2069399938244101</v>
      </c>
    </row>
    <row r="1499" spans="11:16" x14ac:dyDescent="0.3">
      <c r="K1499" s="14" t="s">
        <v>105</v>
      </c>
      <c r="L1499">
        <v>210.5</v>
      </c>
      <c r="M1499">
        <v>83.658900000000003</v>
      </c>
      <c r="N1499">
        <v>160</v>
      </c>
      <c r="O1499">
        <v>277.64999999999998</v>
      </c>
      <c r="P1499" s="13">
        <v>1.2092883126238101</v>
      </c>
    </row>
    <row r="1500" spans="11:16" x14ac:dyDescent="0.3">
      <c r="K1500" s="14" t="s">
        <v>105</v>
      </c>
      <c r="L1500">
        <v>150.61000000000001</v>
      </c>
      <c r="M1500">
        <v>103.2987</v>
      </c>
      <c r="N1500">
        <v>366.01</v>
      </c>
      <c r="O1500">
        <v>288.33</v>
      </c>
      <c r="P1500" s="13">
        <v>1.2106659036520699</v>
      </c>
    </row>
    <row r="1501" spans="11:16" x14ac:dyDescent="0.3">
      <c r="K1501" s="14" t="s">
        <v>105</v>
      </c>
      <c r="L1501">
        <v>157.99</v>
      </c>
      <c r="M1501">
        <v>122.82989999999999</v>
      </c>
      <c r="N1501">
        <v>260.01</v>
      </c>
      <c r="O1501">
        <v>286.87</v>
      </c>
      <c r="P1501" s="13">
        <v>1.2145658312127401</v>
      </c>
    </row>
    <row r="1502" spans="11:16" x14ac:dyDescent="0.3">
      <c r="K1502" s="14" t="s">
        <v>105</v>
      </c>
      <c r="L1502">
        <v>203.13</v>
      </c>
      <c r="M1502">
        <v>89.518199999999993</v>
      </c>
      <c r="N1502">
        <v>250.01</v>
      </c>
      <c r="O1502">
        <v>294.38</v>
      </c>
      <c r="P1502" s="13">
        <v>1.2149290033290301</v>
      </c>
    </row>
    <row r="1503" spans="11:16" x14ac:dyDescent="0.3">
      <c r="K1503" s="14" t="s">
        <v>105</v>
      </c>
      <c r="L1503">
        <v>210.94</v>
      </c>
      <c r="M1503">
        <v>80.512200000000007</v>
      </c>
      <c r="N1503">
        <v>230</v>
      </c>
      <c r="O1503">
        <v>288.60000000000002</v>
      </c>
      <c r="P1503" s="13">
        <v>1.2170900900900901</v>
      </c>
    </row>
    <row r="1504" spans="11:16" x14ac:dyDescent="0.3">
      <c r="K1504" s="14" t="s">
        <v>105</v>
      </c>
      <c r="L1504">
        <v>203.13</v>
      </c>
      <c r="M1504">
        <v>80.837699999999998</v>
      </c>
      <c r="N1504">
        <v>180</v>
      </c>
      <c r="O1504">
        <v>271.60000000000002</v>
      </c>
      <c r="P1504" s="13">
        <v>1.2178486745213499</v>
      </c>
    </row>
    <row r="1505" spans="11:16" x14ac:dyDescent="0.3">
      <c r="K1505" s="14" t="s">
        <v>105</v>
      </c>
      <c r="L1505">
        <v>203.13</v>
      </c>
      <c r="M1505">
        <v>76.714399999999998</v>
      </c>
      <c r="N1505">
        <v>310.01</v>
      </c>
      <c r="O1505">
        <v>295.8</v>
      </c>
      <c r="P1505" s="13">
        <v>1.2185496957403601</v>
      </c>
    </row>
    <row r="1506" spans="11:16" x14ac:dyDescent="0.3">
      <c r="K1506" s="14" t="s">
        <v>105</v>
      </c>
      <c r="L1506">
        <v>203.13</v>
      </c>
      <c r="M1506">
        <v>99.283900000000003</v>
      </c>
      <c r="N1506">
        <v>180</v>
      </c>
      <c r="O1506">
        <v>286.58</v>
      </c>
      <c r="P1506" s="13">
        <v>1.2185564240351701</v>
      </c>
    </row>
    <row r="1507" spans="11:16" x14ac:dyDescent="0.3">
      <c r="K1507" s="14" t="s">
        <v>105</v>
      </c>
      <c r="L1507">
        <v>203.13</v>
      </c>
      <c r="M1507">
        <v>73.929400000000001</v>
      </c>
      <c r="N1507">
        <v>210</v>
      </c>
      <c r="O1507">
        <v>271.91000000000003</v>
      </c>
      <c r="P1507" s="13">
        <v>1.21973961972712</v>
      </c>
    </row>
    <row r="1508" spans="11:16" x14ac:dyDescent="0.3">
      <c r="K1508" s="14" t="s">
        <v>105</v>
      </c>
      <c r="L1508">
        <v>210.5</v>
      </c>
      <c r="M1508">
        <v>80.946200000000005</v>
      </c>
      <c r="N1508">
        <v>220</v>
      </c>
      <c r="O1508">
        <v>285.72000000000003</v>
      </c>
      <c r="P1508" s="13">
        <v>1.2202372952540901</v>
      </c>
    </row>
    <row r="1509" spans="11:16" x14ac:dyDescent="0.3">
      <c r="K1509" s="14" t="s">
        <v>105</v>
      </c>
      <c r="L1509">
        <v>202.69</v>
      </c>
      <c r="M1509">
        <v>83.116299999999995</v>
      </c>
      <c r="N1509">
        <v>220</v>
      </c>
      <c r="O1509">
        <v>280.85000000000002</v>
      </c>
      <c r="P1509" s="13">
        <v>1.2213149367989999</v>
      </c>
    </row>
    <row r="1510" spans="11:16" x14ac:dyDescent="0.3">
      <c r="K1510" s="14" t="s">
        <v>105</v>
      </c>
      <c r="L1510">
        <v>150.16999999999999</v>
      </c>
      <c r="M1510">
        <v>105.2517</v>
      </c>
      <c r="N1510">
        <v>340.01</v>
      </c>
      <c r="O1510">
        <v>281.41000000000003</v>
      </c>
      <c r="P1510" s="13">
        <v>1.22179133648413</v>
      </c>
    </row>
    <row r="1511" spans="11:16" x14ac:dyDescent="0.3">
      <c r="K1511" s="14" t="s">
        <v>105</v>
      </c>
      <c r="L1511">
        <v>203.13</v>
      </c>
      <c r="M1511">
        <v>84.346100000000007</v>
      </c>
      <c r="N1511">
        <v>180</v>
      </c>
      <c r="O1511">
        <v>273.33999999999997</v>
      </c>
      <c r="P1511" s="13">
        <v>1.2229315138655199</v>
      </c>
    </row>
    <row r="1512" spans="11:16" x14ac:dyDescent="0.3">
      <c r="K1512" s="14" t="s">
        <v>105</v>
      </c>
      <c r="L1512">
        <v>210.5</v>
      </c>
      <c r="M1512">
        <v>75.737899999999996</v>
      </c>
      <c r="N1512">
        <v>200</v>
      </c>
      <c r="O1512">
        <v>276.51</v>
      </c>
      <c r="P1512" s="13">
        <v>1.2232393041842999</v>
      </c>
    </row>
    <row r="1513" spans="11:16" x14ac:dyDescent="0.3">
      <c r="K1513" s="14" t="s">
        <v>105</v>
      </c>
      <c r="L1513">
        <v>210.5</v>
      </c>
      <c r="M1513">
        <v>78.7761</v>
      </c>
      <c r="N1513">
        <v>150.1</v>
      </c>
      <c r="O1513">
        <v>268.35000000000002</v>
      </c>
      <c r="P1513" s="13">
        <v>1.2234100987516301</v>
      </c>
    </row>
    <row r="1514" spans="11:16" x14ac:dyDescent="0.3">
      <c r="K1514" s="14" t="s">
        <v>105</v>
      </c>
      <c r="L1514">
        <v>203.13</v>
      </c>
      <c r="M1514">
        <v>97.005200000000002</v>
      </c>
      <c r="N1514">
        <v>210</v>
      </c>
      <c r="O1514">
        <v>289.45999999999998</v>
      </c>
      <c r="P1514" s="13">
        <v>1.2255068057762699</v>
      </c>
    </row>
    <row r="1515" spans="11:16" x14ac:dyDescent="0.3">
      <c r="K1515" s="14" t="s">
        <v>105</v>
      </c>
      <c r="L1515">
        <v>157.55000000000001</v>
      </c>
      <c r="M1515">
        <v>72.699700000000007</v>
      </c>
      <c r="N1515">
        <v>470.02</v>
      </c>
      <c r="O1515">
        <v>287.14999999999998</v>
      </c>
      <c r="P1515" s="13">
        <v>1.22742434267804</v>
      </c>
    </row>
    <row r="1516" spans="11:16" x14ac:dyDescent="0.3">
      <c r="K1516" s="14" t="s">
        <v>105</v>
      </c>
      <c r="L1516">
        <v>194.01</v>
      </c>
      <c r="M1516">
        <v>81.163200000000003</v>
      </c>
      <c r="N1516">
        <v>250.01</v>
      </c>
      <c r="O1516">
        <v>276.97000000000003</v>
      </c>
      <c r="P1516" s="13">
        <v>1.2282044986821701</v>
      </c>
    </row>
    <row r="1517" spans="11:16" x14ac:dyDescent="0.3">
      <c r="K1517" s="14" t="s">
        <v>105</v>
      </c>
      <c r="L1517">
        <v>203.13</v>
      </c>
      <c r="M1517">
        <v>76.822900000000004</v>
      </c>
      <c r="N1517">
        <v>280.01</v>
      </c>
      <c r="O1517">
        <v>287.17</v>
      </c>
      <c r="P1517" s="13">
        <v>1.2283856252394101</v>
      </c>
    </row>
    <row r="1518" spans="11:16" x14ac:dyDescent="0.3">
      <c r="K1518" s="14" t="s">
        <v>105</v>
      </c>
      <c r="L1518">
        <v>203.13</v>
      </c>
      <c r="M1518">
        <v>82.971599999999995</v>
      </c>
      <c r="N1518">
        <v>280.01</v>
      </c>
      <c r="O1518">
        <v>291.47000000000003</v>
      </c>
      <c r="P1518" s="13">
        <v>1.23135897347926</v>
      </c>
    </row>
    <row r="1519" spans="11:16" x14ac:dyDescent="0.3">
      <c r="K1519" s="14" t="s">
        <v>105</v>
      </c>
      <c r="L1519">
        <v>157.55000000000001</v>
      </c>
      <c r="M1519">
        <v>122.9384</v>
      </c>
      <c r="N1519">
        <v>222</v>
      </c>
      <c r="O1519">
        <v>274.45</v>
      </c>
      <c r="P1519" s="13">
        <v>1.2323133539806901</v>
      </c>
    </row>
    <row r="1520" spans="11:16" x14ac:dyDescent="0.3">
      <c r="K1520" s="14" t="s">
        <v>105</v>
      </c>
      <c r="L1520">
        <v>203.13</v>
      </c>
      <c r="M1520">
        <v>76.388900000000007</v>
      </c>
      <c r="N1520">
        <v>250.01</v>
      </c>
      <c r="O1520">
        <v>279.11</v>
      </c>
      <c r="P1520" s="13">
        <v>1.2343574218050199</v>
      </c>
    </row>
    <row r="1521" spans="11:16" x14ac:dyDescent="0.3">
      <c r="K1521" s="14" t="s">
        <v>105</v>
      </c>
      <c r="L1521">
        <v>203.13</v>
      </c>
      <c r="M1521">
        <v>82.465299999999999</v>
      </c>
      <c r="N1521">
        <v>250.01</v>
      </c>
      <c r="O1521">
        <v>283.76</v>
      </c>
      <c r="P1521" s="13">
        <v>1.2355437693825799</v>
      </c>
    </row>
    <row r="1522" spans="11:16" x14ac:dyDescent="0.3">
      <c r="K1522" s="14" t="s">
        <v>105</v>
      </c>
      <c r="L1522">
        <v>203.13</v>
      </c>
      <c r="M1522">
        <v>79.210099999999997</v>
      </c>
      <c r="N1522">
        <v>260.89999999999998</v>
      </c>
      <c r="O1522">
        <v>283.14</v>
      </c>
      <c r="P1522" s="13">
        <v>1.2367524899343101</v>
      </c>
    </row>
    <row r="1523" spans="11:16" x14ac:dyDescent="0.3">
      <c r="K1523" s="14" t="s">
        <v>105</v>
      </c>
      <c r="L1523">
        <v>210.5</v>
      </c>
      <c r="M1523">
        <v>86.5886</v>
      </c>
      <c r="N1523">
        <v>200</v>
      </c>
      <c r="O1523">
        <v>281.93</v>
      </c>
      <c r="P1523" s="13">
        <v>1.23821019401979</v>
      </c>
    </row>
    <row r="1524" spans="11:16" x14ac:dyDescent="0.3">
      <c r="K1524" s="14" t="s">
        <v>105</v>
      </c>
      <c r="L1524">
        <v>203.13</v>
      </c>
      <c r="M1524">
        <v>95.811599999999999</v>
      </c>
      <c r="N1524">
        <v>240.01</v>
      </c>
      <c r="O1524">
        <v>291.79000000000002</v>
      </c>
      <c r="P1524" s="13">
        <v>1.2383707460845099</v>
      </c>
    </row>
    <row r="1525" spans="11:16" x14ac:dyDescent="0.3">
      <c r="K1525" s="14" t="s">
        <v>105</v>
      </c>
      <c r="L1525">
        <v>203.13</v>
      </c>
      <c r="M1525">
        <v>80.620699999999999</v>
      </c>
      <c r="N1525">
        <v>260.01</v>
      </c>
      <c r="O1525">
        <v>283.70999999999998</v>
      </c>
      <c r="P1525" s="13">
        <v>1.2384240950266101</v>
      </c>
    </row>
    <row r="1526" spans="11:16" x14ac:dyDescent="0.3">
      <c r="K1526" s="14" t="s">
        <v>105</v>
      </c>
      <c r="L1526">
        <v>203.13</v>
      </c>
      <c r="M1526">
        <v>103.29859999999999</v>
      </c>
      <c r="N1526">
        <v>120.1</v>
      </c>
      <c r="O1526">
        <v>272.49</v>
      </c>
      <c r="P1526" s="13">
        <v>1.23914492274946</v>
      </c>
    </row>
    <row r="1527" spans="11:16" x14ac:dyDescent="0.3">
      <c r="K1527" s="14" t="s">
        <v>105</v>
      </c>
      <c r="L1527">
        <v>157.99</v>
      </c>
      <c r="M1527">
        <v>126.0851</v>
      </c>
      <c r="N1527">
        <v>300.01</v>
      </c>
      <c r="O1527">
        <v>292.07</v>
      </c>
      <c r="P1527" s="13">
        <v>1.2396949361454399</v>
      </c>
    </row>
    <row r="1528" spans="11:16" x14ac:dyDescent="0.3">
      <c r="K1528" s="14" t="s">
        <v>105</v>
      </c>
      <c r="L1528">
        <v>203.13</v>
      </c>
      <c r="M1528">
        <v>89.6267</v>
      </c>
      <c r="N1528">
        <v>250.01</v>
      </c>
      <c r="O1528">
        <v>288.58</v>
      </c>
      <c r="P1528" s="13">
        <v>1.23972312703583</v>
      </c>
    </row>
    <row r="1529" spans="11:16" x14ac:dyDescent="0.3">
      <c r="K1529" s="14" t="s">
        <v>105</v>
      </c>
      <c r="L1529">
        <v>203.13</v>
      </c>
      <c r="M1529">
        <v>84.346100000000007</v>
      </c>
      <c r="N1529">
        <v>220</v>
      </c>
      <c r="O1529">
        <v>277.95</v>
      </c>
      <c r="P1529" s="13">
        <v>1.2400651196258301</v>
      </c>
    </row>
    <row r="1530" spans="11:16" x14ac:dyDescent="0.3">
      <c r="K1530" s="14" t="s">
        <v>105</v>
      </c>
      <c r="L1530">
        <v>203.13</v>
      </c>
      <c r="M1530">
        <v>93.822299999999998</v>
      </c>
      <c r="N1530">
        <v>150.1</v>
      </c>
      <c r="O1530">
        <v>270.77</v>
      </c>
      <c r="P1530" s="13">
        <v>1.24082542379141</v>
      </c>
    </row>
    <row r="1531" spans="11:16" x14ac:dyDescent="0.3">
      <c r="K1531" s="14" t="s">
        <v>105</v>
      </c>
      <c r="L1531">
        <v>203.13</v>
      </c>
      <c r="M1531">
        <v>91.579899999999995</v>
      </c>
      <c r="N1531">
        <v>170</v>
      </c>
      <c r="O1531">
        <v>273.02</v>
      </c>
      <c r="P1531" s="13">
        <v>1.24133726466926</v>
      </c>
    </row>
    <row r="1532" spans="11:16" x14ac:dyDescent="0.3">
      <c r="K1532" s="14" t="s">
        <v>105</v>
      </c>
      <c r="L1532">
        <v>202.69</v>
      </c>
      <c r="M1532">
        <v>74.580399999999997</v>
      </c>
      <c r="N1532">
        <v>280.01</v>
      </c>
      <c r="O1532">
        <v>281.99</v>
      </c>
      <c r="P1532" s="13">
        <v>1.2414376396326099</v>
      </c>
    </row>
    <row r="1533" spans="11:16" x14ac:dyDescent="0.3">
      <c r="K1533" s="14" t="s">
        <v>105</v>
      </c>
      <c r="L1533">
        <v>210.5</v>
      </c>
      <c r="M1533">
        <v>84.346100000000007</v>
      </c>
      <c r="N1533">
        <v>200</v>
      </c>
      <c r="O1533">
        <v>279.35000000000002</v>
      </c>
      <c r="P1533" s="13">
        <v>1.24161839985681</v>
      </c>
    </row>
    <row r="1534" spans="11:16" x14ac:dyDescent="0.3">
      <c r="K1534" s="14" t="s">
        <v>105</v>
      </c>
      <c r="L1534">
        <v>203.13</v>
      </c>
      <c r="M1534">
        <v>82.682299999999998</v>
      </c>
      <c r="N1534">
        <v>200</v>
      </c>
      <c r="O1534">
        <v>271.91000000000003</v>
      </c>
      <c r="P1534" s="13">
        <v>1.24236806296201</v>
      </c>
    </row>
    <row r="1535" spans="11:16" x14ac:dyDescent="0.3">
      <c r="K1535" s="14" t="s">
        <v>105</v>
      </c>
      <c r="L1535">
        <v>203.13</v>
      </c>
      <c r="M1535">
        <v>82.320599999999999</v>
      </c>
      <c r="N1535">
        <v>220</v>
      </c>
      <c r="O1535">
        <v>275.60000000000002</v>
      </c>
      <c r="P1535" s="13">
        <v>1.24328955007257</v>
      </c>
    </row>
    <row r="1536" spans="11:16" x14ac:dyDescent="0.3">
      <c r="K1536" s="14" t="s">
        <v>105</v>
      </c>
      <c r="L1536">
        <v>203.13</v>
      </c>
      <c r="M1536">
        <v>88.975700000000003</v>
      </c>
      <c r="N1536">
        <v>250.01</v>
      </c>
      <c r="O1536">
        <v>286.58</v>
      </c>
      <c r="P1536" s="13">
        <v>1.24610335682881</v>
      </c>
    </row>
    <row r="1537" spans="11:16" x14ac:dyDescent="0.3">
      <c r="K1537" s="14" t="s">
        <v>105</v>
      </c>
      <c r="L1537">
        <v>203.13</v>
      </c>
      <c r="M1537">
        <v>78.414299999999997</v>
      </c>
      <c r="N1537">
        <v>300.01</v>
      </c>
      <c r="O1537">
        <v>288.32</v>
      </c>
      <c r="P1537" s="13">
        <v>1.24704113485017</v>
      </c>
    </row>
    <row r="1538" spans="11:16" x14ac:dyDescent="0.3">
      <c r="K1538" s="14" t="s">
        <v>105</v>
      </c>
      <c r="L1538">
        <v>210.5</v>
      </c>
      <c r="M1538">
        <v>81.597200000000001</v>
      </c>
      <c r="N1538">
        <v>200</v>
      </c>
      <c r="O1538">
        <v>275.92</v>
      </c>
      <c r="P1538" s="13">
        <v>1.2470904610031901</v>
      </c>
    </row>
    <row r="1539" spans="11:16" x14ac:dyDescent="0.3">
      <c r="K1539" s="14" t="s">
        <v>105</v>
      </c>
      <c r="L1539">
        <v>210.5</v>
      </c>
      <c r="M1539">
        <v>90.386300000000006</v>
      </c>
      <c r="N1539">
        <v>210</v>
      </c>
      <c r="O1539">
        <v>284.89999999999998</v>
      </c>
      <c r="P1539" s="13">
        <v>1.24775816075816</v>
      </c>
    </row>
    <row r="1540" spans="11:16" x14ac:dyDescent="0.3">
      <c r="K1540" s="14" t="s">
        <v>105</v>
      </c>
      <c r="L1540">
        <v>203.13</v>
      </c>
      <c r="M1540">
        <v>88.758700000000005</v>
      </c>
      <c r="N1540">
        <v>250.01</v>
      </c>
      <c r="O1540">
        <v>285.99</v>
      </c>
      <c r="P1540" s="13">
        <v>1.2479153117241899</v>
      </c>
    </row>
    <row r="1541" spans="11:16" x14ac:dyDescent="0.3">
      <c r="K1541" s="14" t="s">
        <v>105</v>
      </c>
      <c r="L1541">
        <v>210.5</v>
      </c>
      <c r="M1541">
        <v>76.714399999999998</v>
      </c>
      <c r="N1541">
        <v>300.01</v>
      </c>
      <c r="O1541">
        <v>292.66000000000003</v>
      </c>
      <c r="P1541" s="13">
        <v>1.2479225039294699</v>
      </c>
    </row>
    <row r="1542" spans="11:16" x14ac:dyDescent="0.3">
      <c r="K1542" s="14" t="s">
        <v>105</v>
      </c>
      <c r="L1542">
        <v>203.13</v>
      </c>
      <c r="M1542">
        <v>82.320599999999999</v>
      </c>
      <c r="N1542">
        <v>240.01</v>
      </c>
      <c r="O1542">
        <v>278.54000000000002</v>
      </c>
      <c r="P1542" s="13">
        <v>1.24884469017017</v>
      </c>
    </row>
    <row r="1543" spans="11:16" x14ac:dyDescent="0.3">
      <c r="K1543" s="14" t="s">
        <v>105</v>
      </c>
      <c r="L1543">
        <v>210.5</v>
      </c>
      <c r="M1543">
        <v>88.252300000000005</v>
      </c>
      <c r="N1543">
        <v>200</v>
      </c>
      <c r="O1543">
        <v>280.83</v>
      </c>
      <c r="P1543" s="13">
        <v>1.24898443898444</v>
      </c>
    </row>
    <row r="1544" spans="11:16" x14ac:dyDescent="0.3">
      <c r="K1544" s="14" t="s">
        <v>105</v>
      </c>
      <c r="L1544">
        <v>203.13</v>
      </c>
      <c r="M1544">
        <v>104.8177</v>
      </c>
      <c r="N1544">
        <v>200</v>
      </c>
      <c r="O1544">
        <v>287.75</v>
      </c>
      <c r="P1544" s="13">
        <v>1.2509042571676801</v>
      </c>
    </row>
    <row r="1545" spans="11:16" x14ac:dyDescent="0.3">
      <c r="K1545" s="14" t="s">
        <v>105</v>
      </c>
      <c r="L1545">
        <v>202.69</v>
      </c>
      <c r="M1545">
        <v>78.197299999999998</v>
      </c>
      <c r="N1545">
        <v>250.01</v>
      </c>
      <c r="O1545">
        <v>276.51</v>
      </c>
      <c r="P1545" s="13">
        <v>1.2509128060468</v>
      </c>
    </row>
    <row r="1546" spans="11:16" x14ac:dyDescent="0.3">
      <c r="K1546" s="14" t="s">
        <v>105</v>
      </c>
      <c r="L1546">
        <v>203.13</v>
      </c>
      <c r="M1546">
        <v>91.471400000000003</v>
      </c>
      <c r="N1546">
        <v>320.01</v>
      </c>
      <c r="O1546">
        <v>301.57</v>
      </c>
      <c r="P1546" s="13">
        <v>1.2527903969227701</v>
      </c>
    </row>
    <row r="1547" spans="11:16" x14ac:dyDescent="0.3">
      <c r="K1547" s="14" t="s">
        <v>105</v>
      </c>
      <c r="L1547">
        <v>203.13</v>
      </c>
      <c r="M1547">
        <v>96.354200000000006</v>
      </c>
      <c r="N1547">
        <v>180</v>
      </c>
      <c r="O1547">
        <v>276.23</v>
      </c>
      <c r="P1547" s="13">
        <v>1.2536082250298699</v>
      </c>
    </row>
    <row r="1548" spans="11:16" x14ac:dyDescent="0.3">
      <c r="K1548" s="14" t="s">
        <v>105</v>
      </c>
      <c r="L1548">
        <v>150.61000000000001</v>
      </c>
      <c r="M1548">
        <v>133.78909999999999</v>
      </c>
      <c r="N1548">
        <v>230</v>
      </c>
      <c r="O1548">
        <v>274.49</v>
      </c>
      <c r="P1548" s="13">
        <v>1.2539586141571599</v>
      </c>
    </row>
    <row r="1549" spans="11:16" x14ac:dyDescent="0.3">
      <c r="K1549" s="14" t="s">
        <v>105</v>
      </c>
      <c r="L1549">
        <v>210.94</v>
      </c>
      <c r="M1549">
        <v>82.682299999999998</v>
      </c>
      <c r="N1549">
        <v>230</v>
      </c>
      <c r="O1549">
        <v>281.67</v>
      </c>
      <c r="P1549" s="13">
        <v>1.2547388788298399</v>
      </c>
    </row>
    <row r="1550" spans="11:16" x14ac:dyDescent="0.3">
      <c r="K1550" s="14" t="s">
        <v>105</v>
      </c>
      <c r="L1550">
        <v>150.61000000000001</v>
      </c>
      <c r="M1550">
        <v>121.8533</v>
      </c>
      <c r="N1550">
        <v>294.41000000000003</v>
      </c>
      <c r="O1550">
        <v>277.93</v>
      </c>
      <c r="P1550" s="13">
        <v>1.2557474903752699</v>
      </c>
    </row>
    <row r="1551" spans="11:16" x14ac:dyDescent="0.3">
      <c r="K1551" s="14" t="s">
        <v>105</v>
      </c>
      <c r="L1551">
        <v>203.13</v>
      </c>
      <c r="M1551">
        <v>76.822900000000004</v>
      </c>
      <c r="N1551">
        <v>333.01</v>
      </c>
      <c r="O1551">
        <v>291.76</v>
      </c>
      <c r="P1551" s="13">
        <v>1.2562911296956401</v>
      </c>
    </row>
    <row r="1552" spans="11:16" x14ac:dyDescent="0.3">
      <c r="K1552" s="14" t="s">
        <v>105</v>
      </c>
      <c r="L1552">
        <v>210.94</v>
      </c>
      <c r="M1552">
        <v>74.761300000000006</v>
      </c>
      <c r="N1552">
        <v>260.01</v>
      </c>
      <c r="O1552">
        <v>281.08999999999997</v>
      </c>
      <c r="P1552" s="13">
        <v>1.2569066846917401</v>
      </c>
    </row>
    <row r="1553" spans="11:16" x14ac:dyDescent="0.3">
      <c r="K1553" s="14" t="s">
        <v>105</v>
      </c>
      <c r="L1553">
        <v>203.13</v>
      </c>
      <c r="M1553">
        <v>104.7439</v>
      </c>
      <c r="N1553">
        <v>200</v>
      </c>
      <c r="O1553">
        <v>286.3</v>
      </c>
      <c r="P1553" s="13">
        <v>1.2569818372336701</v>
      </c>
    </row>
    <row r="1554" spans="11:16" x14ac:dyDescent="0.3">
      <c r="K1554" s="14" t="s">
        <v>105</v>
      </c>
      <c r="L1554">
        <v>202.69</v>
      </c>
      <c r="M1554">
        <v>88.324600000000004</v>
      </c>
      <c r="N1554">
        <v>300.01</v>
      </c>
      <c r="O1554">
        <v>293.48</v>
      </c>
      <c r="P1554" s="13">
        <v>1.2573844895733901</v>
      </c>
    </row>
    <row r="1555" spans="11:16" x14ac:dyDescent="0.3">
      <c r="K1555" s="14" t="s">
        <v>105</v>
      </c>
      <c r="L1555">
        <v>203.13</v>
      </c>
      <c r="M1555">
        <v>95.920100000000005</v>
      </c>
      <c r="N1555">
        <v>240.01</v>
      </c>
      <c r="O1555">
        <v>287.45</v>
      </c>
      <c r="P1555" s="13">
        <v>1.2574454687771801</v>
      </c>
    </row>
    <row r="1556" spans="11:16" x14ac:dyDescent="0.3">
      <c r="K1556" s="14" t="s">
        <v>105</v>
      </c>
      <c r="L1556">
        <v>150.61000000000001</v>
      </c>
      <c r="M1556">
        <v>115.9939</v>
      </c>
      <c r="N1556">
        <v>350.01</v>
      </c>
      <c r="O1556">
        <v>284.24</v>
      </c>
      <c r="P1556" s="13">
        <v>1.2581146214466601</v>
      </c>
    </row>
    <row r="1557" spans="11:16" x14ac:dyDescent="0.3">
      <c r="K1557" s="14" t="s">
        <v>105</v>
      </c>
      <c r="L1557">
        <v>150.61000000000001</v>
      </c>
      <c r="M1557">
        <v>185.1129</v>
      </c>
      <c r="N1557">
        <v>150.1</v>
      </c>
      <c r="O1557">
        <v>297.83</v>
      </c>
      <c r="P1557" s="13">
        <v>1.2582644461605601</v>
      </c>
    </row>
    <row r="1558" spans="11:16" x14ac:dyDescent="0.3">
      <c r="K1558" s="14" t="s">
        <v>105</v>
      </c>
      <c r="L1558">
        <v>202.69</v>
      </c>
      <c r="M1558">
        <v>114.0408</v>
      </c>
      <c r="N1558">
        <v>177</v>
      </c>
      <c r="O1558">
        <v>288.05</v>
      </c>
      <c r="P1558" s="13">
        <v>1.2593327547300801</v>
      </c>
    </row>
    <row r="1559" spans="11:16" x14ac:dyDescent="0.3">
      <c r="K1559" s="14" t="s">
        <v>105</v>
      </c>
      <c r="L1559">
        <v>210.07</v>
      </c>
      <c r="M1559">
        <v>80.729200000000006</v>
      </c>
      <c r="N1559">
        <v>300.01</v>
      </c>
      <c r="O1559">
        <v>292.61</v>
      </c>
      <c r="P1559" s="13">
        <v>1.2603868630600501</v>
      </c>
    </row>
    <row r="1560" spans="11:16" x14ac:dyDescent="0.3">
      <c r="K1560" s="14" t="s">
        <v>105</v>
      </c>
      <c r="L1560">
        <v>203.13</v>
      </c>
      <c r="M1560">
        <v>78.667500000000004</v>
      </c>
      <c r="N1560">
        <v>227.3</v>
      </c>
      <c r="O1560">
        <v>270.18</v>
      </c>
      <c r="P1560" s="13">
        <v>1.2617347694129799</v>
      </c>
    </row>
    <row r="1561" spans="11:16" x14ac:dyDescent="0.3">
      <c r="K1561" s="14" t="s">
        <v>105</v>
      </c>
      <c r="L1561">
        <v>203.13</v>
      </c>
      <c r="M1561">
        <v>118.41719999999999</v>
      </c>
      <c r="N1561">
        <v>100.1</v>
      </c>
      <c r="O1561">
        <v>275.35000000000002</v>
      </c>
      <c r="P1561" s="13">
        <v>1.26229598692573</v>
      </c>
    </row>
    <row r="1562" spans="11:16" x14ac:dyDescent="0.3">
      <c r="K1562" s="14" t="s">
        <v>105</v>
      </c>
      <c r="L1562">
        <v>203.13</v>
      </c>
      <c r="M1562">
        <v>84.635400000000004</v>
      </c>
      <c r="N1562">
        <v>300.01</v>
      </c>
      <c r="O1562">
        <v>289.75</v>
      </c>
      <c r="P1562" s="13">
        <v>1.26235720448663</v>
      </c>
    </row>
    <row r="1563" spans="11:16" x14ac:dyDescent="0.3">
      <c r="K1563" s="14" t="s">
        <v>105</v>
      </c>
      <c r="L1563">
        <v>202.69</v>
      </c>
      <c r="M1563">
        <v>75.303799999999995</v>
      </c>
      <c r="N1563">
        <v>280.01</v>
      </c>
      <c r="O1563">
        <v>277.67</v>
      </c>
      <c r="P1563" s="13">
        <v>1.2633572226023699</v>
      </c>
    </row>
    <row r="1564" spans="11:16" x14ac:dyDescent="0.3">
      <c r="K1564" s="14" t="s">
        <v>105</v>
      </c>
      <c r="L1564">
        <v>202.69</v>
      </c>
      <c r="M1564">
        <v>78.884600000000006</v>
      </c>
      <c r="N1564">
        <v>315.01</v>
      </c>
      <c r="O1564">
        <v>287.51</v>
      </c>
      <c r="P1564" s="13">
        <v>1.2642245487113499</v>
      </c>
    </row>
    <row r="1565" spans="11:16" x14ac:dyDescent="0.3">
      <c r="K1565" s="14" t="s">
        <v>105</v>
      </c>
      <c r="L1565">
        <v>149.74</v>
      </c>
      <c r="M1565">
        <v>115.1259</v>
      </c>
      <c r="N1565">
        <v>382.01</v>
      </c>
      <c r="O1565">
        <v>287.70999999999998</v>
      </c>
      <c r="P1565" s="13">
        <v>1.26581801119183</v>
      </c>
    </row>
    <row r="1566" spans="11:16" x14ac:dyDescent="0.3">
      <c r="K1566" s="14" t="s">
        <v>105</v>
      </c>
      <c r="L1566">
        <v>203.13</v>
      </c>
      <c r="M1566">
        <v>94.183999999999997</v>
      </c>
      <c r="N1566">
        <v>230</v>
      </c>
      <c r="O1566">
        <v>282.01</v>
      </c>
      <c r="P1566" s="13">
        <v>1.26631679727669</v>
      </c>
    </row>
    <row r="1567" spans="11:16" x14ac:dyDescent="0.3">
      <c r="K1567" s="14" t="s">
        <v>105</v>
      </c>
      <c r="L1567">
        <v>203.13</v>
      </c>
      <c r="M1567">
        <v>76.714399999999998</v>
      </c>
      <c r="N1567">
        <v>220</v>
      </c>
      <c r="O1567">
        <v>266.14</v>
      </c>
      <c r="P1567" s="13">
        <v>1.2664176749079401</v>
      </c>
    </row>
    <row r="1568" spans="11:16" x14ac:dyDescent="0.3">
      <c r="K1568" s="14" t="s">
        <v>105</v>
      </c>
      <c r="L1568">
        <v>203.13</v>
      </c>
      <c r="M1568">
        <v>76.714399999999998</v>
      </c>
      <c r="N1568">
        <v>300.01</v>
      </c>
      <c r="O1568">
        <v>282.56</v>
      </c>
      <c r="P1568" s="13">
        <v>1.2664460645526601</v>
      </c>
    </row>
    <row r="1569" spans="11:16" x14ac:dyDescent="0.3">
      <c r="K1569" s="14" t="s">
        <v>105</v>
      </c>
      <c r="L1569">
        <v>203.13</v>
      </c>
      <c r="M1569">
        <v>116.645</v>
      </c>
      <c r="N1569">
        <v>200</v>
      </c>
      <c r="O1569">
        <v>293.47000000000003</v>
      </c>
      <c r="P1569" s="13">
        <v>1.2668245476539299</v>
      </c>
    </row>
    <row r="1570" spans="11:16" x14ac:dyDescent="0.3">
      <c r="K1570" s="14" t="s">
        <v>105</v>
      </c>
      <c r="L1570">
        <v>210.5</v>
      </c>
      <c r="M1570">
        <v>112.0877</v>
      </c>
      <c r="N1570">
        <v>100.1</v>
      </c>
      <c r="O1570">
        <v>275.08</v>
      </c>
      <c r="P1570" s="13">
        <v>1.2673175076341401</v>
      </c>
    </row>
    <row r="1571" spans="11:16" x14ac:dyDescent="0.3">
      <c r="K1571" s="14" t="s">
        <v>105</v>
      </c>
      <c r="L1571">
        <v>203.13</v>
      </c>
      <c r="M1571">
        <v>84.346100000000007</v>
      </c>
      <c r="N1571">
        <v>220</v>
      </c>
      <c r="O1571">
        <v>271.89</v>
      </c>
      <c r="P1571" s="13">
        <v>1.26770421861782</v>
      </c>
    </row>
    <row r="1572" spans="11:16" x14ac:dyDescent="0.3">
      <c r="K1572" s="14" t="s">
        <v>105</v>
      </c>
      <c r="L1572">
        <v>203.13</v>
      </c>
      <c r="M1572">
        <v>78.667500000000004</v>
      </c>
      <c r="N1572">
        <v>300.01</v>
      </c>
      <c r="O1572">
        <v>283.7</v>
      </c>
      <c r="P1572" s="13">
        <v>1.2682414522382801</v>
      </c>
    </row>
    <row r="1573" spans="11:16" x14ac:dyDescent="0.3">
      <c r="K1573" s="14" t="s">
        <v>105</v>
      </c>
      <c r="L1573">
        <v>203.13</v>
      </c>
      <c r="M1573">
        <v>84.346100000000007</v>
      </c>
      <c r="N1573">
        <v>300.01</v>
      </c>
      <c r="O1573">
        <v>288.07</v>
      </c>
      <c r="P1573" s="13">
        <v>1.26871489568508</v>
      </c>
    </row>
    <row r="1574" spans="11:16" x14ac:dyDescent="0.3">
      <c r="K1574" s="14" t="s">
        <v>105</v>
      </c>
      <c r="L1574">
        <v>157.99</v>
      </c>
      <c r="M1574">
        <v>124.89149999999999</v>
      </c>
      <c r="N1574">
        <v>280.01</v>
      </c>
      <c r="O1574">
        <v>280.27</v>
      </c>
      <c r="P1574" s="13">
        <v>1.2690766047026101</v>
      </c>
    </row>
    <row r="1575" spans="11:16" x14ac:dyDescent="0.3">
      <c r="K1575" s="14" t="s">
        <v>105</v>
      </c>
      <c r="L1575">
        <v>203.13</v>
      </c>
      <c r="M1575">
        <v>88.541700000000006</v>
      </c>
      <c r="N1575">
        <v>210</v>
      </c>
      <c r="O1575">
        <v>272.74</v>
      </c>
      <c r="P1575" s="13">
        <v>1.2696036518295799</v>
      </c>
    </row>
    <row r="1576" spans="11:16" x14ac:dyDescent="0.3">
      <c r="K1576" s="14" t="s">
        <v>105</v>
      </c>
      <c r="L1576">
        <v>210.5</v>
      </c>
      <c r="M1576">
        <v>78.558999999999997</v>
      </c>
      <c r="N1576">
        <v>220</v>
      </c>
      <c r="O1576">
        <v>272.5</v>
      </c>
      <c r="P1576" s="13">
        <v>1.2706752293578001</v>
      </c>
    </row>
    <row r="1577" spans="11:16" x14ac:dyDescent="0.3">
      <c r="K1577" s="14" t="s">
        <v>105</v>
      </c>
      <c r="L1577">
        <v>150.61000000000001</v>
      </c>
      <c r="M1577">
        <v>121.8533</v>
      </c>
      <c r="N1577">
        <v>280.01</v>
      </c>
      <c r="O1577">
        <v>271.61</v>
      </c>
      <c r="P1577" s="13">
        <v>1.2711825779610499</v>
      </c>
    </row>
    <row r="1578" spans="11:16" x14ac:dyDescent="0.3">
      <c r="K1578" s="14" t="s">
        <v>105</v>
      </c>
      <c r="L1578">
        <v>211.37</v>
      </c>
      <c r="M1578">
        <v>78.016499999999994</v>
      </c>
      <c r="N1578">
        <v>300.01</v>
      </c>
      <c r="O1578">
        <v>288.89999999999998</v>
      </c>
      <c r="P1578" s="13">
        <v>1.27168258913119</v>
      </c>
    </row>
    <row r="1579" spans="11:16" x14ac:dyDescent="0.3">
      <c r="K1579" s="14" t="s">
        <v>105</v>
      </c>
      <c r="L1579">
        <v>203.13</v>
      </c>
      <c r="M1579">
        <v>93.533000000000001</v>
      </c>
      <c r="N1579">
        <v>200</v>
      </c>
      <c r="O1579">
        <v>273.66000000000003</v>
      </c>
      <c r="P1579" s="13">
        <v>1.27407366805525</v>
      </c>
    </row>
    <row r="1580" spans="11:16" x14ac:dyDescent="0.3">
      <c r="K1580" s="14" t="s">
        <v>105</v>
      </c>
      <c r="L1580">
        <v>149.74</v>
      </c>
      <c r="M1580">
        <v>115.9939</v>
      </c>
      <c r="N1580">
        <v>350.01</v>
      </c>
      <c r="O1580">
        <v>279.98</v>
      </c>
      <c r="P1580" s="13">
        <v>1.27414993928138</v>
      </c>
    </row>
    <row r="1581" spans="11:16" x14ac:dyDescent="0.3">
      <c r="K1581" s="14" t="s">
        <v>105</v>
      </c>
      <c r="L1581">
        <v>203.13</v>
      </c>
      <c r="M1581">
        <v>79.644099999999995</v>
      </c>
      <c r="N1581">
        <v>330.01</v>
      </c>
      <c r="O1581">
        <v>289.2</v>
      </c>
      <c r="P1581" s="13">
        <v>1.27446991701245</v>
      </c>
    </row>
    <row r="1582" spans="11:16" x14ac:dyDescent="0.3">
      <c r="K1582" s="14" t="s">
        <v>105</v>
      </c>
      <c r="L1582">
        <v>195.75</v>
      </c>
      <c r="M1582">
        <v>81.163200000000003</v>
      </c>
      <c r="N1582">
        <v>330.01</v>
      </c>
      <c r="O1582">
        <v>284.39999999999998</v>
      </c>
      <c r="P1582" s="13">
        <v>1.2753720112517599</v>
      </c>
    </row>
    <row r="1583" spans="11:16" x14ac:dyDescent="0.3">
      <c r="K1583" s="14" t="s">
        <v>105</v>
      </c>
      <c r="L1583">
        <v>203.13</v>
      </c>
      <c r="M1583">
        <v>89.518199999999993</v>
      </c>
      <c r="N1583">
        <v>150.1</v>
      </c>
      <c r="O1583">
        <v>260</v>
      </c>
      <c r="P1583" s="13">
        <v>1.2756700000000001</v>
      </c>
    </row>
    <row r="1584" spans="11:16" x14ac:dyDescent="0.3">
      <c r="K1584" s="14" t="s">
        <v>105</v>
      </c>
      <c r="L1584">
        <v>203.13</v>
      </c>
      <c r="M1584">
        <v>90.928799999999995</v>
      </c>
      <c r="N1584">
        <v>260.01</v>
      </c>
      <c r="O1584">
        <v>283.44</v>
      </c>
      <c r="P1584" s="13">
        <v>1.2759716342083001</v>
      </c>
    </row>
    <row r="1585" spans="11:16" x14ac:dyDescent="0.3">
      <c r="K1585" s="14" t="s">
        <v>105</v>
      </c>
      <c r="L1585">
        <v>210.5</v>
      </c>
      <c r="M1585">
        <v>100.3689</v>
      </c>
      <c r="N1585">
        <v>170</v>
      </c>
      <c r="O1585">
        <v>278.23</v>
      </c>
      <c r="P1585" s="13">
        <v>1.2761704345325799</v>
      </c>
    </row>
    <row r="1586" spans="11:16" x14ac:dyDescent="0.3">
      <c r="K1586" s="14" t="s">
        <v>105</v>
      </c>
      <c r="L1586">
        <v>203.13</v>
      </c>
      <c r="M1586">
        <v>111.2196</v>
      </c>
      <c r="N1586">
        <v>140.1</v>
      </c>
      <c r="O1586">
        <v>274.77</v>
      </c>
      <c r="P1586" s="13">
        <v>1.27661535102085</v>
      </c>
    </row>
    <row r="1587" spans="11:16" x14ac:dyDescent="0.3">
      <c r="K1587" s="14" t="s">
        <v>105</v>
      </c>
      <c r="L1587">
        <v>203.13</v>
      </c>
      <c r="M1587">
        <v>109.26649999999999</v>
      </c>
      <c r="N1587">
        <v>166</v>
      </c>
      <c r="O1587">
        <v>278.51</v>
      </c>
      <c r="P1587" s="13">
        <v>1.2766381817529</v>
      </c>
    </row>
    <row r="1588" spans="11:16" x14ac:dyDescent="0.3">
      <c r="K1588" s="14" t="s">
        <v>105</v>
      </c>
      <c r="L1588">
        <v>210.94</v>
      </c>
      <c r="M1588">
        <v>89.518199999999993</v>
      </c>
      <c r="N1588">
        <v>233.81</v>
      </c>
      <c r="O1588">
        <v>282.89</v>
      </c>
      <c r="P1588" s="13">
        <v>1.2769938845487601</v>
      </c>
    </row>
    <row r="1589" spans="11:16" x14ac:dyDescent="0.3">
      <c r="K1589" s="14" t="s">
        <v>105</v>
      </c>
      <c r="L1589">
        <v>150.61000000000001</v>
      </c>
      <c r="M1589">
        <v>123.9149</v>
      </c>
      <c r="N1589">
        <v>320.01</v>
      </c>
      <c r="O1589">
        <v>279.95999999999998</v>
      </c>
      <c r="P1589" s="13">
        <v>1.27778075439348</v>
      </c>
    </row>
    <row r="1590" spans="11:16" x14ac:dyDescent="0.3">
      <c r="K1590" s="14" t="s">
        <v>105</v>
      </c>
      <c r="L1590">
        <v>202.26</v>
      </c>
      <c r="M1590">
        <v>106.2283</v>
      </c>
      <c r="N1590">
        <v>200</v>
      </c>
      <c r="O1590">
        <v>281.97000000000003</v>
      </c>
      <c r="P1590" s="13">
        <v>1.2784633116998301</v>
      </c>
    </row>
    <row r="1591" spans="11:16" x14ac:dyDescent="0.3">
      <c r="K1591" s="14" t="s">
        <v>105</v>
      </c>
      <c r="L1591">
        <v>203.13</v>
      </c>
      <c r="M1591">
        <v>76.931399999999996</v>
      </c>
      <c r="N1591">
        <v>300.01</v>
      </c>
      <c r="O1591">
        <v>279.95999999999998</v>
      </c>
      <c r="P1591" s="13">
        <v>1.27898271181597</v>
      </c>
    </row>
    <row r="1592" spans="11:16" x14ac:dyDescent="0.3">
      <c r="K1592" s="14" t="s">
        <v>105</v>
      </c>
      <c r="L1592">
        <v>202.69</v>
      </c>
      <c r="M1592">
        <v>81.452500000000001</v>
      </c>
      <c r="N1592">
        <v>260.01</v>
      </c>
      <c r="O1592">
        <v>274.79000000000002</v>
      </c>
      <c r="P1592" s="13">
        <v>1.2800505840823899</v>
      </c>
    </row>
    <row r="1593" spans="11:16" x14ac:dyDescent="0.3">
      <c r="K1593" s="14" t="s">
        <v>105</v>
      </c>
      <c r="L1593">
        <v>210.94</v>
      </c>
      <c r="M1593">
        <v>84.635400000000004</v>
      </c>
      <c r="N1593">
        <v>264.5</v>
      </c>
      <c r="O1593">
        <v>284.57</v>
      </c>
      <c r="P1593" s="13">
        <v>1.2803366482763501</v>
      </c>
    </row>
    <row r="1594" spans="11:16" x14ac:dyDescent="0.3">
      <c r="K1594" s="14" t="s">
        <v>105</v>
      </c>
      <c r="L1594">
        <v>150.61000000000001</v>
      </c>
      <c r="M1594">
        <v>120.8767</v>
      </c>
      <c r="N1594">
        <v>360.01</v>
      </c>
      <c r="O1594">
        <v>285.14999999999998</v>
      </c>
      <c r="P1594" s="13">
        <v>1.28034122391724</v>
      </c>
    </row>
    <row r="1595" spans="11:16" x14ac:dyDescent="0.3">
      <c r="K1595" s="14" t="s">
        <v>105</v>
      </c>
      <c r="L1595">
        <v>203.13</v>
      </c>
      <c r="M1595">
        <v>115.9939</v>
      </c>
      <c r="N1595">
        <v>150.1</v>
      </c>
      <c r="O1595">
        <v>279.73</v>
      </c>
      <c r="P1595" s="13">
        <v>1.2803414006363301</v>
      </c>
    </row>
    <row r="1596" spans="11:16" x14ac:dyDescent="0.3">
      <c r="K1596" s="14" t="s">
        <v>105</v>
      </c>
      <c r="L1596">
        <v>203.13</v>
      </c>
      <c r="M1596">
        <v>113.1728</v>
      </c>
      <c r="N1596">
        <v>200</v>
      </c>
      <c r="O1596">
        <v>287.18</v>
      </c>
      <c r="P1596" s="13">
        <v>1.2824806741416499</v>
      </c>
    </row>
    <row r="1597" spans="11:16" x14ac:dyDescent="0.3">
      <c r="K1597" s="14" t="s">
        <v>105</v>
      </c>
      <c r="L1597">
        <v>210.5</v>
      </c>
      <c r="M1597">
        <v>83.658900000000003</v>
      </c>
      <c r="N1597">
        <v>300.01</v>
      </c>
      <c r="O1597">
        <v>290.02999999999997</v>
      </c>
      <c r="P1597" s="13">
        <v>1.28318277419577</v>
      </c>
    </row>
    <row r="1598" spans="11:16" x14ac:dyDescent="0.3">
      <c r="K1598" s="14" t="s">
        <v>105</v>
      </c>
      <c r="L1598">
        <v>203.13</v>
      </c>
      <c r="M1598">
        <v>108.2899</v>
      </c>
      <c r="N1598">
        <v>250.01</v>
      </c>
      <c r="O1598">
        <v>293.22000000000003</v>
      </c>
      <c r="P1598" s="13">
        <v>1.2837545187913499</v>
      </c>
    </row>
    <row r="1599" spans="11:16" x14ac:dyDescent="0.3">
      <c r="K1599" s="14" t="s">
        <v>105</v>
      </c>
      <c r="L1599">
        <v>203.13</v>
      </c>
      <c r="M1599">
        <v>115.1259</v>
      </c>
      <c r="N1599">
        <v>200</v>
      </c>
      <c r="O1599">
        <v>288.32</v>
      </c>
      <c r="P1599" s="13">
        <v>1.2841838928967799</v>
      </c>
    </row>
    <row r="1600" spans="11:16" x14ac:dyDescent="0.3">
      <c r="K1600" s="14" t="s">
        <v>105</v>
      </c>
      <c r="L1600">
        <v>203.13</v>
      </c>
      <c r="M1600">
        <v>103.73260000000001</v>
      </c>
      <c r="N1600">
        <v>200</v>
      </c>
      <c r="O1600">
        <v>279.39999999999998</v>
      </c>
      <c r="P1600" s="13">
        <v>1.2844044380816</v>
      </c>
    </row>
    <row r="1601" spans="11:16" x14ac:dyDescent="0.3">
      <c r="K1601" s="14" t="s">
        <v>105</v>
      </c>
      <c r="L1601">
        <v>203.13</v>
      </c>
      <c r="M1601">
        <v>90.494799999999998</v>
      </c>
      <c r="N1601">
        <v>240.01</v>
      </c>
      <c r="O1601">
        <v>277.18</v>
      </c>
      <c r="P1601" s="13">
        <v>1.2844628039541099</v>
      </c>
    </row>
    <row r="1602" spans="11:16" x14ac:dyDescent="0.3">
      <c r="K1602" s="14" t="s">
        <v>105</v>
      </c>
      <c r="L1602">
        <v>210.5</v>
      </c>
      <c r="M1602">
        <v>92.230900000000005</v>
      </c>
      <c r="N1602">
        <v>240.01</v>
      </c>
      <c r="O1602">
        <v>284.02999999999997</v>
      </c>
      <c r="P1602" s="13">
        <v>1.28554554096398</v>
      </c>
    </row>
    <row r="1603" spans="11:16" x14ac:dyDescent="0.3">
      <c r="K1603" s="14" t="s">
        <v>105</v>
      </c>
      <c r="L1603">
        <v>203.13</v>
      </c>
      <c r="M1603">
        <v>82.682299999999998</v>
      </c>
      <c r="N1603">
        <v>320.51</v>
      </c>
      <c r="O1603">
        <v>287.13</v>
      </c>
      <c r="P1603" s="13">
        <v>1.2856368195590799</v>
      </c>
    </row>
    <row r="1604" spans="11:16" x14ac:dyDescent="0.3">
      <c r="K1604" s="14" t="s">
        <v>105</v>
      </c>
      <c r="L1604">
        <v>203.13</v>
      </c>
      <c r="M1604">
        <v>136.9358</v>
      </c>
      <c r="N1604">
        <v>100.1</v>
      </c>
      <c r="O1604">
        <v>284.62</v>
      </c>
      <c r="P1604" s="13">
        <v>1.28624762841684</v>
      </c>
    </row>
    <row r="1605" spans="11:16" x14ac:dyDescent="0.3">
      <c r="K1605" s="14" t="s">
        <v>105</v>
      </c>
      <c r="L1605">
        <v>210.5</v>
      </c>
      <c r="M1605">
        <v>76.822900000000004</v>
      </c>
      <c r="N1605">
        <v>270.01</v>
      </c>
      <c r="O1605">
        <v>277.92</v>
      </c>
      <c r="P1605" s="13">
        <v>1.2864331462291301</v>
      </c>
    </row>
    <row r="1606" spans="11:16" x14ac:dyDescent="0.3">
      <c r="K1606" s="14" t="s">
        <v>105</v>
      </c>
      <c r="L1606">
        <v>210.5</v>
      </c>
      <c r="M1606">
        <v>108.0729</v>
      </c>
      <c r="N1606">
        <v>140.1</v>
      </c>
      <c r="O1606">
        <v>275.93</v>
      </c>
      <c r="P1606" s="13">
        <v>1.28655419852861</v>
      </c>
    </row>
    <row r="1607" spans="11:16" x14ac:dyDescent="0.3">
      <c r="K1607" s="14" t="s">
        <v>105</v>
      </c>
      <c r="L1607">
        <v>210.5</v>
      </c>
      <c r="M1607">
        <v>90.277799999999999</v>
      </c>
      <c r="N1607">
        <v>280.01</v>
      </c>
      <c r="O1607">
        <v>290.35000000000002</v>
      </c>
      <c r="P1607" s="13">
        <v>1.28665541587739</v>
      </c>
    </row>
    <row r="1608" spans="11:16" x14ac:dyDescent="0.3">
      <c r="K1608" s="14" t="s">
        <v>105</v>
      </c>
      <c r="L1608">
        <v>195.75</v>
      </c>
      <c r="M1608">
        <v>91.507499999999993</v>
      </c>
      <c r="N1608">
        <v>250.01</v>
      </c>
      <c r="O1608">
        <v>273.64</v>
      </c>
      <c r="P1608" s="13">
        <v>1.2873121619646299</v>
      </c>
    </row>
    <row r="1609" spans="11:16" x14ac:dyDescent="0.3">
      <c r="K1609" s="14" t="s">
        <v>105</v>
      </c>
      <c r="L1609">
        <v>195.75</v>
      </c>
      <c r="M1609">
        <v>113.1366</v>
      </c>
      <c r="N1609">
        <v>230</v>
      </c>
      <c r="O1609">
        <v>286.02999999999997</v>
      </c>
      <c r="P1609" s="13">
        <v>1.2889787784498099</v>
      </c>
    </row>
    <row r="1610" spans="11:16" x14ac:dyDescent="0.3">
      <c r="K1610" s="14" t="s">
        <v>105</v>
      </c>
      <c r="L1610">
        <v>203.13</v>
      </c>
      <c r="M1610">
        <v>90.603300000000004</v>
      </c>
      <c r="N1610">
        <v>260.01</v>
      </c>
      <c r="O1610">
        <v>280.24</v>
      </c>
      <c r="P1610" s="13">
        <v>1.2893801741364499</v>
      </c>
    </row>
    <row r="1611" spans="11:16" x14ac:dyDescent="0.3">
      <c r="K1611" s="14" t="s">
        <v>105</v>
      </c>
      <c r="L1611">
        <v>203.13</v>
      </c>
      <c r="M1611">
        <v>87.456599999999995</v>
      </c>
      <c r="N1611">
        <v>315.01</v>
      </c>
      <c r="O1611">
        <v>288.86</v>
      </c>
      <c r="P1611" s="13">
        <v>1.2895146437720699</v>
      </c>
    </row>
    <row r="1612" spans="11:16" x14ac:dyDescent="0.3">
      <c r="K1612" s="14" t="s">
        <v>105</v>
      </c>
      <c r="L1612">
        <v>203.13</v>
      </c>
      <c r="M1612">
        <v>78.667500000000004</v>
      </c>
      <c r="N1612">
        <v>300.01</v>
      </c>
      <c r="O1612">
        <v>278.8</v>
      </c>
      <c r="P1612" s="13">
        <v>1.29053120516499</v>
      </c>
    </row>
    <row r="1613" spans="11:16" x14ac:dyDescent="0.3">
      <c r="K1613" s="14" t="s">
        <v>105</v>
      </c>
      <c r="L1613">
        <v>203.13</v>
      </c>
      <c r="M1613">
        <v>83.984399999999994</v>
      </c>
      <c r="N1613">
        <v>360.01</v>
      </c>
      <c r="O1613">
        <v>294.93</v>
      </c>
      <c r="P1613" s="13">
        <v>1.29087241040247</v>
      </c>
    </row>
    <row r="1614" spans="11:16" x14ac:dyDescent="0.3">
      <c r="K1614" s="14" t="s">
        <v>105</v>
      </c>
      <c r="L1614">
        <v>203.13</v>
      </c>
      <c r="M1614">
        <v>77.835599999999999</v>
      </c>
      <c r="N1614">
        <v>300.01</v>
      </c>
      <c r="O1614">
        <v>277.62</v>
      </c>
      <c r="P1614" s="13">
        <v>1.29301995533463</v>
      </c>
    </row>
    <row r="1615" spans="11:16" x14ac:dyDescent="0.3">
      <c r="K1615" s="14" t="s">
        <v>105</v>
      </c>
      <c r="L1615">
        <v>202.26</v>
      </c>
      <c r="M1615">
        <v>85.503500000000003</v>
      </c>
      <c r="N1615">
        <v>300.01</v>
      </c>
      <c r="O1615">
        <v>282.86</v>
      </c>
      <c r="P1615" s="13">
        <v>1.29309941313724</v>
      </c>
    </row>
    <row r="1616" spans="11:16" x14ac:dyDescent="0.3">
      <c r="K1616" s="14" t="s">
        <v>105</v>
      </c>
      <c r="L1616">
        <v>203.13</v>
      </c>
      <c r="M1616">
        <v>87.673599999999993</v>
      </c>
      <c r="N1616">
        <v>310.01</v>
      </c>
      <c r="O1616">
        <v>287.08</v>
      </c>
      <c r="P1616" s="13">
        <v>1.2937376341089599</v>
      </c>
    </row>
    <row r="1617" spans="11:16" x14ac:dyDescent="0.3">
      <c r="K1617" s="14" t="s">
        <v>105</v>
      </c>
      <c r="L1617">
        <v>203.13</v>
      </c>
      <c r="M1617">
        <v>109.9537</v>
      </c>
      <c r="N1617">
        <v>200</v>
      </c>
      <c r="O1617">
        <v>281.98</v>
      </c>
      <c r="P1617" s="13">
        <v>1.29471487339528</v>
      </c>
    </row>
    <row r="1618" spans="11:16" x14ac:dyDescent="0.3">
      <c r="K1618" s="14" t="s">
        <v>105</v>
      </c>
      <c r="L1618">
        <v>202.69</v>
      </c>
      <c r="M1618">
        <v>116.1024</v>
      </c>
      <c r="N1618">
        <v>200</v>
      </c>
      <c r="O1618">
        <v>286.32</v>
      </c>
      <c r="P1618" s="13">
        <v>1.29502794076558</v>
      </c>
    </row>
    <row r="1619" spans="11:16" x14ac:dyDescent="0.3">
      <c r="K1619" s="14" t="s">
        <v>105</v>
      </c>
      <c r="L1619">
        <v>203.13</v>
      </c>
      <c r="M1619">
        <v>114.1493</v>
      </c>
      <c r="N1619">
        <v>166</v>
      </c>
      <c r="O1619">
        <v>278.25</v>
      </c>
      <c r="P1619" s="13">
        <v>1.29537933513028</v>
      </c>
    </row>
    <row r="1620" spans="11:16" x14ac:dyDescent="0.3">
      <c r="K1620" s="14" t="s">
        <v>105</v>
      </c>
      <c r="L1620">
        <v>195.75</v>
      </c>
      <c r="M1620">
        <v>111.83450000000001</v>
      </c>
      <c r="N1620">
        <v>220</v>
      </c>
      <c r="O1620">
        <v>281.56</v>
      </c>
      <c r="P1620" s="13">
        <v>1.29558353459298</v>
      </c>
    </row>
    <row r="1621" spans="11:16" x14ac:dyDescent="0.3">
      <c r="K1621" s="14" t="s">
        <v>105</v>
      </c>
      <c r="L1621">
        <v>195.75</v>
      </c>
      <c r="M1621">
        <v>135.85069999999999</v>
      </c>
      <c r="N1621">
        <v>107.5</v>
      </c>
      <c r="O1621">
        <v>277.52</v>
      </c>
      <c r="P1621" s="13">
        <v>1.29558482271548</v>
      </c>
    </row>
    <row r="1622" spans="11:16" x14ac:dyDescent="0.3">
      <c r="K1622" s="14" t="s">
        <v>105</v>
      </c>
      <c r="L1622">
        <v>195.75</v>
      </c>
      <c r="M1622">
        <v>89.084199999999996</v>
      </c>
      <c r="N1622">
        <v>340.01</v>
      </c>
      <c r="O1622">
        <v>288.07</v>
      </c>
      <c r="P1622" s="13">
        <v>1.2956461971048701</v>
      </c>
    </row>
    <row r="1623" spans="11:16" x14ac:dyDescent="0.3">
      <c r="K1623" s="14" t="s">
        <v>105</v>
      </c>
      <c r="L1623">
        <v>203.13</v>
      </c>
      <c r="M1623">
        <v>80.620699999999999</v>
      </c>
      <c r="N1623">
        <v>320.01</v>
      </c>
      <c r="O1623">
        <v>283.12</v>
      </c>
      <c r="P1623" s="13">
        <v>1.2961051850805301</v>
      </c>
    </row>
    <row r="1624" spans="11:16" x14ac:dyDescent="0.3">
      <c r="K1624" s="14" t="s">
        <v>105</v>
      </c>
      <c r="L1624">
        <v>150.61000000000001</v>
      </c>
      <c r="M1624">
        <v>122.82989999999999</v>
      </c>
      <c r="N1624">
        <v>370.01</v>
      </c>
      <c r="O1624">
        <v>285.13</v>
      </c>
      <c r="P1624" s="13">
        <v>1.2963998877704901</v>
      </c>
    </row>
    <row r="1625" spans="11:16" x14ac:dyDescent="0.3">
      <c r="K1625" s="14" t="s">
        <v>105</v>
      </c>
      <c r="L1625">
        <v>210.5</v>
      </c>
      <c r="M1625">
        <v>93.533000000000001</v>
      </c>
      <c r="N1625">
        <v>270.01</v>
      </c>
      <c r="O1625">
        <v>288.58999999999997</v>
      </c>
      <c r="P1625" s="13">
        <v>1.2967725839426201</v>
      </c>
    </row>
    <row r="1626" spans="11:16" x14ac:dyDescent="0.3">
      <c r="K1626" s="14" t="s">
        <v>105</v>
      </c>
      <c r="L1626">
        <v>203.13</v>
      </c>
      <c r="M1626">
        <v>80.620699999999999</v>
      </c>
      <c r="N1626">
        <v>320.01</v>
      </c>
      <c r="O1626">
        <v>282.83999999999997</v>
      </c>
      <c r="P1626" s="13">
        <v>1.29738827605713</v>
      </c>
    </row>
    <row r="1627" spans="11:16" x14ac:dyDescent="0.3">
      <c r="K1627" s="14" t="s">
        <v>105</v>
      </c>
      <c r="L1627">
        <v>210.5</v>
      </c>
      <c r="M1627">
        <v>77.691000000000003</v>
      </c>
      <c r="N1627">
        <v>357.91</v>
      </c>
      <c r="O1627">
        <v>293.82</v>
      </c>
      <c r="P1627" s="13">
        <v>1.2975549656252101</v>
      </c>
    </row>
    <row r="1628" spans="11:16" x14ac:dyDescent="0.3">
      <c r="K1628" s="14" t="s">
        <v>105</v>
      </c>
      <c r="L1628">
        <v>210.5</v>
      </c>
      <c r="M1628">
        <v>115.01739999999999</v>
      </c>
      <c r="N1628">
        <v>200</v>
      </c>
      <c r="O1628">
        <v>290.61</v>
      </c>
      <c r="P1628" s="13">
        <v>1.2990516499776299</v>
      </c>
    </row>
    <row r="1629" spans="11:16" x14ac:dyDescent="0.3">
      <c r="K1629" s="14" t="s">
        <v>105</v>
      </c>
      <c r="L1629">
        <v>203.13</v>
      </c>
      <c r="M1629">
        <v>83.658900000000003</v>
      </c>
      <c r="N1629">
        <v>300.01</v>
      </c>
      <c r="O1629">
        <v>280.81</v>
      </c>
      <c r="P1629" s="13">
        <v>1.29906876535736</v>
      </c>
    </row>
    <row r="1630" spans="11:16" x14ac:dyDescent="0.3">
      <c r="K1630" s="14" t="s">
        <v>105</v>
      </c>
      <c r="L1630">
        <v>210.5</v>
      </c>
      <c r="M1630">
        <v>79.752600000000001</v>
      </c>
      <c r="N1630">
        <v>300.01</v>
      </c>
      <c r="O1630">
        <v>283.44</v>
      </c>
      <c r="P1630" s="13">
        <v>1.2992351114874401</v>
      </c>
    </row>
    <row r="1631" spans="11:16" x14ac:dyDescent="0.3">
      <c r="K1631" s="14" t="s">
        <v>105</v>
      </c>
      <c r="L1631">
        <v>202.69</v>
      </c>
      <c r="M1631">
        <v>80.439800000000005</v>
      </c>
      <c r="N1631">
        <v>300.01</v>
      </c>
      <c r="O1631">
        <v>277.95</v>
      </c>
      <c r="P1631" s="13">
        <v>1.2992710919230099</v>
      </c>
    </row>
    <row r="1632" spans="11:16" x14ac:dyDescent="0.3">
      <c r="K1632" s="14" t="s">
        <v>105</v>
      </c>
      <c r="L1632">
        <v>202.69</v>
      </c>
      <c r="M1632">
        <v>117.29600000000001</v>
      </c>
      <c r="N1632">
        <v>200</v>
      </c>
      <c r="O1632">
        <v>286.3</v>
      </c>
      <c r="P1632" s="13">
        <v>1.29928746070555</v>
      </c>
    </row>
    <row r="1633" spans="11:16" x14ac:dyDescent="0.3">
      <c r="K1633" s="14" t="s">
        <v>105</v>
      </c>
      <c r="L1633">
        <v>203.13</v>
      </c>
      <c r="M1633">
        <v>77.799499999999995</v>
      </c>
      <c r="N1633">
        <v>300.01</v>
      </c>
      <c r="O1633">
        <v>276.22000000000003</v>
      </c>
      <c r="P1633" s="13">
        <v>1.2994428354210401</v>
      </c>
    </row>
    <row r="1634" spans="11:16" x14ac:dyDescent="0.3">
      <c r="K1634" s="14" t="s">
        <v>105</v>
      </c>
      <c r="L1634">
        <v>203.13</v>
      </c>
      <c r="M1634">
        <v>149.34030000000001</v>
      </c>
      <c r="N1634">
        <v>100.1</v>
      </c>
      <c r="O1634">
        <v>291.19</v>
      </c>
      <c r="P1634" s="13">
        <v>1.29982588687798</v>
      </c>
    </row>
    <row r="1635" spans="11:16" x14ac:dyDescent="0.3">
      <c r="K1635" s="14" t="s">
        <v>105</v>
      </c>
      <c r="L1635">
        <v>203.13</v>
      </c>
      <c r="M1635">
        <v>76.822900000000004</v>
      </c>
      <c r="N1635">
        <v>320.01</v>
      </c>
      <c r="O1635">
        <v>279.10000000000002</v>
      </c>
      <c r="P1635" s="13">
        <v>1.3011662486564</v>
      </c>
    </row>
    <row r="1636" spans="11:16" x14ac:dyDescent="0.3">
      <c r="K1636" s="14" t="s">
        <v>105</v>
      </c>
      <c r="L1636">
        <v>203.13</v>
      </c>
      <c r="M1636">
        <v>88.324600000000004</v>
      </c>
      <c r="N1636">
        <v>270.01</v>
      </c>
      <c r="O1636">
        <v>277.93</v>
      </c>
      <c r="P1636" s="13">
        <v>1.3012528334472699</v>
      </c>
    </row>
    <row r="1637" spans="11:16" x14ac:dyDescent="0.3">
      <c r="K1637" s="14" t="s">
        <v>105</v>
      </c>
      <c r="L1637">
        <v>203.13</v>
      </c>
      <c r="M1637">
        <v>79.861099999999993</v>
      </c>
      <c r="N1637">
        <v>328.41</v>
      </c>
      <c r="O1637">
        <v>283.04000000000002</v>
      </c>
      <c r="P1637" s="13">
        <v>1.30150402769927</v>
      </c>
    </row>
    <row r="1638" spans="11:16" x14ac:dyDescent="0.3">
      <c r="K1638" s="14" t="s">
        <v>105</v>
      </c>
      <c r="L1638">
        <v>210.5</v>
      </c>
      <c r="M1638">
        <v>87.673599999999993</v>
      </c>
      <c r="N1638">
        <v>280.01</v>
      </c>
      <c r="O1638">
        <v>284.83999999999997</v>
      </c>
      <c r="P1638" s="13">
        <v>1.30240205027384</v>
      </c>
    </row>
    <row r="1639" spans="11:16" x14ac:dyDescent="0.3">
      <c r="K1639" s="14" t="s">
        <v>105</v>
      </c>
      <c r="L1639">
        <v>150.61000000000001</v>
      </c>
      <c r="M1639">
        <v>121.8533</v>
      </c>
      <c r="N1639">
        <v>300.01</v>
      </c>
      <c r="O1639">
        <v>269.05</v>
      </c>
      <c r="P1639" s="13">
        <v>1.30260509199034</v>
      </c>
    </row>
    <row r="1640" spans="11:16" x14ac:dyDescent="0.3">
      <c r="K1640" s="14" t="s">
        <v>105</v>
      </c>
      <c r="L1640">
        <v>203.13</v>
      </c>
      <c r="M1640">
        <v>76.822900000000004</v>
      </c>
      <c r="N1640">
        <v>300.01</v>
      </c>
      <c r="O1640">
        <v>274.79000000000002</v>
      </c>
      <c r="P1640" s="13">
        <v>1.30265111539721</v>
      </c>
    </row>
    <row r="1641" spans="11:16" x14ac:dyDescent="0.3">
      <c r="K1641" s="14" t="s">
        <v>105</v>
      </c>
      <c r="L1641">
        <v>203.13</v>
      </c>
      <c r="M1641">
        <v>79.752600000000001</v>
      </c>
      <c r="N1641">
        <v>380.01</v>
      </c>
      <c r="O1641">
        <v>292.87</v>
      </c>
      <c r="P1641" s="13">
        <v>1.30325810086386</v>
      </c>
    </row>
    <row r="1642" spans="11:16" x14ac:dyDescent="0.3">
      <c r="K1642" s="14" t="s">
        <v>105</v>
      </c>
      <c r="L1642">
        <v>195.75</v>
      </c>
      <c r="M1642">
        <v>126.8085</v>
      </c>
      <c r="N1642">
        <v>200</v>
      </c>
      <c r="O1642">
        <v>287.3</v>
      </c>
      <c r="P1642" s="13">
        <v>1.3037191089453499</v>
      </c>
    </row>
    <row r="1643" spans="11:16" x14ac:dyDescent="0.3">
      <c r="K1643" s="14" t="s">
        <v>105</v>
      </c>
      <c r="L1643">
        <v>202.69</v>
      </c>
      <c r="M1643">
        <v>108.5793</v>
      </c>
      <c r="N1643">
        <v>188</v>
      </c>
      <c r="O1643">
        <v>276.24</v>
      </c>
      <c r="P1643" s="13">
        <v>1.30375506805676</v>
      </c>
    </row>
    <row r="1644" spans="11:16" x14ac:dyDescent="0.3">
      <c r="K1644" s="14" t="s">
        <v>105</v>
      </c>
      <c r="L1644">
        <v>195.75</v>
      </c>
      <c r="M1644">
        <v>122.9384</v>
      </c>
      <c r="N1644">
        <v>222</v>
      </c>
      <c r="O1644">
        <v>288.64999999999998</v>
      </c>
      <c r="P1644" s="13">
        <v>1.3040304867486601</v>
      </c>
    </row>
    <row r="1645" spans="11:16" x14ac:dyDescent="0.3">
      <c r="K1645" s="14" t="s">
        <v>105</v>
      </c>
      <c r="L1645">
        <v>203.13</v>
      </c>
      <c r="M1645">
        <v>136.8272</v>
      </c>
      <c r="N1645">
        <v>133.1</v>
      </c>
      <c r="O1645">
        <v>287.14999999999998</v>
      </c>
      <c r="P1645" s="13">
        <v>1.3044165070520599</v>
      </c>
    </row>
    <row r="1646" spans="11:16" x14ac:dyDescent="0.3">
      <c r="K1646" s="14" t="s">
        <v>105</v>
      </c>
      <c r="L1646">
        <v>202.26</v>
      </c>
      <c r="M1646">
        <v>83.116299999999995</v>
      </c>
      <c r="N1646">
        <v>280.01</v>
      </c>
      <c r="O1646">
        <v>274.47000000000003</v>
      </c>
      <c r="P1646" s="13">
        <v>1.30498378693482</v>
      </c>
    </row>
    <row r="1647" spans="11:16" x14ac:dyDescent="0.3">
      <c r="K1647" s="14" t="s">
        <v>105</v>
      </c>
      <c r="L1647">
        <v>203.13</v>
      </c>
      <c r="M1647">
        <v>99.500900000000001</v>
      </c>
      <c r="N1647">
        <v>265.01</v>
      </c>
      <c r="O1647">
        <v>284.54000000000002</v>
      </c>
      <c r="P1647" s="13">
        <v>1.30573381598369</v>
      </c>
    </row>
    <row r="1648" spans="11:16" x14ac:dyDescent="0.3">
      <c r="K1648" s="14" t="s">
        <v>105</v>
      </c>
      <c r="L1648">
        <v>195.75</v>
      </c>
      <c r="M1648">
        <v>112.4855</v>
      </c>
      <c r="N1648">
        <v>200</v>
      </c>
      <c r="O1648">
        <v>275.8</v>
      </c>
      <c r="P1648" s="13">
        <v>1.30614757070341</v>
      </c>
    </row>
    <row r="1649" spans="11:16" x14ac:dyDescent="0.3">
      <c r="K1649" s="14" t="s">
        <v>105</v>
      </c>
      <c r="L1649">
        <v>203.13</v>
      </c>
      <c r="M1649">
        <v>86.5886</v>
      </c>
      <c r="N1649">
        <v>170</v>
      </c>
      <c r="O1649">
        <v>255.52</v>
      </c>
      <c r="P1649" s="13">
        <v>1.3068198184095201</v>
      </c>
    </row>
    <row r="1650" spans="11:16" x14ac:dyDescent="0.3">
      <c r="K1650" s="14" t="s">
        <v>105</v>
      </c>
      <c r="L1650">
        <v>203.13</v>
      </c>
      <c r="M1650">
        <v>79.644099999999995</v>
      </c>
      <c r="N1650">
        <v>330.01</v>
      </c>
      <c r="O1650">
        <v>282</v>
      </c>
      <c r="P1650" s="13">
        <v>1.3070095744680801</v>
      </c>
    </row>
    <row r="1651" spans="11:16" x14ac:dyDescent="0.3">
      <c r="K1651" s="14" t="s">
        <v>105</v>
      </c>
      <c r="L1651">
        <v>203.13</v>
      </c>
      <c r="M1651">
        <v>76.714399999999998</v>
      </c>
      <c r="N1651">
        <v>340.01</v>
      </c>
      <c r="O1651">
        <v>281.70999999999998</v>
      </c>
      <c r="P1651" s="13">
        <v>1.30718469347911</v>
      </c>
    </row>
    <row r="1652" spans="11:16" x14ac:dyDescent="0.3">
      <c r="K1652" s="14" t="s">
        <v>105</v>
      </c>
      <c r="L1652">
        <v>202.69</v>
      </c>
      <c r="M1652">
        <v>91.579899999999995</v>
      </c>
      <c r="N1652">
        <v>260.01</v>
      </c>
      <c r="O1652">
        <v>276.77</v>
      </c>
      <c r="P1652" s="13">
        <v>1.3074845539617701</v>
      </c>
    </row>
    <row r="1653" spans="11:16" x14ac:dyDescent="0.3">
      <c r="K1653" s="14" t="s">
        <v>105</v>
      </c>
      <c r="L1653">
        <v>210.5</v>
      </c>
      <c r="M1653">
        <v>95.486099999999993</v>
      </c>
      <c r="N1653">
        <v>240.01</v>
      </c>
      <c r="O1653">
        <v>281.68</v>
      </c>
      <c r="P1653" s="13">
        <v>1.3078269667708</v>
      </c>
    </row>
    <row r="1654" spans="11:16" x14ac:dyDescent="0.3">
      <c r="K1654" s="14" t="s">
        <v>105</v>
      </c>
      <c r="L1654">
        <v>210.5</v>
      </c>
      <c r="M1654">
        <v>81.090900000000005</v>
      </c>
      <c r="N1654">
        <v>300.01</v>
      </c>
      <c r="O1654">
        <v>282.60000000000002</v>
      </c>
      <c r="P1654" s="13">
        <v>1.3078326256192501</v>
      </c>
    </row>
    <row r="1655" spans="11:16" x14ac:dyDescent="0.3">
      <c r="K1655" s="14" t="s">
        <v>105</v>
      </c>
      <c r="L1655">
        <v>210.5</v>
      </c>
      <c r="M1655">
        <v>78.667500000000004</v>
      </c>
      <c r="N1655">
        <v>314.01</v>
      </c>
      <c r="O1655">
        <v>283.41000000000003</v>
      </c>
      <c r="P1655" s="13">
        <v>1.30838749514837</v>
      </c>
    </row>
    <row r="1656" spans="11:16" x14ac:dyDescent="0.3">
      <c r="K1656" s="14" t="s">
        <v>105</v>
      </c>
      <c r="L1656">
        <v>211.37</v>
      </c>
      <c r="M1656">
        <v>90.603300000000004</v>
      </c>
      <c r="N1656">
        <v>300.01</v>
      </c>
      <c r="O1656">
        <v>290.37</v>
      </c>
      <c r="P1656" s="13">
        <v>1.3085921410614001</v>
      </c>
    </row>
    <row r="1657" spans="11:16" x14ac:dyDescent="0.3">
      <c r="K1657" s="14" t="s">
        <v>105</v>
      </c>
      <c r="L1657">
        <v>210.94</v>
      </c>
      <c r="M1657">
        <v>92.556399999999996</v>
      </c>
      <c r="N1657">
        <v>270.01</v>
      </c>
      <c r="O1657">
        <v>285.42</v>
      </c>
      <c r="P1657" s="13">
        <v>1.30929507392614</v>
      </c>
    </row>
    <row r="1658" spans="11:16" x14ac:dyDescent="0.3">
      <c r="K1658" s="14" t="s">
        <v>105</v>
      </c>
      <c r="L1658">
        <v>150.61000000000001</v>
      </c>
      <c r="M1658">
        <v>120.8767</v>
      </c>
      <c r="N1658">
        <v>340.01</v>
      </c>
      <c r="O1658">
        <v>274.79000000000002</v>
      </c>
      <c r="P1658" s="13">
        <v>1.3096884893919001</v>
      </c>
    </row>
    <row r="1659" spans="11:16" x14ac:dyDescent="0.3">
      <c r="K1659" s="14" t="s">
        <v>105</v>
      </c>
      <c r="L1659">
        <v>210.5</v>
      </c>
      <c r="M1659">
        <v>81.669600000000003</v>
      </c>
      <c r="N1659">
        <v>320.01</v>
      </c>
      <c r="O1659">
        <v>286.60000000000002</v>
      </c>
      <c r="P1659" s="13">
        <v>1.30974249825541</v>
      </c>
    </row>
    <row r="1660" spans="11:16" x14ac:dyDescent="0.3">
      <c r="K1660" s="14" t="s">
        <v>105</v>
      </c>
      <c r="L1660">
        <v>210.5</v>
      </c>
      <c r="M1660">
        <v>84.526899999999998</v>
      </c>
      <c r="N1660">
        <v>340.21</v>
      </c>
      <c r="O1660">
        <v>292.64</v>
      </c>
      <c r="P1660" s="13">
        <v>1.31042065336249</v>
      </c>
    </row>
    <row r="1661" spans="11:16" x14ac:dyDescent="0.3">
      <c r="K1661" s="14" t="s">
        <v>105</v>
      </c>
      <c r="L1661">
        <v>210.5</v>
      </c>
      <c r="M1661">
        <v>77.799499999999995</v>
      </c>
      <c r="N1661">
        <v>330.01</v>
      </c>
      <c r="O1661">
        <v>285.42</v>
      </c>
      <c r="P1661" s="13">
        <v>1.3107073785999599</v>
      </c>
    </row>
    <row r="1662" spans="11:16" x14ac:dyDescent="0.3">
      <c r="K1662" s="14" t="s">
        <v>105</v>
      </c>
      <c r="L1662">
        <v>203.13</v>
      </c>
      <c r="M1662">
        <v>84.635400000000004</v>
      </c>
      <c r="N1662">
        <v>250.01</v>
      </c>
      <c r="O1662">
        <v>268.73</v>
      </c>
      <c r="P1662" s="13">
        <v>1.3127228072786801</v>
      </c>
    </row>
    <row r="1663" spans="11:16" x14ac:dyDescent="0.3">
      <c r="K1663" s="14" t="s">
        <v>105</v>
      </c>
      <c r="L1663">
        <v>195.31</v>
      </c>
      <c r="M1663">
        <v>135.3443</v>
      </c>
      <c r="N1663">
        <v>160</v>
      </c>
      <c r="O1663">
        <v>283.44</v>
      </c>
      <c r="P1663" s="13">
        <v>1.3133442703923199</v>
      </c>
    </row>
    <row r="1664" spans="11:16" x14ac:dyDescent="0.3">
      <c r="K1664" s="14" t="s">
        <v>105</v>
      </c>
      <c r="L1664">
        <v>203.13</v>
      </c>
      <c r="M1664">
        <v>114.1493</v>
      </c>
      <c r="N1664">
        <v>200</v>
      </c>
      <c r="O1664">
        <v>281.11</v>
      </c>
      <c r="P1664" s="13">
        <v>1.3136469709366401</v>
      </c>
    </row>
    <row r="1665" spans="11:16" x14ac:dyDescent="0.3">
      <c r="K1665" s="14" t="s">
        <v>105</v>
      </c>
      <c r="L1665">
        <v>203.99</v>
      </c>
      <c r="M1665">
        <v>84.526899999999998</v>
      </c>
      <c r="N1665">
        <v>350.01</v>
      </c>
      <c r="O1665">
        <v>288.88</v>
      </c>
      <c r="P1665" s="13">
        <v>1.31376176959291</v>
      </c>
    </row>
    <row r="1666" spans="11:16" x14ac:dyDescent="0.3">
      <c r="K1666" s="14" t="s">
        <v>105</v>
      </c>
      <c r="L1666">
        <v>149.74</v>
      </c>
      <c r="M1666">
        <v>73.893199999999993</v>
      </c>
      <c r="N1666">
        <v>576.02</v>
      </c>
      <c r="O1666">
        <v>283.99</v>
      </c>
      <c r="P1666" s="13">
        <v>1.31482939540125</v>
      </c>
    </row>
    <row r="1667" spans="11:16" x14ac:dyDescent="0.3">
      <c r="K1667" s="14" t="s">
        <v>105</v>
      </c>
      <c r="L1667">
        <v>203.13</v>
      </c>
      <c r="M1667">
        <v>85.720500000000001</v>
      </c>
      <c r="N1667">
        <v>300.01</v>
      </c>
      <c r="O1667">
        <v>278.8</v>
      </c>
      <c r="P1667" s="13">
        <v>1.3158289096126301</v>
      </c>
    </row>
    <row r="1668" spans="11:16" x14ac:dyDescent="0.3">
      <c r="K1668" s="14" t="s">
        <v>105</v>
      </c>
      <c r="L1668">
        <v>195.75</v>
      </c>
      <c r="M1668">
        <v>113.7876</v>
      </c>
      <c r="N1668">
        <v>234.01</v>
      </c>
      <c r="O1668">
        <v>281.41000000000003</v>
      </c>
      <c r="P1668" s="13">
        <v>1.31615862975729</v>
      </c>
    </row>
    <row r="1669" spans="11:16" x14ac:dyDescent="0.3">
      <c r="K1669" s="14" t="s">
        <v>105</v>
      </c>
      <c r="L1669">
        <v>210.5</v>
      </c>
      <c r="M1669">
        <v>73.893199999999993</v>
      </c>
      <c r="N1669">
        <v>360.01</v>
      </c>
      <c r="O1669">
        <v>287.14999999999998</v>
      </c>
      <c r="P1669" s="13">
        <v>1.31637053804632</v>
      </c>
    </row>
    <row r="1670" spans="11:16" x14ac:dyDescent="0.3">
      <c r="K1670" s="14" t="s">
        <v>105</v>
      </c>
      <c r="L1670">
        <v>210.5</v>
      </c>
      <c r="M1670">
        <v>95.377600000000001</v>
      </c>
      <c r="N1670">
        <v>260.01</v>
      </c>
      <c r="O1670">
        <v>283.69</v>
      </c>
      <c r="P1670" s="13">
        <v>1.3165081603158399</v>
      </c>
    </row>
    <row r="1671" spans="11:16" x14ac:dyDescent="0.3">
      <c r="K1671" s="14" t="s">
        <v>105</v>
      </c>
      <c r="L1671">
        <v>195.75</v>
      </c>
      <c r="M1671">
        <v>111.1835</v>
      </c>
      <c r="N1671">
        <v>270.01</v>
      </c>
      <c r="O1671">
        <v>286.12</v>
      </c>
      <c r="P1671" s="13">
        <v>1.3181046414091999</v>
      </c>
    </row>
    <row r="1672" spans="11:16" x14ac:dyDescent="0.3">
      <c r="K1672" s="14" t="s">
        <v>105</v>
      </c>
      <c r="L1672">
        <v>203.13</v>
      </c>
      <c r="M1672">
        <v>108.941</v>
      </c>
      <c r="N1672">
        <v>260.01</v>
      </c>
      <c r="O1672">
        <v>287.76</v>
      </c>
      <c r="P1672" s="13">
        <v>1.31941061996108</v>
      </c>
    </row>
    <row r="1673" spans="11:16" x14ac:dyDescent="0.3">
      <c r="K1673" s="14" t="s">
        <v>105</v>
      </c>
      <c r="L1673">
        <v>150.16999999999999</v>
      </c>
      <c r="M1673">
        <v>104.2752</v>
      </c>
      <c r="N1673">
        <v>460.02</v>
      </c>
      <c r="O1673">
        <v>283.42</v>
      </c>
      <c r="P1673" s="13">
        <v>1.31977418671936</v>
      </c>
    </row>
    <row r="1674" spans="11:16" x14ac:dyDescent="0.3">
      <c r="K1674" s="14" t="s">
        <v>105</v>
      </c>
      <c r="L1674">
        <v>203.13</v>
      </c>
      <c r="M1674">
        <v>102.32210000000001</v>
      </c>
      <c r="N1674">
        <v>280.01</v>
      </c>
      <c r="O1674">
        <v>286.60000000000002</v>
      </c>
      <c r="P1674" s="13">
        <v>1.31980006978367</v>
      </c>
    </row>
    <row r="1675" spans="11:16" x14ac:dyDescent="0.3">
      <c r="K1675" s="14" t="s">
        <v>105</v>
      </c>
      <c r="L1675">
        <v>203.13</v>
      </c>
      <c r="M1675">
        <v>114.511</v>
      </c>
      <c r="N1675">
        <v>280.01</v>
      </c>
      <c r="O1675">
        <v>295.82</v>
      </c>
      <c r="P1675" s="13">
        <v>1.3198688391589499</v>
      </c>
    </row>
    <row r="1676" spans="11:16" x14ac:dyDescent="0.3">
      <c r="K1676" s="14" t="s">
        <v>105</v>
      </c>
      <c r="L1676">
        <v>202.26</v>
      </c>
      <c r="M1676">
        <v>85.828999999999994</v>
      </c>
      <c r="N1676">
        <v>280.01</v>
      </c>
      <c r="O1676">
        <v>273.33</v>
      </c>
      <c r="P1676" s="13">
        <v>1.32035122379541</v>
      </c>
    </row>
    <row r="1677" spans="11:16" x14ac:dyDescent="0.3">
      <c r="K1677" s="14" t="s">
        <v>105</v>
      </c>
      <c r="L1677">
        <v>203.13</v>
      </c>
      <c r="M1677">
        <v>75.737899999999996</v>
      </c>
      <c r="N1677">
        <v>300.01</v>
      </c>
      <c r="O1677">
        <v>270.14999999999998</v>
      </c>
      <c r="P1677" s="13">
        <v>1.3210086988709999</v>
      </c>
    </row>
    <row r="1678" spans="11:16" x14ac:dyDescent="0.3">
      <c r="K1678" s="14" t="s">
        <v>105</v>
      </c>
      <c r="L1678">
        <v>203.13</v>
      </c>
      <c r="M1678">
        <v>114.1493</v>
      </c>
      <c r="N1678">
        <v>222</v>
      </c>
      <c r="O1678">
        <v>283.72000000000003</v>
      </c>
      <c r="P1678" s="13">
        <v>1.32172317778091</v>
      </c>
    </row>
    <row r="1679" spans="11:16" x14ac:dyDescent="0.3">
      <c r="K1679" s="14" t="s">
        <v>105</v>
      </c>
      <c r="L1679">
        <v>210.94</v>
      </c>
      <c r="M1679">
        <v>112.1962</v>
      </c>
      <c r="N1679">
        <v>240.01</v>
      </c>
      <c r="O1679">
        <v>291.45999999999998</v>
      </c>
      <c r="P1679" s="13">
        <v>1.32278460166061</v>
      </c>
    </row>
    <row r="1680" spans="11:16" x14ac:dyDescent="0.3">
      <c r="K1680" s="14" t="s">
        <v>105</v>
      </c>
      <c r="L1680">
        <v>210.94</v>
      </c>
      <c r="M1680">
        <v>77.799499999999995</v>
      </c>
      <c r="N1680">
        <v>300.01</v>
      </c>
      <c r="O1680">
        <v>277.08999999999997</v>
      </c>
      <c r="P1680" s="13">
        <v>1.3235486664982501</v>
      </c>
    </row>
    <row r="1681" spans="11:16" x14ac:dyDescent="0.3">
      <c r="K1681" s="14" t="s">
        <v>105</v>
      </c>
      <c r="L1681">
        <v>202.26</v>
      </c>
      <c r="M1681">
        <v>82.682299999999998</v>
      </c>
      <c r="N1681">
        <v>366.01</v>
      </c>
      <c r="O1681">
        <v>287.13</v>
      </c>
      <c r="P1681" s="13">
        <v>1.3238076829310801</v>
      </c>
    </row>
    <row r="1682" spans="11:16" x14ac:dyDescent="0.3">
      <c r="K1682" s="14" t="s">
        <v>105</v>
      </c>
      <c r="L1682">
        <v>203.13</v>
      </c>
      <c r="M1682">
        <v>124.0235</v>
      </c>
      <c r="N1682">
        <v>200</v>
      </c>
      <c r="O1682">
        <v>286.3</v>
      </c>
      <c r="P1682" s="13">
        <v>1.3243223891023399</v>
      </c>
    </row>
    <row r="1683" spans="11:16" x14ac:dyDescent="0.3">
      <c r="K1683" s="14" t="s">
        <v>105</v>
      </c>
      <c r="L1683">
        <v>203.13</v>
      </c>
      <c r="M1683">
        <v>76.714399999999998</v>
      </c>
      <c r="N1683">
        <v>290.01</v>
      </c>
      <c r="O1683">
        <v>268.17</v>
      </c>
      <c r="P1683" s="13">
        <v>1.32470820748033</v>
      </c>
    </row>
    <row r="1684" spans="11:16" x14ac:dyDescent="0.3">
      <c r="K1684" s="14" t="s">
        <v>105</v>
      </c>
      <c r="L1684">
        <v>202.26</v>
      </c>
      <c r="M1684">
        <v>112.1962</v>
      </c>
      <c r="N1684">
        <v>188</v>
      </c>
      <c r="O1684">
        <v>274.17</v>
      </c>
      <c r="P1684" s="13">
        <v>1.32522230732757</v>
      </c>
    </row>
    <row r="1685" spans="11:16" x14ac:dyDescent="0.3">
      <c r="K1685" s="14" t="s">
        <v>105</v>
      </c>
      <c r="L1685">
        <v>210.5</v>
      </c>
      <c r="M1685">
        <v>82.139799999999994</v>
      </c>
      <c r="N1685">
        <v>320.01</v>
      </c>
      <c r="O1685">
        <v>283.42</v>
      </c>
      <c r="P1685" s="13">
        <v>1.3260969585773801</v>
      </c>
    </row>
    <row r="1686" spans="11:16" x14ac:dyDescent="0.3">
      <c r="K1686" s="14" t="s">
        <v>105</v>
      </c>
      <c r="L1686">
        <v>203.13</v>
      </c>
      <c r="M1686">
        <v>92.158600000000007</v>
      </c>
      <c r="N1686">
        <v>300.01</v>
      </c>
      <c r="O1686">
        <v>281.10000000000002</v>
      </c>
      <c r="P1686" s="13">
        <v>1.3279658484525101</v>
      </c>
    </row>
    <row r="1687" spans="11:16" x14ac:dyDescent="0.3">
      <c r="K1687" s="14" t="s">
        <v>105</v>
      </c>
      <c r="L1687">
        <v>210.5</v>
      </c>
      <c r="M1687">
        <v>132.70400000000001</v>
      </c>
      <c r="N1687">
        <v>150.1</v>
      </c>
      <c r="O1687">
        <v>287.75</v>
      </c>
      <c r="P1687" s="13">
        <v>1.32834057341442</v>
      </c>
    </row>
    <row r="1688" spans="11:16" x14ac:dyDescent="0.3">
      <c r="K1688" s="14" t="s">
        <v>105</v>
      </c>
      <c r="L1688">
        <v>203.13</v>
      </c>
      <c r="M1688">
        <v>79.065399999999997</v>
      </c>
      <c r="N1688">
        <v>360.01</v>
      </c>
      <c r="O1688">
        <v>282.87</v>
      </c>
      <c r="P1688" s="13">
        <v>1.32851840067876</v>
      </c>
    </row>
    <row r="1689" spans="11:16" x14ac:dyDescent="0.3">
      <c r="K1689" s="14" t="s">
        <v>105</v>
      </c>
      <c r="L1689">
        <v>210.5</v>
      </c>
      <c r="M1689">
        <v>87.456599999999995</v>
      </c>
      <c r="N1689">
        <v>280.01</v>
      </c>
      <c r="O1689">
        <v>278.82</v>
      </c>
      <c r="P1689" s="13">
        <v>1.32974392080912</v>
      </c>
    </row>
    <row r="1690" spans="11:16" x14ac:dyDescent="0.3">
      <c r="K1690" s="14" t="s">
        <v>105</v>
      </c>
      <c r="L1690">
        <v>204.43</v>
      </c>
      <c r="M1690">
        <v>84.346100000000007</v>
      </c>
      <c r="N1690">
        <v>340.01</v>
      </c>
      <c r="O1690">
        <v>283.61</v>
      </c>
      <c r="P1690" s="13">
        <v>1.32992031310603</v>
      </c>
    </row>
    <row r="1691" spans="11:16" x14ac:dyDescent="0.3">
      <c r="K1691" s="14" t="s">
        <v>105</v>
      </c>
      <c r="L1691">
        <v>203.13</v>
      </c>
      <c r="M1691">
        <v>77.799499999999995</v>
      </c>
      <c r="N1691">
        <v>300.01</v>
      </c>
      <c r="O1691">
        <v>269.88</v>
      </c>
      <c r="P1691" s="13">
        <v>1.32996924559063</v>
      </c>
    </row>
    <row r="1692" spans="11:16" x14ac:dyDescent="0.3">
      <c r="K1692" s="14" t="s">
        <v>105</v>
      </c>
      <c r="L1692">
        <v>157.99</v>
      </c>
      <c r="M1692">
        <v>104.2752</v>
      </c>
      <c r="N1692">
        <v>410.02</v>
      </c>
      <c r="O1692">
        <v>277.35000000000002</v>
      </c>
      <c r="P1692" s="13">
        <v>1.32998161168199</v>
      </c>
    </row>
    <row r="1693" spans="11:16" x14ac:dyDescent="0.3">
      <c r="K1693" s="14" t="s">
        <v>105</v>
      </c>
      <c r="L1693">
        <v>203.13</v>
      </c>
      <c r="M1693">
        <v>80.620699999999999</v>
      </c>
      <c r="N1693">
        <v>360.01</v>
      </c>
      <c r="O1693">
        <v>283.72000000000003</v>
      </c>
      <c r="P1693" s="13">
        <v>1.3300200902298001</v>
      </c>
    </row>
    <row r="1694" spans="11:16" x14ac:dyDescent="0.3">
      <c r="K1694" s="14" t="s">
        <v>105</v>
      </c>
      <c r="L1694">
        <v>210.5</v>
      </c>
      <c r="M1694">
        <v>89.518199999999993</v>
      </c>
      <c r="N1694">
        <v>280.01</v>
      </c>
      <c r="O1694">
        <v>280.27999999999997</v>
      </c>
      <c r="P1694" s="13">
        <v>1.3301726844584001</v>
      </c>
    </row>
    <row r="1695" spans="11:16" x14ac:dyDescent="0.3">
      <c r="K1695" s="14" t="s">
        <v>105</v>
      </c>
      <c r="L1695">
        <v>195.75</v>
      </c>
      <c r="M1695">
        <v>108.2899</v>
      </c>
      <c r="N1695">
        <v>300.01</v>
      </c>
      <c r="O1695">
        <v>287.14999999999998</v>
      </c>
      <c r="P1695" s="13">
        <v>1.3304631725578999</v>
      </c>
    </row>
    <row r="1696" spans="11:16" x14ac:dyDescent="0.3">
      <c r="K1696" s="14" t="s">
        <v>105</v>
      </c>
      <c r="L1696">
        <v>202.69</v>
      </c>
      <c r="M1696">
        <v>112.0877</v>
      </c>
      <c r="N1696">
        <v>250.01</v>
      </c>
      <c r="O1696">
        <v>285.42</v>
      </c>
      <c r="P1696" s="13">
        <v>1.3306015696167099</v>
      </c>
    </row>
    <row r="1697" spans="11:16" x14ac:dyDescent="0.3">
      <c r="K1697" s="14" t="s">
        <v>105</v>
      </c>
      <c r="L1697">
        <v>210.94</v>
      </c>
      <c r="M1697">
        <v>75.846400000000003</v>
      </c>
      <c r="N1697">
        <v>290.01</v>
      </c>
      <c r="O1697">
        <v>272.16000000000003</v>
      </c>
      <c r="P1697" s="13">
        <v>1.3307943856555</v>
      </c>
    </row>
    <row r="1698" spans="11:16" x14ac:dyDescent="0.3">
      <c r="K1698" s="14" t="s">
        <v>105</v>
      </c>
      <c r="L1698">
        <v>202.69</v>
      </c>
      <c r="M1698">
        <v>73.929400000000001</v>
      </c>
      <c r="N1698">
        <v>300.01</v>
      </c>
      <c r="O1698">
        <v>266.45</v>
      </c>
      <c r="P1698" s="13">
        <v>1.33091386751736</v>
      </c>
    </row>
    <row r="1699" spans="11:16" x14ac:dyDescent="0.3">
      <c r="K1699" s="14" t="s">
        <v>105</v>
      </c>
      <c r="L1699">
        <v>203.13</v>
      </c>
      <c r="M1699">
        <v>125</v>
      </c>
      <c r="N1699">
        <v>230</v>
      </c>
      <c r="O1699">
        <v>291.39</v>
      </c>
      <c r="P1699" s="13">
        <v>1.33130855554412</v>
      </c>
    </row>
    <row r="1700" spans="11:16" x14ac:dyDescent="0.3">
      <c r="K1700" s="14" t="s">
        <v>105</v>
      </c>
      <c r="L1700">
        <v>203.56</v>
      </c>
      <c r="M1700">
        <v>92.158600000000007</v>
      </c>
      <c r="N1700">
        <v>250.01</v>
      </c>
      <c r="O1700">
        <v>270.76</v>
      </c>
      <c r="P1700" s="13">
        <v>1.33225439503619</v>
      </c>
    </row>
    <row r="1701" spans="11:16" x14ac:dyDescent="0.3">
      <c r="K1701" s="14" t="s">
        <v>105</v>
      </c>
      <c r="L1701">
        <v>203.13</v>
      </c>
      <c r="M1701">
        <v>90.603300000000004</v>
      </c>
      <c r="N1701">
        <v>360.01</v>
      </c>
      <c r="O1701">
        <v>290.63</v>
      </c>
      <c r="P1701" s="13">
        <v>1.3327457592127401</v>
      </c>
    </row>
    <row r="1702" spans="11:16" x14ac:dyDescent="0.3">
      <c r="K1702" s="14" t="s">
        <v>105</v>
      </c>
      <c r="L1702">
        <v>203.13</v>
      </c>
      <c r="M1702">
        <v>76.497399999999999</v>
      </c>
      <c r="N1702">
        <v>370.01</v>
      </c>
      <c r="O1702">
        <v>281.99</v>
      </c>
      <c r="P1702" s="13">
        <v>1.3327777580765301</v>
      </c>
    </row>
    <row r="1703" spans="11:16" x14ac:dyDescent="0.3">
      <c r="K1703" s="14" t="s">
        <v>105</v>
      </c>
      <c r="L1703">
        <v>203.13</v>
      </c>
      <c r="M1703">
        <v>75.737899999999996</v>
      </c>
      <c r="N1703">
        <v>360.01</v>
      </c>
      <c r="O1703">
        <v>279.38</v>
      </c>
      <c r="P1703" s="13">
        <v>1.3332038800200401</v>
      </c>
    </row>
    <row r="1704" spans="11:16" x14ac:dyDescent="0.3">
      <c r="K1704" s="14" t="s">
        <v>105</v>
      </c>
      <c r="L1704">
        <v>150.61000000000001</v>
      </c>
      <c r="M1704">
        <v>130.64240000000001</v>
      </c>
      <c r="N1704">
        <v>388.11</v>
      </c>
      <c r="O1704">
        <v>286.58999999999997</v>
      </c>
      <c r="P1704" s="13">
        <v>1.3334763948497901</v>
      </c>
    </row>
    <row r="1705" spans="11:16" x14ac:dyDescent="0.3">
      <c r="K1705" s="14" t="s">
        <v>105</v>
      </c>
      <c r="L1705">
        <v>203.13</v>
      </c>
      <c r="M1705">
        <v>111.11109999999999</v>
      </c>
      <c r="N1705">
        <v>260.01</v>
      </c>
      <c r="O1705">
        <v>286.32</v>
      </c>
      <c r="P1705" s="13">
        <v>1.33362566359318</v>
      </c>
    </row>
    <row r="1706" spans="11:16" x14ac:dyDescent="0.3">
      <c r="K1706" s="14" t="s">
        <v>105</v>
      </c>
      <c r="L1706">
        <v>203.13</v>
      </c>
      <c r="M1706">
        <v>123.9149</v>
      </c>
      <c r="N1706">
        <v>140.1</v>
      </c>
      <c r="O1706">
        <v>272.48</v>
      </c>
      <c r="P1706" s="13">
        <v>1.3339360687022901</v>
      </c>
    </row>
    <row r="1707" spans="11:16" x14ac:dyDescent="0.3">
      <c r="K1707" s="14" t="s">
        <v>105</v>
      </c>
      <c r="L1707">
        <v>210.94</v>
      </c>
      <c r="M1707">
        <v>129.8828</v>
      </c>
      <c r="N1707">
        <v>155</v>
      </c>
      <c r="O1707">
        <v>285.7</v>
      </c>
      <c r="P1707" s="13">
        <v>1.33399649982499</v>
      </c>
    </row>
    <row r="1708" spans="11:16" x14ac:dyDescent="0.3">
      <c r="K1708" s="14" t="s">
        <v>105</v>
      </c>
      <c r="L1708">
        <v>195.31</v>
      </c>
      <c r="M1708">
        <v>106.3368</v>
      </c>
      <c r="N1708">
        <v>260.01</v>
      </c>
      <c r="O1708">
        <v>276.5</v>
      </c>
      <c r="P1708" s="13">
        <v>1.3354408679927701</v>
      </c>
    </row>
    <row r="1709" spans="11:16" x14ac:dyDescent="0.3">
      <c r="K1709" s="14" t="s">
        <v>105</v>
      </c>
      <c r="L1709">
        <v>203.13</v>
      </c>
      <c r="M1709">
        <v>99.7179</v>
      </c>
      <c r="N1709">
        <v>300.01</v>
      </c>
      <c r="O1709">
        <v>285.13</v>
      </c>
      <c r="P1709" s="13">
        <v>1.3357082734191399</v>
      </c>
    </row>
    <row r="1710" spans="11:16" x14ac:dyDescent="0.3">
      <c r="K1710" s="14" t="s">
        <v>105</v>
      </c>
      <c r="L1710">
        <v>211.37</v>
      </c>
      <c r="M1710">
        <v>93.8947</v>
      </c>
      <c r="N1710">
        <v>300.01</v>
      </c>
      <c r="O1710">
        <v>286.89999999999998</v>
      </c>
      <c r="P1710" s="13">
        <v>1.33589159986058</v>
      </c>
    </row>
    <row r="1711" spans="11:16" x14ac:dyDescent="0.3">
      <c r="K1711" s="14" t="s">
        <v>105</v>
      </c>
      <c r="L1711">
        <v>203.13</v>
      </c>
      <c r="M1711">
        <v>90.494799999999998</v>
      </c>
      <c r="N1711">
        <v>200</v>
      </c>
      <c r="O1711">
        <v>258.67</v>
      </c>
      <c r="P1711" s="13">
        <v>1.33616113194418</v>
      </c>
    </row>
    <row r="1712" spans="11:16" x14ac:dyDescent="0.3">
      <c r="K1712" s="14" t="s">
        <v>105</v>
      </c>
      <c r="L1712">
        <v>203.13</v>
      </c>
      <c r="M1712">
        <v>81.090900000000005</v>
      </c>
      <c r="N1712">
        <v>380.01</v>
      </c>
      <c r="O1712">
        <v>286.62</v>
      </c>
      <c r="P1712" s="13">
        <v>1.33634603307515</v>
      </c>
    </row>
    <row r="1713" spans="11:16" x14ac:dyDescent="0.3">
      <c r="K1713" s="14" t="s">
        <v>105</v>
      </c>
      <c r="L1713">
        <v>195.75</v>
      </c>
      <c r="M1713">
        <v>112.4855</v>
      </c>
      <c r="N1713">
        <v>260.01</v>
      </c>
      <c r="O1713">
        <v>281.11</v>
      </c>
      <c r="P1713" s="13">
        <v>1.3369787627619101</v>
      </c>
    </row>
    <row r="1714" spans="11:16" x14ac:dyDescent="0.3">
      <c r="K1714" s="14" t="s">
        <v>105</v>
      </c>
      <c r="L1714">
        <v>203.13</v>
      </c>
      <c r="M1714">
        <v>78.558999999999997</v>
      </c>
      <c r="N1714">
        <v>380.01</v>
      </c>
      <c r="O1714">
        <v>284.58999999999997</v>
      </c>
      <c r="P1714" s="13">
        <v>1.33698162268527</v>
      </c>
    </row>
    <row r="1715" spans="11:16" x14ac:dyDescent="0.3">
      <c r="K1715" s="14" t="s">
        <v>105</v>
      </c>
      <c r="L1715">
        <v>203.13</v>
      </c>
      <c r="M1715">
        <v>86.697100000000006</v>
      </c>
      <c r="N1715">
        <v>359.71</v>
      </c>
      <c r="O1715">
        <v>286.58</v>
      </c>
      <c r="P1715" s="13">
        <v>1.33767778630749</v>
      </c>
    </row>
    <row r="1716" spans="11:16" x14ac:dyDescent="0.3">
      <c r="K1716" s="14" t="s">
        <v>105</v>
      </c>
      <c r="L1716">
        <v>203.13</v>
      </c>
      <c r="M1716">
        <v>112.4855</v>
      </c>
      <c r="N1716">
        <v>222</v>
      </c>
      <c r="O1716">
        <v>279.08999999999997</v>
      </c>
      <c r="P1716" s="13">
        <v>1.3376885592461201</v>
      </c>
    </row>
    <row r="1717" spans="11:16" x14ac:dyDescent="0.3">
      <c r="K1717" s="14" t="s">
        <v>105</v>
      </c>
      <c r="L1717">
        <v>203.13</v>
      </c>
      <c r="M1717">
        <v>79.752600000000001</v>
      </c>
      <c r="N1717">
        <v>400.02</v>
      </c>
      <c r="O1717">
        <v>289.19</v>
      </c>
      <c r="P1717" s="13">
        <v>1.3378325668245801</v>
      </c>
    </row>
    <row r="1718" spans="11:16" x14ac:dyDescent="0.3">
      <c r="K1718" s="14" t="s">
        <v>105</v>
      </c>
      <c r="L1718">
        <v>203.13</v>
      </c>
      <c r="M1718">
        <v>115.01739999999999</v>
      </c>
      <c r="N1718">
        <v>210</v>
      </c>
      <c r="O1718">
        <v>278.57</v>
      </c>
      <c r="P1718" s="13">
        <v>1.3380744516638501</v>
      </c>
    </row>
    <row r="1719" spans="11:16" x14ac:dyDescent="0.3">
      <c r="K1719" s="14" t="s">
        <v>105</v>
      </c>
      <c r="L1719">
        <v>203.13</v>
      </c>
      <c r="M1719">
        <v>78.667500000000004</v>
      </c>
      <c r="N1719">
        <v>360.01</v>
      </c>
      <c r="O1719">
        <v>280.52999999999997</v>
      </c>
      <c r="P1719" s="13">
        <v>1.3381816561508599</v>
      </c>
    </row>
    <row r="1720" spans="11:16" x14ac:dyDescent="0.3">
      <c r="K1720" s="14" t="s">
        <v>105</v>
      </c>
      <c r="L1720">
        <v>203.13</v>
      </c>
      <c r="M1720">
        <v>109.26649999999999</v>
      </c>
      <c r="N1720">
        <v>251.01</v>
      </c>
      <c r="O1720">
        <v>282</v>
      </c>
      <c r="P1720" s="13">
        <v>1.3392166666666701</v>
      </c>
    </row>
    <row r="1721" spans="11:16" x14ac:dyDescent="0.3">
      <c r="K1721" s="14" t="s">
        <v>105</v>
      </c>
      <c r="L1721">
        <v>203.13</v>
      </c>
      <c r="M1721">
        <v>114.511</v>
      </c>
      <c r="N1721">
        <v>277.01</v>
      </c>
      <c r="O1721">
        <v>290.88</v>
      </c>
      <c r="P1721" s="13">
        <v>1.33960258525853</v>
      </c>
    </row>
    <row r="1722" spans="11:16" x14ac:dyDescent="0.3">
      <c r="K1722" s="14" t="s">
        <v>105</v>
      </c>
      <c r="L1722">
        <v>210.5</v>
      </c>
      <c r="M1722">
        <v>86.697100000000006</v>
      </c>
      <c r="N1722">
        <v>360.11</v>
      </c>
      <c r="O1722">
        <v>291.51</v>
      </c>
      <c r="P1722" s="13">
        <v>1.34069397276251</v>
      </c>
    </row>
    <row r="1723" spans="11:16" x14ac:dyDescent="0.3">
      <c r="K1723" s="14" t="s">
        <v>105</v>
      </c>
      <c r="L1723">
        <v>210.07</v>
      </c>
      <c r="M1723">
        <v>111.2196</v>
      </c>
      <c r="N1723">
        <v>220</v>
      </c>
      <c r="O1723">
        <v>282.29000000000002</v>
      </c>
      <c r="P1723" s="13">
        <v>1.34078288285097</v>
      </c>
    </row>
    <row r="1724" spans="11:16" x14ac:dyDescent="0.3">
      <c r="K1724" s="14" t="s">
        <v>105</v>
      </c>
      <c r="L1724">
        <v>203.13</v>
      </c>
      <c r="M1724">
        <v>80.729200000000006</v>
      </c>
      <c r="N1724">
        <v>360.01</v>
      </c>
      <c r="O1724">
        <v>281.42</v>
      </c>
      <c r="P1724" s="13">
        <v>1.34127567337076</v>
      </c>
    </row>
    <row r="1725" spans="11:16" x14ac:dyDescent="0.3">
      <c r="K1725" s="14" t="s">
        <v>105</v>
      </c>
      <c r="L1725">
        <v>203.13</v>
      </c>
      <c r="M1725">
        <v>106.3368</v>
      </c>
      <c r="N1725">
        <v>220</v>
      </c>
      <c r="O1725">
        <v>273.33999999999997</v>
      </c>
      <c r="P1725" s="13">
        <v>1.34143118460525</v>
      </c>
    </row>
    <row r="1726" spans="11:16" x14ac:dyDescent="0.3">
      <c r="K1726" s="14" t="s">
        <v>105</v>
      </c>
      <c r="L1726">
        <v>210.5</v>
      </c>
      <c r="M1726">
        <v>83.658900000000003</v>
      </c>
      <c r="N1726">
        <v>300.01</v>
      </c>
      <c r="O1726">
        <v>277.38</v>
      </c>
      <c r="P1726" s="13">
        <v>1.3417027182926</v>
      </c>
    </row>
    <row r="1727" spans="11:16" x14ac:dyDescent="0.3">
      <c r="K1727" s="14" t="s">
        <v>105</v>
      </c>
      <c r="L1727">
        <v>203.13</v>
      </c>
      <c r="M1727">
        <v>84.743899999999996</v>
      </c>
      <c r="N1727">
        <v>331.71</v>
      </c>
      <c r="O1727">
        <v>278.8</v>
      </c>
      <c r="P1727" s="13">
        <v>1.34188845050215</v>
      </c>
    </row>
    <row r="1728" spans="11:16" x14ac:dyDescent="0.3">
      <c r="K1728" s="14" t="s">
        <v>105</v>
      </c>
      <c r="L1728">
        <v>210.5</v>
      </c>
      <c r="M1728">
        <v>139.1782</v>
      </c>
      <c r="N1728">
        <v>100.1</v>
      </c>
      <c r="O1728">
        <v>279.95999999999998</v>
      </c>
      <c r="P1728" s="13">
        <v>1.34199242748964</v>
      </c>
    </row>
    <row r="1729" spans="11:16" x14ac:dyDescent="0.3">
      <c r="K1729" s="14" t="s">
        <v>105</v>
      </c>
      <c r="L1729">
        <v>195.75</v>
      </c>
      <c r="M1729">
        <v>115.16200000000001</v>
      </c>
      <c r="N1729">
        <v>300.41000000000003</v>
      </c>
      <c r="O1729">
        <v>289.76</v>
      </c>
      <c r="P1729" s="13">
        <v>1.3425545278851501</v>
      </c>
    </row>
    <row r="1730" spans="11:16" x14ac:dyDescent="0.3">
      <c r="K1730" s="14" t="s">
        <v>105</v>
      </c>
      <c r="L1730">
        <v>195.75</v>
      </c>
      <c r="M1730">
        <v>110.13460000000001</v>
      </c>
      <c r="N1730">
        <v>311.01</v>
      </c>
      <c r="O1730">
        <v>288.02999999999997</v>
      </c>
      <c r="P1730" s="13">
        <v>1.34273235426865</v>
      </c>
    </row>
    <row r="1731" spans="11:16" x14ac:dyDescent="0.3">
      <c r="K1731" s="14" t="s">
        <v>105</v>
      </c>
      <c r="L1731">
        <v>209.64</v>
      </c>
      <c r="M1731">
        <v>134.65710000000001</v>
      </c>
      <c r="N1731">
        <v>180</v>
      </c>
      <c r="O1731">
        <v>291.18</v>
      </c>
      <c r="P1731" s="13">
        <v>1.3431454770245199</v>
      </c>
    </row>
    <row r="1732" spans="11:16" x14ac:dyDescent="0.3">
      <c r="K1732" s="14" t="s">
        <v>105</v>
      </c>
      <c r="L1732">
        <v>210.5</v>
      </c>
      <c r="M1732">
        <v>92.447900000000004</v>
      </c>
      <c r="N1732">
        <v>250.01</v>
      </c>
      <c r="O1732">
        <v>273.94</v>
      </c>
      <c r="P1732" s="13">
        <v>1.34317916332044</v>
      </c>
    </row>
    <row r="1733" spans="11:16" x14ac:dyDescent="0.3">
      <c r="K1733" s="14" t="s">
        <v>105</v>
      </c>
      <c r="L1733">
        <v>210.5</v>
      </c>
      <c r="M1733">
        <v>71.831599999999995</v>
      </c>
      <c r="N1733">
        <v>350.01</v>
      </c>
      <c r="O1733">
        <v>277.93</v>
      </c>
      <c r="P1733" s="13">
        <v>1.3432670096787001</v>
      </c>
    </row>
    <row r="1734" spans="11:16" x14ac:dyDescent="0.3">
      <c r="K1734" s="14" t="s">
        <v>105</v>
      </c>
      <c r="L1734">
        <v>210.5</v>
      </c>
      <c r="M1734">
        <v>80.837699999999998</v>
      </c>
      <c r="N1734">
        <v>320.01</v>
      </c>
      <c r="O1734">
        <v>278.56</v>
      </c>
      <c r="P1734" s="13">
        <v>1.34455880241241</v>
      </c>
    </row>
    <row r="1735" spans="11:16" x14ac:dyDescent="0.3">
      <c r="K1735" s="14" t="s">
        <v>105</v>
      </c>
      <c r="L1735">
        <v>203.13</v>
      </c>
      <c r="M1735">
        <v>92.556399999999996</v>
      </c>
      <c r="N1735">
        <v>290.01</v>
      </c>
      <c r="O1735">
        <v>275.94</v>
      </c>
      <c r="P1735" s="13">
        <v>1.3448177139958</v>
      </c>
    </row>
    <row r="1736" spans="11:16" x14ac:dyDescent="0.3">
      <c r="K1736" s="14" t="s">
        <v>105</v>
      </c>
      <c r="L1736">
        <v>203.13</v>
      </c>
      <c r="M1736">
        <v>85.720500000000001</v>
      </c>
      <c r="N1736">
        <v>270.01</v>
      </c>
      <c r="O1736">
        <v>266.98</v>
      </c>
      <c r="P1736" s="13">
        <v>1.3448689040377599</v>
      </c>
    </row>
    <row r="1737" spans="11:16" x14ac:dyDescent="0.3">
      <c r="K1737" s="14" t="s">
        <v>105</v>
      </c>
      <c r="L1737">
        <v>203.13</v>
      </c>
      <c r="M1737">
        <v>112.3409</v>
      </c>
      <c r="N1737">
        <v>210</v>
      </c>
      <c r="O1737">
        <v>275.07</v>
      </c>
      <c r="P1737" s="13">
        <v>1.34536990584215</v>
      </c>
    </row>
    <row r="1738" spans="11:16" x14ac:dyDescent="0.3">
      <c r="K1738" s="14" t="s">
        <v>105</v>
      </c>
      <c r="L1738">
        <v>203.13</v>
      </c>
      <c r="M1738">
        <v>115.16200000000001</v>
      </c>
      <c r="N1738">
        <v>220</v>
      </c>
      <c r="O1738">
        <v>279.08</v>
      </c>
      <c r="P1738" s="13">
        <v>1.3454636663322299</v>
      </c>
    </row>
    <row r="1739" spans="11:16" x14ac:dyDescent="0.3">
      <c r="K1739" s="14" t="s">
        <v>105</v>
      </c>
      <c r="L1739">
        <v>202.69</v>
      </c>
      <c r="M1739">
        <v>122.07040000000001</v>
      </c>
      <c r="N1739">
        <v>220</v>
      </c>
      <c r="O1739">
        <v>283.70999999999998</v>
      </c>
      <c r="P1739" s="13">
        <v>1.3463057347291201</v>
      </c>
    </row>
    <row r="1740" spans="11:16" x14ac:dyDescent="0.3">
      <c r="K1740" s="14" t="s">
        <v>105</v>
      </c>
      <c r="L1740">
        <v>203.13</v>
      </c>
      <c r="M1740">
        <v>112.4855</v>
      </c>
      <c r="N1740">
        <v>180</v>
      </c>
      <c r="O1740">
        <v>269.02999999999997</v>
      </c>
      <c r="P1740" s="13">
        <v>1.3471192803776499</v>
      </c>
    </row>
    <row r="1741" spans="11:16" x14ac:dyDescent="0.3">
      <c r="K1741" s="14" t="s">
        <v>105</v>
      </c>
      <c r="L1741">
        <v>203.13</v>
      </c>
      <c r="M1741">
        <v>116.1024</v>
      </c>
      <c r="N1741">
        <v>282.60000000000002</v>
      </c>
      <c r="O1741">
        <v>291.47000000000003</v>
      </c>
      <c r="P1741" s="13">
        <v>1.3473372902871601</v>
      </c>
    </row>
    <row r="1742" spans="11:16" x14ac:dyDescent="0.3">
      <c r="K1742" s="14" t="s">
        <v>105</v>
      </c>
      <c r="L1742">
        <v>203.13</v>
      </c>
      <c r="M1742">
        <v>80.620699999999999</v>
      </c>
      <c r="N1742">
        <v>360.11</v>
      </c>
      <c r="O1742">
        <v>279.99</v>
      </c>
      <c r="P1742" s="13">
        <v>1.34783135111968</v>
      </c>
    </row>
    <row r="1743" spans="11:16" x14ac:dyDescent="0.3">
      <c r="K1743" s="14" t="s">
        <v>105</v>
      </c>
      <c r="L1743">
        <v>203.13</v>
      </c>
      <c r="M1743">
        <v>103.29859999999999</v>
      </c>
      <c r="N1743">
        <v>320.10000000000002</v>
      </c>
      <c r="O1743">
        <v>288.93</v>
      </c>
      <c r="P1743" s="13">
        <v>1.34861246668743</v>
      </c>
    </row>
    <row r="1744" spans="11:16" x14ac:dyDescent="0.3">
      <c r="K1744" s="14" t="s">
        <v>105</v>
      </c>
      <c r="L1744">
        <v>203.56</v>
      </c>
      <c r="M1744">
        <v>89.518199999999993</v>
      </c>
      <c r="N1744">
        <v>330.01</v>
      </c>
      <c r="O1744">
        <v>280.81</v>
      </c>
      <c r="P1744" s="13">
        <v>1.3492425483423001</v>
      </c>
    </row>
    <row r="1745" spans="11:16" x14ac:dyDescent="0.3">
      <c r="K1745" s="14" t="s">
        <v>105</v>
      </c>
      <c r="L1745">
        <v>203.13</v>
      </c>
      <c r="M1745">
        <v>134.76560000000001</v>
      </c>
      <c r="N1745">
        <v>170</v>
      </c>
      <c r="O1745">
        <v>283.19</v>
      </c>
      <c r="P1745" s="13">
        <v>1.3492552703132199</v>
      </c>
    </row>
    <row r="1746" spans="11:16" x14ac:dyDescent="0.3">
      <c r="K1746" s="14" t="s">
        <v>105</v>
      </c>
      <c r="L1746">
        <v>150.61000000000001</v>
      </c>
      <c r="M1746">
        <v>134.98269999999999</v>
      </c>
      <c r="N1746">
        <v>322.01</v>
      </c>
      <c r="O1746">
        <v>273.66000000000003</v>
      </c>
      <c r="P1746" s="13">
        <v>1.3495406709055</v>
      </c>
    </row>
    <row r="1747" spans="11:16" x14ac:dyDescent="0.3">
      <c r="K1747" s="14" t="s">
        <v>105</v>
      </c>
      <c r="L1747">
        <v>203.56</v>
      </c>
      <c r="M1747">
        <v>82.320599999999999</v>
      </c>
      <c r="N1747">
        <v>300.01</v>
      </c>
      <c r="O1747">
        <v>269.62</v>
      </c>
      <c r="P1747" s="13">
        <v>1.3496150137230201</v>
      </c>
    </row>
    <row r="1748" spans="11:16" x14ac:dyDescent="0.3">
      <c r="K1748" s="14" t="s">
        <v>105</v>
      </c>
      <c r="L1748">
        <v>210.5</v>
      </c>
      <c r="M1748">
        <v>82.682299999999998</v>
      </c>
      <c r="N1748">
        <v>300.01</v>
      </c>
      <c r="O1748">
        <v>275.02</v>
      </c>
      <c r="P1748" s="13">
        <v>1.34966511526434</v>
      </c>
    </row>
    <row r="1749" spans="11:16" x14ac:dyDescent="0.3">
      <c r="K1749" s="14" t="s">
        <v>105</v>
      </c>
      <c r="L1749">
        <v>195.75</v>
      </c>
      <c r="M1749">
        <v>116.3918</v>
      </c>
      <c r="N1749">
        <v>280.01</v>
      </c>
      <c r="O1749">
        <v>285.17</v>
      </c>
      <c r="P1749" s="13">
        <v>1.34987691552407</v>
      </c>
    </row>
    <row r="1750" spans="11:16" x14ac:dyDescent="0.3">
      <c r="K1750" s="14" t="s">
        <v>105</v>
      </c>
      <c r="L1750">
        <v>202.69</v>
      </c>
      <c r="M1750">
        <v>115.9939</v>
      </c>
      <c r="N1750">
        <v>200</v>
      </c>
      <c r="O1750">
        <v>274.54000000000002</v>
      </c>
      <c r="P1750" s="13">
        <v>1.35019997086035</v>
      </c>
    </row>
    <row r="1751" spans="11:16" x14ac:dyDescent="0.3">
      <c r="K1751" s="14" t="s">
        <v>105</v>
      </c>
      <c r="L1751">
        <v>203.13</v>
      </c>
      <c r="M1751">
        <v>111.54510000000001</v>
      </c>
      <c r="N1751">
        <v>310.01</v>
      </c>
      <c r="O1751">
        <v>292.62</v>
      </c>
      <c r="P1751" s="13">
        <v>1.3508225685188999</v>
      </c>
    </row>
    <row r="1752" spans="11:16" x14ac:dyDescent="0.3">
      <c r="K1752" s="14" t="s">
        <v>105</v>
      </c>
      <c r="L1752">
        <v>202.69</v>
      </c>
      <c r="M1752">
        <v>94.4011</v>
      </c>
      <c r="N1752">
        <v>300.01</v>
      </c>
      <c r="O1752">
        <v>277.67</v>
      </c>
      <c r="P1752" s="13">
        <v>1.3508614542442501</v>
      </c>
    </row>
    <row r="1753" spans="11:16" x14ac:dyDescent="0.3">
      <c r="K1753" s="14" t="s">
        <v>105</v>
      </c>
      <c r="L1753">
        <v>202.69</v>
      </c>
      <c r="M1753">
        <v>88.541700000000006</v>
      </c>
      <c r="N1753">
        <v>320.01</v>
      </c>
      <c r="O1753">
        <v>276.93</v>
      </c>
      <c r="P1753" s="13">
        <v>1.3520900588596401</v>
      </c>
    </row>
    <row r="1754" spans="11:16" x14ac:dyDescent="0.3">
      <c r="K1754" s="14" t="s">
        <v>105</v>
      </c>
      <c r="L1754">
        <v>203.13</v>
      </c>
      <c r="M1754">
        <v>112.0877</v>
      </c>
      <c r="N1754">
        <v>211</v>
      </c>
      <c r="O1754">
        <v>273.64</v>
      </c>
      <c r="P1754" s="13">
        <v>1.35242544949569</v>
      </c>
    </row>
    <row r="1755" spans="11:16" x14ac:dyDescent="0.3">
      <c r="K1755" s="14" t="s">
        <v>105</v>
      </c>
      <c r="L1755">
        <v>203.13</v>
      </c>
      <c r="M1755">
        <v>86.046000000000006</v>
      </c>
      <c r="N1755">
        <v>320.01</v>
      </c>
      <c r="O1755">
        <v>275.33999999999997</v>
      </c>
      <c r="P1755" s="13">
        <v>1.35243190237525</v>
      </c>
    </row>
    <row r="1756" spans="11:16" x14ac:dyDescent="0.3">
      <c r="K1756" s="14" t="s">
        <v>105</v>
      </c>
      <c r="L1756">
        <v>202.69</v>
      </c>
      <c r="M1756">
        <v>121.20229999999999</v>
      </c>
      <c r="N1756">
        <v>200</v>
      </c>
      <c r="O1756">
        <v>277.69</v>
      </c>
      <c r="P1756" s="13">
        <v>1.3536400302495599</v>
      </c>
    </row>
    <row r="1757" spans="11:16" x14ac:dyDescent="0.3">
      <c r="K1757" s="14" t="s">
        <v>105</v>
      </c>
      <c r="L1757">
        <v>210.5</v>
      </c>
      <c r="M1757">
        <v>89.6267</v>
      </c>
      <c r="N1757">
        <v>260.01</v>
      </c>
      <c r="O1757">
        <v>271.61</v>
      </c>
      <c r="P1757" s="13">
        <v>1.35388719119326</v>
      </c>
    </row>
    <row r="1758" spans="11:16" x14ac:dyDescent="0.3">
      <c r="K1758" s="14" t="s">
        <v>105</v>
      </c>
      <c r="L1758">
        <v>203.13</v>
      </c>
      <c r="M1758">
        <v>108.5069</v>
      </c>
      <c r="N1758">
        <v>240.01</v>
      </c>
      <c r="O1758">
        <v>276.22000000000003</v>
      </c>
      <c r="P1758" s="13">
        <v>1.3541361957859701</v>
      </c>
    </row>
    <row r="1759" spans="11:16" x14ac:dyDescent="0.3">
      <c r="K1759" s="14" t="s">
        <v>105</v>
      </c>
      <c r="L1759">
        <v>202.69</v>
      </c>
      <c r="M1759">
        <v>117.947</v>
      </c>
      <c r="N1759">
        <v>200</v>
      </c>
      <c r="O1759">
        <v>275.08</v>
      </c>
      <c r="P1759" s="13">
        <v>1.3546495564926599</v>
      </c>
    </row>
    <row r="1760" spans="11:16" x14ac:dyDescent="0.3">
      <c r="K1760" s="14" t="s">
        <v>105</v>
      </c>
      <c r="L1760">
        <v>203.13</v>
      </c>
      <c r="M1760">
        <v>132.8125</v>
      </c>
      <c r="N1760">
        <v>200</v>
      </c>
      <c r="O1760">
        <v>286.29000000000002</v>
      </c>
      <c r="P1760" s="13">
        <v>1.3550682874008899</v>
      </c>
    </row>
    <row r="1761" spans="11:16" x14ac:dyDescent="0.3">
      <c r="K1761" s="14" t="s">
        <v>105</v>
      </c>
      <c r="L1761">
        <v>203.13</v>
      </c>
      <c r="M1761">
        <v>94.039400000000001</v>
      </c>
      <c r="N1761">
        <v>270.01</v>
      </c>
      <c r="O1761">
        <v>270.77999999999997</v>
      </c>
      <c r="P1761" s="13">
        <v>1.35671763054879</v>
      </c>
    </row>
    <row r="1762" spans="11:16" x14ac:dyDescent="0.3">
      <c r="K1762" s="14" t="s">
        <v>105</v>
      </c>
      <c r="L1762">
        <v>157.99</v>
      </c>
      <c r="M1762">
        <v>117.1875</v>
      </c>
      <c r="N1762">
        <v>366.01</v>
      </c>
      <c r="O1762">
        <v>272.79000000000002</v>
      </c>
      <c r="P1762" s="13">
        <v>1.3576014516661199</v>
      </c>
    </row>
    <row r="1763" spans="11:16" x14ac:dyDescent="0.3">
      <c r="K1763" s="14" t="s">
        <v>105</v>
      </c>
      <c r="L1763">
        <v>210.5</v>
      </c>
      <c r="M1763">
        <v>84.852400000000003</v>
      </c>
      <c r="N1763">
        <v>310.01</v>
      </c>
      <c r="O1763">
        <v>276.81</v>
      </c>
      <c r="P1763" s="13">
        <v>1.3581698638055</v>
      </c>
    </row>
    <row r="1764" spans="11:16" x14ac:dyDescent="0.3">
      <c r="K1764" s="14" t="s">
        <v>105</v>
      </c>
      <c r="L1764">
        <v>210.94</v>
      </c>
      <c r="M1764">
        <v>95.377600000000001</v>
      </c>
      <c r="N1764">
        <v>286.60000000000002</v>
      </c>
      <c r="O1764">
        <v>280.27999999999997</v>
      </c>
      <c r="P1764" s="13">
        <v>1.35876123876124</v>
      </c>
    </row>
    <row r="1765" spans="11:16" x14ac:dyDescent="0.3">
      <c r="K1765" s="14" t="s">
        <v>105</v>
      </c>
      <c r="L1765">
        <v>210.5</v>
      </c>
      <c r="M1765">
        <v>78.667500000000004</v>
      </c>
      <c r="N1765">
        <v>330.01</v>
      </c>
      <c r="O1765">
        <v>275.95999999999998</v>
      </c>
      <c r="P1765" s="13">
        <v>1.35878424409335</v>
      </c>
    </row>
    <row r="1766" spans="11:16" x14ac:dyDescent="0.3">
      <c r="K1766" s="14" t="s">
        <v>105</v>
      </c>
      <c r="L1766">
        <v>210.5</v>
      </c>
      <c r="M1766">
        <v>107.0964</v>
      </c>
      <c r="N1766">
        <v>280.01</v>
      </c>
      <c r="O1766">
        <v>287.16000000000003</v>
      </c>
      <c r="P1766" s="13">
        <v>1.3595173422482201</v>
      </c>
    </row>
    <row r="1767" spans="11:16" x14ac:dyDescent="0.3">
      <c r="K1767" s="14" t="s">
        <v>105</v>
      </c>
      <c r="L1767">
        <v>210.94</v>
      </c>
      <c r="M1767">
        <v>91.579899999999995</v>
      </c>
      <c r="N1767">
        <v>310.01</v>
      </c>
      <c r="O1767">
        <v>281.67</v>
      </c>
      <c r="P1767" s="13">
        <v>1.36018212802215</v>
      </c>
    </row>
    <row r="1768" spans="11:16" x14ac:dyDescent="0.3">
      <c r="K1768" s="14" t="s">
        <v>105</v>
      </c>
      <c r="L1768">
        <v>203.13</v>
      </c>
      <c r="M1768">
        <v>104.2752</v>
      </c>
      <c r="N1768">
        <v>260.01</v>
      </c>
      <c r="O1768">
        <v>275.64</v>
      </c>
      <c r="P1768" s="13">
        <v>1.3604984762734</v>
      </c>
    </row>
    <row r="1769" spans="11:16" x14ac:dyDescent="0.3">
      <c r="K1769" s="14" t="s">
        <v>105</v>
      </c>
      <c r="L1769">
        <v>210.94</v>
      </c>
      <c r="M1769">
        <v>72.699700000000007</v>
      </c>
      <c r="N1769">
        <v>400.02</v>
      </c>
      <c r="O1769">
        <v>284.85000000000002</v>
      </c>
      <c r="P1769" s="13">
        <v>1.3608737932245001</v>
      </c>
    </row>
    <row r="1770" spans="11:16" x14ac:dyDescent="0.3">
      <c r="K1770" s="14" t="s">
        <v>105</v>
      </c>
      <c r="L1770">
        <v>203.13</v>
      </c>
      <c r="M1770">
        <v>131.43809999999999</v>
      </c>
      <c r="N1770">
        <v>280.01</v>
      </c>
      <c r="O1770">
        <v>299.29000000000002</v>
      </c>
      <c r="P1770" s="13">
        <v>1.3611236593270699</v>
      </c>
    </row>
    <row r="1771" spans="11:16" x14ac:dyDescent="0.3">
      <c r="K1771" s="14" t="s">
        <v>105</v>
      </c>
      <c r="L1771">
        <v>203.13</v>
      </c>
      <c r="M1771">
        <v>104.6007</v>
      </c>
      <c r="N1771">
        <v>255.01</v>
      </c>
      <c r="O1771">
        <v>274.79000000000002</v>
      </c>
      <c r="P1771" s="13">
        <v>1.3611605225808801</v>
      </c>
    </row>
    <row r="1772" spans="11:16" x14ac:dyDescent="0.3">
      <c r="K1772" s="14" t="s">
        <v>105</v>
      </c>
      <c r="L1772">
        <v>202.69</v>
      </c>
      <c r="M1772">
        <v>82.320599999999999</v>
      </c>
      <c r="N1772">
        <v>280.01</v>
      </c>
      <c r="O1772">
        <v>262.43</v>
      </c>
      <c r="P1772" s="13">
        <v>1.36346149449377</v>
      </c>
    </row>
    <row r="1773" spans="11:16" x14ac:dyDescent="0.3">
      <c r="K1773" s="14" t="s">
        <v>105</v>
      </c>
      <c r="L1773">
        <v>203.13</v>
      </c>
      <c r="M1773">
        <v>93.533000000000001</v>
      </c>
      <c r="N1773">
        <v>300.01</v>
      </c>
      <c r="O1773">
        <v>274.79000000000002</v>
      </c>
      <c r="P1773" s="13">
        <v>1.3634615524582401</v>
      </c>
    </row>
    <row r="1774" spans="11:16" x14ac:dyDescent="0.3">
      <c r="K1774" s="14" t="s">
        <v>105</v>
      </c>
      <c r="L1774">
        <v>210.5</v>
      </c>
      <c r="M1774">
        <v>88.541700000000006</v>
      </c>
      <c r="N1774">
        <v>350.01</v>
      </c>
      <c r="O1774">
        <v>286</v>
      </c>
      <c r="P1774" s="13">
        <v>1.3637912587412599</v>
      </c>
    </row>
    <row r="1775" spans="11:16" x14ac:dyDescent="0.3">
      <c r="K1775" s="14" t="s">
        <v>105</v>
      </c>
      <c r="L1775">
        <v>210.5</v>
      </c>
      <c r="M1775">
        <v>74.0017</v>
      </c>
      <c r="N1775">
        <v>401.81</v>
      </c>
      <c r="O1775">
        <v>285.18</v>
      </c>
      <c r="P1775" s="13">
        <v>1.363953643313</v>
      </c>
    </row>
    <row r="1776" spans="11:16" x14ac:dyDescent="0.3">
      <c r="K1776" s="14" t="s">
        <v>105</v>
      </c>
      <c r="L1776">
        <v>195.31</v>
      </c>
      <c r="M1776">
        <v>143.77170000000001</v>
      </c>
      <c r="N1776">
        <v>222</v>
      </c>
      <c r="O1776">
        <v>290.61</v>
      </c>
      <c r="P1776" s="13">
        <v>1.36540965555211</v>
      </c>
    </row>
    <row r="1777" spans="11:16" x14ac:dyDescent="0.3">
      <c r="K1777" s="14" t="s">
        <v>105</v>
      </c>
      <c r="L1777">
        <v>203.13</v>
      </c>
      <c r="M1777">
        <v>131.5104</v>
      </c>
      <c r="N1777">
        <v>200</v>
      </c>
      <c r="O1777">
        <v>283.12</v>
      </c>
      <c r="P1777" s="13">
        <v>1.3656414241311099</v>
      </c>
    </row>
    <row r="1778" spans="11:16" x14ac:dyDescent="0.3">
      <c r="K1778" s="14" t="s">
        <v>105</v>
      </c>
      <c r="L1778">
        <v>202.69</v>
      </c>
      <c r="M1778">
        <v>91.579899999999995</v>
      </c>
      <c r="N1778">
        <v>310.01</v>
      </c>
      <c r="O1778">
        <v>274.48</v>
      </c>
      <c r="P1778" s="13">
        <v>1.36575524628388</v>
      </c>
    </row>
    <row r="1779" spans="11:16" x14ac:dyDescent="0.3">
      <c r="K1779" s="14" t="s">
        <v>105</v>
      </c>
      <c r="L1779">
        <v>203.13</v>
      </c>
      <c r="M1779">
        <v>111.76220000000001</v>
      </c>
      <c r="N1779">
        <v>280.01</v>
      </c>
      <c r="O1779">
        <v>283.74</v>
      </c>
      <c r="P1779" s="13">
        <v>1.36637344047367</v>
      </c>
    </row>
    <row r="1780" spans="11:16" x14ac:dyDescent="0.3">
      <c r="K1780" s="14" t="s">
        <v>105</v>
      </c>
      <c r="L1780">
        <v>210.5</v>
      </c>
      <c r="M1780">
        <v>111.32810000000001</v>
      </c>
      <c r="N1780">
        <v>240.01</v>
      </c>
      <c r="O1780">
        <v>281.10000000000002</v>
      </c>
      <c r="P1780" s="13">
        <v>1.3668826040555</v>
      </c>
    </row>
    <row r="1781" spans="11:16" x14ac:dyDescent="0.3">
      <c r="K1781" s="14" t="s">
        <v>105</v>
      </c>
      <c r="L1781">
        <v>210.94</v>
      </c>
      <c r="M1781">
        <v>74.869799999999998</v>
      </c>
      <c r="N1781">
        <v>350.01</v>
      </c>
      <c r="O1781">
        <v>275.67</v>
      </c>
      <c r="P1781" s="13">
        <v>1.3668966517938099</v>
      </c>
    </row>
    <row r="1782" spans="11:16" x14ac:dyDescent="0.3">
      <c r="K1782" s="14" t="s">
        <v>105</v>
      </c>
      <c r="L1782">
        <v>203.13</v>
      </c>
      <c r="M1782">
        <v>90.603300000000004</v>
      </c>
      <c r="N1782">
        <v>330.01</v>
      </c>
      <c r="O1782">
        <v>277.66000000000003</v>
      </c>
      <c r="P1782" s="13">
        <v>1.36690880933516</v>
      </c>
    </row>
    <row r="1783" spans="11:16" x14ac:dyDescent="0.3">
      <c r="K1783" s="14" t="s">
        <v>105</v>
      </c>
      <c r="L1783">
        <v>203.13</v>
      </c>
      <c r="M1783">
        <v>78.7761</v>
      </c>
      <c r="N1783">
        <v>350.01</v>
      </c>
      <c r="O1783">
        <v>272.74</v>
      </c>
      <c r="P1783" s="13">
        <v>1.3672680941556099</v>
      </c>
    </row>
    <row r="1784" spans="11:16" x14ac:dyDescent="0.3">
      <c r="K1784" s="14" t="s">
        <v>105</v>
      </c>
      <c r="L1784">
        <v>203.13</v>
      </c>
      <c r="M1784">
        <v>75.846400000000003</v>
      </c>
      <c r="N1784">
        <v>350.01</v>
      </c>
      <c r="O1784">
        <v>270.45999999999998</v>
      </c>
      <c r="P1784" s="13">
        <v>1.36796199068254</v>
      </c>
    </row>
    <row r="1785" spans="11:16" x14ac:dyDescent="0.3">
      <c r="K1785" s="14" t="s">
        <v>105</v>
      </c>
      <c r="L1785">
        <v>202.69</v>
      </c>
      <c r="M1785">
        <v>135.74209999999999</v>
      </c>
      <c r="N1785">
        <v>222</v>
      </c>
      <c r="O1785">
        <v>289.49</v>
      </c>
      <c r="P1785" s="13">
        <v>1.36844830564095</v>
      </c>
    </row>
    <row r="1786" spans="11:16" x14ac:dyDescent="0.3">
      <c r="K1786" s="14" t="s">
        <v>105</v>
      </c>
      <c r="L1786">
        <v>203.13</v>
      </c>
      <c r="M1786">
        <v>136.2124</v>
      </c>
      <c r="N1786">
        <v>155</v>
      </c>
      <c r="O1786">
        <v>277.37</v>
      </c>
      <c r="P1786" s="13">
        <v>1.3687219237841199</v>
      </c>
    </row>
    <row r="1787" spans="11:16" x14ac:dyDescent="0.3">
      <c r="K1787" s="14" t="s">
        <v>105</v>
      </c>
      <c r="L1787">
        <v>210.94</v>
      </c>
      <c r="M1787">
        <v>74.761300000000006</v>
      </c>
      <c r="N1787">
        <v>360.01</v>
      </c>
      <c r="O1787">
        <v>277.10000000000002</v>
      </c>
      <c r="P1787" s="13">
        <v>1.36883399494767</v>
      </c>
    </row>
    <row r="1788" spans="11:16" x14ac:dyDescent="0.3">
      <c r="K1788" s="14" t="s">
        <v>105</v>
      </c>
      <c r="L1788">
        <v>203.13</v>
      </c>
      <c r="M1788">
        <v>112.4855</v>
      </c>
      <c r="N1788">
        <v>266.01</v>
      </c>
      <c r="O1788">
        <v>280.52999999999997</v>
      </c>
      <c r="P1788" s="13">
        <v>1.3716112358749499</v>
      </c>
    </row>
    <row r="1789" spans="11:16" x14ac:dyDescent="0.3">
      <c r="K1789" s="14" t="s">
        <v>105</v>
      </c>
      <c r="L1789">
        <v>203.13</v>
      </c>
      <c r="M1789">
        <v>131.72749999999999</v>
      </c>
      <c r="N1789">
        <v>210</v>
      </c>
      <c r="O1789">
        <v>283.70999999999998</v>
      </c>
      <c r="P1789" s="13">
        <v>1.37273095766804</v>
      </c>
    </row>
    <row r="1790" spans="11:16" x14ac:dyDescent="0.3">
      <c r="K1790" s="14" t="s">
        <v>105</v>
      </c>
      <c r="L1790">
        <v>203.13</v>
      </c>
      <c r="M1790">
        <v>133.3912</v>
      </c>
      <c r="N1790">
        <v>170</v>
      </c>
      <c r="O1790">
        <v>277.10000000000002</v>
      </c>
      <c r="P1790" s="13">
        <v>1.3739487549621101</v>
      </c>
    </row>
    <row r="1791" spans="11:16" x14ac:dyDescent="0.3">
      <c r="K1791" s="14" t="s">
        <v>105</v>
      </c>
      <c r="L1791">
        <v>203.13</v>
      </c>
      <c r="M1791">
        <v>117.3322</v>
      </c>
      <c r="N1791">
        <v>238.01</v>
      </c>
      <c r="O1791">
        <v>278.26</v>
      </c>
      <c r="P1791" s="13">
        <v>1.3740559189247501</v>
      </c>
    </row>
    <row r="1792" spans="11:16" x14ac:dyDescent="0.3">
      <c r="K1792" s="14" t="s">
        <v>105</v>
      </c>
      <c r="L1792">
        <v>203.13</v>
      </c>
      <c r="M1792">
        <v>79.752600000000001</v>
      </c>
      <c r="N1792">
        <v>400.02</v>
      </c>
      <c r="O1792">
        <v>281.41000000000003</v>
      </c>
      <c r="P1792" s="13">
        <v>1.37481894744323</v>
      </c>
    </row>
    <row r="1793" spans="11:16" x14ac:dyDescent="0.3">
      <c r="K1793" s="14" t="s">
        <v>105</v>
      </c>
      <c r="L1793">
        <v>203.13</v>
      </c>
      <c r="M1793">
        <v>90.494799999999998</v>
      </c>
      <c r="N1793">
        <v>260.01</v>
      </c>
      <c r="O1793">
        <v>262.70999999999998</v>
      </c>
      <c r="P1793" s="13">
        <v>1.3750043774504199</v>
      </c>
    </row>
    <row r="1794" spans="11:16" x14ac:dyDescent="0.3">
      <c r="K1794" s="14" t="s">
        <v>105</v>
      </c>
      <c r="L1794">
        <v>203.13</v>
      </c>
      <c r="M1794">
        <v>103.9496</v>
      </c>
      <c r="N1794">
        <v>280.01</v>
      </c>
      <c r="O1794">
        <v>276.2</v>
      </c>
      <c r="P1794" s="13">
        <v>1.37538812454743</v>
      </c>
    </row>
    <row r="1795" spans="11:16" x14ac:dyDescent="0.3">
      <c r="K1795" s="14" t="s">
        <v>105</v>
      </c>
      <c r="L1795">
        <v>210.5</v>
      </c>
      <c r="M1795">
        <v>90.603300000000004</v>
      </c>
      <c r="N1795">
        <v>320.01</v>
      </c>
      <c r="O1795">
        <v>279.39999999999998</v>
      </c>
      <c r="P1795" s="13">
        <v>1.37546850393701</v>
      </c>
    </row>
    <row r="1796" spans="11:16" x14ac:dyDescent="0.3">
      <c r="K1796" s="14" t="s">
        <v>105</v>
      </c>
      <c r="L1796">
        <v>203.13</v>
      </c>
      <c r="M1796">
        <v>77.582499999999996</v>
      </c>
      <c r="N1796">
        <v>350.01</v>
      </c>
      <c r="O1796">
        <v>270.18</v>
      </c>
      <c r="P1796" s="13">
        <v>1.37580538899993</v>
      </c>
    </row>
    <row r="1797" spans="11:16" x14ac:dyDescent="0.3">
      <c r="K1797" s="14" t="s">
        <v>105</v>
      </c>
      <c r="L1797">
        <v>150.16999999999999</v>
      </c>
      <c r="M1797">
        <v>104.16670000000001</v>
      </c>
      <c r="N1797">
        <v>536.02</v>
      </c>
      <c r="O1797">
        <v>286.02</v>
      </c>
      <c r="P1797" s="13">
        <v>1.3764838123208201</v>
      </c>
    </row>
    <row r="1798" spans="11:16" x14ac:dyDescent="0.3">
      <c r="K1798" s="14" t="s">
        <v>105</v>
      </c>
      <c r="L1798">
        <v>203.13</v>
      </c>
      <c r="M1798">
        <v>122.1788</v>
      </c>
      <c r="N1798">
        <v>210</v>
      </c>
      <c r="O1798">
        <v>275.97000000000003</v>
      </c>
      <c r="P1798" s="13">
        <v>1.37663079320216</v>
      </c>
    </row>
    <row r="1799" spans="11:16" x14ac:dyDescent="0.3">
      <c r="K1799" s="14" t="s">
        <v>105</v>
      </c>
      <c r="L1799">
        <v>203.13</v>
      </c>
      <c r="M1799">
        <v>94.618099999999998</v>
      </c>
      <c r="N1799">
        <v>330.01</v>
      </c>
      <c r="O1799">
        <v>278.48</v>
      </c>
      <c r="P1799" s="13">
        <v>1.3773007038207401</v>
      </c>
    </row>
    <row r="1800" spans="11:16" x14ac:dyDescent="0.3">
      <c r="K1800" s="14" t="s">
        <v>105</v>
      </c>
      <c r="L1800">
        <v>202.69</v>
      </c>
      <c r="M1800">
        <v>125.9766</v>
      </c>
      <c r="N1800">
        <v>280.01</v>
      </c>
      <c r="O1800">
        <v>291.47000000000003</v>
      </c>
      <c r="P1800" s="13">
        <v>1.37739458606375</v>
      </c>
    </row>
    <row r="1801" spans="11:16" x14ac:dyDescent="0.3">
      <c r="K1801" s="14" t="s">
        <v>105</v>
      </c>
      <c r="L1801">
        <v>203.13</v>
      </c>
      <c r="M1801">
        <v>125.7234</v>
      </c>
      <c r="N1801">
        <v>211</v>
      </c>
      <c r="O1801">
        <v>278.54000000000002</v>
      </c>
      <c r="P1801" s="13">
        <v>1.3775881381489199</v>
      </c>
    </row>
    <row r="1802" spans="11:16" x14ac:dyDescent="0.3">
      <c r="K1802" s="14" t="s">
        <v>105</v>
      </c>
      <c r="L1802">
        <v>195.75</v>
      </c>
      <c r="M1802">
        <v>117.0428</v>
      </c>
      <c r="N1802">
        <v>250.01</v>
      </c>
      <c r="O1802">
        <v>274.20999999999998</v>
      </c>
      <c r="P1802" s="13">
        <v>1.3777593814959299</v>
      </c>
    </row>
    <row r="1803" spans="11:16" x14ac:dyDescent="0.3">
      <c r="K1803" s="14" t="s">
        <v>105</v>
      </c>
      <c r="L1803">
        <v>203.13</v>
      </c>
      <c r="M1803">
        <v>83.007800000000003</v>
      </c>
      <c r="N1803">
        <v>310.01</v>
      </c>
      <c r="O1803">
        <v>266.13</v>
      </c>
      <c r="P1803" s="13">
        <v>1.37804982527336</v>
      </c>
    </row>
    <row r="1804" spans="11:16" x14ac:dyDescent="0.3">
      <c r="K1804" s="14" t="s">
        <v>105</v>
      </c>
      <c r="L1804">
        <v>203.13</v>
      </c>
      <c r="M1804">
        <v>111.11109999999999</v>
      </c>
      <c r="N1804">
        <v>260.01</v>
      </c>
      <c r="O1804">
        <v>277.07</v>
      </c>
      <c r="P1804" s="13">
        <v>1.3781488432526099</v>
      </c>
    </row>
    <row r="1805" spans="11:16" x14ac:dyDescent="0.3">
      <c r="K1805" s="14" t="s">
        <v>105</v>
      </c>
      <c r="L1805">
        <v>150.61000000000001</v>
      </c>
      <c r="M1805">
        <v>122.82989999999999</v>
      </c>
      <c r="N1805">
        <v>500.11</v>
      </c>
      <c r="O1805">
        <v>292.64999999999998</v>
      </c>
      <c r="P1805" s="13">
        <v>1.37867247565351</v>
      </c>
    </row>
    <row r="1806" spans="11:16" x14ac:dyDescent="0.3">
      <c r="K1806" s="14" t="s">
        <v>105</v>
      </c>
      <c r="L1806">
        <v>203.13</v>
      </c>
      <c r="M1806">
        <v>180.2286</v>
      </c>
      <c r="N1806">
        <v>39.4</v>
      </c>
      <c r="O1806">
        <v>285.17</v>
      </c>
      <c r="P1806" s="13">
        <v>1.3802384542553601</v>
      </c>
    </row>
    <row r="1807" spans="11:16" x14ac:dyDescent="0.3">
      <c r="K1807" s="14" t="s">
        <v>105</v>
      </c>
      <c r="L1807">
        <v>210.5</v>
      </c>
      <c r="M1807">
        <v>117.29600000000001</v>
      </c>
      <c r="N1807">
        <v>195.6</v>
      </c>
      <c r="O1807">
        <v>274.22000000000003</v>
      </c>
      <c r="P1807" s="13">
        <v>1.3808329078841799</v>
      </c>
    </row>
    <row r="1808" spans="11:16" x14ac:dyDescent="0.3">
      <c r="K1808" s="14" t="s">
        <v>105</v>
      </c>
      <c r="L1808">
        <v>203.13</v>
      </c>
      <c r="M1808">
        <v>105.14319999999999</v>
      </c>
      <c r="N1808">
        <v>360.01</v>
      </c>
      <c r="O1808">
        <v>290.94</v>
      </c>
      <c r="P1808" s="13">
        <v>1.38130129923696</v>
      </c>
    </row>
    <row r="1809" spans="11:16" x14ac:dyDescent="0.3">
      <c r="K1809" s="14" t="s">
        <v>105</v>
      </c>
      <c r="L1809">
        <v>203.13</v>
      </c>
      <c r="M1809">
        <v>130.85939999999999</v>
      </c>
      <c r="N1809">
        <v>200</v>
      </c>
      <c r="O1809">
        <v>279.43</v>
      </c>
      <c r="P1809" s="13">
        <v>1.38134559639266</v>
      </c>
    </row>
    <row r="1810" spans="11:16" x14ac:dyDescent="0.3">
      <c r="K1810" s="14" t="s">
        <v>105</v>
      </c>
      <c r="L1810">
        <v>210.5</v>
      </c>
      <c r="M1810">
        <v>116.2109</v>
      </c>
      <c r="N1810">
        <v>265.01</v>
      </c>
      <c r="O1810">
        <v>286.31</v>
      </c>
      <c r="P1810" s="13">
        <v>1.3817662673326101</v>
      </c>
    </row>
    <row r="1811" spans="11:16" x14ac:dyDescent="0.3">
      <c r="K1811" s="14" t="s">
        <v>105</v>
      </c>
      <c r="L1811">
        <v>203.13</v>
      </c>
      <c r="M1811">
        <v>84.056700000000006</v>
      </c>
      <c r="N1811">
        <v>280.01</v>
      </c>
      <c r="O1811">
        <v>260.43</v>
      </c>
      <c r="P1811" s="13">
        <v>1.3822881388472901</v>
      </c>
    </row>
    <row r="1812" spans="11:16" x14ac:dyDescent="0.3">
      <c r="K1812" s="14" t="s">
        <v>105</v>
      </c>
      <c r="L1812">
        <v>203.13</v>
      </c>
      <c r="M1812">
        <v>81.597200000000001</v>
      </c>
      <c r="N1812">
        <v>440.02</v>
      </c>
      <c r="O1812">
        <v>288.62</v>
      </c>
      <c r="P1812" s="13">
        <v>1.3828993139768599</v>
      </c>
    </row>
    <row r="1813" spans="11:16" x14ac:dyDescent="0.3">
      <c r="K1813" s="14" t="s">
        <v>105</v>
      </c>
      <c r="L1813">
        <v>203.13</v>
      </c>
      <c r="M1813">
        <v>81.090900000000005</v>
      </c>
      <c r="N1813">
        <v>370.01</v>
      </c>
      <c r="O1813">
        <v>275.08</v>
      </c>
      <c r="P1813" s="13">
        <v>1.3829558673840301</v>
      </c>
    </row>
    <row r="1814" spans="11:16" x14ac:dyDescent="0.3">
      <c r="K1814" s="14" t="s">
        <v>105</v>
      </c>
      <c r="L1814">
        <v>203.13</v>
      </c>
      <c r="M1814">
        <v>76.931399999999996</v>
      </c>
      <c r="N1814">
        <v>400.02</v>
      </c>
      <c r="O1814">
        <v>277.67</v>
      </c>
      <c r="P1814" s="13">
        <v>1.38317643245579</v>
      </c>
    </row>
    <row r="1815" spans="11:16" x14ac:dyDescent="0.3">
      <c r="K1815" s="14" t="s">
        <v>105</v>
      </c>
      <c r="L1815">
        <v>203.13</v>
      </c>
      <c r="M1815">
        <v>105.36020000000001</v>
      </c>
      <c r="N1815">
        <v>230</v>
      </c>
      <c r="O1815">
        <v>266.16000000000003</v>
      </c>
      <c r="P1815" s="13">
        <v>1.3837173128945</v>
      </c>
    </row>
    <row r="1816" spans="11:16" x14ac:dyDescent="0.3">
      <c r="K1816" s="14" t="s">
        <v>105</v>
      </c>
      <c r="L1816">
        <v>210.5</v>
      </c>
      <c r="M1816">
        <v>79.318600000000004</v>
      </c>
      <c r="N1816">
        <v>360.01</v>
      </c>
      <c r="O1816">
        <v>276.83</v>
      </c>
      <c r="P1816" s="13">
        <v>1.3850420835892101</v>
      </c>
    </row>
    <row r="1817" spans="11:16" x14ac:dyDescent="0.3">
      <c r="K1817" s="14" t="s">
        <v>105</v>
      </c>
      <c r="L1817">
        <v>210.94</v>
      </c>
      <c r="M1817">
        <v>78.667500000000004</v>
      </c>
      <c r="N1817">
        <v>370.01</v>
      </c>
      <c r="O1817">
        <v>278.52999999999997</v>
      </c>
      <c r="P1817" s="13">
        <v>1.38516533228019</v>
      </c>
    </row>
    <row r="1818" spans="11:16" x14ac:dyDescent="0.3">
      <c r="K1818" s="14" t="s">
        <v>105</v>
      </c>
      <c r="L1818">
        <v>203.13</v>
      </c>
      <c r="M1818">
        <v>109.809</v>
      </c>
      <c r="N1818">
        <v>260.01</v>
      </c>
      <c r="O1818">
        <v>274.69</v>
      </c>
      <c r="P1818" s="13">
        <v>1.38534930285049</v>
      </c>
    </row>
    <row r="1819" spans="11:16" x14ac:dyDescent="0.3">
      <c r="K1819" s="14" t="s">
        <v>105</v>
      </c>
      <c r="L1819">
        <v>210.94</v>
      </c>
      <c r="M1819">
        <v>114.0408</v>
      </c>
      <c r="N1819">
        <v>300.01</v>
      </c>
      <c r="O1819">
        <v>290.61</v>
      </c>
      <c r="P1819" s="13">
        <v>1.3866811190255</v>
      </c>
    </row>
    <row r="1820" spans="11:16" x14ac:dyDescent="0.3">
      <c r="K1820" s="14" t="s">
        <v>105</v>
      </c>
      <c r="L1820">
        <v>203.13</v>
      </c>
      <c r="M1820">
        <v>134.54859999999999</v>
      </c>
      <c r="N1820">
        <v>250.01</v>
      </c>
      <c r="O1820">
        <v>290.02999999999997</v>
      </c>
      <c r="P1820" s="13">
        <v>1.3884122332172499</v>
      </c>
    </row>
    <row r="1821" spans="11:16" x14ac:dyDescent="0.3">
      <c r="K1821" s="14" t="s">
        <v>105</v>
      </c>
      <c r="L1821">
        <v>203.13</v>
      </c>
      <c r="M1821">
        <v>124.8553</v>
      </c>
      <c r="N1821">
        <v>220</v>
      </c>
      <c r="O1821">
        <v>277.39999999999998</v>
      </c>
      <c r="P1821" s="13">
        <v>1.38855551550108</v>
      </c>
    </row>
    <row r="1822" spans="11:16" x14ac:dyDescent="0.3">
      <c r="K1822" s="14" t="s">
        <v>105</v>
      </c>
      <c r="L1822">
        <v>203.13</v>
      </c>
      <c r="M1822">
        <v>104.3837</v>
      </c>
      <c r="N1822">
        <v>350.01</v>
      </c>
      <c r="O1822">
        <v>286.86</v>
      </c>
      <c r="P1822" s="13">
        <v>1.3892362127867299</v>
      </c>
    </row>
    <row r="1823" spans="11:16" x14ac:dyDescent="0.3">
      <c r="K1823" s="14" t="s">
        <v>105</v>
      </c>
      <c r="L1823">
        <v>210.5</v>
      </c>
      <c r="M1823">
        <v>73.784700000000001</v>
      </c>
      <c r="N1823">
        <v>380.01</v>
      </c>
      <c r="O1823">
        <v>275.67</v>
      </c>
      <c r="P1823" s="13">
        <v>1.3896590125875099</v>
      </c>
    </row>
    <row r="1824" spans="11:16" x14ac:dyDescent="0.3">
      <c r="K1824" s="14" t="s">
        <v>105</v>
      </c>
      <c r="L1824">
        <v>202.69</v>
      </c>
      <c r="M1824">
        <v>89.301199999999994</v>
      </c>
      <c r="N1824">
        <v>380.01</v>
      </c>
      <c r="O1824">
        <v>281.13</v>
      </c>
      <c r="P1824" s="13">
        <v>1.3900821683918501</v>
      </c>
    </row>
    <row r="1825" spans="11:16" x14ac:dyDescent="0.3">
      <c r="K1825" s="14" t="s">
        <v>105</v>
      </c>
      <c r="L1825">
        <v>210.07</v>
      </c>
      <c r="M1825">
        <v>96.354200000000006</v>
      </c>
      <c r="N1825">
        <v>380.01</v>
      </c>
      <c r="O1825">
        <v>291.5</v>
      </c>
      <c r="P1825" s="13">
        <v>1.39014339622641</v>
      </c>
    </row>
    <row r="1826" spans="11:16" x14ac:dyDescent="0.3">
      <c r="K1826" s="14" t="s">
        <v>105</v>
      </c>
      <c r="L1826">
        <v>203.13</v>
      </c>
      <c r="M1826">
        <v>132.74019999999999</v>
      </c>
      <c r="N1826">
        <v>195</v>
      </c>
      <c r="O1826">
        <v>277.95999999999998</v>
      </c>
      <c r="P1826" s="13">
        <v>1.3907403943013401</v>
      </c>
    </row>
    <row r="1827" spans="11:16" x14ac:dyDescent="0.3">
      <c r="K1827" s="14" t="s">
        <v>105</v>
      </c>
      <c r="L1827">
        <v>202.69</v>
      </c>
      <c r="M1827">
        <v>70.674199999999999</v>
      </c>
      <c r="N1827">
        <v>450.02</v>
      </c>
      <c r="O1827">
        <v>280.61</v>
      </c>
      <c r="P1827" s="13">
        <v>1.39114571825666</v>
      </c>
    </row>
    <row r="1828" spans="11:16" x14ac:dyDescent="0.3">
      <c r="K1828" s="14" t="s">
        <v>105</v>
      </c>
      <c r="L1828">
        <v>203.13</v>
      </c>
      <c r="M1828">
        <v>127.9297</v>
      </c>
      <c r="N1828">
        <v>190</v>
      </c>
      <c r="O1828">
        <v>273.33999999999997</v>
      </c>
      <c r="P1828" s="13">
        <v>1.3918917831272399</v>
      </c>
    </row>
    <row r="1829" spans="11:16" x14ac:dyDescent="0.3">
      <c r="K1829" s="14" t="s">
        <v>105</v>
      </c>
      <c r="L1829">
        <v>211.37</v>
      </c>
      <c r="M1829">
        <v>107.20489999999999</v>
      </c>
      <c r="N1829">
        <v>340.01</v>
      </c>
      <c r="O1829">
        <v>292.36</v>
      </c>
      <c r="P1829" s="13">
        <v>1.39204234505404</v>
      </c>
    </row>
    <row r="1830" spans="11:16" x14ac:dyDescent="0.3">
      <c r="K1830" s="14" t="s">
        <v>105</v>
      </c>
      <c r="L1830">
        <v>203.13</v>
      </c>
      <c r="M1830">
        <v>123.48090000000001</v>
      </c>
      <c r="N1830">
        <v>266.01</v>
      </c>
      <c r="O1830">
        <v>284.27</v>
      </c>
      <c r="P1830" s="13">
        <v>1.3922450487212901</v>
      </c>
    </row>
    <row r="1831" spans="11:16" x14ac:dyDescent="0.3">
      <c r="K1831" s="14" t="s">
        <v>105</v>
      </c>
      <c r="L1831">
        <v>203.13</v>
      </c>
      <c r="M1831">
        <v>114.511</v>
      </c>
      <c r="N1831">
        <v>300.01</v>
      </c>
      <c r="O1831">
        <v>283.99</v>
      </c>
      <c r="P1831" s="13">
        <v>1.3931603225465701</v>
      </c>
    </row>
    <row r="1832" spans="11:16" x14ac:dyDescent="0.3">
      <c r="K1832" s="14" t="s">
        <v>105</v>
      </c>
      <c r="L1832">
        <v>203.13</v>
      </c>
      <c r="M1832">
        <v>105.36020000000001</v>
      </c>
      <c r="N1832">
        <v>300.01</v>
      </c>
      <c r="O1832">
        <v>277.39999999999998</v>
      </c>
      <c r="P1832" s="13">
        <v>1.3932689257390101</v>
      </c>
    </row>
    <row r="1833" spans="11:16" x14ac:dyDescent="0.3">
      <c r="K1833" s="14" t="s">
        <v>105</v>
      </c>
      <c r="L1833">
        <v>203.13</v>
      </c>
      <c r="M1833">
        <v>109.26649999999999</v>
      </c>
      <c r="N1833">
        <v>300.01</v>
      </c>
      <c r="O1833">
        <v>279.95999999999998</v>
      </c>
      <c r="P1833" s="13">
        <v>1.3944817116731001</v>
      </c>
    </row>
    <row r="1834" spans="11:16" x14ac:dyDescent="0.3">
      <c r="K1834" s="14" t="s">
        <v>105</v>
      </c>
      <c r="L1834">
        <v>195.75</v>
      </c>
      <c r="M1834">
        <v>136.6464</v>
      </c>
      <c r="N1834">
        <v>140.1</v>
      </c>
      <c r="O1834">
        <v>264.41000000000003</v>
      </c>
      <c r="P1834" s="13">
        <v>1.39488824174577</v>
      </c>
    </row>
    <row r="1835" spans="11:16" x14ac:dyDescent="0.3">
      <c r="K1835" s="14" t="s">
        <v>105</v>
      </c>
      <c r="L1835">
        <v>203.13</v>
      </c>
      <c r="M1835">
        <v>147.1354</v>
      </c>
      <c r="N1835">
        <v>200</v>
      </c>
      <c r="O1835">
        <v>288.38</v>
      </c>
      <c r="P1835" s="13">
        <v>1.3949143491226901</v>
      </c>
    </row>
    <row r="1836" spans="11:16" x14ac:dyDescent="0.3">
      <c r="K1836" s="14" t="s">
        <v>105</v>
      </c>
      <c r="L1836">
        <v>203.13</v>
      </c>
      <c r="M1836">
        <v>75.846400000000003</v>
      </c>
      <c r="N1836">
        <v>360.01</v>
      </c>
      <c r="O1836">
        <v>266.99</v>
      </c>
      <c r="P1836" s="13">
        <v>1.39547923143189</v>
      </c>
    </row>
    <row r="1837" spans="11:16" x14ac:dyDescent="0.3">
      <c r="K1837" s="14" t="s">
        <v>105</v>
      </c>
      <c r="L1837">
        <v>203.13</v>
      </c>
      <c r="M1837">
        <v>127.8212</v>
      </c>
      <c r="N1837">
        <v>258.11</v>
      </c>
      <c r="O1837">
        <v>285.14</v>
      </c>
      <c r="P1837" s="13">
        <v>1.3960152907343799</v>
      </c>
    </row>
    <row r="1838" spans="11:16" x14ac:dyDescent="0.3">
      <c r="K1838" s="14" t="s">
        <v>105</v>
      </c>
      <c r="L1838">
        <v>211.37</v>
      </c>
      <c r="M1838">
        <v>112.1962</v>
      </c>
      <c r="N1838">
        <v>285.01</v>
      </c>
      <c r="O1838">
        <v>284.82</v>
      </c>
      <c r="P1838" s="13">
        <v>1.3962109402429601</v>
      </c>
    </row>
    <row r="1839" spans="11:16" x14ac:dyDescent="0.3">
      <c r="K1839" s="14" t="s">
        <v>105</v>
      </c>
      <c r="L1839">
        <v>203.13</v>
      </c>
      <c r="M1839">
        <v>75.846400000000003</v>
      </c>
      <c r="N1839">
        <v>366.01</v>
      </c>
      <c r="O1839">
        <v>267.88</v>
      </c>
      <c r="P1839" s="13">
        <v>1.39666641779901</v>
      </c>
    </row>
    <row r="1840" spans="11:16" x14ac:dyDescent="0.3">
      <c r="K1840" s="14" t="s">
        <v>105</v>
      </c>
      <c r="L1840">
        <v>202.69</v>
      </c>
      <c r="M1840">
        <v>133.6806</v>
      </c>
      <c r="N1840">
        <v>160</v>
      </c>
      <c r="O1840">
        <v>270.5</v>
      </c>
      <c r="P1840" s="13">
        <v>1.3973035120147901</v>
      </c>
    </row>
    <row r="1841" spans="11:16" x14ac:dyDescent="0.3">
      <c r="K1841" s="14" t="s">
        <v>105</v>
      </c>
      <c r="L1841">
        <v>203.13</v>
      </c>
      <c r="M1841">
        <v>101.4178</v>
      </c>
      <c r="N1841">
        <v>270.01</v>
      </c>
      <c r="O1841">
        <v>268.19</v>
      </c>
      <c r="P1841" s="13">
        <v>1.39733174242142</v>
      </c>
    </row>
    <row r="1842" spans="11:16" x14ac:dyDescent="0.3">
      <c r="K1842" s="14" t="s">
        <v>105</v>
      </c>
      <c r="L1842">
        <v>202.69</v>
      </c>
      <c r="M1842">
        <v>92.303200000000004</v>
      </c>
      <c r="N1842">
        <v>380.01</v>
      </c>
      <c r="O1842">
        <v>281.69</v>
      </c>
      <c r="P1842" s="13">
        <v>1.3979757889878901</v>
      </c>
    </row>
    <row r="1843" spans="11:16" x14ac:dyDescent="0.3">
      <c r="K1843" s="14" t="s">
        <v>105</v>
      </c>
      <c r="L1843">
        <v>203.13</v>
      </c>
      <c r="M1843">
        <v>146.48439999999999</v>
      </c>
      <c r="N1843">
        <v>133.1</v>
      </c>
      <c r="O1843">
        <v>274.52</v>
      </c>
      <c r="P1843" s="13">
        <v>1.3996080431298299</v>
      </c>
    </row>
    <row r="1844" spans="11:16" x14ac:dyDescent="0.3">
      <c r="K1844" s="14" t="s">
        <v>105</v>
      </c>
      <c r="L1844">
        <v>202.69</v>
      </c>
      <c r="M1844">
        <v>129.77440000000001</v>
      </c>
      <c r="N1844">
        <v>277.01</v>
      </c>
      <c r="O1844">
        <v>288.88</v>
      </c>
      <c r="P1844" s="13">
        <v>1.40019039047355</v>
      </c>
    </row>
    <row r="1845" spans="11:16" x14ac:dyDescent="0.3">
      <c r="K1845" s="14" t="s">
        <v>105</v>
      </c>
      <c r="L1845">
        <v>203.13</v>
      </c>
      <c r="M1845">
        <v>110.13460000000001</v>
      </c>
      <c r="N1845">
        <v>300.01</v>
      </c>
      <c r="O1845">
        <v>279.41000000000003</v>
      </c>
      <c r="P1845" s="13">
        <v>1.4003335600014299</v>
      </c>
    </row>
    <row r="1846" spans="11:16" x14ac:dyDescent="0.3">
      <c r="K1846" s="14" t="s">
        <v>105</v>
      </c>
      <c r="L1846">
        <v>203.13</v>
      </c>
      <c r="M1846">
        <v>110.0261</v>
      </c>
      <c r="N1846">
        <v>325.11</v>
      </c>
      <c r="O1846">
        <v>283.99</v>
      </c>
      <c r="P1846" s="13">
        <v>1.40034754744885</v>
      </c>
    </row>
    <row r="1847" spans="11:16" x14ac:dyDescent="0.3">
      <c r="K1847" s="14" t="s">
        <v>105</v>
      </c>
      <c r="L1847">
        <v>210.5</v>
      </c>
      <c r="M1847">
        <v>116.428</v>
      </c>
      <c r="N1847">
        <v>240.01</v>
      </c>
      <c r="O1847">
        <v>277.95</v>
      </c>
      <c r="P1847" s="13">
        <v>1.4007217125382301</v>
      </c>
    </row>
    <row r="1848" spans="11:16" x14ac:dyDescent="0.3">
      <c r="K1848" s="14" t="s">
        <v>105</v>
      </c>
      <c r="L1848">
        <v>195.31</v>
      </c>
      <c r="M1848">
        <v>125</v>
      </c>
      <c r="N1848">
        <v>300.01</v>
      </c>
      <c r="O1848">
        <v>284.32</v>
      </c>
      <c r="P1848" s="13">
        <v>1.4009306415306699</v>
      </c>
    </row>
    <row r="1849" spans="11:16" x14ac:dyDescent="0.3">
      <c r="K1849" s="14" t="s">
        <v>105</v>
      </c>
      <c r="L1849">
        <v>203.13</v>
      </c>
      <c r="M1849">
        <v>124.89149999999999</v>
      </c>
      <c r="N1849">
        <v>270.01</v>
      </c>
      <c r="O1849">
        <v>283.98</v>
      </c>
      <c r="P1849" s="13">
        <v>1.4022962884710199</v>
      </c>
    </row>
    <row r="1850" spans="11:16" x14ac:dyDescent="0.3">
      <c r="K1850" s="14" t="s">
        <v>105</v>
      </c>
      <c r="L1850">
        <v>203.13</v>
      </c>
      <c r="M1850">
        <v>118.0556</v>
      </c>
      <c r="N1850">
        <v>250.01</v>
      </c>
      <c r="O1850">
        <v>275.37</v>
      </c>
      <c r="P1850" s="13">
        <v>1.40243381631986</v>
      </c>
    </row>
    <row r="1851" spans="11:16" x14ac:dyDescent="0.3">
      <c r="K1851" s="14" t="s">
        <v>105</v>
      </c>
      <c r="L1851">
        <v>210.5</v>
      </c>
      <c r="M1851">
        <v>104.2752</v>
      </c>
      <c r="N1851">
        <v>270.01</v>
      </c>
      <c r="O1851">
        <v>274.5</v>
      </c>
      <c r="P1851" s="13">
        <v>1.4024692167577399</v>
      </c>
    </row>
    <row r="1852" spans="11:16" x14ac:dyDescent="0.3">
      <c r="K1852" s="14" t="s">
        <v>105</v>
      </c>
      <c r="L1852">
        <v>203.13</v>
      </c>
      <c r="M1852">
        <v>111.2196</v>
      </c>
      <c r="N1852">
        <v>340.01</v>
      </c>
      <c r="O1852">
        <v>287.14999999999998</v>
      </c>
      <c r="P1852" s="13">
        <v>1.4025847118230901</v>
      </c>
    </row>
    <row r="1853" spans="11:16" x14ac:dyDescent="0.3">
      <c r="K1853" s="14" t="s">
        <v>105</v>
      </c>
      <c r="L1853">
        <v>202.69</v>
      </c>
      <c r="M1853">
        <v>128.79769999999999</v>
      </c>
      <c r="N1853">
        <v>220</v>
      </c>
      <c r="O1853">
        <v>277.10000000000002</v>
      </c>
      <c r="P1853" s="13">
        <v>1.40269830386142</v>
      </c>
    </row>
    <row r="1854" spans="11:16" x14ac:dyDescent="0.3">
      <c r="K1854" s="14" t="s">
        <v>105</v>
      </c>
      <c r="L1854">
        <v>203.13</v>
      </c>
      <c r="M1854">
        <v>78.7761</v>
      </c>
      <c r="N1854">
        <v>380.01</v>
      </c>
      <c r="O1854">
        <v>271.38</v>
      </c>
      <c r="P1854" s="13">
        <v>1.4028620384700401</v>
      </c>
    </row>
    <row r="1855" spans="11:16" x14ac:dyDescent="0.3">
      <c r="K1855" s="14" t="s">
        <v>105</v>
      </c>
      <c r="L1855">
        <v>203.13</v>
      </c>
      <c r="M1855">
        <v>90.133099999999999</v>
      </c>
      <c r="N1855">
        <v>350.01</v>
      </c>
      <c r="O1855">
        <v>273.91000000000003</v>
      </c>
      <c r="P1855" s="13">
        <v>1.4028903654485001</v>
      </c>
    </row>
    <row r="1856" spans="11:16" x14ac:dyDescent="0.3">
      <c r="K1856" s="14" t="s">
        <v>105</v>
      </c>
      <c r="L1856">
        <v>202.69</v>
      </c>
      <c r="M1856">
        <v>109.375</v>
      </c>
      <c r="N1856">
        <v>250.01</v>
      </c>
      <c r="O1856">
        <v>268.73</v>
      </c>
      <c r="P1856" s="13">
        <v>1.4031466527741601</v>
      </c>
    </row>
    <row r="1857" spans="11:16" x14ac:dyDescent="0.3">
      <c r="K1857" s="14" t="s">
        <v>105</v>
      </c>
      <c r="L1857">
        <v>203.13</v>
      </c>
      <c r="M1857">
        <v>78.016499999999994</v>
      </c>
      <c r="N1857">
        <v>400.02</v>
      </c>
      <c r="O1857">
        <v>274.20999999999998</v>
      </c>
      <c r="P1857" s="13">
        <v>1.4045866306845101</v>
      </c>
    </row>
    <row r="1858" spans="11:16" x14ac:dyDescent="0.3">
      <c r="K1858" s="14" t="s">
        <v>105</v>
      </c>
      <c r="L1858">
        <v>203.13</v>
      </c>
      <c r="M1858">
        <v>115.1259</v>
      </c>
      <c r="N1858">
        <v>340.01</v>
      </c>
      <c r="O1858">
        <v>289.17</v>
      </c>
      <c r="P1858" s="13">
        <v>1.40629560466162</v>
      </c>
    </row>
    <row r="1859" spans="11:16" x14ac:dyDescent="0.3">
      <c r="K1859" s="14" t="s">
        <v>105</v>
      </c>
      <c r="L1859">
        <v>202.69</v>
      </c>
      <c r="M1859">
        <v>134.8742</v>
      </c>
      <c r="N1859">
        <v>240.01</v>
      </c>
      <c r="O1859">
        <v>284.29000000000002</v>
      </c>
      <c r="P1859" s="13">
        <v>1.40689718245454</v>
      </c>
    </row>
    <row r="1860" spans="11:16" x14ac:dyDescent="0.3">
      <c r="K1860" s="14" t="s">
        <v>105</v>
      </c>
      <c r="L1860">
        <v>203.13</v>
      </c>
      <c r="M1860">
        <v>132.01679999999999</v>
      </c>
      <c r="N1860">
        <v>243.6</v>
      </c>
      <c r="O1860">
        <v>283.16000000000003</v>
      </c>
      <c r="P1860" s="13">
        <v>1.4072708009605901</v>
      </c>
    </row>
    <row r="1861" spans="11:16" x14ac:dyDescent="0.3">
      <c r="K1861" s="14" t="s">
        <v>105</v>
      </c>
      <c r="L1861">
        <v>203.13</v>
      </c>
      <c r="M1861">
        <v>82.392899999999997</v>
      </c>
      <c r="N1861">
        <v>450.11</v>
      </c>
      <c r="O1861">
        <v>286.02</v>
      </c>
      <c r="P1861" s="13">
        <v>1.4074243059925899</v>
      </c>
    </row>
    <row r="1862" spans="11:16" x14ac:dyDescent="0.3">
      <c r="K1862" s="14" t="s">
        <v>105</v>
      </c>
      <c r="L1862">
        <v>203.13</v>
      </c>
      <c r="M1862">
        <v>110.5324</v>
      </c>
      <c r="N1862">
        <v>260.10000000000002</v>
      </c>
      <c r="O1862">
        <v>270.74</v>
      </c>
      <c r="P1862" s="13">
        <v>1.4083194208465699</v>
      </c>
    </row>
    <row r="1863" spans="11:16" x14ac:dyDescent="0.3">
      <c r="K1863" s="14" t="s">
        <v>105</v>
      </c>
      <c r="L1863">
        <v>203.13</v>
      </c>
      <c r="M1863">
        <v>134.65710000000001</v>
      </c>
      <c r="N1863">
        <v>217.7</v>
      </c>
      <c r="O1863">
        <v>279.97000000000003</v>
      </c>
      <c r="P1863" s="13">
        <v>1.40868343036754</v>
      </c>
    </row>
    <row r="1864" spans="11:16" x14ac:dyDescent="0.3">
      <c r="K1864" s="14" t="s">
        <v>105</v>
      </c>
      <c r="L1864">
        <v>210.5</v>
      </c>
      <c r="M1864">
        <v>112.1962</v>
      </c>
      <c r="N1864">
        <v>340.11</v>
      </c>
      <c r="O1864">
        <v>291.5</v>
      </c>
      <c r="P1864" s="13">
        <v>1.4103766723842199</v>
      </c>
    </row>
    <row r="1865" spans="11:16" x14ac:dyDescent="0.3">
      <c r="K1865" s="14" t="s">
        <v>105</v>
      </c>
      <c r="L1865">
        <v>203.13</v>
      </c>
      <c r="M1865">
        <v>136.0677</v>
      </c>
      <c r="N1865">
        <v>180</v>
      </c>
      <c r="O1865">
        <v>273.64</v>
      </c>
      <c r="P1865" s="13">
        <v>1.41060407835112</v>
      </c>
    </row>
    <row r="1866" spans="11:16" x14ac:dyDescent="0.3">
      <c r="K1866" s="14" t="s">
        <v>105</v>
      </c>
      <c r="L1866">
        <v>203.13</v>
      </c>
      <c r="M1866">
        <v>87.673599999999993</v>
      </c>
      <c r="N1866">
        <v>383.81</v>
      </c>
      <c r="O1866">
        <v>276.8</v>
      </c>
      <c r="P1866" s="13">
        <v>1.4111062138728301</v>
      </c>
    </row>
    <row r="1867" spans="11:16" x14ac:dyDescent="0.3">
      <c r="K1867" s="14" t="s">
        <v>105</v>
      </c>
      <c r="L1867">
        <v>203.13</v>
      </c>
      <c r="M1867">
        <v>119.0321</v>
      </c>
      <c r="N1867">
        <v>320.01</v>
      </c>
      <c r="O1867">
        <v>286.85000000000002</v>
      </c>
      <c r="P1867" s="13">
        <v>1.41315914240892</v>
      </c>
    </row>
    <row r="1868" spans="11:16" x14ac:dyDescent="0.3">
      <c r="K1868" s="14" t="s">
        <v>105</v>
      </c>
      <c r="L1868">
        <v>210.5</v>
      </c>
      <c r="M1868">
        <v>113.1728</v>
      </c>
      <c r="N1868">
        <v>284.7</v>
      </c>
      <c r="O1868">
        <v>281.42</v>
      </c>
      <c r="P1868" s="13">
        <v>1.4131717717290899</v>
      </c>
    </row>
    <row r="1869" spans="11:16" x14ac:dyDescent="0.3">
      <c r="K1869" s="14" t="s">
        <v>105</v>
      </c>
      <c r="L1869">
        <v>210.5</v>
      </c>
      <c r="M1869">
        <v>113.1728</v>
      </c>
      <c r="N1869">
        <v>280.01</v>
      </c>
      <c r="O1869">
        <v>280.55</v>
      </c>
      <c r="P1869" s="13">
        <v>1.4132076278738199</v>
      </c>
    </row>
    <row r="1870" spans="11:16" x14ac:dyDescent="0.3">
      <c r="K1870" s="14" t="s">
        <v>105</v>
      </c>
      <c r="L1870">
        <v>203.13</v>
      </c>
      <c r="M1870">
        <v>102.32210000000001</v>
      </c>
      <c r="N1870">
        <v>350.01</v>
      </c>
      <c r="O1870">
        <v>280.52999999999997</v>
      </c>
      <c r="P1870" s="13">
        <v>1.41323459166578</v>
      </c>
    </row>
    <row r="1871" spans="11:16" x14ac:dyDescent="0.3">
      <c r="K1871" s="14" t="s">
        <v>105</v>
      </c>
      <c r="L1871">
        <v>150.61000000000001</v>
      </c>
      <c r="M1871">
        <v>143.8802</v>
      </c>
      <c r="N1871">
        <v>280.01</v>
      </c>
      <c r="O1871">
        <v>259.83</v>
      </c>
      <c r="P1871" s="13">
        <v>1.4135888850402201</v>
      </c>
    </row>
    <row r="1872" spans="11:16" x14ac:dyDescent="0.3">
      <c r="K1872" s="14" t="s">
        <v>105</v>
      </c>
      <c r="L1872">
        <v>203.13</v>
      </c>
      <c r="M1872">
        <v>83.875900000000001</v>
      </c>
      <c r="N1872">
        <v>360.01</v>
      </c>
      <c r="O1872">
        <v>269.01</v>
      </c>
      <c r="P1872" s="13">
        <v>1.4148488903758201</v>
      </c>
    </row>
    <row r="1873" spans="11:16" x14ac:dyDescent="0.3">
      <c r="K1873" s="14" t="s">
        <v>105</v>
      </c>
      <c r="L1873">
        <v>203.13</v>
      </c>
      <c r="M1873">
        <v>113.4983</v>
      </c>
      <c r="N1873">
        <v>345.1</v>
      </c>
      <c r="O1873">
        <v>287.14999999999998</v>
      </c>
      <c r="P1873" s="13">
        <v>1.4151290266411301</v>
      </c>
    </row>
    <row r="1874" spans="11:16" x14ac:dyDescent="0.3">
      <c r="K1874" s="14" t="s">
        <v>105</v>
      </c>
      <c r="L1874">
        <v>203.13</v>
      </c>
      <c r="M1874">
        <v>113.1366</v>
      </c>
      <c r="N1874">
        <v>260.01</v>
      </c>
      <c r="O1874">
        <v>271.01</v>
      </c>
      <c r="P1874" s="13">
        <v>1.41643924578429</v>
      </c>
    </row>
    <row r="1875" spans="11:16" x14ac:dyDescent="0.3">
      <c r="K1875" s="14" t="s">
        <v>105</v>
      </c>
      <c r="L1875">
        <v>202.69</v>
      </c>
      <c r="M1875">
        <v>111.76220000000001</v>
      </c>
      <c r="N1875">
        <v>330.1</v>
      </c>
      <c r="O1875">
        <v>282.58</v>
      </c>
      <c r="P1875" s="13">
        <v>1.41651284591974</v>
      </c>
    </row>
    <row r="1876" spans="11:16" x14ac:dyDescent="0.3">
      <c r="K1876" s="14" t="s">
        <v>105</v>
      </c>
      <c r="L1876">
        <v>195.31</v>
      </c>
      <c r="M1876">
        <v>105.2518</v>
      </c>
      <c r="N1876">
        <v>388.01</v>
      </c>
      <c r="O1876">
        <v>283.12</v>
      </c>
      <c r="P1876" s="13">
        <v>1.41793020627296</v>
      </c>
    </row>
    <row r="1877" spans="11:16" x14ac:dyDescent="0.3">
      <c r="K1877" s="14" t="s">
        <v>105</v>
      </c>
      <c r="L1877">
        <v>210.5</v>
      </c>
      <c r="M1877">
        <v>131.83600000000001</v>
      </c>
      <c r="N1877">
        <v>255.01</v>
      </c>
      <c r="O1877">
        <v>288.08</v>
      </c>
      <c r="P1877" s="13">
        <v>1.41849000277701</v>
      </c>
    </row>
    <row r="1878" spans="11:16" x14ac:dyDescent="0.3">
      <c r="K1878" s="14" t="s">
        <v>105</v>
      </c>
      <c r="L1878">
        <v>203.13</v>
      </c>
      <c r="M1878">
        <v>127.9297</v>
      </c>
      <c r="N1878">
        <v>330.11</v>
      </c>
      <c r="O1878">
        <v>293.49</v>
      </c>
      <c r="P1878" s="13">
        <v>1.4204514634229399</v>
      </c>
    </row>
    <row r="1879" spans="11:16" x14ac:dyDescent="0.3">
      <c r="K1879" s="14" t="s">
        <v>105</v>
      </c>
      <c r="L1879">
        <v>203.13</v>
      </c>
      <c r="M1879">
        <v>113.1366</v>
      </c>
      <c r="N1879">
        <v>340.01</v>
      </c>
      <c r="O1879">
        <v>284.85000000000002</v>
      </c>
      <c r="P1879" s="13">
        <v>1.4206396348955601</v>
      </c>
    </row>
    <row r="1880" spans="11:16" x14ac:dyDescent="0.3">
      <c r="K1880" s="14" t="s">
        <v>105</v>
      </c>
      <c r="L1880">
        <v>210.5</v>
      </c>
      <c r="M1880">
        <v>114.0408</v>
      </c>
      <c r="N1880">
        <v>200</v>
      </c>
      <c r="O1880">
        <v>265</v>
      </c>
      <c r="P1880" s="13">
        <v>1.4209086792452801</v>
      </c>
    </row>
    <row r="1881" spans="11:16" x14ac:dyDescent="0.3">
      <c r="K1881" s="14" t="s">
        <v>105</v>
      </c>
      <c r="L1881">
        <v>210.07</v>
      </c>
      <c r="M1881">
        <v>85.720500000000001</v>
      </c>
      <c r="N1881">
        <v>350.01</v>
      </c>
      <c r="O1881">
        <v>272.19</v>
      </c>
      <c r="P1881" s="13">
        <v>1.42104081707631</v>
      </c>
    </row>
    <row r="1882" spans="11:16" x14ac:dyDescent="0.3">
      <c r="K1882" s="14" t="s">
        <v>105</v>
      </c>
      <c r="L1882">
        <v>203.13</v>
      </c>
      <c r="M1882">
        <v>70.9636</v>
      </c>
      <c r="N1882">
        <v>420.02</v>
      </c>
      <c r="O1882">
        <v>269.61</v>
      </c>
      <c r="P1882" s="13">
        <v>1.42167872111569</v>
      </c>
    </row>
    <row r="1883" spans="11:16" x14ac:dyDescent="0.3">
      <c r="K1883" s="14" t="s">
        <v>105</v>
      </c>
      <c r="L1883">
        <v>203.13</v>
      </c>
      <c r="M1883">
        <v>112.1962</v>
      </c>
      <c r="N1883">
        <v>240.01</v>
      </c>
      <c r="O1883">
        <v>265.58999999999997</v>
      </c>
      <c r="P1883" s="13">
        <v>1.42222523438382</v>
      </c>
    </row>
    <row r="1884" spans="11:16" x14ac:dyDescent="0.3">
      <c r="K1884" s="14" t="s">
        <v>105</v>
      </c>
      <c r="L1884">
        <v>210.5</v>
      </c>
      <c r="M1884">
        <v>115.08969999999999</v>
      </c>
      <c r="N1884">
        <v>250.01</v>
      </c>
      <c r="O1884">
        <v>274.52</v>
      </c>
      <c r="P1884" s="13">
        <v>1.4228191024333401</v>
      </c>
    </row>
    <row r="1885" spans="11:16" x14ac:dyDescent="0.3">
      <c r="K1885" s="14" t="s">
        <v>105</v>
      </c>
      <c r="L1885">
        <v>203.13</v>
      </c>
      <c r="M1885">
        <v>117.6939</v>
      </c>
      <c r="N1885">
        <v>300.01</v>
      </c>
      <c r="O1885">
        <v>280.25</v>
      </c>
      <c r="P1885" s="13">
        <v>1.4231097234612</v>
      </c>
    </row>
    <row r="1886" spans="11:16" x14ac:dyDescent="0.3">
      <c r="K1886" s="14" t="s">
        <v>105</v>
      </c>
      <c r="L1886">
        <v>203.13</v>
      </c>
      <c r="M1886">
        <v>129.77430000000001</v>
      </c>
      <c r="N1886">
        <v>233.01</v>
      </c>
      <c r="O1886">
        <v>275.89999999999998</v>
      </c>
      <c r="P1886" s="13">
        <v>1.4261939108372601</v>
      </c>
    </row>
    <row r="1887" spans="11:16" x14ac:dyDescent="0.3">
      <c r="K1887" s="14" t="s">
        <v>105</v>
      </c>
      <c r="L1887">
        <v>203.13</v>
      </c>
      <c r="M1887">
        <v>74.761300000000006</v>
      </c>
      <c r="N1887">
        <v>400.02</v>
      </c>
      <c r="O1887">
        <v>267.60000000000002</v>
      </c>
      <c r="P1887" s="13">
        <v>1.42711696562033</v>
      </c>
    </row>
    <row r="1888" spans="11:16" x14ac:dyDescent="0.3">
      <c r="K1888" s="14" t="s">
        <v>105</v>
      </c>
      <c r="L1888">
        <v>203.13</v>
      </c>
      <c r="M1888">
        <v>136.0677</v>
      </c>
      <c r="N1888">
        <v>255.01</v>
      </c>
      <c r="O1888">
        <v>283.72000000000003</v>
      </c>
      <c r="P1888" s="13">
        <v>1.4292270548428001</v>
      </c>
    </row>
    <row r="1889" spans="11:16" x14ac:dyDescent="0.3">
      <c r="K1889" s="14" t="s">
        <v>105</v>
      </c>
      <c r="L1889">
        <v>203.13</v>
      </c>
      <c r="M1889">
        <v>132.0891</v>
      </c>
      <c r="N1889">
        <v>210</v>
      </c>
      <c r="O1889">
        <v>272.74</v>
      </c>
      <c r="P1889" s="13">
        <v>1.4292700007332999</v>
      </c>
    </row>
    <row r="1890" spans="11:16" x14ac:dyDescent="0.3">
      <c r="K1890" s="14" t="s">
        <v>105</v>
      </c>
      <c r="L1890">
        <v>210.5</v>
      </c>
      <c r="M1890">
        <v>113.17270000000001</v>
      </c>
      <c r="N1890">
        <v>340.01</v>
      </c>
      <c r="O1890">
        <v>288.3</v>
      </c>
      <c r="P1890" s="13">
        <v>1.4293281304197001</v>
      </c>
    </row>
    <row r="1891" spans="11:16" x14ac:dyDescent="0.3">
      <c r="K1891" s="14" t="s">
        <v>105</v>
      </c>
      <c r="L1891">
        <v>210.94</v>
      </c>
      <c r="M1891">
        <v>115.01739999999999</v>
      </c>
      <c r="N1891">
        <v>200</v>
      </c>
      <c r="O1891">
        <v>264.39</v>
      </c>
      <c r="P1891" s="13">
        <v>1.42954499035516</v>
      </c>
    </row>
    <row r="1892" spans="11:16" x14ac:dyDescent="0.3">
      <c r="K1892" s="14" t="s">
        <v>105</v>
      </c>
      <c r="L1892">
        <v>203.13</v>
      </c>
      <c r="M1892">
        <v>111.11109999999999</v>
      </c>
      <c r="N1892">
        <v>300.01</v>
      </c>
      <c r="O1892">
        <v>274.23</v>
      </c>
      <c r="P1892" s="13">
        <v>1.4303456952193401</v>
      </c>
    </row>
    <row r="1893" spans="11:16" x14ac:dyDescent="0.3">
      <c r="K1893" s="14" t="s">
        <v>105</v>
      </c>
      <c r="L1893">
        <v>203.13</v>
      </c>
      <c r="M1893">
        <v>94.618099999999998</v>
      </c>
      <c r="N1893">
        <v>340.01</v>
      </c>
      <c r="O1893">
        <v>269.94</v>
      </c>
      <c r="P1893" s="13">
        <v>1.43050566792621</v>
      </c>
    </row>
    <row r="1894" spans="11:16" x14ac:dyDescent="0.3">
      <c r="K1894" s="14" t="s">
        <v>105</v>
      </c>
      <c r="L1894">
        <v>203.13</v>
      </c>
      <c r="M1894">
        <v>134.62090000000001</v>
      </c>
      <c r="N1894">
        <v>220</v>
      </c>
      <c r="O1894">
        <v>275.89999999999998</v>
      </c>
      <c r="P1894" s="13">
        <v>1.43150018122508</v>
      </c>
    </row>
    <row r="1895" spans="11:16" x14ac:dyDescent="0.3">
      <c r="K1895" s="14" t="s">
        <v>105</v>
      </c>
      <c r="L1895">
        <v>210.5</v>
      </c>
      <c r="M1895">
        <v>102.6476</v>
      </c>
      <c r="N1895">
        <v>260.01</v>
      </c>
      <c r="O1895">
        <v>265.87</v>
      </c>
      <c r="P1895" s="13">
        <v>1.4320916237258801</v>
      </c>
    </row>
    <row r="1896" spans="11:16" x14ac:dyDescent="0.3">
      <c r="K1896" s="14" t="s">
        <v>105</v>
      </c>
      <c r="L1896">
        <v>203.13</v>
      </c>
      <c r="M1896">
        <v>86.48</v>
      </c>
      <c r="N1896">
        <v>400.02</v>
      </c>
      <c r="O1896">
        <v>274.81</v>
      </c>
      <c r="P1896" s="13">
        <v>1.43231760125177</v>
      </c>
    </row>
    <row r="1897" spans="11:16" x14ac:dyDescent="0.3">
      <c r="K1897" s="14" t="s">
        <v>105</v>
      </c>
      <c r="L1897">
        <v>203.13</v>
      </c>
      <c r="M1897">
        <v>128.8339</v>
      </c>
      <c r="N1897">
        <v>250.01</v>
      </c>
      <c r="O1897">
        <v>277.11</v>
      </c>
      <c r="P1897" s="13">
        <v>1.4325231857385201</v>
      </c>
    </row>
    <row r="1898" spans="11:16" x14ac:dyDescent="0.3">
      <c r="K1898" s="14" t="s">
        <v>105</v>
      </c>
      <c r="L1898">
        <v>195.75</v>
      </c>
      <c r="M1898">
        <v>153.06710000000001</v>
      </c>
      <c r="N1898">
        <v>222</v>
      </c>
      <c r="O1898">
        <v>283.7</v>
      </c>
      <c r="P1898" s="13">
        <v>1.4329823757490301</v>
      </c>
    </row>
    <row r="1899" spans="11:16" x14ac:dyDescent="0.3">
      <c r="K1899" s="14" t="s">
        <v>105</v>
      </c>
      <c r="L1899">
        <v>195.75</v>
      </c>
      <c r="M1899">
        <v>133.3912</v>
      </c>
      <c r="N1899">
        <v>300.01</v>
      </c>
      <c r="O1899">
        <v>284.12</v>
      </c>
      <c r="P1899" s="13">
        <v>1.43299943685767</v>
      </c>
    </row>
    <row r="1900" spans="11:16" x14ac:dyDescent="0.3">
      <c r="K1900" s="14" t="s">
        <v>105</v>
      </c>
      <c r="L1900">
        <v>203.13</v>
      </c>
      <c r="M1900">
        <v>149.4502</v>
      </c>
      <c r="N1900">
        <v>177</v>
      </c>
      <c r="O1900">
        <v>277.95</v>
      </c>
      <c r="P1900" s="13">
        <v>1.43407159561072</v>
      </c>
    </row>
    <row r="1901" spans="11:16" x14ac:dyDescent="0.3">
      <c r="K1901" s="14" t="s">
        <v>105</v>
      </c>
      <c r="L1901">
        <v>203.13</v>
      </c>
      <c r="M1901">
        <v>102.4306</v>
      </c>
      <c r="N1901">
        <v>330.01</v>
      </c>
      <c r="O1901">
        <v>272.77999999999997</v>
      </c>
      <c r="P1901" s="13">
        <v>1.4347210206026799</v>
      </c>
    </row>
    <row r="1902" spans="11:16" x14ac:dyDescent="0.3">
      <c r="K1902" s="14" t="s">
        <v>105</v>
      </c>
      <c r="L1902">
        <v>203.13</v>
      </c>
      <c r="M1902">
        <v>115.01739999999999</v>
      </c>
      <c r="N1902">
        <v>285.01</v>
      </c>
      <c r="O1902">
        <v>273.33999999999997</v>
      </c>
      <c r="P1902" s="13">
        <v>1.43502597497622</v>
      </c>
    </row>
    <row r="1903" spans="11:16" x14ac:dyDescent="0.3">
      <c r="K1903" s="14" t="s">
        <v>105</v>
      </c>
      <c r="L1903">
        <v>203.13</v>
      </c>
      <c r="M1903">
        <v>114.9089</v>
      </c>
      <c r="N1903">
        <v>300.01</v>
      </c>
      <c r="O1903">
        <v>275.94</v>
      </c>
      <c r="P1903" s="13">
        <v>1.4352449807929299</v>
      </c>
    </row>
    <row r="1904" spans="11:16" x14ac:dyDescent="0.3">
      <c r="K1904" s="14" t="s">
        <v>105</v>
      </c>
      <c r="L1904">
        <v>203.13</v>
      </c>
      <c r="M1904">
        <v>127.9297</v>
      </c>
      <c r="N1904">
        <v>270.01</v>
      </c>
      <c r="O1904">
        <v>279.38</v>
      </c>
      <c r="P1904" s="13">
        <v>1.43625993270814</v>
      </c>
    </row>
    <row r="1905" spans="11:16" x14ac:dyDescent="0.3">
      <c r="K1905" s="14" t="s">
        <v>105</v>
      </c>
      <c r="L1905">
        <v>195.75</v>
      </c>
      <c r="M1905">
        <v>132.74019999999999</v>
      </c>
      <c r="N1905">
        <v>300.01</v>
      </c>
      <c r="O1905">
        <v>282.99</v>
      </c>
      <c r="P1905" s="13">
        <v>1.43642107494964</v>
      </c>
    </row>
    <row r="1906" spans="11:16" x14ac:dyDescent="0.3">
      <c r="K1906" s="14" t="s">
        <v>105</v>
      </c>
      <c r="L1906">
        <v>202.26</v>
      </c>
      <c r="M1906">
        <v>113.1728</v>
      </c>
      <c r="N1906">
        <v>333.01</v>
      </c>
      <c r="O1906">
        <v>279.39999999999998</v>
      </c>
      <c r="P1906" s="13">
        <v>1.43885254115963</v>
      </c>
    </row>
    <row r="1907" spans="11:16" x14ac:dyDescent="0.3">
      <c r="K1907" s="14" t="s">
        <v>105</v>
      </c>
      <c r="L1907">
        <v>203.13</v>
      </c>
      <c r="M1907">
        <v>113.7153</v>
      </c>
      <c r="N1907">
        <v>315</v>
      </c>
      <c r="O1907">
        <v>277.08999999999997</v>
      </c>
      <c r="P1907" s="13">
        <v>1.4390461582879199</v>
      </c>
    </row>
    <row r="1908" spans="11:16" x14ac:dyDescent="0.3">
      <c r="K1908" s="14" t="s">
        <v>105</v>
      </c>
      <c r="L1908">
        <v>203.13</v>
      </c>
      <c r="M1908">
        <v>154.6224</v>
      </c>
      <c r="N1908">
        <v>200</v>
      </c>
      <c r="O1908">
        <v>284.57</v>
      </c>
      <c r="P1908" s="13">
        <v>1.4399002003022101</v>
      </c>
    </row>
    <row r="1909" spans="11:16" x14ac:dyDescent="0.3">
      <c r="K1909" s="14" t="s">
        <v>105</v>
      </c>
      <c r="L1909">
        <v>202.69</v>
      </c>
      <c r="M1909">
        <v>125</v>
      </c>
      <c r="N1909">
        <v>300.01</v>
      </c>
      <c r="O1909">
        <v>281.68</v>
      </c>
      <c r="P1909" s="13">
        <v>1.4402605793808601</v>
      </c>
    </row>
    <row r="1910" spans="11:16" x14ac:dyDescent="0.3">
      <c r="K1910" s="14" t="s">
        <v>105</v>
      </c>
      <c r="L1910">
        <v>203.13</v>
      </c>
      <c r="M1910">
        <v>106.3368</v>
      </c>
      <c r="N1910">
        <v>250.01</v>
      </c>
      <c r="O1910">
        <v>260</v>
      </c>
      <c r="P1910" s="13">
        <v>1.4402669230769201</v>
      </c>
    </row>
    <row r="1911" spans="11:16" x14ac:dyDescent="0.3">
      <c r="K1911" s="14" t="s">
        <v>105</v>
      </c>
      <c r="L1911">
        <v>203.13</v>
      </c>
      <c r="M1911">
        <v>117.07899999999999</v>
      </c>
      <c r="N1911">
        <v>300.01</v>
      </c>
      <c r="O1911">
        <v>276.17</v>
      </c>
      <c r="P1911" s="13">
        <v>1.4419075207299801</v>
      </c>
    </row>
    <row r="1912" spans="11:16" x14ac:dyDescent="0.3">
      <c r="K1912" s="14" t="s">
        <v>105</v>
      </c>
      <c r="L1912">
        <v>203.13</v>
      </c>
      <c r="M1912">
        <v>101.3455</v>
      </c>
      <c r="N1912">
        <v>440.61</v>
      </c>
      <c r="O1912">
        <v>290.60000000000002</v>
      </c>
      <c r="P1912" s="13">
        <v>1.4419618031658601</v>
      </c>
    </row>
    <row r="1913" spans="11:16" x14ac:dyDescent="0.3">
      <c r="K1913" s="14" t="s">
        <v>105</v>
      </c>
      <c r="L1913">
        <v>203.13</v>
      </c>
      <c r="M1913">
        <v>108.2899</v>
      </c>
      <c r="N1913">
        <v>400.02</v>
      </c>
      <c r="O1913">
        <v>287.77999999999997</v>
      </c>
      <c r="P1913" s="13">
        <v>1.44355097644034</v>
      </c>
    </row>
    <row r="1914" spans="11:16" x14ac:dyDescent="0.3">
      <c r="K1914" s="14" t="s">
        <v>105</v>
      </c>
      <c r="L1914">
        <v>149.74</v>
      </c>
      <c r="M1914">
        <v>102.4306</v>
      </c>
      <c r="N1914">
        <v>643.02</v>
      </c>
      <c r="O1914">
        <v>290.35000000000002</v>
      </c>
      <c r="P1914" s="13">
        <v>1.44431134837265</v>
      </c>
    </row>
    <row r="1915" spans="11:16" x14ac:dyDescent="0.3">
      <c r="K1915" s="14" t="s">
        <v>105</v>
      </c>
      <c r="L1915">
        <v>203.13</v>
      </c>
      <c r="M1915">
        <v>133.78909999999999</v>
      </c>
      <c r="N1915">
        <v>300.01</v>
      </c>
      <c r="O1915">
        <v>287.19</v>
      </c>
      <c r="P1915" s="13">
        <v>1.44476374525575</v>
      </c>
    </row>
    <row r="1916" spans="11:16" x14ac:dyDescent="0.3">
      <c r="K1916" s="14" t="s">
        <v>105</v>
      </c>
      <c r="L1916">
        <v>210.5</v>
      </c>
      <c r="M1916">
        <v>110.60469999999999</v>
      </c>
      <c r="N1916">
        <v>280.01</v>
      </c>
      <c r="O1916">
        <v>272.51</v>
      </c>
      <c r="P1916" s="13">
        <v>1.44547833107042</v>
      </c>
    </row>
    <row r="1917" spans="11:16" x14ac:dyDescent="0.3">
      <c r="K1917" s="14" t="s">
        <v>105</v>
      </c>
      <c r="L1917">
        <v>210.5</v>
      </c>
      <c r="M1917">
        <v>140.7509</v>
      </c>
      <c r="N1917">
        <v>200</v>
      </c>
      <c r="O1917">
        <v>278.7</v>
      </c>
      <c r="P1917" s="13">
        <v>1.4468995335486201</v>
      </c>
    </row>
    <row r="1918" spans="11:16" x14ac:dyDescent="0.3">
      <c r="K1918" s="14" t="s">
        <v>105</v>
      </c>
      <c r="L1918">
        <v>203.13</v>
      </c>
      <c r="M1918">
        <v>77.184600000000003</v>
      </c>
      <c r="N1918">
        <v>519.91</v>
      </c>
      <c r="O1918">
        <v>287.14999999999998</v>
      </c>
      <c r="P1918" s="13">
        <v>1.44694828486854</v>
      </c>
    </row>
    <row r="1919" spans="11:16" x14ac:dyDescent="0.3">
      <c r="K1919" s="14" t="s">
        <v>105</v>
      </c>
      <c r="L1919">
        <v>203.13</v>
      </c>
      <c r="M1919">
        <v>158.99879999999999</v>
      </c>
      <c r="N1919">
        <v>194.2</v>
      </c>
      <c r="O1919">
        <v>285.12</v>
      </c>
      <c r="P1919" s="13">
        <v>1.4471829405162699</v>
      </c>
    </row>
    <row r="1920" spans="11:16" x14ac:dyDescent="0.3">
      <c r="K1920" s="14" t="s">
        <v>105</v>
      </c>
      <c r="L1920">
        <v>203.13</v>
      </c>
      <c r="M1920">
        <v>140.73349999999999</v>
      </c>
      <c r="N1920">
        <v>276.89999999999998</v>
      </c>
      <c r="O1920">
        <v>287.33</v>
      </c>
      <c r="P1920" s="13">
        <v>1.44731667420736</v>
      </c>
    </row>
    <row r="1921" spans="11:16" x14ac:dyDescent="0.3">
      <c r="K1921" s="14" t="s">
        <v>105</v>
      </c>
      <c r="L1921">
        <v>206.6</v>
      </c>
      <c r="M1921">
        <v>107.20489999999999</v>
      </c>
      <c r="N1921">
        <v>333.01</v>
      </c>
      <c r="O1921">
        <v>276.22000000000003</v>
      </c>
      <c r="P1921" s="13">
        <v>1.44952393020056</v>
      </c>
    </row>
    <row r="1922" spans="11:16" x14ac:dyDescent="0.3">
      <c r="K1922" s="14" t="s">
        <v>105</v>
      </c>
      <c r="L1922">
        <v>210.5</v>
      </c>
      <c r="M1922">
        <v>84.273700000000005</v>
      </c>
      <c r="N1922">
        <v>370.01</v>
      </c>
      <c r="O1922">
        <v>269.61</v>
      </c>
      <c r="P1922" s="13">
        <v>1.45015503875969</v>
      </c>
    </row>
    <row r="1923" spans="11:16" x14ac:dyDescent="0.3">
      <c r="K1923" s="14" t="s">
        <v>105</v>
      </c>
      <c r="L1923">
        <v>203.13</v>
      </c>
      <c r="M1923">
        <v>93.6053</v>
      </c>
      <c r="N1923">
        <v>470.11</v>
      </c>
      <c r="O1923">
        <v>288.64</v>
      </c>
      <c r="P1923" s="13">
        <v>1.45151018569845</v>
      </c>
    </row>
    <row r="1924" spans="11:16" x14ac:dyDescent="0.3">
      <c r="K1924" s="14" t="s">
        <v>105</v>
      </c>
      <c r="L1924">
        <v>210.5</v>
      </c>
      <c r="M1924">
        <v>108.54170000000001</v>
      </c>
      <c r="N1924">
        <v>380.01</v>
      </c>
      <c r="O1924">
        <v>287.75</v>
      </c>
      <c r="P1924" s="13">
        <v>1.4521087749782799</v>
      </c>
    </row>
    <row r="1925" spans="11:16" x14ac:dyDescent="0.3">
      <c r="K1925" s="14" t="s">
        <v>105</v>
      </c>
      <c r="L1925">
        <v>202.69</v>
      </c>
      <c r="M1925">
        <v>152.9948</v>
      </c>
      <c r="N1925">
        <v>169</v>
      </c>
      <c r="O1925">
        <v>275.08999999999997</v>
      </c>
      <c r="P1925" s="13">
        <v>1.4527056599658299</v>
      </c>
    </row>
    <row r="1926" spans="11:16" x14ac:dyDescent="0.3">
      <c r="K1926" s="14" t="s">
        <v>105</v>
      </c>
      <c r="L1926">
        <v>203.13</v>
      </c>
      <c r="M1926">
        <v>109.3027</v>
      </c>
      <c r="N1926">
        <v>330.01</v>
      </c>
      <c r="O1926">
        <v>273.64</v>
      </c>
      <c r="P1926" s="13">
        <v>1.45532561029089</v>
      </c>
    </row>
    <row r="1927" spans="11:16" x14ac:dyDescent="0.3">
      <c r="K1927" s="14" t="s">
        <v>105</v>
      </c>
      <c r="L1927">
        <v>203.13</v>
      </c>
      <c r="M1927">
        <v>130.42529999999999</v>
      </c>
      <c r="N1927">
        <v>288.01</v>
      </c>
      <c r="O1927">
        <v>280.56</v>
      </c>
      <c r="P1927" s="13">
        <v>1.4557951953236401</v>
      </c>
    </row>
    <row r="1928" spans="11:16" x14ac:dyDescent="0.3">
      <c r="K1928" s="14" t="s">
        <v>105</v>
      </c>
      <c r="L1928">
        <v>203.56</v>
      </c>
      <c r="M1928">
        <v>131.3657</v>
      </c>
      <c r="N1928">
        <v>288.01</v>
      </c>
      <c r="O1928">
        <v>281.38</v>
      </c>
      <c r="P1928" s="13">
        <v>1.45642298670837</v>
      </c>
    </row>
    <row r="1929" spans="11:16" x14ac:dyDescent="0.3">
      <c r="K1929" s="14" t="s">
        <v>105</v>
      </c>
      <c r="L1929">
        <v>202.69</v>
      </c>
      <c r="M1929">
        <v>110.2431</v>
      </c>
      <c r="N1929">
        <v>355.01</v>
      </c>
      <c r="O1929">
        <v>277.93</v>
      </c>
      <c r="P1929" s="13">
        <v>1.4580495088691401</v>
      </c>
    </row>
    <row r="1930" spans="11:16" x14ac:dyDescent="0.3">
      <c r="K1930" s="14" t="s">
        <v>105</v>
      </c>
      <c r="L1930">
        <v>210.5</v>
      </c>
      <c r="M1930">
        <v>108.3984</v>
      </c>
      <c r="N1930">
        <v>300.01</v>
      </c>
      <c r="O1930">
        <v>272.20999999999998</v>
      </c>
      <c r="P1930" s="13">
        <v>1.4580691377980199</v>
      </c>
    </row>
    <row r="1931" spans="11:16" x14ac:dyDescent="0.3">
      <c r="K1931" s="14" t="s">
        <v>105</v>
      </c>
      <c r="L1931">
        <v>203.13</v>
      </c>
      <c r="M1931">
        <v>89.6267</v>
      </c>
      <c r="N1931">
        <v>400.11</v>
      </c>
      <c r="O1931">
        <v>271.89999999999998</v>
      </c>
      <c r="P1931" s="13">
        <v>1.4593059948510501</v>
      </c>
    </row>
    <row r="1932" spans="11:16" x14ac:dyDescent="0.3">
      <c r="K1932" s="14" t="s">
        <v>105</v>
      </c>
      <c r="L1932">
        <v>203.13</v>
      </c>
      <c r="M1932">
        <v>108.1814</v>
      </c>
      <c r="N1932">
        <v>350.01</v>
      </c>
      <c r="O1932">
        <v>275.67</v>
      </c>
      <c r="P1932" s="13">
        <v>1.45940436028585</v>
      </c>
    </row>
    <row r="1933" spans="11:16" x14ac:dyDescent="0.3">
      <c r="K1933" s="14" t="s">
        <v>105</v>
      </c>
      <c r="L1933">
        <v>210.5</v>
      </c>
      <c r="M1933">
        <v>113.60680000000001</v>
      </c>
      <c r="N1933">
        <v>405.32</v>
      </c>
      <c r="O1933">
        <v>294.08999999999997</v>
      </c>
      <c r="P1933" s="13">
        <v>1.46040327790812</v>
      </c>
    </row>
    <row r="1934" spans="11:16" x14ac:dyDescent="0.3">
      <c r="K1934" s="14" t="s">
        <v>105</v>
      </c>
      <c r="L1934">
        <v>210.5</v>
      </c>
      <c r="M1934">
        <v>106.3368</v>
      </c>
      <c r="N1934">
        <v>370.01</v>
      </c>
      <c r="O1934">
        <v>282.29000000000002</v>
      </c>
      <c r="P1934" s="13">
        <v>1.4631740408799501</v>
      </c>
    </row>
    <row r="1935" spans="11:16" x14ac:dyDescent="0.3">
      <c r="K1935" s="14" t="s">
        <v>105</v>
      </c>
      <c r="L1935">
        <v>203.13</v>
      </c>
      <c r="M1935">
        <v>125.8681</v>
      </c>
      <c r="N1935">
        <v>360.01</v>
      </c>
      <c r="O1935">
        <v>288.61</v>
      </c>
      <c r="P1935" s="13">
        <v>1.46426215307855</v>
      </c>
    </row>
    <row r="1936" spans="11:16" x14ac:dyDescent="0.3">
      <c r="K1936" s="14" t="s">
        <v>105</v>
      </c>
      <c r="L1936">
        <v>203.13</v>
      </c>
      <c r="M1936">
        <v>155.38200000000001</v>
      </c>
      <c r="N1936">
        <v>300.01</v>
      </c>
      <c r="O1936">
        <v>298.08</v>
      </c>
      <c r="P1936" s="13">
        <v>1.46442096081589</v>
      </c>
    </row>
    <row r="1937" spans="11:16" x14ac:dyDescent="0.3">
      <c r="K1937" s="14" t="s">
        <v>105</v>
      </c>
      <c r="L1937">
        <v>202.69</v>
      </c>
      <c r="M1937">
        <v>129.77430000000001</v>
      </c>
      <c r="N1937">
        <v>260.01</v>
      </c>
      <c r="O1937">
        <v>273.06</v>
      </c>
      <c r="P1937" s="13">
        <v>1.46512451475866</v>
      </c>
    </row>
    <row r="1938" spans="11:16" x14ac:dyDescent="0.3">
      <c r="K1938" s="14" t="s">
        <v>105</v>
      </c>
      <c r="L1938">
        <v>203.13</v>
      </c>
      <c r="M1938">
        <v>107.7474</v>
      </c>
      <c r="N1938">
        <v>288.01</v>
      </c>
      <c r="O1938">
        <v>263.26</v>
      </c>
      <c r="P1938" s="13">
        <v>1.4653194560510501</v>
      </c>
    </row>
    <row r="1939" spans="11:16" x14ac:dyDescent="0.3">
      <c r="K1939" s="14" t="s">
        <v>105</v>
      </c>
      <c r="L1939">
        <v>203.13</v>
      </c>
      <c r="M1939">
        <v>106.3368</v>
      </c>
      <c r="N1939">
        <v>400.02</v>
      </c>
      <c r="O1939">
        <v>281.11</v>
      </c>
      <c r="P1939" s="13">
        <v>1.47085482551314</v>
      </c>
    </row>
    <row r="1940" spans="11:16" x14ac:dyDescent="0.3">
      <c r="K1940" s="14" t="s">
        <v>105</v>
      </c>
      <c r="L1940">
        <v>202.69</v>
      </c>
      <c r="M1940">
        <v>140.625</v>
      </c>
      <c r="N1940">
        <v>260.01</v>
      </c>
      <c r="O1940">
        <v>278.70999999999998</v>
      </c>
      <c r="P1940" s="13">
        <v>1.47435542319974</v>
      </c>
    </row>
    <row r="1941" spans="11:16" x14ac:dyDescent="0.3">
      <c r="K1941" s="14" t="s">
        <v>105</v>
      </c>
      <c r="L1941">
        <v>202.69</v>
      </c>
      <c r="M1941">
        <v>122.2873</v>
      </c>
      <c r="N1941">
        <v>255.01</v>
      </c>
      <c r="O1941">
        <v>265.31</v>
      </c>
      <c r="P1941" s="13">
        <v>1.4748026836530801</v>
      </c>
    </row>
    <row r="1942" spans="11:16" x14ac:dyDescent="0.3">
      <c r="K1942" s="14" t="s">
        <v>105</v>
      </c>
      <c r="L1942">
        <v>203.56</v>
      </c>
      <c r="M1942">
        <v>113.1728</v>
      </c>
      <c r="N1942">
        <v>350.01</v>
      </c>
      <c r="O1942">
        <v>276.42</v>
      </c>
      <c r="P1942" s="13">
        <v>1.47505752116345</v>
      </c>
    </row>
    <row r="1943" spans="11:16" x14ac:dyDescent="0.3">
      <c r="K1943" s="14" t="s">
        <v>105</v>
      </c>
      <c r="L1943">
        <v>203.13</v>
      </c>
      <c r="M1943">
        <v>112.4855</v>
      </c>
      <c r="N1943">
        <v>350.01</v>
      </c>
      <c r="O1943">
        <v>275.66000000000003</v>
      </c>
      <c r="P1943" s="13">
        <v>1.47507110208228</v>
      </c>
    </row>
    <row r="1944" spans="11:16" x14ac:dyDescent="0.3">
      <c r="K1944" s="14" t="s">
        <v>105</v>
      </c>
      <c r="L1944">
        <v>203.13</v>
      </c>
      <c r="M1944">
        <v>126.8446</v>
      </c>
      <c r="N1944">
        <v>299.41000000000003</v>
      </c>
      <c r="O1944">
        <v>276.25</v>
      </c>
      <c r="P1944" s="13">
        <v>1.4762758371040701</v>
      </c>
    </row>
    <row r="1945" spans="11:16" x14ac:dyDescent="0.3">
      <c r="K1945" s="14" t="s">
        <v>105</v>
      </c>
      <c r="L1945">
        <v>203.13</v>
      </c>
      <c r="M1945">
        <v>122.0703</v>
      </c>
      <c r="N1945">
        <v>300.01</v>
      </c>
      <c r="O1945">
        <v>272.74</v>
      </c>
      <c r="P1945" s="13">
        <v>1.4783416440566099</v>
      </c>
    </row>
    <row r="1946" spans="11:16" x14ac:dyDescent="0.3">
      <c r="K1946" s="14" t="s">
        <v>105</v>
      </c>
      <c r="L1946">
        <v>203.13</v>
      </c>
      <c r="M1946">
        <v>110.4601</v>
      </c>
      <c r="N1946">
        <v>430.02</v>
      </c>
      <c r="O1946">
        <v>287.73</v>
      </c>
      <c r="P1946" s="13">
        <v>1.47845306363605</v>
      </c>
    </row>
    <row r="1947" spans="11:16" x14ac:dyDescent="0.3">
      <c r="K1947" s="14" t="s">
        <v>105</v>
      </c>
      <c r="L1947">
        <v>203.13</v>
      </c>
      <c r="M1947">
        <v>132.27000000000001</v>
      </c>
      <c r="N1947">
        <v>220</v>
      </c>
      <c r="O1947">
        <v>265.19</v>
      </c>
      <c r="P1947" s="13">
        <v>1.4804479806930899</v>
      </c>
    </row>
    <row r="1948" spans="11:16" x14ac:dyDescent="0.3">
      <c r="K1948" s="14" t="s">
        <v>105</v>
      </c>
      <c r="L1948">
        <v>203.13</v>
      </c>
      <c r="M1948">
        <v>111.54510000000001</v>
      </c>
      <c r="N1948">
        <v>366.01</v>
      </c>
      <c r="O1948">
        <v>276.79000000000002</v>
      </c>
      <c r="P1948" s="13">
        <v>1.48068102171321</v>
      </c>
    </row>
    <row r="1949" spans="11:16" x14ac:dyDescent="0.3">
      <c r="K1949" s="14" t="s">
        <v>105</v>
      </c>
      <c r="L1949">
        <v>202.69</v>
      </c>
      <c r="M1949">
        <v>144.63980000000001</v>
      </c>
      <c r="N1949">
        <v>300.01</v>
      </c>
      <c r="O1949">
        <v>286.86</v>
      </c>
      <c r="P1949" s="13">
        <v>1.48271770201492</v>
      </c>
    </row>
    <row r="1950" spans="11:16" x14ac:dyDescent="0.3">
      <c r="K1950" s="14" t="s">
        <v>105</v>
      </c>
      <c r="L1950">
        <v>210.5</v>
      </c>
      <c r="M1950">
        <v>88.541700000000006</v>
      </c>
      <c r="N1950">
        <v>400.02</v>
      </c>
      <c r="O1950">
        <v>271.58999999999997</v>
      </c>
      <c r="P1950" s="13">
        <v>1.48402702603189</v>
      </c>
    </row>
    <row r="1951" spans="11:16" x14ac:dyDescent="0.3">
      <c r="K1951" s="14" t="s">
        <v>105</v>
      </c>
      <c r="L1951">
        <v>203.13</v>
      </c>
      <c r="M1951">
        <v>115.1259</v>
      </c>
      <c r="N1951">
        <v>400.02</v>
      </c>
      <c r="O1951">
        <v>284.01</v>
      </c>
      <c r="P1951" s="13">
        <v>1.48678250765818</v>
      </c>
    </row>
    <row r="1952" spans="11:16" x14ac:dyDescent="0.3">
      <c r="K1952" s="14" t="s">
        <v>105</v>
      </c>
      <c r="L1952">
        <v>195.75</v>
      </c>
      <c r="M1952">
        <v>76.822900000000004</v>
      </c>
      <c r="N1952">
        <v>400.02</v>
      </c>
      <c r="O1952">
        <v>253.21</v>
      </c>
      <c r="P1952" s="13">
        <v>1.4872165396311401</v>
      </c>
    </row>
    <row r="1953" spans="11:16" x14ac:dyDescent="0.3">
      <c r="K1953" s="14" t="s">
        <v>105</v>
      </c>
      <c r="L1953">
        <v>203.56</v>
      </c>
      <c r="M1953">
        <v>111.2196</v>
      </c>
      <c r="N1953">
        <v>333.01</v>
      </c>
      <c r="O1953">
        <v>269.62</v>
      </c>
      <c r="P1953" s="13">
        <v>1.4886217639641</v>
      </c>
    </row>
    <row r="1954" spans="11:16" x14ac:dyDescent="0.3">
      <c r="K1954" s="14" t="s">
        <v>105</v>
      </c>
      <c r="L1954">
        <v>202.69</v>
      </c>
      <c r="M1954">
        <v>116.4641</v>
      </c>
      <c r="N1954">
        <v>300.01</v>
      </c>
      <c r="O1954">
        <v>266.68</v>
      </c>
      <c r="P1954" s="13">
        <v>1.4892631618419101</v>
      </c>
    </row>
    <row r="1955" spans="11:16" x14ac:dyDescent="0.3">
      <c r="K1955" s="14" t="s">
        <v>105</v>
      </c>
      <c r="L1955">
        <v>203.13</v>
      </c>
      <c r="M1955">
        <v>135.85069999999999</v>
      </c>
      <c r="N1955">
        <v>310.01</v>
      </c>
      <c r="O1955">
        <v>281.69</v>
      </c>
      <c r="P1955" s="13">
        <v>1.48952145976073</v>
      </c>
    </row>
    <row r="1956" spans="11:16" x14ac:dyDescent="0.3">
      <c r="K1956" s="14" t="s">
        <v>105</v>
      </c>
      <c r="L1956">
        <v>203.13</v>
      </c>
      <c r="M1956">
        <v>155.41669999999999</v>
      </c>
      <c r="N1956">
        <v>250.01</v>
      </c>
      <c r="O1956">
        <v>284.26</v>
      </c>
      <c r="P1956" s="13">
        <v>1.4900066840216699</v>
      </c>
    </row>
    <row r="1957" spans="11:16" x14ac:dyDescent="0.3">
      <c r="K1957" s="14" t="s">
        <v>105</v>
      </c>
      <c r="L1957">
        <v>203.13</v>
      </c>
      <c r="M1957">
        <v>113.2089</v>
      </c>
      <c r="N1957">
        <v>300.01</v>
      </c>
      <c r="O1957">
        <v>264.63</v>
      </c>
      <c r="P1957" s="13">
        <v>1.4901617352529899</v>
      </c>
    </row>
    <row r="1958" spans="11:16" x14ac:dyDescent="0.3">
      <c r="K1958" s="14" t="s">
        <v>105</v>
      </c>
      <c r="L1958">
        <v>203.13</v>
      </c>
      <c r="M1958">
        <v>106.3368</v>
      </c>
      <c r="N1958">
        <v>400.02</v>
      </c>
      <c r="O1958">
        <v>277.33</v>
      </c>
      <c r="P1958" s="13">
        <v>1.4909025348862399</v>
      </c>
    </row>
    <row r="1959" spans="11:16" x14ac:dyDescent="0.3">
      <c r="K1959" s="14" t="s">
        <v>105</v>
      </c>
      <c r="L1959">
        <v>210.94</v>
      </c>
      <c r="M1959">
        <v>107.0964</v>
      </c>
      <c r="N1959">
        <v>398.11</v>
      </c>
      <c r="O1959">
        <v>282.01</v>
      </c>
      <c r="P1959" s="13">
        <v>1.4947874188858601</v>
      </c>
    </row>
    <row r="1960" spans="11:16" x14ac:dyDescent="0.3">
      <c r="K1960" s="14" t="s">
        <v>105</v>
      </c>
      <c r="L1960">
        <v>210.5</v>
      </c>
      <c r="M1960">
        <v>140.51650000000001</v>
      </c>
      <c r="N1960">
        <v>300.01</v>
      </c>
      <c r="O1960">
        <v>286.89999999999998</v>
      </c>
      <c r="P1960" s="13">
        <v>1.49536110142907</v>
      </c>
    </row>
    <row r="1961" spans="11:16" x14ac:dyDescent="0.3">
      <c r="K1961" s="14" t="s">
        <v>105</v>
      </c>
      <c r="L1961">
        <v>210.94</v>
      </c>
      <c r="M1961">
        <v>108.4158</v>
      </c>
      <c r="N1961">
        <v>360.01</v>
      </c>
      <c r="O1961">
        <v>275.95</v>
      </c>
      <c r="P1961" s="13">
        <v>1.4964971915202001</v>
      </c>
    </row>
    <row r="1962" spans="11:16" x14ac:dyDescent="0.3">
      <c r="K1962" s="14" t="s">
        <v>105</v>
      </c>
      <c r="L1962">
        <v>210.5</v>
      </c>
      <c r="M1962">
        <v>107.3134</v>
      </c>
      <c r="N1962">
        <v>476.02</v>
      </c>
      <c r="O1962">
        <v>294.64</v>
      </c>
      <c r="P1962" s="13">
        <v>1.4987055389627999</v>
      </c>
    </row>
    <row r="1963" spans="11:16" x14ac:dyDescent="0.3">
      <c r="K1963" s="14" t="s">
        <v>105</v>
      </c>
      <c r="L1963">
        <v>210.5</v>
      </c>
      <c r="M1963">
        <v>107.3134</v>
      </c>
      <c r="N1963">
        <v>400.02</v>
      </c>
      <c r="O1963">
        <v>281.43</v>
      </c>
      <c r="P1963" s="13">
        <v>1.49884020893295</v>
      </c>
    </row>
    <row r="1964" spans="11:16" x14ac:dyDescent="0.3">
      <c r="K1964" s="14" t="s">
        <v>105</v>
      </c>
      <c r="L1964">
        <v>203.13</v>
      </c>
      <c r="M1964">
        <v>123.48090000000001</v>
      </c>
      <c r="N1964">
        <v>333.01</v>
      </c>
      <c r="O1964">
        <v>275.63</v>
      </c>
      <c r="P1964" s="13">
        <v>1.4990875448971399</v>
      </c>
    </row>
    <row r="1965" spans="11:16" x14ac:dyDescent="0.3">
      <c r="K1965" s="14" t="s">
        <v>105</v>
      </c>
      <c r="L1965">
        <v>212.24</v>
      </c>
      <c r="M1965">
        <v>138.1293</v>
      </c>
      <c r="N1965">
        <v>259.01</v>
      </c>
      <c r="O1965">
        <v>278.51</v>
      </c>
      <c r="P1965" s="13">
        <v>1.4998093425729799</v>
      </c>
    </row>
    <row r="1966" spans="11:16" x14ac:dyDescent="0.3">
      <c r="K1966" s="14" t="s">
        <v>105</v>
      </c>
      <c r="L1966">
        <v>202.69</v>
      </c>
      <c r="M1966">
        <v>143.66319999999999</v>
      </c>
      <c r="N1966">
        <v>200</v>
      </c>
      <c r="O1966">
        <v>265.57</v>
      </c>
      <c r="P1966" s="13">
        <v>1.49999322212599</v>
      </c>
    </row>
    <row r="1967" spans="11:16" x14ac:dyDescent="0.3">
      <c r="K1967" s="14" t="s">
        <v>105</v>
      </c>
      <c r="L1967">
        <v>203.13</v>
      </c>
      <c r="M1967">
        <v>104.2752</v>
      </c>
      <c r="N1967">
        <v>480.02</v>
      </c>
      <c r="O1967">
        <v>287.74</v>
      </c>
      <c r="P1967" s="13">
        <v>1.5020866059637199</v>
      </c>
    </row>
    <row r="1968" spans="11:16" x14ac:dyDescent="0.3">
      <c r="K1968" s="14" t="s">
        <v>105</v>
      </c>
      <c r="L1968">
        <v>202.69</v>
      </c>
      <c r="M1968">
        <v>162.83279999999999</v>
      </c>
      <c r="N1968">
        <v>274.41000000000003</v>
      </c>
      <c r="O1968">
        <v>290.62</v>
      </c>
      <c r="P1968" s="13">
        <v>1.5032323996971999</v>
      </c>
    </row>
    <row r="1969" spans="11:16" x14ac:dyDescent="0.3">
      <c r="K1969" s="14" t="s">
        <v>105</v>
      </c>
      <c r="L1969">
        <v>203.13</v>
      </c>
      <c r="M1969">
        <v>134.43870000000001</v>
      </c>
      <c r="N1969">
        <v>300.01</v>
      </c>
      <c r="O1969">
        <v>276.19</v>
      </c>
      <c r="P1969" s="13">
        <v>1.50465730113328</v>
      </c>
    </row>
    <row r="1970" spans="11:16" x14ac:dyDescent="0.3">
      <c r="K1970" s="14" t="s">
        <v>105</v>
      </c>
      <c r="L1970">
        <v>195.75</v>
      </c>
      <c r="M1970">
        <v>154.8742</v>
      </c>
      <c r="N1970">
        <v>350.01</v>
      </c>
      <c r="O1970">
        <v>293.47000000000003</v>
      </c>
      <c r="P1970" s="13">
        <v>1.50484478822367</v>
      </c>
    </row>
    <row r="1971" spans="11:16" x14ac:dyDescent="0.3">
      <c r="K1971" s="14" t="s">
        <v>105</v>
      </c>
      <c r="L1971">
        <v>210.94</v>
      </c>
      <c r="M1971">
        <v>109.158</v>
      </c>
      <c r="N1971">
        <v>380.01</v>
      </c>
      <c r="O1971">
        <v>278.25</v>
      </c>
      <c r="P1971" s="13">
        <v>1.5054828391734101</v>
      </c>
    </row>
    <row r="1972" spans="11:16" x14ac:dyDescent="0.3">
      <c r="K1972" s="14" t="s">
        <v>105</v>
      </c>
      <c r="L1972">
        <v>210.5</v>
      </c>
      <c r="M1972">
        <v>123.48090000000001</v>
      </c>
      <c r="N1972">
        <v>288.01</v>
      </c>
      <c r="O1972">
        <v>271.36</v>
      </c>
      <c r="P1972" s="13">
        <v>1.5067198555424499</v>
      </c>
    </row>
    <row r="1973" spans="11:16" x14ac:dyDescent="0.3">
      <c r="K1973" s="14" t="s">
        <v>105</v>
      </c>
      <c r="L1973">
        <v>203.13</v>
      </c>
      <c r="M1973">
        <v>135.7422</v>
      </c>
      <c r="N1973">
        <v>250.01</v>
      </c>
      <c r="O1973">
        <v>267.88</v>
      </c>
      <c r="P1973" s="13">
        <v>1.5076705987755701</v>
      </c>
    </row>
    <row r="1974" spans="11:16" x14ac:dyDescent="0.3">
      <c r="K1974" s="14" t="s">
        <v>105</v>
      </c>
      <c r="L1974">
        <v>210.5</v>
      </c>
      <c r="M1974">
        <v>122.0877</v>
      </c>
      <c r="N1974">
        <v>350.01</v>
      </c>
      <c r="O1974">
        <v>280.83</v>
      </c>
      <c r="P1974" s="13">
        <v>1.50835131574262</v>
      </c>
    </row>
    <row r="1975" spans="11:16" x14ac:dyDescent="0.3">
      <c r="K1975" s="14" t="s">
        <v>105</v>
      </c>
      <c r="L1975">
        <v>210.94</v>
      </c>
      <c r="M1975">
        <v>110.0984</v>
      </c>
      <c r="N1975">
        <v>300.01</v>
      </c>
      <c r="O1975">
        <v>263.88</v>
      </c>
      <c r="P1975" s="13">
        <v>1.51220630589662</v>
      </c>
    </row>
    <row r="1976" spans="11:16" x14ac:dyDescent="0.3">
      <c r="K1976" s="14" t="s">
        <v>105</v>
      </c>
      <c r="L1976">
        <v>203.13</v>
      </c>
      <c r="M1976">
        <v>139.54</v>
      </c>
      <c r="N1976">
        <v>310.01</v>
      </c>
      <c r="O1976">
        <v>279.10000000000002</v>
      </c>
      <c r="P1976" s="13">
        <v>1.5165625223934101</v>
      </c>
    </row>
    <row r="1977" spans="11:16" x14ac:dyDescent="0.3">
      <c r="K1977" s="14" t="s">
        <v>105</v>
      </c>
      <c r="L1977">
        <v>203.13</v>
      </c>
      <c r="M1977">
        <v>114.4387</v>
      </c>
      <c r="N1977">
        <v>350.01</v>
      </c>
      <c r="O1977">
        <v>269.35000000000002</v>
      </c>
      <c r="P1977" s="13">
        <v>1.5168787822535701</v>
      </c>
    </row>
    <row r="1978" spans="11:16" x14ac:dyDescent="0.3">
      <c r="K1978" s="14" t="s">
        <v>105</v>
      </c>
      <c r="L1978">
        <v>203.56</v>
      </c>
      <c r="M1978">
        <v>115.994</v>
      </c>
      <c r="N1978">
        <v>427.31</v>
      </c>
      <c r="O1978">
        <v>283.73</v>
      </c>
      <c r="P1978" s="13">
        <v>1.5178324463398301</v>
      </c>
    </row>
    <row r="1979" spans="11:16" x14ac:dyDescent="0.3">
      <c r="K1979" s="14" t="s">
        <v>105</v>
      </c>
      <c r="L1979">
        <v>210.94</v>
      </c>
      <c r="M1979">
        <v>133.78909999999999</v>
      </c>
      <c r="N1979">
        <v>300.01</v>
      </c>
      <c r="O1979">
        <v>278.27</v>
      </c>
      <c r="P1979" s="13">
        <v>1.51914220002156</v>
      </c>
    </row>
    <row r="1980" spans="11:16" x14ac:dyDescent="0.3">
      <c r="K1980" s="14" t="s">
        <v>105</v>
      </c>
      <c r="L1980">
        <v>150.61000000000001</v>
      </c>
      <c r="M1980">
        <v>157.33510000000001</v>
      </c>
      <c r="N1980">
        <v>400.11</v>
      </c>
      <c r="O1980">
        <v>270.45</v>
      </c>
      <c r="P1980" s="13">
        <v>1.5232897023479399</v>
      </c>
    </row>
    <row r="1981" spans="11:16" x14ac:dyDescent="0.3">
      <c r="K1981" s="14" t="s">
        <v>105</v>
      </c>
      <c r="L1981">
        <v>202.69</v>
      </c>
      <c r="M1981">
        <v>126.0851</v>
      </c>
      <c r="N1981">
        <v>300.01</v>
      </c>
      <c r="O1981">
        <v>266.97000000000003</v>
      </c>
      <c r="P1981" s="13">
        <v>1.5236831853766299</v>
      </c>
    </row>
    <row r="1982" spans="11:16" x14ac:dyDescent="0.3">
      <c r="K1982" s="14" t="s">
        <v>105</v>
      </c>
      <c r="L1982">
        <v>203.13</v>
      </c>
      <c r="M1982">
        <v>135.41669999999999</v>
      </c>
      <c r="N1982">
        <v>310.10000000000002</v>
      </c>
      <c r="O1982">
        <v>275.07</v>
      </c>
      <c r="P1982" s="13">
        <v>1.52387646780819</v>
      </c>
    </row>
    <row r="1983" spans="11:16" x14ac:dyDescent="0.3">
      <c r="K1983" s="14" t="s">
        <v>105</v>
      </c>
      <c r="L1983">
        <v>210.5</v>
      </c>
      <c r="M1983">
        <v>85.611999999999995</v>
      </c>
      <c r="N1983">
        <v>500.02</v>
      </c>
      <c r="O1983">
        <v>279</v>
      </c>
      <c r="P1983" s="13">
        <v>1.5273017921147001</v>
      </c>
    </row>
    <row r="1984" spans="11:16" x14ac:dyDescent="0.3">
      <c r="K1984" s="14" t="s">
        <v>105</v>
      </c>
      <c r="L1984">
        <v>203.13</v>
      </c>
      <c r="M1984">
        <v>148.97999999999999</v>
      </c>
      <c r="N1984">
        <v>300.01</v>
      </c>
      <c r="O1984">
        <v>280.81</v>
      </c>
      <c r="P1984" s="13">
        <v>1.5316854812862799</v>
      </c>
    </row>
    <row r="1985" spans="11:16" x14ac:dyDescent="0.3">
      <c r="K1985" s="14" t="s">
        <v>105</v>
      </c>
      <c r="L1985">
        <v>203.13</v>
      </c>
      <c r="M1985">
        <v>137.8038</v>
      </c>
      <c r="N1985">
        <v>400.02</v>
      </c>
      <c r="O1985">
        <v>290.35000000000002</v>
      </c>
      <c r="P1985" s="13">
        <v>1.53242293783365</v>
      </c>
    </row>
    <row r="1986" spans="11:16" x14ac:dyDescent="0.3">
      <c r="K1986" s="14" t="s">
        <v>105</v>
      </c>
      <c r="L1986">
        <v>210.5</v>
      </c>
      <c r="M1986">
        <v>152.5608</v>
      </c>
      <c r="N1986">
        <v>200</v>
      </c>
      <c r="O1986">
        <v>270</v>
      </c>
      <c r="P1986" s="13">
        <v>1.5372622222222201</v>
      </c>
    </row>
    <row r="1987" spans="11:16" x14ac:dyDescent="0.3">
      <c r="K1987" s="14" t="s">
        <v>105</v>
      </c>
      <c r="L1987">
        <v>210.5</v>
      </c>
      <c r="M1987">
        <v>121.20229999999999</v>
      </c>
      <c r="N1987">
        <v>380.01</v>
      </c>
      <c r="O1987">
        <v>279.39</v>
      </c>
      <c r="P1987" s="13">
        <v>1.54087440495365</v>
      </c>
    </row>
    <row r="1988" spans="11:16" x14ac:dyDescent="0.3">
      <c r="K1988" s="14" t="s">
        <v>105</v>
      </c>
      <c r="L1988">
        <v>203.13</v>
      </c>
      <c r="M1988">
        <v>112.3047</v>
      </c>
      <c r="N1988">
        <v>487.11</v>
      </c>
      <c r="O1988">
        <v>286.89999999999998</v>
      </c>
      <c r="P1988" s="13">
        <v>1.5408968281631199</v>
      </c>
    </row>
    <row r="1989" spans="11:16" x14ac:dyDescent="0.3">
      <c r="K1989" s="14" t="s">
        <v>105</v>
      </c>
      <c r="L1989">
        <v>210.94</v>
      </c>
      <c r="M1989">
        <v>149.64840000000001</v>
      </c>
      <c r="N1989">
        <v>195</v>
      </c>
      <c r="O1989">
        <v>265.57</v>
      </c>
      <c r="P1989" s="13">
        <v>1.5487005309334601</v>
      </c>
    </row>
    <row r="1990" spans="11:16" x14ac:dyDescent="0.3">
      <c r="K1990" s="14" t="s">
        <v>105</v>
      </c>
      <c r="L1990">
        <v>202.26</v>
      </c>
      <c r="M1990">
        <v>115.9939</v>
      </c>
      <c r="N1990">
        <v>450.02</v>
      </c>
      <c r="O1990">
        <v>280.54000000000002</v>
      </c>
      <c r="P1990" s="13">
        <v>1.5515045982747599</v>
      </c>
    </row>
    <row r="1991" spans="11:16" x14ac:dyDescent="0.3">
      <c r="K1991" s="14" t="s">
        <v>105</v>
      </c>
      <c r="L1991">
        <v>202.69</v>
      </c>
      <c r="M1991">
        <v>137.29740000000001</v>
      </c>
      <c r="N1991">
        <v>300.01</v>
      </c>
      <c r="O1991">
        <v>268.16000000000003</v>
      </c>
      <c r="P1991" s="13">
        <v>1.5587335918854399</v>
      </c>
    </row>
    <row r="1992" spans="11:16" x14ac:dyDescent="0.3">
      <c r="K1992" s="14" t="s">
        <v>105</v>
      </c>
      <c r="L1992">
        <v>203.13</v>
      </c>
      <c r="M1992">
        <v>123.91500000000001</v>
      </c>
      <c r="N1992">
        <v>440.02</v>
      </c>
      <c r="O1992">
        <v>282.26</v>
      </c>
      <c r="P1992" s="13">
        <v>1.56398426982215</v>
      </c>
    </row>
    <row r="1993" spans="11:16" x14ac:dyDescent="0.3">
      <c r="K1993" s="14" t="s">
        <v>105</v>
      </c>
      <c r="L1993">
        <v>203.13</v>
      </c>
      <c r="M1993">
        <v>175.4905</v>
      </c>
      <c r="N1993">
        <v>130.1</v>
      </c>
      <c r="O1993">
        <v>263.26</v>
      </c>
      <c r="P1993" s="13">
        <v>1.566688824736</v>
      </c>
    </row>
    <row r="1994" spans="11:16" x14ac:dyDescent="0.3">
      <c r="K1994" s="14" t="s">
        <v>105</v>
      </c>
      <c r="L1994">
        <v>203.13</v>
      </c>
      <c r="M1994">
        <v>94.509600000000006</v>
      </c>
      <c r="N1994">
        <v>470.12</v>
      </c>
      <c r="O1994">
        <v>267.85000000000002</v>
      </c>
      <c r="P1994" s="13">
        <v>1.5675594549188001</v>
      </c>
    </row>
    <row r="1995" spans="11:16" x14ac:dyDescent="0.3">
      <c r="K1995" s="14" t="s">
        <v>105</v>
      </c>
      <c r="L1995">
        <v>195.75</v>
      </c>
      <c r="M1995">
        <v>132.6678</v>
      </c>
      <c r="N1995">
        <v>350.01</v>
      </c>
      <c r="O1995">
        <v>266.45</v>
      </c>
      <c r="P1995" s="13">
        <v>1.5741054606868099</v>
      </c>
    </row>
    <row r="1996" spans="11:16" x14ac:dyDescent="0.3">
      <c r="K1996" s="14" t="s">
        <v>105</v>
      </c>
      <c r="L1996">
        <v>203.13</v>
      </c>
      <c r="M1996">
        <v>153.7182</v>
      </c>
      <c r="N1996">
        <v>333.01</v>
      </c>
      <c r="O1996">
        <v>281.63</v>
      </c>
      <c r="P1996" s="13">
        <v>1.57451549905905</v>
      </c>
    </row>
    <row r="1997" spans="11:16" x14ac:dyDescent="0.3">
      <c r="K1997" s="14" t="s">
        <v>105</v>
      </c>
      <c r="L1997">
        <v>203.13</v>
      </c>
      <c r="M1997">
        <v>115.9939</v>
      </c>
      <c r="N1997">
        <v>412.41</v>
      </c>
      <c r="O1997">
        <v>270.77999999999997</v>
      </c>
      <c r="P1997" s="13">
        <v>1.5745272915281801</v>
      </c>
    </row>
    <row r="1998" spans="11:16" x14ac:dyDescent="0.3">
      <c r="K1998" s="14" t="s">
        <v>105</v>
      </c>
      <c r="L1998">
        <v>209.64</v>
      </c>
      <c r="M1998">
        <v>89.6267</v>
      </c>
      <c r="N1998">
        <v>510.11</v>
      </c>
      <c r="O1998">
        <v>273.95999999999998</v>
      </c>
      <c r="P1998" s="13">
        <v>1.57649036355672</v>
      </c>
    </row>
    <row r="1999" spans="11:16" x14ac:dyDescent="0.3">
      <c r="K1999" s="14" t="s">
        <v>105</v>
      </c>
      <c r="L1999">
        <v>210.5</v>
      </c>
      <c r="M1999">
        <v>143.77170000000001</v>
      </c>
      <c r="N1999">
        <v>280.01</v>
      </c>
      <c r="O1999">
        <v>270.73</v>
      </c>
      <c r="P1999" s="13">
        <v>1.5774915967938501</v>
      </c>
    </row>
    <row r="2000" spans="11:16" x14ac:dyDescent="0.3">
      <c r="K2000" s="14" t="s">
        <v>105</v>
      </c>
      <c r="L2000">
        <v>195.31</v>
      </c>
      <c r="M2000">
        <v>105.2517</v>
      </c>
      <c r="N2000">
        <v>533.11</v>
      </c>
      <c r="O2000">
        <v>278.23</v>
      </c>
      <c r="P2000" s="13">
        <v>1.57844337418682</v>
      </c>
    </row>
    <row r="2001" spans="11:16" x14ac:dyDescent="0.3">
      <c r="K2001" s="14" t="s">
        <v>105</v>
      </c>
      <c r="L2001">
        <v>210.5</v>
      </c>
      <c r="M2001">
        <v>107.85590000000001</v>
      </c>
      <c r="N2001">
        <v>500.92</v>
      </c>
      <c r="O2001">
        <v>283.69</v>
      </c>
      <c r="P2001" s="13">
        <v>1.5812862631745901</v>
      </c>
    </row>
    <row r="2002" spans="11:16" x14ac:dyDescent="0.3">
      <c r="K2002" s="14" t="s">
        <v>105</v>
      </c>
      <c r="L2002">
        <v>203.13</v>
      </c>
      <c r="M2002">
        <v>123.9149</v>
      </c>
      <c r="N2002">
        <v>450.11</v>
      </c>
      <c r="O2002">
        <v>279.27</v>
      </c>
      <c r="P2002" s="13">
        <v>1.59012246213342</v>
      </c>
    </row>
    <row r="2003" spans="11:16" x14ac:dyDescent="0.3">
      <c r="K2003" s="14" t="s">
        <v>105</v>
      </c>
      <c r="M2003">
        <v>260.81169999999997</v>
      </c>
      <c r="N2003">
        <v>718.92</v>
      </c>
      <c r="O2003">
        <v>281.42</v>
      </c>
      <c r="P2003" s="13">
        <v>1.5909704356477901</v>
      </c>
    </row>
    <row r="2004" spans="11:16" x14ac:dyDescent="0.3">
      <c r="K2004" s="14" t="s">
        <v>105</v>
      </c>
      <c r="L2004">
        <v>203.13</v>
      </c>
      <c r="M2004">
        <v>130.136</v>
      </c>
      <c r="N2004">
        <v>400.11</v>
      </c>
      <c r="O2004">
        <v>274.45</v>
      </c>
      <c r="P2004" s="13">
        <v>1.5933488795773401</v>
      </c>
    </row>
    <row r="2005" spans="11:16" x14ac:dyDescent="0.3">
      <c r="K2005" s="14" t="s">
        <v>105</v>
      </c>
      <c r="L2005">
        <v>210.94</v>
      </c>
      <c r="M2005">
        <v>102.32210000000001</v>
      </c>
      <c r="N2005">
        <v>439.72</v>
      </c>
      <c r="O2005">
        <v>267.32</v>
      </c>
      <c r="P2005" s="13">
        <v>1.5995409995511001</v>
      </c>
    </row>
    <row r="2006" spans="11:16" x14ac:dyDescent="0.3">
      <c r="K2006" s="14" t="s">
        <v>105</v>
      </c>
      <c r="L2006">
        <v>210.94</v>
      </c>
      <c r="M2006">
        <v>121.9618</v>
      </c>
      <c r="N2006">
        <v>366.01</v>
      </c>
      <c r="O2006">
        <v>267.60000000000002</v>
      </c>
      <c r="P2006" s="13">
        <v>1.5996427503736901</v>
      </c>
    </row>
    <row r="2007" spans="11:16" x14ac:dyDescent="0.3">
      <c r="K2007" s="14" t="s">
        <v>105</v>
      </c>
      <c r="L2007">
        <v>202.69</v>
      </c>
      <c r="M2007">
        <v>127.53189999999999</v>
      </c>
      <c r="N2007">
        <v>360.11</v>
      </c>
      <c r="O2007">
        <v>264.72000000000003</v>
      </c>
      <c r="P2007" s="13">
        <v>1.6011276065276501</v>
      </c>
    </row>
    <row r="2008" spans="11:16" x14ac:dyDescent="0.3">
      <c r="K2008" s="14" t="s">
        <v>105</v>
      </c>
      <c r="L2008">
        <v>203.13</v>
      </c>
      <c r="M2008">
        <v>144.4589</v>
      </c>
      <c r="N2008">
        <v>360.1</v>
      </c>
      <c r="O2008">
        <v>274.79000000000002</v>
      </c>
      <c r="P2008" s="13">
        <v>1.60564394628625</v>
      </c>
    </row>
    <row r="2009" spans="11:16" x14ac:dyDescent="0.3">
      <c r="K2009" s="14" t="s">
        <v>105</v>
      </c>
      <c r="L2009">
        <v>203.13</v>
      </c>
      <c r="M2009">
        <v>139.75700000000001</v>
      </c>
      <c r="N2009">
        <v>333.01</v>
      </c>
      <c r="O2009">
        <v>266.69</v>
      </c>
      <c r="P2009" s="13">
        <v>1.6103700926169</v>
      </c>
    </row>
    <row r="2010" spans="11:16" x14ac:dyDescent="0.3">
      <c r="K2010" s="14" t="s">
        <v>105</v>
      </c>
      <c r="L2010">
        <v>203.13</v>
      </c>
      <c r="M2010">
        <v>166.23269999999999</v>
      </c>
      <c r="N2010">
        <v>230</v>
      </c>
      <c r="O2010">
        <v>265.56</v>
      </c>
      <c r="P2010" s="13">
        <v>1.6160668022292499</v>
      </c>
    </row>
    <row r="2011" spans="11:16" x14ac:dyDescent="0.3">
      <c r="K2011" s="14" t="s">
        <v>105</v>
      </c>
      <c r="L2011">
        <v>203.13</v>
      </c>
      <c r="M2011">
        <v>146.59280000000001</v>
      </c>
      <c r="N2011">
        <v>380.9</v>
      </c>
      <c r="O2011">
        <v>276.2</v>
      </c>
      <c r="P2011" s="13">
        <v>1.62475307748009</v>
      </c>
    </row>
    <row r="2012" spans="11:16" x14ac:dyDescent="0.3">
      <c r="K2012" s="14" t="s">
        <v>105</v>
      </c>
      <c r="L2012">
        <v>203.13</v>
      </c>
      <c r="M2012">
        <v>85.611999999999995</v>
      </c>
      <c r="N2012">
        <v>630.02</v>
      </c>
      <c r="O2012">
        <v>278.52999999999997</v>
      </c>
      <c r="P2012" s="13">
        <v>1.6247700427242999</v>
      </c>
    </row>
    <row r="2013" spans="11:16" x14ac:dyDescent="0.3">
      <c r="K2013" s="14" t="s">
        <v>105</v>
      </c>
      <c r="L2013">
        <v>203.13</v>
      </c>
      <c r="M2013">
        <v>143.5547</v>
      </c>
      <c r="N2013">
        <v>371.2</v>
      </c>
      <c r="O2013">
        <v>272.76</v>
      </c>
      <c r="P2013" s="13">
        <v>1.6248595835166399</v>
      </c>
    </row>
    <row r="2014" spans="11:16" x14ac:dyDescent="0.3">
      <c r="K2014" s="14" t="s">
        <v>105</v>
      </c>
      <c r="L2014">
        <v>203.13</v>
      </c>
      <c r="M2014">
        <v>111.1835</v>
      </c>
      <c r="N2014">
        <v>580.02</v>
      </c>
      <c r="O2014">
        <v>284.82</v>
      </c>
      <c r="P2014" s="13">
        <v>1.63302682395899</v>
      </c>
    </row>
    <row r="2015" spans="11:16" x14ac:dyDescent="0.3">
      <c r="K2015" s="14" t="s">
        <v>105</v>
      </c>
      <c r="L2015">
        <v>203.13</v>
      </c>
      <c r="M2015">
        <v>131.3657</v>
      </c>
      <c r="N2015">
        <v>400.02</v>
      </c>
      <c r="O2015">
        <v>268.35000000000002</v>
      </c>
      <c r="P2015" s="13">
        <v>1.6340633501024799</v>
      </c>
    </row>
    <row r="2016" spans="11:16" x14ac:dyDescent="0.3">
      <c r="K2016" s="14" t="s">
        <v>105</v>
      </c>
      <c r="L2016">
        <v>203.13</v>
      </c>
      <c r="M2016">
        <v>227.64750000000001</v>
      </c>
      <c r="N2016">
        <v>55.1</v>
      </c>
      <c r="O2016">
        <v>271.93</v>
      </c>
      <c r="P2016" s="13">
        <v>1.63683116978634</v>
      </c>
    </row>
    <row r="2017" spans="11:16" x14ac:dyDescent="0.3">
      <c r="K2017" s="14" t="s">
        <v>105</v>
      </c>
      <c r="L2017">
        <v>203.13</v>
      </c>
      <c r="M2017">
        <v>106.1198</v>
      </c>
      <c r="N2017">
        <v>522.01</v>
      </c>
      <c r="O2017">
        <v>271.29000000000002</v>
      </c>
      <c r="P2017" s="13">
        <v>1.6402093700468099</v>
      </c>
    </row>
    <row r="2018" spans="11:16" x14ac:dyDescent="0.3">
      <c r="K2018" s="14" t="s">
        <v>105</v>
      </c>
      <c r="L2018">
        <v>203.13</v>
      </c>
      <c r="M2018">
        <v>105.2517</v>
      </c>
      <c r="N2018">
        <v>622.02</v>
      </c>
      <c r="O2018">
        <v>286</v>
      </c>
      <c r="P2018" s="13">
        <v>1.6437304195804201</v>
      </c>
    </row>
    <row r="2019" spans="11:16" x14ac:dyDescent="0.3">
      <c r="K2019" s="14" t="s">
        <v>105</v>
      </c>
      <c r="L2019">
        <v>210.5</v>
      </c>
      <c r="M2019">
        <v>164.27950000000001</v>
      </c>
      <c r="N2019">
        <v>300.01</v>
      </c>
      <c r="O2019">
        <v>273.36</v>
      </c>
      <c r="P2019" s="13">
        <v>1.6563582821188201</v>
      </c>
    </row>
    <row r="2020" spans="11:16" x14ac:dyDescent="0.3">
      <c r="K2020" s="14" t="s">
        <v>105</v>
      </c>
      <c r="L2020">
        <v>203.56</v>
      </c>
      <c r="M2020">
        <v>137.29750000000001</v>
      </c>
      <c r="N2020">
        <v>470.01</v>
      </c>
      <c r="O2020">
        <v>279.39999999999998</v>
      </c>
      <c r="P2020" s="13">
        <v>1.65733750894775</v>
      </c>
    </row>
    <row r="2021" spans="11:16" x14ac:dyDescent="0.3">
      <c r="K2021" s="14" t="s">
        <v>105</v>
      </c>
      <c r="L2021">
        <v>203.13</v>
      </c>
      <c r="M2021">
        <v>138.67189999999999</v>
      </c>
      <c r="N2021">
        <v>410.01</v>
      </c>
      <c r="O2021">
        <v>266.76</v>
      </c>
      <c r="P2021" s="13">
        <v>1.6809285500075</v>
      </c>
    </row>
    <row r="2022" spans="11:16" x14ac:dyDescent="0.3">
      <c r="K2022" s="14" t="s">
        <v>105</v>
      </c>
      <c r="L2022">
        <v>202.69</v>
      </c>
      <c r="M2022">
        <v>127.0964</v>
      </c>
      <c r="N2022">
        <v>530.11</v>
      </c>
      <c r="O2022">
        <v>277.38</v>
      </c>
      <c r="P2022" s="13">
        <v>1.6858281058475699</v>
      </c>
    </row>
    <row r="2023" spans="11:16" x14ac:dyDescent="0.3">
      <c r="K2023" s="14" t="s">
        <v>105</v>
      </c>
      <c r="L2023">
        <v>203.13</v>
      </c>
      <c r="M2023">
        <v>153.8802</v>
      </c>
      <c r="N2023">
        <v>400.11</v>
      </c>
      <c r="O2023">
        <v>273.36</v>
      </c>
      <c r="P2023" s="13">
        <v>1.6865627743634799</v>
      </c>
    </row>
    <row r="2024" spans="11:16" x14ac:dyDescent="0.3">
      <c r="K2024" s="14" t="s">
        <v>105</v>
      </c>
      <c r="L2024">
        <v>195.31</v>
      </c>
      <c r="M2024">
        <v>114.0408</v>
      </c>
      <c r="N2024">
        <v>633.02</v>
      </c>
      <c r="O2024">
        <v>280.48</v>
      </c>
      <c r="P2024" s="13">
        <v>1.6897318881916701</v>
      </c>
    </row>
    <row r="2025" spans="11:16" x14ac:dyDescent="0.3">
      <c r="K2025" s="14" t="s">
        <v>105</v>
      </c>
      <c r="L2025">
        <v>203.13</v>
      </c>
      <c r="M2025">
        <v>206.4888</v>
      </c>
      <c r="N2025">
        <v>300.01</v>
      </c>
      <c r="O2025">
        <v>286.33999999999997</v>
      </c>
      <c r="P2025" s="13">
        <v>1.7029454494656699</v>
      </c>
    </row>
    <row r="2026" spans="11:16" x14ac:dyDescent="0.3">
      <c r="K2026" s="14" t="s">
        <v>105</v>
      </c>
      <c r="L2026">
        <v>203.13</v>
      </c>
      <c r="M2026">
        <v>162.7604</v>
      </c>
      <c r="N2026">
        <v>430.02</v>
      </c>
      <c r="O2026">
        <v>275.02</v>
      </c>
      <c r="P2026" s="13">
        <v>1.7369485855574101</v>
      </c>
    </row>
    <row r="2027" spans="11:16" x14ac:dyDescent="0.3">
      <c r="K2027" s="14" t="s">
        <v>105</v>
      </c>
      <c r="L2027">
        <v>210.94</v>
      </c>
      <c r="M2027">
        <v>161.60300000000001</v>
      </c>
      <c r="N2027">
        <v>300.01</v>
      </c>
      <c r="O2027">
        <v>258.62</v>
      </c>
      <c r="P2027" s="13">
        <v>1.74211429897146</v>
      </c>
    </row>
    <row r="2028" spans="11:16" x14ac:dyDescent="0.3">
      <c r="K2028" s="14" t="s">
        <v>105</v>
      </c>
      <c r="L2028">
        <v>202.26</v>
      </c>
      <c r="M2028">
        <v>188.8021</v>
      </c>
      <c r="N2028">
        <v>331</v>
      </c>
      <c r="O2028">
        <v>269.89999999999998</v>
      </c>
      <c r="P2028" s="13">
        <v>1.76777361985921</v>
      </c>
    </row>
    <row r="2029" spans="11:16" x14ac:dyDescent="0.3">
      <c r="K2029" s="14" t="s">
        <v>105</v>
      </c>
      <c r="M2029">
        <v>369.17099999999999</v>
      </c>
      <c r="N2029">
        <v>450.02</v>
      </c>
      <c r="O2029">
        <v>273.92</v>
      </c>
      <c r="P2029" s="13">
        <v>1.77488390771028</v>
      </c>
    </row>
    <row r="2030" spans="11:16" x14ac:dyDescent="0.3">
      <c r="K2030" s="14" t="s">
        <v>105</v>
      </c>
      <c r="L2030">
        <v>202.69</v>
      </c>
      <c r="M2030">
        <v>202.691</v>
      </c>
      <c r="N2030">
        <v>370.01</v>
      </c>
      <c r="O2030">
        <v>274.49</v>
      </c>
      <c r="P2030" s="13">
        <v>1.8273292287514999</v>
      </c>
    </row>
    <row r="2031" spans="11:16" x14ac:dyDescent="0.3">
      <c r="K2031" s="14" t="s">
        <v>105</v>
      </c>
      <c r="L2031">
        <v>203.13</v>
      </c>
      <c r="M2031">
        <v>156.32230000000001</v>
      </c>
      <c r="N2031">
        <v>833.03</v>
      </c>
      <c r="O2031">
        <v>287.75</v>
      </c>
      <c r="P2031" s="13">
        <v>2.0018769765421398</v>
      </c>
    </row>
    <row r="2032" spans="11:16" x14ac:dyDescent="0.3">
      <c r="K2032" s="14" t="s">
        <v>105</v>
      </c>
      <c r="L2032">
        <v>406.68</v>
      </c>
      <c r="M2032">
        <v>86.371499999999997</v>
      </c>
      <c r="N2032">
        <v>200</v>
      </c>
      <c r="O2032">
        <v>271.61</v>
      </c>
      <c r="P2032" s="13">
        <v>2.0067431243326799</v>
      </c>
    </row>
    <row r="2033" spans="11:16" x14ac:dyDescent="0.3">
      <c r="K2033" s="14" t="s">
        <v>105</v>
      </c>
      <c r="L2033">
        <v>406.25</v>
      </c>
      <c r="M2033">
        <v>85.720500000000001</v>
      </c>
      <c r="N2033">
        <v>230</v>
      </c>
      <c r="O2033">
        <v>269.32</v>
      </c>
      <c r="P2033" s="13">
        <v>2.0487542700133701</v>
      </c>
    </row>
    <row r="2034" spans="11:16" x14ac:dyDescent="0.3">
      <c r="K2034" s="14" t="s">
        <v>145</v>
      </c>
      <c r="L2034">
        <v>203.13</v>
      </c>
      <c r="M2034">
        <v>79.210099999999997</v>
      </c>
      <c r="N2034">
        <v>80.099999999999994</v>
      </c>
      <c r="O2034">
        <v>286.32</v>
      </c>
      <c r="P2034" s="13">
        <v>1.0588366163732901</v>
      </c>
    </row>
    <row r="2035" spans="11:16" x14ac:dyDescent="0.3">
      <c r="K2035" s="14" t="s">
        <v>145</v>
      </c>
      <c r="L2035">
        <v>203.13</v>
      </c>
      <c r="M2035">
        <v>84.635400000000004</v>
      </c>
      <c r="N2035">
        <v>170</v>
      </c>
      <c r="O2035">
        <v>290.63</v>
      </c>
      <c r="P2035" s="13">
        <v>1.14222688641916</v>
      </c>
    </row>
    <row r="2036" spans="11:16" x14ac:dyDescent="0.3">
      <c r="K2036" s="14" t="s">
        <v>145</v>
      </c>
      <c r="L2036">
        <v>203.13</v>
      </c>
      <c r="M2036">
        <v>73.784700000000001</v>
      </c>
      <c r="N2036">
        <v>270.01</v>
      </c>
      <c r="O2036">
        <v>300.14</v>
      </c>
      <c r="P2036" s="13">
        <v>1.15651795828613</v>
      </c>
    </row>
    <row r="2037" spans="11:16" x14ac:dyDescent="0.3">
      <c r="K2037" s="14" t="s">
        <v>145</v>
      </c>
      <c r="L2037">
        <v>210.94</v>
      </c>
      <c r="M2037">
        <v>90.494799999999998</v>
      </c>
      <c r="N2037">
        <v>80.099999999999994</v>
      </c>
      <c r="O2037">
        <v>278.52999999999997</v>
      </c>
      <c r="P2037" s="13">
        <v>1.1570057085412699</v>
      </c>
    </row>
    <row r="2038" spans="11:16" x14ac:dyDescent="0.3">
      <c r="K2038" s="14" t="s">
        <v>145</v>
      </c>
      <c r="L2038">
        <v>203.13</v>
      </c>
      <c r="M2038">
        <v>98.524299999999997</v>
      </c>
      <c r="N2038">
        <v>110.1</v>
      </c>
      <c r="O2038">
        <v>284.27</v>
      </c>
      <c r="P2038" s="13">
        <v>1.16185422309776</v>
      </c>
    </row>
    <row r="2039" spans="11:16" x14ac:dyDescent="0.3">
      <c r="K2039" s="14" t="s">
        <v>145</v>
      </c>
      <c r="L2039">
        <v>203.13</v>
      </c>
      <c r="M2039">
        <v>90.494799999999998</v>
      </c>
      <c r="N2039">
        <v>160</v>
      </c>
      <c r="O2039">
        <v>286.27</v>
      </c>
      <c r="P2039" s="13">
        <v>1.17100918713103</v>
      </c>
    </row>
    <row r="2040" spans="11:16" x14ac:dyDescent="0.3">
      <c r="K2040" s="14" t="s">
        <v>145</v>
      </c>
      <c r="L2040">
        <v>203.13</v>
      </c>
      <c r="M2040">
        <v>76.822900000000004</v>
      </c>
      <c r="N2040">
        <v>200</v>
      </c>
      <c r="O2040">
        <v>282.83999999999997</v>
      </c>
      <c r="P2040" s="13">
        <v>1.17364198840334</v>
      </c>
    </row>
    <row r="2041" spans="11:16" x14ac:dyDescent="0.3">
      <c r="K2041" s="14" t="s">
        <v>145</v>
      </c>
      <c r="L2041">
        <v>203.13</v>
      </c>
      <c r="M2041">
        <v>74.652799999999999</v>
      </c>
      <c r="N2041">
        <v>210</v>
      </c>
      <c r="O2041">
        <v>283.12</v>
      </c>
      <c r="P2041" s="13">
        <v>1.1739997174343</v>
      </c>
    </row>
    <row r="2042" spans="11:16" x14ac:dyDescent="0.3">
      <c r="K2042" s="14" t="s">
        <v>145</v>
      </c>
      <c r="L2042">
        <v>203.13</v>
      </c>
      <c r="M2042">
        <v>80.729200000000006</v>
      </c>
      <c r="N2042">
        <v>238.01</v>
      </c>
      <c r="O2042">
        <v>293.23</v>
      </c>
      <c r="P2042" s="13">
        <v>1.1790805852061499</v>
      </c>
    </row>
    <row r="2043" spans="11:16" x14ac:dyDescent="0.3">
      <c r="K2043" s="14" t="s">
        <v>145</v>
      </c>
      <c r="L2043">
        <v>203.13</v>
      </c>
      <c r="M2043">
        <v>83.658900000000003</v>
      </c>
      <c r="N2043">
        <v>200</v>
      </c>
      <c r="O2043">
        <v>287.18</v>
      </c>
      <c r="P2043" s="13">
        <v>1.1797092415906401</v>
      </c>
    </row>
    <row r="2044" spans="11:16" x14ac:dyDescent="0.3">
      <c r="K2044" s="14" t="s">
        <v>145</v>
      </c>
      <c r="L2044">
        <v>203.13</v>
      </c>
      <c r="M2044">
        <v>72.482600000000005</v>
      </c>
      <c r="N2044">
        <v>250.01</v>
      </c>
      <c r="O2044">
        <v>288.35000000000002</v>
      </c>
      <c r="P2044" s="13">
        <v>1.18125611236345</v>
      </c>
    </row>
    <row r="2045" spans="11:16" x14ac:dyDescent="0.3">
      <c r="K2045" s="14" t="s">
        <v>145</v>
      </c>
      <c r="L2045">
        <v>203.13</v>
      </c>
      <c r="M2045">
        <v>98.415800000000004</v>
      </c>
      <c r="N2045">
        <v>120.1</v>
      </c>
      <c r="O2045">
        <v>281.13</v>
      </c>
      <c r="P2045" s="13">
        <v>1.18369366485256</v>
      </c>
    </row>
    <row r="2046" spans="11:16" x14ac:dyDescent="0.3">
      <c r="K2046" s="14" t="s">
        <v>145</v>
      </c>
      <c r="L2046">
        <v>194.88</v>
      </c>
      <c r="M2046">
        <v>80.620699999999999</v>
      </c>
      <c r="N2046">
        <v>280.01</v>
      </c>
      <c r="O2046">
        <v>293.77</v>
      </c>
      <c r="P2046" s="13">
        <v>1.1856326377778501</v>
      </c>
    </row>
    <row r="2047" spans="11:16" x14ac:dyDescent="0.3">
      <c r="K2047" s="14" t="s">
        <v>145</v>
      </c>
      <c r="L2047">
        <v>202.69</v>
      </c>
      <c r="M2047">
        <v>77.365499999999997</v>
      </c>
      <c r="N2047">
        <v>230</v>
      </c>
      <c r="O2047">
        <v>285.44</v>
      </c>
      <c r="P2047" s="13">
        <v>1.1906372617712999</v>
      </c>
    </row>
    <row r="2048" spans="11:16" x14ac:dyDescent="0.3">
      <c r="K2048" s="14" t="s">
        <v>145</v>
      </c>
      <c r="L2048">
        <v>203.13</v>
      </c>
      <c r="M2048">
        <v>79.861099999999993</v>
      </c>
      <c r="N2048">
        <v>160</v>
      </c>
      <c r="O2048">
        <v>271.93</v>
      </c>
      <c r="P2048" s="13">
        <v>1.19365682344721</v>
      </c>
    </row>
    <row r="2049" spans="11:16" x14ac:dyDescent="0.3">
      <c r="K2049" s="14" t="s">
        <v>145</v>
      </c>
      <c r="L2049">
        <v>203.13</v>
      </c>
      <c r="M2049">
        <v>75.737899999999996</v>
      </c>
      <c r="N2049">
        <v>250.01</v>
      </c>
      <c r="O2049">
        <v>287.73</v>
      </c>
      <c r="P2049" s="13">
        <v>1.1951152121780799</v>
      </c>
    </row>
    <row r="2050" spans="11:16" x14ac:dyDescent="0.3">
      <c r="K2050" s="14" t="s">
        <v>145</v>
      </c>
      <c r="L2050">
        <v>203.13</v>
      </c>
      <c r="M2050">
        <v>75.737899999999996</v>
      </c>
      <c r="N2050">
        <v>180</v>
      </c>
      <c r="O2050">
        <v>272.19</v>
      </c>
      <c r="P2050" s="13">
        <v>1.1964726845218401</v>
      </c>
    </row>
    <row r="2051" spans="11:16" x14ac:dyDescent="0.3">
      <c r="K2051" s="14" t="s">
        <v>145</v>
      </c>
      <c r="L2051">
        <v>203.13</v>
      </c>
      <c r="M2051">
        <v>93.533000000000001</v>
      </c>
      <c r="N2051">
        <v>230</v>
      </c>
      <c r="O2051">
        <v>297.5</v>
      </c>
      <c r="P2051" s="13">
        <v>1.1981949579831901</v>
      </c>
    </row>
    <row r="2052" spans="11:16" x14ac:dyDescent="0.3">
      <c r="K2052" s="14" t="s">
        <v>145</v>
      </c>
      <c r="L2052">
        <v>210.94</v>
      </c>
      <c r="M2052">
        <v>79.752600000000001</v>
      </c>
      <c r="N2052">
        <v>240.01</v>
      </c>
      <c r="O2052">
        <v>293.49</v>
      </c>
      <c r="P2052" s="13">
        <v>1.20309107635695</v>
      </c>
    </row>
    <row r="2053" spans="11:16" x14ac:dyDescent="0.3">
      <c r="K2053" s="14" t="s">
        <v>145</v>
      </c>
      <c r="L2053">
        <v>210.5</v>
      </c>
      <c r="M2053">
        <v>77.691000000000003</v>
      </c>
      <c r="N2053">
        <v>139.30000000000001</v>
      </c>
      <c r="O2053">
        <v>269.62</v>
      </c>
      <c r="P2053" s="13">
        <v>1.2032082189748501</v>
      </c>
    </row>
    <row r="2054" spans="11:16" x14ac:dyDescent="0.3">
      <c r="K2054" s="14" t="s">
        <v>145</v>
      </c>
      <c r="L2054">
        <v>210.94</v>
      </c>
      <c r="M2054">
        <v>90.603300000000004</v>
      </c>
      <c r="N2054">
        <v>230</v>
      </c>
      <c r="O2054">
        <v>300.11</v>
      </c>
      <c r="P2054" s="13">
        <v>1.2040361867315299</v>
      </c>
    </row>
    <row r="2055" spans="11:16" x14ac:dyDescent="0.3">
      <c r="K2055" s="14" t="s">
        <v>145</v>
      </c>
      <c r="L2055">
        <v>209.64</v>
      </c>
      <c r="M2055">
        <v>80.620699999999999</v>
      </c>
      <c r="N2055">
        <v>220</v>
      </c>
      <c r="O2055">
        <v>288.01</v>
      </c>
      <c r="P2055" s="13">
        <v>1.20641887434464</v>
      </c>
    </row>
    <row r="2056" spans="11:16" x14ac:dyDescent="0.3">
      <c r="K2056" s="14" t="s">
        <v>145</v>
      </c>
      <c r="L2056">
        <v>203.13</v>
      </c>
      <c r="M2056">
        <v>79.644099999999995</v>
      </c>
      <c r="N2056">
        <v>160</v>
      </c>
      <c r="O2056">
        <v>268.75</v>
      </c>
      <c r="P2056" s="13">
        <v>1.20697339534884</v>
      </c>
    </row>
    <row r="2057" spans="11:16" x14ac:dyDescent="0.3">
      <c r="K2057" s="14" t="s">
        <v>145</v>
      </c>
      <c r="L2057">
        <v>203.13</v>
      </c>
      <c r="M2057">
        <v>76.822900000000004</v>
      </c>
      <c r="N2057">
        <v>250.01</v>
      </c>
      <c r="O2057">
        <v>284.89</v>
      </c>
      <c r="P2057" s="13">
        <v>1.2108375162343401</v>
      </c>
    </row>
    <row r="2058" spans="11:16" x14ac:dyDescent="0.3">
      <c r="K2058" s="14" t="s">
        <v>145</v>
      </c>
      <c r="L2058">
        <v>195.31</v>
      </c>
      <c r="M2058">
        <v>106.6985</v>
      </c>
      <c r="N2058">
        <v>180</v>
      </c>
      <c r="O2058">
        <v>288.02999999999997</v>
      </c>
      <c r="P2058" s="13">
        <v>1.2110144776585801</v>
      </c>
    </row>
    <row r="2059" spans="11:16" x14ac:dyDescent="0.3">
      <c r="K2059" s="14" t="s">
        <v>145</v>
      </c>
      <c r="L2059">
        <v>202.69</v>
      </c>
      <c r="M2059">
        <v>102.6476</v>
      </c>
      <c r="N2059">
        <v>150.1</v>
      </c>
      <c r="O2059">
        <v>283.77</v>
      </c>
      <c r="P2059" s="13">
        <v>1.21353067625189</v>
      </c>
    </row>
    <row r="2060" spans="11:16" x14ac:dyDescent="0.3">
      <c r="K2060" s="14" t="s">
        <v>145</v>
      </c>
      <c r="L2060">
        <v>203.13</v>
      </c>
      <c r="M2060">
        <v>77.799499999999995</v>
      </c>
      <c r="N2060">
        <v>310.01</v>
      </c>
      <c r="O2060">
        <v>297.5</v>
      </c>
      <c r="P2060" s="13">
        <v>1.2152339495798301</v>
      </c>
    </row>
    <row r="2061" spans="11:16" x14ac:dyDescent="0.3">
      <c r="K2061" s="14" t="s">
        <v>145</v>
      </c>
      <c r="L2061">
        <v>210.5</v>
      </c>
      <c r="M2061">
        <v>81.705699999999993</v>
      </c>
      <c r="N2061">
        <v>214.7</v>
      </c>
      <c r="O2061">
        <v>285.97000000000003</v>
      </c>
      <c r="P2061" s="13">
        <v>1.21700772808337</v>
      </c>
    </row>
    <row r="2062" spans="11:16" x14ac:dyDescent="0.3">
      <c r="K2062" s="14" t="s">
        <v>145</v>
      </c>
      <c r="L2062">
        <v>210.5</v>
      </c>
      <c r="M2062">
        <v>85.611999999999995</v>
      </c>
      <c r="N2062">
        <v>180</v>
      </c>
      <c r="O2062">
        <v>281.41000000000003</v>
      </c>
      <c r="P2062" s="13">
        <v>1.2185494474254599</v>
      </c>
    </row>
    <row r="2063" spans="11:16" x14ac:dyDescent="0.3">
      <c r="K2063" s="14" t="s">
        <v>145</v>
      </c>
      <c r="L2063">
        <v>203.13</v>
      </c>
      <c r="M2063">
        <v>79.752600000000001</v>
      </c>
      <c r="N2063">
        <v>302.8</v>
      </c>
      <c r="O2063">
        <v>294.87</v>
      </c>
      <c r="P2063" s="13">
        <v>1.22633906467257</v>
      </c>
    </row>
    <row r="2064" spans="11:16" x14ac:dyDescent="0.3">
      <c r="K2064" s="14" t="s">
        <v>145</v>
      </c>
      <c r="L2064">
        <v>210.5</v>
      </c>
      <c r="M2064">
        <v>77.691000000000003</v>
      </c>
      <c r="N2064">
        <v>270.01</v>
      </c>
      <c r="O2064">
        <v>291.20999999999998</v>
      </c>
      <c r="P2064" s="13">
        <v>1.2307049895264599</v>
      </c>
    </row>
    <row r="2065" spans="11:16" x14ac:dyDescent="0.3">
      <c r="K2065" s="14" t="s">
        <v>145</v>
      </c>
      <c r="L2065">
        <v>203.13</v>
      </c>
      <c r="M2065">
        <v>78.7761</v>
      </c>
      <c r="N2065">
        <v>229</v>
      </c>
      <c r="O2065">
        <v>277.08999999999997</v>
      </c>
      <c r="P2065" s="13">
        <v>1.23225702840232</v>
      </c>
    </row>
    <row r="2066" spans="11:16" x14ac:dyDescent="0.3">
      <c r="K2066" s="14" t="s">
        <v>145</v>
      </c>
      <c r="L2066">
        <v>203.13</v>
      </c>
      <c r="M2066">
        <v>77.691000000000003</v>
      </c>
      <c r="N2066">
        <v>230</v>
      </c>
      <c r="O2066">
        <v>275.37</v>
      </c>
      <c r="P2066" s="13">
        <v>1.23695754802629</v>
      </c>
    </row>
    <row r="2067" spans="11:16" x14ac:dyDescent="0.3">
      <c r="K2067" s="14" t="s">
        <v>145</v>
      </c>
      <c r="L2067">
        <v>203.13</v>
      </c>
      <c r="M2067">
        <v>80.439800000000005</v>
      </c>
      <c r="N2067">
        <v>240.01</v>
      </c>
      <c r="O2067">
        <v>279.68</v>
      </c>
      <c r="P2067" s="13">
        <v>1.2370294622425599</v>
      </c>
    </row>
    <row r="2068" spans="11:16" x14ac:dyDescent="0.3">
      <c r="K2068" s="14" t="s">
        <v>145</v>
      </c>
      <c r="L2068">
        <v>203.13</v>
      </c>
      <c r="M2068">
        <v>101.45399999999999</v>
      </c>
      <c r="N2068">
        <v>170</v>
      </c>
      <c r="O2068">
        <v>281.39999999999998</v>
      </c>
      <c r="P2068" s="13">
        <v>1.2394598436389499</v>
      </c>
    </row>
    <row r="2069" spans="11:16" x14ac:dyDescent="0.3">
      <c r="K2069" s="14" t="s">
        <v>145</v>
      </c>
      <c r="L2069">
        <v>203.13</v>
      </c>
      <c r="M2069">
        <v>132.8125</v>
      </c>
      <c r="N2069">
        <v>110.1</v>
      </c>
      <c r="O2069">
        <v>294.07</v>
      </c>
      <c r="P2069" s="13">
        <v>1.23973373686537</v>
      </c>
    </row>
    <row r="2070" spans="11:16" x14ac:dyDescent="0.3">
      <c r="K2070" s="14" t="s">
        <v>145</v>
      </c>
      <c r="L2070">
        <v>203.13</v>
      </c>
      <c r="M2070">
        <v>72.265600000000006</v>
      </c>
      <c r="N2070">
        <v>260.01</v>
      </c>
      <c r="O2070">
        <v>276.25</v>
      </c>
      <c r="P2070" s="13">
        <v>1.24162244343891</v>
      </c>
    </row>
    <row r="2071" spans="11:16" x14ac:dyDescent="0.3">
      <c r="K2071" s="14" t="s">
        <v>145</v>
      </c>
      <c r="L2071">
        <v>202.69</v>
      </c>
      <c r="M2071">
        <v>73.893199999999993</v>
      </c>
      <c r="N2071">
        <v>300.10000000000002</v>
      </c>
      <c r="O2071">
        <v>284.86</v>
      </c>
      <c r="P2071" s="13">
        <v>1.2448543144000599</v>
      </c>
    </row>
    <row r="2072" spans="11:16" x14ac:dyDescent="0.3">
      <c r="K2072" s="14" t="s">
        <v>145</v>
      </c>
      <c r="L2072">
        <v>203.13</v>
      </c>
      <c r="M2072">
        <v>86.697100000000006</v>
      </c>
      <c r="N2072">
        <v>260.01</v>
      </c>
      <c r="O2072">
        <v>286.57</v>
      </c>
      <c r="P2072" s="13">
        <v>1.2472683811983101</v>
      </c>
    </row>
    <row r="2073" spans="11:16" x14ac:dyDescent="0.3">
      <c r="K2073" s="14" t="s">
        <v>145</v>
      </c>
      <c r="L2073">
        <v>203.13</v>
      </c>
      <c r="M2073">
        <v>92.447900000000004</v>
      </c>
      <c r="N2073">
        <v>300.01</v>
      </c>
      <c r="O2073">
        <v>298.95999999999998</v>
      </c>
      <c r="P2073" s="13">
        <v>1.2496002809740401</v>
      </c>
    </row>
    <row r="2074" spans="11:16" x14ac:dyDescent="0.3">
      <c r="K2074" s="14" t="s">
        <v>145</v>
      </c>
      <c r="L2074">
        <v>203.13</v>
      </c>
      <c r="M2074">
        <v>104.2752</v>
      </c>
      <c r="N2074">
        <v>200</v>
      </c>
      <c r="O2074">
        <v>286.27</v>
      </c>
      <c r="P2074" s="13">
        <v>1.2554762985992201</v>
      </c>
    </row>
    <row r="2075" spans="11:16" x14ac:dyDescent="0.3">
      <c r="K2075" s="14" t="s">
        <v>145</v>
      </c>
      <c r="L2075">
        <v>203.13</v>
      </c>
      <c r="M2075">
        <v>82.682299999999998</v>
      </c>
      <c r="N2075">
        <v>184.8</v>
      </c>
      <c r="O2075">
        <v>265.55</v>
      </c>
      <c r="P2075" s="13">
        <v>1.25724082093768</v>
      </c>
    </row>
    <row r="2076" spans="11:16" x14ac:dyDescent="0.3">
      <c r="K2076" s="14" t="s">
        <v>145</v>
      </c>
      <c r="L2076">
        <v>210.5</v>
      </c>
      <c r="M2076">
        <v>118.562</v>
      </c>
      <c r="N2076">
        <v>122.1</v>
      </c>
      <c r="O2076">
        <v>285.74</v>
      </c>
      <c r="P2076" s="13">
        <v>1.2627143557079901</v>
      </c>
    </row>
    <row r="2077" spans="11:16" x14ac:dyDescent="0.3">
      <c r="K2077" s="14" t="s">
        <v>145</v>
      </c>
      <c r="L2077">
        <v>203.13</v>
      </c>
      <c r="M2077">
        <v>72.265600000000006</v>
      </c>
      <c r="N2077">
        <v>324.7</v>
      </c>
      <c r="O2077">
        <v>283.76</v>
      </c>
      <c r="P2077" s="13">
        <v>1.2680349591203799</v>
      </c>
    </row>
    <row r="2078" spans="11:16" x14ac:dyDescent="0.3">
      <c r="K2078" s="14" t="s">
        <v>145</v>
      </c>
      <c r="L2078">
        <v>203.13</v>
      </c>
      <c r="M2078">
        <v>105.2517</v>
      </c>
      <c r="N2078">
        <v>200</v>
      </c>
      <c r="O2078">
        <v>283.72000000000003</v>
      </c>
      <c r="P2078" s="13">
        <v>1.2702019596785601</v>
      </c>
    </row>
    <row r="2079" spans="11:16" x14ac:dyDescent="0.3">
      <c r="K2079" s="14" t="s">
        <v>145</v>
      </c>
      <c r="L2079">
        <v>203.13</v>
      </c>
      <c r="M2079">
        <v>81.8142</v>
      </c>
      <c r="N2079">
        <v>230</v>
      </c>
      <c r="O2079">
        <v>271.01</v>
      </c>
      <c r="P2079" s="13">
        <v>1.27207187926645</v>
      </c>
    </row>
    <row r="2080" spans="11:16" x14ac:dyDescent="0.3">
      <c r="K2080" s="14" t="s">
        <v>145</v>
      </c>
      <c r="L2080">
        <v>203.13</v>
      </c>
      <c r="M2080">
        <v>113.86</v>
      </c>
      <c r="N2080">
        <v>155</v>
      </c>
      <c r="O2080">
        <v>280.54000000000002</v>
      </c>
      <c r="P2080" s="13">
        <v>1.2735795252013999</v>
      </c>
    </row>
    <row r="2081" spans="11:16" x14ac:dyDescent="0.3">
      <c r="K2081" s="14" t="s">
        <v>145</v>
      </c>
      <c r="L2081">
        <v>203.13</v>
      </c>
      <c r="M2081">
        <v>112.1962</v>
      </c>
      <c r="N2081">
        <v>215</v>
      </c>
      <c r="O2081">
        <v>291.19</v>
      </c>
      <c r="P2081" s="13">
        <v>1.2748590267522899</v>
      </c>
    </row>
    <row r="2082" spans="11:16" x14ac:dyDescent="0.3">
      <c r="K2082" s="14" t="s">
        <v>145</v>
      </c>
      <c r="L2082">
        <v>195.31</v>
      </c>
      <c r="M2082">
        <v>74.869799999999998</v>
      </c>
      <c r="N2082">
        <v>310.01</v>
      </c>
      <c r="O2082">
        <v>274.97000000000003</v>
      </c>
      <c r="P2082" s="13">
        <v>1.2757115321671499</v>
      </c>
    </row>
    <row r="2083" spans="11:16" x14ac:dyDescent="0.3">
      <c r="K2083" s="14" t="s">
        <v>145</v>
      </c>
      <c r="L2083">
        <v>202.69</v>
      </c>
      <c r="M2083">
        <v>80.620699999999999</v>
      </c>
      <c r="N2083">
        <v>300.01</v>
      </c>
      <c r="O2083">
        <v>283.14</v>
      </c>
      <c r="P2083" s="13">
        <v>1.2760941583668901</v>
      </c>
    </row>
    <row r="2084" spans="11:16" x14ac:dyDescent="0.3">
      <c r="K2084" s="14" t="s">
        <v>145</v>
      </c>
      <c r="L2084">
        <v>203.13</v>
      </c>
      <c r="M2084">
        <v>112.3047</v>
      </c>
      <c r="N2084">
        <v>270.01</v>
      </c>
      <c r="O2084">
        <v>302.14</v>
      </c>
      <c r="P2084" s="13">
        <v>1.27635301515854</v>
      </c>
    </row>
    <row r="2085" spans="11:16" x14ac:dyDescent="0.3">
      <c r="K2085" s="14" t="s">
        <v>145</v>
      </c>
      <c r="L2085">
        <v>203.13</v>
      </c>
      <c r="M2085">
        <v>111.11109999999999</v>
      </c>
      <c r="N2085">
        <v>200</v>
      </c>
      <c r="O2085">
        <v>286.27</v>
      </c>
      <c r="P2085" s="13">
        <v>1.2793555035455999</v>
      </c>
    </row>
    <row r="2086" spans="11:16" x14ac:dyDescent="0.3">
      <c r="K2086" s="14" t="s">
        <v>145</v>
      </c>
      <c r="L2086">
        <v>203.13</v>
      </c>
      <c r="M2086">
        <v>81.669600000000003</v>
      </c>
      <c r="N2086">
        <v>240.01</v>
      </c>
      <c r="O2086">
        <v>270.13</v>
      </c>
      <c r="P2086" s="13">
        <v>1.28531521859845</v>
      </c>
    </row>
    <row r="2087" spans="11:16" x14ac:dyDescent="0.3">
      <c r="K2087" s="14" t="s">
        <v>145</v>
      </c>
      <c r="L2087">
        <v>203.13</v>
      </c>
      <c r="M2087">
        <v>86.5886</v>
      </c>
      <c r="N2087">
        <v>210</v>
      </c>
      <c r="O2087">
        <v>267.58999999999997</v>
      </c>
      <c r="P2087" s="13">
        <v>1.28673941477634</v>
      </c>
    </row>
    <row r="2088" spans="11:16" x14ac:dyDescent="0.3">
      <c r="K2088" s="14" t="s">
        <v>145</v>
      </c>
      <c r="L2088">
        <v>203.13</v>
      </c>
      <c r="M2088">
        <v>84.418400000000005</v>
      </c>
      <c r="N2088">
        <v>300.01</v>
      </c>
      <c r="O2088">
        <v>283.39</v>
      </c>
      <c r="P2088" s="13">
        <v>1.28992201559688</v>
      </c>
    </row>
    <row r="2089" spans="11:16" x14ac:dyDescent="0.3">
      <c r="K2089" s="14" t="s">
        <v>145</v>
      </c>
      <c r="L2089">
        <v>203.56</v>
      </c>
      <c r="M2089">
        <v>124.89149999999999</v>
      </c>
      <c r="N2089">
        <v>160</v>
      </c>
      <c r="O2089">
        <v>286.01</v>
      </c>
      <c r="P2089" s="13">
        <v>1.29384112443621</v>
      </c>
    </row>
    <row r="2090" spans="11:16" x14ac:dyDescent="0.3">
      <c r="K2090" s="14" t="s">
        <v>145</v>
      </c>
      <c r="L2090">
        <v>210.5</v>
      </c>
      <c r="M2090">
        <v>78.7761</v>
      </c>
      <c r="N2090">
        <v>240.01</v>
      </c>
      <c r="O2090">
        <v>271.58</v>
      </c>
      <c r="P2090" s="13">
        <v>1.2949359304808901</v>
      </c>
    </row>
    <row r="2091" spans="11:16" x14ac:dyDescent="0.3">
      <c r="K2091" s="14" t="s">
        <v>145</v>
      </c>
      <c r="L2091">
        <v>210.94</v>
      </c>
      <c r="M2091">
        <v>86.697100000000006</v>
      </c>
      <c r="N2091">
        <v>300.01</v>
      </c>
      <c r="O2091">
        <v>290.05</v>
      </c>
      <c r="P2091" s="13">
        <v>1.2950860196517799</v>
      </c>
    </row>
    <row r="2092" spans="11:16" x14ac:dyDescent="0.3">
      <c r="K2092" s="14" t="s">
        <v>145</v>
      </c>
      <c r="L2092">
        <v>203.13</v>
      </c>
      <c r="M2092">
        <v>97.656199999999998</v>
      </c>
      <c r="N2092">
        <v>200</v>
      </c>
      <c r="O2092">
        <v>272.18</v>
      </c>
      <c r="P2092" s="13">
        <v>1.2961503416856499</v>
      </c>
    </row>
    <row r="2093" spans="11:16" x14ac:dyDescent="0.3">
      <c r="K2093" s="14" t="s">
        <v>145</v>
      </c>
      <c r="L2093">
        <v>203.13</v>
      </c>
      <c r="M2093">
        <v>79.644099999999995</v>
      </c>
      <c r="N2093">
        <v>290.01</v>
      </c>
      <c r="O2093">
        <v>276.24</v>
      </c>
      <c r="P2093" s="13">
        <v>1.2966141760787699</v>
      </c>
    </row>
    <row r="2094" spans="11:16" x14ac:dyDescent="0.3">
      <c r="K2094" s="14" t="s">
        <v>145</v>
      </c>
      <c r="L2094">
        <v>203.13</v>
      </c>
      <c r="M2094">
        <v>113.1728</v>
      </c>
      <c r="N2094">
        <v>200</v>
      </c>
      <c r="O2094">
        <v>283.99</v>
      </c>
      <c r="P2094" s="13">
        <v>1.29688651008838</v>
      </c>
    </row>
    <row r="2095" spans="11:16" x14ac:dyDescent="0.3">
      <c r="K2095" s="14" t="s">
        <v>145</v>
      </c>
      <c r="L2095">
        <v>203.13</v>
      </c>
      <c r="M2095">
        <v>101.23699999999999</v>
      </c>
      <c r="N2095">
        <v>280.01</v>
      </c>
      <c r="O2095">
        <v>290.63</v>
      </c>
      <c r="P2095" s="13">
        <v>1.2977655438186</v>
      </c>
    </row>
    <row r="2096" spans="11:16" x14ac:dyDescent="0.3">
      <c r="K2096" s="14" t="s">
        <v>145</v>
      </c>
      <c r="L2096">
        <v>203.13</v>
      </c>
      <c r="M2096">
        <v>79.644099999999995</v>
      </c>
      <c r="N2096">
        <v>280.01</v>
      </c>
      <c r="O2096">
        <v>272.74</v>
      </c>
      <c r="P2096" s="13">
        <v>1.3037203930483201</v>
      </c>
    </row>
    <row r="2097" spans="11:16" x14ac:dyDescent="0.3">
      <c r="K2097" s="14" t="s">
        <v>145</v>
      </c>
      <c r="L2097">
        <v>203.13</v>
      </c>
      <c r="M2097">
        <v>114.6919</v>
      </c>
      <c r="N2097">
        <v>170</v>
      </c>
      <c r="O2097">
        <v>277.35000000000002</v>
      </c>
      <c r="P2097" s="13">
        <v>1.30528898503696</v>
      </c>
    </row>
    <row r="2098" spans="11:16" x14ac:dyDescent="0.3">
      <c r="K2098" s="14" t="s">
        <v>145</v>
      </c>
      <c r="L2098">
        <v>203.13</v>
      </c>
      <c r="M2098">
        <v>112.1962</v>
      </c>
      <c r="N2098">
        <v>260.01</v>
      </c>
      <c r="O2098">
        <v>293.20999999999998</v>
      </c>
      <c r="P2098" s="13">
        <v>1.30598819958392</v>
      </c>
    </row>
    <row r="2099" spans="11:16" x14ac:dyDescent="0.3">
      <c r="K2099" s="14" t="s">
        <v>145</v>
      </c>
      <c r="L2099">
        <v>202.69</v>
      </c>
      <c r="M2099">
        <v>114.4387</v>
      </c>
      <c r="N2099">
        <v>199</v>
      </c>
      <c r="O2099">
        <v>282.31</v>
      </c>
      <c r="P2099" s="13">
        <v>1.306608692572</v>
      </c>
    </row>
    <row r="2100" spans="11:16" x14ac:dyDescent="0.3">
      <c r="K2100" s="14" t="s">
        <v>145</v>
      </c>
      <c r="L2100">
        <v>202.69</v>
      </c>
      <c r="M2100">
        <v>109.2303</v>
      </c>
      <c r="N2100">
        <v>260.01</v>
      </c>
      <c r="O2100">
        <v>289.72000000000003</v>
      </c>
      <c r="P2100" s="13">
        <v>1.30996444843297</v>
      </c>
    </row>
    <row r="2101" spans="11:16" x14ac:dyDescent="0.3">
      <c r="K2101" s="14" t="s">
        <v>145</v>
      </c>
      <c r="L2101">
        <v>202.69</v>
      </c>
      <c r="M2101">
        <v>74.869799999999998</v>
      </c>
      <c r="N2101">
        <v>300.01</v>
      </c>
      <c r="O2101">
        <v>271.33</v>
      </c>
      <c r="P2101" s="13">
        <v>1.3104426344304001</v>
      </c>
    </row>
    <row r="2102" spans="11:16" x14ac:dyDescent="0.3">
      <c r="K2102" s="14" t="s">
        <v>145</v>
      </c>
      <c r="L2102">
        <v>203.13</v>
      </c>
      <c r="M2102">
        <v>105.1794</v>
      </c>
      <c r="N2102">
        <v>220</v>
      </c>
      <c r="O2102">
        <v>278.85000000000002</v>
      </c>
      <c r="P2102" s="13">
        <v>1.3107742513896401</v>
      </c>
    </row>
    <row r="2103" spans="11:16" x14ac:dyDescent="0.3">
      <c r="K2103" s="14" t="s">
        <v>145</v>
      </c>
      <c r="L2103">
        <v>203.13</v>
      </c>
      <c r="M2103">
        <v>126.9532</v>
      </c>
      <c r="N2103">
        <v>200</v>
      </c>
      <c r="O2103">
        <v>290.91000000000003</v>
      </c>
      <c r="P2103" s="13">
        <v>1.3134068956034499</v>
      </c>
    </row>
    <row r="2104" spans="11:16" x14ac:dyDescent="0.3">
      <c r="K2104" s="14" t="s">
        <v>145</v>
      </c>
      <c r="L2104">
        <v>203.13</v>
      </c>
      <c r="M2104">
        <v>111.18340000000001</v>
      </c>
      <c r="N2104">
        <v>170</v>
      </c>
      <c r="O2104">
        <v>272.51</v>
      </c>
      <c r="P2104" s="13">
        <v>1.31559722578988</v>
      </c>
    </row>
    <row r="2105" spans="11:16" x14ac:dyDescent="0.3">
      <c r="K2105" s="14" t="s">
        <v>145</v>
      </c>
      <c r="L2105">
        <v>203.13</v>
      </c>
      <c r="M2105">
        <v>69.986999999999995</v>
      </c>
      <c r="N2105">
        <v>320.01</v>
      </c>
      <c r="O2105">
        <v>270.77999999999997</v>
      </c>
      <c r="P2105" s="13">
        <v>1.3159007312209201</v>
      </c>
    </row>
    <row r="2106" spans="11:16" x14ac:dyDescent="0.3">
      <c r="K2106" s="14" t="s">
        <v>145</v>
      </c>
      <c r="L2106">
        <v>210.94</v>
      </c>
      <c r="M2106">
        <v>76.714399999999998</v>
      </c>
      <c r="N2106">
        <v>320.01</v>
      </c>
      <c r="O2106">
        <v>281.41000000000003</v>
      </c>
      <c r="P2106" s="13">
        <v>1.3178529547635101</v>
      </c>
    </row>
    <row r="2107" spans="11:16" x14ac:dyDescent="0.3">
      <c r="K2107" s="14" t="s">
        <v>145</v>
      </c>
      <c r="L2107">
        <v>198.78</v>
      </c>
      <c r="M2107">
        <v>107.3134</v>
      </c>
      <c r="N2107">
        <v>210</v>
      </c>
      <c r="O2107">
        <v>273.66000000000003</v>
      </c>
      <c r="P2107" s="13">
        <v>1.3180347876927601</v>
      </c>
    </row>
    <row r="2108" spans="11:16" x14ac:dyDescent="0.3">
      <c r="K2108" s="14" t="s">
        <v>145</v>
      </c>
      <c r="L2108">
        <v>210.07</v>
      </c>
      <c r="M2108">
        <v>94.183999999999997</v>
      </c>
      <c r="N2108">
        <v>260.01</v>
      </c>
      <c r="O2108">
        <v>281.95999999999998</v>
      </c>
      <c r="P2108" s="13">
        <v>1.3188274932614601</v>
      </c>
    </row>
    <row r="2109" spans="11:16" x14ac:dyDescent="0.3">
      <c r="K2109" s="14" t="s">
        <v>145</v>
      </c>
      <c r="L2109">
        <v>203.13</v>
      </c>
      <c r="M2109">
        <v>125</v>
      </c>
      <c r="N2109">
        <v>220</v>
      </c>
      <c r="O2109">
        <v>292.06</v>
      </c>
      <c r="P2109" s="13">
        <v>1.3193521879065899</v>
      </c>
    </row>
    <row r="2110" spans="11:16" x14ac:dyDescent="0.3">
      <c r="K2110" s="14" t="s">
        <v>145</v>
      </c>
      <c r="L2110">
        <v>210.5</v>
      </c>
      <c r="M2110">
        <v>79.644099999999995</v>
      </c>
      <c r="N2110">
        <v>300.01</v>
      </c>
      <c r="O2110">
        <v>278.23</v>
      </c>
      <c r="P2110" s="13">
        <v>1.3231739927398201</v>
      </c>
    </row>
    <row r="2111" spans="11:16" x14ac:dyDescent="0.3">
      <c r="K2111" s="14" t="s">
        <v>145</v>
      </c>
      <c r="L2111">
        <v>203.13</v>
      </c>
      <c r="M2111">
        <v>81.705699999999993</v>
      </c>
      <c r="N2111">
        <v>280.01</v>
      </c>
      <c r="O2111">
        <v>269.58</v>
      </c>
      <c r="P2111" s="13">
        <v>1.3266499740336799</v>
      </c>
    </row>
    <row r="2112" spans="11:16" x14ac:dyDescent="0.3">
      <c r="K2112" s="14" t="s">
        <v>145</v>
      </c>
      <c r="L2112">
        <v>210.07</v>
      </c>
      <c r="M2112">
        <v>111.32810000000001</v>
      </c>
      <c r="N2112">
        <v>188</v>
      </c>
      <c r="O2112">
        <v>278.8</v>
      </c>
      <c r="P2112" s="13">
        <v>1.3281137015781901</v>
      </c>
    </row>
    <row r="2113" spans="11:16" x14ac:dyDescent="0.3">
      <c r="K2113" s="14" t="s">
        <v>145</v>
      </c>
      <c r="L2113">
        <v>210.5</v>
      </c>
      <c r="M2113">
        <v>80.512100000000004</v>
      </c>
      <c r="N2113">
        <v>320.01</v>
      </c>
      <c r="O2113">
        <v>281.18</v>
      </c>
      <c r="P2113" s="13">
        <v>1.3308723949071799</v>
      </c>
    </row>
    <row r="2114" spans="11:16" x14ac:dyDescent="0.3">
      <c r="K2114" s="14" t="s">
        <v>145</v>
      </c>
      <c r="L2114">
        <v>203.13</v>
      </c>
      <c r="M2114">
        <v>82.573800000000006</v>
      </c>
      <c r="N2114">
        <v>400.02</v>
      </c>
      <c r="O2114">
        <v>292.04000000000002</v>
      </c>
      <c r="P2114" s="13">
        <v>1.3344370634159699</v>
      </c>
    </row>
    <row r="2115" spans="11:16" x14ac:dyDescent="0.3">
      <c r="K2115" s="14" t="s">
        <v>145</v>
      </c>
      <c r="L2115">
        <v>210.5</v>
      </c>
      <c r="M2115">
        <v>105.3603</v>
      </c>
      <c r="N2115">
        <v>222</v>
      </c>
      <c r="O2115">
        <v>279.93</v>
      </c>
      <c r="P2115" s="13">
        <v>1.3345489943914499</v>
      </c>
    </row>
    <row r="2116" spans="11:16" x14ac:dyDescent="0.3">
      <c r="K2116" s="14" t="s">
        <v>145</v>
      </c>
      <c r="L2116">
        <v>202.69</v>
      </c>
      <c r="M2116">
        <v>126.8446</v>
      </c>
      <c r="N2116">
        <v>215</v>
      </c>
      <c r="O2116">
        <v>288.38</v>
      </c>
      <c r="P2116" s="13">
        <v>1.33655107843817</v>
      </c>
    </row>
    <row r="2117" spans="11:16" x14ac:dyDescent="0.3">
      <c r="K2117" s="14" t="s">
        <v>145</v>
      </c>
      <c r="L2117">
        <v>210.94</v>
      </c>
      <c r="M2117">
        <v>88.541700000000006</v>
      </c>
      <c r="N2117">
        <v>260.01</v>
      </c>
      <c r="O2117">
        <v>274.5</v>
      </c>
      <c r="P2117" s="13">
        <v>1.3372834244080101</v>
      </c>
    </row>
    <row r="2118" spans="11:16" x14ac:dyDescent="0.3">
      <c r="K2118" s="14" t="s">
        <v>145</v>
      </c>
      <c r="L2118">
        <v>210.94</v>
      </c>
      <c r="M2118">
        <v>75.737899999999996</v>
      </c>
      <c r="N2118">
        <v>310.01</v>
      </c>
      <c r="O2118">
        <v>274.23</v>
      </c>
      <c r="P2118" s="13">
        <v>1.3393155380520001</v>
      </c>
    </row>
    <row r="2119" spans="11:16" x14ac:dyDescent="0.3">
      <c r="K2119" s="14" t="s">
        <v>145</v>
      </c>
      <c r="L2119">
        <v>195.75</v>
      </c>
      <c r="M2119">
        <v>113.1728</v>
      </c>
      <c r="N2119">
        <v>256.61</v>
      </c>
      <c r="O2119">
        <v>280.20999999999998</v>
      </c>
      <c r="P2119" s="13">
        <v>1.3405710003211899</v>
      </c>
    </row>
    <row r="2120" spans="11:16" x14ac:dyDescent="0.3">
      <c r="K2120" s="14" t="s">
        <v>145</v>
      </c>
      <c r="L2120">
        <v>203.13</v>
      </c>
      <c r="M2120">
        <v>76.714399999999998</v>
      </c>
      <c r="N2120">
        <v>350.01</v>
      </c>
      <c r="O2120">
        <v>276.51</v>
      </c>
      <c r="P2120" s="13">
        <v>1.3411703012549301</v>
      </c>
    </row>
    <row r="2121" spans="11:16" x14ac:dyDescent="0.3">
      <c r="K2121" s="14" t="s">
        <v>145</v>
      </c>
      <c r="L2121">
        <v>203.13</v>
      </c>
      <c r="M2121">
        <v>77.691000000000003</v>
      </c>
      <c r="N2121">
        <v>300.01</v>
      </c>
      <c r="O2121">
        <v>267</v>
      </c>
      <c r="P2121" s="13">
        <v>1.3439086142322101</v>
      </c>
    </row>
    <row r="2122" spans="11:16" x14ac:dyDescent="0.3">
      <c r="K2122" s="14" t="s">
        <v>145</v>
      </c>
      <c r="L2122">
        <v>203.13</v>
      </c>
      <c r="M2122">
        <v>135.05500000000001</v>
      </c>
      <c r="N2122">
        <v>150.1</v>
      </c>
      <c r="O2122">
        <v>280.27999999999997</v>
      </c>
      <c r="P2122" s="13">
        <v>1.3458363065505901</v>
      </c>
    </row>
    <row r="2123" spans="11:16" x14ac:dyDescent="0.3">
      <c r="K2123" s="14" t="s">
        <v>145</v>
      </c>
      <c r="L2123">
        <v>202.69</v>
      </c>
      <c r="M2123">
        <v>105.36020000000001</v>
      </c>
      <c r="N2123">
        <v>300.01</v>
      </c>
      <c r="O2123">
        <v>286.61</v>
      </c>
      <c r="P2123" s="13">
        <v>1.3469620738983299</v>
      </c>
    </row>
    <row r="2124" spans="11:16" x14ac:dyDescent="0.3">
      <c r="K2124" s="14" t="s">
        <v>145</v>
      </c>
      <c r="L2124">
        <v>203.56</v>
      </c>
      <c r="M2124">
        <v>108.0729</v>
      </c>
      <c r="N2124">
        <v>300.01</v>
      </c>
      <c r="O2124">
        <v>288.92</v>
      </c>
      <c r="P2124" s="13">
        <v>1.3485930361345699</v>
      </c>
    </row>
    <row r="2125" spans="11:16" x14ac:dyDescent="0.3">
      <c r="K2125" s="14" t="s">
        <v>145</v>
      </c>
      <c r="L2125">
        <v>203.13</v>
      </c>
      <c r="M2125">
        <v>73.676199999999994</v>
      </c>
      <c r="N2125">
        <v>380.01</v>
      </c>
      <c r="O2125">
        <v>278.25</v>
      </c>
      <c r="P2125" s="13">
        <v>1.3498968553459101</v>
      </c>
    </row>
    <row r="2126" spans="11:16" x14ac:dyDescent="0.3">
      <c r="K2126" s="14" t="s">
        <v>145</v>
      </c>
      <c r="L2126">
        <v>203.13</v>
      </c>
      <c r="M2126">
        <v>84.635400000000004</v>
      </c>
      <c r="N2126">
        <v>350.01</v>
      </c>
      <c r="O2126">
        <v>279.95999999999998</v>
      </c>
      <c r="P2126" s="13">
        <v>1.3529361337333901</v>
      </c>
    </row>
    <row r="2127" spans="11:16" x14ac:dyDescent="0.3">
      <c r="K2127" s="14" t="s">
        <v>145</v>
      </c>
      <c r="L2127">
        <v>203.13</v>
      </c>
      <c r="M2127">
        <v>124.0234</v>
      </c>
      <c r="N2127">
        <v>200</v>
      </c>
      <c r="O2127">
        <v>280.24</v>
      </c>
      <c r="P2127" s="13">
        <v>1.35295960605196</v>
      </c>
    </row>
    <row r="2128" spans="11:16" x14ac:dyDescent="0.3">
      <c r="K2128" s="14" t="s">
        <v>145</v>
      </c>
      <c r="L2128">
        <v>210.5</v>
      </c>
      <c r="M2128">
        <v>94.183999999999997</v>
      </c>
      <c r="N2128">
        <v>250.01</v>
      </c>
      <c r="O2128">
        <v>273.12</v>
      </c>
      <c r="P2128" s="13">
        <v>1.3535683948447601</v>
      </c>
    </row>
    <row r="2129" spans="11:16" x14ac:dyDescent="0.3">
      <c r="K2129" s="14" t="s">
        <v>145</v>
      </c>
      <c r="L2129">
        <v>202.69</v>
      </c>
      <c r="M2129">
        <v>121.7448</v>
      </c>
      <c r="N2129">
        <v>240.01</v>
      </c>
      <c r="O2129">
        <v>285.73</v>
      </c>
      <c r="P2129" s="13">
        <v>1.3538564378959199</v>
      </c>
    </row>
    <row r="2130" spans="11:16" x14ac:dyDescent="0.3">
      <c r="K2130" s="14" t="s">
        <v>145</v>
      </c>
      <c r="L2130">
        <v>203.13</v>
      </c>
      <c r="M2130">
        <v>119.2491</v>
      </c>
      <c r="N2130">
        <v>200</v>
      </c>
      <c r="O2130">
        <v>276.49</v>
      </c>
      <c r="P2130" s="13">
        <v>1.3540420991717601</v>
      </c>
    </row>
    <row r="2131" spans="11:16" x14ac:dyDescent="0.3">
      <c r="K2131" s="14" t="s">
        <v>145</v>
      </c>
      <c r="L2131">
        <v>203.13</v>
      </c>
      <c r="M2131">
        <v>77.691000000000003</v>
      </c>
      <c r="N2131">
        <v>320.01</v>
      </c>
      <c r="O2131">
        <v>268.79000000000002</v>
      </c>
      <c r="P2131" s="13">
        <v>1.3543048476505799</v>
      </c>
    </row>
    <row r="2132" spans="11:16" x14ac:dyDescent="0.3">
      <c r="K2132" s="14" t="s">
        <v>145</v>
      </c>
      <c r="L2132">
        <v>203.13</v>
      </c>
      <c r="M2132">
        <v>79.535600000000002</v>
      </c>
      <c r="N2132">
        <v>370.01</v>
      </c>
      <c r="O2132">
        <v>279.10000000000002</v>
      </c>
      <c r="P2132" s="13">
        <v>1.3574639914009301</v>
      </c>
    </row>
    <row r="2133" spans="11:16" x14ac:dyDescent="0.3">
      <c r="K2133" s="14" t="s">
        <v>145</v>
      </c>
      <c r="L2133">
        <v>210.94</v>
      </c>
      <c r="M2133">
        <v>76.605900000000005</v>
      </c>
      <c r="N2133">
        <v>380.01</v>
      </c>
      <c r="O2133">
        <v>284.54000000000002</v>
      </c>
      <c r="P2133" s="13">
        <v>1.3578003092711</v>
      </c>
    </row>
    <row r="2134" spans="11:16" x14ac:dyDescent="0.3">
      <c r="K2134" s="14" t="s">
        <v>145</v>
      </c>
      <c r="L2134">
        <v>203.13</v>
      </c>
      <c r="M2134">
        <v>109.158</v>
      </c>
      <c r="N2134">
        <v>250.01</v>
      </c>
      <c r="O2134">
        <v>277.64999999999998</v>
      </c>
      <c r="P2134" s="13">
        <v>1.3588712407707499</v>
      </c>
    </row>
    <row r="2135" spans="11:16" x14ac:dyDescent="0.3">
      <c r="K2135" s="14" t="s">
        <v>145</v>
      </c>
      <c r="L2135">
        <v>203.13</v>
      </c>
      <c r="M2135">
        <v>82.320599999999999</v>
      </c>
      <c r="N2135">
        <v>366.01</v>
      </c>
      <c r="O2135">
        <v>279.98</v>
      </c>
      <c r="P2135" s="13">
        <v>1.3594299592828101</v>
      </c>
    </row>
    <row r="2136" spans="11:16" x14ac:dyDescent="0.3">
      <c r="K2136" s="14" t="s">
        <v>145</v>
      </c>
      <c r="L2136">
        <v>210.94</v>
      </c>
      <c r="M2136">
        <v>94.509600000000006</v>
      </c>
      <c r="N2136">
        <v>300.01</v>
      </c>
      <c r="O2136">
        <v>281.97000000000003</v>
      </c>
      <c r="P2136" s="13">
        <v>1.3599042451324601</v>
      </c>
    </row>
    <row r="2137" spans="11:16" x14ac:dyDescent="0.3">
      <c r="K2137" s="14" t="s">
        <v>145</v>
      </c>
      <c r="L2137">
        <v>202.26</v>
      </c>
      <c r="M2137">
        <v>82.031300000000002</v>
      </c>
      <c r="N2137">
        <v>290.01</v>
      </c>
      <c r="O2137">
        <v>263.85000000000002</v>
      </c>
      <c r="P2137" s="13">
        <v>1.3632514686374799</v>
      </c>
    </row>
    <row r="2138" spans="11:16" x14ac:dyDescent="0.3">
      <c r="K2138" s="14" t="s">
        <v>145</v>
      </c>
      <c r="L2138">
        <v>203.13</v>
      </c>
      <c r="M2138">
        <v>79.788799999999995</v>
      </c>
      <c r="N2138">
        <v>350.01</v>
      </c>
      <c r="O2138">
        <v>273.67</v>
      </c>
      <c r="P2138" s="13">
        <v>1.3663222128841299</v>
      </c>
    </row>
    <row r="2139" spans="11:16" x14ac:dyDescent="0.3">
      <c r="K2139" s="14" t="s">
        <v>145</v>
      </c>
      <c r="L2139">
        <v>210.5</v>
      </c>
      <c r="M2139">
        <v>111.97920000000001</v>
      </c>
      <c r="N2139">
        <v>280.01</v>
      </c>
      <c r="O2139">
        <v>289.18</v>
      </c>
      <c r="P2139" s="13">
        <v>1.36690573345321</v>
      </c>
    </row>
    <row r="2140" spans="11:16" x14ac:dyDescent="0.3">
      <c r="K2140" s="14" t="s">
        <v>145</v>
      </c>
      <c r="L2140">
        <v>203.13</v>
      </c>
      <c r="M2140">
        <v>83.224800000000002</v>
      </c>
      <c r="N2140">
        <v>300.20999999999998</v>
      </c>
      <c r="O2140">
        <v>265.56</v>
      </c>
      <c r="P2140" s="13">
        <v>1.3722300045187501</v>
      </c>
    </row>
    <row r="2141" spans="11:16" x14ac:dyDescent="0.3">
      <c r="K2141" s="14" t="s">
        <v>145</v>
      </c>
      <c r="L2141">
        <v>203.13</v>
      </c>
      <c r="M2141">
        <v>106.2283</v>
      </c>
      <c r="N2141">
        <v>380.01</v>
      </c>
      <c r="O2141">
        <v>297.2</v>
      </c>
      <c r="P2141" s="13">
        <v>1.3733543068640599</v>
      </c>
    </row>
    <row r="2142" spans="11:16" x14ac:dyDescent="0.3">
      <c r="K2142" s="14" t="s">
        <v>145</v>
      </c>
      <c r="L2142">
        <v>203.13</v>
      </c>
      <c r="M2142">
        <v>133.13800000000001</v>
      </c>
      <c r="N2142">
        <v>130.1</v>
      </c>
      <c r="O2142">
        <v>269.01</v>
      </c>
      <c r="P2142" s="13">
        <v>1.3757629827887401</v>
      </c>
    </row>
    <row r="2143" spans="11:16" x14ac:dyDescent="0.3">
      <c r="K2143" s="14" t="s">
        <v>145</v>
      </c>
      <c r="L2143">
        <v>210.94</v>
      </c>
      <c r="M2143">
        <v>105.79430000000001</v>
      </c>
      <c r="N2143">
        <v>220</v>
      </c>
      <c r="O2143">
        <v>271.29000000000002</v>
      </c>
      <c r="P2143" s="13">
        <v>1.3783563714106699</v>
      </c>
    </row>
    <row r="2144" spans="11:16" x14ac:dyDescent="0.3">
      <c r="K2144" s="14" t="s">
        <v>145</v>
      </c>
      <c r="L2144">
        <v>210.94</v>
      </c>
      <c r="M2144">
        <v>106.3368</v>
      </c>
      <c r="N2144">
        <v>310.01</v>
      </c>
      <c r="O2144">
        <v>288.31</v>
      </c>
      <c r="P2144" s="13">
        <v>1.3800402344698399</v>
      </c>
    </row>
    <row r="2145" spans="11:16" x14ac:dyDescent="0.3">
      <c r="K2145" s="14" t="s">
        <v>145</v>
      </c>
      <c r="L2145">
        <v>202.69</v>
      </c>
      <c r="M2145">
        <v>73.784700000000001</v>
      </c>
      <c r="N2145">
        <v>440.02</v>
      </c>
      <c r="O2145">
        <v>282.88</v>
      </c>
      <c r="P2145" s="13">
        <v>1.38178697680995</v>
      </c>
    </row>
    <row r="2146" spans="11:16" x14ac:dyDescent="0.3">
      <c r="K2146" s="14" t="s">
        <v>145</v>
      </c>
      <c r="L2146">
        <v>203.13</v>
      </c>
      <c r="M2146">
        <v>110.13460000000001</v>
      </c>
      <c r="N2146">
        <v>230</v>
      </c>
      <c r="O2146">
        <v>269.92</v>
      </c>
      <c r="P2146" s="13">
        <v>1.3821302608180199</v>
      </c>
    </row>
    <row r="2147" spans="11:16" x14ac:dyDescent="0.3">
      <c r="K2147" s="14" t="s">
        <v>145</v>
      </c>
      <c r="L2147">
        <v>210.94</v>
      </c>
      <c r="M2147">
        <v>105.14319999999999</v>
      </c>
      <c r="N2147">
        <v>300.01</v>
      </c>
      <c r="O2147">
        <v>284.85000000000002</v>
      </c>
      <c r="P2147" s="13">
        <v>1.38348534316307</v>
      </c>
    </row>
    <row r="2148" spans="11:16" x14ac:dyDescent="0.3">
      <c r="K2148" s="14" t="s">
        <v>145</v>
      </c>
      <c r="L2148">
        <v>203.13</v>
      </c>
      <c r="M2148">
        <v>142.79519999999999</v>
      </c>
      <c r="N2148">
        <v>133.1</v>
      </c>
      <c r="O2148">
        <v>275</v>
      </c>
      <c r="P2148" s="13">
        <v>1.38374981818182</v>
      </c>
    </row>
    <row r="2149" spans="11:16" x14ac:dyDescent="0.3">
      <c r="K2149" s="14" t="s">
        <v>145</v>
      </c>
      <c r="L2149">
        <v>202.69</v>
      </c>
      <c r="M2149">
        <v>113.38979999999999</v>
      </c>
      <c r="N2149">
        <v>199</v>
      </c>
      <c r="O2149">
        <v>265.56</v>
      </c>
      <c r="P2149" s="13">
        <v>1.3850723000451901</v>
      </c>
    </row>
    <row r="2150" spans="11:16" x14ac:dyDescent="0.3">
      <c r="K2150" s="14" t="s">
        <v>145</v>
      </c>
      <c r="L2150">
        <v>203.13</v>
      </c>
      <c r="M2150">
        <v>111.1835</v>
      </c>
      <c r="N2150">
        <v>300.01</v>
      </c>
      <c r="O2150">
        <v>282.58999999999997</v>
      </c>
      <c r="P2150" s="13">
        <v>1.38828727131179</v>
      </c>
    </row>
    <row r="2151" spans="11:16" x14ac:dyDescent="0.3">
      <c r="K2151" s="14" t="s">
        <v>145</v>
      </c>
      <c r="L2151">
        <v>210.5</v>
      </c>
      <c r="M2151">
        <v>77.799499999999995</v>
      </c>
      <c r="N2151">
        <v>400.02</v>
      </c>
      <c r="O2151">
        <v>281.7</v>
      </c>
      <c r="P2151" s="13">
        <v>1.3926329428469999</v>
      </c>
    </row>
    <row r="2152" spans="11:16" x14ac:dyDescent="0.3">
      <c r="K2152" s="14" t="s">
        <v>145</v>
      </c>
      <c r="L2152">
        <v>203.13</v>
      </c>
      <c r="M2152">
        <v>78.993099999999998</v>
      </c>
      <c r="N2152">
        <v>360.01</v>
      </c>
      <c r="O2152">
        <v>269.60000000000002</v>
      </c>
      <c r="P2152" s="13">
        <v>1.39364132047478</v>
      </c>
    </row>
    <row r="2153" spans="11:16" x14ac:dyDescent="0.3">
      <c r="K2153" s="14" t="s">
        <v>145</v>
      </c>
      <c r="L2153">
        <v>210.5</v>
      </c>
      <c r="M2153">
        <v>102.4306</v>
      </c>
      <c r="N2153">
        <v>322.01</v>
      </c>
      <c r="O2153">
        <v>284.56</v>
      </c>
      <c r="P2153" s="13">
        <v>1.39391762721394</v>
      </c>
    </row>
    <row r="2154" spans="11:16" x14ac:dyDescent="0.3">
      <c r="K2154" s="14" t="s">
        <v>145</v>
      </c>
      <c r="L2154">
        <v>210.5</v>
      </c>
      <c r="M2154">
        <v>146.41200000000001</v>
      </c>
      <c r="N2154">
        <v>170</v>
      </c>
      <c r="O2154">
        <v>287.75</v>
      </c>
      <c r="P2154" s="13">
        <v>1.3939600347523899</v>
      </c>
    </row>
    <row r="2155" spans="11:16" x14ac:dyDescent="0.3">
      <c r="K2155" s="14" t="s">
        <v>145</v>
      </c>
      <c r="L2155">
        <v>203.13</v>
      </c>
      <c r="M2155">
        <v>93.533000000000001</v>
      </c>
      <c r="N2155">
        <v>380.01</v>
      </c>
      <c r="O2155">
        <v>282.01</v>
      </c>
      <c r="P2155" s="13">
        <v>1.4023105563632501</v>
      </c>
    </row>
    <row r="2156" spans="11:16" x14ac:dyDescent="0.3">
      <c r="K2156" s="14" t="s">
        <v>145</v>
      </c>
      <c r="L2156">
        <v>210.94</v>
      </c>
      <c r="M2156">
        <v>108.2899</v>
      </c>
      <c r="N2156">
        <v>230</v>
      </c>
      <c r="O2156">
        <v>269.89999999999998</v>
      </c>
      <c r="P2156" s="13">
        <v>1.4043345683586499</v>
      </c>
    </row>
    <row r="2157" spans="11:16" x14ac:dyDescent="0.3">
      <c r="K2157" s="14" t="s">
        <v>145</v>
      </c>
      <c r="L2157">
        <v>210.94</v>
      </c>
      <c r="M2157">
        <v>86.48</v>
      </c>
      <c r="N2157">
        <v>380.01</v>
      </c>
      <c r="O2157">
        <v>280.29000000000002</v>
      </c>
      <c r="P2157" s="13">
        <v>1.4136166113668001</v>
      </c>
    </row>
    <row r="2158" spans="11:16" x14ac:dyDescent="0.3">
      <c r="K2158" s="14" t="s">
        <v>145</v>
      </c>
      <c r="L2158">
        <v>211.37</v>
      </c>
      <c r="M2158">
        <v>112.4132</v>
      </c>
      <c r="N2158">
        <v>170</v>
      </c>
      <c r="O2158">
        <v>260</v>
      </c>
      <c r="P2158" s="13">
        <v>1.4153199999999999</v>
      </c>
    </row>
    <row r="2159" spans="11:16" x14ac:dyDescent="0.3">
      <c r="K2159" s="14" t="s">
        <v>145</v>
      </c>
      <c r="L2159">
        <v>203.13</v>
      </c>
      <c r="M2159">
        <v>78.667500000000004</v>
      </c>
      <c r="N2159">
        <v>400.02</v>
      </c>
      <c r="O2159">
        <v>272.43</v>
      </c>
      <c r="P2159" s="13">
        <v>1.4161535073229801</v>
      </c>
    </row>
    <row r="2160" spans="11:16" x14ac:dyDescent="0.3">
      <c r="K2160" s="14" t="s">
        <v>145</v>
      </c>
      <c r="L2160">
        <v>203.56</v>
      </c>
      <c r="M2160">
        <v>112.1962</v>
      </c>
      <c r="N2160">
        <v>300.01</v>
      </c>
      <c r="O2160">
        <v>277.95</v>
      </c>
      <c r="P2160" s="13">
        <v>1.41665335491995</v>
      </c>
    </row>
    <row r="2161" spans="11:16" x14ac:dyDescent="0.3">
      <c r="K2161" s="14" t="s">
        <v>145</v>
      </c>
      <c r="L2161">
        <v>203.56</v>
      </c>
      <c r="M2161">
        <v>137.15280000000001</v>
      </c>
      <c r="N2161">
        <v>220</v>
      </c>
      <c r="O2161">
        <v>280.86</v>
      </c>
      <c r="P2161" s="13">
        <v>1.41676564836573</v>
      </c>
    </row>
    <row r="2162" spans="11:16" x14ac:dyDescent="0.3">
      <c r="K2162" s="14" t="s">
        <v>145</v>
      </c>
      <c r="L2162">
        <v>203.13</v>
      </c>
      <c r="M2162">
        <v>120.3704</v>
      </c>
      <c r="N2162">
        <v>300.01</v>
      </c>
      <c r="O2162">
        <v>282.58</v>
      </c>
      <c r="P2162" s="13">
        <v>1.42084719371505</v>
      </c>
    </row>
    <row r="2163" spans="11:16" x14ac:dyDescent="0.3">
      <c r="K2163" s="14" t="s">
        <v>145</v>
      </c>
      <c r="L2163">
        <v>195.75</v>
      </c>
      <c r="M2163">
        <v>110.13460000000001</v>
      </c>
      <c r="N2163">
        <v>400.02</v>
      </c>
      <c r="O2163">
        <v>288.02999999999997</v>
      </c>
      <c r="P2163" s="13">
        <v>1.42308023469777</v>
      </c>
    </row>
    <row r="2164" spans="11:16" x14ac:dyDescent="0.3">
      <c r="K2164" s="14" t="s">
        <v>145</v>
      </c>
      <c r="L2164">
        <v>203.56</v>
      </c>
      <c r="M2164">
        <v>109.375</v>
      </c>
      <c r="N2164">
        <v>255.01</v>
      </c>
      <c r="O2164">
        <v>266.39999999999998</v>
      </c>
      <c r="P2164" s="13">
        <v>1.42356456456456</v>
      </c>
    </row>
    <row r="2165" spans="11:16" x14ac:dyDescent="0.3">
      <c r="K2165" s="14" t="s">
        <v>145</v>
      </c>
      <c r="L2165">
        <v>203.13</v>
      </c>
      <c r="M2165">
        <v>112.1962</v>
      </c>
      <c r="N2165">
        <v>300.01</v>
      </c>
      <c r="O2165">
        <v>275.91000000000003</v>
      </c>
      <c r="P2165" s="13">
        <v>1.42556920735022</v>
      </c>
    </row>
    <row r="2166" spans="11:16" x14ac:dyDescent="0.3">
      <c r="K2166" s="14" t="s">
        <v>145</v>
      </c>
      <c r="L2166">
        <v>203.13</v>
      </c>
      <c r="M2166">
        <v>107.20489999999999</v>
      </c>
      <c r="N2166">
        <v>400.02</v>
      </c>
      <c r="O2166">
        <v>290.35000000000002</v>
      </c>
      <c r="P2166" s="13">
        <v>1.4270366798691201</v>
      </c>
    </row>
    <row r="2167" spans="11:16" x14ac:dyDescent="0.3">
      <c r="K2167" s="14" t="s">
        <v>145</v>
      </c>
      <c r="L2167">
        <v>210.94</v>
      </c>
      <c r="M2167">
        <v>116.9705</v>
      </c>
      <c r="N2167">
        <v>166</v>
      </c>
      <c r="O2167">
        <v>260</v>
      </c>
      <c r="P2167" s="13">
        <v>1.42719423076923</v>
      </c>
    </row>
    <row r="2168" spans="11:16" x14ac:dyDescent="0.3">
      <c r="K2168" s="14" t="s">
        <v>145</v>
      </c>
      <c r="L2168">
        <v>203.13</v>
      </c>
      <c r="M2168">
        <v>112.3409</v>
      </c>
      <c r="N2168">
        <v>300.01</v>
      </c>
      <c r="O2168">
        <v>274.76</v>
      </c>
      <c r="P2168" s="13">
        <v>1.4320625272965499</v>
      </c>
    </row>
    <row r="2169" spans="11:16" x14ac:dyDescent="0.3">
      <c r="K2169" s="14" t="s">
        <v>145</v>
      </c>
      <c r="L2169">
        <v>210.5</v>
      </c>
      <c r="M2169">
        <v>115.23439999999999</v>
      </c>
      <c r="N2169">
        <v>180</v>
      </c>
      <c r="O2169">
        <v>260</v>
      </c>
      <c r="P2169" s="13">
        <v>1.43282461538462</v>
      </c>
    </row>
    <row r="2170" spans="11:16" x14ac:dyDescent="0.3">
      <c r="K2170" s="14" t="s">
        <v>145</v>
      </c>
      <c r="L2170">
        <v>203.13</v>
      </c>
      <c r="M2170">
        <v>120.0087</v>
      </c>
      <c r="N2170">
        <v>333.01</v>
      </c>
      <c r="O2170">
        <v>285.45</v>
      </c>
      <c r="P2170" s="13">
        <v>1.43535225083202</v>
      </c>
    </row>
    <row r="2171" spans="11:16" x14ac:dyDescent="0.3">
      <c r="K2171" s="14" t="s">
        <v>145</v>
      </c>
      <c r="L2171">
        <v>210.94</v>
      </c>
      <c r="M2171">
        <v>107.3134</v>
      </c>
      <c r="N2171">
        <v>360.11</v>
      </c>
      <c r="O2171">
        <v>286.58999999999997</v>
      </c>
      <c r="P2171" s="13">
        <v>1.4371820370564199</v>
      </c>
    </row>
    <row r="2172" spans="11:16" x14ac:dyDescent="0.3">
      <c r="K2172" s="14" t="s">
        <v>145</v>
      </c>
      <c r="L2172">
        <v>195.75</v>
      </c>
      <c r="M2172">
        <v>112.1962</v>
      </c>
      <c r="N2172">
        <v>340.01</v>
      </c>
      <c r="O2172">
        <v>275.13</v>
      </c>
      <c r="P2172" s="13">
        <v>1.4405873587031599</v>
      </c>
    </row>
    <row r="2173" spans="11:16" x14ac:dyDescent="0.3">
      <c r="K2173" s="14" t="s">
        <v>145</v>
      </c>
      <c r="L2173">
        <v>203.56</v>
      </c>
      <c r="M2173">
        <v>132.8125</v>
      </c>
      <c r="N2173">
        <v>240.01</v>
      </c>
      <c r="O2173">
        <v>276.5</v>
      </c>
      <c r="P2173" s="13">
        <v>1.4422245931283899</v>
      </c>
    </row>
    <row r="2174" spans="11:16" x14ac:dyDescent="0.3">
      <c r="K2174" s="14" t="s">
        <v>145</v>
      </c>
      <c r="L2174">
        <v>203.13</v>
      </c>
      <c r="M2174">
        <v>74.761300000000006</v>
      </c>
      <c r="N2174">
        <v>500.01</v>
      </c>
      <c r="O2174">
        <v>282.52</v>
      </c>
      <c r="P2174" s="13">
        <v>1.4437699985841701</v>
      </c>
    </row>
    <row r="2175" spans="11:16" x14ac:dyDescent="0.3">
      <c r="K2175" s="14" t="s">
        <v>145</v>
      </c>
      <c r="L2175">
        <v>195.75</v>
      </c>
      <c r="M2175">
        <v>106.1198</v>
      </c>
      <c r="N2175">
        <v>300.01</v>
      </c>
      <c r="O2175">
        <v>263</v>
      </c>
      <c r="P2175" s="13">
        <v>1.44438174904943</v>
      </c>
    </row>
    <row r="2176" spans="11:16" x14ac:dyDescent="0.3">
      <c r="K2176" s="14" t="s">
        <v>145</v>
      </c>
      <c r="L2176">
        <v>203.56</v>
      </c>
      <c r="M2176">
        <v>111.11109999999999</v>
      </c>
      <c r="N2176">
        <v>330.01</v>
      </c>
      <c r="O2176">
        <v>276.52</v>
      </c>
      <c r="P2176" s="13">
        <v>1.44826305511355</v>
      </c>
    </row>
    <row r="2177" spans="11:16" x14ac:dyDescent="0.3">
      <c r="K2177" s="14" t="s">
        <v>145</v>
      </c>
      <c r="L2177">
        <v>202.69</v>
      </c>
      <c r="M2177">
        <v>114.1493</v>
      </c>
      <c r="N2177">
        <v>300.01</v>
      </c>
      <c r="O2177">
        <v>272.45999999999998</v>
      </c>
      <c r="P2177" s="13">
        <v>1.44917382368054</v>
      </c>
    </row>
    <row r="2178" spans="11:16" x14ac:dyDescent="0.3">
      <c r="K2178" s="14" t="s">
        <v>145</v>
      </c>
      <c r="L2178">
        <v>203.13</v>
      </c>
      <c r="M2178">
        <v>119.1407</v>
      </c>
      <c r="N2178">
        <v>280.01</v>
      </c>
      <c r="O2178">
        <v>271.63</v>
      </c>
      <c r="P2178" s="13">
        <v>1.4544538526672299</v>
      </c>
    </row>
    <row r="2179" spans="11:16" x14ac:dyDescent="0.3">
      <c r="K2179" s="14" t="s">
        <v>145</v>
      </c>
      <c r="L2179">
        <v>202.69</v>
      </c>
      <c r="M2179">
        <v>126.2283</v>
      </c>
      <c r="N2179">
        <v>320.01</v>
      </c>
      <c r="O2179">
        <v>282.56</v>
      </c>
      <c r="P2179" s="13">
        <v>1.4585252689694199</v>
      </c>
    </row>
    <row r="2180" spans="11:16" x14ac:dyDescent="0.3">
      <c r="K2180" s="14" t="s">
        <v>145</v>
      </c>
      <c r="L2180">
        <v>202.69</v>
      </c>
      <c r="M2180">
        <v>139.9016</v>
      </c>
      <c r="N2180">
        <v>188</v>
      </c>
      <c r="O2180">
        <v>268.22000000000003</v>
      </c>
      <c r="P2180" s="13">
        <v>1.45951681455522</v>
      </c>
    </row>
    <row r="2181" spans="11:16" x14ac:dyDescent="0.3">
      <c r="K2181" s="14" t="s">
        <v>145</v>
      </c>
      <c r="L2181">
        <v>203.13</v>
      </c>
      <c r="M2181">
        <v>140.73349999999999</v>
      </c>
      <c r="N2181">
        <v>266.01</v>
      </c>
      <c r="O2181">
        <v>281.43</v>
      </c>
      <c r="P2181" s="13">
        <v>1.46759798173613</v>
      </c>
    </row>
    <row r="2182" spans="11:16" x14ac:dyDescent="0.3">
      <c r="K2182" s="14" t="s">
        <v>145</v>
      </c>
      <c r="L2182">
        <v>210.94</v>
      </c>
      <c r="M2182">
        <v>111.97920000000001</v>
      </c>
      <c r="N2182">
        <v>310.01</v>
      </c>
      <c r="O2182">
        <v>272.76</v>
      </c>
      <c r="P2182" s="13">
        <v>1.4794024050447301</v>
      </c>
    </row>
    <row r="2183" spans="11:16" x14ac:dyDescent="0.3">
      <c r="K2183" s="14" t="s">
        <v>145</v>
      </c>
      <c r="L2183">
        <v>202.69</v>
      </c>
      <c r="M2183">
        <v>132.01679999999999</v>
      </c>
      <c r="N2183">
        <v>250.01</v>
      </c>
      <c r="O2183">
        <v>268.10000000000002</v>
      </c>
      <c r="P2183" s="13">
        <v>1.49089668034316</v>
      </c>
    </row>
    <row r="2184" spans="11:16" x14ac:dyDescent="0.3">
      <c r="K2184" s="14" t="s">
        <v>145</v>
      </c>
      <c r="L2184">
        <v>203.13</v>
      </c>
      <c r="M2184">
        <v>113.1728</v>
      </c>
      <c r="N2184">
        <v>222</v>
      </c>
      <c r="O2184">
        <v>250.6</v>
      </c>
      <c r="P2184" s="13">
        <v>1.4925091779728601</v>
      </c>
    </row>
    <row r="2185" spans="11:16" x14ac:dyDescent="0.3">
      <c r="K2185" s="14" t="s">
        <v>145</v>
      </c>
      <c r="L2185">
        <v>211.37</v>
      </c>
      <c r="M2185">
        <v>136.0677</v>
      </c>
      <c r="N2185">
        <v>220</v>
      </c>
      <c r="O2185">
        <v>270.18</v>
      </c>
      <c r="P2185" s="13">
        <v>1.49765970834259</v>
      </c>
    </row>
    <row r="2186" spans="11:16" x14ac:dyDescent="0.3">
      <c r="K2186" s="14" t="s">
        <v>145</v>
      </c>
      <c r="L2186">
        <v>203.13</v>
      </c>
      <c r="M2186">
        <v>103.4071</v>
      </c>
      <c r="N2186">
        <v>420.01</v>
      </c>
      <c r="O2186">
        <v>277</v>
      </c>
      <c r="P2186" s="13">
        <v>1.5008653429602901</v>
      </c>
    </row>
    <row r="2187" spans="11:16" x14ac:dyDescent="0.3">
      <c r="K2187" s="14" t="s">
        <v>145</v>
      </c>
      <c r="L2187">
        <v>210.94</v>
      </c>
      <c r="M2187">
        <v>107.0964</v>
      </c>
      <c r="N2187">
        <v>300.01</v>
      </c>
      <c r="O2187">
        <v>262.97000000000003</v>
      </c>
      <c r="P2187" s="13">
        <v>1.5060235007795599</v>
      </c>
    </row>
    <row r="2188" spans="11:16" x14ac:dyDescent="0.3">
      <c r="K2188" s="14" t="s">
        <v>145</v>
      </c>
      <c r="L2188">
        <v>203.13</v>
      </c>
      <c r="M2188">
        <v>112.4855</v>
      </c>
      <c r="N2188">
        <v>370.01</v>
      </c>
      <c r="O2188">
        <v>272.79000000000002</v>
      </c>
      <c r="P2188" s="13">
        <v>1.50965247992962</v>
      </c>
    </row>
    <row r="2189" spans="11:16" x14ac:dyDescent="0.3">
      <c r="K2189" s="14" t="s">
        <v>145</v>
      </c>
      <c r="L2189">
        <v>255.64</v>
      </c>
      <c r="M2189">
        <v>153.3912</v>
      </c>
      <c r="N2189">
        <v>110.1</v>
      </c>
      <c r="O2189">
        <v>288.94</v>
      </c>
      <c r="P2189" s="13">
        <v>1.5146992455181001</v>
      </c>
    </row>
    <row r="2190" spans="11:16" x14ac:dyDescent="0.3">
      <c r="K2190" s="14" t="s">
        <v>145</v>
      </c>
      <c r="L2190">
        <v>202.69</v>
      </c>
      <c r="M2190">
        <v>112.0877</v>
      </c>
      <c r="N2190">
        <v>255.01</v>
      </c>
      <c r="O2190">
        <v>251.47</v>
      </c>
      <c r="P2190" s="13">
        <v>1.51541058575576</v>
      </c>
    </row>
    <row r="2191" spans="11:16" x14ac:dyDescent="0.3">
      <c r="K2191" s="14" t="s">
        <v>145</v>
      </c>
      <c r="L2191">
        <v>203.13</v>
      </c>
      <c r="M2191">
        <v>77.799499999999995</v>
      </c>
      <c r="N2191">
        <v>620.02</v>
      </c>
      <c r="O2191">
        <v>291.47000000000003</v>
      </c>
      <c r="P2191" s="13">
        <v>1.5169132329227699</v>
      </c>
    </row>
    <row r="2192" spans="11:16" x14ac:dyDescent="0.3">
      <c r="K2192" s="14" t="s">
        <v>145</v>
      </c>
      <c r="L2192">
        <v>202.69</v>
      </c>
      <c r="M2192">
        <v>144.53129999999999</v>
      </c>
      <c r="N2192">
        <v>320.01</v>
      </c>
      <c r="O2192">
        <v>280.26</v>
      </c>
      <c r="P2192" s="13">
        <v>1.53580211232427</v>
      </c>
    </row>
    <row r="2193" spans="11:16" x14ac:dyDescent="0.3">
      <c r="K2193" s="14" t="s">
        <v>145</v>
      </c>
      <c r="L2193">
        <v>202.69</v>
      </c>
      <c r="M2193">
        <v>136.71879999999999</v>
      </c>
      <c r="N2193">
        <v>366.01</v>
      </c>
      <c r="O2193">
        <v>277.68</v>
      </c>
      <c r="P2193" s="13">
        <v>1.5650079227888201</v>
      </c>
    </row>
    <row r="2194" spans="11:16" x14ac:dyDescent="0.3">
      <c r="K2194" s="14" t="s">
        <v>145</v>
      </c>
      <c r="L2194">
        <v>203.13</v>
      </c>
      <c r="M2194">
        <v>113.7153</v>
      </c>
      <c r="N2194">
        <v>530.11</v>
      </c>
      <c r="O2194">
        <v>283.72000000000003</v>
      </c>
      <c r="P2194" s="13">
        <v>1.6025444099816699</v>
      </c>
    </row>
    <row r="2195" spans="11:16" x14ac:dyDescent="0.3">
      <c r="K2195" s="14" t="s">
        <v>145</v>
      </c>
      <c r="L2195">
        <v>202.69</v>
      </c>
      <c r="M2195">
        <v>220.8117</v>
      </c>
      <c r="N2195">
        <v>66.099999999999994</v>
      </c>
      <c r="O2195">
        <v>262.42</v>
      </c>
      <c r="P2195" s="13">
        <v>1.67932207910982</v>
      </c>
    </row>
    <row r="2196" spans="11:16" x14ac:dyDescent="0.3">
      <c r="K2196" s="14" t="s">
        <v>145</v>
      </c>
      <c r="L2196">
        <v>203.13</v>
      </c>
      <c r="M2196">
        <v>135.41669999999999</v>
      </c>
      <c r="N2196">
        <v>480.01</v>
      </c>
      <c r="O2196">
        <v>273.35000000000002</v>
      </c>
      <c r="P2196" s="13">
        <v>1.69507700749954</v>
      </c>
    </row>
    <row r="2197" spans="11:16" x14ac:dyDescent="0.3">
      <c r="K2197" s="14" t="s">
        <v>145</v>
      </c>
      <c r="L2197">
        <v>203.13</v>
      </c>
      <c r="M2197">
        <v>209.52699999999999</v>
      </c>
      <c r="N2197">
        <v>288.10000000000002</v>
      </c>
      <c r="O2197">
        <v>280.25</v>
      </c>
      <c r="P2197" s="13">
        <v>1.73974308652988</v>
      </c>
    </row>
    <row r="2198" spans="11:16" x14ac:dyDescent="0.3">
      <c r="K2198" s="14" t="s">
        <v>145</v>
      </c>
      <c r="L2198">
        <v>210.5</v>
      </c>
      <c r="M2198">
        <v>193.90199999999999</v>
      </c>
      <c r="N2198">
        <v>369.5</v>
      </c>
      <c r="O2198">
        <v>280.14999999999998</v>
      </c>
      <c r="P2198" s="13">
        <v>1.7864429769766199</v>
      </c>
    </row>
    <row r="2199" spans="11:16" x14ac:dyDescent="0.3">
      <c r="K2199" s="14" t="s">
        <v>107</v>
      </c>
      <c r="L2199">
        <v>202.69</v>
      </c>
      <c r="M2199">
        <v>86.697100000000006</v>
      </c>
      <c r="N2199">
        <v>111.1</v>
      </c>
      <c r="O2199">
        <v>281.95999999999998</v>
      </c>
      <c r="P2199" s="13">
        <v>1.1287881259753201</v>
      </c>
    </row>
    <row r="2200" spans="11:16" x14ac:dyDescent="0.3">
      <c r="K2200" s="14" t="s">
        <v>107</v>
      </c>
      <c r="L2200">
        <v>203.13</v>
      </c>
      <c r="M2200">
        <v>78.558999999999997</v>
      </c>
      <c r="N2200">
        <v>220</v>
      </c>
      <c r="O2200">
        <v>293.14999999999998</v>
      </c>
      <c r="P2200" s="13">
        <v>1.15602592529422</v>
      </c>
    </row>
    <row r="2201" spans="11:16" x14ac:dyDescent="0.3">
      <c r="K2201" s="14" t="s">
        <v>107</v>
      </c>
      <c r="L2201">
        <v>203.13</v>
      </c>
      <c r="M2201">
        <v>73.929400000000001</v>
      </c>
      <c r="N2201">
        <v>220</v>
      </c>
      <c r="O2201">
        <v>287.47000000000003</v>
      </c>
      <c r="P2201" s="13">
        <v>1.1627627230667501</v>
      </c>
    </row>
    <row r="2202" spans="11:16" x14ac:dyDescent="0.3">
      <c r="K2202" s="14" t="s">
        <v>107</v>
      </c>
      <c r="L2202">
        <v>195.75</v>
      </c>
      <c r="M2202">
        <v>94.183999999999997</v>
      </c>
      <c r="N2202">
        <v>200</v>
      </c>
      <c r="O2202">
        <v>290.20999999999998</v>
      </c>
      <c r="P2202" s="13">
        <v>1.17822955790634</v>
      </c>
    </row>
    <row r="2203" spans="11:16" x14ac:dyDescent="0.3">
      <c r="K2203" s="14" t="s">
        <v>107</v>
      </c>
      <c r="L2203">
        <v>203.13</v>
      </c>
      <c r="M2203">
        <v>102.4306</v>
      </c>
      <c r="N2203">
        <v>150.1</v>
      </c>
      <c r="O2203">
        <v>288.25</v>
      </c>
      <c r="P2203" s="13">
        <v>1.19544353859497</v>
      </c>
    </row>
    <row r="2204" spans="11:16" x14ac:dyDescent="0.3">
      <c r="K2204" s="14" t="s">
        <v>107</v>
      </c>
      <c r="L2204">
        <v>203.13</v>
      </c>
      <c r="M2204">
        <v>88.541700000000006</v>
      </c>
      <c r="N2204">
        <v>200</v>
      </c>
      <c r="O2204">
        <v>286.05</v>
      </c>
      <c r="P2204" s="13">
        <v>1.20143925887083</v>
      </c>
    </row>
    <row r="2205" spans="11:16" x14ac:dyDescent="0.3">
      <c r="K2205" s="14" t="s">
        <v>107</v>
      </c>
      <c r="L2205">
        <v>203.99</v>
      </c>
      <c r="M2205">
        <v>85.611999999999995</v>
      </c>
      <c r="N2205">
        <v>150.1</v>
      </c>
      <c r="O2205">
        <v>273.31</v>
      </c>
      <c r="P2205" s="13">
        <v>1.20240020489554</v>
      </c>
    </row>
    <row r="2206" spans="11:16" x14ac:dyDescent="0.3">
      <c r="K2206" s="14" t="s">
        <v>107</v>
      </c>
      <c r="L2206">
        <v>203.13</v>
      </c>
      <c r="M2206">
        <v>77.799499999999995</v>
      </c>
      <c r="N2206">
        <v>280.01</v>
      </c>
      <c r="O2206">
        <v>293.81</v>
      </c>
      <c r="P2206" s="13">
        <v>1.2039484700997201</v>
      </c>
    </row>
    <row r="2207" spans="11:16" x14ac:dyDescent="0.3">
      <c r="K2207" s="14" t="s">
        <v>107</v>
      </c>
      <c r="L2207">
        <v>203.13</v>
      </c>
      <c r="M2207">
        <v>78.667500000000004</v>
      </c>
      <c r="N2207">
        <v>200</v>
      </c>
      <c r="O2207">
        <v>274.79000000000002</v>
      </c>
      <c r="P2207" s="13">
        <v>1.2147367080315901</v>
      </c>
    </row>
    <row r="2208" spans="11:16" x14ac:dyDescent="0.3">
      <c r="K2208" s="14" t="s">
        <v>107</v>
      </c>
      <c r="L2208">
        <v>210.5</v>
      </c>
      <c r="M2208">
        <v>86.299199999999999</v>
      </c>
      <c r="N2208">
        <v>160</v>
      </c>
      <c r="O2208">
        <v>277.66000000000003</v>
      </c>
      <c r="P2208" s="13">
        <v>1.21875387164158</v>
      </c>
    </row>
    <row r="2209" spans="11:16" x14ac:dyDescent="0.3">
      <c r="K2209" s="14" t="s">
        <v>107</v>
      </c>
      <c r="L2209">
        <v>203.13</v>
      </c>
      <c r="M2209">
        <v>81.8142</v>
      </c>
      <c r="N2209">
        <v>230</v>
      </c>
      <c r="O2209">
        <v>279.08</v>
      </c>
      <c r="P2209" s="13">
        <v>1.23528808943672</v>
      </c>
    </row>
    <row r="2210" spans="11:16" x14ac:dyDescent="0.3">
      <c r="K2210" s="14" t="s">
        <v>107</v>
      </c>
      <c r="L2210">
        <v>203.13</v>
      </c>
      <c r="M2210">
        <v>76.533600000000007</v>
      </c>
      <c r="N2210">
        <v>270.01</v>
      </c>
      <c r="O2210">
        <v>283.12</v>
      </c>
      <c r="P2210" s="13">
        <v>1.235752331167</v>
      </c>
    </row>
    <row r="2211" spans="11:16" x14ac:dyDescent="0.3">
      <c r="K2211" s="14" t="s">
        <v>107</v>
      </c>
      <c r="L2211">
        <v>202.69</v>
      </c>
      <c r="M2211">
        <v>105.3241</v>
      </c>
      <c r="N2211">
        <v>150.1</v>
      </c>
      <c r="O2211">
        <v>277.98</v>
      </c>
      <c r="P2211" s="13">
        <v>1.2484354989567601</v>
      </c>
    </row>
    <row r="2212" spans="11:16" x14ac:dyDescent="0.3">
      <c r="K2212" s="14" t="s">
        <v>107</v>
      </c>
      <c r="L2212">
        <v>203.13</v>
      </c>
      <c r="M2212">
        <v>75.737899999999996</v>
      </c>
      <c r="N2212">
        <v>300.01</v>
      </c>
      <c r="O2212">
        <v>284.85000000000002</v>
      </c>
      <c r="P2212" s="13">
        <v>1.2528365806564901</v>
      </c>
    </row>
    <row r="2213" spans="11:16" x14ac:dyDescent="0.3">
      <c r="K2213" s="14" t="s">
        <v>107</v>
      </c>
      <c r="L2213">
        <v>203.99</v>
      </c>
      <c r="M2213">
        <v>83.658900000000003</v>
      </c>
      <c r="N2213">
        <v>260.10000000000002</v>
      </c>
      <c r="O2213">
        <v>281.38</v>
      </c>
      <c r="P2213" s="13">
        <v>1.2626160352548199</v>
      </c>
    </row>
    <row r="2214" spans="11:16" x14ac:dyDescent="0.3">
      <c r="K2214" s="14" t="s">
        <v>107</v>
      </c>
      <c r="L2214">
        <v>203.13</v>
      </c>
      <c r="M2214">
        <v>114.1493</v>
      </c>
      <c r="N2214">
        <v>200</v>
      </c>
      <c r="O2214">
        <v>291.79000000000002</v>
      </c>
      <c r="P2214" s="13">
        <v>1.2655653038143899</v>
      </c>
    </row>
    <row r="2215" spans="11:16" x14ac:dyDescent="0.3">
      <c r="K2215" s="14" t="s">
        <v>107</v>
      </c>
      <c r="L2215">
        <v>203.56</v>
      </c>
      <c r="M2215">
        <v>74.978300000000004</v>
      </c>
      <c r="N2215">
        <v>300.01</v>
      </c>
      <c r="O2215">
        <v>278.82</v>
      </c>
      <c r="P2215" s="13">
        <v>1.2787493723549199</v>
      </c>
    </row>
    <row r="2216" spans="11:16" x14ac:dyDescent="0.3">
      <c r="K2216" s="14" t="s">
        <v>107</v>
      </c>
      <c r="L2216">
        <v>203.13</v>
      </c>
      <c r="M2216">
        <v>89.699100000000001</v>
      </c>
      <c r="N2216">
        <v>225</v>
      </c>
      <c r="O2216">
        <v>272.77</v>
      </c>
      <c r="P2216" s="13">
        <v>1.2880049125637001</v>
      </c>
    </row>
    <row r="2217" spans="11:16" x14ac:dyDescent="0.3">
      <c r="K2217" s="14" t="s">
        <v>107</v>
      </c>
      <c r="L2217">
        <v>202.69</v>
      </c>
      <c r="M2217">
        <v>104.02200000000001</v>
      </c>
      <c r="N2217">
        <v>150.1</v>
      </c>
      <c r="O2217">
        <v>267.33</v>
      </c>
      <c r="P2217" s="13">
        <v>1.2933004152171499</v>
      </c>
    </row>
    <row r="2218" spans="11:16" x14ac:dyDescent="0.3">
      <c r="K2218" s="14" t="s">
        <v>107</v>
      </c>
      <c r="L2218">
        <v>203.13</v>
      </c>
      <c r="M2218">
        <v>116.3918</v>
      </c>
      <c r="N2218">
        <v>150.1</v>
      </c>
      <c r="O2218">
        <v>276.49</v>
      </c>
      <c r="P2218" s="13">
        <v>1.29678397048718</v>
      </c>
    </row>
    <row r="2219" spans="11:16" x14ac:dyDescent="0.3">
      <c r="K2219" s="14" t="s">
        <v>107</v>
      </c>
      <c r="L2219">
        <v>203.13</v>
      </c>
      <c r="M2219">
        <v>106.3368</v>
      </c>
      <c r="N2219">
        <v>220</v>
      </c>
      <c r="O2219">
        <v>281.11</v>
      </c>
      <c r="P2219" s="13">
        <v>1.3043534559425101</v>
      </c>
    </row>
    <row r="2220" spans="11:16" x14ac:dyDescent="0.3">
      <c r="K2220" s="14" t="s">
        <v>107</v>
      </c>
      <c r="L2220">
        <v>203.13</v>
      </c>
      <c r="M2220">
        <v>103.4071</v>
      </c>
      <c r="N2220">
        <v>270.01</v>
      </c>
      <c r="O2220">
        <v>288.58</v>
      </c>
      <c r="P2220" s="13">
        <v>1.30549483678703</v>
      </c>
    </row>
    <row r="2221" spans="11:16" x14ac:dyDescent="0.3">
      <c r="K2221" s="14" t="s">
        <v>107</v>
      </c>
      <c r="L2221">
        <v>210.94</v>
      </c>
      <c r="M2221">
        <v>107.0964</v>
      </c>
      <c r="N2221">
        <v>200</v>
      </c>
      <c r="O2221">
        <v>279.11</v>
      </c>
      <c r="P2221" s="13">
        <v>1.3257726344452001</v>
      </c>
    </row>
    <row r="2222" spans="11:16" x14ac:dyDescent="0.3">
      <c r="K2222" s="14" t="s">
        <v>107</v>
      </c>
      <c r="L2222">
        <v>203.13</v>
      </c>
      <c r="M2222">
        <v>124.2043</v>
      </c>
      <c r="N2222">
        <v>222</v>
      </c>
      <c r="O2222">
        <v>289.45999999999998</v>
      </c>
      <c r="P2222" s="13">
        <v>1.33025046638568</v>
      </c>
    </row>
    <row r="2223" spans="11:16" x14ac:dyDescent="0.3">
      <c r="K2223" s="14" t="s">
        <v>107</v>
      </c>
      <c r="L2223">
        <v>202.69</v>
      </c>
      <c r="M2223">
        <v>94.183999999999997</v>
      </c>
      <c r="N2223">
        <v>320.01</v>
      </c>
      <c r="O2223">
        <v>284.89</v>
      </c>
      <c r="P2223" s="13">
        <v>1.3341170276247001</v>
      </c>
    </row>
    <row r="2224" spans="11:16" x14ac:dyDescent="0.3">
      <c r="K2224" s="14" t="s">
        <v>107</v>
      </c>
      <c r="L2224">
        <v>203.13</v>
      </c>
      <c r="M2224">
        <v>84.490700000000004</v>
      </c>
      <c r="N2224">
        <v>340.01</v>
      </c>
      <c r="O2224">
        <v>281.39999999999998</v>
      </c>
      <c r="P2224" s="13">
        <v>1.33625906183369</v>
      </c>
    </row>
    <row r="2225" spans="11:16" x14ac:dyDescent="0.3">
      <c r="K2225" s="14" t="s">
        <v>107</v>
      </c>
      <c r="L2225">
        <v>195.75</v>
      </c>
      <c r="M2225">
        <v>118.1641</v>
      </c>
      <c r="N2225">
        <v>255.01</v>
      </c>
      <c r="O2225">
        <v>279.63</v>
      </c>
      <c r="P2225" s="13">
        <v>1.35971355004828</v>
      </c>
    </row>
    <row r="2226" spans="11:16" x14ac:dyDescent="0.3">
      <c r="K2226" s="14" t="s">
        <v>107</v>
      </c>
      <c r="L2226">
        <v>203.13</v>
      </c>
      <c r="M2226">
        <v>108.0729</v>
      </c>
      <c r="N2226">
        <v>300.01</v>
      </c>
      <c r="O2226">
        <v>280.45</v>
      </c>
      <c r="P2226" s="13">
        <v>1.3877892672490599</v>
      </c>
    </row>
    <row r="2227" spans="11:16" x14ac:dyDescent="0.3">
      <c r="K2227" s="14" t="s">
        <v>107</v>
      </c>
      <c r="L2227">
        <v>202.69</v>
      </c>
      <c r="M2227">
        <v>125.3603</v>
      </c>
      <c r="N2227">
        <v>200</v>
      </c>
      <c r="O2227">
        <v>271.45999999999998</v>
      </c>
      <c r="P2227" s="13">
        <v>1.40002320783909</v>
      </c>
    </row>
    <row r="2228" spans="11:16" x14ac:dyDescent="0.3">
      <c r="K2228" s="14" t="s">
        <v>107</v>
      </c>
      <c r="L2228">
        <v>203.13</v>
      </c>
      <c r="M2228">
        <v>84.743899999999996</v>
      </c>
      <c r="N2228">
        <v>350.01</v>
      </c>
      <c r="O2228">
        <v>269.02999999999997</v>
      </c>
      <c r="P2228" s="13">
        <v>1.4083057651563</v>
      </c>
    </row>
    <row r="2229" spans="11:16" x14ac:dyDescent="0.3">
      <c r="K2229" s="14" t="s">
        <v>107</v>
      </c>
      <c r="L2229">
        <v>202.69</v>
      </c>
      <c r="M2229">
        <v>128.1105</v>
      </c>
      <c r="N2229">
        <v>300.01</v>
      </c>
      <c r="O2229">
        <v>290.01</v>
      </c>
      <c r="P2229" s="13">
        <v>1.4096172545774299</v>
      </c>
    </row>
    <row r="2230" spans="11:16" x14ac:dyDescent="0.3">
      <c r="K2230" s="14" t="s">
        <v>107</v>
      </c>
      <c r="L2230">
        <v>194.88</v>
      </c>
      <c r="M2230">
        <v>109.26649999999999</v>
      </c>
      <c r="N2230">
        <v>333.01</v>
      </c>
      <c r="O2230">
        <v>276.54000000000002</v>
      </c>
      <c r="P2230" s="13">
        <v>1.4129207347942401</v>
      </c>
    </row>
    <row r="2231" spans="11:16" x14ac:dyDescent="0.3">
      <c r="K2231" s="14" t="s">
        <v>107</v>
      </c>
      <c r="L2231">
        <v>203.13</v>
      </c>
      <c r="M2231">
        <v>107.3134</v>
      </c>
      <c r="N2231">
        <v>400.02</v>
      </c>
      <c r="O2231">
        <v>292.52</v>
      </c>
      <c r="P2231" s="13">
        <v>1.41682141392042</v>
      </c>
    </row>
    <row r="2232" spans="11:16" x14ac:dyDescent="0.3">
      <c r="K2232" s="14" t="s">
        <v>107</v>
      </c>
      <c r="L2232">
        <v>203.13</v>
      </c>
      <c r="M2232">
        <v>160.2286</v>
      </c>
      <c r="N2232">
        <v>155</v>
      </c>
      <c r="O2232">
        <v>282.52999999999997</v>
      </c>
      <c r="P2232" s="13">
        <v>1.4287282766431899</v>
      </c>
    </row>
    <row r="2233" spans="11:16" x14ac:dyDescent="0.3">
      <c r="K2233" s="14" t="s">
        <v>107</v>
      </c>
      <c r="L2233">
        <v>210.94</v>
      </c>
      <c r="M2233">
        <v>73.784700000000001</v>
      </c>
      <c r="N2233">
        <v>400.02</v>
      </c>
      <c r="O2233">
        <v>267.62</v>
      </c>
      <c r="P2233" s="13">
        <v>1.4525442792018499</v>
      </c>
    </row>
    <row r="2234" spans="11:16" x14ac:dyDescent="0.3">
      <c r="K2234" s="14" t="s">
        <v>107</v>
      </c>
      <c r="L2234">
        <v>203.13</v>
      </c>
      <c r="M2234">
        <v>119.06829999999999</v>
      </c>
      <c r="N2234">
        <v>350.01</v>
      </c>
      <c r="O2234">
        <v>282.55</v>
      </c>
      <c r="P2234" s="13">
        <v>1.46239922137675</v>
      </c>
    </row>
    <row r="2235" spans="11:16" x14ac:dyDescent="0.3">
      <c r="K2235" s="14" t="s">
        <v>107</v>
      </c>
      <c r="L2235">
        <v>202.69</v>
      </c>
      <c r="M2235">
        <v>128.76159999999999</v>
      </c>
      <c r="N2235">
        <v>300.01</v>
      </c>
      <c r="O2235">
        <v>278.8</v>
      </c>
      <c r="P2235" s="13">
        <v>1.4686305595408899</v>
      </c>
    </row>
    <row r="2236" spans="11:16" x14ac:dyDescent="0.3">
      <c r="K2236" s="14" t="s">
        <v>107</v>
      </c>
      <c r="L2236">
        <v>203.13</v>
      </c>
      <c r="M2236">
        <v>138.2379</v>
      </c>
      <c r="N2236">
        <v>300.01</v>
      </c>
      <c r="O2236">
        <v>279.38</v>
      </c>
      <c r="P2236" s="13">
        <v>1.50107559596249</v>
      </c>
    </row>
    <row r="2237" spans="11:16" x14ac:dyDescent="0.3">
      <c r="K2237" s="14" t="s">
        <v>107</v>
      </c>
      <c r="L2237">
        <v>210.5</v>
      </c>
      <c r="M2237">
        <v>167.20779999999999</v>
      </c>
      <c r="N2237">
        <v>150.1</v>
      </c>
      <c r="O2237">
        <v>270.49</v>
      </c>
      <c r="P2237" s="13">
        <v>1.54066250138637</v>
      </c>
    </row>
    <row r="2238" spans="11:16" x14ac:dyDescent="0.3">
      <c r="K2238" s="14" t="s">
        <v>107</v>
      </c>
      <c r="L2238">
        <v>195.75</v>
      </c>
      <c r="M2238">
        <v>132.70400000000001</v>
      </c>
      <c r="N2238">
        <v>466.01</v>
      </c>
      <c r="O2238">
        <v>282.55</v>
      </c>
      <c r="P2238" s="13">
        <v>1.59128154308972</v>
      </c>
    </row>
    <row r="2239" spans="11:16" x14ac:dyDescent="0.3">
      <c r="K2239" s="14" t="s">
        <v>107</v>
      </c>
      <c r="L2239">
        <v>203.56</v>
      </c>
      <c r="M2239">
        <v>117.1152</v>
      </c>
      <c r="N2239">
        <v>500.11</v>
      </c>
      <c r="O2239">
        <v>275.67</v>
      </c>
      <c r="P2239" s="13">
        <v>1.63493960169768</v>
      </c>
    </row>
    <row r="2240" spans="11:16" x14ac:dyDescent="0.3">
      <c r="K2240" s="14" t="s">
        <v>107</v>
      </c>
      <c r="L2240">
        <v>203.13</v>
      </c>
      <c r="M2240">
        <v>136.71879999999999</v>
      </c>
      <c r="N2240">
        <v>430.7</v>
      </c>
      <c r="O2240">
        <v>264.72000000000003</v>
      </c>
      <c r="P2240" s="13">
        <v>1.7068253248715599</v>
      </c>
    </row>
    <row r="2241" spans="11:16" x14ac:dyDescent="0.3">
      <c r="K2241" s="14" t="s">
        <v>107</v>
      </c>
      <c r="L2241">
        <v>203.56</v>
      </c>
      <c r="M2241">
        <v>144.63980000000001</v>
      </c>
      <c r="N2241">
        <v>577.02</v>
      </c>
      <c r="O2241">
        <v>279.58</v>
      </c>
      <c r="P2241" s="13">
        <v>1.78204807210816</v>
      </c>
    </row>
    <row r="2242" spans="11:16" x14ac:dyDescent="0.3">
      <c r="K2242" s="14" t="s">
        <v>138</v>
      </c>
      <c r="L2242">
        <v>150.61000000000001</v>
      </c>
      <c r="M2242">
        <v>152.34379999999999</v>
      </c>
      <c r="N2242">
        <v>360.01</v>
      </c>
      <c r="O2242">
        <v>272.79000000000002</v>
      </c>
      <c r="P2242" s="13">
        <v>1.4537057810037</v>
      </c>
    </row>
    <row r="2243" spans="11:16" x14ac:dyDescent="0.3">
      <c r="K2243" s="14" t="s">
        <v>138</v>
      </c>
      <c r="L2243">
        <v>150.61000000000001</v>
      </c>
      <c r="M2243">
        <v>145</v>
      </c>
      <c r="N2243">
        <v>550.01</v>
      </c>
      <c r="O2243">
        <v>273.06</v>
      </c>
      <c r="P2243" s="13">
        <v>1.60628653043287</v>
      </c>
    </row>
    <row r="2244" spans="11:16" x14ac:dyDescent="0.3">
      <c r="K2244" s="14" t="s">
        <v>135</v>
      </c>
      <c r="L2244">
        <v>210.5</v>
      </c>
      <c r="M2244">
        <v>81.597200000000001</v>
      </c>
      <c r="N2244">
        <v>160</v>
      </c>
      <c r="O2244">
        <v>271.06</v>
      </c>
      <c r="P2244" s="13">
        <v>1.2310824171770101</v>
      </c>
    </row>
    <row r="2245" spans="11:16" x14ac:dyDescent="0.3">
      <c r="K2245" s="14" t="s">
        <v>135</v>
      </c>
      <c r="L2245">
        <v>202.69</v>
      </c>
      <c r="M2245">
        <v>120.1172</v>
      </c>
      <c r="N2245">
        <v>200</v>
      </c>
      <c r="O2245">
        <v>288.64</v>
      </c>
      <c r="P2245" s="13">
        <v>1.2985282705099801</v>
      </c>
    </row>
    <row r="2246" spans="11:16" x14ac:dyDescent="0.3">
      <c r="K2246" s="14" t="s">
        <v>135</v>
      </c>
      <c r="L2246">
        <v>203.13</v>
      </c>
      <c r="M2246">
        <v>116.1024</v>
      </c>
      <c r="N2246">
        <v>320.01</v>
      </c>
      <c r="O2246">
        <v>283.41000000000003</v>
      </c>
      <c r="P2246" s="13">
        <v>1.4199745951095599</v>
      </c>
    </row>
    <row r="2247" spans="11:16" x14ac:dyDescent="0.3">
      <c r="K2247" s="14" t="s">
        <v>122</v>
      </c>
      <c r="L2247">
        <v>203.13</v>
      </c>
      <c r="M2247">
        <v>75.629400000000004</v>
      </c>
      <c r="N2247">
        <v>80.099999999999994</v>
      </c>
      <c r="O2247">
        <v>283.69</v>
      </c>
      <c r="P2247" s="13">
        <v>1.0560308787761301</v>
      </c>
    </row>
    <row r="2248" spans="11:16" x14ac:dyDescent="0.3">
      <c r="K2248" s="14" t="s">
        <v>122</v>
      </c>
      <c r="L2248">
        <v>203.13</v>
      </c>
      <c r="M2248">
        <v>103.29859999999999</v>
      </c>
      <c r="N2248">
        <v>150.1</v>
      </c>
      <c r="O2248">
        <v>291.24</v>
      </c>
      <c r="P2248" s="13">
        <v>1.1861509408048301</v>
      </c>
    </row>
    <row r="2249" spans="11:16" x14ac:dyDescent="0.3">
      <c r="K2249" s="14" t="s">
        <v>122</v>
      </c>
      <c r="L2249">
        <v>203.13</v>
      </c>
      <c r="M2249">
        <v>84.526899999999998</v>
      </c>
      <c r="N2249">
        <v>210</v>
      </c>
      <c r="O2249">
        <v>278.25</v>
      </c>
      <c r="P2249" s="13">
        <v>1.2300337825696299</v>
      </c>
    </row>
    <row r="2250" spans="11:16" x14ac:dyDescent="0.3">
      <c r="K2250" s="14" t="s">
        <v>122</v>
      </c>
      <c r="L2250">
        <v>202.69</v>
      </c>
      <c r="M2250">
        <v>155.74359999999999</v>
      </c>
      <c r="N2250">
        <v>200</v>
      </c>
      <c r="O2250">
        <v>309.88</v>
      </c>
      <c r="P2250" s="13">
        <v>1.3244920614431399</v>
      </c>
    </row>
    <row r="2251" spans="11:16" x14ac:dyDescent="0.3">
      <c r="K2251" s="14" t="s">
        <v>122</v>
      </c>
      <c r="L2251">
        <v>202.69</v>
      </c>
      <c r="M2251">
        <v>156.90100000000001</v>
      </c>
      <c r="N2251">
        <v>100.1</v>
      </c>
      <c r="O2251">
        <v>287.47000000000003</v>
      </c>
      <c r="P2251" s="13">
        <v>1.34141649563433</v>
      </c>
    </row>
    <row r="2252" spans="11:16" x14ac:dyDescent="0.3">
      <c r="K2252" s="14" t="s">
        <v>122</v>
      </c>
      <c r="L2252">
        <v>203.13</v>
      </c>
      <c r="M2252">
        <v>163.26679999999999</v>
      </c>
      <c r="N2252">
        <v>88.1</v>
      </c>
      <c r="O2252">
        <v>282.89999999999998</v>
      </c>
      <c r="P2252" s="13">
        <v>1.3761145281017999</v>
      </c>
    </row>
    <row r="2253" spans="11:16" x14ac:dyDescent="0.3">
      <c r="K2253" s="14" t="s">
        <v>122</v>
      </c>
      <c r="L2253">
        <v>203.13</v>
      </c>
      <c r="M2253">
        <v>158.99879999999999</v>
      </c>
      <c r="N2253">
        <v>288.01</v>
      </c>
      <c r="O2253">
        <v>290.02</v>
      </c>
      <c r="P2253" s="13">
        <v>1.5068319426246499</v>
      </c>
    </row>
    <row r="2254" spans="11:16" x14ac:dyDescent="0.3">
      <c r="K2254" s="14" t="s">
        <v>123</v>
      </c>
      <c r="L2254">
        <v>202.69</v>
      </c>
      <c r="M2254">
        <v>75.882499999999993</v>
      </c>
      <c r="N2254">
        <v>400.11</v>
      </c>
      <c r="O2254">
        <v>287.24</v>
      </c>
      <c r="P2254" s="13">
        <v>1.3319910179640699</v>
      </c>
    </row>
    <row r="2255" spans="11:16" x14ac:dyDescent="0.3">
      <c r="K2255" s="14" t="s">
        <v>123</v>
      </c>
      <c r="L2255">
        <v>203.13</v>
      </c>
      <c r="M2255">
        <v>124.9277</v>
      </c>
      <c r="N2255">
        <v>210</v>
      </c>
      <c r="O2255">
        <v>272.20999999999998</v>
      </c>
      <c r="P2255" s="13">
        <v>1.40574446199625</v>
      </c>
    </row>
    <row r="2256" spans="11:16" x14ac:dyDescent="0.3">
      <c r="K2256" s="14" t="s">
        <v>110</v>
      </c>
      <c r="L2256">
        <v>203.13</v>
      </c>
      <c r="M2256">
        <v>84.635400000000004</v>
      </c>
      <c r="N2256">
        <v>129.4</v>
      </c>
      <c r="O2256">
        <v>285.44</v>
      </c>
      <c r="P2256" s="13">
        <v>1.12601387331839</v>
      </c>
    </row>
    <row r="2257" spans="11:16" x14ac:dyDescent="0.3">
      <c r="K2257" s="14" t="s">
        <v>110</v>
      </c>
      <c r="L2257">
        <v>202.69</v>
      </c>
      <c r="M2257">
        <v>83.694999999999993</v>
      </c>
      <c r="N2257">
        <v>120.1</v>
      </c>
      <c r="O2257">
        <v>279.13</v>
      </c>
      <c r="P2257" s="13">
        <v>1.1378604951098099</v>
      </c>
    </row>
    <row r="2258" spans="11:16" x14ac:dyDescent="0.3">
      <c r="K2258" s="14" t="s">
        <v>110</v>
      </c>
      <c r="L2258">
        <v>210.5</v>
      </c>
      <c r="M2258">
        <v>85.503500000000003</v>
      </c>
      <c r="N2258">
        <v>150.1</v>
      </c>
      <c r="O2258">
        <v>279.08999999999997</v>
      </c>
      <c r="P2258" s="13">
        <v>1.2004353434376001</v>
      </c>
    </row>
    <row r="2259" spans="11:16" x14ac:dyDescent="0.3">
      <c r="K2259" s="14" t="s">
        <v>110</v>
      </c>
      <c r="L2259">
        <v>157.99</v>
      </c>
      <c r="M2259">
        <v>131.83590000000001</v>
      </c>
      <c r="N2259">
        <v>255.01</v>
      </c>
      <c r="O2259">
        <v>288.93</v>
      </c>
      <c r="P2259" s="13">
        <v>1.2325770947980501</v>
      </c>
    </row>
    <row r="2260" spans="11:16" x14ac:dyDescent="0.3">
      <c r="K2260" s="14" t="s">
        <v>110</v>
      </c>
      <c r="L2260">
        <v>150.61000000000001</v>
      </c>
      <c r="M2260">
        <v>105.2517</v>
      </c>
      <c r="N2260">
        <v>360.01</v>
      </c>
      <c r="O2260">
        <v>282.56</v>
      </c>
      <c r="P2260" s="13">
        <v>1.23677909116648</v>
      </c>
    </row>
    <row r="2261" spans="11:16" x14ac:dyDescent="0.3">
      <c r="K2261" s="14" t="s">
        <v>110</v>
      </c>
      <c r="L2261">
        <v>203.13</v>
      </c>
      <c r="M2261">
        <v>114.511</v>
      </c>
      <c r="N2261">
        <v>155</v>
      </c>
      <c r="O2261">
        <v>274.81</v>
      </c>
      <c r="P2261" s="13">
        <v>1.30250354790583</v>
      </c>
    </row>
    <row r="2262" spans="11:16" x14ac:dyDescent="0.3">
      <c r="K2262" s="14" t="s">
        <v>110</v>
      </c>
      <c r="L2262">
        <v>197.92</v>
      </c>
      <c r="M2262">
        <v>126.8446</v>
      </c>
      <c r="N2262">
        <v>250.01</v>
      </c>
      <c r="O2262">
        <v>288.91000000000003</v>
      </c>
      <c r="P2262" s="13">
        <v>1.34909556609325</v>
      </c>
    </row>
    <row r="2263" spans="11:16" x14ac:dyDescent="0.3">
      <c r="K2263" s="14" t="s">
        <v>110</v>
      </c>
      <c r="L2263">
        <v>203.13</v>
      </c>
      <c r="M2263">
        <v>75.846400000000003</v>
      </c>
      <c r="N2263">
        <v>360.01</v>
      </c>
      <c r="O2263">
        <v>271.92</v>
      </c>
      <c r="P2263" s="13">
        <v>1.3701787290379499</v>
      </c>
    </row>
    <row r="2264" spans="11:16" x14ac:dyDescent="0.3">
      <c r="K2264" s="14" t="s">
        <v>110</v>
      </c>
      <c r="L2264">
        <v>203.13</v>
      </c>
      <c r="M2264">
        <v>75.846400000000003</v>
      </c>
      <c r="N2264">
        <v>360.01</v>
      </c>
      <c r="O2264">
        <v>266.70999999999998</v>
      </c>
      <c r="P2264" s="13">
        <v>1.39694424655993</v>
      </c>
    </row>
    <row r="2265" spans="11:16" x14ac:dyDescent="0.3">
      <c r="K2265" s="14" t="s">
        <v>110</v>
      </c>
      <c r="L2265">
        <v>203.13</v>
      </c>
      <c r="M2265">
        <v>109.809</v>
      </c>
      <c r="N2265">
        <v>300.01</v>
      </c>
      <c r="O2265">
        <v>274.47000000000003</v>
      </c>
      <c r="P2265" s="13">
        <v>1.42435093088498</v>
      </c>
    </row>
    <row r="2266" spans="11:16" x14ac:dyDescent="0.3">
      <c r="K2266" s="14" t="s">
        <v>110</v>
      </c>
      <c r="L2266">
        <v>203.13</v>
      </c>
      <c r="M2266">
        <v>117.6939</v>
      </c>
      <c r="N2266">
        <v>230</v>
      </c>
      <c r="O2266">
        <v>263.55</v>
      </c>
      <c r="P2266" s="13">
        <v>1.44421893378865</v>
      </c>
    </row>
    <row r="2267" spans="11:16" x14ac:dyDescent="0.3">
      <c r="K2267" s="14" t="s">
        <v>110</v>
      </c>
      <c r="L2267">
        <v>210.94</v>
      </c>
      <c r="M2267">
        <v>111.32810000000001</v>
      </c>
      <c r="N2267">
        <v>355.01</v>
      </c>
      <c r="O2267">
        <v>282.57</v>
      </c>
      <c r="P2267" s="13">
        <v>1.46714336270659</v>
      </c>
    </row>
    <row r="2268" spans="11:16" x14ac:dyDescent="0.3">
      <c r="K2268" s="14" t="s">
        <v>110</v>
      </c>
      <c r="L2268">
        <v>203.13</v>
      </c>
      <c r="M2268">
        <v>130.136</v>
      </c>
      <c r="N2268">
        <v>300.01</v>
      </c>
      <c r="O2268">
        <v>272.45999999999998</v>
      </c>
      <c r="P2268" s="13">
        <v>1.50946414152536</v>
      </c>
    </row>
    <row r="2269" spans="11:16" x14ac:dyDescent="0.3">
      <c r="K2269" s="14" t="s">
        <v>110</v>
      </c>
      <c r="L2269">
        <v>203.13</v>
      </c>
      <c r="M2269">
        <v>133.78909999999999</v>
      </c>
      <c r="N2269">
        <v>350.01</v>
      </c>
      <c r="O2269">
        <v>271.91000000000003</v>
      </c>
      <c r="P2269" s="13">
        <v>1.5737622742819299</v>
      </c>
    </row>
    <row r="2270" spans="11:16" x14ac:dyDescent="0.3">
      <c r="K2270" s="14" t="s">
        <v>112</v>
      </c>
      <c r="L2270">
        <v>210.5</v>
      </c>
      <c r="M2270">
        <v>77.691000000000003</v>
      </c>
      <c r="N2270">
        <v>160</v>
      </c>
      <c r="O2270">
        <v>285.64999999999998</v>
      </c>
      <c r="P2270" s="13">
        <v>1.1545282688604901</v>
      </c>
    </row>
    <row r="2271" spans="11:16" x14ac:dyDescent="0.3">
      <c r="K2271" s="14" t="s">
        <v>112</v>
      </c>
      <c r="L2271">
        <v>203.13</v>
      </c>
      <c r="M2271">
        <v>97.005200000000002</v>
      </c>
      <c r="N2271">
        <v>110.1</v>
      </c>
      <c r="O2271">
        <v>277.98</v>
      </c>
      <c r="P2271" s="13">
        <v>1.1826793294481599</v>
      </c>
    </row>
    <row r="2272" spans="11:16" x14ac:dyDescent="0.3">
      <c r="K2272" s="14" t="s">
        <v>112</v>
      </c>
      <c r="L2272">
        <v>202.69</v>
      </c>
      <c r="M2272">
        <v>103.29859999999999</v>
      </c>
      <c r="N2272">
        <v>130.1</v>
      </c>
      <c r="O2272">
        <v>285.75</v>
      </c>
      <c r="P2272" s="13">
        <v>1.1892024496937901</v>
      </c>
    </row>
    <row r="2273" spans="11:16" x14ac:dyDescent="0.3">
      <c r="K2273" s="14" t="s">
        <v>112</v>
      </c>
      <c r="L2273">
        <v>203.13</v>
      </c>
      <c r="M2273">
        <v>112.1962</v>
      </c>
      <c r="N2273">
        <v>160</v>
      </c>
      <c r="O2273">
        <v>294.94</v>
      </c>
      <c r="P2273" s="13">
        <v>1.21016545738116</v>
      </c>
    </row>
    <row r="2274" spans="11:16" x14ac:dyDescent="0.3">
      <c r="K2274" s="14" t="s">
        <v>112</v>
      </c>
      <c r="L2274">
        <v>210.5</v>
      </c>
      <c r="M2274">
        <v>80.186599999999999</v>
      </c>
      <c r="N2274">
        <v>240.01</v>
      </c>
      <c r="O2274">
        <v>290.61</v>
      </c>
      <c r="P2274" s="13">
        <v>1.2149932899762601</v>
      </c>
    </row>
    <row r="2275" spans="11:16" x14ac:dyDescent="0.3">
      <c r="K2275" s="14" t="s">
        <v>112</v>
      </c>
      <c r="L2275">
        <v>210.5</v>
      </c>
      <c r="M2275">
        <v>90.603300000000004</v>
      </c>
      <c r="N2275">
        <v>250.01</v>
      </c>
      <c r="O2275">
        <v>300.66000000000003</v>
      </c>
      <c r="P2275" s="13">
        <v>1.2176741169427301</v>
      </c>
    </row>
    <row r="2276" spans="11:16" x14ac:dyDescent="0.3">
      <c r="K2276" s="14" t="s">
        <v>112</v>
      </c>
      <c r="L2276">
        <v>210.5</v>
      </c>
      <c r="M2276">
        <v>79.644099999999995</v>
      </c>
      <c r="N2276">
        <v>250.01</v>
      </c>
      <c r="O2276">
        <v>291.22000000000003</v>
      </c>
      <c r="P2276" s="13">
        <v>1.2195134262756699</v>
      </c>
    </row>
    <row r="2277" spans="11:16" x14ac:dyDescent="0.3">
      <c r="K2277" s="14" t="s">
        <v>112</v>
      </c>
      <c r="L2277">
        <v>203.13</v>
      </c>
      <c r="M2277">
        <v>111.2196</v>
      </c>
      <c r="N2277">
        <v>210</v>
      </c>
      <c r="O2277">
        <v>285.73</v>
      </c>
      <c r="P2277" s="13">
        <v>1.29125258110804</v>
      </c>
    </row>
    <row r="2278" spans="11:16" x14ac:dyDescent="0.3">
      <c r="K2278" s="14" t="s">
        <v>112</v>
      </c>
      <c r="L2278">
        <v>203.13</v>
      </c>
      <c r="M2278">
        <v>113.1728</v>
      </c>
      <c r="N2278">
        <v>230</v>
      </c>
      <c r="O2278">
        <v>291.20999999999998</v>
      </c>
      <c r="P2278" s="13">
        <v>1.29151746162563</v>
      </c>
    </row>
    <row r="2279" spans="11:16" x14ac:dyDescent="0.3">
      <c r="K2279" s="14" t="s">
        <v>112</v>
      </c>
      <c r="L2279">
        <v>202.69</v>
      </c>
      <c r="M2279">
        <v>103.44329999999999</v>
      </c>
      <c r="N2279">
        <v>166</v>
      </c>
      <c r="O2279">
        <v>270.23</v>
      </c>
      <c r="P2279" s="13">
        <v>1.29257780409281</v>
      </c>
    </row>
    <row r="2280" spans="11:16" x14ac:dyDescent="0.3">
      <c r="K2280" s="14" t="s">
        <v>112</v>
      </c>
      <c r="L2280">
        <v>203.13</v>
      </c>
      <c r="M2280">
        <v>110.13460000000001</v>
      </c>
      <c r="N2280">
        <v>236.4</v>
      </c>
      <c r="O2280">
        <v>289.19</v>
      </c>
      <c r="P2280" s="13">
        <v>1.2957868529340599</v>
      </c>
    </row>
    <row r="2281" spans="11:16" x14ac:dyDescent="0.3">
      <c r="K2281" s="14" t="s">
        <v>112</v>
      </c>
      <c r="L2281">
        <v>202.69</v>
      </c>
      <c r="M2281">
        <v>76.822900000000004</v>
      </c>
      <c r="N2281">
        <v>340.01</v>
      </c>
      <c r="O2281">
        <v>283.45999999999998</v>
      </c>
      <c r="P2281" s="13">
        <v>1.2979450363367</v>
      </c>
    </row>
    <row r="2282" spans="11:16" x14ac:dyDescent="0.3">
      <c r="K2282" s="14" t="s">
        <v>112</v>
      </c>
      <c r="L2282">
        <v>203.13</v>
      </c>
      <c r="M2282">
        <v>77.039900000000003</v>
      </c>
      <c r="N2282">
        <v>360.01</v>
      </c>
      <c r="O2282">
        <v>285.37</v>
      </c>
      <c r="P2282" s="13">
        <v>1.30978203735501</v>
      </c>
    </row>
    <row r="2283" spans="11:16" x14ac:dyDescent="0.3">
      <c r="K2283" s="14" t="s">
        <v>112</v>
      </c>
      <c r="L2283">
        <v>210.5</v>
      </c>
      <c r="M2283">
        <v>111.11109999999999</v>
      </c>
      <c r="N2283">
        <v>230</v>
      </c>
      <c r="O2283">
        <v>284.56</v>
      </c>
      <c r="P2283" s="13">
        <v>1.3403538796738801</v>
      </c>
    </row>
    <row r="2284" spans="11:16" x14ac:dyDescent="0.3">
      <c r="K2284" s="14" t="s">
        <v>112</v>
      </c>
      <c r="L2284">
        <v>210.5</v>
      </c>
      <c r="M2284">
        <v>79.861099999999993</v>
      </c>
      <c r="N2284">
        <v>310.01</v>
      </c>
      <c r="O2284">
        <v>274.20999999999998</v>
      </c>
      <c r="P2284" s="13">
        <v>1.3528452645782401</v>
      </c>
    </row>
    <row r="2285" spans="11:16" x14ac:dyDescent="0.3">
      <c r="K2285" s="14" t="s">
        <v>112</v>
      </c>
      <c r="L2285">
        <v>203.13</v>
      </c>
      <c r="M2285">
        <v>153.7543</v>
      </c>
      <c r="N2285">
        <v>133.1</v>
      </c>
      <c r="O2285">
        <v>286.87</v>
      </c>
      <c r="P2285" s="13">
        <v>1.36469585526545</v>
      </c>
    </row>
    <row r="2286" spans="11:16" x14ac:dyDescent="0.3">
      <c r="K2286" s="14" t="s">
        <v>112</v>
      </c>
      <c r="L2286">
        <v>202.69</v>
      </c>
      <c r="M2286">
        <v>91.579899999999995</v>
      </c>
      <c r="N2286">
        <v>380.11</v>
      </c>
      <c r="O2286">
        <v>288.02</v>
      </c>
      <c r="P2286" s="13">
        <v>1.36483056732171</v>
      </c>
    </row>
    <row r="2287" spans="11:16" x14ac:dyDescent="0.3">
      <c r="K2287" s="14" t="s">
        <v>112</v>
      </c>
      <c r="L2287">
        <v>210.94</v>
      </c>
      <c r="M2287">
        <v>122.9384</v>
      </c>
      <c r="N2287">
        <v>200</v>
      </c>
      <c r="O2287">
        <v>279.12</v>
      </c>
      <c r="P2287" s="13">
        <v>1.3824820865577501</v>
      </c>
    </row>
    <row r="2288" spans="11:16" x14ac:dyDescent="0.3">
      <c r="K2288" s="14" t="s">
        <v>112</v>
      </c>
      <c r="L2288">
        <v>203.13</v>
      </c>
      <c r="M2288">
        <v>160.60769999999999</v>
      </c>
      <c r="N2288">
        <v>170</v>
      </c>
      <c r="O2288">
        <v>290.33</v>
      </c>
      <c r="P2288" s="13">
        <v>1.4050828367719499</v>
      </c>
    </row>
    <row r="2289" spans="11:16" x14ac:dyDescent="0.3">
      <c r="K2289" s="14" t="s">
        <v>112</v>
      </c>
      <c r="L2289">
        <v>203.13</v>
      </c>
      <c r="M2289">
        <v>112.4855</v>
      </c>
      <c r="N2289">
        <v>320.01</v>
      </c>
      <c r="O2289">
        <v>282.83999999999997</v>
      </c>
      <c r="P2289" s="13">
        <v>1.4100484372790301</v>
      </c>
    </row>
    <row r="2290" spans="11:16" x14ac:dyDescent="0.3">
      <c r="K2290" s="14" t="s">
        <v>112</v>
      </c>
      <c r="L2290">
        <v>203.13</v>
      </c>
      <c r="M2290">
        <v>78.7761</v>
      </c>
      <c r="N2290">
        <v>460.02</v>
      </c>
      <c r="O2290">
        <v>283.39999999999998</v>
      </c>
      <c r="P2290" s="13">
        <v>1.41676534932957</v>
      </c>
    </row>
    <row r="2291" spans="11:16" x14ac:dyDescent="0.3">
      <c r="K2291" s="14" t="s">
        <v>112</v>
      </c>
      <c r="L2291">
        <v>203.13</v>
      </c>
      <c r="M2291">
        <v>130.7509</v>
      </c>
      <c r="N2291">
        <v>300.01</v>
      </c>
      <c r="O2291">
        <v>287.63</v>
      </c>
      <c r="P2291" s="13">
        <v>1.4319907520077899</v>
      </c>
    </row>
    <row r="2292" spans="11:16" x14ac:dyDescent="0.3">
      <c r="K2292" s="14" t="s">
        <v>112</v>
      </c>
      <c r="L2292">
        <v>202.69</v>
      </c>
      <c r="M2292">
        <v>113.0642</v>
      </c>
      <c r="N2292">
        <v>255.01</v>
      </c>
      <c r="O2292">
        <v>266.44</v>
      </c>
      <c r="P2292" s="13">
        <v>1.4339318420657601</v>
      </c>
    </row>
    <row r="2293" spans="11:16" x14ac:dyDescent="0.3">
      <c r="K2293" s="14" t="s">
        <v>112</v>
      </c>
      <c r="L2293">
        <v>210.5</v>
      </c>
      <c r="M2293">
        <v>133.78909999999999</v>
      </c>
      <c r="N2293">
        <v>210</v>
      </c>
      <c r="O2293">
        <v>276.75</v>
      </c>
      <c r="P2293" s="13">
        <v>1.4413336946702799</v>
      </c>
    </row>
    <row r="2294" spans="11:16" x14ac:dyDescent="0.3">
      <c r="K2294" s="14" t="s">
        <v>112</v>
      </c>
      <c r="L2294">
        <v>203.13</v>
      </c>
      <c r="M2294">
        <v>110.3516</v>
      </c>
      <c r="N2294">
        <v>350.01</v>
      </c>
      <c r="O2294">
        <v>277.99</v>
      </c>
      <c r="P2294" s="13">
        <v>1.4550314759523699</v>
      </c>
    </row>
    <row r="2295" spans="11:16" x14ac:dyDescent="0.3">
      <c r="K2295" s="14" t="s">
        <v>112</v>
      </c>
      <c r="L2295">
        <v>208.77</v>
      </c>
      <c r="M2295">
        <v>111.11109999999999</v>
      </c>
      <c r="N2295">
        <v>360.11</v>
      </c>
      <c r="O2295">
        <v>280.81</v>
      </c>
      <c r="P2295" s="13">
        <v>1.47256045012642</v>
      </c>
    </row>
    <row r="2296" spans="11:16" x14ac:dyDescent="0.3">
      <c r="K2296" s="14" t="s">
        <v>112</v>
      </c>
      <c r="L2296">
        <v>203.13</v>
      </c>
      <c r="M2296">
        <v>123.9149</v>
      </c>
      <c r="N2296">
        <v>333.01</v>
      </c>
      <c r="O2296">
        <v>278.77999999999997</v>
      </c>
      <c r="P2296" s="13">
        <v>1.4837057895114401</v>
      </c>
    </row>
    <row r="2297" spans="11:16" x14ac:dyDescent="0.3">
      <c r="K2297" s="14" t="s">
        <v>112</v>
      </c>
      <c r="L2297">
        <v>203.13</v>
      </c>
      <c r="M2297">
        <v>109.375</v>
      </c>
      <c r="N2297">
        <v>600.02</v>
      </c>
      <c r="O2297">
        <v>279.95999999999998</v>
      </c>
      <c r="P2297" s="13">
        <v>1.6734897842548899</v>
      </c>
    </row>
    <row r="2298" spans="11:16" x14ac:dyDescent="0.3">
      <c r="K2298" s="14" t="s">
        <v>112</v>
      </c>
      <c r="L2298">
        <v>203.13</v>
      </c>
      <c r="M2298">
        <v>126.22969999999999</v>
      </c>
      <c r="N2298">
        <v>493.4</v>
      </c>
      <c r="O2298">
        <v>267.92</v>
      </c>
      <c r="P2298" s="13">
        <v>1.70813563750373</v>
      </c>
    </row>
    <row r="2299" spans="11:16" x14ac:dyDescent="0.3">
      <c r="K2299" s="14" t="s">
        <v>113</v>
      </c>
      <c r="L2299">
        <v>210.5</v>
      </c>
      <c r="N2299">
        <v>350.01</v>
      </c>
      <c r="O2299">
        <v>295.83</v>
      </c>
      <c r="P2299" s="13">
        <v>1.01917520197411</v>
      </c>
    </row>
    <row r="2300" spans="11:16" x14ac:dyDescent="0.3">
      <c r="K2300" s="14" t="s">
        <v>113</v>
      </c>
      <c r="L2300">
        <v>203.13</v>
      </c>
      <c r="M2300">
        <v>103.29859999999999</v>
      </c>
      <c r="N2300">
        <v>150.1</v>
      </c>
      <c r="O2300">
        <v>297.54000000000002</v>
      </c>
      <c r="P2300" s="13">
        <v>1.16103582711568</v>
      </c>
    </row>
    <row r="2301" spans="11:16" x14ac:dyDescent="0.3">
      <c r="K2301" s="14" t="s">
        <v>113</v>
      </c>
      <c r="L2301">
        <v>203.13</v>
      </c>
      <c r="M2301">
        <v>123.6979</v>
      </c>
      <c r="N2301">
        <v>88.1</v>
      </c>
      <c r="O2301">
        <v>288.62</v>
      </c>
      <c r="P2301" s="13">
        <v>1.2117452013027501</v>
      </c>
    </row>
    <row r="2302" spans="11:16" x14ac:dyDescent="0.3">
      <c r="K2302" s="14" t="s">
        <v>113</v>
      </c>
      <c r="L2302">
        <v>203.13</v>
      </c>
      <c r="M2302">
        <v>78.667500000000004</v>
      </c>
      <c r="N2302">
        <v>300.01</v>
      </c>
      <c r="O2302">
        <v>293.51</v>
      </c>
      <c r="P2302" s="13">
        <v>1.2258529521992401</v>
      </c>
    </row>
    <row r="2303" spans="11:16" x14ac:dyDescent="0.3">
      <c r="K2303" s="14" t="s">
        <v>113</v>
      </c>
      <c r="L2303">
        <v>202.69</v>
      </c>
      <c r="M2303">
        <v>83.441900000000004</v>
      </c>
      <c r="N2303">
        <v>230</v>
      </c>
      <c r="O2303">
        <v>280.83</v>
      </c>
      <c r="P2303" s="13">
        <v>1.23181960616743</v>
      </c>
    </row>
    <row r="2304" spans="11:16" x14ac:dyDescent="0.3">
      <c r="K2304" s="14" t="s">
        <v>113</v>
      </c>
      <c r="L2304">
        <v>210.5</v>
      </c>
      <c r="M2304">
        <v>77.582499999999996</v>
      </c>
      <c r="N2304">
        <v>310.01</v>
      </c>
      <c r="O2304">
        <v>292.91000000000003</v>
      </c>
      <c r="P2304" s="13">
        <v>1.2586975521491199</v>
      </c>
    </row>
    <row r="2305" spans="11:16" x14ac:dyDescent="0.3">
      <c r="K2305" s="14" t="s">
        <v>113</v>
      </c>
      <c r="L2305">
        <v>210.5</v>
      </c>
      <c r="M2305">
        <v>79.644099999999995</v>
      </c>
      <c r="N2305">
        <v>260.01</v>
      </c>
      <c r="O2305">
        <v>283.74</v>
      </c>
      <c r="P2305" s="13">
        <v>1.2608257559737801</v>
      </c>
    </row>
    <row r="2306" spans="11:16" x14ac:dyDescent="0.3">
      <c r="K2306" s="14" t="s">
        <v>113</v>
      </c>
      <c r="L2306">
        <v>210.5</v>
      </c>
      <c r="M2306">
        <v>77.691000000000003</v>
      </c>
      <c r="N2306">
        <v>264</v>
      </c>
      <c r="O2306">
        <v>281.98</v>
      </c>
      <c r="P2306" s="13">
        <v>1.26544790410667</v>
      </c>
    </row>
    <row r="2307" spans="11:16" x14ac:dyDescent="0.3">
      <c r="K2307" s="14" t="s">
        <v>113</v>
      </c>
      <c r="L2307">
        <v>210.5</v>
      </c>
      <c r="M2307">
        <v>99.392399999999995</v>
      </c>
      <c r="N2307">
        <v>189</v>
      </c>
      <c r="O2307">
        <v>283.18</v>
      </c>
      <c r="P2307" s="13">
        <v>1.2678593120983099</v>
      </c>
    </row>
    <row r="2308" spans="11:16" x14ac:dyDescent="0.3">
      <c r="K2308" s="14" t="s">
        <v>113</v>
      </c>
      <c r="L2308">
        <v>210.5</v>
      </c>
      <c r="M2308">
        <v>89.518199999999993</v>
      </c>
      <c r="N2308">
        <v>205.7</v>
      </c>
      <c r="O2308">
        <v>278.57</v>
      </c>
      <c r="P2308" s="13">
        <v>1.26898158452095</v>
      </c>
    </row>
    <row r="2309" spans="11:16" x14ac:dyDescent="0.3">
      <c r="K2309" s="14" t="s">
        <v>113</v>
      </c>
      <c r="L2309">
        <v>210.5</v>
      </c>
      <c r="M2309">
        <v>93.533000000000001</v>
      </c>
      <c r="N2309">
        <v>230</v>
      </c>
      <c r="O2309">
        <v>286.35000000000002</v>
      </c>
      <c r="P2309" s="13">
        <v>1.2705884407193999</v>
      </c>
    </row>
    <row r="2310" spans="11:16" x14ac:dyDescent="0.3">
      <c r="K2310" s="14" t="s">
        <v>113</v>
      </c>
      <c r="L2310">
        <v>210.5</v>
      </c>
      <c r="M2310">
        <v>77.799499999999995</v>
      </c>
      <c r="N2310">
        <v>272.2</v>
      </c>
      <c r="O2310">
        <v>281.73</v>
      </c>
      <c r="P2310" s="13">
        <v>1.27452347992759</v>
      </c>
    </row>
    <row r="2311" spans="11:16" x14ac:dyDescent="0.3">
      <c r="K2311" s="14" t="s">
        <v>113</v>
      </c>
      <c r="L2311">
        <v>210.5</v>
      </c>
      <c r="M2311">
        <v>78.667500000000004</v>
      </c>
      <c r="N2311">
        <v>340.01</v>
      </c>
      <c r="O2311">
        <v>295.26</v>
      </c>
      <c r="P2311" s="13">
        <v>1.2787715911400099</v>
      </c>
    </row>
    <row r="2312" spans="11:16" x14ac:dyDescent="0.3">
      <c r="K2312" s="14" t="s">
        <v>113</v>
      </c>
      <c r="L2312">
        <v>203.13</v>
      </c>
      <c r="M2312">
        <v>102.4306</v>
      </c>
      <c r="N2312">
        <v>300.01</v>
      </c>
      <c r="O2312">
        <v>297.23</v>
      </c>
      <c r="P2312" s="13">
        <v>1.2904592403189401</v>
      </c>
    </row>
    <row r="2313" spans="11:16" x14ac:dyDescent="0.3">
      <c r="K2313" s="14" t="s">
        <v>113</v>
      </c>
      <c r="L2313">
        <v>210.5</v>
      </c>
      <c r="M2313">
        <v>80.620699999999999</v>
      </c>
      <c r="N2313">
        <v>268.60000000000002</v>
      </c>
      <c r="O2313">
        <v>279.68</v>
      </c>
      <c r="P2313" s="13">
        <v>1.29060604977117</v>
      </c>
    </row>
    <row r="2314" spans="11:16" x14ac:dyDescent="0.3">
      <c r="K2314" s="14" t="s">
        <v>113</v>
      </c>
      <c r="L2314">
        <v>203.13</v>
      </c>
      <c r="M2314">
        <v>110.2431</v>
      </c>
      <c r="N2314">
        <v>233.01</v>
      </c>
      <c r="O2314">
        <v>287.5</v>
      </c>
      <c r="P2314" s="13">
        <v>1.3007154782608701</v>
      </c>
    </row>
    <row r="2315" spans="11:16" x14ac:dyDescent="0.3">
      <c r="K2315" s="14" t="s">
        <v>113</v>
      </c>
      <c r="L2315">
        <v>203.13</v>
      </c>
      <c r="M2315">
        <v>112.1962</v>
      </c>
      <c r="N2315">
        <v>222.3</v>
      </c>
      <c r="O2315">
        <v>286.27</v>
      </c>
      <c r="P2315" s="13">
        <v>1.3033995878017299</v>
      </c>
    </row>
    <row r="2316" spans="11:16" x14ac:dyDescent="0.3">
      <c r="K2316" s="14" t="s">
        <v>113</v>
      </c>
      <c r="L2316">
        <v>203.13</v>
      </c>
      <c r="M2316">
        <v>77.582499999999996</v>
      </c>
      <c r="N2316">
        <v>360.01</v>
      </c>
      <c r="O2316">
        <v>286.58999999999997</v>
      </c>
      <c r="P2316" s="13">
        <v>1.30609965455878</v>
      </c>
    </row>
    <row r="2317" spans="11:16" x14ac:dyDescent="0.3">
      <c r="K2317" s="14" t="s">
        <v>113</v>
      </c>
      <c r="L2317">
        <v>203.13</v>
      </c>
      <c r="M2317">
        <v>108.0729</v>
      </c>
      <c r="N2317">
        <v>230</v>
      </c>
      <c r="O2317">
        <v>282.86</v>
      </c>
      <c r="P2317" s="13">
        <v>1.3116131655235801</v>
      </c>
    </row>
    <row r="2318" spans="11:16" x14ac:dyDescent="0.3">
      <c r="K2318" s="14" t="s">
        <v>113</v>
      </c>
      <c r="L2318">
        <v>202.69</v>
      </c>
      <c r="M2318">
        <v>108.2899</v>
      </c>
      <c r="N2318">
        <v>250.01</v>
      </c>
      <c r="O2318">
        <v>286.55</v>
      </c>
      <c r="P2318" s="13">
        <v>1.31210085499913</v>
      </c>
    </row>
    <row r="2319" spans="11:16" x14ac:dyDescent="0.3">
      <c r="K2319" s="14" t="s">
        <v>113</v>
      </c>
      <c r="L2319">
        <v>203.13</v>
      </c>
      <c r="M2319">
        <v>106.1198</v>
      </c>
      <c r="N2319">
        <v>240.01</v>
      </c>
      <c r="O2319">
        <v>282.60000000000002</v>
      </c>
      <c r="P2319" s="13">
        <v>1.31511818825195</v>
      </c>
    </row>
    <row r="2320" spans="11:16" x14ac:dyDescent="0.3">
      <c r="K2320" s="14" t="s">
        <v>113</v>
      </c>
      <c r="L2320">
        <v>203.13</v>
      </c>
      <c r="M2320">
        <v>114.3663</v>
      </c>
      <c r="N2320">
        <v>133.1</v>
      </c>
      <c r="O2320">
        <v>267.29000000000002</v>
      </c>
      <c r="P2320" s="13">
        <v>1.31730442590445</v>
      </c>
    </row>
    <row r="2321" spans="11:16" x14ac:dyDescent="0.3">
      <c r="K2321" s="14" t="s">
        <v>113</v>
      </c>
      <c r="L2321">
        <v>203.13</v>
      </c>
      <c r="M2321">
        <v>97.4392</v>
      </c>
      <c r="N2321">
        <v>240.01</v>
      </c>
      <c r="O2321">
        <v>275.39</v>
      </c>
      <c r="P2321" s="13">
        <v>1.31802825084426</v>
      </c>
    </row>
    <row r="2322" spans="11:16" x14ac:dyDescent="0.3">
      <c r="K2322" s="14" t="s">
        <v>113</v>
      </c>
      <c r="L2322">
        <v>203.13</v>
      </c>
      <c r="M2322">
        <v>100.2604</v>
      </c>
      <c r="N2322">
        <v>150.1</v>
      </c>
      <c r="O2322">
        <v>259.52</v>
      </c>
      <c r="P2322" s="13">
        <v>1.3194220098643701</v>
      </c>
    </row>
    <row r="2323" spans="11:16" x14ac:dyDescent="0.3">
      <c r="K2323" s="14" t="s">
        <v>113</v>
      </c>
      <c r="L2323">
        <v>202.69</v>
      </c>
      <c r="M2323">
        <v>91.796899999999994</v>
      </c>
      <c r="N2323">
        <v>260.01</v>
      </c>
      <c r="O2323">
        <v>274.19</v>
      </c>
      <c r="P2323" s="13">
        <v>1.3205787957255899</v>
      </c>
    </row>
    <row r="2324" spans="11:16" x14ac:dyDescent="0.3">
      <c r="K2324" s="14" t="s">
        <v>113</v>
      </c>
      <c r="L2324">
        <v>210.5</v>
      </c>
      <c r="M2324">
        <v>86.697100000000006</v>
      </c>
      <c r="N2324">
        <v>260.01</v>
      </c>
      <c r="O2324">
        <v>275.95</v>
      </c>
      <c r="P2324" s="13">
        <v>1.3219775321616201</v>
      </c>
    </row>
    <row r="2325" spans="11:16" x14ac:dyDescent="0.3">
      <c r="K2325" s="14" t="s">
        <v>113</v>
      </c>
      <c r="L2325">
        <v>202.69</v>
      </c>
      <c r="M2325">
        <v>112.4855</v>
      </c>
      <c r="N2325">
        <v>266.01</v>
      </c>
      <c r="O2325">
        <v>290.33999999999997</v>
      </c>
      <c r="P2325" s="13">
        <v>1.3237518082248401</v>
      </c>
    </row>
    <row r="2326" spans="11:16" x14ac:dyDescent="0.3">
      <c r="K2326" s="14" t="s">
        <v>113</v>
      </c>
      <c r="L2326">
        <v>210.5</v>
      </c>
      <c r="M2326">
        <v>111.11109999999999</v>
      </c>
      <c r="N2326">
        <v>240.01</v>
      </c>
      <c r="O2326">
        <v>290.04000000000002</v>
      </c>
      <c r="P2326" s="13">
        <v>1.32400255137222</v>
      </c>
    </row>
    <row r="2327" spans="11:16" x14ac:dyDescent="0.3">
      <c r="K2327" s="14" t="s">
        <v>113</v>
      </c>
      <c r="L2327">
        <v>203.13</v>
      </c>
      <c r="M2327">
        <v>72.374099999999999</v>
      </c>
      <c r="N2327">
        <v>380.01</v>
      </c>
      <c r="O2327">
        <v>281.89999999999998</v>
      </c>
      <c r="P2327" s="13">
        <v>1.32779957431713</v>
      </c>
    </row>
    <row r="2328" spans="11:16" x14ac:dyDescent="0.3">
      <c r="K2328" s="14" t="s">
        <v>113</v>
      </c>
      <c r="L2328">
        <v>203.13</v>
      </c>
      <c r="M2328">
        <v>84.526899999999998</v>
      </c>
      <c r="N2328">
        <v>330.01</v>
      </c>
      <c r="O2328">
        <v>279.38</v>
      </c>
      <c r="P2328" s="13">
        <v>1.3367438614074001</v>
      </c>
    </row>
    <row r="2329" spans="11:16" x14ac:dyDescent="0.3">
      <c r="K2329" s="14" t="s">
        <v>113</v>
      </c>
      <c r="L2329">
        <v>203.13</v>
      </c>
      <c r="M2329">
        <v>127.8212</v>
      </c>
      <c r="N2329">
        <v>200</v>
      </c>
      <c r="O2329">
        <v>285.73</v>
      </c>
      <c r="P2329" s="13">
        <v>1.34025548594827</v>
      </c>
    </row>
    <row r="2330" spans="11:16" x14ac:dyDescent="0.3">
      <c r="K2330" s="14" t="s">
        <v>113</v>
      </c>
      <c r="L2330">
        <v>203.13</v>
      </c>
      <c r="M2330">
        <v>92.556399999999996</v>
      </c>
      <c r="N2330">
        <v>340.11</v>
      </c>
      <c r="O2330">
        <v>284.85000000000002</v>
      </c>
      <c r="P2330" s="13">
        <v>1.34848165701246</v>
      </c>
    </row>
    <row r="2331" spans="11:16" x14ac:dyDescent="0.3">
      <c r="K2331" s="14" t="s">
        <v>113</v>
      </c>
      <c r="L2331">
        <v>203.13</v>
      </c>
      <c r="M2331">
        <v>95.486099999999993</v>
      </c>
      <c r="N2331">
        <v>300.01</v>
      </c>
      <c r="O2331">
        <v>277.93</v>
      </c>
      <c r="P2331" s="13">
        <v>1.3550847335660099</v>
      </c>
    </row>
    <row r="2332" spans="11:16" x14ac:dyDescent="0.3">
      <c r="K2332" s="14" t="s">
        <v>113</v>
      </c>
      <c r="L2332">
        <v>203.13</v>
      </c>
      <c r="M2332">
        <v>112.95569999999999</v>
      </c>
      <c r="N2332">
        <v>222</v>
      </c>
      <c r="O2332">
        <v>275.64</v>
      </c>
      <c r="P2332" s="13">
        <v>1.35613735306922</v>
      </c>
    </row>
    <row r="2333" spans="11:16" x14ac:dyDescent="0.3">
      <c r="K2333" s="14" t="s">
        <v>113</v>
      </c>
      <c r="L2333">
        <v>209.64</v>
      </c>
      <c r="M2333">
        <v>109.158</v>
      </c>
      <c r="N2333">
        <v>255.01</v>
      </c>
      <c r="O2333">
        <v>283.13</v>
      </c>
      <c r="P2333" s="13">
        <v>1.36015469925476</v>
      </c>
    </row>
    <row r="2334" spans="11:16" x14ac:dyDescent="0.3">
      <c r="K2334" s="14" t="s">
        <v>113</v>
      </c>
      <c r="L2334">
        <v>203.13</v>
      </c>
      <c r="M2334">
        <v>127.9297</v>
      </c>
      <c r="N2334">
        <v>211</v>
      </c>
      <c r="O2334">
        <v>280.83999999999997</v>
      </c>
      <c r="P2334" s="13">
        <v>1.37416215638798</v>
      </c>
    </row>
    <row r="2335" spans="11:16" x14ac:dyDescent="0.3">
      <c r="K2335" s="14" t="s">
        <v>113</v>
      </c>
      <c r="L2335">
        <v>203.13</v>
      </c>
      <c r="M2335">
        <v>85.503500000000003</v>
      </c>
      <c r="N2335">
        <v>388.01</v>
      </c>
      <c r="O2335">
        <v>283.41000000000003</v>
      </c>
      <c r="P2335" s="13">
        <v>1.37439081189796</v>
      </c>
    </row>
    <row r="2336" spans="11:16" x14ac:dyDescent="0.3">
      <c r="K2336" s="14" t="s">
        <v>113</v>
      </c>
      <c r="L2336">
        <v>203.13</v>
      </c>
      <c r="M2336">
        <v>105.3603</v>
      </c>
      <c r="N2336">
        <v>300.01</v>
      </c>
      <c r="O2336">
        <v>280.82</v>
      </c>
      <c r="P2336" s="13">
        <v>1.37630118937398</v>
      </c>
    </row>
    <row r="2337" spans="11:16" x14ac:dyDescent="0.3">
      <c r="K2337" s="14" t="s">
        <v>113</v>
      </c>
      <c r="L2337">
        <v>210.94</v>
      </c>
      <c r="M2337">
        <v>77.799499999999995</v>
      </c>
      <c r="N2337">
        <v>410.02</v>
      </c>
      <c r="O2337">
        <v>286.01</v>
      </c>
      <c r="P2337" s="13">
        <v>1.38227579455264</v>
      </c>
    </row>
    <row r="2338" spans="11:16" x14ac:dyDescent="0.3">
      <c r="K2338" s="14" t="s">
        <v>113</v>
      </c>
      <c r="L2338">
        <v>210.5</v>
      </c>
      <c r="M2338">
        <v>77.582499999999996</v>
      </c>
      <c r="N2338">
        <v>360.01</v>
      </c>
      <c r="O2338">
        <v>275.95999999999998</v>
      </c>
      <c r="P2338" s="13">
        <v>1.3831174807943201</v>
      </c>
    </row>
    <row r="2339" spans="11:16" x14ac:dyDescent="0.3">
      <c r="K2339" s="14" t="s">
        <v>113</v>
      </c>
      <c r="L2339">
        <v>203.13</v>
      </c>
      <c r="M2339">
        <v>106.1198</v>
      </c>
      <c r="N2339">
        <v>333.01</v>
      </c>
      <c r="O2339">
        <v>285.99</v>
      </c>
      <c r="P2339" s="13">
        <v>1.3840777649568199</v>
      </c>
    </row>
    <row r="2340" spans="11:16" x14ac:dyDescent="0.3">
      <c r="K2340" s="14" t="s">
        <v>113</v>
      </c>
      <c r="L2340">
        <v>203.13</v>
      </c>
      <c r="M2340">
        <v>123.9149</v>
      </c>
      <c r="N2340">
        <v>188</v>
      </c>
      <c r="O2340">
        <v>270.73</v>
      </c>
      <c r="P2340" s="13">
        <v>1.3885601891183099</v>
      </c>
    </row>
    <row r="2341" spans="11:16" x14ac:dyDescent="0.3">
      <c r="K2341" s="14" t="s">
        <v>113</v>
      </c>
      <c r="L2341">
        <v>203.13</v>
      </c>
      <c r="M2341">
        <v>137.8038</v>
      </c>
      <c r="N2341">
        <v>150.1</v>
      </c>
      <c r="O2341">
        <v>273.02</v>
      </c>
      <c r="P2341" s="13">
        <v>1.3916921837228</v>
      </c>
    </row>
    <row r="2342" spans="11:16" x14ac:dyDescent="0.3">
      <c r="K2342" s="14" t="s">
        <v>113</v>
      </c>
      <c r="L2342">
        <v>200.95</v>
      </c>
      <c r="M2342">
        <v>109.26649999999999</v>
      </c>
      <c r="N2342">
        <v>300.01</v>
      </c>
      <c r="O2342">
        <v>277.92</v>
      </c>
      <c r="P2342" s="13">
        <v>1.3968735607369001</v>
      </c>
    </row>
    <row r="2343" spans="11:16" x14ac:dyDescent="0.3">
      <c r="K2343" s="14" t="s">
        <v>113</v>
      </c>
      <c r="L2343">
        <v>203.13</v>
      </c>
      <c r="M2343">
        <v>134.69329999999999</v>
      </c>
      <c r="N2343">
        <v>171.9</v>
      </c>
      <c r="O2343">
        <v>273.05</v>
      </c>
      <c r="P2343" s="13">
        <v>1.4009056949276699</v>
      </c>
    </row>
    <row r="2344" spans="11:16" x14ac:dyDescent="0.3">
      <c r="K2344" s="14" t="s">
        <v>113</v>
      </c>
      <c r="L2344">
        <v>195.75</v>
      </c>
      <c r="M2344">
        <v>144.7483</v>
      </c>
      <c r="N2344">
        <v>300.01</v>
      </c>
      <c r="O2344">
        <v>298.68</v>
      </c>
      <c r="P2344" s="13">
        <v>1.4011681398151901</v>
      </c>
    </row>
    <row r="2345" spans="11:16" x14ac:dyDescent="0.3">
      <c r="K2345" s="14" t="s">
        <v>113</v>
      </c>
      <c r="L2345">
        <v>210.5</v>
      </c>
      <c r="M2345">
        <v>132.92099999999999</v>
      </c>
      <c r="N2345">
        <v>186.2</v>
      </c>
      <c r="O2345">
        <v>278.25</v>
      </c>
      <c r="P2345" s="13">
        <v>1.40820485175202</v>
      </c>
    </row>
    <row r="2346" spans="11:16" x14ac:dyDescent="0.3">
      <c r="K2346" s="14" t="s">
        <v>113</v>
      </c>
      <c r="L2346">
        <v>202.26</v>
      </c>
      <c r="M2346">
        <v>130.96789999999999</v>
      </c>
      <c r="N2346">
        <v>230</v>
      </c>
      <c r="O2346">
        <v>278.83</v>
      </c>
      <c r="P2346" s="13">
        <v>1.40956102284546</v>
      </c>
    </row>
    <row r="2347" spans="11:16" x14ac:dyDescent="0.3">
      <c r="K2347" s="14" t="s">
        <v>113</v>
      </c>
      <c r="L2347">
        <v>203.13</v>
      </c>
      <c r="M2347">
        <v>133.46350000000001</v>
      </c>
      <c r="N2347">
        <v>200</v>
      </c>
      <c r="O2347">
        <v>275.64</v>
      </c>
      <c r="P2347" s="13">
        <v>1.4097863154839601</v>
      </c>
    </row>
    <row r="2348" spans="11:16" x14ac:dyDescent="0.3">
      <c r="K2348" s="14" t="s">
        <v>113</v>
      </c>
      <c r="L2348">
        <v>203.13</v>
      </c>
      <c r="M2348">
        <v>141.9271</v>
      </c>
      <c r="N2348">
        <v>260.01</v>
      </c>
      <c r="O2348">
        <v>292.06</v>
      </c>
      <c r="P2348" s="13">
        <v>1.4129278230500599</v>
      </c>
    </row>
    <row r="2349" spans="11:16" x14ac:dyDescent="0.3">
      <c r="K2349" s="14" t="s">
        <v>113</v>
      </c>
      <c r="L2349">
        <v>195.75</v>
      </c>
      <c r="M2349">
        <v>112.4855</v>
      </c>
      <c r="N2349">
        <v>360.01</v>
      </c>
      <c r="O2349">
        <v>283.70999999999998</v>
      </c>
      <c r="P2349" s="13">
        <v>1.4163691797962701</v>
      </c>
    </row>
    <row r="2350" spans="11:16" x14ac:dyDescent="0.3">
      <c r="K2350" s="14" t="s">
        <v>113</v>
      </c>
      <c r="L2350">
        <v>202.69</v>
      </c>
      <c r="M2350">
        <v>152.66919999999999</v>
      </c>
      <c r="N2350">
        <v>233.01</v>
      </c>
      <c r="O2350">
        <v>292.61</v>
      </c>
      <c r="P2350" s="13">
        <v>1.4214886709271699</v>
      </c>
    </row>
    <row r="2351" spans="11:16" x14ac:dyDescent="0.3">
      <c r="K2351" s="14" t="s">
        <v>113</v>
      </c>
      <c r="L2351">
        <v>203.13</v>
      </c>
      <c r="M2351">
        <v>118.2726</v>
      </c>
      <c r="N2351">
        <v>333.01</v>
      </c>
      <c r="O2351">
        <v>281.11</v>
      </c>
      <c r="P2351" s="13">
        <v>1.451336487496</v>
      </c>
    </row>
    <row r="2352" spans="11:16" x14ac:dyDescent="0.3">
      <c r="K2352" s="14" t="s">
        <v>113</v>
      </c>
      <c r="L2352">
        <v>203.13</v>
      </c>
      <c r="M2352">
        <v>145.85069999999999</v>
      </c>
      <c r="N2352">
        <v>220</v>
      </c>
      <c r="O2352">
        <v>279.7</v>
      </c>
      <c r="P2352" s="13">
        <v>1.4522012870933101</v>
      </c>
    </row>
    <row r="2353" spans="11:16" x14ac:dyDescent="0.3">
      <c r="K2353" s="14" t="s">
        <v>113</v>
      </c>
      <c r="L2353">
        <v>210.94</v>
      </c>
      <c r="M2353">
        <v>105.2517</v>
      </c>
      <c r="N2353">
        <v>333.01</v>
      </c>
      <c r="O2353">
        <v>275.04000000000002</v>
      </c>
      <c r="P2353" s="13">
        <v>1.4644208115183199</v>
      </c>
    </row>
    <row r="2354" spans="11:16" x14ac:dyDescent="0.3">
      <c r="K2354" s="14" t="s">
        <v>113</v>
      </c>
      <c r="L2354">
        <v>202.69</v>
      </c>
      <c r="M2354">
        <v>168.1858</v>
      </c>
      <c r="N2354">
        <v>200</v>
      </c>
      <c r="O2354">
        <v>288.62</v>
      </c>
      <c r="P2354" s="13">
        <v>1.4651645762594401</v>
      </c>
    </row>
    <row r="2355" spans="11:16" x14ac:dyDescent="0.3">
      <c r="K2355" s="14" t="s">
        <v>113</v>
      </c>
      <c r="L2355">
        <v>210.94</v>
      </c>
      <c r="M2355">
        <v>96.462699999999998</v>
      </c>
      <c r="N2355">
        <v>360.01</v>
      </c>
      <c r="O2355">
        <v>272.45999999999998</v>
      </c>
      <c r="P2355" s="13">
        <v>1.4717951258900399</v>
      </c>
    </row>
    <row r="2356" spans="11:16" x14ac:dyDescent="0.3">
      <c r="K2356" s="14" t="s">
        <v>113</v>
      </c>
      <c r="L2356">
        <v>203.13</v>
      </c>
      <c r="M2356">
        <v>114.2216</v>
      </c>
      <c r="N2356">
        <v>366.01</v>
      </c>
      <c r="O2356">
        <v>278.24</v>
      </c>
      <c r="P2356" s="13">
        <v>1.4825841000575</v>
      </c>
    </row>
    <row r="2357" spans="11:16" x14ac:dyDescent="0.3">
      <c r="K2357" s="14" t="s">
        <v>113</v>
      </c>
      <c r="L2357">
        <v>211.37</v>
      </c>
      <c r="M2357">
        <v>111.11109999999999</v>
      </c>
      <c r="N2357">
        <v>360.01</v>
      </c>
      <c r="O2357">
        <v>280.55</v>
      </c>
      <c r="P2357" s="13">
        <v>1.4830999821778601</v>
      </c>
    </row>
    <row r="2358" spans="11:16" x14ac:dyDescent="0.3">
      <c r="K2358" s="14" t="s">
        <v>113</v>
      </c>
      <c r="L2358">
        <v>203.13</v>
      </c>
      <c r="M2358">
        <v>129.4126</v>
      </c>
      <c r="N2358">
        <v>300.01</v>
      </c>
      <c r="O2358">
        <v>272.76</v>
      </c>
      <c r="P2358" s="13">
        <v>1.5051517817861899</v>
      </c>
    </row>
    <row r="2359" spans="11:16" x14ac:dyDescent="0.3">
      <c r="K2359" s="14" t="s">
        <v>113</v>
      </c>
      <c r="L2359">
        <v>210.94</v>
      </c>
      <c r="M2359">
        <v>143.8802</v>
      </c>
      <c r="N2359">
        <v>250.01</v>
      </c>
      <c r="O2359">
        <v>278.18</v>
      </c>
      <c r="P2359" s="13">
        <v>1.50917679200518</v>
      </c>
    </row>
    <row r="2360" spans="11:16" x14ac:dyDescent="0.3">
      <c r="K2360" s="14" t="s">
        <v>113</v>
      </c>
      <c r="L2360">
        <v>202.69</v>
      </c>
      <c r="M2360">
        <v>119.57470000000001</v>
      </c>
      <c r="N2360">
        <v>366.01</v>
      </c>
      <c r="O2360">
        <v>275.33</v>
      </c>
      <c r="P2360" s="13">
        <v>1.51609813678132</v>
      </c>
    </row>
    <row r="2361" spans="11:16" x14ac:dyDescent="0.3">
      <c r="K2361" s="14" t="s">
        <v>113</v>
      </c>
      <c r="L2361">
        <v>203.13</v>
      </c>
      <c r="M2361">
        <v>132.8125</v>
      </c>
      <c r="N2361">
        <v>350.01</v>
      </c>
      <c r="O2361">
        <v>277.33999999999997</v>
      </c>
      <c r="P2361" s="13">
        <v>1.5394284993149201</v>
      </c>
    </row>
    <row r="2362" spans="11:16" x14ac:dyDescent="0.3">
      <c r="K2362" s="14" t="s">
        <v>113</v>
      </c>
      <c r="L2362">
        <v>202.26</v>
      </c>
      <c r="M2362">
        <v>164.60509999999999</v>
      </c>
      <c r="N2362">
        <v>356.2</v>
      </c>
      <c r="O2362">
        <v>295.48</v>
      </c>
      <c r="P2362" s="13">
        <v>1.5550192906457301</v>
      </c>
    </row>
    <row r="2363" spans="11:16" x14ac:dyDescent="0.3">
      <c r="K2363" s="14" t="s">
        <v>113</v>
      </c>
      <c r="L2363">
        <v>203.13</v>
      </c>
      <c r="M2363">
        <v>132.8125</v>
      </c>
      <c r="N2363">
        <v>400.02</v>
      </c>
      <c r="O2363">
        <v>278.79000000000002</v>
      </c>
      <c r="P2363" s="13">
        <v>1.57806126475125</v>
      </c>
    </row>
    <row r="2364" spans="11:16" x14ac:dyDescent="0.3">
      <c r="K2364" s="14" t="s">
        <v>113</v>
      </c>
      <c r="L2364">
        <v>203.13</v>
      </c>
      <c r="M2364">
        <v>164.0625</v>
      </c>
      <c r="N2364">
        <v>300.01</v>
      </c>
      <c r="O2364">
        <v>281.94</v>
      </c>
      <c r="P2364" s="13">
        <v>1.57904199475066</v>
      </c>
    </row>
    <row r="2365" spans="11:16" x14ac:dyDescent="0.3">
      <c r="K2365" s="14" t="s">
        <v>113</v>
      </c>
      <c r="L2365">
        <v>203.13</v>
      </c>
      <c r="M2365">
        <v>157.62440000000001</v>
      </c>
      <c r="N2365">
        <v>316.20999999999998</v>
      </c>
      <c r="O2365">
        <v>280.23</v>
      </c>
      <c r="P2365" s="13">
        <v>1.5807336830460701</v>
      </c>
    </row>
    <row r="2366" spans="11:16" x14ac:dyDescent="0.3">
      <c r="K2366" s="14" t="s">
        <v>113</v>
      </c>
      <c r="L2366">
        <v>203.13</v>
      </c>
      <c r="M2366">
        <v>121.9618</v>
      </c>
      <c r="N2366">
        <v>540.01</v>
      </c>
      <c r="O2366">
        <v>293.52</v>
      </c>
      <c r="P2366" s="13">
        <v>1.5859035159443999</v>
      </c>
    </row>
    <row r="2367" spans="11:16" x14ac:dyDescent="0.3">
      <c r="K2367" s="14" t="s">
        <v>113</v>
      </c>
      <c r="L2367">
        <v>203.13</v>
      </c>
      <c r="M2367">
        <v>166.01560000000001</v>
      </c>
      <c r="N2367">
        <v>300.01</v>
      </c>
      <c r="O2367">
        <v>278.45</v>
      </c>
      <c r="P2367" s="13">
        <v>1.6058473693661299</v>
      </c>
    </row>
    <row r="2368" spans="11:16" x14ac:dyDescent="0.3">
      <c r="K2368" s="14" t="s">
        <v>113</v>
      </c>
      <c r="L2368">
        <v>203.13</v>
      </c>
      <c r="M2368">
        <v>160.625</v>
      </c>
      <c r="N2368">
        <v>380.01</v>
      </c>
      <c r="O2368">
        <v>285.44</v>
      </c>
      <c r="P2368" s="13">
        <v>1.6205072869955199</v>
      </c>
    </row>
    <row r="2369" spans="11:16" x14ac:dyDescent="0.3">
      <c r="K2369" s="14" t="s">
        <v>113</v>
      </c>
      <c r="L2369">
        <v>210.5</v>
      </c>
      <c r="M2369">
        <v>141.71010000000001</v>
      </c>
      <c r="N2369">
        <v>300.01</v>
      </c>
      <c r="O2369">
        <v>250</v>
      </c>
      <c r="P2369" s="13">
        <v>1.7208508</v>
      </c>
    </row>
    <row r="2370" spans="11:16" x14ac:dyDescent="0.3">
      <c r="K2370" s="14" t="s">
        <v>113</v>
      </c>
      <c r="L2370">
        <v>203.13</v>
      </c>
      <c r="M2370">
        <v>208.69499999999999</v>
      </c>
      <c r="N2370">
        <v>430.2</v>
      </c>
      <c r="O2370">
        <v>289.19</v>
      </c>
      <c r="P2370" s="13">
        <v>1.8108406238113399</v>
      </c>
    </row>
    <row r="2371" spans="11:16" x14ac:dyDescent="0.3">
      <c r="K2371" s="14" t="s">
        <v>115</v>
      </c>
      <c r="L2371">
        <v>150.16999999999999</v>
      </c>
      <c r="M2371">
        <v>135.52520000000001</v>
      </c>
      <c r="N2371">
        <v>200</v>
      </c>
      <c r="O2371">
        <v>291.49</v>
      </c>
      <c r="P2371" s="13">
        <v>1.15851384267042</v>
      </c>
    </row>
    <row r="2372" spans="11:16" x14ac:dyDescent="0.3">
      <c r="K2372" s="14" t="s">
        <v>115</v>
      </c>
      <c r="L2372">
        <v>203.13</v>
      </c>
      <c r="M2372">
        <v>122.1789</v>
      </c>
      <c r="N2372">
        <v>80.099999999999994</v>
      </c>
      <c r="O2372">
        <v>286.02</v>
      </c>
      <c r="P2372" s="13">
        <v>1.21017726033145</v>
      </c>
    </row>
    <row r="2373" spans="11:16" x14ac:dyDescent="0.3">
      <c r="K2373" s="14" t="s">
        <v>115</v>
      </c>
      <c r="L2373">
        <v>202.69</v>
      </c>
      <c r="M2373">
        <v>109.8814</v>
      </c>
      <c r="N2373">
        <v>110.1</v>
      </c>
      <c r="O2373">
        <v>278.25</v>
      </c>
      <c r="P2373" s="13">
        <v>1.2262260557053</v>
      </c>
    </row>
    <row r="2374" spans="11:16" x14ac:dyDescent="0.3">
      <c r="K2374" s="14" t="s">
        <v>115</v>
      </c>
      <c r="L2374">
        <v>210.5</v>
      </c>
      <c r="M2374">
        <v>78.7761</v>
      </c>
      <c r="N2374">
        <v>250.01</v>
      </c>
      <c r="O2374">
        <v>283.7</v>
      </c>
      <c r="P2374" s="13">
        <v>1.2487793443778601</v>
      </c>
    </row>
    <row r="2375" spans="11:16" x14ac:dyDescent="0.3">
      <c r="K2375" s="14" t="s">
        <v>115</v>
      </c>
      <c r="L2375">
        <v>195.75</v>
      </c>
      <c r="M2375">
        <v>89.518199999999993</v>
      </c>
      <c r="N2375">
        <v>320.01</v>
      </c>
      <c r="O2375">
        <v>287.42</v>
      </c>
      <c r="P2375" s="13">
        <v>1.28199429406444</v>
      </c>
    </row>
    <row r="2376" spans="11:16" x14ac:dyDescent="0.3">
      <c r="K2376" s="14" t="s">
        <v>115</v>
      </c>
      <c r="L2376">
        <v>195.75</v>
      </c>
      <c r="M2376">
        <v>136.71879999999999</v>
      </c>
      <c r="N2376">
        <v>153.5</v>
      </c>
      <c r="O2376">
        <v>290.18</v>
      </c>
      <c r="P2376" s="13">
        <v>1.28326831621752</v>
      </c>
    </row>
    <row r="2377" spans="11:16" x14ac:dyDescent="0.3">
      <c r="K2377" s="14" t="s">
        <v>115</v>
      </c>
      <c r="L2377">
        <v>210.5</v>
      </c>
      <c r="M2377">
        <v>114.1493</v>
      </c>
      <c r="N2377">
        <v>210</v>
      </c>
      <c r="O2377">
        <v>290.94</v>
      </c>
      <c r="P2377" s="13">
        <v>1.3035309685845899</v>
      </c>
    </row>
    <row r="2378" spans="11:16" x14ac:dyDescent="0.3">
      <c r="K2378" s="14" t="s">
        <v>115</v>
      </c>
      <c r="L2378">
        <v>203.13</v>
      </c>
      <c r="M2378">
        <v>131.94450000000001</v>
      </c>
      <c r="N2378">
        <v>150.1</v>
      </c>
      <c r="O2378">
        <v>286.89</v>
      </c>
      <c r="P2378" s="13">
        <v>1.3039858482345199</v>
      </c>
    </row>
    <row r="2379" spans="11:16" x14ac:dyDescent="0.3">
      <c r="K2379" s="14" t="s">
        <v>115</v>
      </c>
      <c r="L2379">
        <v>203.13</v>
      </c>
      <c r="M2379">
        <v>105.36020000000001</v>
      </c>
      <c r="N2379">
        <v>200</v>
      </c>
      <c r="O2379">
        <v>274.81</v>
      </c>
      <c r="P2379" s="13">
        <v>1.3117797751173501</v>
      </c>
    </row>
    <row r="2380" spans="11:16" x14ac:dyDescent="0.3">
      <c r="K2380" s="14" t="s">
        <v>115</v>
      </c>
      <c r="L2380">
        <v>203.13</v>
      </c>
      <c r="M2380">
        <v>84.635400000000004</v>
      </c>
      <c r="N2380">
        <v>400.02</v>
      </c>
      <c r="O2380">
        <v>297.54000000000002</v>
      </c>
      <c r="P2380" s="13">
        <v>1.3166989312361399</v>
      </c>
    </row>
    <row r="2381" spans="11:16" x14ac:dyDescent="0.3">
      <c r="K2381" s="14" t="s">
        <v>115</v>
      </c>
      <c r="L2381">
        <v>203.13</v>
      </c>
      <c r="M2381">
        <v>134.22309999999999</v>
      </c>
      <c r="N2381">
        <v>230</v>
      </c>
      <c r="O2381">
        <v>280.27999999999997</v>
      </c>
      <c r="P2381" s="13">
        <v>1.4169869416298</v>
      </c>
    </row>
    <row r="2382" spans="11:16" x14ac:dyDescent="0.3">
      <c r="K2382" s="14" t="s">
        <v>115</v>
      </c>
      <c r="L2382">
        <v>203.13</v>
      </c>
      <c r="M2382">
        <v>138.88890000000001</v>
      </c>
      <c r="N2382">
        <v>220</v>
      </c>
      <c r="O2382">
        <v>278.25</v>
      </c>
      <c r="P2382" s="13">
        <v>1.4347489667565101</v>
      </c>
    </row>
    <row r="2383" spans="11:16" x14ac:dyDescent="0.3">
      <c r="K2383" s="14" t="s">
        <v>115</v>
      </c>
      <c r="L2383">
        <v>203.13</v>
      </c>
      <c r="M2383">
        <v>159.0712</v>
      </c>
      <c r="N2383">
        <v>150.1</v>
      </c>
      <c r="O2383">
        <v>275.08999999999997</v>
      </c>
      <c r="P2383" s="13">
        <v>1.4585306626922101</v>
      </c>
    </row>
    <row r="2384" spans="11:16" x14ac:dyDescent="0.3">
      <c r="K2384" s="14" t="s">
        <v>115</v>
      </c>
      <c r="L2384">
        <v>308.58999999999997</v>
      </c>
      <c r="M2384">
        <v>172.09209999999999</v>
      </c>
      <c r="N2384">
        <v>122.1</v>
      </c>
      <c r="O2384">
        <v>285.74</v>
      </c>
      <c r="P2384" s="13">
        <v>1.7933369496745299</v>
      </c>
    </row>
    <row r="2385" spans="11:16" x14ac:dyDescent="0.3">
      <c r="K2385" s="14" t="s">
        <v>117</v>
      </c>
      <c r="L2385">
        <v>210.5</v>
      </c>
      <c r="M2385">
        <v>79.788799999999995</v>
      </c>
      <c r="N2385">
        <v>200</v>
      </c>
      <c r="O2385">
        <v>292.7</v>
      </c>
      <c r="P2385" s="13">
        <v>1.1694185172531599</v>
      </c>
    </row>
    <row r="2386" spans="11:16" x14ac:dyDescent="0.3">
      <c r="K2386" s="14" t="s">
        <v>117</v>
      </c>
      <c r="L2386">
        <v>150.16999999999999</v>
      </c>
      <c r="M2386">
        <v>102.2136</v>
      </c>
      <c r="N2386">
        <v>389.41</v>
      </c>
      <c r="O2386">
        <v>290.33999999999997</v>
      </c>
      <c r="P2386" s="13">
        <v>1.2179864985878599</v>
      </c>
    </row>
    <row r="2387" spans="11:16" x14ac:dyDescent="0.3">
      <c r="K2387" s="14" t="s">
        <v>117</v>
      </c>
      <c r="L2387">
        <v>150.16999999999999</v>
      </c>
      <c r="M2387">
        <v>114.3837</v>
      </c>
      <c r="N2387">
        <v>380.01</v>
      </c>
      <c r="O2387">
        <v>289.75</v>
      </c>
      <c r="P2387" s="13">
        <v>1.25403382226057</v>
      </c>
    </row>
    <row r="2388" spans="11:16" x14ac:dyDescent="0.3">
      <c r="K2388" s="14" t="s">
        <v>117</v>
      </c>
      <c r="L2388">
        <v>150.16999999999999</v>
      </c>
      <c r="M2388">
        <v>112.2136</v>
      </c>
      <c r="N2388">
        <v>390.11</v>
      </c>
      <c r="O2388">
        <v>286.02999999999997</v>
      </c>
      <c r="P2388" s="13">
        <v>1.2719372093836301</v>
      </c>
    </row>
    <row r="2389" spans="11:16" x14ac:dyDescent="0.3">
      <c r="K2389" s="14" t="s">
        <v>117</v>
      </c>
      <c r="L2389">
        <v>203.56</v>
      </c>
      <c r="M2389">
        <v>84.346100000000007</v>
      </c>
      <c r="N2389">
        <v>261</v>
      </c>
      <c r="O2389">
        <v>268.73</v>
      </c>
      <c r="P2389" s="13">
        <v>1.3238793584638899</v>
      </c>
    </row>
    <row r="2390" spans="11:16" x14ac:dyDescent="0.3">
      <c r="K2390" s="14" t="s">
        <v>117</v>
      </c>
      <c r="L2390">
        <v>210.07</v>
      </c>
      <c r="M2390">
        <v>89.735200000000006</v>
      </c>
      <c r="N2390">
        <v>320.01</v>
      </c>
      <c r="O2390">
        <v>286.3</v>
      </c>
      <c r="P2390" s="13">
        <v>1.33778484107579</v>
      </c>
    </row>
    <row r="2391" spans="11:16" x14ac:dyDescent="0.3">
      <c r="K2391" s="14" t="s">
        <v>117</v>
      </c>
      <c r="L2391">
        <v>210.94</v>
      </c>
      <c r="M2391">
        <v>132.92099999999999</v>
      </c>
      <c r="N2391">
        <v>200</v>
      </c>
      <c r="O2391">
        <v>285.74</v>
      </c>
      <c r="P2391" s="13">
        <v>1.38538881500665</v>
      </c>
    </row>
    <row r="2392" spans="11:16" x14ac:dyDescent="0.3">
      <c r="K2392" s="14" t="s">
        <v>117</v>
      </c>
      <c r="L2392">
        <v>210.5</v>
      </c>
      <c r="M2392">
        <v>106.77079999999999</v>
      </c>
      <c r="N2392">
        <v>288.01</v>
      </c>
      <c r="O2392">
        <v>267.87</v>
      </c>
      <c r="P2392" s="13">
        <v>1.4639690894837001</v>
      </c>
    </row>
    <row r="2393" spans="11:16" x14ac:dyDescent="0.3">
      <c r="K2393" s="14" t="s">
        <v>118</v>
      </c>
      <c r="L2393">
        <v>210.5</v>
      </c>
      <c r="M2393">
        <v>134.65710000000001</v>
      </c>
      <c r="N2393">
        <v>100.1</v>
      </c>
      <c r="O2393">
        <v>271.06</v>
      </c>
      <c r="P2393" s="13">
        <v>1.36937615288128</v>
      </c>
    </row>
    <row r="2394" spans="11:16" x14ac:dyDescent="0.3">
      <c r="K2394" s="14" t="s">
        <v>127</v>
      </c>
      <c r="L2394">
        <v>203.13</v>
      </c>
      <c r="M2394">
        <v>166.01560000000001</v>
      </c>
      <c r="N2394">
        <v>366.11</v>
      </c>
      <c r="O2394">
        <v>275.06</v>
      </c>
      <c r="P2394" s="13">
        <v>1.6881196829782601</v>
      </c>
    </row>
    <row r="2395" spans="11:16" x14ac:dyDescent="0.3">
      <c r="K2395" s="14" t="s">
        <v>127</v>
      </c>
      <c r="L2395">
        <v>203.13</v>
      </c>
      <c r="M2395">
        <v>192.57810000000001</v>
      </c>
      <c r="N2395">
        <v>440.11</v>
      </c>
      <c r="O2395">
        <v>276.20999999999998</v>
      </c>
      <c r="P2395" s="13">
        <v>1.84691611455052</v>
      </c>
    </row>
    <row r="2396" spans="11:16" x14ac:dyDescent="0.3">
      <c r="K2396" s="14" t="s">
        <v>155</v>
      </c>
      <c r="L2396">
        <v>203.13</v>
      </c>
      <c r="M2396">
        <v>76.533600000000007</v>
      </c>
      <c r="N2396">
        <v>130.1</v>
      </c>
      <c r="O2396">
        <v>286.89999999999998</v>
      </c>
      <c r="P2396" s="13">
        <v>1.0926789822237699</v>
      </c>
    </row>
    <row r="2397" spans="11:16" x14ac:dyDescent="0.3">
      <c r="K2397" s="14" t="s">
        <v>156</v>
      </c>
      <c r="L2397">
        <v>203.13</v>
      </c>
      <c r="M2397">
        <v>107.9282</v>
      </c>
      <c r="N2397">
        <v>99.6</v>
      </c>
      <c r="O2397">
        <v>284.54000000000002</v>
      </c>
      <c r="P2397" s="13">
        <v>1.1842067899065201</v>
      </c>
    </row>
    <row r="2398" spans="11:16" x14ac:dyDescent="0.3">
      <c r="K2398" s="14" t="s">
        <v>156</v>
      </c>
      <c r="L2398">
        <v>203.13</v>
      </c>
      <c r="M2398">
        <v>105.2517</v>
      </c>
      <c r="N2398">
        <v>170</v>
      </c>
      <c r="O2398">
        <v>280.51</v>
      </c>
      <c r="P2398" s="13">
        <v>1.2569309472033099</v>
      </c>
    </row>
    <row r="2399" spans="11:16" x14ac:dyDescent="0.3">
      <c r="K2399" s="14" t="s">
        <v>156</v>
      </c>
      <c r="L2399">
        <v>203.13</v>
      </c>
      <c r="M2399">
        <v>106.1198</v>
      </c>
      <c r="N2399">
        <v>200</v>
      </c>
      <c r="O2399">
        <v>286.02</v>
      </c>
      <c r="P2399" s="13">
        <v>1.26302286553388</v>
      </c>
    </row>
    <row r="2400" spans="11:16" x14ac:dyDescent="0.3">
      <c r="K2400" s="14" t="s">
        <v>156</v>
      </c>
      <c r="L2400">
        <v>203.13</v>
      </c>
      <c r="M2400">
        <v>105.14319999999999</v>
      </c>
      <c r="N2400">
        <v>220</v>
      </c>
      <c r="O2400">
        <v>286.25</v>
      </c>
      <c r="P2400" s="13">
        <v>1.27676227074236</v>
      </c>
    </row>
    <row r="2401" spans="11:16" x14ac:dyDescent="0.3">
      <c r="K2401" s="14" t="s">
        <v>156</v>
      </c>
      <c r="L2401">
        <v>203.13</v>
      </c>
      <c r="M2401">
        <v>75.846400000000003</v>
      </c>
      <c r="N2401">
        <v>350.01</v>
      </c>
      <c r="O2401">
        <v>284.57</v>
      </c>
      <c r="P2401" s="13">
        <v>1.3001335348069001</v>
      </c>
    </row>
    <row r="2402" spans="11:16" x14ac:dyDescent="0.3">
      <c r="K2402" s="14" t="s">
        <v>156</v>
      </c>
      <c r="L2402">
        <v>203.13</v>
      </c>
      <c r="M2402">
        <v>104.2752</v>
      </c>
      <c r="N2402">
        <v>230</v>
      </c>
      <c r="O2402">
        <v>281.94</v>
      </c>
      <c r="P2402" s="13">
        <v>1.30242321061219</v>
      </c>
    </row>
    <row r="2403" spans="11:16" x14ac:dyDescent="0.3">
      <c r="K2403" s="14" t="s">
        <v>156</v>
      </c>
      <c r="L2403">
        <v>202.69</v>
      </c>
      <c r="M2403">
        <v>105.2517</v>
      </c>
      <c r="N2403">
        <v>260.01</v>
      </c>
      <c r="O2403">
        <v>287.72000000000003</v>
      </c>
      <c r="P2403" s="13">
        <v>1.30524224940915</v>
      </c>
    </row>
    <row r="2404" spans="11:16" x14ac:dyDescent="0.3">
      <c r="K2404" s="14" t="s">
        <v>156</v>
      </c>
      <c r="L2404">
        <v>203.13</v>
      </c>
      <c r="M2404">
        <v>106.1198</v>
      </c>
      <c r="N2404">
        <v>260.10000000000002</v>
      </c>
      <c r="O2404">
        <v>281.95999999999998</v>
      </c>
      <c r="P2404" s="13">
        <v>1.33662859980139</v>
      </c>
    </row>
    <row r="2405" spans="11:16" x14ac:dyDescent="0.3">
      <c r="K2405" s="14" t="s">
        <v>156</v>
      </c>
      <c r="L2405">
        <v>203.13</v>
      </c>
      <c r="M2405">
        <v>107.0964</v>
      </c>
      <c r="N2405">
        <v>300.01</v>
      </c>
      <c r="O2405">
        <v>290.02999999999997</v>
      </c>
      <c r="P2405" s="13">
        <v>1.3385822156328699</v>
      </c>
    </row>
    <row r="2406" spans="11:16" x14ac:dyDescent="0.3">
      <c r="K2406" s="14" t="s">
        <v>156</v>
      </c>
      <c r="L2406">
        <v>203.13</v>
      </c>
      <c r="M2406">
        <v>99.644099999999995</v>
      </c>
      <c r="N2406">
        <v>320.10000000000002</v>
      </c>
      <c r="O2406">
        <v>281.13</v>
      </c>
      <c r="P2406" s="13">
        <v>1.3730306264006</v>
      </c>
    </row>
    <row r="2407" spans="11:16" x14ac:dyDescent="0.3">
      <c r="K2407" s="14" t="s">
        <v>156</v>
      </c>
      <c r="L2407">
        <v>203.13</v>
      </c>
      <c r="M2407">
        <v>107.0964</v>
      </c>
      <c r="N2407">
        <v>327.01</v>
      </c>
      <c r="O2407">
        <v>281.2</v>
      </c>
      <c r="P2407" s="13">
        <v>1.4055796586059699</v>
      </c>
    </row>
    <row r="2408" spans="11:16" x14ac:dyDescent="0.3">
      <c r="K2408" s="14" t="s">
        <v>156</v>
      </c>
      <c r="L2408">
        <v>202.69</v>
      </c>
      <c r="M2408">
        <v>126.22969999999999</v>
      </c>
      <c r="N2408">
        <v>300.01</v>
      </c>
      <c r="O2408">
        <v>279.39999999999998</v>
      </c>
      <c r="P2408" s="13">
        <v>1.4564148174660001</v>
      </c>
    </row>
    <row r="2409" spans="11:16" x14ac:dyDescent="0.3">
      <c r="K2409" s="14" t="s">
        <v>156</v>
      </c>
      <c r="L2409">
        <v>210.94</v>
      </c>
      <c r="M2409">
        <v>170.84200000000001</v>
      </c>
      <c r="N2409">
        <v>130.1</v>
      </c>
      <c r="O2409">
        <v>284.83999999999997</v>
      </c>
      <c r="P2409" s="13">
        <v>1.4590928240415699</v>
      </c>
    </row>
    <row r="2410" spans="11:16" x14ac:dyDescent="0.3">
      <c r="K2410" s="14" t="s">
        <v>207</v>
      </c>
      <c r="L2410">
        <v>202.26</v>
      </c>
      <c r="M2410">
        <v>144.53129999999999</v>
      </c>
      <c r="N2410">
        <v>150.1</v>
      </c>
      <c r="O2410">
        <v>288.60000000000002</v>
      </c>
      <c r="P2410" s="13">
        <v>1.3368582813582801</v>
      </c>
    </row>
    <row r="2411" spans="11:16" x14ac:dyDescent="0.3">
      <c r="K2411" s="14" t="s">
        <v>207</v>
      </c>
      <c r="L2411">
        <v>210.94</v>
      </c>
      <c r="M2411">
        <v>111.9068</v>
      </c>
      <c r="N2411">
        <v>280.01</v>
      </c>
      <c r="O2411">
        <v>287.45999999999998</v>
      </c>
      <c r="P2411" s="13">
        <v>1.3763633201140999</v>
      </c>
    </row>
    <row r="2412" spans="11:16" x14ac:dyDescent="0.3">
      <c r="K2412" s="14" t="s">
        <v>158</v>
      </c>
      <c r="L2412">
        <v>202.69</v>
      </c>
      <c r="M2412">
        <v>92.556399999999996</v>
      </c>
      <c r="N2412">
        <v>200</v>
      </c>
      <c r="O2412">
        <v>275.89</v>
      </c>
      <c r="P2412" s="13">
        <v>1.25864076262278</v>
      </c>
    </row>
    <row r="2413" spans="11:16" x14ac:dyDescent="0.3">
      <c r="K2413" s="14" t="s">
        <v>158</v>
      </c>
      <c r="L2413">
        <v>203.13</v>
      </c>
      <c r="M2413">
        <v>110.13460000000001</v>
      </c>
      <c r="N2413">
        <v>266.01</v>
      </c>
      <c r="O2413">
        <v>265</v>
      </c>
      <c r="P2413" s="13">
        <v>1.44312150943396</v>
      </c>
    </row>
    <row r="2414" spans="11:16" x14ac:dyDescent="0.3">
      <c r="K2414" s="14" t="s">
        <v>160</v>
      </c>
      <c r="L2414">
        <v>202.69</v>
      </c>
      <c r="M2414">
        <v>87.565100000000001</v>
      </c>
      <c r="N2414">
        <v>150.1</v>
      </c>
      <c r="O2414">
        <v>289.18</v>
      </c>
      <c r="P2414" s="13">
        <v>1.1386717615326101</v>
      </c>
    </row>
    <row r="2415" spans="11:16" x14ac:dyDescent="0.3">
      <c r="K2415" s="14" t="s">
        <v>160</v>
      </c>
      <c r="L2415">
        <v>202.69</v>
      </c>
      <c r="M2415">
        <v>111.11109999999999</v>
      </c>
      <c r="N2415">
        <v>100.1</v>
      </c>
      <c r="O2415">
        <v>297.54000000000002</v>
      </c>
      <c r="P2415" s="13">
        <v>1.1421224037104301</v>
      </c>
    </row>
    <row r="2416" spans="11:16" x14ac:dyDescent="0.3">
      <c r="K2416" s="14" t="s">
        <v>160</v>
      </c>
      <c r="L2416">
        <v>203.56</v>
      </c>
      <c r="M2416">
        <v>88.541700000000006</v>
      </c>
      <c r="N2416">
        <v>130.1</v>
      </c>
      <c r="O2416">
        <v>283.73</v>
      </c>
      <c r="P2416" s="13">
        <v>1.14872484404187</v>
      </c>
    </row>
    <row r="2417" spans="11:16" x14ac:dyDescent="0.3">
      <c r="K2417" s="14" t="s">
        <v>160</v>
      </c>
      <c r="L2417">
        <v>202.69</v>
      </c>
      <c r="M2417">
        <v>105.3603</v>
      </c>
      <c r="N2417">
        <v>150.1</v>
      </c>
      <c r="O2417">
        <v>295.27</v>
      </c>
      <c r="P2417" s="13">
        <v>1.1754539912622299</v>
      </c>
    </row>
    <row r="2418" spans="11:16" x14ac:dyDescent="0.3">
      <c r="K2418" s="14" t="s">
        <v>160</v>
      </c>
      <c r="L2418">
        <v>203.13</v>
      </c>
      <c r="M2418">
        <v>101.23699999999999</v>
      </c>
      <c r="N2418">
        <v>100.1</v>
      </c>
      <c r="O2418">
        <v>269.93</v>
      </c>
      <c r="P2418" s="13">
        <v>1.22399510984329</v>
      </c>
    </row>
    <row r="2419" spans="11:16" x14ac:dyDescent="0.3">
      <c r="K2419" s="14" t="s">
        <v>160</v>
      </c>
      <c r="L2419">
        <v>203.13</v>
      </c>
      <c r="M2419">
        <v>111.9068</v>
      </c>
      <c r="N2419">
        <v>100.1</v>
      </c>
      <c r="O2419">
        <v>278.54000000000002</v>
      </c>
      <c r="P2419" s="13">
        <v>1.2244661448984</v>
      </c>
    </row>
    <row r="2420" spans="11:16" x14ac:dyDescent="0.3">
      <c r="K2420" s="14" t="s">
        <v>160</v>
      </c>
      <c r="L2420">
        <v>203.13</v>
      </c>
      <c r="M2420">
        <v>87.673599999999993</v>
      </c>
      <c r="N2420">
        <v>190</v>
      </c>
      <c r="O2420">
        <v>275.92</v>
      </c>
      <c r="P2420" s="13">
        <v>1.2329791243838799</v>
      </c>
    </row>
    <row r="2421" spans="11:16" x14ac:dyDescent="0.3">
      <c r="K2421" s="14" t="s">
        <v>160</v>
      </c>
      <c r="L2421">
        <v>203.13</v>
      </c>
      <c r="M2421">
        <v>121.0026</v>
      </c>
      <c r="N2421">
        <v>110.1</v>
      </c>
      <c r="O2421">
        <v>285.14</v>
      </c>
      <c r="P2421" s="13">
        <v>1.2371417549274</v>
      </c>
    </row>
    <row r="2422" spans="11:16" x14ac:dyDescent="0.3">
      <c r="K2422" s="14" t="s">
        <v>160</v>
      </c>
      <c r="L2422">
        <v>203.13</v>
      </c>
      <c r="M2422">
        <v>129.8828</v>
      </c>
      <c r="N2422">
        <v>88.1</v>
      </c>
      <c r="O2422">
        <v>286.64</v>
      </c>
      <c r="P2422" s="13">
        <v>1.2416927156014499</v>
      </c>
    </row>
    <row r="2423" spans="11:16" x14ac:dyDescent="0.3">
      <c r="K2423" s="14" t="s">
        <v>160</v>
      </c>
      <c r="L2423">
        <v>203.13</v>
      </c>
      <c r="M2423">
        <v>118.54170000000001</v>
      </c>
      <c r="N2423">
        <v>110.1</v>
      </c>
      <c r="O2423">
        <v>282.01</v>
      </c>
      <c r="P2423" s="13">
        <v>1.24214637778802</v>
      </c>
    </row>
    <row r="2424" spans="11:16" x14ac:dyDescent="0.3">
      <c r="K2424" s="14" t="s">
        <v>160</v>
      </c>
      <c r="L2424">
        <v>203.56</v>
      </c>
      <c r="M2424">
        <v>110.13460000000001</v>
      </c>
      <c r="N2424">
        <v>100.1</v>
      </c>
      <c r="O2424">
        <v>272.51</v>
      </c>
      <c r="P2424" s="13">
        <v>1.2466353528310901</v>
      </c>
    </row>
    <row r="2425" spans="11:16" x14ac:dyDescent="0.3">
      <c r="K2425" s="14" t="s">
        <v>160</v>
      </c>
      <c r="L2425">
        <v>202.69</v>
      </c>
      <c r="M2425">
        <v>126.8446</v>
      </c>
      <c r="N2425">
        <v>150.1</v>
      </c>
      <c r="O2425">
        <v>286.35000000000002</v>
      </c>
      <c r="P2425" s="13">
        <v>1.2870983062685499</v>
      </c>
    </row>
    <row r="2426" spans="11:16" x14ac:dyDescent="0.3">
      <c r="K2426" s="14" t="s">
        <v>160</v>
      </c>
      <c r="L2426">
        <v>150.16999999999999</v>
      </c>
      <c r="M2426">
        <v>103.29859999999999</v>
      </c>
      <c r="N2426">
        <v>381.7</v>
      </c>
      <c r="O2426">
        <v>273.33999999999997</v>
      </c>
      <c r="P2426" s="13">
        <v>1.2903731616302001</v>
      </c>
    </row>
    <row r="2427" spans="11:16" x14ac:dyDescent="0.3">
      <c r="K2427" s="14" t="s">
        <v>160</v>
      </c>
      <c r="L2427">
        <v>203.13</v>
      </c>
      <c r="M2427">
        <v>133.92939999999999</v>
      </c>
      <c r="N2427">
        <v>100.1</v>
      </c>
      <c r="O2427">
        <v>280.58</v>
      </c>
      <c r="P2427" s="13">
        <v>1.29405303300307</v>
      </c>
    </row>
    <row r="2428" spans="11:16" x14ac:dyDescent="0.3">
      <c r="K2428" s="14" t="s">
        <v>160</v>
      </c>
      <c r="L2428">
        <v>203.13</v>
      </c>
      <c r="M2428">
        <v>93.8947</v>
      </c>
      <c r="N2428">
        <v>250.01</v>
      </c>
      <c r="O2428">
        <v>277.95</v>
      </c>
      <c r="P2428" s="13">
        <v>1.30249073574384</v>
      </c>
    </row>
    <row r="2429" spans="11:16" x14ac:dyDescent="0.3">
      <c r="K2429" s="14" t="s">
        <v>160</v>
      </c>
      <c r="L2429">
        <v>203.13</v>
      </c>
      <c r="M2429">
        <v>106.17189999999999</v>
      </c>
      <c r="N2429">
        <v>160</v>
      </c>
      <c r="O2429">
        <v>268.45</v>
      </c>
      <c r="P2429" s="13">
        <v>1.3071406220897701</v>
      </c>
    </row>
    <row r="2430" spans="11:16" x14ac:dyDescent="0.3">
      <c r="K2430" s="14" t="s">
        <v>160</v>
      </c>
      <c r="L2430">
        <v>210.5</v>
      </c>
      <c r="M2430">
        <v>115.01739999999999</v>
      </c>
      <c r="N2430">
        <v>155</v>
      </c>
      <c r="O2430">
        <v>279.12</v>
      </c>
      <c r="P2430" s="13">
        <v>1.31060977357409</v>
      </c>
    </row>
    <row r="2431" spans="11:16" x14ac:dyDescent="0.3">
      <c r="K2431" s="14" t="s">
        <v>160</v>
      </c>
      <c r="L2431">
        <v>202.69</v>
      </c>
      <c r="M2431">
        <v>110.2431</v>
      </c>
      <c r="N2431">
        <v>288.01</v>
      </c>
      <c r="O2431">
        <v>284.87</v>
      </c>
      <c r="P2431" s="13">
        <v>1.3613778214624199</v>
      </c>
    </row>
    <row r="2432" spans="11:16" x14ac:dyDescent="0.3">
      <c r="K2432" s="14" t="s">
        <v>160</v>
      </c>
      <c r="L2432">
        <v>203.13</v>
      </c>
      <c r="M2432">
        <v>115.59610000000001</v>
      </c>
      <c r="N2432">
        <v>200</v>
      </c>
      <c r="O2432">
        <v>272.17</v>
      </c>
      <c r="P2432" s="13">
        <v>1.3621122827644501</v>
      </c>
    </row>
    <row r="2433" spans="11:16" x14ac:dyDescent="0.3">
      <c r="K2433" s="14" t="s">
        <v>160</v>
      </c>
      <c r="L2433">
        <v>203.13</v>
      </c>
      <c r="M2433">
        <v>94.111699999999999</v>
      </c>
      <c r="N2433">
        <v>300.01</v>
      </c>
      <c r="O2433">
        <v>274.77</v>
      </c>
      <c r="P2433" s="13">
        <v>1.36566692142519</v>
      </c>
    </row>
    <row r="2434" spans="11:16" x14ac:dyDescent="0.3">
      <c r="K2434" s="14" t="s">
        <v>160</v>
      </c>
      <c r="L2434">
        <v>203.13</v>
      </c>
      <c r="M2434">
        <v>105.4862</v>
      </c>
      <c r="N2434">
        <v>300.01</v>
      </c>
      <c r="O2434">
        <v>279.62</v>
      </c>
      <c r="P2434" s="13">
        <v>1.3826578928545901</v>
      </c>
    </row>
    <row r="2435" spans="11:16" x14ac:dyDescent="0.3">
      <c r="K2435" s="14" t="s">
        <v>160</v>
      </c>
      <c r="L2435">
        <v>203.13</v>
      </c>
      <c r="M2435">
        <v>113.1728</v>
      </c>
      <c r="N2435">
        <v>188</v>
      </c>
      <c r="O2435">
        <v>257.22000000000003</v>
      </c>
      <c r="P2435" s="13">
        <v>1.41972941450898</v>
      </c>
    </row>
    <row r="2436" spans="11:16" x14ac:dyDescent="0.3">
      <c r="K2436" s="14" t="s">
        <v>160</v>
      </c>
      <c r="L2436">
        <v>210.5</v>
      </c>
      <c r="M2436">
        <v>108.2899</v>
      </c>
      <c r="N2436">
        <v>300.10000000000002</v>
      </c>
      <c r="O2436">
        <v>278.8</v>
      </c>
      <c r="P2436" s="13">
        <v>1.4232994978479201</v>
      </c>
    </row>
    <row r="2437" spans="11:16" x14ac:dyDescent="0.3">
      <c r="K2437" s="14" t="s">
        <v>160</v>
      </c>
      <c r="L2437">
        <v>210.5</v>
      </c>
      <c r="M2437">
        <v>127.42189999999999</v>
      </c>
      <c r="N2437">
        <v>288.10000000000002</v>
      </c>
      <c r="O2437">
        <v>271.87</v>
      </c>
      <c r="P2437" s="13">
        <v>1.5184753742597601</v>
      </c>
    </row>
    <row r="2438" spans="11:16" x14ac:dyDescent="0.3">
      <c r="K2438" s="14" t="s">
        <v>160</v>
      </c>
      <c r="L2438">
        <v>195.31</v>
      </c>
      <c r="M2438">
        <v>231.60589999999999</v>
      </c>
      <c r="N2438">
        <v>155</v>
      </c>
      <c r="O2438">
        <v>270.95999999999998</v>
      </c>
      <c r="P2438" s="13">
        <v>1.7242984204310601</v>
      </c>
    </row>
    <row r="2439" spans="11:16" x14ac:dyDescent="0.3">
      <c r="K2439" s="14" t="s">
        <v>165</v>
      </c>
      <c r="L2439">
        <v>203.13</v>
      </c>
      <c r="M2439">
        <v>145.25460000000001</v>
      </c>
      <c r="N2439">
        <v>166</v>
      </c>
      <c r="O2439">
        <v>286.58</v>
      </c>
      <c r="P2439" s="13">
        <v>1.3662663130713899</v>
      </c>
    </row>
    <row r="2440" spans="11:16" x14ac:dyDescent="0.3">
      <c r="K2440" s="14" t="s">
        <v>167</v>
      </c>
      <c r="L2440">
        <v>203.13</v>
      </c>
      <c r="M2440">
        <v>111.83450000000001</v>
      </c>
      <c r="N2440">
        <v>360.01</v>
      </c>
      <c r="O2440">
        <v>287.72000000000003</v>
      </c>
      <c r="P2440" s="13">
        <v>1.42001633532601</v>
      </c>
    </row>
    <row r="2441" spans="11:16" x14ac:dyDescent="0.3">
      <c r="K2441" s="14" t="s">
        <v>170</v>
      </c>
      <c r="L2441">
        <v>195.31</v>
      </c>
      <c r="M2441">
        <v>105.6858</v>
      </c>
      <c r="N2441">
        <v>200</v>
      </c>
      <c r="O2441">
        <v>278.52</v>
      </c>
      <c r="P2441" s="13">
        <v>1.2673983914979201</v>
      </c>
    </row>
    <row r="2442" spans="11:16" x14ac:dyDescent="0.3">
      <c r="K2442" s="14" t="s">
        <v>176</v>
      </c>
      <c r="L2442">
        <v>203.13</v>
      </c>
      <c r="M2442">
        <v>192.45230000000001</v>
      </c>
      <c r="N2442">
        <v>60.1</v>
      </c>
      <c r="O2442">
        <v>284.45999999999998</v>
      </c>
      <c r="P2442" s="13">
        <v>1.4455751247978601</v>
      </c>
    </row>
    <row r="2443" spans="11:16" x14ac:dyDescent="0.3">
      <c r="K2443" s="14" t="s">
        <v>188</v>
      </c>
      <c r="L2443">
        <v>203.99</v>
      </c>
      <c r="M2443">
        <v>144.7483</v>
      </c>
      <c r="N2443" s="15"/>
      <c r="O2443">
        <v>278.77999999999997</v>
      </c>
      <c r="P2443" s="13">
        <v>1.2509444723437799</v>
      </c>
    </row>
    <row r="2444" spans="11:16" x14ac:dyDescent="0.3">
      <c r="K2444" s="14" t="s">
        <v>188</v>
      </c>
      <c r="L2444">
        <v>203.13</v>
      </c>
      <c r="M2444">
        <v>170.46440000000001</v>
      </c>
      <c r="N2444" s="15"/>
      <c r="O2444">
        <v>288.02999999999997</v>
      </c>
      <c r="P2444" s="13">
        <v>1.29706766656251</v>
      </c>
    </row>
    <row r="2445" spans="11:16" x14ac:dyDescent="0.3">
      <c r="K2445" s="14" t="s">
        <v>188</v>
      </c>
      <c r="L2445">
        <v>203.99</v>
      </c>
      <c r="M2445">
        <v>144.7483</v>
      </c>
      <c r="N2445">
        <v>222</v>
      </c>
      <c r="O2445">
        <v>280.52999999999997</v>
      </c>
      <c r="P2445" s="13">
        <v>1.4488942359106001</v>
      </c>
    </row>
    <row r="2446" spans="11:16" x14ac:dyDescent="0.3">
      <c r="K2446" s="14" t="s">
        <v>188</v>
      </c>
      <c r="L2446">
        <v>203.13</v>
      </c>
      <c r="M2446">
        <v>132.55789999999999</v>
      </c>
      <c r="N2446">
        <v>250.01</v>
      </c>
      <c r="O2446">
        <v>270.77999999999997</v>
      </c>
      <c r="P2446" s="13">
        <v>1.4797640150675799</v>
      </c>
    </row>
    <row r="2447" spans="11:16" x14ac:dyDescent="0.3">
      <c r="K2447" s="14" t="s">
        <v>188</v>
      </c>
      <c r="L2447">
        <v>203.99</v>
      </c>
      <c r="M2447">
        <v>244.2491</v>
      </c>
      <c r="N2447" s="15"/>
      <c r="O2447">
        <v>288.33999999999997</v>
      </c>
      <c r="P2447" s="13">
        <v>1.5545505306235701</v>
      </c>
    </row>
    <row r="2448" spans="11:16" x14ac:dyDescent="0.3">
      <c r="K2448" s="14" t="s">
        <v>184</v>
      </c>
      <c r="L2448">
        <v>300.77999999999997</v>
      </c>
      <c r="M2448">
        <v>128.28989999999999</v>
      </c>
      <c r="N2448">
        <v>250.1</v>
      </c>
      <c r="O2448">
        <v>277.91000000000003</v>
      </c>
      <c r="P2448" s="13">
        <v>1.7778989600949899</v>
      </c>
    </row>
    <row r="2449" spans="11:16" x14ac:dyDescent="0.3">
      <c r="K2449" s="14" t="s">
        <v>186</v>
      </c>
      <c r="L2449">
        <v>300.35000000000002</v>
      </c>
      <c r="M2449">
        <v>141.2037</v>
      </c>
      <c r="N2449">
        <v>150.1</v>
      </c>
      <c r="O2449">
        <v>282.83999999999997</v>
      </c>
      <c r="P2449" s="13">
        <v>1.6991221185122301</v>
      </c>
    </row>
    <row r="2450" spans="11:16" x14ac:dyDescent="0.3">
      <c r="K2450" s="14" t="s">
        <v>186</v>
      </c>
      <c r="L2450">
        <v>308.58999999999997</v>
      </c>
      <c r="M2450">
        <v>169.14060000000001</v>
      </c>
      <c r="N2450">
        <v>90.1</v>
      </c>
      <c r="O2450">
        <v>271.32</v>
      </c>
      <c r="P2450" s="13">
        <v>1.8471052631578899</v>
      </c>
    </row>
    <row r="2451" spans="11:16" x14ac:dyDescent="0.3">
      <c r="K2451" s="14" t="s">
        <v>186</v>
      </c>
      <c r="L2451">
        <v>308.58999999999997</v>
      </c>
      <c r="M2451">
        <v>322.2251</v>
      </c>
      <c r="N2451" s="15"/>
      <c r="O2451">
        <v>282.29000000000002</v>
      </c>
      <c r="P2451" s="13">
        <v>2.2346349498742399</v>
      </c>
    </row>
    <row r="2452" spans="11:16" x14ac:dyDescent="0.3">
      <c r="K2452" s="14" t="s">
        <v>520</v>
      </c>
      <c r="M2452">
        <v>253.90629999999999</v>
      </c>
      <c r="N2452">
        <v>574.80999999999995</v>
      </c>
      <c r="O2452">
        <v>287.94</v>
      </c>
      <c r="P2452" s="13">
        <v>1.4008366326318</v>
      </c>
    </row>
    <row r="2453" spans="11:16" x14ac:dyDescent="0.3">
      <c r="K2453" s="14" t="s">
        <v>520</v>
      </c>
      <c r="L2453">
        <v>307.73</v>
      </c>
      <c r="M2453">
        <v>290.7987</v>
      </c>
      <c r="N2453" s="15"/>
      <c r="O2453">
        <v>277.08</v>
      </c>
      <c r="P2453" s="13">
        <v>2.16012956546846</v>
      </c>
    </row>
    <row r="2454" spans="11:16" x14ac:dyDescent="0.3">
      <c r="K2454" s="14" t="s">
        <v>319</v>
      </c>
      <c r="L2454">
        <v>308.16000000000003</v>
      </c>
      <c r="M2454">
        <v>206.59719999999999</v>
      </c>
      <c r="N2454">
        <v>333.1</v>
      </c>
      <c r="O2454">
        <v>287.76</v>
      </c>
      <c r="P2454" s="13">
        <v>2.0898081734779002</v>
      </c>
    </row>
    <row r="2455" spans="11:16" x14ac:dyDescent="0.3">
      <c r="K2455" s="14" t="s">
        <v>319</v>
      </c>
      <c r="L2455">
        <v>308.16000000000003</v>
      </c>
      <c r="M2455">
        <v>191.94880000000001</v>
      </c>
      <c r="N2455">
        <v>370.1</v>
      </c>
      <c r="O2455">
        <v>283.14</v>
      </c>
      <c r="P2455" s="13">
        <v>2.1061481952391001</v>
      </c>
    </row>
    <row r="2456" spans="11:16" x14ac:dyDescent="0.3">
      <c r="K2456" s="14" t="s">
        <v>319</v>
      </c>
      <c r="L2456">
        <v>308.16000000000003</v>
      </c>
      <c r="M2456">
        <v>185.9982</v>
      </c>
      <c r="N2456">
        <v>355.11</v>
      </c>
      <c r="O2456">
        <v>276.23</v>
      </c>
      <c r="P2456" s="13">
        <v>2.1231828548673199</v>
      </c>
    </row>
    <row r="2457" spans="11:16" x14ac:dyDescent="0.3">
      <c r="K2457" s="14" t="s">
        <v>319</v>
      </c>
      <c r="L2457">
        <v>308.16000000000003</v>
      </c>
      <c r="M2457">
        <v>193.14230000000001</v>
      </c>
      <c r="N2457">
        <v>430.01</v>
      </c>
      <c r="O2457">
        <v>287.45999999999998</v>
      </c>
      <c r="P2457" s="13">
        <v>2.1328355249426001</v>
      </c>
    </row>
    <row r="2458" spans="11:16" x14ac:dyDescent="0.3">
      <c r="K2458" s="14" t="s">
        <v>319</v>
      </c>
      <c r="L2458">
        <v>308.16000000000003</v>
      </c>
      <c r="M2458">
        <v>162.32640000000001</v>
      </c>
      <c r="N2458">
        <v>610.02</v>
      </c>
      <c r="O2458">
        <v>292.37</v>
      </c>
      <c r="P2458" s="13">
        <v>2.1516968225194102</v>
      </c>
    </row>
    <row r="2459" spans="11:16" x14ac:dyDescent="0.3">
      <c r="K2459" s="14" t="s">
        <v>319</v>
      </c>
      <c r="L2459">
        <v>308.16000000000003</v>
      </c>
      <c r="M2459">
        <v>195.63800000000001</v>
      </c>
      <c r="N2459">
        <v>432.01</v>
      </c>
      <c r="O2459">
        <v>284</v>
      </c>
      <c r="P2459" s="13">
        <v>2.16943873239437</v>
      </c>
    </row>
    <row r="2460" spans="11:16" x14ac:dyDescent="0.3">
      <c r="K2460" s="14" t="s">
        <v>319</v>
      </c>
      <c r="L2460">
        <v>308.16000000000003</v>
      </c>
      <c r="M2460">
        <v>177.95140000000001</v>
      </c>
      <c r="N2460">
        <v>560.11</v>
      </c>
      <c r="O2460">
        <v>283.45999999999998</v>
      </c>
      <c r="P2460" s="13">
        <v>2.2286742397516401</v>
      </c>
    </row>
    <row r="2461" spans="11:16" x14ac:dyDescent="0.3">
      <c r="K2461" s="14" t="s">
        <v>246</v>
      </c>
      <c r="L2461">
        <v>202.26</v>
      </c>
      <c r="M2461">
        <v>80.729200000000006</v>
      </c>
      <c r="N2461">
        <v>479.21</v>
      </c>
      <c r="O2461">
        <v>289.48</v>
      </c>
      <c r="P2461" s="13">
        <v>1.40798604394086</v>
      </c>
    </row>
    <row r="2462" spans="11:16" x14ac:dyDescent="0.3">
      <c r="K2462" s="14" t="s">
        <v>248</v>
      </c>
      <c r="L2462">
        <v>202.69</v>
      </c>
      <c r="M2462">
        <v>74.869799999999998</v>
      </c>
      <c r="N2462">
        <v>360.01</v>
      </c>
      <c r="O2462">
        <v>279.68</v>
      </c>
      <c r="P2462" s="13">
        <v>1.3270966819222001</v>
      </c>
    </row>
    <row r="2463" spans="11:16" x14ac:dyDescent="0.3">
      <c r="K2463" s="14" t="s">
        <v>248</v>
      </c>
      <c r="L2463">
        <v>202.69</v>
      </c>
      <c r="M2463">
        <v>109.375</v>
      </c>
      <c r="N2463">
        <v>360.11</v>
      </c>
      <c r="O2463">
        <v>275.95</v>
      </c>
      <c r="P2463" s="13">
        <v>1.4701706830947601</v>
      </c>
    </row>
    <row r="2464" spans="11:16" x14ac:dyDescent="0.3">
      <c r="K2464" s="14" t="s">
        <v>248</v>
      </c>
      <c r="L2464">
        <v>203.13</v>
      </c>
      <c r="M2464">
        <v>118.0556</v>
      </c>
      <c r="N2464">
        <v>480.21</v>
      </c>
      <c r="O2464">
        <v>286.04000000000002</v>
      </c>
      <c r="P2464" s="13">
        <v>1.5593630261501901</v>
      </c>
    </row>
    <row r="2465" spans="11:16" x14ac:dyDescent="0.3">
      <c r="K2465" s="14" t="s">
        <v>237</v>
      </c>
      <c r="L2465">
        <v>195.31</v>
      </c>
      <c r="M2465">
        <v>91.579899999999995</v>
      </c>
      <c r="N2465">
        <v>255.01</v>
      </c>
      <c r="O2465">
        <v>293.83999999999997</v>
      </c>
      <c r="P2465" s="13">
        <v>1.2019891777838301</v>
      </c>
    </row>
    <row r="2466" spans="11:16" x14ac:dyDescent="0.3">
      <c r="K2466" s="14" t="s">
        <v>237</v>
      </c>
      <c r="L2466">
        <v>203.13</v>
      </c>
      <c r="M2466">
        <v>92.158600000000007</v>
      </c>
      <c r="N2466">
        <v>200</v>
      </c>
      <c r="O2466">
        <v>286.01</v>
      </c>
      <c r="P2466" s="13">
        <v>1.2142533477850399</v>
      </c>
    </row>
    <row r="2467" spans="11:16" x14ac:dyDescent="0.3">
      <c r="K2467" s="14" t="s">
        <v>237</v>
      </c>
      <c r="L2467">
        <v>202.69</v>
      </c>
      <c r="M2467">
        <v>78.7761</v>
      </c>
      <c r="N2467">
        <v>230</v>
      </c>
      <c r="O2467">
        <v>278.54000000000002</v>
      </c>
      <c r="P2467" s="13">
        <v>1.22519602211532</v>
      </c>
    </row>
    <row r="2468" spans="11:16" x14ac:dyDescent="0.3">
      <c r="K2468" s="14" t="s">
        <v>237</v>
      </c>
      <c r="L2468">
        <v>210.07</v>
      </c>
      <c r="M2468">
        <v>73.784700000000001</v>
      </c>
      <c r="N2468">
        <v>250.01</v>
      </c>
      <c r="O2468">
        <v>282.55</v>
      </c>
      <c r="P2468" s="13">
        <v>1.2346745708724101</v>
      </c>
    </row>
    <row r="2469" spans="11:16" x14ac:dyDescent="0.3">
      <c r="K2469" s="14" t="s">
        <v>237</v>
      </c>
      <c r="L2469">
        <v>203.13</v>
      </c>
      <c r="M2469">
        <v>74.761300000000006</v>
      </c>
      <c r="N2469">
        <v>270.01</v>
      </c>
      <c r="O2469">
        <v>278.5</v>
      </c>
      <c r="P2469" s="13">
        <v>1.2498883303411099</v>
      </c>
    </row>
    <row r="2470" spans="11:16" x14ac:dyDescent="0.3">
      <c r="K2470" s="14" t="s">
        <v>237</v>
      </c>
      <c r="L2470">
        <v>202.69</v>
      </c>
      <c r="M2470">
        <v>109.2303</v>
      </c>
      <c r="N2470">
        <v>150.1</v>
      </c>
      <c r="O2470">
        <v>278.23</v>
      </c>
      <c r="P2470" s="13">
        <v>1.26135319699529</v>
      </c>
    </row>
    <row r="2471" spans="11:16" x14ac:dyDescent="0.3">
      <c r="K2471" s="14" t="s">
        <v>237</v>
      </c>
      <c r="L2471">
        <v>202.69</v>
      </c>
      <c r="M2471">
        <v>113.7876</v>
      </c>
      <c r="N2471">
        <v>200</v>
      </c>
      <c r="O2471">
        <v>284.02</v>
      </c>
      <c r="P2471" s="13">
        <v>1.2973649742975799</v>
      </c>
    </row>
    <row r="2472" spans="11:16" x14ac:dyDescent="0.3">
      <c r="K2472" s="14" t="s">
        <v>237</v>
      </c>
      <c r="L2472">
        <v>202.69</v>
      </c>
      <c r="M2472">
        <v>74.869799999999998</v>
      </c>
      <c r="N2472">
        <v>340.01</v>
      </c>
      <c r="O2472">
        <v>281.69</v>
      </c>
      <c r="P2472" s="13">
        <v>1.29916716958358</v>
      </c>
    </row>
    <row r="2473" spans="11:16" x14ac:dyDescent="0.3">
      <c r="K2473" s="14" t="s">
        <v>237</v>
      </c>
      <c r="L2473">
        <v>202.69</v>
      </c>
      <c r="M2473">
        <v>104.6007</v>
      </c>
      <c r="N2473">
        <v>179.3</v>
      </c>
      <c r="O2473">
        <v>271.01</v>
      </c>
      <c r="P2473" s="13">
        <v>1.3058879746134799</v>
      </c>
    </row>
    <row r="2474" spans="11:16" x14ac:dyDescent="0.3">
      <c r="K2474" s="14" t="s">
        <v>237</v>
      </c>
      <c r="L2474">
        <v>203.13</v>
      </c>
      <c r="M2474">
        <v>109.158</v>
      </c>
      <c r="N2474">
        <v>230</v>
      </c>
      <c r="O2474">
        <v>284.83999999999997</v>
      </c>
      <c r="P2474" s="13">
        <v>1.30630529420025</v>
      </c>
    </row>
    <row r="2475" spans="11:16" x14ac:dyDescent="0.3">
      <c r="K2475" s="14" t="s">
        <v>237</v>
      </c>
      <c r="L2475">
        <v>203.56</v>
      </c>
      <c r="M2475">
        <v>111.83450000000001</v>
      </c>
      <c r="N2475">
        <v>250.01</v>
      </c>
      <c r="O2475">
        <v>279.12</v>
      </c>
      <c r="P2475" s="13">
        <v>1.36284429635999</v>
      </c>
    </row>
    <row r="2476" spans="11:16" x14ac:dyDescent="0.3">
      <c r="K2476" s="14" t="s">
        <v>237</v>
      </c>
      <c r="L2476">
        <v>202.69</v>
      </c>
      <c r="M2476">
        <v>126.80840000000001</v>
      </c>
      <c r="N2476">
        <v>150.1</v>
      </c>
      <c r="O2476">
        <v>265.54000000000002</v>
      </c>
      <c r="P2476" s="13">
        <v>1.3878300820968601</v>
      </c>
    </row>
    <row r="2477" spans="11:16" x14ac:dyDescent="0.3">
      <c r="K2477" s="14" t="s">
        <v>237</v>
      </c>
      <c r="L2477">
        <v>202.69</v>
      </c>
      <c r="M2477">
        <v>103.29859999999999</v>
      </c>
      <c r="N2477">
        <v>300.01</v>
      </c>
      <c r="O2477">
        <v>270.17</v>
      </c>
      <c r="P2477" s="13">
        <v>1.42129474034867</v>
      </c>
    </row>
    <row r="2478" spans="11:16" x14ac:dyDescent="0.3">
      <c r="K2478" s="14" t="s">
        <v>237</v>
      </c>
      <c r="L2478">
        <v>203.13</v>
      </c>
      <c r="M2478">
        <v>107.9282</v>
      </c>
      <c r="N2478">
        <v>300.01</v>
      </c>
      <c r="O2478">
        <v>271.57</v>
      </c>
      <c r="P2478" s="13">
        <v>1.4326354162830901</v>
      </c>
    </row>
    <row r="2479" spans="11:16" x14ac:dyDescent="0.3">
      <c r="K2479" s="14" t="s">
        <v>237</v>
      </c>
      <c r="L2479">
        <v>203.13</v>
      </c>
      <c r="M2479">
        <v>101.23699999999999</v>
      </c>
      <c r="N2479">
        <v>622.02</v>
      </c>
      <c r="O2479">
        <v>298.08999999999997</v>
      </c>
      <c r="P2479" s="13">
        <v>1.56359555838841</v>
      </c>
    </row>
    <row r="2480" spans="11:16" x14ac:dyDescent="0.3">
      <c r="K2480" s="14" t="s">
        <v>240</v>
      </c>
      <c r="L2480">
        <v>203.13</v>
      </c>
      <c r="M2480">
        <v>101.3455</v>
      </c>
      <c r="N2480">
        <v>590.12</v>
      </c>
      <c r="O2480">
        <v>280.52</v>
      </c>
      <c r="P2480" s="13">
        <v>1.6323495650933999</v>
      </c>
    </row>
    <row r="2481" spans="11:16" x14ac:dyDescent="0.3">
      <c r="K2481" s="14" t="s">
        <v>254</v>
      </c>
      <c r="L2481">
        <v>194.88</v>
      </c>
      <c r="M2481">
        <v>82.682299999999998</v>
      </c>
      <c r="N2481">
        <v>200</v>
      </c>
      <c r="O2481">
        <v>255.48</v>
      </c>
      <c r="P2481" s="13">
        <v>1.28997299201503</v>
      </c>
    </row>
    <row r="2482" spans="11:16" x14ac:dyDescent="0.3">
      <c r="K2482" s="14" t="s">
        <v>254</v>
      </c>
      <c r="L2482">
        <v>210.5</v>
      </c>
      <c r="M2482">
        <v>94.4011</v>
      </c>
      <c r="N2482">
        <v>200</v>
      </c>
      <c r="O2482">
        <v>267.32</v>
      </c>
      <c r="P2482" s="13">
        <v>1.33510811013018</v>
      </c>
    </row>
    <row r="2483" spans="11:16" x14ac:dyDescent="0.3">
      <c r="K2483" s="14" t="s">
        <v>254</v>
      </c>
      <c r="L2483">
        <v>210.94</v>
      </c>
      <c r="M2483">
        <v>110.3516</v>
      </c>
      <c r="N2483">
        <v>255.01</v>
      </c>
      <c r="O2483">
        <v>279.39999999999998</v>
      </c>
      <c r="P2483" s="13">
        <v>1.38723765211167</v>
      </c>
    </row>
    <row r="2484" spans="11:16" x14ac:dyDescent="0.3">
      <c r="K2484" s="14" t="s">
        <v>254</v>
      </c>
      <c r="L2484">
        <v>210.5</v>
      </c>
      <c r="M2484">
        <v>159.28819999999999</v>
      </c>
      <c r="N2484">
        <v>155</v>
      </c>
      <c r="O2484">
        <v>281.39</v>
      </c>
      <c r="P2484" s="13">
        <v>1.4573659334020399</v>
      </c>
    </row>
    <row r="2485" spans="11:16" x14ac:dyDescent="0.3">
      <c r="K2485" s="14" t="s">
        <v>283</v>
      </c>
      <c r="L2485">
        <v>150.61000000000001</v>
      </c>
      <c r="M2485">
        <v>82.790800000000004</v>
      </c>
      <c r="N2485">
        <v>380.01</v>
      </c>
      <c r="O2485">
        <v>285.17</v>
      </c>
      <c r="P2485" s="13">
        <v>1.16493109373356</v>
      </c>
    </row>
    <row r="2486" spans="11:16" x14ac:dyDescent="0.3">
      <c r="K2486" s="14" t="s">
        <v>283</v>
      </c>
      <c r="L2486">
        <v>203.13</v>
      </c>
      <c r="M2486">
        <v>62.066000000000003</v>
      </c>
      <c r="N2486">
        <v>340.01</v>
      </c>
      <c r="O2486">
        <v>294.39</v>
      </c>
      <c r="P2486" s="13">
        <v>1.20112300010191</v>
      </c>
    </row>
    <row r="2487" spans="11:16" x14ac:dyDescent="0.3">
      <c r="K2487" s="14" t="s">
        <v>283</v>
      </c>
      <c r="L2487">
        <v>150.61000000000001</v>
      </c>
      <c r="M2487">
        <v>103.4071</v>
      </c>
      <c r="N2487">
        <v>350.01</v>
      </c>
      <c r="O2487">
        <v>284.57</v>
      </c>
      <c r="P2487" s="13">
        <v>1.21242471096742</v>
      </c>
    </row>
    <row r="2488" spans="11:16" x14ac:dyDescent="0.3">
      <c r="K2488" s="14" t="s">
        <v>283</v>
      </c>
      <c r="L2488">
        <v>150.61000000000001</v>
      </c>
      <c r="M2488">
        <v>104.4922</v>
      </c>
      <c r="N2488">
        <v>350.01</v>
      </c>
      <c r="O2488">
        <v>284.58</v>
      </c>
      <c r="P2488" s="13">
        <v>1.21619509452527</v>
      </c>
    </row>
    <row r="2489" spans="11:16" x14ac:dyDescent="0.3">
      <c r="K2489" s="14" t="s">
        <v>283</v>
      </c>
      <c r="L2489">
        <v>150.61000000000001</v>
      </c>
      <c r="M2489">
        <v>81.8142</v>
      </c>
      <c r="N2489">
        <v>460.02</v>
      </c>
      <c r="O2489">
        <v>288.61</v>
      </c>
      <c r="P2489" s="13">
        <v>1.21974082672118</v>
      </c>
    </row>
    <row r="2490" spans="11:16" x14ac:dyDescent="0.3">
      <c r="K2490" s="14" t="s">
        <v>283</v>
      </c>
      <c r="L2490">
        <v>203.13</v>
      </c>
      <c r="M2490">
        <v>72.808199999999999</v>
      </c>
      <c r="N2490">
        <v>300.01</v>
      </c>
      <c r="O2490">
        <v>287.19</v>
      </c>
      <c r="P2490" s="13">
        <v>1.23242731292872</v>
      </c>
    </row>
    <row r="2491" spans="11:16" x14ac:dyDescent="0.3">
      <c r="K2491" s="14" t="s">
        <v>283</v>
      </c>
      <c r="L2491">
        <v>150.61000000000001</v>
      </c>
      <c r="M2491">
        <v>103.6589</v>
      </c>
      <c r="N2491">
        <v>388.01</v>
      </c>
      <c r="O2491">
        <v>286.60000000000002</v>
      </c>
      <c r="P2491" s="13">
        <v>1.2391887648290301</v>
      </c>
    </row>
    <row r="2492" spans="11:16" x14ac:dyDescent="0.3">
      <c r="K2492" s="14" t="s">
        <v>283</v>
      </c>
      <c r="L2492">
        <v>203.13</v>
      </c>
      <c r="M2492">
        <v>60.872399999999999</v>
      </c>
      <c r="N2492">
        <v>320.01</v>
      </c>
      <c r="O2492">
        <v>279.13</v>
      </c>
      <c r="P2492" s="13">
        <v>1.24388277863361</v>
      </c>
    </row>
    <row r="2493" spans="11:16" x14ac:dyDescent="0.3">
      <c r="K2493" s="14" t="s">
        <v>283</v>
      </c>
      <c r="L2493">
        <v>150.61000000000001</v>
      </c>
      <c r="M2493">
        <v>131.83600000000001</v>
      </c>
      <c r="N2493">
        <v>330.1</v>
      </c>
      <c r="O2493">
        <v>293.51</v>
      </c>
      <c r="P2493" s="13">
        <v>1.2547170454158301</v>
      </c>
    </row>
    <row r="2494" spans="11:16" x14ac:dyDescent="0.3">
      <c r="K2494" s="14" t="s">
        <v>283</v>
      </c>
      <c r="L2494">
        <v>202.69</v>
      </c>
      <c r="M2494">
        <v>88.324700000000007</v>
      </c>
      <c r="N2494">
        <v>340.01</v>
      </c>
      <c r="O2494">
        <v>300.14</v>
      </c>
      <c r="P2494" s="13">
        <v>1.2641344039448299</v>
      </c>
    </row>
    <row r="2495" spans="11:16" x14ac:dyDescent="0.3">
      <c r="K2495" s="14" t="s">
        <v>283</v>
      </c>
      <c r="L2495">
        <v>150.61000000000001</v>
      </c>
      <c r="M2495">
        <v>102.4306</v>
      </c>
      <c r="N2495">
        <v>440.02</v>
      </c>
      <c r="O2495">
        <v>286.89999999999998</v>
      </c>
      <c r="P2495" s="13">
        <v>1.28074520738933</v>
      </c>
    </row>
    <row r="2496" spans="11:16" x14ac:dyDescent="0.3">
      <c r="K2496" s="14" t="s">
        <v>283</v>
      </c>
      <c r="L2496">
        <v>195.75</v>
      </c>
      <c r="M2496">
        <v>125.2893</v>
      </c>
      <c r="N2496">
        <v>200</v>
      </c>
      <c r="O2496">
        <v>285.60000000000002</v>
      </c>
      <c r="P2496" s="13">
        <v>1.3061600140056</v>
      </c>
    </row>
    <row r="2497" spans="11:16" x14ac:dyDescent="0.3">
      <c r="K2497" s="14" t="s">
        <v>283</v>
      </c>
      <c r="L2497">
        <v>203.13</v>
      </c>
      <c r="M2497">
        <v>88.867199999999997</v>
      </c>
      <c r="N2497">
        <v>360.01</v>
      </c>
      <c r="O2497">
        <v>282.27999999999997</v>
      </c>
      <c r="P2497" s="13">
        <v>1.36601884653536</v>
      </c>
    </row>
    <row r="2498" spans="11:16" x14ac:dyDescent="0.3">
      <c r="K2498" s="14" t="s">
        <v>283</v>
      </c>
      <c r="L2498">
        <v>195.75</v>
      </c>
      <c r="M2498">
        <v>141.99940000000001</v>
      </c>
      <c r="N2498">
        <v>220.2</v>
      </c>
      <c r="O2498">
        <v>285.37</v>
      </c>
      <c r="P2498" s="13">
        <v>1.3841728282580501</v>
      </c>
    </row>
    <row r="2499" spans="11:16" x14ac:dyDescent="0.3">
      <c r="K2499" s="14" t="s">
        <v>283</v>
      </c>
      <c r="L2499">
        <v>195.75</v>
      </c>
      <c r="M2499">
        <v>137.29750000000001</v>
      </c>
      <c r="N2499">
        <v>190.3</v>
      </c>
      <c r="O2499">
        <v>272.98</v>
      </c>
      <c r="P2499" s="13">
        <v>1.40129496666422</v>
      </c>
    </row>
    <row r="2500" spans="11:16" x14ac:dyDescent="0.3">
      <c r="K2500" s="14" t="s">
        <v>283</v>
      </c>
      <c r="L2500">
        <v>203.13</v>
      </c>
      <c r="M2500">
        <v>143.22919999999999</v>
      </c>
      <c r="N2500">
        <v>220</v>
      </c>
      <c r="O2500">
        <v>282.45999999999998</v>
      </c>
      <c r="P2500" s="13">
        <v>1.4287304397082801</v>
      </c>
    </row>
    <row r="2501" spans="11:16" x14ac:dyDescent="0.3">
      <c r="K2501" s="14" t="s">
        <v>271</v>
      </c>
      <c r="L2501">
        <v>195.75</v>
      </c>
      <c r="M2501">
        <v>80.439800000000005</v>
      </c>
      <c r="N2501">
        <v>100.1</v>
      </c>
      <c r="O2501">
        <v>273.64</v>
      </c>
      <c r="P2501" s="13">
        <v>1.10442844613361</v>
      </c>
    </row>
    <row r="2502" spans="11:16" x14ac:dyDescent="0.3">
      <c r="K2502" s="14" t="s">
        <v>271</v>
      </c>
      <c r="L2502">
        <v>202.69</v>
      </c>
      <c r="M2502">
        <v>85.214100000000002</v>
      </c>
      <c r="N2502">
        <v>120.1</v>
      </c>
      <c r="O2502">
        <v>287.49</v>
      </c>
      <c r="P2502" s="13">
        <v>1.11005634978608</v>
      </c>
    </row>
    <row r="2503" spans="11:16" x14ac:dyDescent="0.3">
      <c r="K2503" s="14" t="s">
        <v>271</v>
      </c>
      <c r="L2503">
        <v>203.13</v>
      </c>
      <c r="M2503">
        <v>82.682299999999998</v>
      </c>
      <c r="N2503">
        <v>130.1</v>
      </c>
      <c r="O2503">
        <v>276</v>
      </c>
      <c r="P2503" s="13">
        <v>1.1581097826086999</v>
      </c>
    </row>
    <row r="2504" spans="11:16" x14ac:dyDescent="0.3">
      <c r="K2504" s="14" t="s">
        <v>271</v>
      </c>
      <c r="L2504">
        <v>203.13</v>
      </c>
      <c r="M2504">
        <v>53.674799999999998</v>
      </c>
      <c r="N2504">
        <v>280.01</v>
      </c>
      <c r="O2504">
        <v>277.73</v>
      </c>
      <c r="P2504" s="13">
        <v>1.1867907680120999</v>
      </c>
    </row>
    <row r="2505" spans="11:16" x14ac:dyDescent="0.3">
      <c r="K2505" s="14" t="s">
        <v>271</v>
      </c>
      <c r="L2505">
        <v>210.5</v>
      </c>
      <c r="M2505">
        <v>106.2283</v>
      </c>
      <c r="N2505">
        <v>170</v>
      </c>
      <c r="O2505">
        <v>295.8</v>
      </c>
      <c r="P2505" s="13">
        <v>1.2201768086545</v>
      </c>
    </row>
    <row r="2506" spans="11:16" x14ac:dyDescent="0.3">
      <c r="K2506" s="14" t="s">
        <v>271</v>
      </c>
      <c r="L2506">
        <v>150.61000000000001</v>
      </c>
      <c r="M2506">
        <v>114.2578</v>
      </c>
      <c r="N2506">
        <v>350.01</v>
      </c>
      <c r="O2506">
        <v>288.32</v>
      </c>
      <c r="P2506" s="13">
        <v>1.23428967813541</v>
      </c>
    </row>
    <row r="2507" spans="11:16" x14ac:dyDescent="0.3">
      <c r="K2507" s="14" t="s">
        <v>271</v>
      </c>
      <c r="L2507">
        <v>203.13</v>
      </c>
      <c r="M2507">
        <v>110.5324</v>
      </c>
      <c r="N2507">
        <v>133.1</v>
      </c>
      <c r="O2507">
        <v>278.25</v>
      </c>
      <c r="P2507" s="13">
        <v>1.25163845462713</v>
      </c>
    </row>
    <row r="2508" spans="11:16" x14ac:dyDescent="0.3">
      <c r="K2508" s="14" t="s">
        <v>271</v>
      </c>
      <c r="L2508">
        <v>203.13</v>
      </c>
      <c r="M2508">
        <v>79.752600000000001</v>
      </c>
      <c r="N2508">
        <v>336.01</v>
      </c>
      <c r="O2508">
        <v>286.02</v>
      </c>
      <c r="P2508" s="13">
        <v>1.2944731137682699</v>
      </c>
    </row>
    <row r="2509" spans="11:16" x14ac:dyDescent="0.3">
      <c r="K2509" s="14" t="s">
        <v>271</v>
      </c>
      <c r="L2509">
        <v>210.07</v>
      </c>
      <c r="M2509">
        <v>105.2517</v>
      </c>
      <c r="N2509">
        <v>220</v>
      </c>
      <c r="O2509">
        <v>286.89</v>
      </c>
      <c r="P2509" s="13">
        <v>1.29848269371536</v>
      </c>
    </row>
    <row r="2510" spans="11:16" x14ac:dyDescent="0.3">
      <c r="K2510" s="14" t="s">
        <v>271</v>
      </c>
      <c r="L2510">
        <v>203.13</v>
      </c>
      <c r="M2510">
        <v>106.01130000000001</v>
      </c>
      <c r="N2510">
        <v>260.01</v>
      </c>
      <c r="O2510">
        <v>288.88</v>
      </c>
      <c r="P2510" s="13">
        <v>1.3041536278039301</v>
      </c>
    </row>
    <row r="2511" spans="11:16" x14ac:dyDescent="0.3">
      <c r="K2511" s="14" t="s">
        <v>271</v>
      </c>
      <c r="L2511">
        <v>202.69</v>
      </c>
      <c r="M2511">
        <v>125.8681</v>
      </c>
      <c r="N2511">
        <v>210</v>
      </c>
      <c r="O2511">
        <v>289.45999999999998</v>
      </c>
      <c r="P2511" s="13">
        <v>1.32369964761971</v>
      </c>
    </row>
    <row r="2512" spans="11:16" x14ac:dyDescent="0.3">
      <c r="K2512" s="14" t="s">
        <v>271</v>
      </c>
      <c r="L2512">
        <v>203.13</v>
      </c>
      <c r="M2512">
        <v>116.2109</v>
      </c>
      <c r="N2512">
        <v>280.01</v>
      </c>
      <c r="O2512">
        <v>296.08</v>
      </c>
      <c r="P2512" s="13">
        <v>1.32445116184815</v>
      </c>
    </row>
    <row r="2513" spans="11:16" x14ac:dyDescent="0.3">
      <c r="K2513" s="14" t="s">
        <v>271</v>
      </c>
      <c r="L2513">
        <v>210.5</v>
      </c>
      <c r="M2513">
        <v>114.511</v>
      </c>
      <c r="N2513">
        <v>166</v>
      </c>
      <c r="O2513">
        <v>273.31</v>
      </c>
      <c r="P2513" s="13">
        <v>1.3470820679814099</v>
      </c>
    </row>
    <row r="2514" spans="11:16" x14ac:dyDescent="0.3">
      <c r="K2514" s="14" t="s">
        <v>271</v>
      </c>
      <c r="L2514">
        <v>203.13</v>
      </c>
      <c r="M2514">
        <v>105.2517</v>
      </c>
      <c r="N2514">
        <v>320.01</v>
      </c>
      <c r="O2514">
        <v>289.47000000000003</v>
      </c>
      <c r="P2514" s="13">
        <v>1.3527629806197501</v>
      </c>
    </row>
    <row r="2515" spans="11:16" x14ac:dyDescent="0.3">
      <c r="K2515" s="14" t="s">
        <v>271</v>
      </c>
      <c r="L2515">
        <v>210.94</v>
      </c>
      <c r="M2515">
        <v>118.0556</v>
      </c>
      <c r="N2515">
        <v>240.01</v>
      </c>
      <c r="O2515">
        <v>288.62</v>
      </c>
      <c r="P2515" s="13">
        <v>1.3561021412237499</v>
      </c>
    </row>
    <row r="2516" spans="11:16" x14ac:dyDescent="0.3">
      <c r="K2516" s="14" t="s">
        <v>271</v>
      </c>
      <c r="L2516">
        <v>203.13</v>
      </c>
      <c r="M2516">
        <v>90.928799999999995</v>
      </c>
      <c r="N2516">
        <v>300.01</v>
      </c>
      <c r="O2516">
        <v>270.76</v>
      </c>
      <c r="P2516" s="13">
        <v>1.37413724331511</v>
      </c>
    </row>
    <row r="2517" spans="11:16" x14ac:dyDescent="0.3">
      <c r="K2517" s="14" t="s">
        <v>271</v>
      </c>
      <c r="L2517">
        <v>202.69</v>
      </c>
      <c r="M2517">
        <v>144.6036</v>
      </c>
      <c r="N2517">
        <v>170</v>
      </c>
      <c r="O2517">
        <v>280.32</v>
      </c>
      <c r="P2517" s="13">
        <v>1.3965953196347001</v>
      </c>
    </row>
    <row r="2518" spans="11:16" x14ac:dyDescent="0.3">
      <c r="K2518" s="14" t="s">
        <v>271</v>
      </c>
      <c r="L2518">
        <v>203.13</v>
      </c>
      <c r="M2518">
        <v>107.9644</v>
      </c>
      <c r="N2518">
        <v>340.01</v>
      </c>
      <c r="O2518">
        <v>285.13</v>
      </c>
      <c r="P2518" s="13">
        <v>1.40110475923263</v>
      </c>
    </row>
    <row r="2519" spans="11:16" x14ac:dyDescent="0.3">
      <c r="K2519" s="14" t="s">
        <v>271</v>
      </c>
      <c r="L2519">
        <v>203.13</v>
      </c>
      <c r="M2519">
        <v>156.46700000000001</v>
      </c>
      <c r="N2519">
        <v>222</v>
      </c>
      <c r="O2519">
        <v>282.26</v>
      </c>
      <c r="P2519" s="13">
        <v>1.47848437610714</v>
      </c>
    </row>
    <row r="2520" spans="11:16" x14ac:dyDescent="0.3">
      <c r="K2520" s="14" t="s">
        <v>271</v>
      </c>
      <c r="L2520">
        <v>202.69</v>
      </c>
      <c r="M2520">
        <v>229.70920000000001</v>
      </c>
      <c r="N2520">
        <v>50.1</v>
      </c>
      <c r="O2520">
        <v>270.77</v>
      </c>
      <c r="P2520" s="13">
        <v>1.64503157661484</v>
      </c>
    </row>
    <row r="2521" spans="11:16" x14ac:dyDescent="0.3">
      <c r="K2521" s="14" t="s">
        <v>271</v>
      </c>
      <c r="L2521">
        <v>203.13</v>
      </c>
      <c r="M2521">
        <v>227.57380000000001</v>
      </c>
      <c r="N2521">
        <v>150.1</v>
      </c>
      <c r="O2521">
        <v>273.93</v>
      </c>
      <c r="P2521" s="13">
        <v>1.7147804183550499</v>
      </c>
    </row>
    <row r="2522" spans="11:16" x14ac:dyDescent="0.3">
      <c r="K2522" s="14" t="s">
        <v>273</v>
      </c>
      <c r="L2522">
        <v>203.13</v>
      </c>
      <c r="M2522">
        <v>80.584500000000006</v>
      </c>
      <c r="N2522">
        <v>200</v>
      </c>
      <c r="O2522">
        <v>281.74</v>
      </c>
      <c r="P2522" s="13">
        <v>1.1915755661248</v>
      </c>
    </row>
    <row r="2523" spans="11:16" x14ac:dyDescent="0.3">
      <c r="K2523" s="14" t="s">
        <v>273</v>
      </c>
      <c r="L2523">
        <v>203.13</v>
      </c>
      <c r="M2523">
        <v>109.158</v>
      </c>
      <c r="N2523">
        <v>133.1</v>
      </c>
      <c r="O2523">
        <v>283.44</v>
      </c>
      <c r="P2523" s="13">
        <v>1.2238710132655899</v>
      </c>
    </row>
    <row r="2524" spans="11:16" x14ac:dyDescent="0.3">
      <c r="K2524" s="14" t="s">
        <v>273</v>
      </c>
      <c r="L2524">
        <v>203.56</v>
      </c>
      <c r="M2524">
        <v>127.60420000000001</v>
      </c>
      <c r="N2524">
        <v>244.01</v>
      </c>
      <c r="O2524">
        <v>281.67</v>
      </c>
      <c r="P2524" s="13">
        <v>1.40095430823304</v>
      </c>
    </row>
    <row r="2525" spans="11:16" x14ac:dyDescent="0.3">
      <c r="K2525" s="14" t="s">
        <v>273</v>
      </c>
      <c r="L2525">
        <v>203.13</v>
      </c>
      <c r="M2525">
        <v>136.82730000000001</v>
      </c>
      <c r="N2525">
        <v>240.01</v>
      </c>
      <c r="O2525">
        <v>282.83999999999997</v>
      </c>
      <c r="P2525" s="13">
        <v>1.42257071135624</v>
      </c>
    </row>
    <row r="2526" spans="11:16" x14ac:dyDescent="0.3">
      <c r="K2526" s="14" t="s">
        <v>273</v>
      </c>
      <c r="L2526">
        <v>210.94</v>
      </c>
      <c r="M2526">
        <v>87.673599999999993</v>
      </c>
      <c r="N2526">
        <v>350.1</v>
      </c>
      <c r="O2526">
        <v>271.61</v>
      </c>
      <c r="P2526" s="13">
        <v>1.43455542873974</v>
      </c>
    </row>
    <row r="2527" spans="11:16" x14ac:dyDescent="0.3">
      <c r="K2527" s="14" t="s">
        <v>273</v>
      </c>
      <c r="L2527">
        <v>202.69</v>
      </c>
      <c r="M2527">
        <v>158.27549999999999</v>
      </c>
      <c r="N2527">
        <v>200</v>
      </c>
      <c r="O2527">
        <v>278.27999999999997</v>
      </c>
      <c r="P2527" s="13">
        <v>1.4839927411240501</v>
      </c>
    </row>
    <row r="2528" spans="11:16" x14ac:dyDescent="0.3">
      <c r="K2528" s="14" t="s">
        <v>274</v>
      </c>
      <c r="L2528">
        <v>203.13</v>
      </c>
      <c r="M2528">
        <v>141.85470000000001</v>
      </c>
      <c r="N2528">
        <v>566.02</v>
      </c>
      <c r="O2528">
        <v>286</v>
      </c>
      <c r="P2528" s="13">
        <v>1.72080384615385</v>
      </c>
    </row>
    <row r="2529" spans="11:16" x14ac:dyDescent="0.3">
      <c r="K2529" s="14" t="s">
        <v>276</v>
      </c>
      <c r="L2529">
        <v>203.13</v>
      </c>
      <c r="M2529">
        <v>106.3368</v>
      </c>
      <c r="N2529">
        <v>300.01</v>
      </c>
      <c r="O2529">
        <v>276.51</v>
      </c>
      <c r="P2529" s="13">
        <v>1.4012853061372099</v>
      </c>
    </row>
    <row r="2530" spans="11:16" x14ac:dyDescent="0.3">
      <c r="K2530" s="14" t="s">
        <v>276</v>
      </c>
      <c r="L2530">
        <v>202.69</v>
      </c>
      <c r="M2530">
        <v>122.0703</v>
      </c>
      <c r="N2530">
        <v>320.01</v>
      </c>
      <c r="O2530">
        <v>271.08</v>
      </c>
      <c r="P2530" s="13">
        <v>1.5049538881511</v>
      </c>
    </row>
    <row r="2531" spans="11:16" x14ac:dyDescent="0.3">
      <c r="K2531" s="14" t="s">
        <v>276</v>
      </c>
      <c r="L2531">
        <v>202.69</v>
      </c>
      <c r="M2531">
        <v>177.95140000000001</v>
      </c>
      <c r="N2531">
        <v>277.10000000000002</v>
      </c>
      <c r="O2531">
        <v>262.45</v>
      </c>
      <c r="P2531" s="13">
        <v>1.72485197180415</v>
      </c>
    </row>
    <row r="2532" spans="11:16" x14ac:dyDescent="0.3">
      <c r="K2532" s="14" t="s">
        <v>307</v>
      </c>
      <c r="L2532">
        <v>308.16000000000003</v>
      </c>
      <c r="M2532">
        <v>135.61199999999999</v>
      </c>
      <c r="N2532">
        <v>250.1</v>
      </c>
      <c r="O2532">
        <v>276.52</v>
      </c>
      <c r="P2532" s="13">
        <v>1.8400043396499399</v>
      </c>
    </row>
    <row r="2533" spans="11:16" x14ac:dyDescent="0.3">
      <c r="K2533" s="14" t="s">
        <v>307</v>
      </c>
      <c r="L2533">
        <v>308.16000000000003</v>
      </c>
      <c r="M2533">
        <v>123.5706</v>
      </c>
      <c r="N2533">
        <v>300.3</v>
      </c>
      <c r="O2533">
        <v>271.01</v>
      </c>
      <c r="P2533" s="13">
        <v>1.88114313124977</v>
      </c>
    </row>
    <row r="2534" spans="11:16" x14ac:dyDescent="0.3">
      <c r="K2534" s="14" t="s">
        <v>307</v>
      </c>
      <c r="L2534">
        <v>300.77999999999997</v>
      </c>
      <c r="M2534">
        <v>109.9537</v>
      </c>
      <c r="N2534">
        <v>440.2</v>
      </c>
      <c r="O2534">
        <v>270.45999999999998</v>
      </c>
      <c r="P2534" s="13">
        <v>1.9418239296014199</v>
      </c>
    </row>
    <row r="2535" spans="11:16" x14ac:dyDescent="0.3">
      <c r="K2535" s="14" t="s">
        <v>307</v>
      </c>
      <c r="L2535">
        <v>308.58999999999997</v>
      </c>
      <c r="M2535">
        <v>208.20320000000001</v>
      </c>
      <c r="N2535">
        <v>238.2</v>
      </c>
      <c r="O2535">
        <v>276.22000000000003</v>
      </c>
      <c r="P2535" s="13">
        <v>2.0951603794077198</v>
      </c>
    </row>
    <row r="2536" spans="11:16" x14ac:dyDescent="0.3">
      <c r="K2536" s="14" t="s">
        <v>309</v>
      </c>
      <c r="L2536">
        <v>300.77999999999997</v>
      </c>
      <c r="M2536">
        <v>129.9537</v>
      </c>
      <c r="N2536">
        <v>400.11</v>
      </c>
      <c r="O2536">
        <v>269.61</v>
      </c>
      <c r="P2536" s="13">
        <v>1.9834661177256001</v>
      </c>
    </row>
    <row r="2537" spans="11:16" x14ac:dyDescent="0.3">
      <c r="K2537" s="14" t="s">
        <v>309</v>
      </c>
      <c r="L2537">
        <v>301.22000000000003</v>
      </c>
      <c r="M2537">
        <v>191.1893</v>
      </c>
      <c r="N2537">
        <v>500.11</v>
      </c>
      <c r="O2537">
        <v>280.25</v>
      </c>
      <c r="P2537" s="13">
        <v>2.2210094558429998</v>
      </c>
    </row>
    <row r="2538" spans="11:16" x14ac:dyDescent="0.3">
      <c r="K2538" s="14" t="s">
        <v>309</v>
      </c>
      <c r="L2538">
        <v>301.22000000000003</v>
      </c>
      <c r="M2538">
        <v>203.77610000000001</v>
      </c>
      <c r="N2538">
        <v>490.11</v>
      </c>
      <c r="O2538">
        <v>276.22000000000003</v>
      </c>
      <c r="P2538" s="13">
        <v>2.2895688219535102</v>
      </c>
    </row>
    <row r="2539" spans="11:16" x14ac:dyDescent="0.3">
      <c r="K2539" s="14" t="s">
        <v>309</v>
      </c>
      <c r="L2539">
        <v>308.16000000000003</v>
      </c>
      <c r="M2539">
        <v>229.88720000000001</v>
      </c>
      <c r="N2539">
        <v>600.12</v>
      </c>
      <c r="O2539">
        <v>282.56</v>
      </c>
      <c r="P2539" s="13">
        <v>2.4563929784824499</v>
      </c>
    </row>
    <row r="2540" spans="11:16" x14ac:dyDescent="0.3">
      <c r="K2540" s="14" t="s">
        <v>309</v>
      </c>
      <c r="L2540">
        <v>307.73</v>
      </c>
      <c r="M2540">
        <v>257.59120000000001</v>
      </c>
      <c r="N2540">
        <v>630.11</v>
      </c>
      <c r="O2540">
        <v>285.13</v>
      </c>
      <c r="P2540" s="13">
        <v>2.5572538841931798</v>
      </c>
    </row>
    <row r="2541" spans="11:16" x14ac:dyDescent="0.3">
      <c r="K2541" s="14" t="s">
        <v>234</v>
      </c>
      <c r="L2541">
        <v>203.13</v>
      </c>
      <c r="M2541">
        <v>94.835099999999997</v>
      </c>
      <c r="N2541">
        <v>166</v>
      </c>
      <c r="O2541">
        <v>287.75</v>
      </c>
      <c r="P2541" s="13">
        <v>1.18549122502172</v>
      </c>
    </row>
    <row r="2542" spans="11:16" x14ac:dyDescent="0.3">
      <c r="K2542" s="14" t="s">
        <v>234</v>
      </c>
      <c r="L2542">
        <v>210.5</v>
      </c>
      <c r="M2542">
        <v>144.7483</v>
      </c>
      <c r="N2542">
        <v>220</v>
      </c>
      <c r="O2542">
        <v>284.57</v>
      </c>
      <c r="P2542" s="13">
        <v>1.4493737920371099</v>
      </c>
    </row>
    <row r="2543" spans="11:16" x14ac:dyDescent="0.3">
      <c r="K2543" s="14" t="s">
        <v>234</v>
      </c>
      <c r="L2543">
        <v>300.77999999999997</v>
      </c>
      <c r="M2543">
        <v>88.324600000000004</v>
      </c>
      <c r="N2543">
        <v>200</v>
      </c>
      <c r="O2543">
        <v>296.92</v>
      </c>
      <c r="P2543" s="13">
        <v>1.48560083524182</v>
      </c>
    </row>
    <row r="2544" spans="11:16" x14ac:dyDescent="0.3">
      <c r="K2544" s="14" t="s">
        <v>234</v>
      </c>
      <c r="L2544">
        <v>300.77999999999997</v>
      </c>
      <c r="M2544">
        <v>90.928799999999995</v>
      </c>
      <c r="N2544">
        <v>150.1</v>
      </c>
      <c r="O2544">
        <v>288.85000000000002</v>
      </c>
      <c r="P2544" s="13">
        <v>1.4912058161675601</v>
      </c>
    </row>
    <row r="2545" spans="11:16" x14ac:dyDescent="0.3">
      <c r="K2545" s="14" t="s">
        <v>234</v>
      </c>
      <c r="L2545">
        <v>210.94</v>
      </c>
      <c r="M2545">
        <v>197.40889999999999</v>
      </c>
      <c r="N2545">
        <v>155</v>
      </c>
      <c r="O2545">
        <v>277.64999999999998</v>
      </c>
      <c r="P2545" s="13">
        <v>1.61587934449847</v>
      </c>
    </row>
    <row r="2546" spans="11:16" x14ac:dyDescent="0.3">
      <c r="K2546" s="14" t="s">
        <v>234</v>
      </c>
      <c r="L2546">
        <v>292.97000000000003</v>
      </c>
      <c r="M2546">
        <v>183.7182</v>
      </c>
      <c r="N2546">
        <v>99.1</v>
      </c>
      <c r="O2546">
        <v>294.33999999999997</v>
      </c>
      <c r="P2546" s="13">
        <v>1.70705374736699</v>
      </c>
    </row>
    <row r="2547" spans="11:16" x14ac:dyDescent="0.3">
      <c r="K2547" s="14" t="s">
        <v>234</v>
      </c>
      <c r="L2547">
        <v>203.13</v>
      </c>
      <c r="M2547">
        <v>250.32550000000001</v>
      </c>
      <c r="N2547" s="15"/>
      <c r="O2547">
        <v>264.97000000000003</v>
      </c>
      <c r="P2547" s="13">
        <v>1.71134656753595</v>
      </c>
    </row>
    <row r="2548" spans="11:16" x14ac:dyDescent="0.3">
      <c r="K2548" s="14" t="s">
        <v>234</v>
      </c>
      <c r="L2548">
        <v>300.77999999999997</v>
      </c>
      <c r="M2548">
        <v>165.923</v>
      </c>
      <c r="N2548">
        <v>222</v>
      </c>
      <c r="O2548">
        <v>283.07</v>
      </c>
      <c r="P2548" s="13">
        <v>1.8526265588017099</v>
      </c>
    </row>
    <row r="2549" spans="11:16" x14ac:dyDescent="0.3">
      <c r="K2549" s="14" t="s">
        <v>234</v>
      </c>
      <c r="L2549">
        <v>292.97000000000003</v>
      </c>
      <c r="M2549">
        <v>184.6412</v>
      </c>
      <c r="N2549">
        <v>150.1</v>
      </c>
      <c r="O2549">
        <v>275.62</v>
      </c>
      <c r="P2549" s="13">
        <v>1.8744546839852001</v>
      </c>
    </row>
    <row r="2550" spans="11:16" x14ac:dyDescent="0.3">
      <c r="K2550" s="14" t="s">
        <v>328</v>
      </c>
      <c r="L2550">
        <v>301.22000000000003</v>
      </c>
      <c r="M2550">
        <v>188.69220000000001</v>
      </c>
      <c r="N2550" s="15"/>
      <c r="O2550">
        <v>274.45999999999998</v>
      </c>
      <c r="P2550" s="13">
        <v>1.78500400787</v>
      </c>
    </row>
    <row r="2551" spans="11:16" x14ac:dyDescent="0.3">
      <c r="K2551" s="14" t="s">
        <v>74</v>
      </c>
      <c r="L2551">
        <v>210.5</v>
      </c>
      <c r="M2551">
        <v>44.270800000000001</v>
      </c>
      <c r="N2551">
        <v>140.1</v>
      </c>
      <c r="O2551">
        <v>298.68</v>
      </c>
      <c r="P2551" s="13">
        <v>0.97494576134994004</v>
      </c>
    </row>
    <row r="2552" spans="11:16" x14ac:dyDescent="0.3">
      <c r="K2552" s="14" t="s">
        <v>74</v>
      </c>
      <c r="L2552">
        <v>210.5</v>
      </c>
      <c r="M2552">
        <v>45.355899999999998</v>
      </c>
      <c r="N2552">
        <v>162.30000000000001</v>
      </c>
      <c r="O2552">
        <v>284.58999999999997</v>
      </c>
      <c r="P2552" s="13">
        <v>1.0473098141185599</v>
      </c>
    </row>
    <row r="2553" spans="11:16" x14ac:dyDescent="0.3">
      <c r="K2553" s="14" t="s">
        <v>74</v>
      </c>
      <c r="L2553">
        <v>203.56</v>
      </c>
      <c r="M2553">
        <v>63.042499999999997</v>
      </c>
      <c r="N2553">
        <v>130.1</v>
      </c>
      <c r="O2553">
        <v>286.57</v>
      </c>
      <c r="P2553" s="13">
        <v>1.04835991206337</v>
      </c>
    </row>
    <row r="2554" spans="11:16" x14ac:dyDescent="0.3">
      <c r="K2554" s="14" t="s">
        <v>74</v>
      </c>
      <c r="L2554">
        <v>210.07</v>
      </c>
      <c r="M2554">
        <v>71.723100000000002</v>
      </c>
      <c r="N2554">
        <v>100.1</v>
      </c>
      <c r="O2554">
        <v>285.14</v>
      </c>
      <c r="P2554" s="13">
        <v>1.0795367188048</v>
      </c>
    </row>
    <row r="2555" spans="11:16" x14ac:dyDescent="0.3">
      <c r="K2555" s="14" t="s">
        <v>74</v>
      </c>
      <c r="L2555">
        <v>202.69</v>
      </c>
      <c r="M2555">
        <v>86.48</v>
      </c>
      <c r="N2555">
        <v>60.1</v>
      </c>
      <c r="O2555">
        <v>279.06</v>
      </c>
      <c r="P2555" s="13">
        <v>1.0922238945029701</v>
      </c>
    </row>
    <row r="2556" spans="11:16" x14ac:dyDescent="0.3">
      <c r="K2556" s="14" t="s">
        <v>74</v>
      </c>
      <c r="L2556">
        <v>202.69</v>
      </c>
      <c r="M2556">
        <v>59.027799999999999</v>
      </c>
      <c r="N2556">
        <v>130.1</v>
      </c>
      <c r="O2556">
        <v>268.43</v>
      </c>
      <c r="P2556" s="13">
        <v>1.10100882911746</v>
      </c>
    </row>
    <row r="2557" spans="11:16" x14ac:dyDescent="0.3">
      <c r="K2557" s="14" t="s">
        <v>74</v>
      </c>
      <c r="L2557">
        <v>210.5</v>
      </c>
      <c r="M2557">
        <v>57.942700000000002</v>
      </c>
      <c r="N2557">
        <v>150.1</v>
      </c>
      <c r="O2557">
        <v>279.12</v>
      </c>
      <c r="P2557" s="13">
        <v>1.1015645600458599</v>
      </c>
    </row>
    <row r="2558" spans="11:16" x14ac:dyDescent="0.3">
      <c r="K2558" s="14" t="s">
        <v>74</v>
      </c>
      <c r="L2558">
        <v>210.5</v>
      </c>
      <c r="M2558">
        <v>71.940100000000001</v>
      </c>
      <c r="N2558">
        <v>140.1</v>
      </c>
      <c r="O2558">
        <v>288.60000000000002</v>
      </c>
      <c r="P2558" s="13">
        <v>1.1048721413721401</v>
      </c>
    </row>
    <row r="2559" spans="11:16" x14ac:dyDescent="0.3">
      <c r="K2559" s="14" t="s">
        <v>74</v>
      </c>
      <c r="L2559">
        <v>210.5</v>
      </c>
      <c r="M2559">
        <v>59.461799999999997</v>
      </c>
      <c r="N2559">
        <v>200</v>
      </c>
      <c r="O2559">
        <v>287.17</v>
      </c>
      <c r="P2559" s="13">
        <v>1.12115402026674</v>
      </c>
    </row>
    <row r="2560" spans="11:16" x14ac:dyDescent="0.3">
      <c r="K2560" s="14" t="s">
        <v>74</v>
      </c>
      <c r="L2560">
        <v>210.5</v>
      </c>
      <c r="M2560">
        <v>44.270800000000001</v>
      </c>
      <c r="N2560">
        <v>260.01</v>
      </c>
      <c r="O2560">
        <v>284.60000000000002</v>
      </c>
      <c r="P2560" s="13">
        <v>1.13272452565004</v>
      </c>
    </row>
    <row r="2561" spans="11:16" x14ac:dyDescent="0.3">
      <c r="K2561" s="14" t="s">
        <v>74</v>
      </c>
      <c r="L2561">
        <v>202.69</v>
      </c>
      <c r="M2561">
        <v>81.705699999999993</v>
      </c>
      <c r="N2561">
        <v>125.1</v>
      </c>
      <c r="O2561">
        <v>279.39</v>
      </c>
      <c r="P2561" s="13">
        <v>1.1343344428934501</v>
      </c>
    </row>
    <row r="2562" spans="11:16" x14ac:dyDescent="0.3">
      <c r="K2562" s="14" t="s">
        <v>74</v>
      </c>
      <c r="L2562">
        <v>210.5</v>
      </c>
      <c r="M2562">
        <v>75.846400000000003</v>
      </c>
      <c r="N2562">
        <v>165</v>
      </c>
      <c r="O2562">
        <v>287.2</v>
      </c>
      <c r="P2562" s="13">
        <v>1.1464011142061299</v>
      </c>
    </row>
    <row r="2563" spans="11:16" x14ac:dyDescent="0.3">
      <c r="K2563" s="14" t="s">
        <v>74</v>
      </c>
      <c r="L2563">
        <v>203.13</v>
      </c>
      <c r="M2563">
        <v>82.682299999999998</v>
      </c>
      <c r="N2563">
        <v>170</v>
      </c>
      <c r="O2563">
        <v>286.31</v>
      </c>
      <c r="P2563" s="13">
        <v>1.1526397960252901</v>
      </c>
    </row>
    <row r="2564" spans="11:16" x14ac:dyDescent="0.3">
      <c r="K2564" s="14" t="s">
        <v>74</v>
      </c>
      <c r="L2564">
        <v>202.69</v>
      </c>
      <c r="M2564">
        <v>85.611999999999995</v>
      </c>
      <c r="N2564">
        <v>150.1</v>
      </c>
      <c r="O2564">
        <v>280.83999999999997</v>
      </c>
      <c r="P2564" s="13">
        <v>1.1655319755020701</v>
      </c>
    </row>
    <row r="2565" spans="11:16" x14ac:dyDescent="0.3">
      <c r="K2565" s="14" t="s">
        <v>74</v>
      </c>
      <c r="L2565">
        <v>210.5</v>
      </c>
      <c r="M2565">
        <v>71.723100000000002</v>
      </c>
      <c r="N2565">
        <v>175</v>
      </c>
      <c r="O2565">
        <v>281.11</v>
      </c>
      <c r="P2565" s="13">
        <v>1.1658180071858</v>
      </c>
    </row>
    <row r="2566" spans="11:16" x14ac:dyDescent="0.3">
      <c r="K2566" s="14" t="s">
        <v>74</v>
      </c>
      <c r="L2566">
        <v>203.13</v>
      </c>
      <c r="M2566">
        <v>73.025199999999998</v>
      </c>
      <c r="N2566">
        <v>190</v>
      </c>
      <c r="O2566">
        <v>277.95</v>
      </c>
      <c r="P2566" s="13">
        <v>1.1712725310307599</v>
      </c>
    </row>
    <row r="2567" spans="11:16" x14ac:dyDescent="0.3">
      <c r="K2567" s="14" t="s">
        <v>74</v>
      </c>
      <c r="L2567">
        <v>210.5</v>
      </c>
      <c r="M2567">
        <v>60.980899999999998</v>
      </c>
      <c r="N2567">
        <v>160</v>
      </c>
      <c r="O2567">
        <v>266.72000000000003</v>
      </c>
      <c r="P2567" s="13">
        <v>1.17381861127774</v>
      </c>
    </row>
    <row r="2568" spans="11:16" x14ac:dyDescent="0.3">
      <c r="K2568" s="14" t="s">
        <v>74</v>
      </c>
      <c r="L2568">
        <v>203.13</v>
      </c>
      <c r="M2568">
        <v>86.371499999999997</v>
      </c>
      <c r="N2568">
        <v>160</v>
      </c>
      <c r="O2568">
        <v>281.94</v>
      </c>
      <c r="P2568" s="13">
        <v>1.1743686599985801</v>
      </c>
    </row>
    <row r="2569" spans="11:16" x14ac:dyDescent="0.3">
      <c r="K2569" s="14" t="s">
        <v>74</v>
      </c>
      <c r="L2569">
        <v>202.69</v>
      </c>
      <c r="M2569">
        <v>83.658900000000003</v>
      </c>
      <c r="N2569">
        <v>150.19999999999999</v>
      </c>
      <c r="O2569">
        <v>277.07</v>
      </c>
      <c r="P2569" s="13">
        <v>1.1744357021691301</v>
      </c>
    </row>
    <row r="2570" spans="11:16" x14ac:dyDescent="0.3">
      <c r="K2570" s="14" t="s">
        <v>74</v>
      </c>
      <c r="L2570">
        <v>202.69</v>
      </c>
      <c r="M2570">
        <v>86.046000000000006</v>
      </c>
      <c r="N2570">
        <v>150.1</v>
      </c>
      <c r="O2570">
        <v>279.08</v>
      </c>
      <c r="P2570" s="13">
        <v>1.1744374372939701</v>
      </c>
    </row>
    <row r="2571" spans="11:16" x14ac:dyDescent="0.3">
      <c r="K2571" s="14" t="s">
        <v>74</v>
      </c>
      <c r="L2571">
        <v>203.13</v>
      </c>
      <c r="M2571">
        <v>83.224800000000002</v>
      </c>
      <c r="N2571">
        <v>170</v>
      </c>
      <c r="O2571">
        <v>279.97000000000003</v>
      </c>
      <c r="P2571" s="13">
        <v>1.1806793585027</v>
      </c>
    </row>
    <row r="2572" spans="11:16" x14ac:dyDescent="0.3">
      <c r="K2572" s="14" t="s">
        <v>74</v>
      </c>
      <c r="L2572">
        <v>203.13</v>
      </c>
      <c r="M2572">
        <v>69.77</v>
      </c>
      <c r="N2572">
        <v>200</v>
      </c>
      <c r="O2572">
        <v>274.79000000000002</v>
      </c>
      <c r="P2572" s="13">
        <v>1.1823574365879399</v>
      </c>
    </row>
    <row r="2573" spans="11:16" x14ac:dyDescent="0.3">
      <c r="K2573" s="14" t="s">
        <v>74</v>
      </c>
      <c r="L2573">
        <v>210.5</v>
      </c>
      <c r="M2573">
        <v>85.9375</v>
      </c>
      <c r="N2573">
        <v>100.1</v>
      </c>
      <c r="O2573">
        <v>271.66000000000003</v>
      </c>
      <c r="P2573" s="13">
        <v>1.1870113377015401</v>
      </c>
    </row>
    <row r="2574" spans="11:16" x14ac:dyDescent="0.3">
      <c r="K2574" s="14" t="s">
        <v>74</v>
      </c>
      <c r="L2574">
        <v>203.13</v>
      </c>
      <c r="M2574">
        <v>85.177999999999997</v>
      </c>
      <c r="N2574">
        <v>200</v>
      </c>
      <c r="O2574">
        <v>286.04000000000002</v>
      </c>
      <c r="P2574" s="13">
        <v>1.18972171724234</v>
      </c>
    </row>
    <row r="2575" spans="11:16" x14ac:dyDescent="0.3">
      <c r="K2575" s="14" t="s">
        <v>74</v>
      </c>
      <c r="L2575">
        <v>202.69</v>
      </c>
      <c r="M2575">
        <v>84.201400000000007</v>
      </c>
      <c r="N2575">
        <v>160</v>
      </c>
      <c r="O2575">
        <v>274.51</v>
      </c>
      <c r="P2575" s="13">
        <v>1.19664638810972</v>
      </c>
    </row>
    <row r="2576" spans="11:16" x14ac:dyDescent="0.3">
      <c r="K2576" s="14" t="s">
        <v>74</v>
      </c>
      <c r="L2576">
        <v>203.13</v>
      </c>
      <c r="M2576">
        <v>108.2899</v>
      </c>
      <c r="N2576">
        <v>160</v>
      </c>
      <c r="O2576">
        <v>294.64</v>
      </c>
      <c r="P2576" s="13">
        <v>1.1981397637795299</v>
      </c>
    </row>
    <row r="2577" spans="11:16" x14ac:dyDescent="0.3">
      <c r="K2577" s="14" t="s">
        <v>74</v>
      </c>
      <c r="L2577">
        <v>203.13</v>
      </c>
      <c r="M2577">
        <v>83.224800000000002</v>
      </c>
      <c r="N2577">
        <v>260.01</v>
      </c>
      <c r="O2577">
        <v>291.76</v>
      </c>
      <c r="P2577" s="13">
        <v>1.2131800109679201</v>
      </c>
    </row>
    <row r="2578" spans="11:16" x14ac:dyDescent="0.3">
      <c r="K2578" s="14" t="s">
        <v>74</v>
      </c>
      <c r="L2578">
        <v>203.13</v>
      </c>
      <c r="M2578">
        <v>120.3704</v>
      </c>
      <c r="N2578">
        <v>79.099999999999994</v>
      </c>
      <c r="O2578">
        <v>282.52999999999997</v>
      </c>
      <c r="P2578" s="13">
        <v>1.2178048348847901</v>
      </c>
    </row>
    <row r="2579" spans="11:16" x14ac:dyDescent="0.3">
      <c r="K2579" s="14" t="s">
        <v>74</v>
      </c>
      <c r="L2579">
        <v>203.13</v>
      </c>
      <c r="M2579">
        <v>84.743899999999996</v>
      </c>
      <c r="N2579">
        <v>204.8</v>
      </c>
      <c r="O2579">
        <v>279.69</v>
      </c>
      <c r="P2579" s="13">
        <v>1.21964281883514</v>
      </c>
    </row>
    <row r="2580" spans="11:16" x14ac:dyDescent="0.3">
      <c r="K2580" s="14" t="s">
        <v>74</v>
      </c>
      <c r="L2580">
        <v>203.13</v>
      </c>
      <c r="M2580">
        <v>82.682299999999998</v>
      </c>
      <c r="N2580">
        <v>214</v>
      </c>
      <c r="O2580">
        <v>277.68</v>
      </c>
      <c r="P2580" s="13">
        <v>1.2296611207144901</v>
      </c>
    </row>
    <row r="2581" spans="11:16" x14ac:dyDescent="0.3">
      <c r="K2581" s="14" t="s">
        <v>74</v>
      </c>
      <c r="L2581">
        <v>203.13</v>
      </c>
      <c r="M2581">
        <v>84.743899999999996</v>
      </c>
      <c r="N2581">
        <v>200</v>
      </c>
      <c r="O2581">
        <v>274.49</v>
      </c>
      <c r="P2581" s="13">
        <v>1.23820139167183</v>
      </c>
    </row>
    <row r="2582" spans="11:16" x14ac:dyDescent="0.3">
      <c r="K2582" s="14" t="s">
        <v>74</v>
      </c>
      <c r="L2582">
        <v>210.5</v>
      </c>
      <c r="M2582">
        <v>85.720500000000001</v>
      </c>
      <c r="N2582">
        <v>210</v>
      </c>
      <c r="O2582">
        <v>281.98</v>
      </c>
      <c r="P2582" s="13">
        <v>1.2441325625930899</v>
      </c>
    </row>
    <row r="2583" spans="11:16" x14ac:dyDescent="0.3">
      <c r="K2583" s="14" t="s">
        <v>74</v>
      </c>
      <c r="L2583">
        <v>210.5</v>
      </c>
      <c r="M2583">
        <v>105.36020000000001</v>
      </c>
      <c r="N2583">
        <v>120.1</v>
      </c>
      <c r="O2583">
        <v>276.20999999999998</v>
      </c>
      <c r="P2583" s="13">
        <v>1.25660258498968</v>
      </c>
    </row>
    <row r="2584" spans="11:16" x14ac:dyDescent="0.3">
      <c r="K2584" s="14" t="s">
        <v>74</v>
      </c>
      <c r="L2584">
        <v>203.13</v>
      </c>
      <c r="M2584">
        <v>71.940100000000001</v>
      </c>
      <c r="N2584">
        <v>260.01</v>
      </c>
      <c r="O2584">
        <v>272.19</v>
      </c>
      <c r="P2584" s="13">
        <v>1.25894669164922</v>
      </c>
    </row>
    <row r="2585" spans="11:16" x14ac:dyDescent="0.3">
      <c r="K2585" s="14" t="s">
        <v>74</v>
      </c>
      <c r="L2585">
        <v>210.5</v>
      </c>
      <c r="M2585">
        <v>83.767399999999995</v>
      </c>
      <c r="N2585">
        <v>210</v>
      </c>
      <c r="O2585">
        <v>277.07</v>
      </c>
      <c r="P2585" s="13">
        <v>1.2591309055473301</v>
      </c>
    </row>
    <row r="2586" spans="11:16" x14ac:dyDescent="0.3">
      <c r="K2586" s="14" t="s">
        <v>74</v>
      </c>
      <c r="L2586">
        <v>210.94</v>
      </c>
      <c r="M2586">
        <v>115.7769</v>
      </c>
      <c r="N2586">
        <v>120.3</v>
      </c>
      <c r="O2586">
        <v>284.26</v>
      </c>
      <c r="P2586" s="13">
        <v>1.2593924576092299</v>
      </c>
    </row>
    <row r="2587" spans="11:16" x14ac:dyDescent="0.3">
      <c r="K2587" s="14" t="s">
        <v>74</v>
      </c>
      <c r="L2587">
        <v>203.13</v>
      </c>
      <c r="M2587">
        <v>71.723100000000002</v>
      </c>
      <c r="N2587">
        <v>276.01</v>
      </c>
      <c r="O2587">
        <v>275.05</v>
      </c>
      <c r="P2587" s="13">
        <v>1.260191601527</v>
      </c>
    </row>
    <row r="2588" spans="11:16" x14ac:dyDescent="0.3">
      <c r="K2588" s="14" t="s">
        <v>74</v>
      </c>
      <c r="L2588">
        <v>203.13</v>
      </c>
      <c r="M2588">
        <v>85.503500000000003</v>
      </c>
      <c r="N2588">
        <v>240.01</v>
      </c>
      <c r="O2588">
        <v>278.52999999999997</v>
      </c>
      <c r="P2588" s="13">
        <v>1.26031702150576</v>
      </c>
    </row>
    <row r="2589" spans="11:16" x14ac:dyDescent="0.3">
      <c r="K2589" s="14" t="s">
        <v>74</v>
      </c>
      <c r="L2589">
        <v>210.94</v>
      </c>
      <c r="M2589">
        <v>66.948800000000006</v>
      </c>
      <c r="N2589">
        <v>300.01</v>
      </c>
      <c r="O2589">
        <v>281.97000000000003</v>
      </c>
      <c r="P2589" s="13">
        <v>1.26216051352981</v>
      </c>
    </row>
    <row r="2590" spans="11:16" x14ac:dyDescent="0.3">
      <c r="K2590" s="14" t="s">
        <v>74</v>
      </c>
      <c r="L2590">
        <v>202.69</v>
      </c>
      <c r="M2590">
        <v>70.855000000000004</v>
      </c>
      <c r="N2590">
        <v>300.01</v>
      </c>
      <c r="O2590">
        <v>277.95</v>
      </c>
      <c r="P2590" s="13">
        <v>1.2647871919410001</v>
      </c>
    </row>
    <row r="2591" spans="11:16" x14ac:dyDescent="0.3">
      <c r="K2591" s="14" t="s">
        <v>74</v>
      </c>
      <c r="L2591">
        <v>202.69</v>
      </c>
      <c r="M2591">
        <v>105.57729999999999</v>
      </c>
      <c r="N2591">
        <v>180</v>
      </c>
      <c r="O2591">
        <v>278.2</v>
      </c>
      <c r="P2591" s="13">
        <v>1.2763023005032399</v>
      </c>
    </row>
    <row r="2592" spans="11:16" x14ac:dyDescent="0.3">
      <c r="K2592" s="14" t="s">
        <v>74</v>
      </c>
      <c r="L2592">
        <v>203.13</v>
      </c>
      <c r="M2592">
        <v>83.658900000000003</v>
      </c>
      <c r="N2592">
        <v>300.01</v>
      </c>
      <c r="O2592">
        <v>285.72000000000003</v>
      </c>
      <c r="P2592" s="13">
        <v>1.2767447151057001</v>
      </c>
    </row>
    <row r="2593" spans="11:16" x14ac:dyDescent="0.3">
      <c r="K2593" s="14" t="s">
        <v>74</v>
      </c>
      <c r="L2593">
        <v>210.5</v>
      </c>
      <c r="M2593">
        <v>81.705699999999993</v>
      </c>
      <c r="N2593">
        <v>250.01</v>
      </c>
      <c r="O2593">
        <v>279.39999999999998</v>
      </c>
      <c r="P2593" s="13">
        <v>1.27848353614889</v>
      </c>
    </row>
    <row r="2594" spans="11:16" x14ac:dyDescent="0.3">
      <c r="K2594" s="14" t="s">
        <v>74</v>
      </c>
      <c r="L2594">
        <v>202.69</v>
      </c>
      <c r="M2594">
        <v>70.9636</v>
      </c>
      <c r="N2594">
        <v>339.7</v>
      </c>
      <c r="O2594">
        <v>282.27</v>
      </c>
      <c r="P2594" s="13">
        <v>1.28237361391575</v>
      </c>
    </row>
    <row r="2595" spans="11:16" x14ac:dyDescent="0.3">
      <c r="K2595" s="14" t="s">
        <v>74</v>
      </c>
      <c r="L2595">
        <v>203.13</v>
      </c>
      <c r="M2595">
        <v>108.7239</v>
      </c>
      <c r="N2595">
        <v>170</v>
      </c>
      <c r="O2595">
        <v>277.10000000000002</v>
      </c>
      <c r="P2595" s="13">
        <v>1.2849292674124899</v>
      </c>
    </row>
    <row r="2596" spans="11:16" x14ac:dyDescent="0.3">
      <c r="K2596" s="14" t="s">
        <v>74</v>
      </c>
      <c r="L2596">
        <v>210.5</v>
      </c>
      <c r="M2596">
        <v>87.673599999999993</v>
      </c>
      <c r="N2596">
        <v>223</v>
      </c>
      <c r="O2596">
        <v>277.10000000000002</v>
      </c>
      <c r="P2596" s="13">
        <v>1.28528906531938</v>
      </c>
    </row>
    <row r="2597" spans="11:16" x14ac:dyDescent="0.3">
      <c r="K2597" s="14" t="s">
        <v>74</v>
      </c>
      <c r="L2597">
        <v>210.5</v>
      </c>
      <c r="M2597">
        <v>70</v>
      </c>
      <c r="N2597">
        <v>240.01</v>
      </c>
      <c r="O2597">
        <v>265.27999999999997</v>
      </c>
      <c r="P2597" s="13">
        <v>1.2926063027744299</v>
      </c>
    </row>
    <row r="2598" spans="11:16" x14ac:dyDescent="0.3">
      <c r="K2598" s="14" t="s">
        <v>74</v>
      </c>
      <c r="L2598">
        <v>203.13</v>
      </c>
      <c r="M2598">
        <v>82.465299999999999</v>
      </c>
      <c r="N2598">
        <v>188.3</v>
      </c>
      <c r="O2598">
        <v>258.38</v>
      </c>
      <c r="P2598" s="13">
        <v>1.2948111308924799</v>
      </c>
    </row>
    <row r="2599" spans="11:16" x14ac:dyDescent="0.3">
      <c r="K2599" s="14" t="s">
        <v>74</v>
      </c>
      <c r="L2599">
        <v>203.13</v>
      </c>
      <c r="M2599">
        <v>69.878500000000003</v>
      </c>
      <c r="N2599">
        <v>320.01</v>
      </c>
      <c r="O2599">
        <v>274.77</v>
      </c>
      <c r="P2599" s="13">
        <v>1.29639735051134</v>
      </c>
    </row>
    <row r="2600" spans="11:16" x14ac:dyDescent="0.3">
      <c r="K2600" s="14" t="s">
        <v>74</v>
      </c>
      <c r="L2600">
        <v>203.13</v>
      </c>
      <c r="M2600">
        <v>88.975700000000003</v>
      </c>
      <c r="N2600">
        <v>260.01</v>
      </c>
      <c r="O2600">
        <v>273.3</v>
      </c>
      <c r="P2600" s="13">
        <v>1.31616648371753</v>
      </c>
    </row>
    <row r="2601" spans="11:16" x14ac:dyDescent="0.3">
      <c r="K2601" s="14" t="s">
        <v>74</v>
      </c>
      <c r="L2601">
        <v>202.69</v>
      </c>
      <c r="M2601">
        <v>82.465299999999999</v>
      </c>
      <c r="N2601">
        <v>214</v>
      </c>
      <c r="O2601">
        <v>255.51</v>
      </c>
      <c r="P2601" s="13">
        <v>1.33378458768737</v>
      </c>
    </row>
    <row r="2602" spans="11:16" x14ac:dyDescent="0.3">
      <c r="K2602" s="14" t="s">
        <v>74</v>
      </c>
      <c r="L2602">
        <v>202.69</v>
      </c>
      <c r="M2602">
        <v>66.948800000000006</v>
      </c>
      <c r="N2602">
        <v>400.02</v>
      </c>
      <c r="O2602">
        <v>274.51</v>
      </c>
      <c r="P2602" s="13">
        <v>1.36113074204947</v>
      </c>
    </row>
    <row r="2603" spans="11:16" x14ac:dyDescent="0.3">
      <c r="K2603" s="14" t="s">
        <v>74</v>
      </c>
      <c r="L2603">
        <v>210.5</v>
      </c>
      <c r="M2603">
        <v>106.3368</v>
      </c>
      <c r="N2603">
        <v>220</v>
      </c>
      <c r="O2603">
        <v>273.33999999999997</v>
      </c>
      <c r="P2603" s="13">
        <v>1.3683939416111801</v>
      </c>
    </row>
    <row r="2604" spans="11:16" x14ac:dyDescent="0.3">
      <c r="K2604" s="14" t="s">
        <v>74</v>
      </c>
      <c r="L2604">
        <v>203.13</v>
      </c>
      <c r="M2604">
        <v>82.899299999999997</v>
      </c>
      <c r="N2604">
        <v>350.01</v>
      </c>
      <c r="O2604">
        <v>273.06</v>
      </c>
      <c r="P2604" s="13">
        <v>1.3807657657657699</v>
      </c>
    </row>
    <row r="2605" spans="11:16" x14ac:dyDescent="0.3">
      <c r="K2605" s="14" t="s">
        <v>74</v>
      </c>
      <c r="L2605">
        <v>203.13</v>
      </c>
      <c r="M2605">
        <v>84.635400000000004</v>
      </c>
      <c r="N2605">
        <v>280.01</v>
      </c>
      <c r="O2605">
        <v>260.94</v>
      </c>
      <c r="P2605" s="13">
        <v>1.38180424618686</v>
      </c>
    </row>
    <row r="2606" spans="11:16" x14ac:dyDescent="0.3">
      <c r="K2606" s="14" t="s">
        <v>74</v>
      </c>
      <c r="L2606">
        <v>210.5</v>
      </c>
      <c r="M2606">
        <v>86.697100000000006</v>
      </c>
      <c r="N2606">
        <v>350.01</v>
      </c>
      <c r="O2606">
        <v>278.55</v>
      </c>
      <c r="P2606" s="13">
        <v>1.3936445880452299</v>
      </c>
    </row>
    <row r="2607" spans="11:16" x14ac:dyDescent="0.3">
      <c r="K2607" s="14" t="s">
        <v>74</v>
      </c>
      <c r="L2607">
        <v>210.5</v>
      </c>
      <c r="M2607">
        <v>71.723100000000002</v>
      </c>
      <c r="N2607">
        <v>300.01</v>
      </c>
      <c r="O2607">
        <v>258.08</v>
      </c>
      <c r="P2607" s="13">
        <v>1.3957908400496</v>
      </c>
    </row>
    <row r="2608" spans="11:16" x14ac:dyDescent="0.3">
      <c r="K2608" s="14" t="s">
        <v>74</v>
      </c>
      <c r="L2608">
        <v>203.13</v>
      </c>
      <c r="M2608">
        <v>129.48500000000001</v>
      </c>
      <c r="N2608">
        <v>288.01</v>
      </c>
      <c r="O2608">
        <v>284.27</v>
      </c>
      <c r="P2608" s="13">
        <v>1.4334878812396701</v>
      </c>
    </row>
    <row r="2609" spans="11:16" x14ac:dyDescent="0.3">
      <c r="K2609" s="14" t="s">
        <v>74</v>
      </c>
      <c r="L2609">
        <v>203.13</v>
      </c>
      <c r="M2609">
        <v>117.07899999999999</v>
      </c>
      <c r="N2609">
        <v>400.02</v>
      </c>
      <c r="O2609">
        <v>276.24</v>
      </c>
      <c r="P2609" s="13">
        <v>1.53567260353316</v>
      </c>
    </row>
    <row r="2610" spans="11:16" x14ac:dyDescent="0.3">
      <c r="K2610" s="14" t="s">
        <v>74</v>
      </c>
      <c r="L2610">
        <v>203.13</v>
      </c>
      <c r="M2610">
        <v>142.72280000000001</v>
      </c>
      <c r="N2610">
        <v>360.01</v>
      </c>
      <c r="O2610">
        <v>265.61</v>
      </c>
      <c r="P2610" s="13">
        <v>1.6545137607770799</v>
      </c>
    </row>
    <row r="2611" spans="11:16" x14ac:dyDescent="0.3">
      <c r="K2611" s="14" t="s">
        <v>76</v>
      </c>
      <c r="L2611">
        <v>203.13</v>
      </c>
      <c r="M2611">
        <v>106.6262</v>
      </c>
      <c r="N2611">
        <v>200</v>
      </c>
      <c r="O2611">
        <v>276.47000000000003</v>
      </c>
      <c r="P2611" s="13">
        <v>1.3084826563460801</v>
      </c>
    </row>
    <row r="2612" spans="11:16" x14ac:dyDescent="0.3">
      <c r="K2612" s="14" t="s">
        <v>76</v>
      </c>
      <c r="L2612">
        <v>203.13</v>
      </c>
      <c r="M2612">
        <v>107.34950000000001</v>
      </c>
      <c r="N2612">
        <v>300.01</v>
      </c>
      <c r="O2612">
        <v>279.67</v>
      </c>
      <c r="P2612" s="13">
        <v>1.3890731934065199</v>
      </c>
    </row>
    <row r="2613" spans="11:16" x14ac:dyDescent="0.3">
      <c r="K2613" s="14" t="s">
        <v>76</v>
      </c>
      <c r="L2613">
        <v>247.4</v>
      </c>
      <c r="M2613">
        <v>88.324700000000007</v>
      </c>
      <c r="N2613">
        <v>250.01</v>
      </c>
      <c r="O2613">
        <v>282.8</v>
      </c>
      <c r="P2613" s="13">
        <v>1.41699893917963</v>
      </c>
    </row>
    <row r="2614" spans="11:16" x14ac:dyDescent="0.3">
      <c r="K2614" s="14" t="s">
        <v>150</v>
      </c>
      <c r="L2614">
        <v>202.69</v>
      </c>
      <c r="N2614">
        <v>320.01</v>
      </c>
      <c r="O2614">
        <v>281.99</v>
      </c>
      <c r="P2614" s="13">
        <v>1.01383949785453</v>
      </c>
    </row>
    <row r="2615" spans="11:16" x14ac:dyDescent="0.3">
      <c r="K2615" s="14" t="s">
        <v>150</v>
      </c>
      <c r="L2615">
        <v>203.13</v>
      </c>
      <c r="M2615">
        <v>103.29859999999999</v>
      </c>
      <c r="N2615">
        <v>250.01</v>
      </c>
      <c r="O2615">
        <v>283.12</v>
      </c>
      <c r="P2615" s="13">
        <v>1.31192144673637</v>
      </c>
    </row>
    <row r="2616" spans="11:16" x14ac:dyDescent="0.3">
      <c r="K2616" s="14" t="s">
        <v>150</v>
      </c>
      <c r="L2616">
        <v>203.13</v>
      </c>
      <c r="M2616">
        <v>84.526899999999998</v>
      </c>
      <c r="N2616">
        <v>290.01</v>
      </c>
      <c r="O2616">
        <v>272.49</v>
      </c>
      <c r="P2616" s="13">
        <v>1.3323773349480701</v>
      </c>
    </row>
    <row r="2617" spans="11:16" x14ac:dyDescent="0.3">
      <c r="K2617" s="14" t="s">
        <v>150</v>
      </c>
      <c r="L2617">
        <v>202.69</v>
      </c>
      <c r="M2617">
        <v>94.4011</v>
      </c>
      <c r="N2617">
        <v>310.01</v>
      </c>
      <c r="O2617">
        <v>276.22000000000003</v>
      </c>
      <c r="P2617" s="13">
        <v>1.3673655057562799</v>
      </c>
    </row>
    <row r="2618" spans="11:16" x14ac:dyDescent="0.3">
      <c r="K2618" s="14" t="s">
        <v>150</v>
      </c>
      <c r="L2618">
        <v>203.13</v>
      </c>
      <c r="M2618">
        <v>105.36020000000001</v>
      </c>
      <c r="N2618">
        <v>330.01</v>
      </c>
      <c r="O2618">
        <v>286.01</v>
      </c>
      <c r="P2618" s="13">
        <v>1.3785979511205899</v>
      </c>
    </row>
    <row r="2619" spans="11:16" x14ac:dyDescent="0.3">
      <c r="K2619" s="14" t="s">
        <v>150</v>
      </c>
      <c r="L2619">
        <v>203.56</v>
      </c>
      <c r="M2619">
        <v>103.1901</v>
      </c>
      <c r="N2619">
        <v>300.01</v>
      </c>
      <c r="O2619">
        <v>274.77</v>
      </c>
      <c r="P2619" s="13">
        <v>1.40027186374058</v>
      </c>
    </row>
    <row r="2620" spans="11:16" x14ac:dyDescent="0.3">
      <c r="K2620" s="14" t="s">
        <v>150</v>
      </c>
      <c r="L2620">
        <v>202.69</v>
      </c>
      <c r="M2620">
        <v>129.9913</v>
      </c>
      <c r="N2620">
        <v>300.01</v>
      </c>
      <c r="O2620">
        <v>288.31</v>
      </c>
      <c r="P2620" s="13">
        <v>1.42445249904617</v>
      </c>
    </row>
    <row r="2621" spans="11:16" x14ac:dyDescent="0.3">
      <c r="K2621" s="14" t="s">
        <v>150</v>
      </c>
      <c r="L2621">
        <v>202.69</v>
      </c>
      <c r="M2621">
        <v>130.96789999999999</v>
      </c>
      <c r="N2621">
        <v>260.01</v>
      </c>
      <c r="O2621">
        <v>280.23</v>
      </c>
      <c r="P2621" s="13">
        <v>1.43189701316775</v>
      </c>
    </row>
    <row r="2622" spans="11:16" x14ac:dyDescent="0.3">
      <c r="K2622" s="14" t="s">
        <v>150</v>
      </c>
      <c r="L2622">
        <v>203.56</v>
      </c>
      <c r="M2622">
        <v>181.96610000000001</v>
      </c>
      <c r="N2622">
        <v>210</v>
      </c>
      <c r="O2622">
        <v>281.67</v>
      </c>
      <c r="P2622" s="13">
        <v>1.56255937799553</v>
      </c>
    </row>
    <row r="2623" spans="11:16" x14ac:dyDescent="0.3">
      <c r="K2623" s="14" t="s">
        <v>395</v>
      </c>
      <c r="L2623">
        <v>300.77999999999997</v>
      </c>
      <c r="M2623">
        <v>164.76560000000001</v>
      </c>
      <c r="N2623">
        <v>750.02</v>
      </c>
      <c r="O2623">
        <v>295.77999999999997</v>
      </c>
      <c r="P2623" s="13">
        <v>2.2332503888024902</v>
      </c>
    </row>
    <row r="2624" spans="11:16" x14ac:dyDescent="0.3">
      <c r="K2624" s="14" t="s">
        <v>395</v>
      </c>
      <c r="L2624">
        <v>300.77999999999997</v>
      </c>
      <c r="M2624">
        <v>513.67190000000005</v>
      </c>
      <c r="N2624">
        <v>66.099999999999994</v>
      </c>
      <c r="O2624">
        <v>261.77999999999997</v>
      </c>
      <c r="P2624" s="13">
        <v>3.1768580487432199</v>
      </c>
    </row>
    <row r="2625" spans="11:16" x14ac:dyDescent="0.3">
      <c r="K2625" s="14" t="s">
        <v>397</v>
      </c>
      <c r="L2625">
        <v>299.91000000000003</v>
      </c>
      <c r="M2625">
        <v>109.26649999999999</v>
      </c>
      <c r="N2625">
        <v>336.1</v>
      </c>
      <c r="O2625">
        <v>271.91000000000003</v>
      </c>
      <c r="P2625" s="13">
        <v>1.8262016843808599</v>
      </c>
    </row>
    <row r="2626" spans="11:16" x14ac:dyDescent="0.3">
      <c r="K2626" s="14" t="s">
        <v>397</v>
      </c>
      <c r="L2626">
        <v>300.77999999999997</v>
      </c>
      <c r="M2626">
        <v>166.6103</v>
      </c>
      <c r="N2626">
        <v>300.01</v>
      </c>
      <c r="O2626">
        <v>292.91000000000003</v>
      </c>
      <c r="P2626" s="13">
        <v>1.86198115462087</v>
      </c>
    </row>
    <row r="2627" spans="11:16" x14ac:dyDescent="0.3">
      <c r="K2627" s="14" t="s">
        <v>397</v>
      </c>
      <c r="L2627">
        <v>300.77999999999997</v>
      </c>
      <c r="M2627">
        <v>178.67189999999999</v>
      </c>
      <c r="N2627">
        <v>150.1</v>
      </c>
      <c r="O2627">
        <v>276.22000000000003</v>
      </c>
      <c r="P2627" s="13">
        <v>1.8770469191224399</v>
      </c>
    </row>
    <row r="2628" spans="11:16" x14ac:dyDescent="0.3">
      <c r="K2628" s="14" t="s">
        <v>397</v>
      </c>
      <c r="L2628">
        <v>300.77999999999997</v>
      </c>
      <c r="M2628">
        <v>187.58680000000001</v>
      </c>
      <c r="N2628">
        <v>180</v>
      </c>
      <c r="O2628">
        <v>283.13</v>
      </c>
      <c r="P2628" s="13">
        <v>1.8901804824638899</v>
      </c>
    </row>
    <row r="2629" spans="11:16" x14ac:dyDescent="0.3">
      <c r="K2629" s="14" t="s">
        <v>397</v>
      </c>
      <c r="L2629">
        <v>300.77999999999997</v>
      </c>
      <c r="M2629">
        <v>195.5078</v>
      </c>
      <c r="N2629">
        <v>326.11</v>
      </c>
      <c r="O2629">
        <v>277.67</v>
      </c>
      <c r="P2629" s="13">
        <v>2.0926870025569899</v>
      </c>
    </row>
    <row r="2630" spans="11:16" x14ac:dyDescent="0.3">
      <c r="K2630" s="14" t="s">
        <v>398</v>
      </c>
      <c r="L2630">
        <v>300.77999999999997</v>
      </c>
      <c r="M2630">
        <v>163.4838</v>
      </c>
      <c r="N2630">
        <v>460.01</v>
      </c>
      <c r="O2630">
        <v>278.79000000000002</v>
      </c>
      <c r="P2630" s="13">
        <v>2.0942874565084799</v>
      </c>
    </row>
    <row r="2631" spans="11:16" x14ac:dyDescent="0.3">
      <c r="K2631" s="14" t="s">
        <v>398</v>
      </c>
      <c r="L2631">
        <v>307.73</v>
      </c>
      <c r="M2631">
        <v>222.0052</v>
      </c>
      <c r="N2631">
        <v>250.2</v>
      </c>
      <c r="O2631">
        <v>282</v>
      </c>
      <c r="P2631" s="13">
        <v>2.1091744680851101</v>
      </c>
    </row>
    <row r="2632" spans="11:16" x14ac:dyDescent="0.3">
      <c r="K2632" s="14" t="s">
        <v>398</v>
      </c>
      <c r="L2632">
        <v>308.58999999999997</v>
      </c>
      <c r="M2632">
        <v>284.90170000000001</v>
      </c>
      <c r="N2632">
        <v>120.1</v>
      </c>
      <c r="O2632">
        <v>277.62</v>
      </c>
      <c r="P2632" s="13">
        <v>2.2502618687414402</v>
      </c>
    </row>
    <row r="2633" spans="11:16" x14ac:dyDescent="0.3">
      <c r="K2633" s="14" t="s">
        <v>398</v>
      </c>
      <c r="L2633">
        <v>300.77999999999997</v>
      </c>
      <c r="M2633">
        <v>193.78909999999999</v>
      </c>
      <c r="N2633">
        <v>778.51</v>
      </c>
      <c r="O2633">
        <v>279.72000000000003</v>
      </c>
      <c r="P2633" s="13">
        <v>2.49171206921207</v>
      </c>
    </row>
  </sheetData>
  <phoneticPr fontId="11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1"/>
  <sheetViews>
    <sheetView workbookViewId="0">
      <selection activeCell="C9" sqref="C9"/>
    </sheetView>
  </sheetViews>
  <sheetFormatPr defaultColWidth="9" defaultRowHeight="14.15" x14ac:dyDescent="0.3"/>
  <cols>
    <col min="1" max="1" width="13.53515625" style="7" customWidth="1"/>
  </cols>
  <sheetData>
    <row r="1" spans="1:2" ht="30" x14ac:dyDescent="0.3">
      <c r="A1" s="8" t="s">
        <v>5</v>
      </c>
      <c r="B1" t="s">
        <v>595</v>
      </c>
    </row>
    <row r="2" spans="1:2" x14ac:dyDescent="0.3">
      <c r="A2" s="9" t="s">
        <v>35</v>
      </c>
      <c r="B2">
        <v>1.45</v>
      </c>
    </row>
    <row r="3" spans="1:2" x14ac:dyDescent="0.3">
      <c r="A3" s="9" t="s">
        <v>41</v>
      </c>
      <c r="B3">
        <v>1.2</v>
      </c>
    </row>
    <row r="4" spans="1:2" x14ac:dyDescent="0.3">
      <c r="A4" s="9" t="s">
        <v>43</v>
      </c>
      <c r="B4">
        <v>1.2</v>
      </c>
    </row>
    <row r="5" spans="1:2" x14ac:dyDescent="0.3">
      <c r="A5" s="9" t="s">
        <v>45</v>
      </c>
      <c r="B5">
        <v>1.33</v>
      </c>
    </row>
    <row r="6" spans="1:2" x14ac:dyDescent="0.3">
      <c r="A6" s="9" t="s">
        <v>47</v>
      </c>
      <c r="B6">
        <v>1.33</v>
      </c>
    </row>
    <row r="7" spans="1:2" x14ac:dyDescent="0.3">
      <c r="A7" s="9" t="s">
        <v>56</v>
      </c>
      <c r="B7">
        <v>1.3</v>
      </c>
    </row>
    <row r="8" spans="1:2" x14ac:dyDescent="0.3">
      <c r="A8" s="9" t="s">
        <v>60</v>
      </c>
      <c r="B8">
        <v>1.3</v>
      </c>
    </row>
    <row r="9" spans="1:2" x14ac:dyDescent="0.3">
      <c r="A9" s="9" t="s">
        <v>62</v>
      </c>
      <c r="B9">
        <v>1.3</v>
      </c>
    </row>
    <row r="10" spans="1:2" x14ac:dyDescent="0.3">
      <c r="A10" s="9" t="s">
        <v>63</v>
      </c>
      <c r="B10">
        <v>1.25</v>
      </c>
    </row>
    <row r="11" spans="1:2" x14ac:dyDescent="0.3">
      <c r="A11" s="9" t="s">
        <v>66</v>
      </c>
      <c r="B11">
        <v>1.45</v>
      </c>
    </row>
    <row r="12" spans="1:2" x14ac:dyDescent="0.3">
      <c r="A12" s="9" t="s">
        <v>68</v>
      </c>
      <c r="B12">
        <v>1.45</v>
      </c>
    </row>
    <row r="13" spans="1:2" x14ac:dyDescent="0.3">
      <c r="A13" s="9" t="s">
        <v>70</v>
      </c>
      <c r="B13">
        <v>1.6</v>
      </c>
    </row>
    <row r="14" spans="1:2" x14ac:dyDescent="0.3">
      <c r="A14" s="9" t="s">
        <v>72</v>
      </c>
      <c r="B14">
        <v>1.6</v>
      </c>
    </row>
    <row r="15" spans="1:2" x14ac:dyDescent="0.3">
      <c r="A15" s="9" t="s">
        <v>74</v>
      </c>
      <c r="B15">
        <v>1.2</v>
      </c>
    </row>
    <row r="16" spans="1:2" x14ac:dyDescent="0.3">
      <c r="A16" s="9" t="s">
        <v>76</v>
      </c>
      <c r="B16">
        <v>1.4</v>
      </c>
    </row>
    <row r="17" spans="1:2" x14ac:dyDescent="0.3">
      <c r="A17" s="10" t="s">
        <v>78</v>
      </c>
      <c r="B17">
        <v>0.25</v>
      </c>
    </row>
    <row r="18" spans="1:2" x14ac:dyDescent="0.3">
      <c r="A18" s="11" t="s">
        <v>88</v>
      </c>
      <c r="B18">
        <v>2.5</v>
      </c>
    </row>
    <row r="19" spans="1:2" x14ac:dyDescent="0.3">
      <c r="A19" s="11" t="s">
        <v>89</v>
      </c>
      <c r="B19">
        <v>2.5</v>
      </c>
    </row>
    <row r="20" spans="1:2" x14ac:dyDescent="0.3">
      <c r="A20" s="11" t="s">
        <v>94</v>
      </c>
      <c r="B20">
        <v>2.5</v>
      </c>
    </row>
    <row r="21" spans="1:2" x14ac:dyDescent="0.3">
      <c r="A21" s="11" t="s">
        <v>97</v>
      </c>
      <c r="B21">
        <v>2.5</v>
      </c>
    </row>
    <row r="22" spans="1:2" x14ac:dyDescent="0.3">
      <c r="A22" s="9" t="s">
        <v>103</v>
      </c>
      <c r="B22">
        <v>1.4</v>
      </c>
    </row>
    <row r="23" spans="1:2" x14ac:dyDescent="0.3">
      <c r="A23" s="9" t="s">
        <v>105</v>
      </c>
      <c r="B23">
        <v>1.4</v>
      </c>
    </row>
    <row r="24" spans="1:2" x14ac:dyDescent="0.3">
      <c r="A24" s="9" t="s">
        <v>145</v>
      </c>
      <c r="B24">
        <v>1.4</v>
      </c>
    </row>
    <row r="25" spans="1:2" x14ac:dyDescent="0.3">
      <c r="A25" s="9" t="s">
        <v>107</v>
      </c>
      <c r="B25">
        <v>1.4</v>
      </c>
    </row>
    <row r="26" spans="1:2" x14ac:dyDescent="0.3">
      <c r="A26" s="9" t="s">
        <v>110</v>
      </c>
      <c r="B26">
        <v>1.4</v>
      </c>
    </row>
    <row r="27" spans="1:2" x14ac:dyDescent="0.3">
      <c r="A27" s="9" t="s">
        <v>112</v>
      </c>
      <c r="B27">
        <v>1.4</v>
      </c>
    </row>
    <row r="28" spans="1:2" x14ac:dyDescent="0.3">
      <c r="A28" s="9" t="s">
        <v>113</v>
      </c>
      <c r="B28">
        <v>1.4</v>
      </c>
    </row>
    <row r="29" spans="1:2" x14ac:dyDescent="0.3">
      <c r="A29" s="9" t="s">
        <v>115</v>
      </c>
      <c r="B29">
        <v>1.4</v>
      </c>
    </row>
    <row r="30" spans="1:2" x14ac:dyDescent="0.3">
      <c r="A30" s="9" t="s">
        <v>117</v>
      </c>
      <c r="B30">
        <v>1.4</v>
      </c>
    </row>
    <row r="31" spans="1:2" x14ac:dyDescent="0.3">
      <c r="A31" s="9" t="s">
        <v>118</v>
      </c>
      <c r="B31">
        <v>1.4</v>
      </c>
    </row>
    <row r="32" spans="1:2" x14ac:dyDescent="0.3">
      <c r="A32" s="9" t="s">
        <v>120</v>
      </c>
      <c r="B32">
        <v>1.4</v>
      </c>
    </row>
    <row r="33" spans="1:2" x14ac:dyDescent="0.3">
      <c r="A33" s="9" t="s">
        <v>122</v>
      </c>
      <c r="B33">
        <v>1.4</v>
      </c>
    </row>
    <row r="34" spans="1:2" x14ac:dyDescent="0.3">
      <c r="A34" s="9" t="s">
        <v>123</v>
      </c>
      <c r="B34">
        <v>1.4</v>
      </c>
    </row>
    <row r="35" spans="1:2" x14ac:dyDescent="0.3">
      <c r="A35" s="9" t="s">
        <v>128</v>
      </c>
      <c r="B35">
        <v>1.6</v>
      </c>
    </row>
    <row r="36" spans="1:2" x14ac:dyDescent="0.3">
      <c r="A36" s="11" t="s">
        <v>129</v>
      </c>
      <c r="B36">
        <v>1.8</v>
      </c>
    </row>
    <row r="37" spans="1:2" x14ac:dyDescent="0.3">
      <c r="A37" s="9" t="s">
        <v>135</v>
      </c>
      <c r="B37">
        <v>1.4</v>
      </c>
    </row>
    <row r="38" spans="1:2" x14ac:dyDescent="0.3">
      <c r="A38" s="9" t="s">
        <v>138</v>
      </c>
      <c r="B38">
        <v>1.5</v>
      </c>
    </row>
    <row r="39" spans="1:2" x14ac:dyDescent="0.3">
      <c r="A39" s="9" t="s">
        <v>153</v>
      </c>
      <c r="B39">
        <v>1.33</v>
      </c>
    </row>
    <row r="40" spans="1:2" x14ac:dyDescent="0.3">
      <c r="A40" s="9" t="s">
        <v>155</v>
      </c>
      <c r="B40">
        <v>1.33</v>
      </c>
    </row>
    <row r="41" spans="1:2" x14ac:dyDescent="0.3">
      <c r="A41" s="9" t="s">
        <v>156</v>
      </c>
      <c r="B41">
        <v>1.33</v>
      </c>
    </row>
    <row r="42" spans="1:2" x14ac:dyDescent="0.3">
      <c r="A42" s="9" t="s">
        <v>158</v>
      </c>
      <c r="B42">
        <v>1.33</v>
      </c>
    </row>
    <row r="43" spans="1:2" x14ac:dyDescent="0.3">
      <c r="A43" s="9" t="s">
        <v>160</v>
      </c>
      <c r="B43">
        <v>1.33</v>
      </c>
    </row>
    <row r="44" spans="1:2" x14ac:dyDescent="0.3">
      <c r="A44" s="9" t="s">
        <v>165</v>
      </c>
      <c r="B44">
        <v>1.33</v>
      </c>
    </row>
    <row r="45" spans="1:2" x14ac:dyDescent="0.3">
      <c r="A45" s="9" t="s">
        <v>167</v>
      </c>
      <c r="B45">
        <v>1.33</v>
      </c>
    </row>
    <row r="46" spans="1:2" x14ac:dyDescent="0.3">
      <c r="A46" s="9" t="s">
        <v>170</v>
      </c>
      <c r="B46">
        <v>1.33</v>
      </c>
    </row>
    <row r="47" spans="1:2" x14ac:dyDescent="0.3">
      <c r="A47" s="9" t="s">
        <v>172</v>
      </c>
      <c r="B47">
        <v>1.33</v>
      </c>
    </row>
    <row r="48" spans="1:2" x14ac:dyDescent="0.3">
      <c r="A48" s="9" t="s">
        <v>176</v>
      </c>
      <c r="B48">
        <v>1.33</v>
      </c>
    </row>
    <row r="49" spans="1:2" x14ac:dyDescent="0.3">
      <c r="A49" s="9" t="s">
        <v>182</v>
      </c>
      <c r="B49">
        <v>1.6</v>
      </c>
    </row>
    <row r="50" spans="1:2" x14ac:dyDescent="0.3">
      <c r="A50" s="9" t="s">
        <v>197</v>
      </c>
      <c r="B50">
        <v>1.9</v>
      </c>
    </row>
    <row r="51" spans="1:2" x14ac:dyDescent="0.3">
      <c r="A51" s="9" t="s">
        <v>205</v>
      </c>
      <c r="B51">
        <v>1.4</v>
      </c>
    </row>
    <row r="52" spans="1:2" x14ac:dyDescent="0.3">
      <c r="A52" s="9" t="s">
        <v>207</v>
      </c>
      <c r="B52">
        <v>1.4</v>
      </c>
    </row>
    <row r="53" spans="1:2" x14ac:dyDescent="0.3">
      <c r="A53" s="9" t="s">
        <v>209</v>
      </c>
      <c r="B53">
        <v>1.4</v>
      </c>
    </row>
    <row r="54" spans="1:2" x14ac:dyDescent="0.3">
      <c r="A54" s="9" t="s">
        <v>211</v>
      </c>
      <c r="B54">
        <v>1.4</v>
      </c>
    </row>
    <row r="55" spans="1:2" x14ac:dyDescent="0.3">
      <c r="A55" s="9" t="s">
        <v>212</v>
      </c>
      <c r="B55">
        <v>1.4</v>
      </c>
    </row>
    <row r="56" spans="1:2" x14ac:dyDescent="0.3">
      <c r="A56" s="9" t="s">
        <v>214</v>
      </c>
      <c r="B56">
        <v>1.8</v>
      </c>
    </row>
    <row r="57" spans="1:2" x14ac:dyDescent="0.3">
      <c r="A57" s="9" t="s">
        <v>221</v>
      </c>
      <c r="B57">
        <v>1.6</v>
      </c>
    </row>
    <row r="58" spans="1:2" x14ac:dyDescent="0.3">
      <c r="A58" s="9" t="s">
        <v>224</v>
      </c>
      <c r="B58">
        <v>1.4</v>
      </c>
    </row>
    <row r="59" spans="1:2" x14ac:dyDescent="0.3">
      <c r="A59" s="9" t="s">
        <v>226</v>
      </c>
      <c r="B59">
        <v>1.4</v>
      </c>
    </row>
    <row r="60" spans="1:2" x14ac:dyDescent="0.3">
      <c r="A60" s="9" t="s">
        <v>228</v>
      </c>
      <c r="B60">
        <v>1.6</v>
      </c>
    </row>
    <row r="61" spans="1:2" x14ac:dyDescent="0.3">
      <c r="A61" s="9" t="s">
        <v>230</v>
      </c>
      <c r="B61">
        <v>1.6</v>
      </c>
    </row>
    <row r="62" spans="1:2" x14ac:dyDescent="0.3">
      <c r="A62" s="9" t="s">
        <v>237</v>
      </c>
      <c r="B62">
        <v>1.3</v>
      </c>
    </row>
    <row r="63" spans="1:2" x14ac:dyDescent="0.3">
      <c r="A63" s="9" t="s">
        <v>240</v>
      </c>
      <c r="B63">
        <v>1.3</v>
      </c>
    </row>
    <row r="64" spans="1:2" x14ac:dyDescent="0.3">
      <c r="A64" s="9" t="s">
        <v>242</v>
      </c>
      <c r="B64">
        <v>1.68</v>
      </c>
    </row>
    <row r="65" spans="1:2" x14ac:dyDescent="0.3">
      <c r="A65" s="9" t="s">
        <v>254</v>
      </c>
      <c r="B65">
        <v>1.36</v>
      </c>
    </row>
    <row r="66" spans="1:2" x14ac:dyDescent="0.3">
      <c r="A66" s="9" t="s">
        <v>256</v>
      </c>
      <c r="B66">
        <v>1.36</v>
      </c>
    </row>
    <row r="67" spans="1:2" x14ac:dyDescent="0.3">
      <c r="A67" s="9" t="s">
        <v>257</v>
      </c>
      <c r="B67">
        <v>1.36</v>
      </c>
    </row>
    <row r="68" spans="1:2" x14ac:dyDescent="0.3">
      <c r="A68" s="9" t="s">
        <v>259</v>
      </c>
      <c r="B68">
        <v>1.62</v>
      </c>
    </row>
    <row r="69" spans="1:2" x14ac:dyDescent="0.3">
      <c r="A69" s="9" t="s">
        <v>271</v>
      </c>
      <c r="B69">
        <v>1.31</v>
      </c>
    </row>
    <row r="70" spans="1:2" x14ac:dyDescent="0.3">
      <c r="A70" s="9" t="s">
        <v>273</v>
      </c>
      <c r="B70">
        <v>1.31</v>
      </c>
    </row>
    <row r="71" spans="1:2" x14ac:dyDescent="0.3">
      <c r="A71" s="9" t="s">
        <v>274</v>
      </c>
      <c r="B71">
        <v>1.31</v>
      </c>
    </row>
    <row r="72" spans="1:2" x14ac:dyDescent="0.3">
      <c r="A72" s="9" t="s">
        <v>276</v>
      </c>
      <c r="B72">
        <v>1.71</v>
      </c>
    </row>
    <row r="73" spans="1:2" x14ac:dyDescent="0.3">
      <c r="A73" s="9" t="s">
        <v>280</v>
      </c>
      <c r="B73">
        <v>1.42</v>
      </c>
    </row>
    <row r="74" spans="1:2" x14ac:dyDescent="0.3">
      <c r="A74" s="9" t="s">
        <v>282</v>
      </c>
      <c r="B74">
        <v>1.42</v>
      </c>
    </row>
    <row r="75" spans="1:2" x14ac:dyDescent="0.3">
      <c r="A75" s="9" t="s">
        <v>283</v>
      </c>
      <c r="B75">
        <v>1.42</v>
      </c>
    </row>
    <row r="76" spans="1:2" x14ac:dyDescent="0.3">
      <c r="A76" s="9" t="s">
        <v>290</v>
      </c>
      <c r="B76">
        <v>1.42</v>
      </c>
    </row>
    <row r="77" spans="1:2" x14ac:dyDescent="0.3">
      <c r="A77" s="9" t="s">
        <v>292</v>
      </c>
      <c r="B77">
        <v>1.42</v>
      </c>
    </row>
    <row r="78" spans="1:2" x14ac:dyDescent="0.3">
      <c r="A78" s="9" t="s">
        <v>293</v>
      </c>
      <c r="B78">
        <v>1.42</v>
      </c>
    </row>
    <row r="79" spans="1:2" x14ac:dyDescent="0.3">
      <c r="A79" s="12" t="s">
        <v>305</v>
      </c>
      <c r="B79">
        <v>2.1</v>
      </c>
    </row>
    <row r="80" spans="1:2" x14ac:dyDescent="0.3">
      <c r="A80" s="12" t="s">
        <v>309</v>
      </c>
      <c r="B80">
        <v>2.1</v>
      </c>
    </row>
    <row r="81" spans="1:2" x14ac:dyDescent="0.3">
      <c r="A81" s="12" t="s">
        <v>317</v>
      </c>
      <c r="B81">
        <v>2.1</v>
      </c>
    </row>
    <row r="82" spans="1:2" x14ac:dyDescent="0.3">
      <c r="A82" s="12" t="s">
        <v>319</v>
      </c>
      <c r="B82">
        <v>2.1</v>
      </c>
    </row>
    <row r="83" spans="1:2" x14ac:dyDescent="0.3">
      <c r="A83" s="12" t="s">
        <v>323</v>
      </c>
      <c r="B83">
        <v>2.1</v>
      </c>
    </row>
    <row r="84" spans="1:2" x14ac:dyDescent="0.3">
      <c r="A84" s="12" t="s">
        <v>325</v>
      </c>
      <c r="B84">
        <v>2.1</v>
      </c>
    </row>
    <row r="85" spans="1:2" x14ac:dyDescent="0.3">
      <c r="A85" s="12" t="s">
        <v>326</v>
      </c>
      <c r="B85">
        <v>1.8</v>
      </c>
    </row>
    <row r="86" spans="1:2" x14ac:dyDescent="0.3">
      <c r="A86" s="9" t="s">
        <v>330</v>
      </c>
      <c r="B86">
        <v>1.8</v>
      </c>
    </row>
    <row r="87" spans="1:2" x14ac:dyDescent="0.3">
      <c r="A87" s="9" t="s">
        <v>336</v>
      </c>
      <c r="B87">
        <v>1.65</v>
      </c>
    </row>
    <row r="88" spans="1:2" x14ac:dyDescent="0.3">
      <c r="A88" s="9" t="s">
        <v>338</v>
      </c>
      <c r="B88">
        <v>1.65</v>
      </c>
    </row>
    <row r="89" spans="1:2" x14ac:dyDescent="0.3">
      <c r="A89" s="9" t="s">
        <v>339</v>
      </c>
      <c r="B89">
        <v>1.71</v>
      </c>
    </row>
    <row r="90" spans="1:2" x14ac:dyDescent="0.3">
      <c r="A90" s="9" t="s">
        <v>341</v>
      </c>
      <c r="B90">
        <v>1.71</v>
      </c>
    </row>
    <row r="91" spans="1:2" x14ac:dyDescent="0.3">
      <c r="A91" s="12" t="s">
        <v>348</v>
      </c>
      <c r="B91">
        <v>1.71</v>
      </c>
    </row>
    <row r="92" spans="1:2" x14ac:dyDescent="0.3">
      <c r="A92" s="9" t="s">
        <v>350</v>
      </c>
      <c r="B92">
        <v>1.9</v>
      </c>
    </row>
    <row r="93" spans="1:2" x14ac:dyDescent="0.3">
      <c r="A93" s="9" t="s">
        <v>353</v>
      </c>
      <c r="B93">
        <v>1.55</v>
      </c>
    </row>
    <row r="94" spans="1:2" x14ac:dyDescent="0.3">
      <c r="A94" s="9" t="s">
        <v>355</v>
      </c>
      <c r="B94">
        <v>1.55</v>
      </c>
    </row>
    <row r="95" spans="1:2" x14ac:dyDescent="0.3">
      <c r="A95" s="12" t="s">
        <v>357</v>
      </c>
      <c r="B95">
        <v>2.5</v>
      </c>
    </row>
    <row r="96" spans="1:2" x14ac:dyDescent="0.3">
      <c r="A96" s="12" t="s">
        <v>359</v>
      </c>
      <c r="B96">
        <v>2.5</v>
      </c>
    </row>
    <row r="97" spans="1:2" x14ac:dyDescent="0.3">
      <c r="A97" s="12" t="s">
        <v>363</v>
      </c>
      <c r="B97">
        <v>1.8</v>
      </c>
    </row>
    <row r="98" spans="1:2" x14ac:dyDescent="0.3">
      <c r="A98" s="12" t="s">
        <v>368</v>
      </c>
      <c r="B98">
        <v>2.2000000000000002</v>
      </c>
    </row>
    <row r="99" spans="1:2" x14ac:dyDescent="0.3">
      <c r="A99" s="12" t="s">
        <v>375</v>
      </c>
      <c r="B99">
        <v>2.2000000000000002</v>
      </c>
    </row>
    <row r="100" spans="1:2" x14ac:dyDescent="0.3">
      <c r="A100" s="12" t="s">
        <v>378</v>
      </c>
      <c r="B100">
        <v>2.2000000000000002</v>
      </c>
    </row>
    <row r="101" spans="1:2" x14ac:dyDescent="0.3">
      <c r="A101" s="12" t="s">
        <v>381</v>
      </c>
      <c r="B101">
        <v>1.9</v>
      </c>
    </row>
    <row r="102" spans="1:2" x14ac:dyDescent="0.3">
      <c r="A102" s="9" t="s">
        <v>387</v>
      </c>
      <c r="B102">
        <v>2.2999999999999998</v>
      </c>
    </row>
    <row r="103" spans="1:2" x14ac:dyDescent="0.3">
      <c r="A103" s="9" t="s">
        <v>389</v>
      </c>
      <c r="B103">
        <v>2.2999999999999998</v>
      </c>
    </row>
    <row r="104" spans="1:2" x14ac:dyDescent="0.3">
      <c r="A104" s="9" t="s">
        <v>391</v>
      </c>
      <c r="B104">
        <v>2</v>
      </c>
    </row>
    <row r="105" spans="1:2" x14ac:dyDescent="0.3">
      <c r="A105" s="12" t="s">
        <v>393</v>
      </c>
      <c r="B105">
        <v>2</v>
      </c>
    </row>
    <row r="106" spans="1:2" x14ac:dyDescent="0.3">
      <c r="A106" s="9" t="s">
        <v>395</v>
      </c>
      <c r="B106">
        <v>2.2000000000000002</v>
      </c>
    </row>
    <row r="107" spans="1:2" x14ac:dyDescent="0.3">
      <c r="A107" s="9" t="s">
        <v>397</v>
      </c>
      <c r="B107">
        <v>2.2000000000000002</v>
      </c>
    </row>
    <row r="108" spans="1:2" x14ac:dyDescent="0.3">
      <c r="A108" s="9" t="s">
        <v>398</v>
      </c>
      <c r="B108">
        <v>2.2000000000000002</v>
      </c>
    </row>
    <row r="109" spans="1:2" x14ac:dyDescent="0.3">
      <c r="A109" s="12" t="s">
        <v>400</v>
      </c>
      <c r="B109">
        <v>2.2000000000000002</v>
      </c>
    </row>
    <row r="110" spans="1:2" x14ac:dyDescent="0.3">
      <c r="A110" s="12" t="s">
        <v>402</v>
      </c>
      <c r="B110">
        <v>2.2000000000000002</v>
      </c>
    </row>
    <row r="111" spans="1:2" x14ac:dyDescent="0.3">
      <c r="A111" s="12" t="s">
        <v>415</v>
      </c>
      <c r="B111">
        <v>2.2000000000000002</v>
      </c>
    </row>
    <row r="112" spans="1:2" x14ac:dyDescent="0.3">
      <c r="A112" s="12" t="s">
        <v>417</v>
      </c>
      <c r="B112">
        <v>2.2000000000000002</v>
      </c>
    </row>
    <row r="113" spans="1:2" x14ac:dyDescent="0.3">
      <c r="A113" s="9" t="s">
        <v>419</v>
      </c>
      <c r="B113">
        <v>1.33</v>
      </c>
    </row>
    <row r="114" spans="1:2" x14ac:dyDescent="0.3">
      <c r="A114" s="9" t="s">
        <v>421</v>
      </c>
      <c r="B114">
        <v>1.33</v>
      </c>
    </row>
    <row r="115" spans="1:2" x14ac:dyDescent="0.3">
      <c r="A115" s="9" t="s">
        <v>423</v>
      </c>
      <c r="B115">
        <v>1.33</v>
      </c>
    </row>
    <row r="116" spans="1:2" x14ac:dyDescent="0.3">
      <c r="A116" s="9" t="s">
        <v>425</v>
      </c>
      <c r="B116">
        <v>1.33</v>
      </c>
    </row>
    <row r="117" spans="1:2" x14ac:dyDescent="0.3">
      <c r="A117" s="12" t="s">
        <v>430</v>
      </c>
      <c r="B117">
        <v>1.8</v>
      </c>
    </row>
    <row r="118" spans="1:2" x14ac:dyDescent="0.3">
      <c r="A118" s="12" t="s">
        <v>437</v>
      </c>
      <c r="B118">
        <v>2</v>
      </c>
    </row>
    <row r="119" spans="1:2" x14ac:dyDescent="0.3">
      <c r="A119" s="9" t="s">
        <v>439</v>
      </c>
      <c r="B119">
        <v>1.4</v>
      </c>
    </row>
    <row r="120" spans="1:2" x14ac:dyDescent="0.3">
      <c r="A120" s="12" t="s">
        <v>445</v>
      </c>
      <c r="B120">
        <v>2.2000000000000002</v>
      </c>
    </row>
    <row r="121" spans="1:2" x14ac:dyDescent="0.3">
      <c r="A121" s="12" t="s">
        <v>449</v>
      </c>
      <c r="B121">
        <v>2.2000000000000002</v>
      </c>
    </row>
    <row r="122" spans="1:2" x14ac:dyDescent="0.3">
      <c r="A122" s="12" t="s">
        <v>451</v>
      </c>
      <c r="B122">
        <v>2.2999999999999998</v>
      </c>
    </row>
    <row r="123" spans="1:2" x14ac:dyDescent="0.3">
      <c r="A123" s="12" t="s">
        <v>461</v>
      </c>
      <c r="B123">
        <v>2.2999999999999998</v>
      </c>
    </row>
    <row r="124" spans="1:2" x14ac:dyDescent="0.3">
      <c r="A124" s="9" t="s">
        <v>471</v>
      </c>
      <c r="B124">
        <v>1.7</v>
      </c>
    </row>
    <row r="125" spans="1:2" x14ac:dyDescent="0.3">
      <c r="A125" s="9" t="s">
        <v>473</v>
      </c>
      <c r="B125">
        <v>2.1</v>
      </c>
    </row>
    <row r="126" spans="1:2" x14ac:dyDescent="0.3">
      <c r="A126" s="12" t="s">
        <v>480</v>
      </c>
      <c r="B126">
        <v>2.5</v>
      </c>
    </row>
    <row r="127" spans="1:2" x14ac:dyDescent="0.3">
      <c r="A127" s="9" t="s">
        <v>484</v>
      </c>
      <c r="B127">
        <v>1.55</v>
      </c>
    </row>
    <row r="128" spans="1:2" x14ac:dyDescent="0.3">
      <c r="A128" s="9" t="s">
        <v>487</v>
      </c>
      <c r="B128">
        <v>1.8</v>
      </c>
    </row>
    <row r="129" spans="1:2" x14ac:dyDescent="0.3">
      <c r="A129" s="12" t="s">
        <v>492</v>
      </c>
      <c r="B129">
        <v>1.4</v>
      </c>
    </row>
    <row r="130" spans="1:2" x14ac:dyDescent="0.3">
      <c r="A130" s="12" t="s">
        <v>493</v>
      </c>
      <c r="B130">
        <v>1.7</v>
      </c>
    </row>
    <row r="131" spans="1:2" x14ac:dyDescent="0.3">
      <c r="A131" s="12" t="s">
        <v>500</v>
      </c>
      <c r="B131">
        <v>1.6</v>
      </c>
    </row>
    <row r="132" spans="1:2" x14ac:dyDescent="0.3">
      <c r="A132" s="12" t="s">
        <v>504</v>
      </c>
      <c r="B132">
        <v>1.8</v>
      </c>
    </row>
    <row r="133" spans="1:2" x14ac:dyDescent="0.3">
      <c r="A133" s="12" t="s">
        <v>506</v>
      </c>
      <c r="B133">
        <v>1.8</v>
      </c>
    </row>
    <row r="134" spans="1:2" x14ac:dyDescent="0.3">
      <c r="A134" s="12" t="s">
        <v>508</v>
      </c>
      <c r="B134">
        <v>1.6</v>
      </c>
    </row>
    <row r="135" spans="1:2" x14ac:dyDescent="0.3">
      <c r="A135" s="12" t="s">
        <v>510</v>
      </c>
      <c r="B135">
        <v>1.6</v>
      </c>
    </row>
    <row r="136" spans="1:2" x14ac:dyDescent="0.3">
      <c r="A136" s="9" t="s">
        <v>522</v>
      </c>
      <c r="B136">
        <v>1.33</v>
      </c>
    </row>
    <row r="137" spans="1:2" x14ac:dyDescent="0.3">
      <c r="A137" s="9" t="s">
        <v>29</v>
      </c>
      <c r="B137">
        <v>1.33</v>
      </c>
    </row>
    <row r="138" spans="1:2" x14ac:dyDescent="0.3">
      <c r="A138" s="9" t="s">
        <v>525</v>
      </c>
      <c r="B138">
        <v>1.9</v>
      </c>
    </row>
    <row r="139" spans="1:2" x14ac:dyDescent="0.3">
      <c r="A139" s="12" t="s">
        <v>526</v>
      </c>
      <c r="B139">
        <v>1.9</v>
      </c>
    </row>
    <row r="140" spans="1:2" x14ac:dyDescent="0.3">
      <c r="A140" s="12" t="s">
        <v>528</v>
      </c>
      <c r="B140">
        <v>1.9</v>
      </c>
    </row>
    <row r="141" spans="1:2" x14ac:dyDescent="0.3">
      <c r="A141" s="12" t="s">
        <v>529</v>
      </c>
      <c r="B141">
        <v>1.9</v>
      </c>
    </row>
  </sheetData>
  <phoneticPr fontId="11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048576"/>
  <sheetViews>
    <sheetView topLeftCell="B37" workbookViewId="0">
      <selection activeCell="P4" sqref="P4:P16"/>
    </sheetView>
  </sheetViews>
  <sheetFormatPr defaultColWidth="8.69140625" defaultRowHeight="14.15" x14ac:dyDescent="0.3"/>
  <cols>
    <col min="1" max="1" width="16.07421875" customWidth="1"/>
    <col min="5" max="5" width="14.23046875" style="1" customWidth="1"/>
    <col min="6" max="6" width="17.84375" style="1" customWidth="1"/>
    <col min="7" max="12" width="8.69140625" style="1"/>
    <col min="13" max="13" width="15.84375" customWidth="1"/>
    <col min="17" max="17" width="12.84375"/>
  </cols>
  <sheetData>
    <row r="1" spans="1:16" x14ac:dyDescent="0.3">
      <c r="A1" s="2" t="s">
        <v>596</v>
      </c>
      <c r="B1" s="2" t="s">
        <v>597</v>
      </c>
      <c r="C1" s="2" t="s">
        <v>589</v>
      </c>
    </row>
    <row r="2" spans="1:16" ht="56.6" x14ac:dyDescent="0.3">
      <c r="E2" s="3" t="s">
        <v>598</v>
      </c>
      <c r="F2" s="3" t="s">
        <v>599</v>
      </c>
      <c r="G2" s="3" t="s">
        <v>586</v>
      </c>
      <c r="H2" s="4" t="s">
        <v>600</v>
      </c>
      <c r="I2" s="4" t="s">
        <v>601</v>
      </c>
      <c r="J2" s="4" t="s">
        <v>602</v>
      </c>
      <c r="K2" s="4" t="s">
        <v>588</v>
      </c>
      <c r="L2" s="4" t="s">
        <v>589</v>
      </c>
    </row>
    <row r="3" spans="1:16" x14ac:dyDescent="0.3">
      <c r="E3" s="5" t="s">
        <v>603</v>
      </c>
      <c r="F3" s="5" t="s">
        <v>604</v>
      </c>
      <c r="G3" s="5" t="s">
        <v>94</v>
      </c>
      <c r="H3" s="4">
        <v>810.44</v>
      </c>
      <c r="I3" s="4"/>
      <c r="K3" s="4">
        <v>360.24</v>
      </c>
      <c r="L3" s="4"/>
    </row>
    <row r="4" spans="1:16" x14ac:dyDescent="0.3">
      <c r="E4" s="5" t="s">
        <v>603</v>
      </c>
      <c r="F4" s="5" t="s">
        <v>605</v>
      </c>
      <c r="G4" s="5" t="s">
        <v>94</v>
      </c>
      <c r="H4" s="4">
        <v>538.27</v>
      </c>
      <c r="I4" s="4">
        <v>420</v>
      </c>
      <c r="K4" s="4"/>
      <c r="L4" s="4">
        <v>50</v>
      </c>
      <c r="M4" s="6" t="s">
        <v>605</v>
      </c>
      <c r="N4" s="6" t="s">
        <v>94</v>
      </c>
      <c r="O4" s="6">
        <v>258.57</v>
      </c>
      <c r="P4">
        <f>O4+L4</f>
        <v>308.57</v>
      </c>
    </row>
    <row r="5" spans="1:16" x14ac:dyDescent="0.3">
      <c r="E5" s="5" t="s">
        <v>603</v>
      </c>
      <c r="F5" s="5" t="s">
        <v>606</v>
      </c>
      <c r="G5" s="5" t="s">
        <v>94</v>
      </c>
      <c r="H5" s="4">
        <v>459.78</v>
      </c>
      <c r="I5" s="4">
        <v>370</v>
      </c>
      <c r="K5" s="4"/>
      <c r="L5" s="4">
        <v>50</v>
      </c>
      <c r="M5" s="6" t="s">
        <v>606</v>
      </c>
      <c r="N5" s="6" t="s">
        <v>94</v>
      </c>
      <c r="O5" s="6">
        <v>178.71</v>
      </c>
      <c r="P5">
        <f t="shared" ref="P5:P45" si="0">O5+L5</f>
        <v>228.71</v>
      </c>
    </row>
    <row r="6" spans="1:16" x14ac:dyDescent="0.3">
      <c r="E6" s="5" t="s">
        <v>603</v>
      </c>
      <c r="F6" s="5" t="s">
        <v>607</v>
      </c>
      <c r="G6" s="5" t="s">
        <v>94</v>
      </c>
      <c r="H6" s="4">
        <v>533.96</v>
      </c>
      <c r="I6" s="4">
        <v>330</v>
      </c>
      <c r="K6" s="4"/>
      <c r="L6" s="4">
        <v>50</v>
      </c>
      <c r="M6" s="6" t="s">
        <v>607</v>
      </c>
      <c r="N6" s="6" t="s">
        <v>94</v>
      </c>
      <c r="O6" s="6">
        <v>243.06</v>
      </c>
      <c r="P6">
        <f t="shared" si="0"/>
        <v>293.06</v>
      </c>
    </row>
    <row r="7" spans="1:16" x14ac:dyDescent="0.3">
      <c r="E7" s="5" t="s">
        <v>603</v>
      </c>
      <c r="F7" s="5" t="s">
        <v>608</v>
      </c>
      <c r="G7" s="5" t="s">
        <v>94</v>
      </c>
      <c r="H7" s="4">
        <v>525.35</v>
      </c>
      <c r="I7" s="4">
        <v>420</v>
      </c>
      <c r="K7" s="4"/>
      <c r="L7" s="4">
        <v>50</v>
      </c>
      <c r="M7" s="6" t="s">
        <v>608</v>
      </c>
      <c r="N7" s="6" t="s">
        <v>94</v>
      </c>
      <c r="O7" s="6">
        <v>236.66</v>
      </c>
      <c r="P7">
        <f t="shared" si="0"/>
        <v>286.66000000000003</v>
      </c>
    </row>
    <row r="8" spans="1:16" x14ac:dyDescent="0.3">
      <c r="E8" s="5" t="s">
        <v>603</v>
      </c>
      <c r="F8" s="5" t="s">
        <v>609</v>
      </c>
      <c r="G8" s="5" t="s">
        <v>94</v>
      </c>
      <c r="H8" s="4">
        <v>525.35</v>
      </c>
      <c r="I8" s="4">
        <v>420</v>
      </c>
      <c r="K8" s="4"/>
      <c r="L8" s="4">
        <v>50</v>
      </c>
      <c r="M8" s="6" t="s">
        <v>609</v>
      </c>
      <c r="N8" s="6" t="s">
        <v>94</v>
      </c>
      <c r="O8" s="6">
        <v>194.77</v>
      </c>
      <c r="P8">
        <f t="shared" si="0"/>
        <v>244.77</v>
      </c>
    </row>
    <row r="9" spans="1:16" x14ac:dyDescent="0.3">
      <c r="E9" s="5" t="s">
        <v>603</v>
      </c>
      <c r="F9" s="5" t="s">
        <v>610</v>
      </c>
      <c r="G9" s="5" t="s">
        <v>94</v>
      </c>
      <c r="H9" s="4">
        <v>516.75</v>
      </c>
      <c r="I9" s="4">
        <v>420</v>
      </c>
      <c r="K9" s="4"/>
      <c r="L9" s="4">
        <v>50</v>
      </c>
      <c r="M9" s="6" t="s">
        <v>610</v>
      </c>
      <c r="N9" s="6" t="s">
        <v>94</v>
      </c>
      <c r="O9" s="6">
        <v>381.94</v>
      </c>
      <c r="P9">
        <f t="shared" si="0"/>
        <v>431.94</v>
      </c>
    </row>
    <row r="10" spans="1:16" x14ac:dyDescent="0.3">
      <c r="E10" s="5" t="s">
        <v>603</v>
      </c>
      <c r="F10" s="5" t="s">
        <v>611</v>
      </c>
      <c r="G10" s="5" t="s">
        <v>94</v>
      </c>
      <c r="H10" s="4">
        <v>534.47</v>
      </c>
      <c r="I10" s="4">
        <v>370</v>
      </c>
      <c r="K10" s="4"/>
      <c r="L10" s="4">
        <v>50</v>
      </c>
      <c r="M10" s="6" t="s">
        <v>611</v>
      </c>
      <c r="N10" s="6" t="s">
        <v>94</v>
      </c>
      <c r="O10" s="6">
        <v>209.42</v>
      </c>
      <c r="P10">
        <f t="shared" si="0"/>
        <v>259.42</v>
      </c>
    </row>
    <row r="11" spans="1:16" x14ac:dyDescent="0.3">
      <c r="E11" s="5" t="s">
        <v>612</v>
      </c>
      <c r="F11" s="5" t="s">
        <v>613</v>
      </c>
      <c r="G11" s="5" t="s">
        <v>94</v>
      </c>
      <c r="H11" s="4">
        <v>529.66</v>
      </c>
      <c r="I11" s="4">
        <v>470</v>
      </c>
      <c r="K11" s="4"/>
      <c r="L11" s="4">
        <v>50</v>
      </c>
      <c r="M11" s="6" t="s">
        <v>613</v>
      </c>
      <c r="N11" s="6" t="s">
        <v>94</v>
      </c>
      <c r="O11" s="6">
        <v>451.39</v>
      </c>
      <c r="P11">
        <f t="shared" si="0"/>
        <v>501.39</v>
      </c>
    </row>
    <row r="12" spans="1:16" x14ac:dyDescent="0.3">
      <c r="E12" s="5" t="s">
        <v>612</v>
      </c>
      <c r="F12" s="5" t="s">
        <v>614</v>
      </c>
      <c r="G12" s="5" t="s">
        <v>94</v>
      </c>
      <c r="H12" s="4">
        <v>534.72</v>
      </c>
      <c r="I12" s="4">
        <v>470</v>
      </c>
      <c r="K12" s="4"/>
      <c r="L12" s="4">
        <v>50</v>
      </c>
      <c r="M12" s="6" t="s">
        <v>614</v>
      </c>
      <c r="N12" s="6" t="s">
        <v>94</v>
      </c>
      <c r="O12" s="6">
        <v>241.64</v>
      </c>
      <c r="P12">
        <f t="shared" si="0"/>
        <v>291.64</v>
      </c>
    </row>
    <row r="13" spans="1:16" x14ac:dyDescent="0.3">
      <c r="E13" s="5" t="s">
        <v>612</v>
      </c>
      <c r="F13" s="5" t="s">
        <v>615</v>
      </c>
      <c r="G13" s="5" t="s">
        <v>94</v>
      </c>
      <c r="H13" s="4">
        <v>394.21</v>
      </c>
      <c r="I13" s="4">
        <v>430</v>
      </c>
      <c r="K13" s="4"/>
      <c r="L13" s="4">
        <v>50</v>
      </c>
      <c r="M13" s="6" t="s">
        <v>615</v>
      </c>
      <c r="N13" s="6" t="s">
        <v>94</v>
      </c>
      <c r="O13" s="6">
        <v>220.38</v>
      </c>
      <c r="P13">
        <f t="shared" si="0"/>
        <v>270.38</v>
      </c>
    </row>
    <row r="14" spans="1:16" x14ac:dyDescent="0.3">
      <c r="E14" s="5" t="s">
        <v>612</v>
      </c>
      <c r="F14" s="5" t="s">
        <v>616</v>
      </c>
      <c r="G14" s="5" t="s">
        <v>94</v>
      </c>
      <c r="H14" s="4">
        <v>538.27</v>
      </c>
      <c r="I14" s="4">
        <v>400</v>
      </c>
      <c r="K14" s="4"/>
      <c r="L14" s="4">
        <v>50</v>
      </c>
      <c r="M14" s="6" t="s">
        <v>616</v>
      </c>
      <c r="N14" s="6" t="s">
        <v>94</v>
      </c>
      <c r="O14" s="6">
        <v>202.15</v>
      </c>
      <c r="P14">
        <f t="shared" si="0"/>
        <v>252.15</v>
      </c>
    </row>
    <row r="15" spans="1:16" x14ac:dyDescent="0.3">
      <c r="E15" s="5" t="s">
        <v>612</v>
      </c>
      <c r="F15" s="5" t="s">
        <v>617</v>
      </c>
      <c r="G15" s="5" t="s">
        <v>94</v>
      </c>
      <c r="H15" s="4">
        <v>529.66</v>
      </c>
      <c r="I15" s="4">
        <v>400</v>
      </c>
      <c r="K15" s="4"/>
      <c r="L15" s="4">
        <v>50</v>
      </c>
      <c r="M15" s="6" t="s">
        <v>617</v>
      </c>
      <c r="N15" s="6" t="s">
        <v>94</v>
      </c>
      <c r="O15" s="6">
        <v>179.8</v>
      </c>
      <c r="P15">
        <f t="shared" si="0"/>
        <v>229.8</v>
      </c>
    </row>
    <row r="16" spans="1:16" x14ac:dyDescent="0.3">
      <c r="E16" s="5" t="s">
        <v>612</v>
      </c>
      <c r="F16" s="5" t="s">
        <v>618</v>
      </c>
      <c r="G16" s="5" t="s">
        <v>94</v>
      </c>
      <c r="H16" s="4">
        <v>543.08000000000004</v>
      </c>
      <c r="I16" s="4">
        <v>430</v>
      </c>
      <c r="K16" s="4"/>
      <c r="L16" s="4">
        <v>50</v>
      </c>
      <c r="M16" s="6" t="s">
        <v>618</v>
      </c>
      <c r="N16" s="6" t="s">
        <v>94</v>
      </c>
      <c r="O16" s="6">
        <v>231.77</v>
      </c>
      <c r="P16">
        <f t="shared" si="0"/>
        <v>281.77</v>
      </c>
    </row>
    <row r="17" spans="5:17" x14ac:dyDescent="0.3">
      <c r="E17" s="5" t="s">
        <v>619</v>
      </c>
      <c r="F17" s="5" t="s">
        <v>620</v>
      </c>
      <c r="G17" s="5" t="s">
        <v>94</v>
      </c>
      <c r="H17" s="4">
        <v>538.27</v>
      </c>
      <c r="J17" s="4">
        <v>500</v>
      </c>
      <c r="K17" s="4"/>
      <c r="L17" s="4">
        <v>50</v>
      </c>
      <c r="P17">
        <f t="shared" si="0"/>
        <v>50</v>
      </c>
    </row>
    <row r="18" spans="5:17" x14ac:dyDescent="0.3">
      <c r="E18" s="5" t="s">
        <v>619</v>
      </c>
      <c r="F18" s="5" t="s">
        <v>621</v>
      </c>
      <c r="G18" s="5" t="s">
        <v>94</v>
      </c>
      <c r="H18" s="4">
        <v>525.61</v>
      </c>
      <c r="J18" s="4">
        <v>500</v>
      </c>
      <c r="K18" s="4"/>
      <c r="L18" s="4">
        <v>50</v>
      </c>
      <c r="P18">
        <f t="shared" si="0"/>
        <v>50</v>
      </c>
    </row>
    <row r="19" spans="5:17" x14ac:dyDescent="0.3">
      <c r="E19" s="5" t="s">
        <v>619</v>
      </c>
      <c r="F19" s="5" t="s">
        <v>622</v>
      </c>
      <c r="G19" s="5" t="s">
        <v>94</v>
      </c>
      <c r="H19" s="4">
        <v>538.52</v>
      </c>
      <c r="J19" s="4">
        <v>480</v>
      </c>
      <c r="K19" s="4"/>
      <c r="L19" s="4">
        <v>50</v>
      </c>
      <c r="P19">
        <f t="shared" si="0"/>
        <v>50</v>
      </c>
    </row>
    <row r="20" spans="5:17" x14ac:dyDescent="0.3">
      <c r="E20" s="5" t="s">
        <v>619</v>
      </c>
      <c r="F20" s="5" t="s">
        <v>623</v>
      </c>
      <c r="G20" s="5" t="s">
        <v>94</v>
      </c>
      <c r="H20" s="4">
        <v>538.77</v>
      </c>
      <c r="J20" s="4">
        <v>470</v>
      </c>
      <c r="K20" s="4"/>
      <c r="L20" s="4">
        <v>50</v>
      </c>
      <c r="P20">
        <f t="shared" si="0"/>
        <v>50</v>
      </c>
    </row>
    <row r="21" spans="5:17" x14ac:dyDescent="0.3">
      <c r="E21" s="5" t="s">
        <v>619</v>
      </c>
      <c r="F21" s="5" t="s">
        <v>624</v>
      </c>
      <c r="G21" s="5" t="s">
        <v>94</v>
      </c>
      <c r="H21" s="4">
        <v>547.38</v>
      </c>
      <c r="J21" s="4">
        <v>470</v>
      </c>
      <c r="K21" s="4"/>
      <c r="L21" s="4">
        <v>50</v>
      </c>
      <c r="P21">
        <f t="shared" si="0"/>
        <v>50</v>
      </c>
    </row>
    <row r="22" spans="5:17" x14ac:dyDescent="0.3">
      <c r="E22" s="5" t="s">
        <v>619</v>
      </c>
      <c r="F22" s="5" t="s">
        <v>625</v>
      </c>
      <c r="G22" s="5" t="s">
        <v>94</v>
      </c>
      <c r="H22" s="4">
        <v>542.82000000000005</v>
      </c>
      <c r="J22" s="4">
        <v>470</v>
      </c>
      <c r="K22" s="4"/>
      <c r="L22" s="4">
        <v>50</v>
      </c>
      <c r="P22">
        <f t="shared" si="0"/>
        <v>50</v>
      </c>
    </row>
    <row r="23" spans="5:17" x14ac:dyDescent="0.3">
      <c r="E23" s="5" t="s">
        <v>626</v>
      </c>
      <c r="F23" s="5" t="s">
        <v>627</v>
      </c>
      <c r="G23" s="5" t="s">
        <v>94</v>
      </c>
      <c r="H23" s="4">
        <v>534.47</v>
      </c>
      <c r="I23" s="4"/>
      <c r="J23" s="4">
        <v>500</v>
      </c>
      <c r="K23" s="4"/>
      <c r="L23" s="4">
        <v>50</v>
      </c>
      <c r="P23">
        <f t="shared" si="0"/>
        <v>50</v>
      </c>
    </row>
    <row r="24" spans="5:17" x14ac:dyDescent="0.3">
      <c r="E24" s="5" t="s">
        <v>626</v>
      </c>
      <c r="F24" s="5" t="s">
        <v>628</v>
      </c>
      <c r="G24" s="5" t="s">
        <v>94</v>
      </c>
      <c r="H24" s="4">
        <v>525.86</v>
      </c>
      <c r="I24" s="4"/>
      <c r="J24" s="4">
        <v>430</v>
      </c>
      <c r="K24" s="4"/>
      <c r="L24" s="4">
        <v>50</v>
      </c>
      <c r="P24">
        <f t="shared" si="0"/>
        <v>50</v>
      </c>
    </row>
    <row r="25" spans="5:17" x14ac:dyDescent="0.3">
      <c r="E25" s="5" t="s">
        <v>626</v>
      </c>
      <c r="F25" s="5" t="s">
        <v>629</v>
      </c>
      <c r="G25" s="5" t="s">
        <v>94</v>
      </c>
      <c r="H25" s="4">
        <v>530.16</v>
      </c>
      <c r="I25" s="4"/>
      <c r="J25" s="4">
        <v>470</v>
      </c>
      <c r="K25" s="4"/>
      <c r="L25" s="4">
        <v>50</v>
      </c>
      <c r="P25">
        <f t="shared" si="0"/>
        <v>50</v>
      </c>
    </row>
    <row r="26" spans="5:17" x14ac:dyDescent="0.3">
      <c r="E26" s="5" t="s">
        <v>626</v>
      </c>
      <c r="F26" s="5" t="s">
        <v>630</v>
      </c>
      <c r="G26" s="5" t="s">
        <v>94</v>
      </c>
      <c r="H26" s="4">
        <v>543.08000000000004</v>
      </c>
      <c r="I26" s="4"/>
      <c r="J26" s="4">
        <v>470</v>
      </c>
      <c r="K26" s="4"/>
      <c r="L26" s="4">
        <v>50</v>
      </c>
      <c r="P26">
        <f t="shared" si="0"/>
        <v>50</v>
      </c>
    </row>
    <row r="27" spans="5:17" x14ac:dyDescent="0.3">
      <c r="E27" s="5" t="s">
        <v>626</v>
      </c>
      <c r="F27" s="5" t="s">
        <v>631</v>
      </c>
      <c r="G27" s="5" t="s">
        <v>94</v>
      </c>
      <c r="H27" s="4">
        <v>231.92</v>
      </c>
      <c r="I27" s="4"/>
      <c r="J27" s="4">
        <v>430</v>
      </c>
      <c r="K27" s="4"/>
      <c r="L27" s="4">
        <v>50</v>
      </c>
      <c r="P27">
        <f t="shared" si="0"/>
        <v>50</v>
      </c>
    </row>
    <row r="28" spans="5:17" x14ac:dyDescent="0.3">
      <c r="E28" s="5" t="s">
        <v>626</v>
      </c>
      <c r="F28" s="5" t="s">
        <v>632</v>
      </c>
      <c r="G28" s="5" t="s">
        <v>94</v>
      </c>
      <c r="H28" s="4">
        <v>236.73</v>
      </c>
      <c r="I28" s="4"/>
      <c r="J28" s="4">
        <v>430</v>
      </c>
      <c r="K28" s="4"/>
      <c r="L28" s="4">
        <v>50</v>
      </c>
      <c r="M28" s="6" t="s">
        <v>632</v>
      </c>
      <c r="N28" s="6" t="s">
        <v>94</v>
      </c>
      <c r="O28" s="6">
        <v>170.79</v>
      </c>
      <c r="P28">
        <f t="shared" si="0"/>
        <v>220.79</v>
      </c>
      <c r="Q28">
        <f>P28/260</f>
        <v>0.84919230769230802</v>
      </c>
    </row>
    <row r="29" spans="5:17" x14ac:dyDescent="0.3">
      <c r="E29" s="5" t="s">
        <v>626</v>
      </c>
      <c r="F29" s="5" t="s">
        <v>633</v>
      </c>
      <c r="G29" s="5" t="s">
        <v>94</v>
      </c>
      <c r="H29" s="4">
        <v>241.03</v>
      </c>
      <c r="I29" s="4"/>
      <c r="J29" s="4">
        <v>430</v>
      </c>
      <c r="K29" s="4"/>
      <c r="L29" s="4">
        <v>50</v>
      </c>
      <c r="M29" s="6" t="s">
        <v>633</v>
      </c>
      <c r="N29" s="6" t="s">
        <v>94</v>
      </c>
      <c r="O29" s="6">
        <v>176.22</v>
      </c>
      <c r="P29">
        <f t="shared" si="0"/>
        <v>226.22</v>
      </c>
      <c r="Q29">
        <f t="shared" ref="Q29:Q45" si="1">P29/260</f>
        <v>0.87007692307692297</v>
      </c>
    </row>
    <row r="30" spans="5:17" x14ac:dyDescent="0.3">
      <c r="E30" s="5" t="s">
        <v>626</v>
      </c>
      <c r="F30" s="5" t="s">
        <v>634</v>
      </c>
      <c r="G30" s="5" t="s">
        <v>94</v>
      </c>
      <c r="H30" s="4">
        <v>192.42</v>
      </c>
      <c r="I30" s="4"/>
      <c r="J30" s="4">
        <v>470</v>
      </c>
      <c r="K30" s="4"/>
      <c r="L30" s="4">
        <v>50</v>
      </c>
      <c r="M30" s="6" t="s">
        <v>634</v>
      </c>
      <c r="N30" s="6" t="s">
        <v>94</v>
      </c>
      <c r="O30" s="6">
        <v>223.96</v>
      </c>
      <c r="P30">
        <f t="shared" si="0"/>
        <v>273.95999999999998</v>
      </c>
      <c r="Q30">
        <f t="shared" si="1"/>
        <v>1.0536923076923099</v>
      </c>
    </row>
    <row r="31" spans="5:17" x14ac:dyDescent="0.3">
      <c r="E31" s="5" t="s">
        <v>635</v>
      </c>
      <c r="F31" s="5" t="s">
        <v>636</v>
      </c>
      <c r="G31" s="5" t="s">
        <v>94</v>
      </c>
      <c r="H31" s="4">
        <v>499.02</v>
      </c>
      <c r="I31" s="4"/>
      <c r="J31" s="4">
        <v>470</v>
      </c>
      <c r="K31" s="4"/>
      <c r="L31" s="4">
        <v>70</v>
      </c>
      <c r="M31" s="6" t="s">
        <v>636</v>
      </c>
      <c r="N31" s="6" t="s">
        <v>94</v>
      </c>
      <c r="O31" s="6">
        <v>278.97000000000003</v>
      </c>
      <c r="P31">
        <f t="shared" si="0"/>
        <v>348.97</v>
      </c>
      <c r="Q31">
        <f t="shared" si="1"/>
        <v>1.3421923076923099</v>
      </c>
    </row>
    <row r="32" spans="5:17" x14ac:dyDescent="0.3">
      <c r="E32" s="5" t="s">
        <v>635</v>
      </c>
      <c r="F32" s="5" t="s">
        <v>637</v>
      </c>
      <c r="G32" s="5" t="s">
        <v>94</v>
      </c>
      <c r="H32" s="4">
        <v>499.02</v>
      </c>
      <c r="I32" s="4"/>
      <c r="J32" s="4">
        <v>470</v>
      </c>
      <c r="K32" s="4"/>
      <c r="L32" s="4">
        <v>50</v>
      </c>
      <c r="M32" s="6" t="s">
        <v>637</v>
      </c>
      <c r="N32" s="6" t="s">
        <v>94</v>
      </c>
      <c r="O32" s="6">
        <v>231.23</v>
      </c>
      <c r="P32">
        <f t="shared" si="0"/>
        <v>281.23</v>
      </c>
      <c r="Q32">
        <f t="shared" si="1"/>
        <v>1.0816538461538501</v>
      </c>
    </row>
    <row r="33" spans="5:17" x14ac:dyDescent="0.3">
      <c r="E33" s="5" t="s">
        <v>635</v>
      </c>
      <c r="F33" s="5" t="s">
        <v>638</v>
      </c>
      <c r="G33" s="5" t="s">
        <v>94</v>
      </c>
      <c r="H33" s="4">
        <v>481.55</v>
      </c>
      <c r="I33" s="4"/>
      <c r="J33" s="4">
        <v>400</v>
      </c>
      <c r="K33" s="4"/>
      <c r="L33" s="4">
        <v>50</v>
      </c>
      <c r="M33" s="6" t="s">
        <v>638</v>
      </c>
      <c r="N33" s="6" t="s">
        <v>94</v>
      </c>
      <c r="O33" s="6">
        <v>179.69</v>
      </c>
      <c r="P33">
        <f t="shared" si="0"/>
        <v>229.69</v>
      </c>
      <c r="Q33">
        <f t="shared" si="1"/>
        <v>0.88342307692307698</v>
      </c>
    </row>
    <row r="34" spans="5:17" x14ac:dyDescent="0.3">
      <c r="E34" s="5" t="s">
        <v>635</v>
      </c>
      <c r="F34" s="5" t="s">
        <v>639</v>
      </c>
      <c r="G34" s="5" t="s">
        <v>94</v>
      </c>
      <c r="H34" s="4">
        <v>516.75</v>
      </c>
      <c r="I34" s="4"/>
      <c r="J34" s="4">
        <v>400</v>
      </c>
      <c r="K34" s="4"/>
      <c r="L34" s="4"/>
      <c r="M34" s="6" t="s">
        <v>639</v>
      </c>
      <c r="N34" s="6" t="s">
        <v>94</v>
      </c>
      <c r="O34" s="6">
        <v>266.38</v>
      </c>
      <c r="P34">
        <f t="shared" si="0"/>
        <v>266.38</v>
      </c>
      <c r="Q34">
        <f t="shared" si="1"/>
        <v>1.0245384615384601</v>
      </c>
    </row>
    <row r="35" spans="5:17" x14ac:dyDescent="0.3">
      <c r="E35" s="5" t="s">
        <v>635</v>
      </c>
      <c r="F35" s="5" t="s">
        <v>640</v>
      </c>
      <c r="G35" s="5" t="s">
        <v>94</v>
      </c>
      <c r="H35" s="4">
        <v>512.44000000000005</v>
      </c>
      <c r="I35" s="4"/>
      <c r="J35" s="4">
        <v>470</v>
      </c>
      <c r="K35" s="4"/>
      <c r="L35" s="4"/>
      <c r="M35" s="6" t="s">
        <v>640</v>
      </c>
      <c r="N35" s="6" t="s">
        <v>94</v>
      </c>
      <c r="O35" s="6">
        <v>268.99</v>
      </c>
      <c r="P35">
        <f t="shared" si="0"/>
        <v>268.99</v>
      </c>
      <c r="Q35">
        <f t="shared" si="1"/>
        <v>1.03457692307692</v>
      </c>
    </row>
    <row r="36" spans="5:17" x14ac:dyDescent="0.3">
      <c r="E36" s="5" t="s">
        <v>635</v>
      </c>
      <c r="F36" s="5" t="s">
        <v>641</v>
      </c>
      <c r="G36" s="5" t="s">
        <v>94</v>
      </c>
      <c r="H36" s="4">
        <v>525.61</v>
      </c>
      <c r="I36" s="4"/>
      <c r="J36" s="4">
        <v>470</v>
      </c>
      <c r="K36" s="4"/>
      <c r="L36" s="4"/>
      <c r="M36" s="6" t="s">
        <v>641</v>
      </c>
      <c r="N36" s="6" t="s">
        <v>94</v>
      </c>
      <c r="O36" s="6">
        <v>291.02</v>
      </c>
      <c r="P36">
        <f t="shared" si="0"/>
        <v>291.02</v>
      </c>
      <c r="Q36">
        <f t="shared" si="1"/>
        <v>1.1193076923076899</v>
      </c>
    </row>
    <row r="37" spans="5:17" x14ac:dyDescent="0.3">
      <c r="E37" s="5" t="s">
        <v>635</v>
      </c>
      <c r="F37" s="5" t="s">
        <v>642</v>
      </c>
      <c r="G37" s="5" t="s">
        <v>94</v>
      </c>
      <c r="H37" s="4">
        <v>503.83</v>
      </c>
      <c r="I37" s="4"/>
      <c r="J37" s="4">
        <v>470</v>
      </c>
      <c r="K37" s="4"/>
      <c r="L37" s="4"/>
      <c r="M37" s="6" t="s">
        <v>642</v>
      </c>
      <c r="N37" s="6" t="s">
        <v>94</v>
      </c>
      <c r="O37" s="6">
        <v>304.36</v>
      </c>
      <c r="P37">
        <f t="shared" si="0"/>
        <v>304.36</v>
      </c>
      <c r="Q37">
        <f t="shared" si="1"/>
        <v>1.17061538461538</v>
      </c>
    </row>
    <row r="38" spans="5:17" x14ac:dyDescent="0.3">
      <c r="E38" s="5" t="s">
        <v>635</v>
      </c>
      <c r="F38" s="5" t="s">
        <v>643</v>
      </c>
      <c r="G38" s="5" t="s">
        <v>94</v>
      </c>
      <c r="H38" s="4">
        <v>503.83</v>
      </c>
      <c r="I38" s="4"/>
      <c r="J38" s="4">
        <v>400</v>
      </c>
      <c r="K38" s="4"/>
      <c r="L38" s="4"/>
      <c r="M38" s="6" t="s">
        <v>643</v>
      </c>
      <c r="N38" s="6" t="s">
        <v>94</v>
      </c>
      <c r="O38" s="6">
        <v>267.58</v>
      </c>
      <c r="P38">
        <f t="shared" si="0"/>
        <v>267.58</v>
      </c>
      <c r="Q38">
        <f t="shared" si="1"/>
        <v>1.0291538461538501</v>
      </c>
    </row>
    <row r="39" spans="5:17" x14ac:dyDescent="0.3">
      <c r="E39" s="5" t="s">
        <v>644</v>
      </c>
      <c r="F39" s="5" t="s">
        <v>645</v>
      </c>
      <c r="G39" s="5" t="s">
        <v>94</v>
      </c>
      <c r="H39" s="4">
        <v>490.42</v>
      </c>
      <c r="I39" s="4"/>
      <c r="J39" s="4">
        <v>470</v>
      </c>
      <c r="K39" s="4"/>
      <c r="L39" s="4"/>
      <c r="M39" s="6" t="s">
        <v>645</v>
      </c>
      <c r="N39" s="6" t="s">
        <v>94</v>
      </c>
      <c r="O39" s="6">
        <v>263.13</v>
      </c>
      <c r="P39">
        <f t="shared" si="0"/>
        <v>263.13</v>
      </c>
      <c r="Q39">
        <f t="shared" si="1"/>
        <v>1.0120384615384601</v>
      </c>
    </row>
    <row r="40" spans="5:17" x14ac:dyDescent="0.3">
      <c r="E40" s="5" t="s">
        <v>644</v>
      </c>
      <c r="F40" s="5" t="s">
        <v>646</v>
      </c>
      <c r="G40" s="5" t="s">
        <v>94</v>
      </c>
      <c r="H40" s="4">
        <v>477.25</v>
      </c>
      <c r="I40" s="4"/>
      <c r="J40" s="4">
        <v>430</v>
      </c>
      <c r="K40" s="4"/>
      <c r="L40" s="4"/>
      <c r="M40" s="6" t="s">
        <v>646</v>
      </c>
      <c r="N40" s="6" t="s">
        <v>94</v>
      </c>
      <c r="O40" s="6">
        <v>263.56</v>
      </c>
      <c r="P40">
        <f t="shared" si="0"/>
        <v>263.56</v>
      </c>
      <c r="Q40">
        <f t="shared" si="1"/>
        <v>1.0136923076923099</v>
      </c>
    </row>
    <row r="41" spans="5:17" x14ac:dyDescent="0.3">
      <c r="E41" s="5" t="s">
        <v>644</v>
      </c>
      <c r="F41" s="5" t="s">
        <v>647</v>
      </c>
      <c r="G41" s="5" t="s">
        <v>94</v>
      </c>
      <c r="H41" s="4">
        <v>490.42</v>
      </c>
      <c r="I41" s="4"/>
      <c r="J41" s="4">
        <v>400</v>
      </c>
      <c r="K41" s="4"/>
      <c r="L41" s="4"/>
      <c r="M41" s="6" t="s">
        <v>647</v>
      </c>
      <c r="N41" s="6" t="s">
        <v>94</v>
      </c>
      <c r="O41" s="6">
        <v>233.62</v>
      </c>
      <c r="P41">
        <f t="shared" si="0"/>
        <v>233.62</v>
      </c>
      <c r="Q41">
        <f t="shared" si="1"/>
        <v>0.89853846153846195</v>
      </c>
    </row>
    <row r="42" spans="5:17" x14ac:dyDescent="0.3">
      <c r="E42" s="5" t="s">
        <v>644</v>
      </c>
      <c r="F42" s="5" t="s">
        <v>648</v>
      </c>
      <c r="G42" s="5" t="s">
        <v>94</v>
      </c>
      <c r="H42" s="4">
        <v>494.72</v>
      </c>
      <c r="I42" s="4"/>
      <c r="J42" s="4">
        <v>400</v>
      </c>
      <c r="K42" s="4"/>
      <c r="L42" s="4"/>
      <c r="M42" s="6" t="s">
        <v>648</v>
      </c>
      <c r="N42" s="6" t="s">
        <v>94</v>
      </c>
      <c r="O42" s="6">
        <v>322.7</v>
      </c>
      <c r="P42">
        <f t="shared" si="0"/>
        <v>322.7</v>
      </c>
      <c r="Q42">
        <f t="shared" si="1"/>
        <v>1.24115384615385</v>
      </c>
    </row>
    <row r="43" spans="5:17" x14ac:dyDescent="0.3">
      <c r="E43" s="5" t="s">
        <v>644</v>
      </c>
      <c r="F43" s="5" t="s">
        <v>649</v>
      </c>
      <c r="G43" s="5" t="s">
        <v>94</v>
      </c>
      <c r="H43" s="4">
        <v>503.83</v>
      </c>
      <c r="I43" s="4"/>
      <c r="J43" s="4">
        <v>400</v>
      </c>
      <c r="K43" s="4"/>
      <c r="L43" s="4"/>
      <c r="M43" s="6" t="s">
        <v>649</v>
      </c>
      <c r="N43" s="6" t="s">
        <v>94</v>
      </c>
      <c r="O43" s="6">
        <v>242.51</v>
      </c>
      <c r="P43">
        <f t="shared" si="0"/>
        <v>242.51</v>
      </c>
      <c r="Q43">
        <f t="shared" si="1"/>
        <v>0.93273076923076903</v>
      </c>
    </row>
    <row r="44" spans="5:17" x14ac:dyDescent="0.3">
      <c r="E44" s="5" t="s">
        <v>644</v>
      </c>
      <c r="F44" s="5" t="s">
        <v>650</v>
      </c>
      <c r="G44" s="5" t="s">
        <v>94</v>
      </c>
      <c r="H44" s="4">
        <v>499.02</v>
      </c>
      <c r="I44" s="4"/>
      <c r="J44" s="4">
        <v>400</v>
      </c>
      <c r="K44" s="4"/>
      <c r="L44" s="4"/>
      <c r="M44" s="6" t="s">
        <v>650</v>
      </c>
      <c r="N44" s="6" t="s">
        <v>94</v>
      </c>
      <c r="O44" s="6">
        <v>283.31</v>
      </c>
      <c r="P44">
        <f t="shared" si="0"/>
        <v>283.31</v>
      </c>
      <c r="Q44">
        <f t="shared" si="1"/>
        <v>1.0896538461538501</v>
      </c>
    </row>
    <row r="45" spans="5:17" x14ac:dyDescent="0.3">
      <c r="E45" s="5" t="s">
        <v>644</v>
      </c>
      <c r="F45" s="5" t="s">
        <v>651</v>
      </c>
      <c r="G45" s="5" t="s">
        <v>94</v>
      </c>
      <c r="H45" s="4">
        <v>499.02</v>
      </c>
      <c r="I45" s="4"/>
      <c r="J45" s="4">
        <v>400</v>
      </c>
      <c r="K45" s="4"/>
      <c r="L45" s="4"/>
      <c r="M45" s="6" t="s">
        <v>651</v>
      </c>
      <c r="N45" s="6" t="s">
        <v>94</v>
      </c>
      <c r="O45" s="6">
        <v>263.13</v>
      </c>
      <c r="P45">
        <f t="shared" si="0"/>
        <v>263.13</v>
      </c>
      <c r="Q45">
        <f t="shared" si="1"/>
        <v>1.0120384615384601</v>
      </c>
    </row>
    <row r="1045488" customFormat="1" x14ac:dyDescent="0.3"/>
    <row r="1045489" customFormat="1" x14ac:dyDescent="0.3"/>
    <row r="1045490" customFormat="1" x14ac:dyDescent="0.3"/>
    <row r="1045491" customFormat="1" x14ac:dyDescent="0.3"/>
    <row r="1045492" customFormat="1" x14ac:dyDescent="0.3"/>
    <row r="1045493" customFormat="1" x14ac:dyDescent="0.3"/>
    <row r="1045494" customFormat="1" x14ac:dyDescent="0.3"/>
    <row r="1045495" customFormat="1" x14ac:dyDescent="0.3"/>
    <row r="1045496" customFormat="1" x14ac:dyDescent="0.3"/>
    <row r="1045497" customFormat="1" x14ac:dyDescent="0.3"/>
    <row r="1045498" customFormat="1" x14ac:dyDescent="0.3"/>
    <row r="1045499" customFormat="1" x14ac:dyDescent="0.3"/>
    <row r="1045500" customFormat="1" x14ac:dyDescent="0.3"/>
    <row r="1045501" customFormat="1" x14ac:dyDescent="0.3"/>
    <row r="1045502" customFormat="1" x14ac:dyDescent="0.3"/>
    <row r="1045503" customFormat="1" x14ac:dyDescent="0.3"/>
    <row r="1045504" customFormat="1" x14ac:dyDescent="0.3"/>
    <row r="1045505" customFormat="1" x14ac:dyDescent="0.3"/>
    <row r="1045506" customFormat="1" x14ac:dyDescent="0.3"/>
    <row r="1045507" customFormat="1" x14ac:dyDescent="0.3"/>
    <row r="1045508" customFormat="1" x14ac:dyDescent="0.3"/>
    <row r="1045509" customFormat="1" x14ac:dyDescent="0.3"/>
    <row r="1045510" customFormat="1" x14ac:dyDescent="0.3"/>
    <row r="1045511" customFormat="1" x14ac:dyDescent="0.3"/>
    <row r="1045512" customFormat="1" x14ac:dyDescent="0.3"/>
    <row r="1045513" customFormat="1" x14ac:dyDescent="0.3"/>
    <row r="1045514" customFormat="1" x14ac:dyDescent="0.3"/>
    <row r="1045515" customFormat="1" x14ac:dyDescent="0.3"/>
    <row r="1045516" customFormat="1" x14ac:dyDescent="0.3"/>
    <row r="1045517" customFormat="1" x14ac:dyDescent="0.3"/>
    <row r="1045518" customFormat="1" x14ac:dyDescent="0.3"/>
    <row r="1045519" customFormat="1" x14ac:dyDescent="0.3"/>
    <row r="1045520" customFormat="1" x14ac:dyDescent="0.3"/>
    <row r="1045521" customFormat="1" x14ac:dyDescent="0.3"/>
    <row r="1045522" customFormat="1" x14ac:dyDescent="0.3"/>
    <row r="1045523" customFormat="1" x14ac:dyDescent="0.3"/>
    <row r="1045524" customFormat="1" x14ac:dyDescent="0.3"/>
    <row r="1045525" customFormat="1" x14ac:dyDescent="0.3"/>
    <row r="1045526" customFormat="1" x14ac:dyDescent="0.3"/>
    <row r="1045527" customFormat="1" x14ac:dyDescent="0.3"/>
    <row r="1045528" customFormat="1" x14ac:dyDescent="0.3"/>
    <row r="1045529" customFormat="1" x14ac:dyDescent="0.3"/>
    <row r="1045530" customFormat="1" x14ac:dyDescent="0.3"/>
    <row r="1045531" customFormat="1" x14ac:dyDescent="0.3"/>
    <row r="1045532" customFormat="1" x14ac:dyDescent="0.3"/>
    <row r="1045533" customFormat="1" x14ac:dyDescent="0.3"/>
    <row r="1045534" customFormat="1" x14ac:dyDescent="0.3"/>
    <row r="1045535" customFormat="1" x14ac:dyDescent="0.3"/>
    <row r="1045536" customFormat="1" x14ac:dyDescent="0.3"/>
    <row r="1045537" customFormat="1" x14ac:dyDescent="0.3"/>
    <row r="1045538" customFormat="1" x14ac:dyDescent="0.3"/>
    <row r="1045539" customFormat="1" x14ac:dyDescent="0.3"/>
    <row r="1045540" customFormat="1" x14ac:dyDescent="0.3"/>
    <row r="1045541" customFormat="1" x14ac:dyDescent="0.3"/>
    <row r="1045542" customFormat="1" x14ac:dyDescent="0.3"/>
    <row r="1045543" customFormat="1" x14ac:dyDescent="0.3"/>
    <row r="1045544" customFormat="1" x14ac:dyDescent="0.3"/>
    <row r="1045545" customFormat="1" x14ac:dyDescent="0.3"/>
    <row r="1045546" customFormat="1" x14ac:dyDescent="0.3"/>
    <row r="1045547" customFormat="1" x14ac:dyDescent="0.3"/>
    <row r="1045548" customFormat="1" x14ac:dyDescent="0.3"/>
    <row r="1045549" customFormat="1" x14ac:dyDescent="0.3"/>
    <row r="1045550" customFormat="1" x14ac:dyDescent="0.3"/>
    <row r="1045551" customFormat="1" x14ac:dyDescent="0.3"/>
    <row r="1045552" customFormat="1" x14ac:dyDescent="0.3"/>
    <row r="1045553" customFormat="1" x14ac:dyDescent="0.3"/>
    <row r="1045554" customFormat="1" x14ac:dyDescent="0.3"/>
    <row r="1045555" customFormat="1" x14ac:dyDescent="0.3"/>
    <row r="1045556" customFormat="1" x14ac:dyDescent="0.3"/>
    <row r="1045557" customFormat="1" x14ac:dyDescent="0.3"/>
    <row r="1045558" customFormat="1" x14ac:dyDescent="0.3"/>
    <row r="1045559" customFormat="1" x14ac:dyDescent="0.3"/>
    <row r="1045560" customFormat="1" x14ac:dyDescent="0.3"/>
    <row r="1045561" customFormat="1" x14ac:dyDescent="0.3"/>
    <row r="1045562" customFormat="1" x14ac:dyDescent="0.3"/>
    <row r="1045563" customFormat="1" x14ac:dyDescent="0.3"/>
    <row r="1045564" customFormat="1" x14ac:dyDescent="0.3"/>
    <row r="1045565" customFormat="1" x14ac:dyDescent="0.3"/>
    <row r="1045566" customFormat="1" x14ac:dyDescent="0.3"/>
    <row r="1045567" customFormat="1" x14ac:dyDescent="0.3"/>
    <row r="1045568" customFormat="1" x14ac:dyDescent="0.3"/>
    <row r="1045569" customFormat="1" x14ac:dyDescent="0.3"/>
    <row r="1045570" customFormat="1" x14ac:dyDescent="0.3"/>
    <row r="1045571" customFormat="1" x14ac:dyDescent="0.3"/>
    <row r="1045572" customFormat="1" x14ac:dyDescent="0.3"/>
    <row r="1045573" customFormat="1" x14ac:dyDescent="0.3"/>
    <row r="1045574" customFormat="1" x14ac:dyDescent="0.3"/>
    <row r="1045575" customFormat="1" x14ac:dyDescent="0.3"/>
    <row r="1045576" customFormat="1" x14ac:dyDescent="0.3"/>
    <row r="1045577" customFormat="1" x14ac:dyDescent="0.3"/>
    <row r="1045578" customFormat="1" x14ac:dyDescent="0.3"/>
    <row r="1045579" customFormat="1" x14ac:dyDescent="0.3"/>
    <row r="1045580" customFormat="1" x14ac:dyDescent="0.3"/>
    <row r="1045581" customFormat="1" x14ac:dyDescent="0.3"/>
    <row r="1045582" customFormat="1" x14ac:dyDescent="0.3"/>
    <row r="1045583" customFormat="1" x14ac:dyDescent="0.3"/>
    <row r="1045584" customFormat="1" x14ac:dyDescent="0.3"/>
    <row r="1045585" customFormat="1" x14ac:dyDescent="0.3"/>
    <row r="1045586" customFormat="1" x14ac:dyDescent="0.3"/>
    <row r="1045587" customFormat="1" x14ac:dyDescent="0.3"/>
    <row r="1045588" customFormat="1" x14ac:dyDescent="0.3"/>
    <row r="1045589" customFormat="1" x14ac:dyDescent="0.3"/>
    <row r="1045590" customFormat="1" x14ac:dyDescent="0.3"/>
    <row r="1045591" customFormat="1" x14ac:dyDescent="0.3"/>
    <row r="1045592" customFormat="1" x14ac:dyDescent="0.3"/>
    <row r="1045593" customFormat="1" x14ac:dyDescent="0.3"/>
    <row r="1045594" customFormat="1" x14ac:dyDescent="0.3"/>
    <row r="1045595" customFormat="1" x14ac:dyDescent="0.3"/>
    <row r="1045596" customFormat="1" x14ac:dyDescent="0.3"/>
    <row r="1045597" customFormat="1" x14ac:dyDescent="0.3"/>
    <row r="1045598" customFormat="1" x14ac:dyDescent="0.3"/>
    <row r="1045599" customFormat="1" x14ac:dyDescent="0.3"/>
    <row r="1045600" customFormat="1" x14ac:dyDescent="0.3"/>
    <row r="1045601" customFormat="1" x14ac:dyDescent="0.3"/>
    <row r="1045602" customFormat="1" x14ac:dyDescent="0.3"/>
    <row r="1045603" customFormat="1" x14ac:dyDescent="0.3"/>
    <row r="1045604" customFormat="1" x14ac:dyDescent="0.3"/>
    <row r="1045605" customFormat="1" x14ac:dyDescent="0.3"/>
    <row r="1045606" customFormat="1" x14ac:dyDescent="0.3"/>
    <row r="1045607" customFormat="1" x14ac:dyDescent="0.3"/>
    <row r="1045608" customFormat="1" x14ac:dyDescent="0.3"/>
    <row r="1045609" customFormat="1" x14ac:dyDescent="0.3"/>
    <row r="1045610" customFormat="1" x14ac:dyDescent="0.3"/>
    <row r="1045611" customFormat="1" x14ac:dyDescent="0.3"/>
    <row r="1045612" customFormat="1" x14ac:dyDescent="0.3"/>
    <row r="1045613" customFormat="1" x14ac:dyDescent="0.3"/>
    <row r="1045614" customFormat="1" x14ac:dyDescent="0.3"/>
    <row r="1045615" customFormat="1" x14ac:dyDescent="0.3"/>
    <row r="1045616" customFormat="1" x14ac:dyDescent="0.3"/>
    <row r="1045617" customFormat="1" x14ac:dyDescent="0.3"/>
    <row r="1045618" customFormat="1" x14ac:dyDescent="0.3"/>
    <row r="1045619" customFormat="1" x14ac:dyDescent="0.3"/>
    <row r="1045620" customFormat="1" x14ac:dyDescent="0.3"/>
    <row r="1045621" customFormat="1" x14ac:dyDescent="0.3"/>
    <row r="1045622" customFormat="1" x14ac:dyDescent="0.3"/>
    <row r="1045623" customFormat="1" x14ac:dyDescent="0.3"/>
    <row r="1045624" customFormat="1" x14ac:dyDescent="0.3"/>
    <row r="1045625" customFormat="1" x14ac:dyDescent="0.3"/>
    <row r="1045626" customFormat="1" x14ac:dyDescent="0.3"/>
    <row r="1045627" customFormat="1" x14ac:dyDescent="0.3"/>
    <row r="1045628" customFormat="1" x14ac:dyDescent="0.3"/>
    <row r="1045629" customFormat="1" x14ac:dyDescent="0.3"/>
    <row r="1045630" customFormat="1" x14ac:dyDescent="0.3"/>
    <row r="1045631" customFormat="1" x14ac:dyDescent="0.3"/>
    <row r="1045632" customFormat="1" x14ac:dyDescent="0.3"/>
    <row r="1045633" customFormat="1" x14ac:dyDescent="0.3"/>
    <row r="1045634" customFormat="1" x14ac:dyDescent="0.3"/>
    <row r="1045635" customFormat="1" x14ac:dyDescent="0.3"/>
    <row r="1045636" customFormat="1" x14ac:dyDescent="0.3"/>
    <row r="1045637" customFormat="1" x14ac:dyDescent="0.3"/>
    <row r="1045638" customFormat="1" x14ac:dyDescent="0.3"/>
    <row r="1045639" customFormat="1" x14ac:dyDescent="0.3"/>
    <row r="1045640" customFormat="1" x14ac:dyDescent="0.3"/>
    <row r="1045641" customFormat="1" x14ac:dyDescent="0.3"/>
    <row r="1045642" customFormat="1" x14ac:dyDescent="0.3"/>
    <row r="1045643" customFormat="1" x14ac:dyDescent="0.3"/>
    <row r="1045644" customFormat="1" x14ac:dyDescent="0.3"/>
    <row r="1045645" customFormat="1" x14ac:dyDescent="0.3"/>
    <row r="1045646" customFormat="1" x14ac:dyDescent="0.3"/>
    <row r="1045647" customFormat="1" x14ac:dyDescent="0.3"/>
    <row r="1045648" customFormat="1" x14ac:dyDescent="0.3"/>
    <row r="1045649" customFormat="1" x14ac:dyDescent="0.3"/>
    <row r="1045650" customFormat="1" x14ac:dyDescent="0.3"/>
    <row r="1045651" customFormat="1" x14ac:dyDescent="0.3"/>
    <row r="1045652" customFormat="1" x14ac:dyDescent="0.3"/>
    <row r="1045653" customFormat="1" x14ac:dyDescent="0.3"/>
    <row r="1045654" customFormat="1" x14ac:dyDescent="0.3"/>
    <row r="1045655" customFormat="1" x14ac:dyDescent="0.3"/>
    <row r="1045656" customFormat="1" x14ac:dyDescent="0.3"/>
    <row r="1045657" customFormat="1" x14ac:dyDescent="0.3"/>
    <row r="1045658" customFormat="1" x14ac:dyDescent="0.3"/>
    <row r="1045659" customFormat="1" x14ac:dyDescent="0.3"/>
    <row r="1045660" customFormat="1" x14ac:dyDescent="0.3"/>
    <row r="1045661" customFormat="1" x14ac:dyDescent="0.3"/>
    <row r="1045662" customFormat="1" x14ac:dyDescent="0.3"/>
    <row r="1045663" customFormat="1" x14ac:dyDescent="0.3"/>
    <row r="1045664" customFormat="1" x14ac:dyDescent="0.3"/>
    <row r="1045665" customFormat="1" x14ac:dyDescent="0.3"/>
    <row r="1045666" customFormat="1" x14ac:dyDescent="0.3"/>
    <row r="1045667" customFormat="1" x14ac:dyDescent="0.3"/>
    <row r="1045668" customFormat="1" x14ac:dyDescent="0.3"/>
    <row r="1045669" customFormat="1" x14ac:dyDescent="0.3"/>
    <row r="1045670" customFormat="1" x14ac:dyDescent="0.3"/>
    <row r="1045671" customFormat="1" x14ac:dyDescent="0.3"/>
    <row r="1045672" customFormat="1" x14ac:dyDescent="0.3"/>
    <row r="1045673" customFormat="1" x14ac:dyDescent="0.3"/>
    <row r="1045674" customFormat="1" x14ac:dyDescent="0.3"/>
    <row r="1045675" customFormat="1" x14ac:dyDescent="0.3"/>
    <row r="1045676" customFormat="1" x14ac:dyDescent="0.3"/>
    <row r="1045677" customFormat="1" x14ac:dyDescent="0.3"/>
    <row r="1045678" customFormat="1" x14ac:dyDescent="0.3"/>
    <row r="1045679" customFormat="1" x14ac:dyDescent="0.3"/>
    <row r="1045680" customFormat="1" x14ac:dyDescent="0.3"/>
    <row r="1045681" customFormat="1" x14ac:dyDescent="0.3"/>
    <row r="1045682" customFormat="1" x14ac:dyDescent="0.3"/>
    <row r="1045683" customFormat="1" x14ac:dyDescent="0.3"/>
    <row r="1045684" customFormat="1" x14ac:dyDescent="0.3"/>
    <row r="1045685" customFormat="1" x14ac:dyDescent="0.3"/>
    <row r="1045686" customFormat="1" x14ac:dyDescent="0.3"/>
    <row r="1045687" customFormat="1" x14ac:dyDescent="0.3"/>
    <row r="1045688" customFormat="1" x14ac:dyDescent="0.3"/>
    <row r="1045689" customFormat="1" x14ac:dyDescent="0.3"/>
    <row r="1045690" customFormat="1" x14ac:dyDescent="0.3"/>
    <row r="1045691" customFormat="1" x14ac:dyDescent="0.3"/>
    <row r="1045692" customFormat="1" x14ac:dyDescent="0.3"/>
    <row r="1045693" customFormat="1" x14ac:dyDescent="0.3"/>
    <row r="1045694" customFormat="1" x14ac:dyDescent="0.3"/>
    <row r="1045695" customFormat="1" x14ac:dyDescent="0.3"/>
    <row r="1045696" customFormat="1" x14ac:dyDescent="0.3"/>
    <row r="1045697" customFormat="1" x14ac:dyDescent="0.3"/>
    <row r="1045698" customFormat="1" x14ac:dyDescent="0.3"/>
    <row r="1045699" customFormat="1" x14ac:dyDescent="0.3"/>
    <row r="1045700" customFormat="1" x14ac:dyDescent="0.3"/>
    <row r="1045701" customFormat="1" x14ac:dyDescent="0.3"/>
    <row r="1045702" customFormat="1" x14ac:dyDescent="0.3"/>
    <row r="1045703" customFormat="1" x14ac:dyDescent="0.3"/>
    <row r="1045704" customFormat="1" x14ac:dyDescent="0.3"/>
    <row r="1045705" customFormat="1" x14ac:dyDescent="0.3"/>
    <row r="1045706" customFormat="1" x14ac:dyDescent="0.3"/>
    <row r="1045707" customFormat="1" x14ac:dyDescent="0.3"/>
    <row r="1045708" customFormat="1" x14ac:dyDescent="0.3"/>
    <row r="1045709" customFormat="1" x14ac:dyDescent="0.3"/>
    <row r="1045710" customFormat="1" x14ac:dyDescent="0.3"/>
    <row r="1045711" customFormat="1" x14ac:dyDescent="0.3"/>
    <row r="1045712" customFormat="1" x14ac:dyDescent="0.3"/>
    <row r="1045713" customFormat="1" x14ac:dyDescent="0.3"/>
    <row r="1045714" customFormat="1" x14ac:dyDescent="0.3"/>
    <row r="1045715" customFormat="1" x14ac:dyDescent="0.3"/>
    <row r="1045716" customFormat="1" x14ac:dyDescent="0.3"/>
    <row r="1045717" customFormat="1" x14ac:dyDescent="0.3"/>
    <row r="1045718" customFormat="1" x14ac:dyDescent="0.3"/>
    <row r="1045719" customFormat="1" x14ac:dyDescent="0.3"/>
    <row r="1045720" customFormat="1" x14ac:dyDescent="0.3"/>
    <row r="1045721" customFormat="1" x14ac:dyDescent="0.3"/>
    <row r="1045722" customFormat="1" x14ac:dyDescent="0.3"/>
    <row r="1045723" customFormat="1" x14ac:dyDescent="0.3"/>
    <row r="1045724" customFormat="1" x14ac:dyDescent="0.3"/>
    <row r="1045725" customFormat="1" x14ac:dyDescent="0.3"/>
    <row r="1045726" customFormat="1" x14ac:dyDescent="0.3"/>
    <row r="1045727" customFormat="1" x14ac:dyDescent="0.3"/>
    <row r="1045728" customFormat="1" x14ac:dyDescent="0.3"/>
    <row r="1045729" customFormat="1" x14ac:dyDescent="0.3"/>
    <row r="1045730" customFormat="1" x14ac:dyDescent="0.3"/>
    <row r="1045731" customFormat="1" x14ac:dyDescent="0.3"/>
    <row r="1045732" customFormat="1" x14ac:dyDescent="0.3"/>
    <row r="1045733" customFormat="1" x14ac:dyDescent="0.3"/>
    <row r="1045734" customFormat="1" x14ac:dyDescent="0.3"/>
    <row r="1045735" customFormat="1" x14ac:dyDescent="0.3"/>
    <row r="1045736" customFormat="1" x14ac:dyDescent="0.3"/>
    <row r="1045737" customFormat="1" x14ac:dyDescent="0.3"/>
    <row r="1045738" customFormat="1" x14ac:dyDescent="0.3"/>
    <row r="1045739" customFormat="1" x14ac:dyDescent="0.3"/>
    <row r="1045740" customFormat="1" x14ac:dyDescent="0.3"/>
    <row r="1045741" customFormat="1" x14ac:dyDescent="0.3"/>
    <row r="1045742" customFormat="1" x14ac:dyDescent="0.3"/>
    <row r="1045743" customFormat="1" x14ac:dyDescent="0.3"/>
    <row r="1045744" customFormat="1" x14ac:dyDescent="0.3"/>
    <row r="1045745" customFormat="1" x14ac:dyDescent="0.3"/>
    <row r="1045746" customFormat="1" x14ac:dyDescent="0.3"/>
    <row r="1045747" customFormat="1" x14ac:dyDescent="0.3"/>
    <row r="1045748" customFormat="1" x14ac:dyDescent="0.3"/>
    <row r="1045749" customFormat="1" x14ac:dyDescent="0.3"/>
    <row r="1045750" customFormat="1" x14ac:dyDescent="0.3"/>
    <row r="1045751" customFormat="1" x14ac:dyDescent="0.3"/>
    <row r="1045752" customFormat="1" x14ac:dyDescent="0.3"/>
    <row r="1045753" customFormat="1" x14ac:dyDescent="0.3"/>
    <row r="1045754" customFormat="1" x14ac:dyDescent="0.3"/>
    <row r="1045755" customFormat="1" x14ac:dyDescent="0.3"/>
    <row r="1045756" customFormat="1" x14ac:dyDescent="0.3"/>
    <row r="1045757" customFormat="1" x14ac:dyDescent="0.3"/>
    <row r="1045758" customFormat="1" x14ac:dyDescent="0.3"/>
    <row r="1045759" customFormat="1" x14ac:dyDescent="0.3"/>
    <row r="1045760" customFormat="1" x14ac:dyDescent="0.3"/>
    <row r="1045761" customFormat="1" x14ac:dyDescent="0.3"/>
    <row r="1045762" customFormat="1" x14ac:dyDescent="0.3"/>
    <row r="1045763" customFormat="1" x14ac:dyDescent="0.3"/>
    <row r="1045764" customFormat="1" x14ac:dyDescent="0.3"/>
    <row r="1045765" customFormat="1" x14ac:dyDescent="0.3"/>
    <row r="1045766" customFormat="1" x14ac:dyDescent="0.3"/>
    <row r="1045767" customFormat="1" x14ac:dyDescent="0.3"/>
    <row r="1045768" customFormat="1" x14ac:dyDescent="0.3"/>
    <row r="1045769" customFormat="1" x14ac:dyDescent="0.3"/>
    <row r="1045770" customFormat="1" x14ac:dyDescent="0.3"/>
    <row r="1045771" customFormat="1" x14ac:dyDescent="0.3"/>
    <row r="1045772" customFormat="1" x14ac:dyDescent="0.3"/>
    <row r="1045773" customFormat="1" x14ac:dyDescent="0.3"/>
    <row r="1045774" customFormat="1" x14ac:dyDescent="0.3"/>
    <row r="1045775" customFormat="1" x14ac:dyDescent="0.3"/>
    <row r="1045776" customFormat="1" x14ac:dyDescent="0.3"/>
    <row r="1045777" customFormat="1" x14ac:dyDescent="0.3"/>
    <row r="1045778" customFormat="1" x14ac:dyDescent="0.3"/>
    <row r="1045779" customFormat="1" x14ac:dyDescent="0.3"/>
    <row r="1045780" customFormat="1" x14ac:dyDescent="0.3"/>
    <row r="1045781" customFormat="1" x14ac:dyDescent="0.3"/>
    <row r="1045782" customFormat="1" x14ac:dyDescent="0.3"/>
    <row r="1045783" customFormat="1" x14ac:dyDescent="0.3"/>
    <row r="1045784" customFormat="1" x14ac:dyDescent="0.3"/>
    <row r="1045785" customFormat="1" x14ac:dyDescent="0.3"/>
    <row r="1045786" customFormat="1" x14ac:dyDescent="0.3"/>
    <row r="1045787" customFormat="1" x14ac:dyDescent="0.3"/>
    <row r="1045788" customFormat="1" x14ac:dyDescent="0.3"/>
    <row r="1045789" customFormat="1" x14ac:dyDescent="0.3"/>
    <row r="1045790" customFormat="1" x14ac:dyDescent="0.3"/>
    <row r="1045791" customFormat="1" x14ac:dyDescent="0.3"/>
    <row r="1045792" customFormat="1" x14ac:dyDescent="0.3"/>
    <row r="1045793" customFormat="1" x14ac:dyDescent="0.3"/>
    <row r="1045794" customFormat="1" x14ac:dyDescent="0.3"/>
    <row r="1045795" customFormat="1" x14ac:dyDescent="0.3"/>
    <row r="1045796" customFormat="1" x14ac:dyDescent="0.3"/>
    <row r="1045797" customFormat="1" x14ac:dyDescent="0.3"/>
    <row r="1045798" customFormat="1" x14ac:dyDescent="0.3"/>
    <row r="1045799" customFormat="1" x14ac:dyDescent="0.3"/>
    <row r="1045800" customFormat="1" x14ac:dyDescent="0.3"/>
    <row r="1045801" customFormat="1" x14ac:dyDescent="0.3"/>
    <row r="1045802" customFormat="1" x14ac:dyDescent="0.3"/>
    <row r="1045803" customFormat="1" x14ac:dyDescent="0.3"/>
    <row r="1045804" customFormat="1" x14ac:dyDescent="0.3"/>
    <row r="1045805" customFormat="1" x14ac:dyDescent="0.3"/>
    <row r="1045806" customFormat="1" x14ac:dyDescent="0.3"/>
    <row r="1045807" customFormat="1" x14ac:dyDescent="0.3"/>
    <row r="1045808" customFormat="1" x14ac:dyDescent="0.3"/>
    <row r="1045809" customFormat="1" x14ac:dyDescent="0.3"/>
    <row r="1045810" customFormat="1" x14ac:dyDescent="0.3"/>
    <row r="1045811" customFormat="1" x14ac:dyDescent="0.3"/>
    <row r="1045812" customFormat="1" x14ac:dyDescent="0.3"/>
    <row r="1045813" customFormat="1" x14ac:dyDescent="0.3"/>
    <row r="1045814" customFormat="1" x14ac:dyDescent="0.3"/>
    <row r="1045815" customFormat="1" x14ac:dyDescent="0.3"/>
    <row r="1045816" customFormat="1" x14ac:dyDescent="0.3"/>
    <row r="1045817" customFormat="1" x14ac:dyDescent="0.3"/>
    <row r="1045818" customFormat="1" x14ac:dyDescent="0.3"/>
    <row r="1045819" customFormat="1" x14ac:dyDescent="0.3"/>
    <row r="1045820" customFormat="1" x14ac:dyDescent="0.3"/>
    <row r="1045821" customFormat="1" x14ac:dyDescent="0.3"/>
    <row r="1045822" customFormat="1" x14ac:dyDescent="0.3"/>
    <row r="1045823" customFormat="1" x14ac:dyDescent="0.3"/>
    <row r="1045824" customFormat="1" x14ac:dyDescent="0.3"/>
    <row r="1045825" customFormat="1" x14ac:dyDescent="0.3"/>
    <row r="1045826" customFormat="1" x14ac:dyDescent="0.3"/>
    <row r="1045827" customFormat="1" x14ac:dyDescent="0.3"/>
    <row r="1045828" customFormat="1" x14ac:dyDescent="0.3"/>
    <row r="1045829" customFormat="1" x14ac:dyDescent="0.3"/>
    <row r="1045830" customFormat="1" x14ac:dyDescent="0.3"/>
    <row r="1045831" customFormat="1" x14ac:dyDescent="0.3"/>
    <row r="1045832" customFormat="1" x14ac:dyDescent="0.3"/>
    <row r="1045833" customFormat="1" x14ac:dyDescent="0.3"/>
    <row r="1045834" customFormat="1" x14ac:dyDescent="0.3"/>
    <row r="1045835" customFormat="1" x14ac:dyDescent="0.3"/>
    <row r="1045836" customFormat="1" x14ac:dyDescent="0.3"/>
    <row r="1045837" customFormat="1" x14ac:dyDescent="0.3"/>
    <row r="1045838" customFormat="1" x14ac:dyDescent="0.3"/>
    <row r="1045839" customFormat="1" x14ac:dyDescent="0.3"/>
    <row r="1045840" customFormat="1" x14ac:dyDescent="0.3"/>
    <row r="1045841" customFormat="1" x14ac:dyDescent="0.3"/>
    <row r="1045842" customFormat="1" x14ac:dyDescent="0.3"/>
    <row r="1045843" customFormat="1" x14ac:dyDescent="0.3"/>
    <row r="1045844" customFormat="1" x14ac:dyDescent="0.3"/>
    <row r="1045845" customFormat="1" x14ac:dyDescent="0.3"/>
    <row r="1045846" customFormat="1" x14ac:dyDescent="0.3"/>
    <row r="1045847" customFormat="1" x14ac:dyDescent="0.3"/>
    <row r="1045848" customFormat="1" x14ac:dyDescent="0.3"/>
    <row r="1045849" customFormat="1" x14ac:dyDescent="0.3"/>
    <row r="1045850" customFormat="1" x14ac:dyDescent="0.3"/>
    <row r="1045851" customFormat="1" x14ac:dyDescent="0.3"/>
    <row r="1045852" customFormat="1" x14ac:dyDescent="0.3"/>
    <row r="1045853" customFormat="1" x14ac:dyDescent="0.3"/>
    <row r="1045854" customFormat="1" x14ac:dyDescent="0.3"/>
    <row r="1045855" customFormat="1" x14ac:dyDescent="0.3"/>
    <row r="1045856" customFormat="1" x14ac:dyDescent="0.3"/>
    <row r="1045857" customFormat="1" x14ac:dyDescent="0.3"/>
    <row r="1045858" customFormat="1" x14ac:dyDescent="0.3"/>
    <row r="1045859" customFormat="1" x14ac:dyDescent="0.3"/>
    <row r="1045860" customFormat="1" x14ac:dyDescent="0.3"/>
    <row r="1045861" customFormat="1" x14ac:dyDescent="0.3"/>
    <row r="1045862" customFormat="1" x14ac:dyDescent="0.3"/>
    <row r="1045863" customFormat="1" x14ac:dyDescent="0.3"/>
    <row r="1045864" customFormat="1" x14ac:dyDescent="0.3"/>
    <row r="1045865" customFormat="1" x14ac:dyDescent="0.3"/>
    <row r="1045866" customFormat="1" x14ac:dyDescent="0.3"/>
    <row r="1045867" customFormat="1" x14ac:dyDescent="0.3"/>
    <row r="1045868" customFormat="1" x14ac:dyDescent="0.3"/>
    <row r="1045869" customFormat="1" x14ac:dyDescent="0.3"/>
    <row r="1045870" customFormat="1" x14ac:dyDescent="0.3"/>
    <row r="1045871" customFormat="1" x14ac:dyDescent="0.3"/>
    <row r="1045872" customFormat="1" x14ac:dyDescent="0.3"/>
    <row r="1045873" customFormat="1" x14ac:dyDescent="0.3"/>
    <row r="1045874" customFormat="1" x14ac:dyDescent="0.3"/>
    <row r="1045875" customFormat="1" x14ac:dyDescent="0.3"/>
    <row r="1045876" customFormat="1" x14ac:dyDescent="0.3"/>
    <row r="1045877" customFormat="1" x14ac:dyDescent="0.3"/>
    <row r="1045878" customFormat="1" x14ac:dyDescent="0.3"/>
    <row r="1045879" customFormat="1" x14ac:dyDescent="0.3"/>
    <row r="1045880" customFormat="1" x14ac:dyDescent="0.3"/>
    <row r="1045881" customFormat="1" x14ac:dyDescent="0.3"/>
    <row r="1045882" customFormat="1" x14ac:dyDescent="0.3"/>
    <row r="1045883" customFormat="1" x14ac:dyDescent="0.3"/>
    <row r="1045884" customFormat="1" x14ac:dyDescent="0.3"/>
    <row r="1045885" customFormat="1" x14ac:dyDescent="0.3"/>
    <row r="1045886" customFormat="1" x14ac:dyDescent="0.3"/>
    <row r="1045887" customFormat="1" x14ac:dyDescent="0.3"/>
    <row r="1045888" customFormat="1" x14ac:dyDescent="0.3"/>
    <row r="1045889" customFormat="1" x14ac:dyDescent="0.3"/>
    <row r="1045890" customFormat="1" x14ac:dyDescent="0.3"/>
    <row r="1045891" customFormat="1" x14ac:dyDescent="0.3"/>
    <row r="1045892" customFormat="1" x14ac:dyDescent="0.3"/>
    <row r="1045893" customFormat="1" x14ac:dyDescent="0.3"/>
    <row r="1045894" customFormat="1" x14ac:dyDescent="0.3"/>
    <row r="1045895" customFormat="1" x14ac:dyDescent="0.3"/>
    <row r="1045896" customFormat="1" x14ac:dyDescent="0.3"/>
    <row r="1045897" customFormat="1" x14ac:dyDescent="0.3"/>
    <row r="1045898" customFormat="1" x14ac:dyDescent="0.3"/>
    <row r="1045899" customFormat="1" x14ac:dyDescent="0.3"/>
    <row r="1045900" customFormat="1" x14ac:dyDescent="0.3"/>
    <row r="1045901" customFormat="1" x14ac:dyDescent="0.3"/>
    <row r="1045902" customFormat="1" x14ac:dyDescent="0.3"/>
    <row r="1045903" customFormat="1" x14ac:dyDescent="0.3"/>
    <row r="1045904" customFormat="1" x14ac:dyDescent="0.3"/>
    <row r="1045905" customFormat="1" x14ac:dyDescent="0.3"/>
    <row r="1045906" customFormat="1" x14ac:dyDescent="0.3"/>
    <row r="1045907" customFormat="1" x14ac:dyDescent="0.3"/>
    <row r="1045908" customFormat="1" x14ac:dyDescent="0.3"/>
    <row r="1045909" customFormat="1" x14ac:dyDescent="0.3"/>
    <row r="1045910" customFormat="1" x14ac:dyDescent="0.3"/>
    <row r="1045911" customFormat="1" x14ac:dyDescent="0.3"/>
    <row r="1045912" customFormat="1" x14ac:dyDescent="0.3"/>
    <row r="1045913" customFormat="1" x14ac:dyDescent="0.3"/>
    <row r="1045914" customFormat="1" x14ac:dyDescent="0.3"/>
    <row r="1045915" customFormat="1" x14ac:dyDescent="0.3"/>
    <row r="1045916" customFormat="1" x14ac:dyDescent="0.3"/>
    <row r="1045917" customFormat="1" x14ac:dyDescent="0.3"/>
    <row r="1045918" customFormat="1" x14ac:dyDescent="0.3"/>
    <row r="1045919" customFormat="1" x14ac:dyDescent="0.3"/>
    <row r="1045920" customFormat="1" x14ac:dyDescent="0.3"/>
    <row r="1045921" customFormat="1" x14ac:dyDescent="0.3"/>
    <row r="1045922" customFormat="1" x14ac:dyDescent="0.3"/>
    <row r="1045923" customFormat="1" x14ac:dyDescent="0.3"/>
    <row r="1045924" customFormat="1" x14ac:dyDescent="0.3"/>
    <row r="1045925" customFormat="1" x14ac:dyDescent="0.3"/>
    <row r="1045926" customFormat="1" x14ac:dyDescent="0.3"/>
    <row r="1045927" customFormat="1" x14ac:dyDescent="0.3"/>
    <row r="1045928" customFormat="1" x14ac:dyDescent="0.3"/>
    <row r="1045929" customFormat="1" x14ac:dyDescent="0.3"/>
    <row r="1045930" customFormat="1" x14ac:dyDescent="0.3"/>
    <row r="1045931" customFormat="1" x14ac:dyDescent="0.3"/>
    <row r="1045932" customFormat="1" x14ac:dyDescent="0.3"/>
    <row r="1045933" customFormat="1" x14ac:dyDescent="0.3"/>
    <row r="1045934" customFormat="1" x14ac:dyDescent="0.3"/>
    <row r="1045935" customFormat="1" x14ac:dyDescent="0.3"/>
    <row r="1045936" customFormat="1" x14ac:dyDescent="0.3"/>
    <row r="1045937" customFormat="1" x14ac:dyDescent="0.3"/>
    <row r="1045938" customFormat="1" x14ac:dyDescent="0.3"/>
    <row r="1045939" customFormat="1" x14ac:dyDescent="0.3"/>
    <row r="1045940" customFormat="1" x14ac:dyDescent="0.3"/>
    <row r="1045941" customFormat="1" x14ac:dyDescent="0.3"/>
    <row r="1045942" customFormat="1" x14ac:dyDescent="0.3"/>
    <row r="1045943" customFormat="1" x14ac:dyDescent="0.3"/>
    <row r="1045944" customFormat="1" x14ac:dyDescent="0.3"/>
    <row r="1045945" customFormat="1" x14ac:dyDescent="0.3"/>
    <row r="1045946" customFormat="1" x14ac:dyDescent="0.3"/>
    <row r="1045947" customFormat="1" x14ac:dyDescent="0.3"/>
    <row r="1045948" customFormat="1" x14ac:dyDescent="0.3"/>
    <row r="1045949" customFormat="1" x14ac:dyDescent="0.3"/>
    <row r="1045950" customFormat="1" x14ac:dyDescent="0.3"/>
    <row r="1045951" customFormat="1" x14ac:dyDescent="0.3"/>
    <row r="1045952" customFormat="1" x14ac:dyDescent="0.3"/>
    <row r="1045953" customFormat="1" x14ac:dyDescent="0.3"/>
    <row r="1045954" customFormat="1" x14ac:dyDescent="0.3"/>
    <row r="1045955" customFormat="1" x14ac:dyDescent="0.3"/>
    <row r="1045956" customFormat="1" x14ac:dyDescent="0.3"/>
    <row r="1045957" customFormat="1" x14ac:dyDescent="0.3"/>
    <row r="1045958" customFormat="1" x14ac:dyDescent="0.3"/>
    <row r="1045959" customFormat="1" x14ac:dyDescent="0.3"/>
    <row r="1045960" customFormat="1" x14ac:dyDescent="0.3"/>
    <row r="1045961" customFormat="1" x14ac:dyDescent="0.3"/>
    <row r="1045962" customFormat="1" x14ac:dyDescent="0.3"/>
    <row r="1045963" customFormat="1" x14ac:dyDescent="0.3"/>
    <row r="1045964" customFormat="1" x14ac:dyDescent="0.3"/>
    <row r="1045965" customFormat="1" x14ac:dyDescent="0.3"/>
    <row r="1045966" customFormat="1" x14ac:dyDescent="0.3"/>
    <row r="1045967" customFormat="1" x14ac:dyDescent="0.3"/>
    <row r="1045968" customFormat="1" x14ac:dyDescent="0.3"/>
    <row r="1045969" customFormat="1" x14ac:dyDescent="0.3"/>
    <row r="1045970" customFormat="1" x14ac:dyDescent="0.3"/>
    <row r="1045971" customFormat="1" x14ac:dyDescent="0.3"/>
    <row r="1045972" customFormat="1" x14ac:dyDescent="0.3"/>
    <row r="1045973" customFormat="1" x14ac:dyDescent="0.3"/>
    <row r="1045974" customFormat="1" x14ac:dyDescent="0.3"/>
    <row r="1045975" customFormat="1" x14ac:dyDescent="0.3"/>
    <row r="1045976" customFormat="1" x14ac:dyDescent="0.3"/>
    <row r="1045977" customFormat="1" x14ac:dyDescent="0.3"/>
    <row r="1045978" customFormat="1" x14ac:dyDescent="0.3"/>
    <row r="1045979" customFormat="1" x14ac:dyDescent="0.3"/>
    <row r="1045980" customFormat="1" x14ac:dyDescent="0.3"/>
    <row r="1045981" customFormat="1" x14ac:dyDescent="0.3"/>
    <row r="1045982" customFormat="1" x14ac:dyDescent="0.3"/>
    <row r="1045983" customFormat="1" x14ac:dyDescent="0.3"/>
    <row r="1045984" customFormat="1" x14ac:dyDescent="0.3"/>
    <row r="1045985" customFormat="1" x14ac:dyDescent="0.3"/>
    <row r="1045986" customFormat="1" x14ac:dyDescent="0.3"/>
    <row r="1045987" customFormat="1" x14ac:dyDescent="0.3"/>
    <row r="1045988" customFormat="1" x14ac:dyDescent="0.3"/>
    <row r="1045989" customFormat="1" x14ac:dyDescent="0.3"/>
    <row r="1045990" customFormat="1" x14ac:dyDescent="0.3"/>
    <row r="1045991" customFormat="1" x14ac:dyDescent="0.3"/>
    <row r="1045992" customFormat="1" x14ac:dyDescent="0.3"/>
    <row r="1045993" customFormat="1" x14ac:dyDescent="0.3"/>
    <row r="1045994" customFormat="1" x14ac:dyDescent="0.3"/>
    <row r="1045995" customFormat="1" x14ac:dyDescent="0.3"/>
    <row r="1045996" customFormat="1" x14ac:dyDescent="0.3"/>
    <row r="1045997" customFormat="1" x14ac:dyDescent="0.3"/>
    <row r="1045998" customFormat="1" x14ac:dyDescent="0.3"/>
    <row r="1045999" customFormat="1" x14ac:dyDescent="0.3"/>
    <row r="1046000" customFormat="1" x14ac:dyDescent="0.3"/>
    <row r="1046001" customFormat="1" x14ac:dyDescent="0.3"/>
    <row r="1046002" customFormat="1" x14ac:dyDescent="0.3"/>
    <row r="1046003" customFormat="1" x14ac:dyDescent="0.3"/>
    <row r="1046004" customFormat="1" x14ac:dyDescent="0.3"/>
    <row r="1046005" customFormat="1" x14ac:dyDescent="0.3"/>
    <row r="1046006" customFormat="1" x14ac:dyDescent="0.3"/>
    <row r="1046007" customFormat="1" x14ac:dyDescent="0.3"/>
    <row r="1046008" customFormat="1" x14ac:dyDescent="0.3"/>
    <row r="1046009" customFormat="1" x14ac:dyDescent="0.3"/>
    <row r="1046010" customFormat="1" x14ac:dyDescent="0.3"/>
    <row r="1046011" customFormat="1" x14ac:dyDescent="0.3"/>
    <row r="1046012" customFormat="1" x14ac:dyDescent="0.3"/>
    <row r="1046013" customFormat="1" x14ac:dyDescent="0.3"/>
    <row r="1046014" customFormat="1" x14ac:dyDescent="0.3"/>
    <row r="1046015" customFormat="1" x14ac:dyDescent="0.3"/>
    <row r="1046016" customFormat="1" x14ac:dyDescent="0.3"/>
    <row r="1046017" customFormat="1" x14ac:dyDescent="0.3"/>
    <row r="1046018" customFormat="1" x14ac:dyDescent="0.3"/>
    <row r="1046019" customFormat="1" x14ac:dyDescent="0.3"/>
    <row r="1046020" customFormat="1" x14ac:dyDescent="0.3"/>
    <row r="1046021" customFormat="1" x14ac:dyDescent="0.3"/>
    <row r="1046022" customFormat="1" x14ac:dyDescent="0.3"/>
    <row r="1046023" customFormat="1" x14ac:dyDescent="0.3"/>
    <row r="1046024" customFormat="1" x14ac:dyDescent="0.3"/>
    <row r="1046025" customFormat="1" x14ac:dyDescent="0.3"/>
    <row r="1046026" customFormat="1" x14ac:dyDescent="0.3"/>
    <row r="1046027" customFormat="1" x14ac:dyDescent="0.3"/>
    <row r="1046028" customFormat="1" x14ac:dyDescent="0.3"/>
    <row r="1046029" customFormat="1" x14ac:dyDescent="0.3"/>
    <row r="1046030" customFormat="1" x14ac:dyDescent="0.3"/>
    <row r="1046031" customFormat="1" x14ac:dyDescent="0.3"/>
    <row r="1046032" customFormat="1" x14ac:dyDescent="0.3"/>
    <row r="1046033" customFormat="1" x14ac:dyDescent="0.3"/>
    <row r="1046034" customFormat="1" x14ac:dyDescent="0.3"/>
    <row r="1046035" customFormat="1" x14ac:dyDescent="0.3"/>
    <row r="1046036" customFormat="1" x14ac:dyDescent="0.3"/>
    <row r="1046037" customFormat="1" x14ac:dyDescent="0.3"/>
    <row r="1046038" customFormat="1" x14ac:dyDescent="0.3"/>
    <row r="1046039" customFormat="1" x14ac:dyDescent="0.3"/>
    <row r="1046040" customFormat="1" x14ac:dyDescent="0.3"/>
    <row r="1046041" customFormat="1" x14ac:dyDescent="0.3"/>
    <row r="1046042" customFormat="1" x14ac:dyDescent="0.3"/>
    <row r="1046043" customFormat="1" x14ac:dyDescent="0.3"/>
    <row r="1046044" customFormat="1" x14ac:dyDescent="0.3"/>
    <row r="1046045" customFormat="1" x14ac:dyDescent="0.3"/>
    <row r="1046046" customFormat="1" x14ac:dyDescent="0.3"/>
    <row r="1046047" customFormat="1" x14ac:dyDescent="0.3"/>
    <row r="1046048" customFormat="1" x14ac:dyDescent="0.3"/>
    <row r="1046049" customFormat="1" x14ac:dyDescent="0.3"/>
    <row r="1046050" customFormat="1" x14ac:dyDescent="0.3"/>
    <row r="1046051" customFormat="1" x14ac:dyDescent="0.3"/>
    <row r="1046052" customFormat="1" x14ac:dyDescent="0.3"/>
    <row r="1046053" customFormat="1" x14ac:dyDescent="0.3"/>
    <row r="1046054" customFormat="1" x14ac:dyDescent="0.3"/>
    <row r="1046055" customFormat="1" x14ac:dyDescent="0.3"/>
    <row r="1046056" customFormat="1" x14ac:dyDescent="0.3"/>
    <row r="1046057" customFormat="1" x14ac:dyDescent="0.3"/>
    <row r="1046058" customFormat="1" x14ac:dyDescent="0.3"/>
    <row r="1046059" customFormat="1" x14ac:dyDescent="0.3"/>
    <row r="1046060" customFormat="1" x14ac:dyDescent="0.3"/>
    <row r="1046061" customFormat="1" x14ac:dyDescent="0.3"/>
    <row r="1046062" customFormat="1" x14ac:dyDescent="0.3"/>
    <row r="1046063" customFormat="1" x14ac:dyDescent="0.3"/>
    <row r="1046064" customFormat="1" x14ac:dyDescent="0.3"/>
    <row r="1046065" customFormat="1" x14ac:dyDescent="0.3"/>
    <row r="1046066" customFormat="1" x14ac:dyDescent="0.3"/>
    <row r="1046067" customFormat="1" x14ac:dyDescent="0.3"/>
    <row r="1046068" customFormat="1" x14ac:dyDescent="0.3"/>
    <row r="1046069" customFormat="1" x14ac:dyDescent="0.3"/>
    <row r="1046070" customFormat="1" x14ac:dyDescent="0.3"/>
    <row r="1046071" customFormat="1" x14ac:dyDescent="0.3"/>
    <row r="1046072" customFormat="1" x14ac:dyDescent="0.3"/>
    <row r="1046073" customFormat="1" x14ac:dyDescent="0.3"/>
    <row r="1046074" customFormat="1" x14ac:dyDescent="0.3"/>
    <row r="1046075" customFormat="1" x14ac:dyDescent="0.3"/>
    <row r="1046076" customFormat="1" x14ac:dyDescent="0.3"/>
    <row r="1046077" customFormat="1" x14ac:dyDescent="0.3"/>
    <row r="1046078" customFormat="1" x14ac:dyDescent="0.3"/>
    <row r="1046079" customFormat="1" x14ac:dyDescent="0.3"/>
    <row r="1046080" customFormat="1" x14ac:dyDescent="0.3"/>
    <row r="1046081" customFormat="1" x14ac:dyDescent="0.3"/>
    <row r="1046082" customFormat="1" x14ac:dyDescent="0.3"/>
    <row r="1046083" customFormat="1" x14ac:dyDescent="0.3"/>
    <row r="1046084" customFormat="1" x14ac:dyDescent="0.3"/>
    <row r="1046085" customFormat="1" x14ac:dyDescent="0.3"/>
    <row r="1046086" customFormat="1" x14ac:dyDescent="0.3"/>
    <row r="1046087" customFormat="1" x14ac:dyDescent="0.3"/>
    <row r="1046088" customFormat="1" x14ac:dyDescent="0.3"/>
    <row r="1046089" customFormat="1" x14ac:dyDescent="0.3"/>
    <row r="1046090" customFormat="1" x14ac:dyDescent="0.3"/>
    <row r="1046091" customFormat="1" x14ac:dyDescent="0.3"/>
    <row r="1046092" customFormat="1" x14ac:dyDescent="0.3"/>
    <row r="1046093" customFormat="1" x14ac:dyDescent="0.3"/>
    <row r="1046094" customFormat="1" x14ac:dyDescent="0.3"/>
    <row r="1046095" customFormat="1" x14ac:dyDescent="0.3"/>
    <row r="1046096" customFormat="1" x14ac:dyDescent="0.3"/>
    <row r="1046097" customFormat="1" x14ac:dyDescent="0.3"/>
    <row r="1046098" customFormat="1" x14ac:dyDescent="0.3"/>
    <row r="1046099" customFormat="1" x14ac:dyDescent="0.3"/>
    <row r="1046100" customFormat="1" x14ac:dyDescent="0.3"/>
    <row r="1046101" customFormat="1" x14ac:dyDescent="0.3"/>
    <row r="1046102" customFormat="1" x14ac:dyDescent="0.3"/>
    <row r="1046103" customFormat="1" x14ac:dyDescent="0.3"/>
    <row r="1046104" customFormat="1" x14ac:dyDescent="0.3"/>
    <row r="1046105" customFormat="1" x14ac:dyDescent="0.3"/>
    <row r="1046106" customFormat="1" x14ac:dyDescent="0.3"/>
    <row r="1046107" customFormat="1" x14ac:dyDescent="0.3"/>
    <row r="1046108" customFormat="1" x14ac:dyDescent="0.3"/>
    <row r="1046109" customFormat="1" x14ac:dyDescent="0.3"/>
    <row r="1046110" customFormat="1" x14ac:dyDescent="0.3"/>
    <row r="1046111" customFormat="1" x14ac:dyDescent="0.3"/>
    <row r="1046112" customFormat="1" x14ac:dyDescent="0.3"/>
    <row r="1046113" customFormat="1" x14ac:dyDescent="0.3"/>
    <row r="1046114" customFormat="1" x14ac:dyDescent="0.3"/>
    <row r="1046115" customFormat="1" x14ac:dyDescent="0.3"/>
    <row r="1046116" customFormat="1" x14ac:dyDescent="0.3"/>
    <row r="1046117" customFormat="1" x14ac:dyDescent="0.3"/>
    <row r="1046118" customFormat="1" x14ac:dyDescent="0.3"/>
    <row r="1046119" customFormat="1" x14ac:dyDescent="0.3"/>
    <row r="1046120" customFormat="1" x14ac:dyDescent="0.3"/>
    <row r="1046121" customFormat="1" x14ac:dyDescent="0.3"/>
    <row r="1046122" customFormat="1" x14ac:dyDescent="0.3"/>
    <row r="1046123" customFormat="1" x14ac:dyDescent="0.3"/>
    <row r="1046124" customFormat="1" x14ac:dyDescent="0.3"/>
    <row r="1046125" customFormat="1" x14ac:dyDescent="0.3"/>
    <row r="1046126" customFormat="1" x14ac:dyDescent="0.3"/>
    <row r="1046127" customFormat="1" x14ac:dyDescent="0.3"/>
    <row r="1046128" customFormat="1" x14ac:dyDescent="0.3"/>
    <row r="1046129" customFormat="1" x14ac:dyDescent="0.3"/>
    <row r="1046130" customFormat="1" x14ac:dyDescent="0.3"/>
    <row r="1046131" customFormat="1" x14ac:dyDescent="0.3"/>
    <row r="1046132" customFormat="1" x14ac:dyDescent="0.3"/>
    <row r="1046133" customFormat="1" x14ac:dyDescent="0.3"/>
    <row r="1046134" customFormat="1" x14ac:dyDescent="0.3"/>
    <row r="1046135" customFormat="1" x14ac:dyDescent="0.3"/>
    <row r="1046136" customFormat="1" x14ac:dyDescent="0.3"/>
    <row r="1046137" customFormat="1" x14ac:dyDescent="0.3"/>
    <row r="1046138" customFormat="1" x14ac:dyDescent="0.3"/>
    <row r="1046139" customFormat="1" x14ac:dyDescent="0.3"/>
    <row r="1046140" customFormat="1" x14ac:dyDescent="0.3"/>
    <row r="1046141" customFormat="1" x14ac:dyDescent="0.3"/>
    <row r="1046142" customFormat="1" x14ac:dyDescent="0.3"/>
    <row r="1046143" customFormat="1" x14ac:dyDescent="0.3"/>
    <row r="1046144" customFormat="1" x14ac:dyDescent="0.3"/>
    <row r="1046145" customFormat="1" x14ac:dyDescent="0.3"/>
    <row r="1046146" customFormat="1" x14ac:dyDescent="0.3"/>
    <row r="1046147" customFormat="1" x14ac:dyDescent="0.3"/>
    <row r="1046148" customFormat="1" x14ac:dyDescent="0.3"/>
    <row r="1046149" customFormat="1" x14ac:dyDescent="0.3"/>
    <row r="1046150" customFormat="1" x14ac:dyDescent="0.3"/>
    <row r="1046151" customFormat="1" x14ac:dyDescent="0.3"/>
    <row r="1046152" customFormat="1" x14ac:dyDescent="0.3"/>
    <row r="1046153" customFormat="1" x14ac:dyDescent="0.3"/>
    <row r="1046154" customFormat="1" x14ac:dyDescent="0.3"/>
    <row r="1046155" customFormat="1" x14ac:dyDescent="0.3"/>
    <row r="1046156" customFormat="1" x14ac:dyDescent="0.3"/>
    <row r="1046157" customFormat="1" x14ac:dyDescent="0.3"/>
    <row r="1046158" customFormat="1" x14ac:dyDescent="0.3"/>
    <row r="1046159" customFormat="1" x14ac:dyDescent="0.3"/>
    <row r="1046160" customFormat="1" x14ac:dyDescent="0.3"/>
    <row r="1046161" customFormat="1" x14ac:dyDescent="0.3"/>
    <row r="1046162" customFormat="1" x14ac:dyDescent="0.3"/>
    <row r="1046163" customFormat="1" x14ac:dyDescent="0.3"/>
    <row r="1046164" customFormat="1" x14ac:dyDescent="0.3"/>
    <row r="1046165" customFormat="1" x14ac:dyDescent="0.3"/>
    <row r="1046166" customFormat="1" x14ac:dyDescent="0.3"/>
    <row r="1046167" customFormat="1" x14ac:dyDescent="0.3"/>
    <row r="1046168" customFormat="1" x14ac:dyDescent="0.3"/>
    <row r="1046169" customFormat="1" x14ac:dyDescent="0.3"/>
    <row r="1046170" customFormat="1" x14ac:dyDescent="0.3"/>
    <row r="1046171" customFormat="1" x14ac:dyDescent="0.3"/>
    <row r="1046172" customFormat="1" x14ac:dyDescent="0.3"/>
    <row r="1046173" customFormat="1" x14ac:dyDescent="0.3"/>
    <row r="1046174" customFormat="1" x14ac:dyDescent="0.3"/>
    <row r="1046175" customFormat="1" x14ac:dyDescent="0.3"/>
    <row r="1046176" customFormat="1" x14ac:dyDescent="0.3"/>
    <row r="1046177" customFormat="1" x14ac:dyDescent="0.3"/>
    <row r="1046178" customFormat="1" x14ac:dyDescent="0.3"/>
    <row r="1046179" customFormat="1" x14ac:dyDescent="0.3"/>
    <row r="1046180" customFormat="1" x14ac:dyDescent="0.3"/>
    <row r="1046181" customFormat="1" x14ac:dyDescent="0.3"/>
    <row r="1046182" customFormat="1" x14ac:dyDescent="0.3"/>
    <row r="1046183" customFormat="1" x14ac:dyDescent="0.3"/>
    <row r="1046184" customFormat="1" x14ac:dyDescent="0.3"/>
    <row r="1046185" customFormat="1" x14ac:dyDescent="0.3"/>
    <row r="1046186" customFormat="1" x14ac:dyDescent="0.3"/>
    <row r="1046187" customFormat="1" x14ac:dyDescent="0.3"/>
    <row r="1046188" customFormat="1" x14ac:dyDescent="0.3"/>
    <row r="1046189" customFormat="1" x14ac:dyDescent="0.3"/>
    <row r="1046190" customFormat="1" x14ac:dyDescent="0.3"/>
    <row r="1046191" customFormat="1" x14ac:dyDescent="0.3"/>
    <row r="1046192" customFormat="1" x14ac:dyDescent="0.3"/>
    <row r="1046193" customFormat="1" x14ac:dyDescent="0.3"/>
    <row r="1046194" customFormat="1" x14ac:dyDescent="0.3"/>
    <row r="1046195" customFormat="1" x14ac:dyDescent="0.3"/>
    <row r="1046196" customFormat="1" x14ac:dyDescent="0.3"/>
    <row r="1046197" customFormat="1" x14ac:dyDescent="0.3"/>
    <row r="1046198" customFormat="1" x14ac:dyDescent="0.3"/>
    <row r="1046199" customFormat="1" x14ac:dyDescent="0.3"/>
    <row r="1046200" customFormat="1" x14ac:dyDescent="0.3"/>
    <row r="1046201" customFormat="1" x14ac:dyDescent="0.3"/>
    <row r="1046202" customFormat="1" x14ac:dyDescent="0.3"/>
    <row r="1046203" customFormat="1" x14ac:dyDescent="0.3"/>
    <row r="1046204" customFormat="1" x14ac:dyDescent="0.3"/>
    <row r="1046205" customFormat="1" x14ac:dyDescent="0.3"/>
    <row r="1046206" customFormat="1" x14ac:dyDescent="0.3"/>
    <row r="1046207" customFormat="1" x14ac:dyDescent="0.3"/>
    <row r="1046208" customFormat="1" x14ac:dyDescent="0.3"/>
    <row r="1046209" customFormat="1" x14ac:dyDescent="0.3"/>
    <row r="1046210" customFormat="1" x14ac:dyDescent="0.3"/>
    <row r="1046211" customFormat="1" x14ac:dyDescent="0.3"/>
    <row r="1046212" customFormat="1" x14ac:dyDescent="0.3"/>
    <row r="1046213" customFormat="1" x14ac:dyDescent="0.3"/>
    <row r="1046214" customFormat="1" x14ac:dyDescent="0.3"/>
    <row r="1046215" customFormat="1" x14ac:dyDescent="0.3"/>
    <row r="1046216" customFormat="1" x14ac:dyDescent="0.3"/>
    <row r="1046217" customFormat="1" x14ac:dyDescent="0.3"/>
    <row r="1046218" customFormat="1" x14ac:dyDescent="0.3"/>
    <row r="1046219" customFormat="1" x14ac:dyDescent="0.3"/>
    <row r="1046220" customFormat="1" x14ac:dyDescent="0.3"/>
    <row r="1046221" customFormat="1" x14ac:dyDescent="0.3"/>
    <row r="1046222" customFormat="1" x14ac:dyDescent="0.3"/>
    <row r="1046223" customFormat="1" x14ac:dyDescent="0.3"/>
    <row r="1046224" customFormat="1" x14ac:dyDescent="0.3"/>
    <row r="1046225" customFormat="1" x14ac:dyDescent="0.3"/>
    <row r="1046226" customFormat="1" x14ac:dyDescent="0.3"/>
    <row r="1046227" customFormat="1" x14ac:dyDescent="0.3"/>
    <row r="1046228" customFormat="1" x14ac:dyDescent="0.3"/>
    <row r="1046229" customFormat="1" x14ac:dyDescent="0.3"/>
    <row r="1046230" customFormat="1" x14ac:dyDescent="0.3"/>
    <row r="1046231" customFormat="1" x14ac:dyDescent="0.3"/>
    <row r="1046232" customFormat="1" x14ac:dyDescent="0.3"/>
    <row r="1046233" customFormat="1" x14ac:dyDescent="0.3"/>
    <row r="1046234" customFormat="1" x14ac:dyDescent="0.3"/>
    <row r="1046235" customFormat="1" x14ac:dyDescent="0.3"/>
    <row r="1046236" customFormat="1" x14ac:dyDescent="0.3"/>
    <row r="1046237" customFormat="1" x14ac:dyDescent="0.3"/>
    <row r="1046238" customFormat="1" x14ac:dyDescent="0.3"/>
    <row r="1046239" customFormat="1" x14ac:dyDescent="0.3"/>
    <row r="1046240" customFormat="1" x14ac:dyDescent="0.3"/>
    <row r="1046241" customFormat="1" x14ac:dyDescent="0.3"/>
    <row r="1046242" customFormat="1" x14ac:dyDescent="0.3"/>
    <row r="1046243" customFormat="1" x14ac:dyDescent="0.3"/>
    <row r="1046244" customFormat="1" x14ac:dyDescent="0.3"/>
    <row r="1046245" customFormat="1" x14ac:dyDescent="0.3"/>
    <row r="1046246" customFormat="1" x14ac:dyDescent="0.3"/>
    <row r="1046247" customFormat="1" x14ac:dyDescent="0.3"/>
    <row r="1046248" customFormat="1" x14ac:dyDescent="0.3"/>
    <row r="1046249" customFormat="1" x14ac:dyDescent="0.3"/>
    <row r="1046250" customFormat="1" x14ac:dyDescent="0.3"/>
    <row r="1046251" customFormat="1" x14ac:dyDescent="0.3"/>
    <row r="1046252" customFormat="1" x14ac:dyDescent="0.3"/>
    <row r="1046253" customFormat="1" x14ac:dyDescent="0.3"/>
    <row r="1046254" customFormat="1" x14ac:dyDescent="0.3"/>
    <row r="1046255" customFormat="1" x14ac:dyDescent="0.3"/>
    <row r="1046256" customFormat="1" x14ac:dyDescent="0.3"/>
    <row r="1046257" customFormat="1" x14ac:dyDescent="0.3"/>
    <row r="1046258" customFormat="1" x14ac:dyDescent="0.3"/>
    <row r="1046259" customFormat="1" x14ac:dyDescent="0.3"/>
    <row r="1046260" customFormat="1" x14ac:dyDescent="0.3"/>
    <row r="1046261" customFormat="1" x14ac:dyDescent="0.3"/>
    <row r="1046262" customFormat="1" x14ac:dyDescent="0.3"/>
    <row r="1046263" customFormat="1" x14ac:dyDescent="0.3"/>
    <row r="1046264" customFormat="1" x14ac:dyDescent="0.3"/>
    <row r="1046265" customFormat="1" x14ac:dyDescent="0.3"/>
    <row r="1046266" customFormat="1" x14ac:dyDescent="0.3"/>
    <row r="1046267" customFormat="1" x14ac:dyDescent="0.3"/>
    <row r="1046268" customFormat="1" x14ac:dyDescent="0.3"/>
    <row r="1046269" customFormat="1" x14ac:dyDescent="0.3"/>
    <row r="1046270" customFormat="1" x14ac:dyDescent="0.3"/>
    <row r="1046271" customFormat="1" x14ac:dyDescent="0.3"/>
    <row r="1046272" customFormat="1" x14ac:dyDescent="0.3"/>
    <row r="1046273" customFormat="1" x14ac:dyDescent="0.3"/>
    <row r="1046274" customFormat="1" x14ac:dyDescent="0.3"/>
    <row r="1046275" customFormat="1" x14ac:dyDescent="0.3"/>
    <row r="1046276" customFormat="1" x14ac:dyDescent="0.3"/>
    <row r="1046277" customFormat="1" x14ac:dyDescent="0.3"/>
    <row r="1046278" customFormat="1" x14ac:dyDescent="0.3"/>
    <row r="1046279" customFormat="1" x14ac:dyDescent="0.3"/>
    <row r="1046280" customFormat="1" x14ac:dyDescent="0.3"/>
    <row r="1046281" customFormat="1" x14ac:dyDescent="0.3"/>
    <row r="1046282" customFormat="1" x14ac:dyDescent="0.3"/>
    <row r="1046283" customFormat="1" x14ac:dyDescent="0.3"/>
    <row r="1046284" customFormat="1" x14ac:dyDescent="0.3"/>
    <row r="1046285" customFormat="1" x14ac:dyDescent="0.3"/>
    <row r="1046286" customFormat="1" x14ac:dyDescent="0.3"/>
    <row r="1046287" customFormat="1" x14ac:dyDescent="0.3"/>
    <row r="1046288" customFormat="1" x14ac:dyDescent="0.3"/>
    <row r="1046289" customFormat="1" x14ac:dyDescent="0.3"/>
    <row r="1046290" customFormat="1" x14ac:dyDescent="0.3"/>
    <row r="1046291" customFormat="1" x14ac:dyDescent="0.3"/>
    <row r="1046292" customFormat="1" x14ac:dyDescent="0.3"/>
    <row r="1046293" customFormat="1" x14ac:dyDescent="0.3"/>
    <row r="1046294" customFormat="1" x14ac:dyDescent="0.3"/>
    <row r="1046295" customFormat="1" x14ac:dyDescent="0.3"/>
    <row r="1046296" customFormat="1" x14ac:dyDescent="0.3"/>
    <row r="1046297" customFormat="1" x14ac:dyDescent="0.3"/>
    <row r="1046298" customFormat="1" x14ac:dyDescent="0.3"/>
    <row r="1046299" customFormat="1" x14ac:dyDescent="0.3"/>
    <row r="1046300" customFormat="1" x14ac:dyDescent="0.3"/>
    <row r="1046301" customFormat="1" x14ac:dyDescent="0.3"/>
    <row r="1046302" customFormat="1" x14ac:dyDescent="0.3"/>
    <row r="1046303" customFormat="1" x14ac:dyDescent="0.3"/>
    <row r="1046304" customFormat="1" x14ac:dyDescent="0.3"/>
    <row r="1046305" customFormat="1" x14ac:dyDescent="0.3"/>
    <row r="1046306" customFormat="1" x14ac:dyDescent="0.3"/>
    <row r="1046307" customFormat="1" x14ac:dyDescent="0.3"/>
    <row r="1046308" customFormat="1" x14ac:dyDescent="0.3"/>
    <row r="1046309" customFormat="1" x14ac:dyDescent="0.3"/>
    <row r="1046310" customFormat="1" x14ac:dyDescent="0.3"/>
    <row r="1046311" customFormat="1" x14ac:dyDescent="0.3"/>
    <row r="1046312" customFormat="1" x14ac:dyDescent="0.3"/>
    <row r="1046313" customFormat="1" x14ac:dyDescent="0.3"/>
    <row r="1046314" customFormat="1" x14ac:dyDescent="0.3"/>
    <row r="1046315" customFormat="1" x14ac:dyDescent="0.3"/>
    <row r="1046316" customFormat="1" x14ac:dyDescent="0.3"/>
    <row r="1046317" customFormat="1" x14ac:dyDescent="0.3"/>
    <row r="1046318" customFormat="1" x14ac:dyDescent="0.3"/>
    <row r="1046319" customFormat="1" x14ac:dyDescent="0.3"/>
    <row r="1046320" customFormat="1" x14ac:dyDescent="0.3"/>
    <row r="1046321" customFormat="1" x14ac:dyDescent="0.3"/>
    <row r="1046322" customFormat="1" x14ac:dyDescent="0.3"/>
    <row r="1046323" customFormat="1" x14ac:dyDescent="0.3"/>
    <row r="1046324" customFormat="1" x14ac:dyDescent="0.3"/>
    <row r="1046325" customFormat="1" x14ac:dyDescent="0.3"/>
    <row r="1046326" customFormat="1" x14ac:dyDescent="0.3"/>
    <row r="1046327" customFormat="1" x14ac:dyDescent="0.3"/>
    <row r="1046328" customFormat="1" x14ac:dyDescent="0.3"/>
    <row r="1046329" customFormat="1" x14ac:dyDescent="0.3"/>
    <row r="1046330" customFormat="1" x14ac:dyDescent="0.3"/>
    <row r="1046331" customFormat="1" x14ac:dyDescent="0.3"/>
    <row r="1046332" customFormat="1" x14ac:dyDescent="0.3"/>
    <row r="1046333" customFormat="1" x14ac:dyDescent="0.3"/>
    <row r="1046334" customFormat="1" x14ac:dyDescent="0.3"/>
    <row r="1046335" customFormat="1" x14ac:dyDescent="0.3"/>
    <row r="1046336" customFormat="1" x14ac:dyDescent="0.3"/>
    <row r="1046337" customFormat="1" x14ac:dyDescent="0.3"/>
    <row r="1046338" customFormat="1" x14ac:dyDescent="0.3"/>
    <row r="1046339" customFormat="1" x14ac:dyDescent="0.3"/>
    <row r="1046340" customFormat="1" x14ac:dyDescent="0.3"/>
    <row r="1046341" customFormat="1" x14ac:dyDescent="0.3"/>
    <row r="1046342" customFormat="1" x14ac:dyDescent="0.3"/>
    <row r="1046343" customFormat="1" x14ac:dyDescent="0.3"/>
    <row r="1046344" customFormat="1" x14ac:dyDescent="0.3"/>
    <row r="1046345" customFormat="1" x14ac:dyDescent="0.3"/>
    <row r="1046346" customFormat="1" x14ac:dyDescent="0.3"/>
    <row r="1046347" customFormat="1" x14ac:dyDescent="0.3"/>
    <row r="1046348" customFormat="1" x14ac:dyDescent="0.3"/>
    <row r="1046349" customFormat="1" x14ac:dyDescent="0.3"/>
    <row r="1046350" customFormat="1" x14ac:dyDescent="0.3"/>
    <row r="1046351" customFormat="1" x14ac:dyDescent="0.3"/>
    <row r="1046352" customFormat="1" x14ac:dyDescent="0.3"/>
    <row r="1046353" customFormat="1" x14ac:dyDescent="0.3"/>
    <row r="1046354" customFormat="1" x14ac:dyDescent="0.3"/>
    <row r="1046355" customFormat="1" x14ac:dyDescent="0.3"/>
    <row r="1046356" customFormat="1" x14ac:dyDescent="0.3"/>
    <row r="1046357" customFormat="1" x14ac:dyDescent="0.3"/>
    <row r="1046358" customFormat="1" x14ac:dyDescent="0.3"/>
    <row r="1046359" customFormat="1" x14ac:dyDescent="0.3"/>
    <row r="1046360" customFormat="1" x14ac:dyDescent="0.3"/>
    <row r="1046361" customFormat="1" x14ac:dyDescent="0.3"/>
    <row r="1046362" customFormat="1" x14ac:dyDescent="0.3"/>
    <row r="1046363" customFormat="1" x14ac:dyDescent="0.3"/>
    <row r="1046364" customFormat="1" x14ac:dyDescent="0.3"/>
    <row r="1046365" customFormat="1" x14ac:dyDescent="0.3"/>
    <row r="1046366" customFormat="1" x14ac:dyDescent="0.3"/>
    <row r="1046367" customFormat="1" x14ac:dyDescent="0.3"/>
    <row r="1046368" customFormat="1" x14ac:dyDescent="0.3"/>
    <row r="1046369" customFormat="1" x14ac:dyDescent="0.3"/>
    <row r="1046370" customFormat="1" x14ac:dyDescent="0.3"/>
    <row r="1046371" customFormat="1" x14ac:dyDescent="0.3"/>
    <row r="1046372" customFormat="1" x14ac:dyDescent="0.3"/>
    <row r="1046373" customFormat="1" x14ac:dyDescent="0.3"/>
    <row r="1046374" customFormat="1" x14ac:dyDescent="0.3"/>
    <row r="1046375" customFormat="1" x14ac:dyDescent="0.3"/>
    <row r="1046376" customFormat="1" x14ac:dyDescent="0.3"/>
    <row r="1046377" customFormat="1" x14ac:dyDescent="0.3"/>
    <row r="1046378" customFormat="1" x14ac:dyDescent="0.3"/>
    <row r="1046379" customFormat="1" x14ac:dyDescent="0.3"/>
    <row r="1046380" customFormat="1" x14ac:dyDescent="0.3"/>
    <row r="1046381" customFormat="1" x14ac:dyDescent="0.3"/>
    <row r="1046382" customFormat="1" x14ac:dyDescent="0.3"/>
    <row r="1046383" customFormat="1" x14ac:dyDescent="0.3"/>
    <row r="1046384" customFormat="1" x14ac:dyDescent="0.3"/>
    <row r="1046385" customFormat="1" x14ac:dyDescent="0.3"/>
    <row r="1046386" customFormat="1" x14ac:dyDescent="0.3"/>
    <row r="1046387" customFormat="1" x14ac:dyDescent="0.3"/>
    <row r="1046388" customFormat="1" x14ac:dyDescent="0.3"/>
    <row r="1046389" customFormat="1" x14ac:dyDescent="0.3"/>
    <row r="1046390" customFormat="1" x14ac:dyDescent="0.3"/>
    <row r="1046391" customFormat="1" x14ac:dyDescent="0.3"/>
    <row r="1046392" customFormat="1" x14ac:dyDescent="0.3"/>
    <row r="1046393" customFormat="1" x14ac:dyDescent="0.3"/>
    <row r="1046394" customFormat="1" x14ac:dyDescent="0.3"/>
    <row r="1046395" customFormat="1" x14ac:dyDescent="0.3"/>
    <row r="1046396" customFormat="1" x14ac:dyDescent="0.3"/>
    <row r="1046397" customFormat="1" x14ac:dyDescent="0.3"/>
    <row r="1046398" customFormat="1" x14ac:dyDescent="0.3"/>
    <row r="1046399" customFormat="1" x14ac:dyDescent="0.3"/>
    <row r="1046400" customFormat="1" x14ac:dyDescent="0.3"/>
    <row r="1046401" customFormat="1" x14ac:dyDescent="0.3"/>
    <row r="1046402" customFormat="1" x14ac:dyDescent="0.3"/>
    <row r="1046403" customFormat="1" x14ac:dyDescent="0.3"/>
    <row r="1046404" customFormat="1" x14ac:dyDescent="0.3"/>
    <row r="1046405" customFormat="1" x14ac:dyDescent="0.3"/>
    <row r="1046406" customFormat="1" x14ac:dyDescent="0.3"/>
    <row r="1046407" customFormat="1" x14ac:dyDescent="0.3"/>
    <row r="1046408" customFormat="1" x14ac:dyDescent="0.3"/>
    <row r="1046409" customFormat="1" x14ac:dyDescent="0.3"/>
    <row r="1046410" customFormat="1" x14ac:dyDescent="0.3"/>
    <row r="1046411" customFormat="1" x14ac:dyDescent="0.3"/>
    <row r="1046412" customFormat="1" x14ac:dyDescent="0.3"/>
    <row r="1046413" customFormat="1" x14ac:dyDescent="0.3"/>
    <row r="1046414" customFormat="1" x14ac:dyDescent="0.3"/>
    <row r="1046415" customFormat="1" x14ac:dyDescent="0.3"/>
    <row r="1046416" customFormat="1" x14ac:dyDescent="0.3"/>
    <row r="1046417" customFormat="1" x14ac:dyDescent="0.3"/>
    <row r="1046418" customFormat="1" x14ac:dyDescent="0.3"/>
    <row r="1046419" customFormat="1" x14ac:dyDescent="0.3"/>
    <row r="1046420" customFormat="1" x14ac:dyDescent="0.3"/>
    <row r="1046421" customFormat="1" x14ac:dyDescent="0.3"/>
    <row r="1046422" customFormat="1" x14ac:dyDescent="0.3"/>
    <row r="1046423" customFormat="1" x14ac:dyDescent="0.3"/>
    <row r="1046424" customFormat="1" x14ac:dyDescent="0.3"/>
    <row r="1046425" customFormat="1" x14ac:dyDescent="0.3"/>
    <row r="1046426" customFormat="1" x14ac:dyDescent="0.3"/>
    <row r="1046427" customFormat="1" x14ac:dyDescent="0.3"/>
    <row r="1046428" customFormat="1" x14ac:dyDescent="0.3"/>
    <row r="1046429" customFormat="1" x14ac:dyDescent="0.3"/>
    <row r="1046430" customFormat="1" x14ac:dyDescent="0.3"/>
    <row r="1046431" customFormat="1" x14ac:dyDescent="0.3"/>
    <row r="1046432" customFormat="1" x14ac:dyDescent="0.3"/>
    <row r="1046433" customFormat="1" x14ac:dyDescent="0.3"/>
    <row r="1046434" customFormat="1" x14ac:dyDescent="0.3"/>
    <row r="1046435" customFormat="1" x14ac:dyDescent="0.3"/>
    <row r="1046436" customFormat="1" x14ac:dyDescent="0.3"/>
    <row r="1046437" customFormat="1" x14ac:dyDescent="0.3"/>
    <row r="1046438" customFormat="1" x14ac:dyDescent="0.3"/>
    <row r="1046439" customFormat="1" x14ac:dyDescent="0.3"/>
    <row r="1046440" customFormat="1" x14ac:dyDescent="0.3"/>
    <row r="1046441" customFormat="1" x14ac:dyDescent="0.3"/>
    <row r="1046442" customFormat="1" x14ac:dyDescent="0.3"/>
    <row r="1046443" customFormat="1" x14ac:dyDescent="0.3"/>
    <row r="1046444" customFormat="1" x14ac:dyDescent="0.3"/>
    <row r="1046445" customFormat="1" x14ac:dyDescent="0.3"/>
    <row r="1046446" customFormat="1" x14ac:dyDescent="0.3"/>
    <row r="1046447" customFormat="1" x14ac:dyDescent="0.3"/>
    <row r="1046448" customFormat="1" x14ac:dyDescent="0.3"/>
    <row r="1046449" customFormat="1" x14ac:dyDescent="0.3"/>
    <row r="1046450" customFormat="1" x14ac:dyDescent="0.3"/>
    <row r="1046451" customFormat="1" x14ac:dyDescent="0.3"/>
    <row r="1046452" customFormat="1" x14ac:dyDescent="0.3"/>
    <row r="1046453" customFormat="1" x14ac:dyDescent="0.3"/>
    <row r="1046454" customFormat="1" x14ac:dyDescent="0.3"/>
    <row r="1046455" customFormat="1" x14ac:dyDescent="0.3"/>
    <row r="1046456" customFormat="1" x14ac:dyDescent="0.3"/>
    <row r="1046457" customFormat="1" x14ac:dyDescent="0.3"/>
    <row r="1046458" customFormat="1" x14ac:dyDescent="0.3"/>
    <row r="1046459" customFormat="1" x14ac:dyDescent="0.3"/>
    <row r="1046460" customFormat="1" x14ac:dyDescent="0.3"/>
    <row r="1046461" customFormat="1" x14ac:dyDescent="0.3"/>
    <row r="1046462" customFormat="1" x14ac:dyDescent="0.3"/>
    <row r="1046463" customFormat="1" x14ac:dyDescent="0.3"/>
    <row r="1046464" customFormat="1" x14ac:dyDescent="0.3"/>
    <row r="1046465" customFormat="1" x14ac:dyDescent="0.3"/>
    <row r="1046466" customFormat="1" x14ac:dyDescent="0.3"/>
    <row r="1046467" customFormat="1" x14ac:dyDescent="0.3"/>
    <row r="1046468" customFormat="1" x14ac:dyDescent="0.3"/>
    <row r="1046469" customFormat="1" x14ac:dyDescent="0.3"/>
    <row r="1046470" customFormat="1" x14ac:dyDescent="0.3"/>
    <row r="1046471" customFormat="1" x14ac:dyDescent="0.3"/>
    <row r="1046472" customFormat="1" x14ac:dyDescent="0.3"/>
    <row r="1046473" customFormat="1" x14ac:dyDescent="0.3"/>
    <row r="1046474" customFormat="1" x14ac:dyDescent="0.3"/>
    <row r="1046475" customFormat="1" x14ac:dyDescent="0.3"/>
    <row r="1046476" customFormat="1" x14ac:dyDescent="0.3"/>
    <row r="1046477" customFormat="1" x14ac:dyDescent="0.3"/>
    <row r="1046478" customFormat="1" x14ac:dyDescent="0.3"/>
    <row r="1046479" customFormat="1" x14ac:dyDescent="0.3"/>
    <row r="1046480" customFormat="1" x14ac:dyDescent="0.3"/>
    <row r="1046481" customFormat="1" x14ac:dyDescent="0.3"/>
    <row r="1046482" customFormat="1" x14ac:dyDescent="0.3"/>
    <row r="1046483" customFormat="1" x14ac:dyDescent="0.3"/>
    <row r="1046484" customFormat="1" x14ac:dyDescent="0.3"/>
    <row r="1046485" customFormat="1" x14ac:dyDescent="0.3"/>
    <row r="1046486" customFormat="1" x14ac:dyDescent="0.3"/>
    <row r="1046487" customFormat="1" x14ac:dyDescent="0.3"/>
    <row r="1046488" customFormat="1" x14ac:dyDescent="0.3"/>
    <row r="1046489" customFormat="1" x14ac:dyDescent="0.3"/>
    <row r="1046490" customFormat="1" x14ac:dyDescent="0.3"/>
    <row r="1046491" customFormat="1" x14ac:dyDescent="0.3"/>
    <row r="1046492" customFormat="1" x14ac:dyDescent="0.3"/>
    <row r="1046493" customFormat="1" x14ac:dyDescent="0.3"/>
    <row r="1046494" customFormat="1" x14ac:dyDescent="0.3"/>
    <row r="1046495" customFormat="1" x14ac:dyDescent="0.3"/>
    <row r="1046496" customFormat="1" x14ac:dyDescent="0.3"/>
    <row r="1046497" customFormat="1" x14ac:dyDescent="0.3"/>
    <row r="1046498" customFormat="1" x14ac:dyDescent="0.3"/>
    <row r="1046499" customFormat="1" x14ac:dyDescent="0.3"/>
    <row r="1046500" customFormat="1" x14ac:dyDescent="0.3"/>
    <row r="1046501" customFormat="1" x14ac:dyDescent="0.3"/>
    <row r="1046502" customFormat="1" x14ac:dyDescent="0.3"/>
    <row r="1046503" customFormat="1" x14ac:dyDescent="0.3"/>
    <row r="1046504" customFormat="1" x14ac:dyDescent="0.3"/>
    <row r="1046505" customFormat="1" x14ac:dyDescent="0.3"/>
    <row r="1046506" customFormat="1" x14ac:dyDescent="0.3"/>
    <row r="1046507" customFormat="1" x14ac:dyDescent="0.3"/>
    <row r="1046508" customFormat="1" x14ac:dyDescent="0.3"/>
    <row r="1046509" customFormat="1" x14ac:dyDescent="0.3"/>
    <row r="1046510" customFormat="1" x14ac:dyDescent="0.3"/>
    <row r="1046511" customFormat="1" x14ac:dyDescent="0.3"/>
    <row r="1046512" customFormat="1" x14ac:dyDescent="0.3"/>
    <row r="1046513" customFormat="1" x14ac:dyDescent="0.3"/>
    <row r="1046514" customFormat="1" x14ac:dyDescent="0.3"/>
    <row r="1046515" customFormat="1" x14ac:dyDescent="0.3"/>
    <row r="1046516" customFormat="1" x14ac:dyDescent="0.3"/>
    <row r="1046517" customFormat="1" x14ac:dyDescent="0.3"/>
    <row r="1046518" customFormat="1" x14ac:dyDescent="0.3"/>
    <row r="1046519" customFormat="1" x14ac:dyDescent="0.3"/>
    <row r="1046520" customFormat="1" x14ac:dyDescent="0.3"/>
    <row r="1046521" customFormat="1" x14ac:dyDescent="0.3"/>
    <row r="1046522" customFormat="1" x14ac:dyDescent="0.3"/>
    <row r="1046523" customFormat="1" x14ac:dyDescent="0.3"/>
    <row r="1046524" customFormat="1" x14ac:dyDescent="0.3"/>
    <row r="1046525" customFormat="1" x14ac:dyDescent="0.3"/>
    <row r="1046526" customFormat="1" x14ac:dyDescent="0.3"/>
    <row r="1046527" customFormat="1" x14ac:dyDescent="0.3"/>
    <row r="1046528" customFormat="1" x14ac:dyDescent="0.3"/>
    <row r="1046529" customFormat="1" x14ac:dyDescent="0.3"/>
    <row r="1046530" customFormat="1" x14ac:dyDescent="0.3"/>
    <row r="1046531" customFormat="1" x14ac:dyDescent="0.3"/>
    <row r="1046532" customFormat="1" x14ac:dyDescent="0.3"/>
    <row r="1046533" customFormat="1" x14ac:dyDescent="0.3"/>
    <row r="1046534" customFormat="1" x14ac:dyDescent="0.3"/>
    <row r="1046535" customFormat="1" x14ac:dyDescent="0.3"/>
    <row r="1046536" customFormat="1" x14ac:dyDescent="0.3"/>
    <row r="1046537" customFormat="1" x14ac:dyDescent="0.3"/>
    <row r="1046538" customFormat="1" x14ac:dyDescent="0.3"/>
    <row r="1046539" customFormat="1" x14ac:dyDescent="0.3"/>
    <row r="1046540" customFormat="1" x14ac:dyDescent="0.3"/>
    <row r="1046541" customFormat="1" x14ac:dyDescent="0.3"/>
    <row r="1046542" customFormat="1" x14ac:dyDescent="0.3"/>
    <row r="1046543" customFormat="1" x14ac:dyDescent="0.3"/>
    <row r="1046544" customFormat="1" x14ac:dyDescent="0.3"/>
    <row r="1046545" customFormat="1" x14ac:dyDescent="0.3"/>
    <row r="1046546" customFormat="1" x14ac:dyDescent="0.3"/>
    <row r="1046547" customFormat="1" x14ac:dyDescent="0.3"/>
    <row r="1046548" customFormat="1" x14ac:dyDescent="0.3"/>
    <row r="1046549" customFormat="1" x14ac:dyDescent="0.3"/>
    <row r="1046550" customFormat="1" x14ac:dyDescent="0.3"/>
    <row r="1046551" customFormat="1" x14ac:dyDescent="0.3"/>
    <row r="1046552" customFormat="1" x14ac:dyDescent="0.3"/>
    <row r="1046553" customFormat="1" x14ac:dyDescent="0.3"/>
    <row r="1046554" customFormat="1" x14ac:dyDescent="0.3"/>
    <row r="1046555" customFormat="1" x14ac:dyDescent="0.3"/>
    <row r="1046556" customFormat="1" x14ac:dyDescent="0.3"/>
    <row r="1046557" customFormat="1" x14ac:dyDescent="0.3"/>
    <row r="1046558" customFormat="1" x14ac:dyDescent="0.3"/>
    <row r="1046559" customFormat="1" x14ac:dyDescent="0.3"/>
    <row r="1046560" customFormat="1" x14ac:dyDescent="0.3"/>
    <row r="1046561" customFormat="1" x14ac:dyDescent="0.3"/>
    <row r="1046562" customFormat="1" x14ac:dyDescent="0.3"/>
    <row r="1046563" customFormat="1" x14ac:dyDescent="0.3"/>
    <row r="1046564" customFormat="1" x14ac:dyDescent="0.3"/>
    <row r="1046565" customFormat="1" x14ac:dyDescent="0.3"/>
    <row r="1046566" customFormat="1" x14ac:dyDescent="0.3"/>
    <row r="1046567" customFormat="1" x14ac:dyDescent="0.3"/>
    <row r="1046568" customFormat="1" x14ac:dyDescent="0.3"/>
    <row r="1046569" customFormat="1" x14ac:dyDescent="0.3"/>
    <row r="1046570" customFormat="1" x14ac:dyDescent="0.3"/>
    <row r="1046571" customFormat="1" x14ac:dyDescent="0.3"/>
    <row r="1046572" customFormat="1" x14ac:dyDescent="0.3"/>
    <row r="1046573" customFormat="1" x14ac:dyDescent="0.3"/>
    <row r="1046574" customFormat="1" x14ac:dyDescent="0.3"/>
    <row r="1046575" customFormat="1" x14ac:dyDescent="0.3"/>
    <row r="1046576" customFormat="1" x14ac:dyDescent="0.3"/>
    <row r="1046577" customFormat="1" x14ac:dyDescent="0.3"/>
    <row r="1046578" customFormat="1" x14ac:dyDescent="0.3"/>
    <row r="1046579" customFormat="1" x14ac:dyDescent="0.3"/>
    <row r="1046580" customFormat="1" x14ac:dyDescent="0.3"/>
    <row r="1046581" customFormat="1" x14ac:dyDescent="0.3"/>
    <row r="1046582" customFormat="1" x14ac:dyDescent="0.3"/>
    <row r="1046583" customFormat="1" x14ac:dyDescent="0.3"/>
    <row r="1046584" customFormat="1" x14ac:dyDescent="0.3"/>
    <row r="1046585" customFormat="1" x14ac:dyDescent="0.3"/>
    <row r="1046586" customFormat="1" x14ac:dyDescent="0.3"/>
    <row r="1046587" customFormat="1" x14ac:dyDescent="0.3"/>
    <row r="1046588" customFormat="1" x14ac:dyDescent="0.3"/>
    <row r="1046589" customFormat="1" x14ac:dyDescent="0.3"/>
    <row r="1046590" customFormat="1" x14ac:dyDescent="0.3"/>
    <row r="1046591" customFormat="1" x14ac:dyDescent="0.3"/>
    <row r="1046592" customFormat="1" x14ac:dyDescent="0.3"/>
    <row r="1046593" customFormat="1" x14ac:dyDescent="0.3"/>
    <row r="1046594" customFormat="1" x14ac:dyDescent="0.3"/>
    <row r="1046595" customFormat="1" x14ac:dyDescent="0.3"/>
    <row r="1046596" customFormat="1" x14ac:dyDescent="0.3"/>
    <row r="1046597" customFormat="1" x14ac:dyDescent="0.3"/>
    <row r="1046598" customFormat="1" x14ac:dyDescent="0.3"/>
    <row r="1046599" customFormat="1" x14ac:dyDescent="0.3"/>
    <row r="1046600" customFormat="1" x14ac:dyDescent="0.3"/>
    <row r="1046601" customFormat="1" x14ac:dyDescent="0.3"/>
    <row r="1046602" customFormat="1" x14ac:dyDescent="0.3"/>
    <row r="1046603" customFormat="1" x14ac:dyDescent="0.3"/>
    <row r="1046604" customFormat="1" x14ac:dyDescent="0.3"/>
    <row r="1046605" customFormat="1" x14ac:dyDescent="0.3"/>
    <row r="1046606" customFormat="1" x14ac:dyDescent="0.3"/>
    <row r="1046607" customFormat="1" x14ac:dyDescent="0.3"/>
    <row r="1046608" customFormat="1" x14ac:dyDescent="0.3"/>
    <row r="1046609" customFormat="1" x14ac:dyDescent="0.3"/>
    <row r="1046610" customFormat="1" x14ac:dyDescent="0.3"/>
    <row r="1046611" customFormat="1" x14ac:dyDescent="0.3"/>
    <row r="1046612" customFormat="1" x14ac:dyDescent="0.3"/>
    <row r="1046613" customFormat="1" x14ac:dyDescent="0.3"/>
    <row r="1046614" customFormat="1" x14ac:dyDescent="0.3"/>
    <row r="1046615" customFormat="1" x14ac:dyDescent="0.3"/>
    <row r="1046616" customFormat="1" x14ac:dyDescent="0.3"/>
    <row r="1046617" customFormat="1" x14ac:dyDescent="0.3"/>
    <row r="1046618" customFormat="1" x14ac:dyDescent="0.3"/>
    <row r="1046619" customFormat="1" x14ac:dyDescent="0.3"/>
    <row r="1046620" customFormat="1" x14ac:dyDescent="0.3"/>
    <row r="1046621" customFormat="1" x14ac:dyDescent="0.3"/>
    <row r="1046622" customFormat="1" x14ac:dyDescent="0.3"/>
    <row r="1046623" customFormat="1" x14ac:dyDescent="0.3"/>
    <row r="1046624" customFormat="1" x14ac:dyDescent="0.3"/>
    <row r="1046625" customFormat="1" x14ac:dyDescent="0.3"/>
    <row r="1046626" customFormat="1" x14ac:dyDescent="0.3"/>
    <row r="1046627" customFormat="1" x14ac:dyDescent="0.3"/>
    <row r="1046628" customFormat="1" x14ac:dyDescent="0.3"/>
    <row r="1046629" customFormat="1" x14ac:dyDescent="0.3"/>
    <row r="1046630" customFormat="1" x14ac:dyDescent="0.3"/>
    <row r="1046631" customFormat="1" x14ac:dyDescent="0.3"/>
    <row r="1046632" customFormat="1" x14ac:dyDescent="0.3"/>
    <row r="1046633" customFormat="1" x14ac:dyDescent="0.3"/>
    <row r="1046634" customFormat="1" x14ac:dyDescent="0.3"/>
    <row r="1046635" customFormat="1" x14ac:dyDescent="0.3"/>
    <row r="1046636" customFormat="1" x14ac:dyDescent="0.3"/>
    <row r="1046637" customFormat="1" x14ac:dyDescent="0.3"/>
    <row r="1046638" customFormat="1" x14ac:dyDescent="0.3"/>
    <row r="1046639" customFormat="1" x14ac:dyDescent="0.3"/>
    <row r="1046640" customFormat="1" x14ac:dyDescent="0.3"/>
    <row r="1046641" customFormat="1" x14ac:dyDescent="0.3"/>
    <row r="1046642" customFormat="1" x14ac:dyDescent="0.3"/>
    <row r="1046643" customFormat="1" x14ac:dyDescent="0.3"/>
    <row r="1046644" customFormat="1" x14ac:dyDescent="0.3"/>
    <row r="1046645" customFormat="1" x14ac:dyDescent="0.3"/>
    <row r="1046646" customFormat="1" x14ac:dyDescent="0.3"/>
    <row r="1046647" customFormat="1" x14ac:dyDescent="0.3"/>
    <row r="1046648" customFormat="1" x14ac:dyDescent="0.3"/>
    <row r="1046649" customFormat="1" x14ac:dyDescent="0.3"/>
    <row r="1046650" customFormat="1" x14ac:dyDescent="0.3"/>
    <row r="1046651" customFormat="1" x14ac:dyDescent="0.3"/>
    <row r="1046652" customFormat="1" x14ac:dyDescent="0.3"/>
    <row r="1046653" customFormat="1" x14ac:dyDescent="0.3"/>
    <row r="1046654" customFormat="1" x14ac:dyDescent="0.3"/>
    <row r="1046655" customFormat="1" x14ac:dyDescent="0.3"/>
    <row r="1046656" customFormat="1" x14ac:dyDescent="0.3"/>
    <row r="1046657" customFormat="1" x14ac:dyDescent="0.3"/>
    <row r="1046658" customFormat="1" x14ac:dyDescent="0.3"/>
    <row r="1046659" customFormat="1" x14ac:dyDescent="0.3"/>
    <row r="1046660" customFormat="1" x14ac:dyDescent="0.3"/>
    <row r="1046661" customFormat="1" x14ac:dyDescent="0.3"/>
    <row r="1046662" customFormat="1" x14ac:dyDescent="0.3"/>
    <row r="1046663" customFormat="1" x14ac:dyDescent="0.3"/>
    <row r="1046664" customFormat="1" x14ac:dyDescent="0.3"/>
    <row r="1046665" customFormat="1" x14ac:dyDescent="0.3"/>
    <row r="1046666" customFormat="1" x14ac:dyDescent="0.3"/>
    <row r="1046667" customFormat="1" x14ac:dyDescent="0.3"/>
    <row r="1046668" customFormat="1" x14ac:dyDescent="0.3"/>
    <row r="1046669" customFormat="1" x14ac:dyDescent="0.3"/>
    <row r="1046670" customFormat="1" x14ac:dyDescent="0.3"/>
    <row r="1046671" customFormat="1" x14ac:dyDescent="0.3"/>
    <row r="1046672" customFormat="1" x14ac:dyDescent="0.3"/>
    <row r="1046673" customFormat="1" x14ac:dyDescent="0.3"/>
    <row r="1046674" customFormat="1" x14ac:dyDescent="0.3"/>
    <row r="1046675" customFormat="1" x14ac:dyDescent="0.3"/>
    <row r="1046676" customFormat="1" x14ac:dyDescent="0.3"/>
    <row r="1046677" customFormat="1" x14ac:dyDescent="0.3"/>
    <row r="1046678" customFormat="1" x14ac:dyDescent="0.3"/>
    <row r="1046679" customFormat="1" x14ac:dyDescent="0.3"/>
    <row r="1046680" customFormat="1" x14ac:dyDescent="0.3"/>
    <row r="1046681" customFormat="1" x14ac:dyDescent="0.3"/>
    <row r="1046682" customFormat="1" x14ac:dyDescent="0.3"/>
    <row r="1046683" customFormat="1" x14ac:dyDescent="0.3"/>
    <row r="1046684" customFormat="1" x14ac:dyDescent="0.3"/>
    <row r="1046685" customFormat="1" x14ac:dyDescent="0.3"/>
    <row r="1046686" customFormat="1" x14ac:dyDescent="0.3"/>
    <row r="1046687" customFormat="1" x14ac:dyDescent="0.3"/>
    <row r="1046688" customFormat="1" x14ac:dyDescent="0.3"/>
    <row r="1046689" customFormat="1" x14ac:dyDescent="0.3"/>
    <row r="1046690" customFormat="1" x14ac:dyDescent="0.3"/>
    <row r="1046691" customFormat="1" x14ac:dyDescent="0.3"/>
    <row r="1046692" customFormat="1" x14ac:dyDescent="0.3"/>
    <row r="1046693" customFormat="1" x14ac:dyDescent="0.3"/>
    <row r="1046694" customFormat="1" x14ac:dyDescent="0.3"/>
    <row r="1046695" customFormat="1" x14ac:dyDescent="0.3"/>
    <row r="1046696" customFormat="1" x14ac:dyDescent="0.3"/>
    <row r="1046697" customFormat="1" x14ac:dyDescent="0.3"/>
    <row r="1046698" customFormat="1" x14ac:dyDescent="0.3"/>
    <row r="1046699" customFormat="1" x14ac:dyDescent="0.3"/>
    <row r="1046700" customFormat="1" x14ac:dyDescent="0.3"/>
    <row r="1046701" customFormat="1" x14ac:dyDescent="0.3"/>
    <row r="1046702" customFormat="1" x14ac:dyDescent="0.3"/>
    <row r="1046703" customFormat="1" x14ac:dyDescent="0.3"/>
    <row r="1046704" customFormat="1" x14ac:dyDescent="0.3"/>
    <row r="1046705" customFormat="1" x14ac:dyDescent="0.3"/>
    <row r="1046706" customFormat="1" x14ac:dyDescent="0.3"/>
    <row r="1046707" customFormat="1" x14ac:dyDescent="0.3"/>
    <row r="1046708" customFormat="1" x14ac:dyDescent="0.3"/>
    <row r="1046709" customFormat="1" x14ac:dyDescent="0.3"/>
    <row r="1046710" customFormat="1" x14ac:dyDescent="0.3"/>
    <row r="1046711" customFormat="1" x14ac:dyDescent="0.3"/>
    <row r="1046712" customFormat="1" x14ac:dyDescent="0.3"/>
    <row r="1046713" customFormat="1" x14ac:dyDescent="0.3"/>
    <row r="1046714" customFormat="1" x14ac:dyDescent="0.3"/>
    <row r="1046715" customFormat="1" x14ac:dyDescent="0.3"/>
    <row r="1046716" customFormat="1" x14ac:dyDescent="0.3"/>
    <row r="1046717" customFormat="1" x14ac:dyDescent="0.3"/>
    <row r="1046718" customFormat="1" x14ac:dyDescent="0.3"/>
    <row r="1046719" customFormat="1" x14ac:dyDescent="0.3"/>
    <row r="1046720" customFormat="1" x14ac:dyDescent="0.3"/>
    <row r="1046721" customFormat="1" x14ac:dyDescent="0.3"/>
    <row r="1046722" customFormat="1" x14ac:dyDescent="0.3"/>
    <row r="1046723" customFormat="1" x14ac:dyDescent="0.3"/>
    <row r="1046724" customFormat="1" x14ac:dyDescent="0.3"/>
    <row r="1046725" customFormat="1" x14ac:dyDescent="0.3"/>
    <row r="1046726" customFormat="1" x14ac:dyDescent="0.3"/>
    <row r="1046727" customFormat="1" x14ac:dyDescent="0.3"/>
    <row r="1046728" customFormat="1" x14ac:dyDescent="0.3"/>
    <row r="1046729" customFormat="1" x14ac:dyDescent="0.3"/>
    <row r="1046730" customFormat="1" x14ac:dyDescent="0.3"/>
    <row r="1046731" customFormat="1" x14ac:dyDescent="0.3"/>
    <row r="1046732" customFormat="1" x14ac:dyDescent="0.3"/>
    <row r="1046733" customFormat="1" x14ac:dyDescent="0.3"/>
    <row r="1046734" customFormat="1" x14ac:dyDescent="0.3"/>
    <row r="1046735" customFormat="1" x14ac:dyDescent="0.3"/>
    <row r="1046736" customFormat="1" x14ac:dyDescent="0.3"/>
    <row r="1046737" customFormat="1" x14ac:dyDescent="0.3"/>
    <row r="1046738" customFormat="1" x14ac:dyDescent="0.3"/>
    <row r="1046739" customFormat="1" x14ac:dyDescent="0.3"/>
    <row r="1046740" customFormat="1" x14ac:dyDescent="0.3"/>
    <row r="1046741" customFormat="1" x14ac:dyDescent="0.3"/>
    <row r="1046742" customFormat="1" x14ac:dyDescent="0.3"/>
    <row r="1046743" customFormat="1" x14ac:dyDescent="0.3"/>
    <row r="1046744" customFormat="1" x14ac:dyDescent="0.3"/>
    <row r="1046745" customFormat="1" x14ac:dyDescent="0.3"/>
    <row r="1046746" customFormat="1" x14ac:dyDescent="0.3"/>
    <row r="1046747" customFormat="1" x14ac:dyDescent="0.3"/>
    <row r="1046748" customFormat="1" x14ac:dyDescent="0.3"/>
    <row r="1046749" customFormat="1" x14ac:dyDescent="0.3"/>
    <row r="1046750" customFormat="1" x14ac:dyDescent="0.3"/>
    <row r="1046751" customFormat="1" x14ac:dyDescent="0.3"/>
    <row r="1046752" customFormat="1" x14ac:dyDescent="0.3"/>
    <row r="1046753" customFormat="1" x14ac:dyDescent="0.3"/>
    <row r="1046754" customFormat="1" x14ac:dyDescent="0.3"/>
    <row r="1046755" customFormat="1" x14ac:dyDescent="0.3"/>
    <row r="1046756" customFormat="1" x14ac:dyDescent="0.3"/>
    <row r="1046757" customFormat="1" x14ac:dyDescent="0.3"/>
    <row r="1046758" customFormat="1" x14ac:dyDescent="0.3"/>
    <row r="1046759" customFormat="1" x14ac:dyDescent="0.3"/>
    <row r="1046760" customFormat="1" x14ac:dyDescent="0.3"/>
    <row r="1046761" customFormat="1" x14ac:dyDescent="0.3"/>
    <row r="1046762" customFormat="1" x14ac:dyDescent="0.3"/>
    <row r="1046763" customFormat="1" x14ac:dyDescent="0.3"/>
    <row r="1046764" customFormat="1" x14ac:dyDescent="0.3"/>
    <row r="1046765" customFormat="1" x14ac:dyDescent="0.3"/>
    <row r="1046766" customFormat="1" x14ac:dyDescent="0.3"/>
    <row r="1046767" customFormat="1" x14ac:dyDescent="0.3"/>
    <row r="1046768" customFormat="1" x14ac:dyDescent="0.3"/>
    <row r="1046769" customFormat="1" x14ac:dyDescent="0.3"/>
    <row r="1046770" customFormat="1" x14ac:dyDescent="0.3"/>
    <row r="1046771" customFormat="1" x14ac:dyDescent="0.3"/>
    <row r="1046772" customFormat="1" x14ac:dyDescent="0.3"/>
    <row r="1046773" customFormat="1" x14ac:dyDescent="0.3"/>
    <row r="1046774" customFormat="1" x14ac:dyDescent="0.3"/>
    <row r="1046775" customFormat="1" x14ac:dyDescent="0.3"/>
    <row r="1046776" customFormat="1" x14ac:dyDescent="0.3"/>
    <row r="1046777" customFormat="1" x14ac:dyDescent="0.3"/>
    <row r="1046778" customFormat="1" x14ac:dyDescent="0.3"/>
    <row r="1046779" customFormat="1" x14ac:dyDescent="0.3"/>
    <row r="1046780" customFormat="1" x14ac:dyDescent="0.3"/>
    <row r="1046781" customFormat="1" x14ac:dyDescent="0.3"/>
    <row r="1046782" customFormat="1" x14ac:dyDescent="0.3"/>
    <row r="1046783" customFormat="1" x14ac:dyDescent="0.3"/>
    <row r="1046784" customFormat="1" x14ac:dyDescent="0.3"/>
    <row r="1046785" customFormat="1" x14ac:dyDescent="0.3"/>
    <row r="1046786" customFormat="1" x14ac:dyDescent="0.3"/>
    <row r="1046787" customFormat="1" x14ac:dyDescent="0.3"/>
    <row r="1046788" customFormat="1" x14ac:dyDescent="0.3"/>
    <row r="1046789" customFormat="1" x14ac:dyDescent="0.3"/>
    <row r="1046790" customFormat="1" x14ac:dyDescent="0.3"/>
    <row r="1046791" customFormat="1" x14ac:dyDescent="0.3"/>
    <row r="1046792" customFormat="1" x14ac:dyDescent="0.3"/>
    <row r="1046793" customFormat="1" x14ac:dyDescent="0.3"/>
    <row r="1046794" customFormat="1" x14ac:dyDescent="0.3"/>
    <row r="1046795" customFormat="1" x14ac:dyDescent="0.3"/>
    <row r="1046796" customFormat="1" x14ac:dyDescent="0.3"/>
    <row r="1046797" customFormat="1" x14ac:dyDescent="0.3"/>
    <row r="1046798" customFormat="1" x14ac:dyDescent="0.3"/>
    <row r="1046799" customFormat="1" x14ac:dyDescent="0.3"/>
    <row r="1046800" customFormat="1" x14ac:dyDescent="0.3"/>
    <row r="1046801" customFormat="1" x14ac:dyDescent="0.3"/>
    <row r="1046802" customFormat="1" x14ac:dyDescent="0.3"/>
    <row r="1046803" customFormat="1" x14ac:dyDescent="0.3"/>
    <row r="1046804" customFormat="1" x14ac:dyDescent="0.3"/>
    <row r="1046805" customFormat="1" x14ac:dyDescent="0.3"/>
    <row r="1046806" customFormat="1" x14ac:dyDescent="0.3"/>
    <row r="1046807" customFormat="1" x14ac:dyDescent="0.3"/>
    <row r="1046808" customFormat="1" x14ac:dyDescent="0.3"/>
    <row r="1046809" customFormat="1" x14ac:dyDescent="0.3"/>
    <row r="1046810" customFormat="1" x14ac:dyDescent="0.3"/>
    <row r="1046811" customFormat="1" x14ac:dyDescent="0.3"/>
    <row r="1046812" customFormat="1" x14ac:dyDescent="0.3"/>
    <row r="1046813" customFormat="1" x14ac:dyDescent="0.3"/>
    <row r="1046814" customFormat="1" x14ac:dyDescent="0.3"/>
    <row r="1046815" customFormat="1" x14ac:dyDescent="0.3"/>
    <row r="1046816" customFormat="1" x14ac:dyDescent="0.3"/>
    <row r="1046817" customFormat="1" x14ac:dyDescent="0.3"/>
    <row r="1046818" customFormat="1" x14ac:dyDescent="0.3"/>
    <row r="1046819" customFormat="1" x14ac:dyDescent="0.3"/>
    <row r="1046820" customFormat="1" x14ac:dyDescent="0.3"/>
    <row r="1046821" customFormat="1" x14ac:dyDescent="0.3"/>
    <row r="1046822" customFormat="1" x14ac:dyDescent="0.3"/>
    <row r="1046823" customFormat="1" x14ac:dyDescent="0.3"/>
    <row r="1046824" customFormat="1" x14ac:dyDescent="0.3"/>
    <row r="1046825" customFormat="1" x14ac:dyDescent="0.3"/>
    <row r="1046826" customFormat="1" x14ac:dyDescent="0.3"/>
    <row r="1046827" customFormat="1" x14ac:dyDescent="0.3"/>
    <row r="1046828" customFormat="1" x14ac:dyDescent="0.3"/>
    <row r="1046829" customFormat="1" x14ac:dyDescent="0.3"/>
    <row r="1046830" customFormat="1" x14ac:dyDescent="0.3"/>
    <row r="1046831" customFormat="1" x14ac:dyDescent="0.3"/>
    <row r="1046832" customFormat="1" x14ac:dyDescent="0.3"/>
    <row r="1046833" customFormat="1" x14ac:dyDescent="0.3"/>
    <row r="1046834" customFormat="1" x14ac:dyDescent="0.3"/>
    <row r="1046835" customFormat="1" x14ac:dyDescent="0.3"/>
    <row r="1046836" customFormat="1" x14ac:dyDescent="0.3"/>
    <row r="1046837" customFormat="1" x14ac:dyDescent="0.3"/>
    <row r="1046838" customFormat="1" x14ac:dyDescent="0.3"/>
    <row r="1046839" customFormat="1" x14ac:dyDescent="0.3"/>
    <row r="1046840" customFormat="1" x14ac:dyDescent="0.3"/>
    <row r="1046841" customFormat="1" x14ac:dyDescent="0.3"/>
    <row r="1046842" customFormat="1" x14ac:dyDescent="0.3"/>
    <row r="1046843" customFormat="1" x14ac:dyDescent="0.3"/>
    <row r="1046844" customFormat="1" x14ac:dyDescent="0.3"/>
    <row r="1046845" customFormat="1" x14ac:dyDescent="0.3"/>
    <row r="1046846" customFormat="1" x14ac:dyDescent="0.3"/>
    <row r="1046847" customFormat="1" x14ac:dyDescent="0.3"/>
    <row r="1046848" customFormat="1" x14ac:dyDescent="0.3"/>
    <row r="1046849" customFormat="1" x14ac:dyDescent="0.3"/>
    <row r="1046850" customFormat="1" x14ac:dyDescent="0.3"/>
    <row r="1046851" customFormat="1" x14ac:dyDescent="0.3"/>
    <row r="1046852" customFormat="1" x14ac:dyDescent="0.3"/>
    <row r="1046853" customFormat="1" x14ac:dyDescent="0.3"/>
    <row r="1046854" customFormat="1" x14ac:dyDescent="0.3"/>
    <row r="1046855" customFormat="1" x14ac:dyDescent="0.3"/>
    <row r="1046856" customFormat="1" x14ac:dyDescent="0.3"/>
    <row r="1046857" customFormat="1" x14ac:dyDescent="0.3"/>
    <row r="1046858" customFormat="1" x14ac:dyDescent="0.3"/>
    <row r="1046859" customFormat="1" x14ac:dyDescent="0.3"/>
    <row r="1046860" customFormat="1" x14ac:dyDescent="0.3"/>
    <row r="1046861" customFormat="1" x14ac:dyDescent="0.3"/>
    <row r="1046862" customFormat="1" x14ac:dyDescent="0.3"/>
    <row r="1046863" customFormat="1" x14ac:dyDescent="0.3"/>
    <row r="1046864" customFormat="1" x14ac:dyDescent="0.3"/>
    <row r="1046865" customFormat="1" x14ac:dyDescent="0.3"/>
    <row r="1046866" customFormat="1" x14ac:dyDescent="0.3"/>
    <row r="1046867" customFormat="1" x14ac:dyDescent="0.3"/>
    <row r="1046868" customFormat="1" x14ac:dyDescent="0.3"/>
    <row r="1046869" customFormat="1" x14ac:dyDescent="0.3"/>
    <row r="1046870" customFormat="1" x14ac:dyDescent="0.3"/>
    <row r="1046871" customFormat="1" x14ac:dyDescent="0.3"/>
    <row r="1046872" customFormat="1" x14ac:dyDescent="0.3"/>
    <row r="1046873" customFormat="1" x14ac:dyDescent="0.3"/>
    <row r="1046874" customFormat="1" x14ac:dyDescent="0.3"/>
    <row r="1046875" customFormat="1" x14ac:dyDescent="0.3"/>
    <row r="1046876" customFormat="1" x14ac:dyDescent="0.3"/>
    <row r="1046877" customFormat="1" x14ac:dyDescent="0.3"/>
    <row r="1046878" customFormat="1" x14ac:dyDescent="0.3"/>
    <row r="1046879" customFormat="1" x14ac:dyDescent="0.3"/>
    <row r="1046880" customFormat="1" x14ac:dyDescent="0.3"/>
    <row r="1046881" customFormat="1" x14ac:dyDescent="0.3"/>
    <row r="1046882" customFormat="1" x14ac:dyDescent="0.3"/>
    <row r="1046883" customFormat="1" x14ac:dyDescent="0.3"/>
    <row r="1046884" customFormat="1" x14ac:dyDescent="0.3"/>
    <row r="1046885" customFormat="1" x14ac:dyDescent="0.3"/>
    <row r="1046886" customFormat="1" x14ac:dyDescent="0.3"/>
    <row r="1046887" customFormat="1" x14ac:dyDescent="0.3"/>
    <row r="1046888" customFormat="1" x14ac:dyDescent="0.3"/>
    <row r="1046889" customFormat="1" x14ac:dyDescent="0.3"/>
    <row r="1046890" customFormat="1" x14ac:dyDescent="0.3"/>
    <row r="1046891" customFormat="1" x14ac:dyDescent="0.3"/>
    <row r="1046892" customFormat="1" x14ac:dyDescent="0.3"/>
    <row r="1046893" customFormat="1" x14ac:dyDescent="0.3"/>
    <row r="1046894" customFormat="1" x14ac:dyDescent="0.3"/>
    <row r="1046895" customFormat="1" x14ac:dyDescent="0.3"/>
    <row r="1046896" customFormat="1" x14ac:dyDescent="0.3"/>
    <row r="1046897" customFormat="1" x14ac:dyDescent="0.3"/>
    <row r="1046898" customFormat="1" x14ac:dyDescent="0.3"/>
    <row r="1046899" customFormat="1" x14ac:dyDescent="0.3"/>
    <row r="1046900" customFormat="1" x14ac:dyDescent="0.3"/>
    <row r="1046901" customFormat="1" x14ac:dyDescent="0.3"/>
    <row r="1046902" customFormat="1" x14ac:dyDescent="0.3"/>
    <row r="1046903" customFormat="1" x14ac:dyDescent="0.3"/>
    <row r="1046904" customFormat="1" x14ac:dyDescent="0.3"/>
    <row r="1046905" customFormat="1" x14ac:dyDescent="0.3"/>
    <row r="1046906" customFormat="1" x14ac:dyDescent="0.3"/>
    <row r="1046907" customFormat="1" x14ac:dyDescent="0.3"/>
    <row r="1046908" customFormat="1" x14ac:dyDescent="0.3"/>
    <row r="1046909" customFormat="1" x14ac:dyDescent="0.3"/>
    <row r="1046910" customFormat="1" x14ac:dyDescent="0.3"/>
    <row r="1046911" customFormat="1" x14ac:dyDescent="0.3"/>
    <row r="1046912" customFormat="1" x14ac:dyDescent="0.3"/>
    <row r="1046913" customFormat="1" x14ac:dyDescent="0.3"/>
    <row r="1046914" customFormat="1" x14ac:dyDescent="0.3"/>
    <row r="1046915" customFormat="1" x14ac:dyDescent="0.3"/>
    <row r="1046916" customFormat="1" x14ac:dyDescent="0.3"/>
    <row r="1046917" customFormat="1" x14ac:dyDescent="0.3"/>
    <row r="1046918" customFormat="1" x14ac:dyDescent="0.3"/>
    <row r="1046919" customFormat="1" x14ac:dyDescent="0.3"/>
    <row r="1046920" customFormat="1" x14ac:dyDescent="0.3"/>
    <row r="1046921" customFormat="1" x14ac:dyDescent="0.3"/>
    <row r="1046922" customFormat="1" x14ac:dyDescent="0.3"/>
    <row r="1046923" customFormat="1" x14ac:dyDescent="0.3"/>
    <row r="1046924" customFormat="1" x14ac:dyDescent="0.3"/>
    <row r="1046925" customFormat="1" x14ac:dyDescent="0.3"/>
    <row r="1046926" customFormat="1" x14ac:dyDescent="0.3"/>
    <row r="1046927" customFormat="1" x14ac:dyDescent="0.3"/>
    <row r="1046928" customFormat="1" x14ac:dyDescent="0.3"/>
    <row r="1046929" customFormat="1" x14ac:dyDescent="0.3"/>
    <row r="1046930" customFormat="1" x14ac:dyDescent="0.3"/>
    <row r="1046931" customFormat="1" x14ac:dyDescent="0.3"/>
    <row r="1046932" customFormat="1" x14ac:dyDescent="0.3"/>
    <row r="1046933" customFormat="1" x14ac:dyDescent="0.3"/>
    <row r="1046934" customFormat="1" x14ac:dyDescent="0.3"/>
    <row r="1046935" customFormat="1" x14ac:dyDescent="0.3"/>
    <row r="1046936" customFormat="1" x14ac:dyDescent="0.3"/>
    <row r="1046937" customFormat="1" x14ac:dyDescent="0.3"/>
    <row r="1046938" customFormat="1" x14ac:dyDescent="0.3"/>
    <row r="1046939" customFormat="1" x14ac:dyDescent="0.3"/>
    <row r="1046940" customFormat="1" x14ac:dyDescent="0.3"/>
    <row r="1046941" customFormat="1" x14ac:dyDescent="0.3"/>
    <row r="1046942" customFormat="1" x14ac:dyDescent="0.3"/>
    <row r="1046943" customFormat="1" x14ac:dyDescent="0.3"/>
    <row r="1046944" customFormat="1" x14ac:dyDescent="0.3"/>
    <row r="1046945" customFormat="1" x14ac:dyDescent="0.3"/>
    <row r="1046946" customFormat="1" x14ac:dyDescent="0.3"/>
    <row r="1046947" customFormat="1" x14ac:dyDescent="0.3"/>
    <row r="1046948" customFormat="1" x14ac:dyDescent="0.3"/>
    <row r="1046949" customFormat="1" x14ac:dyDescent="0.3"/>
    <row r="1046950" customFormat="1" x14ac:dyDescent="0.3"/>
    <row r="1046951" customFormat="1" x14ac:dyDescent="0.3"/>
    <row r="1046952" customFormat="1" x14ac:dyDescent="0.3"/>
    <row r="1046953" customFormat="1" x14ac:dyDescent="0.3"/>
    <row r="1046954" customFormat="1" x14ac:dyDescent="0.3"/>
    <row r="1046955" customFormat="1" x14ac:dyDescent="0.3"/>
    <row r="1046956" customFormat="1" x14ac:dyDescent="0.3"/>
    <row r="1046957" customFormat="1" x14ac:dyDescent="0.3"/>
    <row r="1046958" customFormat="1" x14ac:dyDescent="0.3"/>
    <row r="1046959" customFormat="1" x14ac:dyDescent="0.3"/>
    <row r="1046960" customFormat="1" x14ac:dyDescent="0.3"/>
    <row r="1046961" customFormat="1" x14ac:dyDescent="0.3"/>
    <row r="1046962" customFormat="1" x14ac:dyDescent="0.3"/>
    <row r="1046963" customFormat="1" x14ac:dyDescent="0.3"/>
    <row r="1046964" customFormat="1" x14ac:dyDescent="0.3"/>
    <row r="1046965" customFormat="1" x14ac:dyDescent="0.3"/>
    <row r="1046966" customFormat="1" x14ac:dyDescent="0.3"/>
    <row r="1046967" customFormat="1" x14ac:dyDescent="0.3"/>
    <row r="1046968" customFormat="1" x14ac:dyDescent="0.3"/>
    <row r="1046969" customFormat="1" x14ac:dyDescent="0.3"/>
    <row r="1046970" customFormat="1" x14ac:dyDescent="0.3"/>
    <row r="1046971" customFormat="1" x14ac:dyDescent="0.3"/>
    <row r="1046972" customFormat="1" x14ac:dyDescent="0.3"/>
    <row r="1046973" customFormat="1" x14ac:dyDescent="0.3"/>
    <row r="1046974" customFormat="1" x14ac:dyDescent="0.3"/>
    <row r="1046975" customFormat="1" x14ac:dyDescent="0.3"/>
    <row r="1046976" customFormat="1" x14ac:dyDescent="0.3"/>
    <row r="1046977" customFormat="1" x14ac:dyDescent="0.3"/>
    <row r="1046978" customFormat="1" x14ac:dyDescent="0.3"/>
    <row r="1046979" customFormat="1" x14ac:dyDescent="0.3"/>
    <row r="1046980" customFormat="1" x14ac:dyDescent="0.3"/>
    <row r="1046981" customFormat="1" x14ac:dyDescent="0.3"/>
    <row r="1046982" customFormat="1" x14ac:dyDescent="0.3"/>
    <row r="1046983" customFormat="1" x14ac:dyDescent="0.3"/>
    <row r="1046984" customFormat="1" x14ac:dyDescent="0.3"/>
    <row r="1046985" customFormat="1" x14ac:dyDescent="0.3"/>
    <row r="1046986" customFormat="1" x14ac:dyDescent="0.3"/>
    <row r="1046987" customFormat="1" x14ac:dyDescent="0.3"/>
    <row r="1046988" customFormat="1" x14ac:dyDescent="0.3"/>
    <row r="1046989" customFormat="1" x14ac:dyDescent="0.3"/>
    <row r="1046990" customFormat="1" x14ac:dyDescent="0.3"/>
    <row r="1046991" customFormat="1" x14ac:dyDescent="0.3"/>
    <row r="1046992" customFormat="1" x14ac:dyDescent="0.3"/>
    <row r="1046993" customFormat="1" x14ac:dyDescent="0.3"/>
    <row r="1046994" customFormat="1" x14ac:dyDescent="0.3"/>
    <row r="1046995" customFormat="1" x14ac:dyDescent="0.3"/>
    <row r="1046996" customFormat="1" x14ac:dyDescent="0.3"/>
    <row r="1046997" customFormat="1" x14ac:dyDescent="0.3"/>
    <row r="1046998" customFormat="1" x14ac:dyDescent="0.3"/>
    <row r="1046999" customFormat="1" x14ac:dyDescent="0.3"/>
    <row r="1047000" customFormat="1" x14ac:dyDescent="0.3"/>
    <row r="1047001" customFormat="1" x14ac:dyDescent="0.3"/>
    <row r="1047002" customFormat="1" x14ac:dyDescent="0.3"/>
    <row r="1047003" customFormat="1" x14ac:dyDescent="0.3"/>
    <row r="1047004" customFormat="1" x14ac:dyDescent="0.3"/>
    <row r="1047005" customFormat="1" x14ac:dyDescent="0.3"/>
    <row r="1047006" customFormat="1" x14ac:dyDescent="0.3"/>
    <row r="1047007" customFormat="1" x14ac:dyDescent="0.3"/>
    <row r="1047008" customFormat="1" x14ac:dyDescent="0.3"/>
    <row r="1047009" customFormat="1" x14ac:dyDescent="0.3"/>
    <row r="1047010" customFormat="1" x14ac:dyDescent="0.3"/>
    <row r="1047011" customFormat="1" x14ac:dyDescent="0.3"/>
    <row r="1047012" customFormat="1" x14ac:dyDescent="0.3"/>
    <row r="1047013" customFormat="1" x14ac:dyDescent="0.3"/>
    <row r="1047014" customFormat="1" x14ac:dyDescent="0.3"/>
    <row r="1047015" customFormat="1" x14ac:dyDescent="0.3"/>
    <row r="1047016" customFormat="1" x14ac:dyDescent="0.3"/>
    <row r="1047017" customFormat="1" x14ac:dyDescent="0.3"/>
    <row r="1047018" customFormat="1" x14ac:dyDescent="0.3"/>
    <row r="1047019" customFormat="1" x14ac:dyDescent="0.3"/>
    <row r="1047020" customFormat="1" x14ac:dyDescent="0.3"/>
    <row r="1047021" customFormat="1" x14ac:dyDescent="0.3"/>
    <row r="1047022" customFormat="1" x14ac:dyDescent="0.3"/>
    <row r="1047023" customFormat="1" x14ac:dyDescent="0.3"/>
    <row r="1047024" customFormat="1" x14ac:dyDescent="0.3"/>
    <row r="1047025" customFormat="1" x14ac:dyDescent="0.3"/>
    <row r="1047026" customFormat="1" x14ac:dyDescent="0.3"/>
    <row r="1047027" customFormat="1" x14ac:dyDescent="0.3"/>
    <row r="1047028" customFormat="1" x14ac:dyDescent="0.3"/>
    <row r="1047029" customFormat="1" x14ac:dyDescent="0.3"/>
    <row r="1047030" customFormat="1" x14ac:dyDescent="0.3"/>
    <row r="1047031" customFormat="1" x14ac:dyDescent="0.3"/>
    <row r="1047032" customFormat="1" x14ac:dyDescent="0.3"/>
    <row r="1047033" customFormat="1" x14ac:dyDescent="0.3"/>
    <row r="1047034" customFormat="1" x14ac:dyDescent="0.3"/>
    <row r="1047035" customFormat="1" x14ac:dyDescent="0.3"/>
    <row r="1047036" customFormat="1" x14ac:dyDescent="0.3"/>
    <row r="1047037" customFormat="1" x14ac:dyDescent="0.3"/>
    <row r="1047038" customFormat="1" x14ac:dyDescent="0.3"/>
    <row r="1047039" customFormat="1" x14ac:dyDescent="0.3"/>
    <row r="1047040" customFormat="1" x14ac:dyDescent="0.3"/>
    <row r="1047041" customFormat="1" x14ac:dyDescent="0.3"/>
    <row r="1047042" customFormat="1" x14ac:dyDescent="0.3"/>
    <row r="1047043" customFormat="1" x14ac:dyDescent="0.3"/>
    <row r="1047044" customFormat="1" x14ac:dyDescent="0.3"/>
    <row r="1047045" customFormat="1" x14ac:dyDescent="0.3"/>
    <row r="1047046" customFormat="1" x14ac:dyDescent="0.3"/>
    <row r="1047047" customFormat="1" x14ac:dyDescent="0.3"/>
    <row r="1047048" customFormat="1" x14ac:dyDescent="0.3"/>
    <row r="1047049" customFormat="1" x14ac:dyDescent="0.3"/>
    <row r="1047050" customFormat="1" x14ac:dyDescent="0.3"/>
    <row r="1047051" customFormat="1" x14ac:dyDescent="0.3"/>
    <row r="1047052" customFormat="1" x14ac:dyDescent="0.3"/>
    <row r="1047053" customFormat="1" x14ac:dyDescent="0.3"/>
    <row r="1047054" customFormat="1" x14ac:dyDescent="0.3"/>
    <row r="1047055" customFormat="1" x14ac:dyDescent="0.3"/>
    <row r="1047056" customFormat="1" x14ac:dyDescent="0.3"/>
    <row r="1047057" customFormat="1" x14ac:dyDescent="0.3"/>
    <row r="1047058" customFormat="1" x14ac:dyDescent="0.3"/>
    <row r="1047059" customFormat="1" x14ac:dyDescent="0.3"/>
    <row r="1047060" customFormat="1" x14ac:dyDescent="0.3"/>
    <row r="1047061" customFormat="1" x14ac:dyDescent="0.3"/>
    <row r="1047062" customFormat="1" x14ac:dyDescent="0.3"/>
    <row r="1047063" customFormat="1" x14ac:dyDescent="0.3"/>
    <row r="1047064" customFormat="1" x14ac:dyDescent="0.3"/>
    <row r="1047065" customFormat="1" x14ac:dyDescent="0.3"/>
    <row r="1047066" customFormat="1" x14ac:dyDescent="0.3"/>
    <row r="1047067" customFormat="1" x14ac:dyDescent="0.3"/>
    <row r="1047068" customFormat="1" x14ac:dyDescent="0.3"/>
    <row r="1047069" customFormat="1" x14ac:dyDescent="0.3"/>
    <row r="1047070" customFormat="1" x14ac:dyDescent="0.3"/>
    <row r="1047071" customFormat="1" x14ac:dyDescent="0.3"/>
    <row r="1047072" customFormat="1" x14ac:dyDescent="0.3"/>
    <row r="1047073" customFormat="1" x14ac:dyDescent="0.3"/>
    <row r="1047074" customFormat="1" x14ac:dyDescent="0.3"/>
    <row r="1047075" customFormat="1" x14ac:dyDescent="0.3"/>
    <row r="1047076" customFormat="1" x14ac:dyDescent="0.3"/>
    <row r="1047077" customFormat="1" x14ac:dyDescent="0.3"/>
    <row r="1047078" customFormat="1" x14ac:dyDescent="0.3"/>
    <row r="1047079" customFormat="1" x14ac:dyDescent="0.3"/>
    <row r="1047080" customFormat="1" x14ac:dyDescent="0.3"/>
    <row r="1047081" customFormat="1" x14ac:dyDescent="0.3"/>
    <row r="1047082" customFormat="1" x14ac:dyDescent="0.3"/>
    <row r="1047083" customFormat="1" x14ac:dyDescent="0.3"/>
    <row r="1047084" customFormat="1" x14ac:dyDescent="0.3"/>
    <row r="1047085" customFormat="1" x14ac:dyDescent="0.3"/>
    <row r="1047086" customFormat="1" x14ac:dyDescent="0.3"/>
    <row r="1047087" customFormat="1" x14ac:dyDescent="0.3"/>
    <row r="1047088" customFormat="1" x14ac:dyDescent="0.3"/>
    <row r="1047089" customFormat="1" x14ac:dyDescent="0.3"/>
    <row r="1047090" customFormat="1" x14ac:dyDescent="0.3"/>
    <row r="1047091" customFormat="1" x14ac:dyDescent="0.3"/>
    <row r="1047092" customFormat="1" x14ac:dyDescent="0.3"/>
    <row r="1047093" customFormat="1" x14ac:dyDescent="0.3"/>
    <row r="1047094" customFormat="1" x14ac:dyDescent="0.3"/>
    <row r="1047095" customFormat="1" x14ac:dyDescent="0.3"/>
    <row r="1047096" customFormat="1" x14ac:dyDescent="0.3"/>
    <row r="1047097" customFormat="1" x14ac:dyDescent="0.3"/>
    <row r="1047098" customFormat="1" x14ac:dyDescent="0.3"/>
    <row r="1047099" customFormat="1" x14ac:dyDescent="0.3"/>
    <row r="1047100" customFormat="1" x14ac:dyDescent="0.3"/>
    <row r="1047101" customFormat="1" x14ac:dyDescent="0.3"/>
    <row r="1047102" customFormat="1" x14ac:dyDescent="0.3"/>
    <row r="1047103" customFormat="1" x14ac:dyDescent="0.3"/>
    <row r="1047104" customFormat="1" x14ac:dyDescent="0.3"/>
    <row r="1047105" customFormat="1" x14ac:dyDescent="0.3"/>
    <row r="1047106" customFormat="1" x14ac:dyDescent="0.3"/>
    <row r="1047107" customFormat="1" x14ac:dyDescent="0.3"/>
    <row r="1047108" customFormat="1" x14ac:dyDescent="0.3"/>
    <row r="1047109" customFormat="1" x14ac:dyDescent="0.3"/>
    <row r="1047110" customFormat="1" x14ac:dyDescent="0.3"/>
    <row r="1047111" customFormat="1" x14ac:dyDescent="0.3"/>
    <row r="1047112" customFormat="1" x14ac:dyDescent="0.3"/>
    <row r="1047113" customFormat="1" x14ac:dyDescent="0.3"/>
    <row r="1047114" customFormat="1" x14ac:dyDescent="0.3"/>
    <row r="1047115" customFormat="1" x14ac:dyDescent="0.3"/>
    <row r="1047116" customFormat="1" x14ac:dyDescent="0.3"/>
    <row r="1047117" customFormat="1" x14ac:dyDescent="0.3"/>
    <row r="1047118" customFormat="1" x14ac:dyDescent="0.3"/>
    <row r="1047119" customFormat="1" x14ac:dyDescent="0.3"/>
    <row r="1047120" customFormat="1" x14ac:dyDescent="0.3"/>
    <row r="1047121" customFormat="1" x14ac:dyDescent="0.3"/>
    <row r="1047122" customFormat="1" x14ac:dyDescent="0.3"/>
    <row r="1047123" customFormat="1" x14ac:dyDescent="0.3"/>
    <row r="1047124" customFormat="1" x14ac:dyDescent="0.3"/>
    <row r="1047125" customFormat="1" x14ac:dyDescent="0.3"/>
    <row r="1047126" customFormat="1" x14ac:dyDescent="0.3"/>
    <row r="1047127" customFormat="1" x14ac:dyDescent="0.3"/>
    <row r="1047128" customFormat="1" x14ac:dyDescent="0.3"/>
    <row r="1047129" customFormat="1" x14ac:dyDescent="0.3"/>
    <row r="1047130" customFormat="1" x14ac:dyDescent="0.3"/>
    <row r="1047131" customFormat="1" x14ac:dyDescent="0.3"/>
    <row r="1047132" customFormat="1" x14ac:dyDescent="0.3"/>
    <row r="1047133" customFormat="1" x14ac:dyDescent="0.3"/>
    <row r="1047134" customFormat="1" x14ac:dyDescent="0.3"/>
    <row r="1047135" customFormat="1" x14ac:dyDescent="0.3"/>
    <row r="1047136" customFormat="1" x14ac:dyDescent="0.3"/>
    <row r="1047137" customFormat="1" x14ac:dyDescent="0.3"/>
    <row r="1047138" customFormat="1" x14ac:dyDescent="0.3"/>
    <row r="1047139" customFormat="1" x14ac:dyDescent="0.3"/>
    <row r="1047140" customFormat="1" x14ac:dyDescent="0.3"/>
    <row r="1047141" customFormat="1" x14ac:dyDescent="0.3"/>
    <row r="1047142" customFormat="1" x14ac:dyDescent="0.3"/>
    <row r="1047143" customFormat="1" x14ac:dyDescent="0.3"/>
    <row r="1047144" customFormat="1" x14ac:dyDescent="0.3"/>
    <row r="1047145" customFormat="1" x14ac:dyDescent="0.3"/>
    <row r="1047146" customFormat="1" x14ac:dyDescent="0.3"/>
    <row r="1047147" customFormat="1" x14ac:dyDescent="0.3"/>
    <row r="1047148" customFormat="1" x14ac:dyDescent="0.3"/>
    <row r="1047149" customFormat="1" x14ac:dyDescent="0.3"/>
    <row r="1047150" customFormat="1" x14ac:dyDescent="0.3"/>
    <row r="1047151" customFormat="1" x14ac:dyDescent="0.3"/>
    <row r="1047152" customFormat="1" x14ac:dyDescent="0.3"/>
    <row r="1047153" customFormat="1" x14ac:dyDescent="0.3"/>
    <row r="1047154" customFormat="1" x14ac:dyDescent="0.3"/>
    <row r="1047155" customFormat="1" x14ac:dyDescent="0.3"/>
    <row r="1047156" customFormat="1" x14ac:dyDescent="0.3"/>
    <row r="1047157" customFormat="1" x14ac:dyDescent="0.3"/>
    <row r="1047158" customFormat="1" x14ac:dyDescent="0.3"/>
    <row r="1047159" customFormat="1" x14ac:dyDescent="0.3"/>
    <row r="1047160" customFormat="1" x14ac:dyDescent="0.3"/>
    <row r="1047161" customFormat="1" x14ac:dyDescent="0.3"/>
    <row r="1047162" customFormat="1" x14ac:dyDescent="0.3"/>
    <row r="1047163" customFormat="1" x14ac:dyDescent="0.3"/>
    <row r="1047164" customFormat="1" x14ac:dyDescent="0.3"/>
    <row r="1047165" customFormat="1" x14ac:dyDescent="0.3"/>
    <row r="1047166" customFormat="1" x14ac:dyDescent="0.3"/>
    <row r="1047167" customFormat="1" x14ac:dyDescent="0.3"/>
    <row r="1047168" customFormat="1" x14ac:dyDescent="0.3"/>
    <row r="1047169" customFormat="1" x14ac:dyDescent="0.3"/>
    <row r="1047170" customFormat="1" x14ac:dyDescent="0.3"/>
    <row r="1047171" customFormat="1" x14ac:dyDescent="0.3"/>
    <row r="1047172" customFormat="1" x14ac:dyDescent="0.3"/>
    <row r="1047173" customFormat="1" x14ac:dyDescent="0.3"/>
    <row r="1047174" customFormat="1" x14ac:dyDescent="0.3"/>
    <row r="1047175" customFormat="1" x14ac:dyDescent="0.3"/>
    <row r="1047176" customFormat="1" x14ac:dyDescent="0.3"/>
    <row r="1047177" customFormat="1" x14ac:dyDescent="0.3"/>
    <row r="1047178" customFormat="1" x14ac:dyDescent="0.3"/>
    <row r="1047179" customFormat="1" x14ac:dyDescent="0.3"/>
    <row r="1047180" customFormat="1" x14ac:dyDescent="0.3"/>
    <row r="1047181" customFormat="1" x14ac:dyDescent="0.3"/>
    <row r="1047182" customFormat="1" x14ac:dyDescent="0.3"/>
    <row r="1047183" customFormat="1" x14ac:dyDescent="0.3"/>
    <row r="1047184" customFormat="1" x14ac:dyDescent="0.3"/>
    <row r="1047185" customFormat="1" x14ac:dyDescent="0.3"/>
    <row r="1047186" customFormat="1" x14ac:dyDescent="0.3"/>
    <row r="1047187" customFormat="1" x14ac:dyDescent="0.3"/>
    <row r="1047188" customFormat="1" x14ac:dyDescent="0.3"/>
    <row r="1047189" customFormat="1" x14ac:dyDescent="0.3"/>
    <row r="1047190" customFormat="1" x14ac:dyDescent="0.3"/>
    <row r="1047191" customFormat="1" x14ac:dyDescent="0.3"/>
    <row r="1047192" customFormat="1" x14ac:dyDescent="0.3"/>
    <row r="1047193" customFormat="1" x14ac:dyDescent="0.3"/>
    <row r="1047194" customFormat="1" x14ac:dyDescent="0.3"/>
    <row r="1047195" customFormat="1" x14ac:dyDescent="0.3"/>
    <row r="1047196" customFormat="1" x14ac:dyDescent="0.3"/>
    <row r="1047197" customFormat="1" x14ac:dyDescent="0.3"/>
    <row r="1047198" customFormat="1" x14ac:dyDescent="0.3"/>
    <row r="1047199" customFormat="1" x14ac:dyDescent="0.3"/>
    <row r="1047200" customFormat="1" x14ac:dyDescent="0.3"/>
    <row r="1047201" customFormat="1" x14ac:dyDescent="0.3"/>
    <row r="1047202" customFormat="1" x14ac:dyDescent="0.3"/>
    <row r="1047203" customFormat="1" x14ac:dyDescent="0.3"/>
    <row r="1047204" customFormat="1" x14ac:dyDescent="0.3"/>
    <row r="1047205" customFormat="1" x14ac:dyDescent="0.3"/>
    <row r="1047206" customFormat="1" x14ac:dyDescent="0.3"/>
    <row r="1047207" customFormat="1" x14ac:dyDescent="0.3"/>
    <row r="1047208" customFormat="1" x14ac:dyDescent="0.3"/>
    <row r="1047209" customFormat="1" x14ac:dyDescent="0.3"/>
    <row r="1047210" customFormat="1" x14ac:dyDescent="0.3"/>
    <row r="1047211" customFormat="1" x14ac:dyDescent="0.3"/>
    <row r="1047212" customFormat="1" x14ac:dyDescent="0.3"/>
    <row r="1047213" customFormat="1" x14ac:dyDescent="0.3"/>
    <row r="1047214" customFormat="1" x14ac:dyDescent="0.3"/>
    <row r="1047215" customFormat="1" x14ac:dyDescent="0.3"/>
    <row r="1047216" customFormat="1" x14ac:dyDescent="0.3"/>
    <row r="1047217" customFormat="1" x14ac:dyDescent="0.3"/>
    <row r="1047218" customFormat="1" x14ac:dyDescent="0.3"/>
    <row r="1047219" customFormat="1" x14ac:dyDescent="0.3"/>
    <row r="1047220" customFormat="1" x14ac:dyDescent="0.3"/>
    <row r="1047221" customFormat="1" x14ac:dyDescent="0.3"/>
    <row r="1047222" customFormat="1" x14ac:dyDescent="0.3"/>
    <row r="1047223" customFormat="1" x14ac:dyDescent="0.3"/>
    <row r="1047224" customFormat="1" x14ac:dyDescent="0.3"/>
    <row r="1047225" customFormat="1" x14ac:dyDescent="0.3"/>
    <row r="1047226" customFormat="1" x14ac:dyDescent="0.3"/>
    <row r="1047227" customFormat="1" x14ac:dyDescent="0.3"/>
    <row r="1047228" customFormat="1" x14ac:dyDescent="0.3"/>
    <row r="1047229" customFormat="1" x14ac:dyDescent="0.3"/>
    <row r="1047230" customFormat="1" x14ac:dyDescent="0.3"/>
    <row r="1047231" customFormat="1" x14ac:dyDescent="0.3"/>
    <row r="1047232" customFormat="1" x14ac:dyDescent="0.3"/>
    <row r="1047233" customFormat="1" x14ac:dyDescent="0.3"/>
    <row r="1047234" customFormat="1" x14ac:dyDescent="0.3"/>
    <row r="1047235" customFormat="1" x14ac:dyDescent="0.3"/>
    <row r="1047236" customFormat="1" x14ac:dyDescent="0.3"/>
    <row r="1047237" customFormat="1" x14ac:dyDescent="0.3"/>
    <row r="1047238" customFormat="1" x14ac:dyDescent="0.3"/>
    <row r="1047239" customFormat="1" x14ac:dyDescent="0.3"/>
    <row r="1047240" customFormat="1" x14ac:dyDescent="0.3"/>
    <row r="1047241" customFormat="1" x14ac:dyDescent="0.3"/>
    <row r="1047242" customFormat="1" x14ac:dyDescent="0.3"/>
    <row r="1047243" customFormat="1" x14ac:dyDescent="0.3"/>
    <row r="1047244" customFormat="1" x14ac:dyDescent="0.3"/>
    <row r="1047245" customFormat="1" x14ac:dyDescent="0.3"/>
    <row r="1047246" customFormat="1" x14ac:dyDescent="0.3"/>
    <row r="1047247" customFormat="1" x14ac:dyDescent="0.3"/>
    <row r="1047248" customFormat="1" x14ac:dyDescent="0.3"/>
    <row r="1047249" customFormat="1" x14ac:dyDescent="0.3"/>
    <row r="1047250" customFormat="1" x14ac:dyDescent="0.3"/>
    <row r="1047251" customFormat="1" x14ac:dyDescent="0.3"/>
    <row r="1047252" customFormat="1" x14ac:dyDescent="0.3"/>
    <row r="1047253" customFormat="1" x14ac:dyDescent="0.3"/>
    <row r="1047254" customFormat="1" x14ac:dyDescent="0.3"/>
    <row r="1047255" customFormat="1" x14ac:dyDescent="0.3"/>
    <row r="1047256" customFormat="1" x14ac:dyDescent="0.3"/>
    <row r="1047257" customFormat="1" x14ac:dyDescent="0.3"/>
    <row r="1047258" customFormat="1" x14ac:dyDescent="0.3"/>
    <row r="1047259" customFormat="1" x14ac:dyDescent="0.3"/>
    <row r="1047260" customFormat="1" x14ac:dyDescent="0.3"/>
    <row r="1047261" customFormat="1" x14ac:dyDescent="0.3"/>
    <row r="1047262" customFormat="1" x14ac:dyDescent="0.3"/>
    <row r="1047263" customFormat="1" x14ac:dyDescent="0.3"/>
    <row r="1047264" customFormat="1" x14ac:dyDescent="0.3"/>
    <row r="1047265" customFormat="1" x14ac:dyDescent="0.3"/>
    <row r="1047266" customFormat="1" x14ac:dyDescent="0.3"/>
    <row r="1047267" customFormat="1" x14ac:dyDescent="0.3"/>
    <row r="1047268" customFormat="1" x14ac:dyDescent="0.3"/>
    <row r="1047269" customFormat="1" x14ac:dyDescent="0.3"/>
    <row r="1047270" customFormat="1" x14ac:dyDescent="0.3"/>
    <row r="1047271" customFormat="1" x14ac:dyDescent="0.3"/>
    <row r="1047272" customFormat="1" x14ac:dyDescent="0.3"/>
    <row r="1047273" customFormat="1" x14ac:dyDescent="0.3"/>
    <row r="1047274" customFormat="1" x14ac:dyDescent="0.3"/>
    <row r="1047275" customFormat="1" x14ac:dyDescent="0.3"/>
    <row r="1047276" customFormat="1" x14ac:dyDescent="0.3"/>
    <row r="1047277" customFormat="1" x14ac:dyDescent="0.3"/>
    <row r="1047278" customFormat="1" x14ac:dyDescent="0.3"/>
    <row r="1047279" customFormat="1" x14ac:dyDescent="0.3"/>
    <row r="1047280" customFormat="1" x14ac:dyDescent="0.3"/>
    <row r="1047281" customFormat="1" x14ac:dyDescent="0.3"/>
    <row r="1047282" customFormat="1" x14ac:dyDescent="0.3"/>
    <row r="1047283" customFormat="1" x14ac:dyDescent="0.3"/>
    <row r="1047284" customFormat="1" x14ac:dyDescent="0.3"/>
    <row r="1047285" customFormat="1" x14ac:dyDescent="0.3"/>
    <row r="1047286" customFormat="1" x14ac:dyDescent="0.3"/>
    <row r="1047287" customFormat="1" x14ac:dyDescent="0.3"/>
    <row r="1047288" customFormat="1" x14ac:dyDescent="0.3"/>
    <row r="1047289" customFormat="1" x14ac:dyDescent="0.3"/>
    <row r="1047290" customFormat="1" x14ac:dyDescent="0.3"/>
    <row r="1047291" customFormat="1" x14ac:dyDescent="0.3"/>
    <row r="1047292" customFormat="1" x14ac:dyDescent="0.3"/>
    <row r="1047293" customFormat="1" x14ac:dyDescent="0.3"/>
    <row r="1047294" customFormat="1" x14ac:dyDescent="0.3"/>
    <row r="1047295" customFormat="1" x14ac:dyDescent="0.3"/>
    <row r="1047296" customFormat="1" x14ac:dyDescent="0.3"/>
    <row r="1047297" customFormat="1" x14ac:dyDescent="0.3"/>
    <row r="1047298" customFormat="1" x14ac:dyDescent="0.3"/>
    <row r="1047299" customFormat="1" x14ac:dyDescent="0.3"/>
    <row r="1047300" customFormat="1" x14ac:dyDescent="0.3"/>
    <row r="1047301" customFormat="1" x14ac:dyDescent="0.3"/>
    <row r="1047302" customFormat="1" x14ac:dyDescent="0.3"/>
    <row r="1047303" customFormat="1" x14ac:dyDescent="0.3"/>
    <row r="1047304" customFormat="1" x14ac:dyDescent="0.3"/>
    <row r="1047305" customFormat="1" x14ac:dyDescent="0.3"/>
    <row r="1047306" customFormat="1" x14ac:dyDescent="0.3"/>
    <row r="1047307" customFormat="1" x14ac:dyDescent="0.3"/>
    <row r="1047308" customFormat="1" x14ac:dyDescent="0.3"/>
    <row r="1047309" customFormat="1" x14ac:dyDescent="0.3"/>
    <row r="1047310" customFormat="1" x14ac:dyDescent="0.3"/>
    <row r="1047311" customFormat="1" x14ac:dyDescent="0.3"/>
    <row r="1047312" customFormat="1" x14ac:dyDescent="0.3"/>
    <row r="1047313" customFormat="1" x14ac:dyDescent="0.3"/>
    <row r="1047314" customFormat="1" x14ac:dyDescent="0.3"/>
    <row r="1047315" customFormat="1" x14ac:dyDescent="0.3"/>
    <row r="1047316" customFormat="1" x14ac:dyDescent="0.3"/>
    <row r="1047317" customFormat="1" x14ac:dyDescent="0.3"/>
    <row r="1047318" customFormat="1" x14ac:dyDescent="0.3"/>
    <row r="1047319" customFormat="1" x14ac:dyDescent="0.3"/>
    <row r="1047320" customFormat="1" x14ac:dyDescent="0.3"/>
    <row r="1047321" customFormat="1" x14ac:dyDescent="0.3"/>
    <row r="1047322" customFormat="1" x14ac:dyDescent="0.3"/>
    <row r="1047323" customFormat="1" x14ac:dyDescent="0.3"/>
    <row r="1047324" customFormat="1" x14ac:dyDescent="0.3"/>
    <row r="1047325" customFormat="1" x14ac:dyDescent="0.3"/>
    <row r="1047326" customFormat="1" x14ac:dyDescent="0.3"/>
    <row r="1047327" customFormat="1" x14ac:dyDescent="0.3"/>
    <row r="1047328" customFormat="1" x14ac:dyDescent="0.3"/>
    <row r="1047329" customFormat="1" x14ac:dyDescent="0.3"/>
    <row r="1047330" customFormat="1" x14ac:dyDescent="0.3"/>
    <row r="1047331" customFormat="1" x14ac:dyDescent="0.3"/>
    <row r="1047332" customFormat="1" x14ac:dyDescent="0.3"/>
    <row r="1047333" customFormat="1" x14ac:dyDescent="0.3"/>
    <row r="1047334" customFormat="1" x14ac:dyDescent="0.3"/>
    <row r="1047335" customFormat="1" x14ac:dyDescent="0.3"/>
    <row r="1047336" customFormat="1" x14ac:dyDescent="0.3"/>
    <row r="1047337" customFormat="1" x14ac:dyDescent="0.3"/>
    <row r="1047338" customFormat="1" x14ac:dyDescent="0.3"/>
    <row r="1047339" customFormat="1" x14ac:dyDescent="0.3"/>
    <row r="1047340" customFormat="1" x14ac:dyDescent="0.3"/>
    <row r="1047341" customFormat="1" x14ac:dyDescent="0.3"/>
    <row r="1047342" customFormat="1" x14ac:dyDescent="0.3"/>
    <row r="1047343" customFormat="1" x14ac:dyDescent="0.3"/>
    <row r="1047344" customFormat="1" x14ac:dyDescent="0.3"/>
    <row r="1047345" customFormat="1" x14ac:dyDescent="0.3"/>
    <row r="1047346" customFormat="1" x14ac:dyDescent="0.3"/>
    <row r="1047347" customFormat="1" x14ac:dyDescent="0.3"/>
    <row r="1047348" customFormat="1" x14ac:dyDescent="0.3"/>
    <row r="1047349" customFormat="1" x14ac:dyDescent="0.3"/>
    <row r="1047350" customFormat="1" x14ac:dyDescent="0.3"/>
    <row r="1047351" customFormat="1" x14ac:dyDescent="0.3"/>
    <row r="1047352" customFormat="1" x14ac:dyDescent="0.3"/>
    <row r="1047353" customFormat="1" x14ac:dyDescent="0.3"/>
    <row r="1047354" customFormat="1" x14ac:dyDescent="0.3"/>
    <row r="1047355" customFormat="1" x14ac:dyDescent="0.3"/>
    <row r="1047356" customFormat="1" x14ac:dyDescent="0.3"/>
    <row r="1047357" customFormat="1" x14ac:dyDescent="0.3"/>
    <row r="1047358" customFormat="1" x14ac:dyDescent="0.3"/>
    <row r="1047359" customFormat="1" x14ac:dyDescent="0.3"/>
    <row r="1047360" customFormat="1" x14ac:dyDescent="0.3"/>
    <row r="1047361" customFormat="1" x14ac:dyDescent="0.3"/>
    <row r="1047362" customFormat="1" x14ac:dyDescent="0.3"/>
    <row r="1047363" customFormat="1" x14ac:dyDescent="0.3"/>
    <row r="1047364" customFormat="1" x14ac:dyDescent="0.3"/>
    <row r="1047365" customFormat="1" x14ac:dyDescent="0.3"/>
    <row r="1047366" customFormat="1" x14ac:dyDescent="0.3"/>
    <row r="1047367" customFormat="1" x14ac:dyDescent="0.3"/>
    <row r="1047368" customFormat="1" x14ac:dyDescent="0.3"/>
    <row r="1047369" customFormat="1" x14ac:dyDescent="0.3"/>
    <row r="1047370" customFormat="1" x14ac:dyDescent="0.3"/>
    <row r="1047371" customFormat="1" x14ac:dyDescent="0.3"/>
    <row r="1047372" customFormat="1" x14ac:dyDescent="0.3"/>
    <row r="1047373" customFormat="1" x14ac:dyDescent="0.3"/>
    <row r="1047374" customFormat="1" x14ac:dyDescent="0.3"/>
    <row r="1047375" customFormat="1" x14ac:dyDescent="0.3"/>
    <row r="1047376" customFormat="1" x14ac:dyDescent="0.3"/>
    <row r="1047377" customFormat="1" x14ac:dyDescent="0.3"/>
    <row r="1047378" customFormat="1" x14ac:dyDescent="0.3"/>
    <row r="1047379" customFormat="1" x14ac:dyDescent="0.3"/>
    <row r="1047380" customFormat="1" x14ac:dyDescent="0.3"/>
    <row r="1047381" customFormat="1" x14ac:dyDescent="0.3"/>
    <row r="1047382" customFormat="1" x14ac:dyDescent="0.3"/>
    <row r="1047383" customFormat="1" x14ac:dyDescent="0.3"/>
    <row r="1047384" customFormat="1" x14ac:dyDescent="0.3"/>
    <row r="1047385" customFormat="1" x14ac:dyDescent="0.3"/>
    <row r="1047386" customFormat="1" x14ac:dyDescent="0.3"/>
    <row r="1047387" customFormat="1" x14ac:dyDescent="0.3"/>
    <row r="1047388" customFormat="1" x14ac:dyDescent="0.3"/>
    <row r="1047389" customFormat="1" x14ac:dyDescent="0.3"/>
    <row r="1047390" customFormat="1" x14ac:dyDescent="0.3"/>
    <row r="1047391" customFormat="1" x14ac:dyDescent="0.3"/>
    <row r="1047392" customFormat="1" x14ac:dyDescent="0.3"/>
    <row r="1047393" customFormat="1" x14ac:dyDescent="0.3"/>
    <row r="1047394" customFormat="1" x14ac:dyDescent="0.3"/>
    <row r="1047395" customFormat="1" x14ac:dyDescent="0.3"/>
    <row r="1047396" customFormat="1" x14ac:dyDescent="0.3"/>
    <row r="1047397" customFormat="1" x14ac:dyDescent="0.3"/>
    <row r="1047398" customFormat="1" x14ac:dyDescent="0.3"/>
    <row r="1047399" customFormat="1" x14ac:dyDescent="0.3"/>
    <row r="1047400" customFormat="1" x14ac:dyDescent="0.3"/>
    <row r="1047401" customFormat="1" x14ac:dyDescent="0.3"/>
    <row r="1047402" customFormat="1" x14ac:dyDescent="0.3"/>
    <row r="1047403" customFormat="1" x14ac:dyDescent="0.3"/>
    <row r="1047404" customFormat="1" x14ac:dyDescent="0.3"/>
    <row r="1047405" customFormat="1" x14ac:dyDescent="0.3"/>
    <row r="1047406" customFormat="1" x14ac:dyDescent="0.3"/>
    <row r="1047407" customFormat="1" x14ac:dyDescent="0.3"/>
    <row r="1047408" customFormat="1" x14ac:dyDescent="0.3"/>
    <row r="1047409" customFormat="1" x14ac:dyDescent="0.3"/>
    <row r="1047410" customFormat="1" x14ac:dyDescent="0.3"/>
    <row r="1047411" customFormat="1" x14ac:dyDescent="0.3"/>
    <row r="1047412" customFormat="1" x14ac:dyDescent="0.3"/>
    <row r="1047413" customFormat="1" x14ac:dyDescent="0.3"/>
    <row r="1047414" customFormat="1" x14ac:dyDescent="0.3"/>
    <row r="1047415" customFormat="1" x14ac:dyDescent="0.3"/>
    <row r="1047416" customFormat="1" x14ac:dyDescent="0.3"/>
    <row r="1047417" customFormat="1" x14ac:dyDescent="0.3"/>
    <row r="1047418" customFormat="1" x14ac:dyDescent="0.3"/>
    <row r="1047419" customFormat="1" x14ac:dyDescent="0.3"/>
    <row r="1047420" customFormat="1" x14ac:dyDescent="0.3"/>
    <row r="1047421" customFormat="1" x14ac:dyDescent="0.3"/>
    <row r="1047422" customFormat="1" x14ac:dyDescent="0.3"/>
    <row r="1047423" customFormat="1" x14ac:dyDescent="0.3"/>
    <row r="1047424" customFormat="1" x14ac:dyDescent="0.3"/>
    <row r="1047425" customFormat="1" x14ac:dyDescent="0.3"/>
    <row r="1047426" customFormat="1" x14ac:dyDescent="0.3"/>
    <row r="1047427" customFormat="1" x14ac:dyDescent="0.3"/>
    <row r="1047428" customFormat="1" x14ac:dyDescent="0.3"/>
    <row r="1047429" customFormat="1" x14ac:dyDescent="0.3"/>
    <row r="1047430" customFormat="1" x14ac:dyDescent="0.3"/>
    <row r="1047431" customFormat="1" x14ac:dyDescent="0.3"/>
    <row r="1047432" customFormat="1" x14ac:dyDescent="0.3"/>
    <row r="1047433" customFormat="1" x14ac:dyDescent="0.3"/>
    <row r="1047434" customFormat="1" x14ac:dyDescent="0.3"/>
    <row r="1047435" customFormat="1" x14ac:dyDescent="0.3"/>
    <row r="1047436" customFormat="1" x14ac:dyDescent="0.3"/>
    <row r="1047437" customFormat="1" x14ac:dyDescent="0.3"/>
    <row r="1047438" customFormat="1" x14ac:dyDescent="0.3"/>
    <row r="1047439" customFormat="1" x14ac:dyDescent="0.3"/>
    <row r="1047440" customFormat="1" x14ac:dyDescent="0.3"/>
    <row r="1047441" customFormat="1" x14ac:dyDescent="0.3"/>
    <row r="1047442" customFormat="1" x14ac:dyDescent="0.3"/>
    <row r="1047443" customFormat="1" x14ac:dyDescent="0.3"/>
    <row r="1047444" customFormat="1" x14ac:dyDescent="0.3"/>
    <row r="1047445" customFormat="1" x14ac:dyDescent="0.3"/>
    <row r="1047446" customFormat="1" x14ac:dyDescent="0.3"/>
    <row r="1047447" customFormat="1" x14ac:dyDescent="0.3"/>
    <row r="1047448" customFormat="1" x14ac:dyDescent="0.3"/>
    <row r="1047449" customFormat="1" x14ac:dyDescent="0.3"/>
    <row r="1047450" customFormat="1" x14ac:dyDescent="0.3"/>
    <row r="1047451" customFormat="1" x14ac:dyDescent="0.3"/>
    <row r="1047452" customFormat="1" x14ac:dyDescent="0.3"/>
    <row r="1047453" customFormat="1" x14ac:dyDescent="0.3"/>
    <row r="1047454" customFormat="1" x14ac:dyDescent="0.3"/>
    <row r="1047455" customFormat="1" x14ac:dyDescent="0.3"/>
    <row r="1047456" customFormat="1" x14ac:dyDescent="0.3"/>
    <row r="1047457" customFormat="1" x14ac:dyDescent="0.3"/>
    <row r="1047458" customFormat="1" x14ac:dyDescent="0.3"/>
    <row r="1047459" customFormat="1" x14ac:dyDescent="0.3"/>
    <row r="1047460" customFormat="1" x14ac:dyDescent="0.3"/>
    <row r="1047461" customFormat="1" x14ac:dyDescent="0.3"/>
    <row r="1047462" customFormat="1" x14ac:dyDescent="0.3"/>
    <row r="1047463" customFormat="1" x14ac:dyDescent="0.3"/>
    <row r="1047464" customFormat="1" x14ac:dyDescent="0.3"/>
    <row r="1047465" customFormat="1" x14ac:dyDescent="0.3"/>
    <row r="1047466" customFormat="1" x14ac:dyDescent="0.3"/>
    <row r="1047467" customFormat="1" x14ac:dyDescent="0.3"/>
    <row r="1047468" customFormat="1" x14ac:dyDescent="0.3"/>
    <row r="1047469" customFormat="1" x14ac:dyDescent="0.3"/>
    <row r="1047470" customFormat="1" x14ac:dyDescent="0.3"/>
    <row r="1047471" customFormat="1" x14ac:dyDescent="0.3"/>
    <row r="1047472" customFormat="1" x14ac:dyDescent="0.3"/>
    <row r="1047473" customFormat="1" x14ac:dyDescent="0.3"/>
    <row r="1047474" customFormat="1" x14ac:dyDescent="0.3"/>
    <row r="1047475" customFormat="1" x14ac:dyDescent="0.3"/>
    <row r="1047476" customFormat="1" x14ac:dyDescent="0.3"/>
    <row r="1047477" customFormat="1" x14ac:dyDescent="0.3"/>
    <row r="1047478" customFormat="1" x14ac:dyDescent="0.3"/>
    <row r="1047479" customFormat="1" x14ac:dyDescent="0.3"/>
    <row r="1047480" customFormat="1" x14ac:dyDescent="0.3"/>
    <row r="1047481" customFormat="1" x14ac:dyDescent="0.3"/>
    <row r="1047482" customFormat="1" x14ac:dyDescent="0.3"/>
    <row r="1047483" customFormat="1" x14ac:dyDescent="0.3"/>
    <row r="1047484" customFormat="1" x14ac:dyDescent="0.3"/>
    <row r="1047485" customFormat="1" x14ac:dyDescent="0.3"/>
    <row r="1047486" customFormat="1" x14ac:dyDescent="0.3"/>
    <row r="1047487" customFormat="1" x14ac:dyDescent="0.3"/>
    <row r="1047488" customFormat="1" x14ac:dyDescent="0.3"/>
    <row r="1047489" customFormat="1" x14ac:dyDescent="0.3"/>
    <row r="1047490" customFormat="1" x14ac:dyDescent="0.3"/>
    <row r="1047491" customFormat="1" x14ac:dyDescent="0.3"/>
    <row r="1047492" customFormat="1" x14ac:dyDescent="0.3"/>
    <row r="1047493" customFormat="1" x14ac:dyDescent="0.3"/>
    <row r="1047494" customFormat="1" x14ac:dyDescent="0.3"/>
    <row r="1047495" customFormat="1" x14ac:dyDescent="0.3"/>
    <row r="1047496" customFormat="1" x14ac:dyDescent="0.3"/>
    <row r="1047497" customFormat="1" x14ac:dyDescent="0.3"/>
    <row r="1047498" customFormat="1" x14ac:dyDescent="0.3"/>
    <row r="1047499" customFormat="1" x14ac:dyDescent="0.3"/>
    <row r="1047500" customFormat="1" x14ac:dyDescent="0.3"/>
    <row r="1047501" customFormat="1" x14ac:dyDescent="0.3"/>
    <row r="1047502" customFormat="1" x14ac:dyDescent="0.3"/>
    <row r="1047503" customFormat="1" x14ac:dyDescent="0.3"/>
    <row r="1047504" customFormat="1" x14ac:dyDescent="0.3"/>
    <row r="1047505" customFormat="1" x14ac:dyDescent="0.3"/>
    <row r="1047506" customFormat="1" x14ac:dyDescent="0.3"/>
    <row r="1047507" customFormat="1" x14ac:dyDescent="0.3"/>
    <row r="1047508" customFormat="1" x14ac:dyDescent="0.3"/>
    <row r="1047509" customFormat="1" x14ac:dyDescent="0.3"/>
    <row r="1047510" customFormat="1" x14ac:dyDescent="0.3"/>
    <row r="1047511" customFormat="1" x14ac:dyDescent="0.3"/>
    <row r="1047512" customFormat="1" x14ac:dyDescent="0.3"/>
    <row r="1047513" customFormat="1" x14ac:dyDescent="0.3"/>
    <row r="1047514" customFormat="1" x14ac:dyDescent="0.3"/>
    <row r="1047515" customFormat="1" x14ac:dyDescent="0.3"/>
    <row r="1047516" customFormat="1" x14ac:dyDescent="0.3"/>
    <row r="1047517" customFormat="1" x14ac:dyDescent="0.3"/>
    <row r="1047518" customFormat="1" x14ac:dyDescent="0.3"/>
    <row r="1047519" customFormat="1" x14ac:dyDescent="0.3"/>
    <row r="1047520" customFormat="1" x14ac:dyDescent="0.3"/>
    <row r="1047521" customFormat="1" x14ac:dyDescent="0.3"/>
    <row r="1047522" customFormat="1" x14ac:dyDescent="0.3"/>
    <row r="1047523" customFormat="1" x14ac:dyDescent="0.3"/>
    <row r="1047524" customFormat="1" x14ac:dyDescent="0.3"/>
    <row r="1047525" customFormat="1" x14ac:dyDescent="0.3"/>
    <row r="1047526" customFormat="1" x14ac:dyDescent="0.3"/>
    <row r="1047527" customFormat="1" x14ac:dyDescent="0.3"/>
    <row r="1047528" customFormat="1" x14ac:dyDescent="0.3"/>
    <row r="1047529" customFormat="1" x14ac:dyDescent="0.3"/>
    <row r="1047530" customFormat="1" x14ac:dyDescent="0.3"/>
    <row r="1047531" customFormat="1" x14ac:dyDescent="0.3"/>
    <row r="1047532" customFormat="1" x14ac:dyDescent="0.3"/>
    <row r="1047533" customFormat="1" x14ac:dyDescent="0.3"/>
    <row r="1047534" customFormat="1" x14ac:dyDescent="0.3"/>
    <row r="1047535" customFormat="1" x14ac:dyDescent="0.3"/>
    <row r="1047536" customFormat="1" x14ac:dyDescent="0.3"/>
    <row r="1047537" customFormat="1" x14ac:dyDescent="0.3"/>
    <row r="1047538" customFormat="1" x14ac:dyDescent="0.3"/>
    <row r="1047539" customFormat="1" x14ac:dyDescent="0.3"/>
    <row r="1047540" customFormat="1" x14ac:dyDescent="0.3"/>
    <row r="1047541" customFormat="1" x14ac:dyDescent="0.3"/>
    <row r="1047542" customFormat="1" x14ac:dyDescent="0.3"/>
    <row r="1047543" customFormat="1" x14ac:dyDescent="0.3"/>
    <row r="1047544" customFormat="1" x14ac:dyDescent="0.3"/>
    <row r="1047545" customFormat="1" x14ac:dyDescent="0.3"/>
    <row r="1047546" customFormat="1" x14ac:dyDescent="0.3"/>
    <row r="1047547" customFormat="1" x14ac:dyDescent="0.3"/>
    <row r="1047548" customFormat="1" x14ac:dyDescent="0.3"/>
    <row r="1047549" customFormat="1" x14ac:dyDescent="0.3"/>
    <row r="1047550" customFormat="1" x14ac:dyDescent="0.3"/>
    <row r="1047551" customFormat="1" x14ac:dyDescent="0.3"/>
    <row r="1047552" customFormat="1" x14ac:dyDescent="0.3"/>
    <row r="1047553" customFormat="1" x14ac:dyDescent="0.3"/>
    <row r="1047554" customFormat="1" x14ac:dyDescent="0.3"/>
    <row r="1047555" customFormat="1" x14ac:dyDescent="0.3"/>
    <row r="1047556" customFormat="1" x14ac:dyDescent="0.3"/>
    <row r="1047557" customFormat="1" x14ac:dyDescent="0.3"/>
    <row r="1047558" customFormat="1" x14ac:dyDescent="0.3"/>
    <row r="1047559" customFormat="1" x14ac:dyDescent="0.3"/>
    <row r="1047560" customFormat="1" x14ac:dyDescent="0.3"/>
    <row r="1047561" customFormat="1" x14ac:dyDescent="0.3"/>
    <row r="1047562" customFormat="1" x14ac:dyDescent="0.3"/>
    <row r="1047563" customFormat="1" x14ac:dyDescent="0.3"/>
    <row r="1047564" customFormat="1" x14ac:dyDescent="0.3"/>
    <row r="1047565" customFormat="1" x14ac:dyDescent="0.3"/>
    <row r="1047566" customFormat="1" x14ac:dyDescent="0.3"/>
    <row r="1047567" customFormat="1" x14ac:dyDescent="0.3"/>
    <row r="1047568" customFormat="1" x14ac:dyDescent="0.3"/>
    <row r="1047569" customFormat="1" x14ac:dyDescent="0.3"/>
    <row r="1047570" customFormat="1" x14ac:dyDescent="0.3"/>
    <row r="1047571" customFormat="1" x14ac:dyDescent="0.3"/>
    <row r="1047572" customFormat="1" x14ac:dyDescent="0.3"/>
    <row r="1047573" customFormat="1" x14ac:dyDescent="0.3"/>
    <row r="1047574" customFormat="1" x14ac:dyDescent="0.3"/>
    <row r="1047575" customFormat="1" x14ac:dyDescent="0.3"/>
    <row r="1047576" customFormat="1" x14ac:dyDescent="0.3"/>
    <row r="1047577" customFormat="1" x14ac:dyDescent="0.3"/>
    <row r="1047578" customFormat="1" x14ac:dyDescent="0.3"/>
    <row r="1047579" customFormat="1" x14ac:dyDescent="0.3"/>
    <row r="1047580" customFormat="1" x14ac:dyDescent="0.3"/>
    <row r="1047581" customFormat="1" x14ac:dyDescent="0.3"/>
    <row r="1047582" customFormat="1" x14ac:dyDescent="0.3"/>
    <row r="1047583" customFormat="1" x14ac:dyDescent="0.3"/>
    <row r="1047584" customFormat="1" x14ac:dyDescent="0.3"/>
    <row r="1047585" customFormat="1" x14ac:dyDescent="0.3"/>
    <row r="1047586" customFormat="1" x14ac:dyDescent="0.3"/>
    <row r="1047587" customFormat="1" x14ac:dyDescent="0.3"/>
    <row r="1047588" customFormat="1" x14ac:dyDescent="0.3"/>
    <row r="1047589" customFormat="1" x14ac:dyDescent="0.3"/>
    <row r="1047590" customFormat="1" x14ac:dyDescent="0.3"/>
    <row r="1047591" customFormat="1" x14ac:dyDescent="0.3"/>
    <row r="1047592" customFormat="1" x14ac:dyDescent="0.3"/>
    <row r="1047593" customFormat="1" x14ac:dyDescent="0.3"/>
    <row r="1047594" customFormat="1" x14ac:dyDescent="0.3"/>
    <row r="1047595" customFormat="1" x14ac:dyDescent="0.3"/>
    <row r="1047596" customFormat="1" x14ac:dyDescent="0.3"/>
    <row r="1047597" customFormat="1" x14ac:dyDescent="0.3"/>
    <row r="1047598" customFormat="1" x14ac:dyDescent="0.3"/>
    <row r="1047599" customFormat="1" x14ac:dyDescent="0.3"/>
    <row r="1047600" customFormat="1" x14ac:dyDescent="0.3"/>
    <row r="1047601" customFormat="1" x14ac:dyDescent="0.3"/>
    <row r="1047602" customFormat="1" x14ac:dyDescent="0.3"/>
    <row r="1047603" customFormat="1" x14ac:dyDescent="0.3"/>
    <row r="1047604" customFormat="1" x14ac:dyDescent="0.3"/>
    <row r="1047605" customFormat="1" x14ac:dyDescent="0.3"/>
    <row r="1047606" customFormat="1" x14ac:dyDescent="0.3"/>
    <row r="1047607" customFormat="1" x14ac:dyDescent="0.3"/>
    <row r="1047608" customFormat="1" x14ac:dyDescent="0.3"/>
    <row r="1047609" customFormat="1" x14ac:dyDescent="0.3"/>
    <row r="1047610" customFormat="1" x14ac:dyDescent="0.3"/>
    <row r="1047611" customFormat="1" x14ac:dyDescent="0.3"/>
    <row r="1047612" customFormat="1" x14ac:dyDescent="0.3"/>
    <row r="1047613" customFormat="1" x14ac:dyDescent="0.3"/>
    <row r="1047614" customFormat="1" x14ac:dyDescent="0.3"/>
    <row r="1047615" customFormat="1" x14ac:dyDescent="0.3"/>
    <row r="1047616" customFormat="1" x14ac:dyDescent="0.3"/>
    <row r="1047617" customFormat="1" x14ac:dyDescent="0.3"/>
    <row r="1047618" customFormat="1" x14ac:dyDescent="0.3"/>
    <row r="1047619" customFormat="1" x14ac:dyDescent="0.3"/>
    <row r="1047620" customFormat="1" x14ac:dyDescent="0.3"/>
    <row r="1047621" customFormat="1" x14ac:dyDescent="0.3"/>
    <row r="1047622" customFormat="1" x14ac:dyDescent="0.3"/>
    <row r="1047623" customFormat="1" x14ac:dyDescent="0.3"/>
    <row r="1047624" customFormat="1" x14ac:dyDescent="0.3"/>
    <row r="1047625" customFormat="1" x14ac:dyDescent="0.3"/>
    <row r="1047626" customFormat="1" x14ac:dyDescent="0.3"/>
    <row r="1047627" customFormat="1" x14ac:dyDescent="0.3"/>
    <row r="1047628" customFormat="1" x14ac:dyDescent="0.3"/>
    <row r="1047629" customFormat="1" x14ac:dyDescent="0.3"/>
    <row r="1047630" customFormat="1" x14ac:dyDescent="0.3"/>
    <row r="1047631" customFormat="1" x14ac:dyDescent="0.3"/>
    <row r="1047632" customFormat="1" x14ac:dyDescent="0.3"/>
    <row r="1047633" customFormat="1" x14ac:dyDescent="0.3"/>
    <row r="1047634" customFormat="1" x14ac:dyDescent="0.3"/>
    <row r="1047635" customFormat="1" x14ac:dyDescent="0.3"/>
    <row r="1047636" customFormat="1" x14ac:dyDescent="0.3"/>
    <row r="1047637" customFormat="1" x14ac:dyDescent="0.3"/>
    <row r="1047638" customFormat="1" x14ac:dyDescent="0.3"/>
    <row r="1047639" customFormat="1" x14ac:dyDescent="0.3"/>
    <row r="1047640" customFormat="1" x14ac:dyDescent="0.3"/>
    <row r="1047641" customFormat="1" x14ac:dyDescent="0.3"/>
    <row r="1047642" customFormat="1" x14ac:dyDescent="0.3"/>
    <row r="1047643" customFormat="1" x14ac:dyDescent="0.3"/>
    <row r="1047644" customFormat="1" x14ac:dyDescent="0.3"/>
    <row r="1047645" customFormat="1" x14ac:dyDescent="0.3"/>
    <row r="1047646" customFormat="1" x14ac:dyDescent="0.3"/>
    <row r="1047647" customFormat="1" x14ac:dyDescent="0.3"/>
    <row r="1047648" customFormat="1" x14ac:dyDescent="0.3"/>
    <row r="1047649" customFormat="1" x14ac:dyDescent="0.3"/>
    <row r="1047650" customFormat="1" x14ac:dyDescent="0.3"/>
    <row r="1047651" customFormat="1" x14ac:dyDescent="0.3"/>
    <row r="1047652" customFormat="1" x14ac:dyDescent="0.3"/>
    <row r="1047653" customFormat="1" x14ac:dyDescent="0.3"/>
    <row r="1047654" customFormat="1" x14ac:dyDescent="0.3"/>
    <row r="1047655" customFormat="1" x14ac:dyDescent="0.3"/>
    <row r="1047656" customFormat="1" x14ac:dyDescent="0.3"/>
    <row r="1047657" customFormat="1" x14ac:dyDescent="0.3"/>
    <row r="1047658" customFormat="1" x14ac:dyDescent="0.3"/>
    <row r="1047659" customFormat="1" x14ac:dyDescent="0.3"/>
    <row r="1047660" customFormat="1" x14ac:dyDescent="0.3"/>
    <row r="1047661" customFormat="1" x14ac:dyDescent="0.3"/>
    <row r="1047662" customFormat="1" x14ac:dyDescent="0.3"/>
    <row r="1047663" customFormat="1" x14ac:dyDescent="0.3"/>
    <row r="1047664" customFormat="1" x14ac:dyDescent="0.3"/>
    <row r="1047665" customFormat="1" x14ac:dyDescent="0.3"/>
    <row r="1047666" customFormat="1" x14ac:dyDescent="0.3"/>
    <row r="1047667" customFormat="1" x14ac:dyDescent="0.3"/>
    <row r="1047668" customFormat="1" x14ac:dyDescent="0.3"/>
    <row r="1047669" customFormat="1" x14ac:dyDescent="0.3"/>
    <row r="1047670" customFormat="1" x14ac:dyDescent="0.3"/>
    <row r="1047671" customFormat="1" x14ac:dyDescent="0.3"/>
    <row r="1047672" customFormat="1" x14ac:dyDescent="0.3"/>
    <row r="1047673" customFormat="1" x14ac:dyDescent="0.3"/>
    <row r="1047674" customFormat="1" x14ac:dyDescent="0.3"/>
    <row r="1047675" customFormat="1" x14ac:dyDescent="0.3"/>
    <row r="1047676" customFormat="1" x14ac:dyDescent="0.3"/>
    <row r="1047677" customFormat="1" x14ac:dyDescent="0.3"/>
    <row r="1047678" customFormat="1" x14ac:dyDescent="0.3"/>
    <row r="1047679" customFormat="1" x14ac:dyDescent="0.3"/>
    <row r="1047680" customFormat="1" x14ac:dyDescent="0.3"/>
    <row r="1047681" customFormat="1" x14ac:dyDescent="0.3"/>
    <row r="1047682" customFormat="1" x14ac:dyDescent="0.3"/>
    <row r="1047683" customFormat="1" x14ac:dyDescent="0.3"/>
    <row r="1047684" customFormat="1" x14ac:dyDescent="0.3"/>
    <row r="1047685" customFormat="1" x14ac:dyDescent="0.3"/>
    <row r="1047686" customFormat="1" x14ac:dyDescent="0.3"/>
    <row r="1047687" customFormat="1" x14ac:dyDescent="0.3"/>
    <row r="1047688" customFormat="1" x14ac:dyDescent="0.3"/>
    <row r="1047689" customFormat="1" x14ac:dyDescent="0.3"/>
    <row r="1047690" customFormat="1" x14ac:dyDescent="0.3"/>
    <row r="1047691" customFormat="1" x14ac:dyDescent="0.3"/>
    <row r="1047692" customFormat="1" x14ac:dyDescent="0.3"/>
    <row r="1047693" customFormat="1" x14ac:dyDescent="0.3"/>
    <row r="1047694" customFormat="1" x14ac:dyDescent="0.3"/>
    <row r="1047695" customFormat="1" x14ac:dyDescent="0.3"/>
    <row r="1047696" customFormat="1" x14ac:dyDescent="0.3"/>
    <row r="1047697" customFormat="1" x14ac:dyDescent="0.3"/>
    <row r="1047698" customFormat="1" x14ac:dyDescent="0.3"/>
    <row r="1047699" customFormat="1" x14ac:dyDescent="0.3"/>
    <row r="1047700" customFormat="1" x14ac:dyDescent="0.3"/>
    <row r="1047701" customFormat="1" x14ac:dyDescent="0.3"/>
    <row r="1047702" customFormat="1" x14ac:dyDescent="0.3"/>
    <row r="1047703" customFormat="1" x14ac:dyDescent="0.3"/>
    <row r="1047704" customFormat="1" x14ac:dyDescent="0.3"/>
    <row r="1047705" customFormat="1" x14ac:dyDescent="0.3"/>
    <row r="1047706" customFormat="1" x14ac:dyDescent="0.3"/>
    <row r="1047707" customFormat="1" x14ac:dyDescent="0.3"/>
    <row r="1047708" customFormat="1" x14ac:dyDescent="0.3"/>
    <row r="1047709" customFormat="1" x14ac:dyDescent="0.3"/>
    <row r="1047710" customFormat="1" x14ac:dyDescent="0.3"/>
    <row r="1047711" customFormat="1" x14ac:dyDescent="0.3"/>
    <row r="1047712" customFormat="1" x14ac:dyDescent="0.3"/>
    <row r="1047713" customFormat="1" x14ac:dyDescent="0.3"/>
    <row r="1047714" customFormat="1" x14ac:dyDescent="0.3"/>
    <row r="1047715" customFormat="1" x14ac:dyDescent="0.3"/>
    <row r="1047716" customFormat="1" x14ac:dyDescent="0.3"/>
    <row r="1047717" customFormat="1" x14ac:dyDescent="0.3"/>
    <row r="1047718" customFormat="1" x14ac:dyDescent="0.3"/>
    <row r="1047719" customFormat="1" x14ac:dyDescent="0.3"/>
    <row r="1047720" customFormat="1" x14ac:dyDescent="0.3"/>
    <row r="1047721" customFormat="1" x14ac:dyDescent="0.3"/>
    <row r="1047722" customFormat="1" x14ac:dyDescent="0.3"/>
    <row r="1047723" customFormat="1" x14ac:dyDescent="0.3"/>
    <row r="1047724" customFormat="1" x14ac:dyDescent="0.3"/>
    <row r="1047725" customFormat="1" x14ac:dyDescent="0.3"/>
    <row r="1047726" customFormat="1" x14ac:dyDescent="0.3"/>
    <row r="1047727" customFormat="1" x14ac:dyDescent="0.3"/>
    <row r="1047728" customFormat="1" x14ac:dyDescent="0.3"/>
    <row r="1047729" customFormat="1" x14ac:dyDescent="0.3"/>
    <row r="1047730" customFormat="1" x14ac:dyDescent="0.3"/>
    <row r="1047731" customFormat="1" x14ac:dyDescent="0.3"/>
    <row r="1047732" customFormat="1" x14ac:dyDescent="0.3"/>
    <row r="1047733" customFormat="1" x14ac:dyDescent="0.3"/>
    <row r="1047734" customFormat="1" x14ac:dyDescent="0.3"/>
    <row r="1047735" customFormat="1" x14ac:dyDescent="0.3"/>
    <row r="1047736" customFormat="1" x14ac:dyDescent="0.3"/>
    <row r="1047737" customFormat="1" x14ac:dyDescent="0.3"/>
    <row r="1047738" customFormat="1" x14ac:dyDescent="0.3"/>
    <row r="1047739" customFormat="1" x14ac:dyDescent="0.3"/>
    <row r="1047740" customFormat="1" x14ac:dyDescent="0.3"/>
    <row r="1047741" customFormat="1" x14ac:dyDescent="0.3"/>
    <row r="1047742" customFormat="1" x14ac:dyDescent="0.3"/>
    <row r="1047743" customFormat="1" x14ac:dyDescent="0.3"/>
    <row r="1047744" customFormat="1" x14ac:dyDescent="0.3"/>
    <row r="1047745" customFormat="1" x14ac:dyDescent="0.3"/>
    <row r="1047746" customFormat="1" x14ac:dyDescent="0.3"/>
    <row r="1047747" customFormat="1" x14ac:dyDescent="0.3"/>
    <row r="1047748" customFormat="1" x14ac:dyDescent="0.3"/>
    <row r="1047749" customFormat="1" x14ac:dyDescent="0.3"/>
    <row r="1047750" customFormat="1" x14ac:dyDescent="0.3"/>
    <row r="1047751" customFormat="1" x14ac:dyDescent="0.3"/>
    <row r="1047752" customFormat="1" x14ac:dyDescent="0.3"/>
    <row r="1047753" customFormat="1" x14ac:dyDescent="0.3"/>
    <row r="1047754" customFormat="1" x14ac:dyDescent="0.3"/>
    <row r="1047755" customFormat="1" x14ac:dyDescent="0.3"/>
    <row r="1047756" customFormat="1" x14ac:dyDescent="0.3"/>
    <row r="1047757" customFormat="1" x14ac:dyDescent="0.3"/>
    <row r="1047758" customFormat="1" x14ac:dyDescent="0.3"/>
    <row r="1047759" customFormat="1" x14ac:dyDescent="0.3"/>
    <row r="1047760" customFormat="1" x14ac:dyDescent="0.3"/>
    <row r="1047761" customFormat="1" x14ac:dyDescent="0.3"/>
    <row r="1047762" customFormat="1" x14ac:dyDescent="0.3"/>
    <row r="1047763" customFormat="1" x14ac:dyDescent="0.3"/>
    <row r="1047764" customFormat="1" x14ac:dyDescent="0.3"/>
    <row r="1047765" customFormat="1" x14ac:dyDescent="0.3"/>
    <row r="1047766" customFormat="1" x14ac:dyDescent="0.3"/>
    <row r="1047767" customFormat="1" x14ac:dyDescent="0.3"/>
    <row r="1047768" customFormat="1" x14ac:dyDescent="0.3"/>
    <row r="1047769" customFormat="1" x14ac:dyDescent="0.3"/>
    <row r="1047770" customFormat="1" x14ac:dyDescent="0.3"/>
    <row r="1047771" customFormat="1" x14ac:dyDescent="0.3"/>
    <row r="1047772" customFormat="1" x14ac:dyDescent="0.3"/>
    <row r="1047773" customFormat="1" x14ac:dyDescent="0.3"/>
    <row r="1047774" customFormat="1" x14ac:dyDescent="0.3"/>
    <row r="1047775" customFormat="1" x14ac:dyDescent="0.3"/>
    <row r="1047776" customFormat="1" x14ac:dyDescent="0.3"/>
    <row r="1047777" customFormat="1" x14ac:dyDescent="0.3"/>
    <row r="1047778" customFormat="1" x14ac:dyDescent="0.3"/>
    <row r="1047779" customFormat="1" x14ac:dyDescent="0.3"/>
    <row r="1047780" customFormat="1" x14ac:dyDescent="0.3"/>
    <row r="1047781" customFormat="1" x14ac:dyDescent="0.3"/>
    <row r="1047782" customFormat="1" x14ac:dyDescent="0.3"/>
    <row r="1047783" customFormat="1" x14ac:dyDescent="0.3"/>
    <row r="1047784" customFormat="1" x14ac:dyDescent="0.3"/>
    <row r="1047785" customFormat="1" x14ac:dyDescent="0.3"/>
    <row r="1047786" customFormat="1" x14ac:dyDescent="0.3"/>
    <row r="1047787" customFormat="1" x14ac:dyDescent="0.3"/>
    <row r="1047788" customFormat="1" x14ac:dyDescent="0.3"/>
    <row r="1047789" customFormat="1" x14ac:dyDescent="0.3"/>
    <row r="1047790" customFormat="1" x14ac:dyDescent="0.3"/>
    <row r="1047791" customFormat="1" x14ac:dyDescent="0.3"/>
    <row r="1047792" customFormat="1" x14ac:dyDescent="0.3"/>
    <row r="1047793" customFormat="1" x14ac:dyDescent="0.3"/>
    <row r="1047794" customFormat="1" x14ac:dyDescent="0.3"/>
    <row r="1047795" customFormat="1" x14ac:dyDescent="0.3"/>
    <row r="1047796" customFormat="1" x14ac:dyDescent="0.3"/>
    <row r="1047797" customFormat="1" x14ac:dyDescent="0.3"/>
    <row r="1047798" customFormat="1" x14ac:dyDescent="0.3"/>
    <row r="1047799" customFormat="1" x14ac:dyDescent="0.3"/>
    <row r="1047800" customFormat="1" x14ac:dyDescent="0.3"/>
    <row r="1047801" customFormat="1" x14ac:dyDescent="0.3"/>
    <row r="1047802" customFormat="1" x14ac:dyDescent="0.3"/>
    <row r="1047803" customFormat="1" x14ac:dyDescent="0.3"/>
    <row r="1047804" customFormat="1" x14ac:dyDescent="0.3"/>
    <row r="1047805" customFormat="1" x14ac:dyDescent="0.3"/>
    <row r="1047806" customFormat="1" x14ac:dyDescent="0.3"/>
    <row r="1047807" customFormat="1" x14ac:dyDescent="0.3"/>
    <row r="1047808" customFormat="1" x14ac:dyDescent="0.3"/>
    <row r="1047809" customFormat="1" x14ac:dyDescent="0.3"/>
    <row r="1047810" customFormat="1" x14ac:dyDescent="0.3"/>
    <row r="1047811" customFormat="1" x14ac:dyDescent="0.3"/>
    <row r="1047812" customFormat="1" x14ac:dyDescent="0.3"/>
    <row r="1047813" customFormat="1" x14ac:dyDescent="0.3"/>
    <row r="1047814" customFormat="1" x14ac:dyDescent="0.3"/>
    <row r="1047815" customFormat="1" x14ac:dyDescent="0.3"/>
    <row r="1047816" customFormat="1" x14ac:dyDescent="0.3"/>
    <row r="1047817" customFormat="1" x14ac:dyDescent="0.3"/>
    <row r="1047818" customFormat="1" x14ac:dyDescent="0.3"/>
    <row r="1047819" customFormat="1" x14ac:dyDescent="0.3"/>
    <row r="1047820" customFormat="1" x14ac:dyDescent="0.3"/>
    <row r="1047821" customFormat="1" x14ac:dyDescent="0.3"/>
    <row r="1047822" customFormat="1" x14ac:dyDescent="0.3"/>
    <row r="1047823" customFormat="1" x14ac:dyDescent="0.3"/>
    <row r="1047824" customFormat="1" x14ac:dyDescent="0.3"/>
    <row r="1047825" customFormat="1" x14ac:dyDescent="0.3"/>
    <row r="1047826" customFormat="1" x14ac:dyDescent="0.3"/>
    <row r="1047827" customFormat="1" x14ac:dyDescent="0.3"/>
    <row r="1047828" customFormat="1" x14ac:dyDescent="0.3"/>
    <row r="1047829" customFormat="1" x14ac:dyDescent="0.3"/>
    <row r="1047830" customFormat="1" x14ac:dyDescent="0.3"/>
    <row r="1047831" customFormat="1" x14ac:dyDescent="0.3"/>
    <row r="1047832" customFormat="1" x14ac:dyDescent="0.3"/>
    <row r="1047833" customFormat="1" x14ac:dyDescent="0.3"/>
    <row r="1047834" customFormat="1" x14ac:dyDescent="0.3"/>
    <row r="1047835" customFormat="1" x14ac:dyDescent="0.3"/>
    <row r="1047836" customFormat="1" x14ac:dyDescent="0.3"/>
    <row r="1047837" customFormat="1" x14ac:dyDescent="0.3"/>
    <row r="1047838" customFormat="1" x14ac:dyDescent="0.3"/>
    <row r="1047839" customFormat="1" x14ac:dyDescent="0.3"/>
    <row r="1047840" customFormat="1" x14ac:dyDescent="0.3"/>
    <row r="1047841" customFormat="1" x14ac:dyDescent="0.3"/>
    <row r="1047842" customFormat="1" x14ac:dyDescent="0.3"/>
    <row r="1047843" customFormat="1" x14ac:dyDescent="0.3"/>
    <row r="1047844" customFormat="1" x14ac:dyDescent="0.3"/>
    <row r="1047845" customFormat="1" x14ac:dyDescent="0.3"/>
    <row r="1047846" customFormat="1" x14ac:dyDescent="0.3"/>
    <row r="1047847" customFormat="1" x14ac:dyDescent="0.3"/>
    <row r="1047848" customFormat="1" x14ac:dyDescent="0.3"/>
    <row r="1047849" customFormat="1" x14ac:dyDescent="0.3"/>
    <row r="1047850" customFormat="1" x14ac:dyDescent="0.3"/>
    <row r="1047851" customFormat="1" x14ac:dyDescent="0.3"/>
    <row r="1047852" customFormat="1" x14ac:dyDescent="0.3"/>
    <row r="1047853" customFormat="1" x14ac:dyDescent="0.3"/>
    <row r="1047854" customFormat="1" x14ac:dyDescent="0.3"/>
    <row r="1047855" customFormat="1" x14ac:dyDescent="0.3"/>
    <row r="1047856" customFormat="1" x14ac:dyDescent="0.3"/>
    <row r="1047857" customFormat="1" x14ac:dyDescent="0.3"/>
    <row r="1047858" customFormat="1" x14ac:dyDescent="0.3"/>
    <row r="1047859" customFormat="1" x14ac:dyDescent="0.3"/>
    <row r="1047860" customFormat="1" x14ac:dyDescent="0.3"/>
    <row r="1047861" customFormat="1" x14ac:dyDescent="0.3"/>
    <row r="1047862" customFormat="1" x14ac:dyDescent="0.3"/>
    <row r="1047863" customFormat="1" x14ac:dyDescent="0.3"/>
    <row r="1047864" customFormat="1" x14ac:dyDescent="0.3"/>
    <row r="1047865" customFormat="1" x14ac:dyDescent="0.3"/>
    <row r="1047866" customFormat="1" x14ac:dyDescent="0.3"/>
    <row r="1047867" customFormat="1" x14ac:dyDescent="0.3"/>
    <row r="1047868" customFormat="1" x14ac:dyDescent="0.3"/>
    <row r="1047869" customFormat="1" x14ac:dyDescent="0.3"/>
    <row r="1047870" customFormat="1" x14ac:dyDescent="0.3"/>
    <row r="1047871" customFormat="1" x14ac:dyDescent="0.3"/>
    <row r="1047872" customFormat="1" x14ac:dyDescent="0.3"/>
    <row r="1047873" customFormat="1" x14ac:dyDescent="0.3"/>
    <row r="1047874" customFormat="1" x14ac:dyDescent="0.3"/>
    <row r="1047875" customFormat="1" x14ac:dyDescent="0.3"/>
    <row r="1047876" customFormat="1" x14ac:dyDescent="0.3"/>
    <row r="1047877" customFormat="1" x14ac:dyDescent="0.3"/>
    <row r="1047878" customFormat="1" x14ac:dyDescent="0.3"/>
    <row r="1047879" customFormat="1" x14ac:dyDescent="0.3"/>
    <row r="1047880" customFormat="1" x14ac:dyDescent="0.3"/>
    <row r="1047881" customFormat="1" x14ac:dyDescent="0.3"/>
    <row r="1047882" customFormat="1" x14ac:dyDescent="0.3"/>
    <row r="1047883" customFormat="1" x14ac:dyDescent="0.3"/>
    <row r="1047884" customFormat="1" x14ac:dyDescent="0.3"/>
    <row r="1047885" customFormat="1" x14ac:dyDescent="0.3"/>
    <row r="1047886" customFormat="1" x14ac:dyDescent="0.3"/>
    <row r="1047887" customFormat="1" x14ac:dyDescent="0.3"/>
    <row r="1047888" customFormat="1" x14ac:dyDescent="0.3"/>
    <row r="1047889" customFormat="1" x14ac:dyDescent="0.3"/>
    <row r="1047890" customFormat="1" x14ac:dyDescent="0.3"/>
    <row r="1047891" customFormat="1" x14ac:dyDescent="0.3"/>
    <row r="1047892" customFormat="1" x14ac:dyDescent="0.3"/>
    <row r="1047893" customFormat="1" x14ac:dyDescent="0.3"/>
    <row r="1047894" customFormat="1" x14ac:dyDescent="0.3"/>
    <row r="1047895" customFormat="1" x14ac:dyDescent="0.3"/>
    <row r="1047896" customFormat="1" x14ac:dyDescent="0.3"/>
    <row r="1047897" customFormat="1" x14ac:dyDescent="0.3"/>
    <row r="1047898" customFormat="1" x14ac:dyDescent="0.3"/>
    <row r="1047899" customFormat="1" x14ac:dyDescent="0.3"/>
    <row r="1047900" customFormat="1" x14ac:dyDescent="0.3"/>
    <row r="1047901" customFormat="1" x14ac:dyDescent="0.3"/>
    <row r="1047902" customFormat="1" x14ac:dyDescent="0.3"/>
    <row r="1047903" customFormat="1" x14ac:dyDescent="0.3"/>
    <row r="1047904" customFormat="1" x14ac:dyDescent="0.3"/>
    <row r="1047905" customFormat="1" x14ac:dyDescent="0.3"/>
    <row r="1047906" customFormat="1" x14ac:dyDescent="0.3"/>
    <row r="1047907" customFormat="1" x14ac:dyDescent="0.3"/>
    <row r="1047908" customFormat="1" x14ac:dyDescent="0.3"/>
    <row r="1047909" customFormat="1" x14ac:dyDescent="0.3"/>
    <row r="1047910" customFormat="1" x14ac:dyDescent="0.3"/>
    <row r="1047911" customFormat="1" x14ac:dyDescent="0.3"/>
    <row r="1047912" customFormat="1" x14ac:dyDescent="0.3"/>
    <row r="1047913" customFormat="1" x14ac:dyDescent="0.3"/>
    <row r="1047914" customFormat="1" x14ac:dyDescent="0.3"/>
    <row r="1047915" customFormat="1" x14ac:dyDescent="0.3"/>
    <row r="1047916" customFormat="1" x14ac:dyDescent="0.3"/>
    <row r="1047917" customFormat="1" x14ac:dyDescent="0.3"/>
    <row r="1047918" customFormat="1" x14ac:dyDescent="0.3"/>
    <row r="1047919" customFormat="1" x14ac:dyDescent="0.3"/>
    <row r="1047920" customFormat="1" x14ac:dyDescent="0.3"/>
    <row r="1047921" customFormat="1" x14ac:dyDescent="0.3"/>
    <row r="1047922" customFormat="1" x14ac:dyDescent="0.3"/>
    <row r="1047923" customFormat="1" x14ac:dyDescent="0.3"/>
    <row r="1047924" customFormat="1" x14ac:dyDescent="0.3"/>
    <row r="1047925" customFormat="1" x14ac:dyDescent="0.3"/>
    <row r="1047926" customFormat="1" x14ac:dyDescent="0.3"/>
    <row r="1047927" customFormat="1" x14ac:dyDescent="0.3"/>
    <row r="1047928" customFormat="1" x14ac:dyDescent="0.3"/>
    <row r="1047929" customFormat="1" x14ac:dyDescent="0.3"/>
    <row r="1047930" customFormat="1" x14ac:dyDescent="0.3"/>
    <row r="1047931" customFormat="1" x14ac:dyDescent="0.3"/>
    <row r="1047932" customFormat="1" x14ac:dyDescent="0.3"/>
    <row r="1047933" customFormat="1" x14ac:dyDescent="0.3"/>
    <row r="1047934" customFormat="1" x14ac:dyDescent="0.3"/>
    <row r="1047935" customFormat="1" x14ac:dyDescent="0.3"/>
    <row r="1047936" customFormat="1" x14ac:dyDescent="0.3"/>
    <row r="1047937" customFormat="1" x14ac:dyDescent="0.3"/>
    <row r="1047938" customFormat="1" x14ac:dyDescent="0.3"/>
    <row r="1047939" customFormat="1" x14ac:dyDescent="0.3"/>
    <row r="1047940" customFormat="1" x14ac:dyDescent="0.3"/>
    <row r="1047941" customFormat="1" x14ac:dyDescent="0.3"/>
    <row r="1047942" customFormat="1" x14ac:dyDescent="0.3"/>
    <row r="1047943" customFormat="1" x14ac:dyDescent="0.3"/>
    <row r="1047944" customFormat="1" x14ac:dyDescent="0.3"/>
    <row r="1047945" customFormat="1" x14ac:dyDescent="0.3"/>
    <row r="1047946" customFormat="1" x14ac:dyDescent="0.3"/>
    <row r="1047947" customFormat="1" x14ac:dyDescent="0.3"/>
    <row r="1047948" customFormat="1" x14ac:dyDescent="0.3"/>
    <row r="1047949" customFormat="1" x14ac:dyDescent="0.3"/>
    <row r="1047950" customFormat="1" x14ac:dyDescent="0.3"/>
    <row r="1047951" customFormat="1" x14ac:dyDescent="0.3"/>
    <row r="1047952" customFormat="1" x14ac:dyDescent="0.3"/>
    <row r="1047953" customFormat="1" x14ac:dyDescent="0.3"/>
    <row r="1047954" customFormat="1" x14ac:dyDescent="0.3"/>
    <row r="1047955" customFormat="1" x14ac:dyDescent="0.3"/>
    <row r="1047956" customFormat="1" x14ac:dyDescent="0.3"/>
    <row r="1047957" customFormat="1" x14ac:dyDescent="0.3"/>
    <row r="1047958" customFormat="1" x14ac:dyDescent="0.3"/>
    <row r="1047959" customFormat="1" x14ac:dyDescent="0.3"/>
    <row r="1047960" customFormat="1" x14ac:dyDescent="0.3"/>
    <row r="1047961" customFormat="1" x14ac:dyDescent="0.3"/>
    <row r="1047962" customFormat="1" x14ac:dyDescent="0.3"/>
    <row r="1047963" customFormat="1" x14ac:dyDescent="0.3"/>
    <row r="1047964" customFormat="1" x14ac:dyDescent="0.3"/>
    <row r="1047965" customFormat="1" x14ac:dyDescent="0.3"/>
    <row r="1047966" customFormat="1" x14ac:dyDescent="0.3"/>
    <row r="1047967" customFormat="1" x14ac:dyDescent="0.3"/>
    <row r="1047968" customFormat="1" x14ac:dyDescent="0.3"/>
    <row r="1047969" customFormat="1" x14ac:dyDescent="0.3"/>
    <row r="1047970" customFormat="1" x14ac:dyDescent="0.3"/>
    <row r="1047971" customFormat="1" x14ac:dyDescent="0.3"/>
    <row r="1047972" customFormat="1" x14ac:dyDescent="0.3"/>
    <row r="1047973" customFormat="1" x14ac:dyDescent="0.3"/>
    <row r="1047974" customFormat="1" x14ac:dyDescent="0.3"/>
    <row r="1047975" customFormat="1" x14ac:dyDescent="0.3"/>
    <row r="1047976" customFormat="1" x14ac:dyDescent="0.3"/>
    <row r="1047977" customFormat="1" x14ac:dyDescent="0.3"/>
    <row r="1047978" customFormat="1" x14ac:dyDescent="0.3"/>
    <row r="1047979" customFormat="1" x14ac:dyDescent="0.3"/>
    <row r="1047980" customFormat="1" x14ac:dyDescent="0.3"/>
    <row r="1047981" customFormat="1" x14ac:dyDescent="0.3"/>
    <row r="1047982" customFormat="1" x14ac:dyDescent="0.3"/>
    <row r="1047983" customFormat="1" x14ac:dyDescent="0.3"/>
    <row r="1047984" customFormat="1" x14ac:dyDescent="0.3"/>
    <row r="1047985" customFormat="1" x14ac:dyDescent="0.3"/>
    <row r="1047986" customFormat="1" x14ac:dyDescent="0.3"/>
    <row r="1047987" customFormat="1" x14ac:dyDescent="0.3"/>
    <row r="1047988" customFormat="1" x14ac:dyDescent="0.3"/>
    <row r="1047989" customFormat="1" x14ac:dyDescent="0.3"/>
    <row r="1047990" customFormat="1" x14ac:dyDescent="0.3"/>
    <row r="1047991" customFormat="1" x14ac:dyDescent="0.3"/>
    <row r="1047992" customFormat="1" x14ac:dyDescent="0.3"/>
    <row r="1047993" customFormat="1" x14ac:dyDescent="0.3"/>
    <row r="1047994" customFormat="1" x14ac:dyDescent="0.3"/>
    <row r="1047995" customFormat="1" x14ac:dyDescent="0.3"/>
    <row r="1047996" customFormat="1" x14ac:dyDescent="0.3"/>
    <row r="1047997" customFormat="1" x14ac:dyDescent="0.3"/>
    <row r="1047998" customFormat="1" x14ac:dyDescent="0.3"/>
    <row r="1047999" customFormat="1" x14ac:dyDescent="0.3"/>
    <row r="1048000" customFormat="1" x14ac:dyDescent="0.3"/>
    <row r="1048001" customFormat="1" x14ac:dyDescent="0.3"/>
    <row r="1048002" customFormat="1" x14ac:dyDescent="0.3"/>
    <row r="1048003" customFormat="1" x14ac:dyDescent="0.3"/>
    <row r="1048004" customFormat="1" x14ac:dyDescent="0.3"/>
    <row r="1048005" customFormat="1" x14ac:dyDescent="0.3"/>
    <row r="1048006" customFormat="1" x14ac:dyDescent="0.3"/>
    <row r="1048007" customFormat="1" x14ac:dyDescent="0.3"/>
    <row r="1048008" customFormat="1" x14ac:dyDescent="0.3"/>
    <row r="1048009" customFormat="1" x14ac:dyDescent="0.3"/>
    <row r="1048010" customFormat="1" x14ac:dyDescent="0.3"/>
    <row r="1048011" customFormat="1" x14ac:dyDescent="0.3"/>
    <row r="1048012" customFormat="1" x14ac:dyDescent="0.3"/>
    <row r="1048013" customFormat="1" x14ac:dyDescent="0.3"/>
    <row r="1048014" customFormat="1" x14ac:dyDescent="0.3"/>
    <row r="1048015" customFormat="1" x14ac:dyDescent="0.3"/>
    <row r="1048016" customFormat="1" x14ac:dyDescent="0.3"/>
    <row r="1048017" customFormat="1" x14ac:dyDescent="0.3"/>
    <row r="1048018" customFormat="1" x14ac:dyDescent="0.3"/>
    <row r="1048019" customFormat="1" x14ac:dyDescent="0.3"/>
    <row r="1048020" customFormat="1" x14ac:dyDescent="0.3"/>
    <row r="1048021" customFormat="1" x14ac:dyDescent="0.3"/>
    <row r="1048022" customFormat="1" x14ac:dyDescent="0.3"/>
    <row r="1048023" customFormat="1" x14ac:dyDescent="0.3"/>
    <row r="1048024" customFormat="1" x14ac:dyDescent="0.3"/>
    <row r="1048025" customFormat="1" x14ac:dyDescent="0.3"/>
    <row r="1048026" customFormat="1" x14ac:dyDescent="0.3"/>
    <row r="1048027" customFormat="1" x14ac:dyDescent="0.3"/>
    <row r="1048028" customFormat="1" x14ac:dyDescent="0.3"/>
    <row r="1048029" customFormat="1" x14ac:dyDescent="0.3"/>
    <row r="1048030" customFormat="1" x14ac:dyDescent="0.3"/>
    <row r="1048031" customFormat="1" x14ac:dyDescent="0.3"/>
    <row r="1048032" customFormat="1" x14ac:dyDescent="0.3"/>
    <row r="1048033" customFormat="1" x14ac:dyDescent="0.3"/>
    <row r="1048034" customFormat="1" x14ac:dyDescent="0.3"/>
    <row r="1048035" customFormat="1" x14ac:dyDescent="0.3"/>
    <row r="1048036" customFormat="1" x14ac:dyDescent="0.3"/>
    <row r="1048037" customFormat="1" x14ac:dyDescent="0.3"/>
    <row r="1048038" customFormat="1" x14ac:dyDescent="0.3"/>
    <row r="1048039" customFormat="1" x14ac:dyDescent="0.3"/>
    <row r="1048040" customFormat="1" x14ac:dyDescent="0.3"/>
    <row r="1048041" customFormat="1" x14ac:dyDescent="0.3"/>
    <row r="1048042" customFormat="1" x14ac:dyDescent="0.3"/>
    <row r="1048043" customFormat="1" x14ac:dyDescent="0.3"/>
    <row r="1048044" customFormat="1" x14ac:dyDescent="0.3"/>
    <row r="1048045" customFormat="1" x14ac:dyDescent="0.3"/>
    <row r="1048046" customFormat="1" x14ac:dyDescent="0.3"/>
    <row r="1048047" customFormat="1" x14ac:dyDescent="0.3"/>
    <row r="1048048" customFormat="1" x14ac:dyDescent="0.3"/>
    <row r="1048049" customFormat="1" x14ac:dyDescent="0.3"/>
    <row r="1048050" customFormat="1" x14ac:dyDescent="0.3"/>
    <row r="1048051" customFormat="1" x14ac:dyDescent="0.3"/>
    <row r="1048052" customFormat="1" x14ac:dyDescent="0.3"/>
    <row r="1048053" customFormat="1" x14ac:dyDescent="0.3"/>
    <row r="1048054" customFormat="1" x14ac:dyDescent="0.3"/>
    <row r="1048055" customFormat="1" x14ac:dyDescent="0.3"/>
    <row r="1048056" customFormat="1" x14ac:dyDescent="0.3"/>
    <row r="1048057" customFormat="1" x14ac:dyDescent="0.3"/>
    <row r="1048058" customFormat="1" x14ac:dyDescent="0.3"/>
    <row r="1048059" customFormat="1" x14ac:dyDescent="0.3"/>
    <row r="1048060" customFormat="1" x14ac:dyDescent="0.3"/>
    <row r="1048061" customFormat="1" x14ac:dyDescent="0.3"/>
    <row r="1048062" customFormat="1" x14ac:dyDescent="0.3"/>
    <row r="1048063" customFormat="1" x14ac:dyDescent="0.3"/>
    <row r="1048064" customFormat="1" x14ac:dyDescent="0.3"/>
    <row r="1048065" customFormat="1" x14ac:dyDescent="0.3"/>
    <row r="1048066" customFormat="1" x14ac:dyDescent="0.3"/>
    <row r="1048067" customFormat="1" x14ac:dyDescent="0.3"/>
    <row r="1048068" customFormat="1" x14ac:dyDescent="0.3"/>
    <row r="1048069" customFormat="1" x14ac:dyDescent="0.3"/>
    <row r="1048070" customFormat="1" x14ac:dyDescent="0.3"/>
    <row r="1048071" customFormat="1" x14ac:dyDescent="0.3"/>
    <row r="1048072" customFormat="1" x14ac:dyDescent="0.3"/>
    <row r="1048073" customFormat="1" x14ac:dyDescent="0.3"/>
    <row r="1048074" customFormat="1" x14ac:dyDescent="0.3"/>
    <row r="1048075" customFormat="1" x14ac:dyDescent="0.3"/>
    <row r="1048076" customFormat="1" x14ac:dyDescent="0.3"/>
    <row r="1048077" customFormat="1" x14ac:dyDescent="0.3"/>
    <row r="1048078" customFormat="1" x14ac:dyDescent="0.3"/>
    <row r="1048079" customFormat="1" x14ac:dyDescent="0.3"/>
    <row r="1048080" customFormat="1" x14ac:dyDescent="0.3"/>
    <row r="1048081" customFormat="1" x14ac:dyDescent="0.3"/>
    <row r="1048082" customFormat="1" x14ac:dyDescent="0.3"/>
    <row r="1048083" customFormat="1" x14ac:dyDescent="0.3"/>
    <row r="1048084" customFormat="1" x14ac:dyDescent="0.3"/>
    <row r="1048085" customFormat="1" x14ac:dyDescent="0.3"/>
    <row r="1048086" customFormat="1" x14ac:dyDescent="0.3"/>
    <row r="1048087" customFormat="1" x14ac:dyDescent="0.3"/>
    <row r="1048088" customFormat="1" x14ac:dyDescent="0.3"/>
    <row r="1048089" customFormat="1" x14ac:dyDescent="0.3"/>
    <row r="1048090" customFormat="1" x14ac:dyDescent="0.3"/>
    <row r="1048091" customFormat="1" x14ac:dyDescent="0.3"/>
    <row r="1048092" customFormat="1" x14ac:dyDescent="0.3"/>
    <row r="1048093" customFormat="1" x14ac:dyDescent="0.3"/>
    <row r="1048094" customFormat="1" x14ac:dyDescent="0.3"/>
    <row r="1048095" customFormat="1" x14ac:dyDescent="0.3"/>
    <row r="1048096" customFormat="1" x14ac:dyDescent="0.3"/>
    <row r="1048097" customFormat="1" x14ac:dyDescent="0.3"/>
    <row r="1048098" customFormat="1" x14ac:dyDescent="0.3"/>
    <row r="1048099" customFormat="1" x14ac:dyDescent="0.3"/>
    <row r="1048100" customFormat="1" x14ac:dyDescent="0.3"/>
    <row r="1048101" customFormat="1" x14ac:dyDescent="0.3"/>
    <row r="1048102" customFormat="1" x14ac:dyDescent="0.3"/>
    <row r="1048103" customFormat="1" x14ac:dyDescent="0.3"/>
    <row r="1048104" customFormat="1" x14ac:dyDescent="0.3"/>
    <row r="1048105" customFormat="1" x14ac:dyDescent="0.3"/>
    <row r="1048106" customFormat="1" x14ac:dyDescent="0.3"/>
    <row r="1048107" customFormat="1" x14ac:dyDescent="0.3"/>
    <row r="1048108" customFormat="1" x14ac:dyDescent="0.3"/>
    <row r="1048109" customFormat="1" x14ac:dyDescent="0.3"/>
    <row r="1048110" customFormat="1" x14ac:dyDescent="0.3"/>
    <row r="1048111" customFormat="1" x14ac:dyDescent="0.3"/>
    <row r="1048112" customFormat="1" x14ac:dyDescent="0.3"/>
    <row r="1048113" customFormat="1" x14ac:dyDescent="0.3"/>
    <row r="1048114" customFormat="1" x14ac:dyDescent="0.3"/>
    <row r="1048115" customFormat="1" x14ac:dyDescent="0.3"/>
    <row r="1048116" customFormat="1" x14ac:dyDescent="0.3"/>
    <row r="1048117" customFormat="1" x14ac:dyDescent="0.3"/>
    <row r="1048118" customFormat="1" x14ac:dyDescent="0.3"/>
    <row r="1048119" customFormat="1" x14ac:dyDescent="0.3"/>
    <row r="1048120" customFormat="1" x14ac:dyDescent="0.3"/>
    <row r="1048121" customFormat="1" x14ac:dyDescent="0.3"/>
    <row r="1048122" customFormat="1" x14ac:dyDescent="0.3"/>
    <row r="1048123" customFormat="1" x14ac:dyDescent="0.3"/>
    <row r="1048124" customFormat="1" x14ac:dyDescent="0.3"/>
    <row r="1048125" customFormat="1" x14ac:dyDescent="0.3"/>
    <row r="1048126" customFormat="1" x14ac:dyDescent="0.3"/>
    <row r="1048127" customFormat="1" x14ac:dyDescent="0.3"/>
    <row r="1048128" customFormat="1" x14ac:dyDescent="0.3"/>
    <row r="1048129" customFormat="1" x14ac:dyDescent="0.3"/>
    <row r="1048130" customFormat="1" x14ac:dyDescent="0.3"/>
    <row r="1048131" customFormat="1" x14ac:dyDescent="0.3"/>
    <row r="1048132" customFormat="1" x14ac:dyDescent="0.3"/>
    <row r="1048133" customFormat="1" x14ac:dyDescent="0.3"/>
    <row r="1048134" customFormat="1" x14ac:dyDescent="0.3"/>
    <row r="1048135" customFormat="1" x14ac:dyDescent="0.3"/>
    <row r="1048136" customFormat="1" x14ac:dyDescent="0.3"/>
    <row r="1048137" customFormat="1" x14ac:dyDescent="0.3"/>
    <row r="1048138" customFormat="1" x14ac:dyDescent="0.3"/>
    <row r="1048139" customFormat="1" x14ac:dyDescent="0.3"/>
    <row r="1048140" customFormat="1" x14ac:dyDescent="0.3"/>
    <row r="1048141" customFormat="1" x14ac:dyDescent="0.3"/>
    <row r="1048142" customFormat="1" x14ac:dyDescent="0.3"/>
    <row r="1048143" customFormat="1" x14ac:dyDescent="0.3"/>
    <row r="1048144" customFormat="1" x14ac:dyDescent="0.3"/>
    <row r="1048145" customFormat="1" x14ac:dyDescent="0.3"/>
    <row r="1048146" customFormat="1" x14ac:dyDescent="0.3"/>
    <row r="1048147" customFormat="1" x14ac:dyDescent="0.3"/>
    <row r="1048148" customFormat="1" x14ac:dyDescent="0.3"/>
    <row r="1048149" customFormat="1" x14ac:dyDescent="0.3"/>
    <row r="1048150" customFormat="1" x14ac:dyDescent="0.3"/>
    <row r="1048151" customFormat="1" x14ac:dyDescent="0.3"/>
    <row r="1048152" customFormat="1" x14ac:dyDescent="0.3"/>
    <row r="1048153" customFormat="1" x14ac:dyDescent="0.3"/>
    <row r="1048154" customFormat="1" x14ac:dyDescent="0.3"/>
    <row r="1048155" customFormat="1" x14ac:dyDescent="0.3"/>
    <row r="1048156" customFormat="1" x14ac:dyDescent="0.3"/>
    <row r="1048157" customFormat="1" x14ac:dyDescent="0.3"/>
    <row r="1048158" customFormat="1" x14ac:dyDescent="0.3"/>
    <row r="1048159" customFormat="1" x14ac:dyDescent="0.3"/>
    <row r="1048160" customFormat="1" x14ac:dyDescent="0.3"/>
    <row r="1048161" customFormat="1" x14ac:dyDescent="0.3"/>
    <row r="1048162" customFormat="1" x14ac:dyDescent="0.3"/>
    <row r="1048163" customFormat="1" x14ac:dyDescent="0.3"/>
    <row r="1048164" customFormat="1" x14ac:dyDescent="0.3"/>
    <row r="1048165" customFormat="1" x14ac:dyDescent="0.3"/>
    <row r="1048166" customFormat="1" x14ac:dyDescent="0.3"/>
    <row r="1048167" customFormat="1" x14ac:dyDescent="0.3"/>
    <row r="1048168" customFormat="1" x14ac:dyDescent="0.3"/>
    <row r="1048169" customFormat="1" x14ac:dyDescent="0.3"/>
    <row r="1048170" customFormat="1" x14ac:dyDescent="0.3"/>
    <row r="1048171" customFormat="1" x14ac:dyDescent="0.3"/>
    <row r="1048172" customFormat="1" x14ac:dyDescent="0.3"/>
    <row r="1048173" customFormat="1" x14ac:dyDescent="0.3"/>
    <row r="1048174" customFormat="1" x14ac:dyDescent="0.3"/>
    <row r="1048175" customFormat="1" x14ac:dyDescent="0.3"/>
    <row r="1048176" customFormat="1" x14ac:dyDescent="0.3"/>
    <row r="1048177" customFormat="1" x14ac:dyDescent="0.3"/>
    <row r="1048178" customFormat="1" x14ac:dyDescent="0.3"/>
    <row r="1048179" customFormat="1" x14ac:dyDescent="0.3"/>
    <row r="1048180" customFormat="1" x14ac:dyDescent="0.3"/>
    <row r="1048181" customFormat="1" x14ac:dyDescent="0.3"/>
    <row r="1048182" customFormat="1" x14ac:dyDescent="0.3"/>
    <row r="1048183" customFormat="1" x14ac:dyDescent="0.3"/>
    <row r="1048184" customFormat="1" x14ac:dyDescent="0.3"/>
    <row r="1048185" customFormat="1" x14ac:dyDescent="0.3"/>
    <row r="1048186" customFormat="1" x14ac:dyDescent="0.3"/>
    <row r="1048187" customFormat="1" x14ac:dyDescent="0.3"/>
    <row r="1048188" customFormat="1" x14ac:dyDescent="0.3"/>
    <row r="1048189" customFormat="1" x14ac:dyDescent="0.3"/>
    <row r="1048190" customFormat="1" x14ac:dyDescent="0.3"/>
    <row r="1048191" customFormat="1" x14ac:dyDescent="0.3"/>
    <row r="1048192" customFormat="1" x14ac:dyDescent="0.3"/>
    <row r="1048193" customFormat="1" x14ac:dyDescent="0.3"/>
    <row r="1048194" customFormat="1" x14ac:dyDescent="0.3"/>
    <row r="1048195" customFormat="1" x14ac:dyDescent="0.3"/>
    <row r="1048196" customFormat="1" x14ac:dyDescent="0.3"/>
    <row r="1048197" customFormat="1" x14ac:dyDescent="0.3"/>
    <row r="1048198" customFormat="1" x14ac:dyDescent="0.3"/>
    <row r="1048199" customFormat="1" x14ac:dyDescent="0.3"/>
    <row r="1048200" customFormat="1" x14ac:dyDescent="0.3"/>
    <row r="1048201" customFormat="1" x14ac:dyDescent="0.3"/>
    <row r="1048202" customFormat="1" x14ac:dyDescent="0.3"/>
    <row r="1048203" customFormat="1" x14ac:dyDescent="0.3"/>
    <row r="1048204" customFormat="1" x14ac:dyDescent="0.3"/>
    <row r="1048205" customFormat="1" x14ac:dyDescent="0.3"/>
    <row r="1048206" customFormat="1" x14ac:dyDescent="0.3"/>
    <row r="1048207" customFormat="1" x14ac:dyDescent="0.3"/>
    <row r="1048208" customFormat="1" x14ac:dyDescent="0.3"/>
    <row r="1048209" customFormat="1" x14ac:dyDescent="0.3"/>
    <row r="1048210" customFormat="1" x14ac:dyDescent="0.3"/>
    <row r="1048211" customFormat="1" x14ac:dyDescent="0.3"/>
    <row r="1048212" customFormat="1" x14ac:dyDescent="0.3"/>
    <row r="1048213" customFormat="1" x14ac:dyDescent="0.3"/>
    <row r="1048214" customFormat="1" x14ac:dyDescent="0.3"/>
    <row r="1048215" customFormat="1" x14ac:dyDescent="0.3"/>
    <row r="1048216" customFormat="1" x14ac:dyDescent="0.3"/>
    <row r="1048217" customFormat="1" x14ac:dyDescent="0.3"/>
    <row r="1048218" customFormat="1" x14ac:dyDescent="0.3"/>
    <row r="1048219" customFormat="1" x14ac:dyDescent="0.3"/>
    <row r="1048220" customFormat="1" x14ac:dyDescent="0.3"/>
    <row r="1048221" customFormat="1" x14ac:dyDescent="0.3"/>
    <row r="1048222" customFormat="1" x14ac:dyDescent="0.3"/>
    <row r="1048223" customFormat="1" x14ac:dyDescent="0.3"/>
    <row r="1048224" customFormat="1" x14ac:dyDescent="0.3"/>
    <row r="1048225" customFormat="1" x14ac:dyDescent="0.3"/>
    <row r="1048226" customFormat="1" x14ac:dyDescent="0.3"/>
    <row r="1048227" customFormat="1" x14ac:dyDescent="0.3"/>
    <row r="1048228" customFormat="1" x14ac:dyDescent="0.3"/>
    <row r="1048229" customFormat="1" x14ac:dyDescent="0.3"/>
    <row r="1048230" customFormat="1" x14ac:dyDescent="0.3"/>
    <row r="1048231" customFormat="1" x14ac:dyDescent="0.3"/>
    <row r="1048232" customFormat="1" x14ac:dyDescent="0.3"/>
    <row r="1048233" customFormat="1" x14ac:dyDescent="0.3"/>
    <row r="1048234" customFormat="1" x14ac:dyDescent="0.3"/>
    <row r="1048235" customFormat="1" x14ac:dyDescent="0.3"/>
    <row r="1048236" customFormat="1" x14ac:dyDescent="0.3"/>
    <row r="1048237" customFormat="1" x14ac:dyDescent="0.3"/>
    <row r="1048238" customFormat="1" x14ac:dyDescent="0.3"/>
    <row r="1048239" customFormat="1" x14ac:dyDescent="0.3"/>
    <row r="1048240" customFormat="1" x14ac:dyDescent="0.3"/>
    <row r="1048241" customFormat="1" x14ac:dyDescent="0.3"/>
    <row r="1048242" customFormat="1" x14ac:dyDescent="0.3"/>
    <row r="1048243" customFormat="1" x14ac:dyDescent="0.3"/>
    <row r="1048244" customFormat="1" x14ac:dyDescent="0.3"/>
    <row r="1048245" customFormat="1" x14ac:dyDescent="0.3"/>
    <row r="1048246" customFormat="1" x14ac:dyDescent="0.3"/>
    <row r="1048247" customFormat="1" x14ac:dyDescent="0.3"/>
    <row r="1048248" customFormat="1" x14ac:dyDescent="0.3"/>
    <row r="1048249" customFormat="1" x14ac:dyDescent="0.3"/>
    <row r="1048250" customFormat="1" x14ac:dyDescent="0.3"/>
    <row r="1048251" customFormat="1" x14ac:dyDescent="0.3"/>
    <row r="1048252" customFormat="1" x14ac:dyDescent="0.3"/>
    <row r="1048253" customFormat="1" x14ac:dyDescent="0.3"/>
    <row r="1048254" customFormat="1" x14ac:dyDescent="0.3"/>
    <row r="1048255" customFormat="1" x14ac:dyDescent="0.3"/>
    <row r="1048256" customFormat="1" x14ac:dyDescent="0.3"/>
    <row r="1048257" customFormat="1" x14ac:dyDescent="0.3"/>
    <row r="1048258" customFormat="1" x14ac:dyDescent="0.3"/>
    <row r="1048259" customFormat="1" x14ac:dyDescent="0.3"/>
    <row r="1048260" customFormat="1" x14ac:dyDescent="0.3"/>
    <row r="1048261" customFormat="1" x14ac:dyDescent="0.3"/>
    <row r="1048262" customFormat="1" x14ac:dyDescent="0.3"/>
    <row r="1048263" customFormat="1" x14ac:dyDescent="0.3"/>
    <row r="1048264" customFormat="1" x14ac:dyDescent="0.3"/>
    <row r="1048265" customFormat="1" x14ac:dyDescent="0.3"/>
    <row r="1048266" customFormat="1" x14ac:dyDescent="0.3"/>
    <row r="1048267" customFormat="1" x14ac:dyDescent="0.3"/>
    <row r="1048268" customFormat="1" x14ac:dyDescent="0.3"/>
    <row r="1048269" customFormat="1" x14ac:dyDescent="0.3"/>
    <row r="1048270" customFormat="1" x14ac:dyDescent="0.3"/>
    <row r="1048271" customFormat="1" x14ac:dyDescent="0.3"/>
    <row r="1048272" customFormat="1" x14ac:dyDescent="0.3"/>
    <row r="1048273" customFormat="1" x14ac:dyDescent="0.3"/>
    <row r="1048274" customFormat="1" x14ac:dyDescent="0.3"/>
    <row r="1048275" customFormat="1" x14ac:dyDescent="0.3"/>
    <row r="1048276" customFormat="1" x14ac:dyDescent="0.3"/>
    <row r="1048277" customFormat="1" x14ac:dyDescent="0.3"/>
    <row r="1048278" customFormat="1" x14ac:dyDescent="0.3"/>
    <row r="1048279" customFormat="1" x14ac:dyDescent="0.3"/>
    <row r="1048280" customFormat="1" x14ac:dyDescent="0.3"/>
    <row r="1048281" customFormat="1" x14ac:dyDescent="0.3"/>
    <row r="1048282" customFormat="1" x14ac:dyDescent="0.3"/>
    <row r="1048283" customFormat="1" x14ac:dyDescent="0.3"/>
    <row r="1048284" customFormat="1" x14ac:dyDescent="0.3"/>
    <row r="1048285" customFormat="1" x14ac:dyDescent="0.3"/>
    <row r="1048286" customFormat="1" x14ac:dyDescent="0.3"/>
    <row r="1048287" customFormat="1" x14ac:dyDescent="0.3"/>
    <row r="1048288" customFormat="1" x14ac:dyDescent="0.3"/>
    <row r="1048289" customFormat="1" x14ac:dyDescent="0.3"/>
    <row r="1048290" customFormat="1" x14ac:dyDescent="0.3"/>
    <row r="1048291" customFormat="1" x14ac:dyDescent="0.3"/>
    <row r="1048292" customFormat="1" x14ac:dyDescent="0.3"/>
    <row r="1048293" customFormat="1" x14ac:dyDescent="0.3"/>
    <row r="1048294" customFormat="1" x14ac:dyDescent="0.3"/>
    <row r="1048295" customFormat="1" x14ac:dyDescent="0.3"/>
    <row r="1048296" customFormat="1" x14ac:dyDescent="0.3"/>
    <row r="1048297" customFormat="1" x14ac:dyDescent="0.3"/>
    <row r="1048298" customFormat="1" x14ac:dyDescent="0.3"/>
    <row r="1048299" customFormat="1" x14ac:dyDescent="0.3"/>
    <row r="1048300" customFormat="1" x14ac:dyDescent="0.3"/>
    <row r="1048301" customFormat="1" x14ac:dyDescent="0.3"/>
    <row r="1048302" customFormat="1" x14ac:dyDescent="0.3"/>
    <row r="1048303" customFormat="1" x14ac:dyDescent="0.3"/>
    <row r="1048304" customFormat="1" x14ac:dyDescent="0.3"/>
    <row r="1048305" customFormat="1" x14ac:dyDescent="0.3"/>
    <row r="1048306" customFormat="1" x14ac:dyDescent="0.3"/>
    <row r="1048307" customFormat="1" x14ac:dyDescent="0.3"/>
    <row r="1048308" customFormat="1" x14ac:dyDescent="0.3"/>
    <row r="1048309" customFormat="1" x14ac:dyDescent="0.3"/>
    <row r="1048310" customFormat="1" x14ac:dyDescent="0.3"/>
    <row r="1048311" customFormat="1" x14ac:dyDescent="0.3"/>
    <row r="1048312" customFormat="1" x14ac:dyDescent="0.3"/>
    <row r="1048313" customFormat="1" x14ac:dyDescent="0.3"/>
    <row r="1048314" customFormat="1" x14ac:dyDescent="0.3"/>
    <row r="1048315" customFormat="1" x14ac:dyDescent="0.3"/>
    <row r="1048316" customFormat="1" x14ac:dyDescent="0.3"/>
    <row r="1048317" customFormat="1" x14ac:dyDescent="0.3"/>
    <row r="1048318" customFormat="1" x14ac:dyDescent="0.3"/>
    <row r="1048319" customFormat="1" x14ac:dyDescent="0.3"/>
    <row r="1048320" customFormat="1" x14ac:dyDescent="0.3"/>
    <row r="1048321" customFormat="1" x14ac:dyDescent="0.3"/>
    <row r="1048322" customFormat="1" x14ac:dyDescent="0.3"/>
    <row r="1048323" customFormat="1" x14ac:dyDescent="0.3"/>
    <row r="1048324" customFormat="1" x14ac:dyDescent="0.3"/>
    <row r="1048325" customFormat="1" x14ac:dyDescent="0.3"/>
    <row r="1048326" customFormat="1" x14ac:dyDescent="0.3"/>
    <row r="1048327" customFormat="1" x14ac:dyDescent="0.3"/>
    <row r="1048328" customFormat="1" x14ac:dyDescent="0.3"/>
    <row r="1048329" customFormat="1" x14ac:dyDescent="0.3"/>
    <row r="1048330" customFormat="1" x14ac:dyDescent="0.3"/>
    <row r="1048331" customFormat="1" x14ac:dyDescent="0.3"/>
    <row r="1048332" customFormat="1" x14ac:dyDescent="0.3"/>
    <row r="1048333" customFormat="1" x14ac:dyDescent="0.3"/>
    <row r="1048334" customFormat="1" x14ac:dyDescent="0.3"/>
    <row r="1048335" customFormat="1" x14ac:dyDescent="0.3"/>
    <row r="1048336" customFormat="1" x14ac:dyDescent="0.3"/>
    <row r="1048337" customFormat="1" x14ac:dyDescent="0.3"/>
    <row r="1048338" customFormat="1" x14ac:dyDescent="0.3"/>
    <row r="1048339" customFormat="1" x14ac:dyDescent="0.3"/>
    <row r="1048340" customFormat="1" x14ac:dyDescent="0.3"/>
    <row r="1048341" customFormat="1" x14ac:dyDescent="0.3"/>
    <row r="1048342" customFormat="1" x14ac:dyDescent="0.3"/>
    <row r="1048343" customFormat="1" x14ac:dyDescent="0.3"/>
    <row r="1048344" customFormat="1" x14ac:dyDescent="0.3"/>
    <row r="1048345" customFormat="1" x14ac:dyDescent="0.3"/>
    <row r="1048346" customFormat="1" x14ac:dyDescent="0.3"/>
    <row r="1048347" customFormat="1" x14ac:dyDescent="0.3"/>
    <row r="1048348" customFormat="1" x14ac:dyDescent="0.3"/>
    <row r="1048349" customFormat="1" x14ac:dyDescent="0.3"/>
    <row r="1048350" customFormat="1" x14ac:dyDescent="0.3"/>
    <row r="1048351" customFormat="1" x14ac:dyDescent="0.3"/>
    <row r="1048352" customFormat="1" x14ac:dyDescent="0.3"/>
    <row r="1048353" customFormat="1" x14ac:dyDescent="0.3"/>
    <row r="1048354" customFormat="1" x14ac:dyDescent="0.3"/>
    <row r="1048355" customFormat="1" x14ac:dyDescent="0.3"/>
    <row r="1048356" customFormat="1" x14ac:dyDescent="0.3"/>
    <row r="1048357" customFormat="1" x14ac:dyDescent="0.3"/>
    <row r="1048358" customFormat="1" x14ac:dyDescent="0.3"/>
    <row r="1048359" customFormat="1" x14ac:dyDescent="0.3"/>
    <row r="1048360" customFormat="1" x14ac:dyDescent="0.3"/>
    <row r="1048361" customFormat="1" x14ac:dyDescent="0.3"/>
    <row r="1048362" customFormat="1" x14ac:dyDescent="0.3"/>
    <row r="1048363" customFormat="1" x14ac:dyDescent="0.3"/>
    <row r="1048364" customFormat="1" x14ac:dyDescent="0.3"/>
    <row r="1048365" customFormat="1" x14ac:dyDescent="0.3"/>
    <row r="1048366" customFormat="1" x14ac:dyDescent="0.3"/>
    <row r="1048367" customFormat="1" x14ac:dyDescent="0.3"/>
    <row r="1048368" customFormat="1" x14ac:dyDescent="0.3"/>
    <row r="1048369" customFormat="1" x14ac:dyDescent="0.3"/>
    <row r="1048370" customFormat="1" x14ac:dyDescent="0.3"/>
    <row r="1048371" customFormat="1" x14ac:dyDescent="0.3"/>
    <row r="1048372" customFormat="1" x14ac:dyDescent="0.3"/>
    <row r="1048373" customFormat="1" x14ac:dyDescent="0.3"/>
    <row r="1048374" customFormat="1" x14ac:dyDescent="0.3"/>
    <row r="1048375" customFormat="1" x14ac:dyDescent="0.3"/>
    <row r="1048376" customFormat="1" x14ac:dyDescent="0.3"/>
    <row r="1048377" customFormat="1" x14ac:dyDescent="0.3"/>
    <row r="1048378" customFormat="1" x14ac:dyDescent="0.3"/>
    <row r="1048379" customFormat="1" x14ac:dyDescent="0.3"/>
    <row r="1048380" customFormat="1" x14ac:dyDescent="0.3"/>
    <row r="1048381" customFormat="1" x14ac:dyDescent="0.3"/>
    <row r="1048382" customFormat="1" x14ac:dyDescent="0.3"/>
    <row r="1048383" customFormat="1" x14ac:dyDescent="0.3"/>
    <row r="1048384" customFormat="1" x14ac:dyDescent="0.3"/>
    <row r="1048385" customFormat="1" x14ac:dyDescent="0.3"/>
    <row r="1048386" customFormat="1" x14ac:dyDescent="0.3"/>
    <row r="1048387" customFormat="1" x14ac:dyDescent="0.3"/>
    <row r="1048388" customFormat="1" x14ac:dyDescent="0.3"/>
    <row r="1048389" customFormat="1" x14ac:dyDescent="0.3"/>
    <row r="1048390" customFormat="1" x14ac:dyDescent="0.3"/>
    <row r="1048391" customFormat="1" x14ac:dyDescent="0.3"/>
    <row r="1048392" customFormat="1" x14ac:dyDescent="0.3"/>
    <row r="1048393" customFormat="1" x14ac:dyDescent="0.3"/>
    <row r="1048394" customFormat="1" x14ac:dyDescent="0.3"/>
    <row r="1048395" customFormat="1" x14ac:dyDescent="0.3"/>
    <row r="1048396" customFormat="1" x14ac:dyDescent="0.3"/>
    <row r="1048397" customFormat="1" x14ac:dyDescent="0.3"/>
    <row r="1048398" customFormat="1" x14ac:dyDescent="0.3"/>
    <row r="1048399" customFormat="1" x14ac:dyDescent="0.3"/>
    <row r="1048400" customFormat="1" x14ac:dyDescent="0.3"/>
    <row r="1048401" customFormat="1" x14ac:dyDescent="0.3"/>
    <row r="1048402" customFormat="1" x14ac:dyDescent="0.3"/>
    <row r="1048403" customFormat="1" x14ac:dyDescent="0.3"/>
    <row r="1048404" customFormat="1" x14ac:dyDescent="0.3"/>
    <row r="1048405" customFormat="1" x14ac:dyDescent="0.3"/>
    <row r="1048406" customFormat="1" x14ac:dyDescent="0.3"/>
    <row r="1048407" customFormat="1" x14ac:dyDescent="0.3"/>
    <row r="1048408" customFormat="1" x14ac:dyDescent="0.3"/>
    <row r="1048409" customFormat="1" x14ac:dyDescent="0.3"/>
    <row r="1048410" customFormat="1" x14ac:dyDescent="0.3"/>
    <row r="1048411" customFormat="1" x14ac:dyDescent="0.3"/>
    <row r="1048412" customFormat="1" x14ac:dyDescent="0.3"/>
    <row r="1048413" customFormat="1" x14ac:dyDescent="0.3"/>
    <row r="1048414" customFormat="1" x14ac:dyDescent="0.3"/>
    <row r="1048415" customFormat="1" x14ac:dyDescent="0.3"/>
    <row r="1048416" customFormat="1" x14ac:dyDescent="0.3"/>
    <row r="1048417" customFormat="1" x14ac:dyDescent="0.3"/>
    <row r="1048418" customFormat="1" x14ac:dyDescent="0.3"/>
    <row r="1048419" customFormat="1" x14ac:dyDescent="0.3"/>
    <row r="1048420" customFormat="1" x14ac:dyDescent="0.3"/>
    <row r="1048421" customFormat="1" x14ac:dyDescent="0.3"/>
    <row r="1048422" customFormat="1" x14ac:dyDescent="0.3"/>
    <row r="1048423" customFormat="1" x14ac:dyDescent="0.3"/>
    <row r="1048424" customFormat="1" x14ac:dyDescent="0.3"/>
    <row r="1048425" customFormat="1" x14ac:dyDescent="0.3"/>
    <row r="1048426" customFormat="1" x14ac:dyDescent="0.3"/>
    <row r="1048427" customFormat="1" x14ac:dyDescent="0.3"/>
    <row r="1048428" customFormat="1" x14ac:dyDescent="0.3"/>
    <row r="1048429" customFormat="1" x14ac:dyDescent="0.3"/>
    <row r="1048430" customFormat="1" x14ac:dyDescent="0.3"/>
    <row r="1048431" customFormat="1" x14ac:dyDescent="0.3"/>
    <row r="1048432" customFormat="1" x14ac:dyDescent="0.3"/>
    <row r="1048433" customFormat="1" x14ac:dyDescent="0.3"/>
    <row r="1048434" customFormat="1" x14ac:dyDescent="0.3"/>
    <row r="1048435" customFormat="1" x14ac:dyDescent="0.3"/>
    <row r="1048436" customFormat="1" x14ac:dyDescent="0.3"/>
    <row r="1048437" customFormat="1" x14ac:dyDescent="0.3"/>
    <row r="1048438" customFormat="1" x14ac:dyDescent="0.3"/>
    <row r="1048439" customFormat="1" x14ac:dyDescent="0.3"/>
    <row r="1048440" customFormat="1" x14ac:dyDescent="0.3"/>
    <row r="1048441" customFormat="1" x14ac:dyDescent="0.3"/>
    <row r="1048442" customFormat="1" x14ac:dyDescent="0.3"/>
    <row r="1048443" customFormat="1" x14ac:dyDescent="0.3"/>
    <row r="1048444" customFormat="1" x14ac:dyDescent="0.3"/>
    <row r="1048445" customFormat="1" x14ac:dyDescent="0.3"/>
    <row r="1048446" customFormat="1" x14ac:dyDescent="0.3"/>
    <row r="1048447" customFormat="1" x14ac:dyDescent="0.3"/>
    <row r="1048448" customFormat="1" x14ac:dyDescent="0.3"/>
    <row r="1048449" customFormat="1" x14ac:dyDescent="0.3"/>
    <row r="1048450" customFormat="1" x14ac:dyDescent="0.3"/>
    <row r="1048451" customFormat="1" x14ac:dyDescent="0.3"/>
    <row r="1048452" customFormat="1" x14ac:dyDescent="0.3"/>
    <row r="1048453" customFormat="1" x14ac:dyDescent="0.3"/>
    <row r="1048454" customFormat="1" x14ac:dyDescent="0.3"/>
    <row r="1048455" customFormat="1" x14ac:dyDescent="0.3"/>
    <row r="1048456" customFormat="1" x14ac:dyDescent="0.3"/>
    <row r="1048457" customFormat="1" x14ac:dyDescent="0.3"/>
    <row r="1048458" customFormat="1" x14ac:dyDescent="0.3"/>
    <row r="1048459" customFormat="1" x14ac:dyDescent="0.3"/>
    <row r="1048460" customFormat="1" x14ac:dyDescent="0.3"/>
    <row r="1048461" customFormat="1" x14ac:dyDescent="0.3"/>
    <row r="1048462" customFormat="1" x14ac:dyDescent="0.3"/>
    <row r="1048463" customFormat="1" x14ac:dyDescent="0.3"/>
    <row r="1048464" customFormat="1" x14ac:dyDescent="0.3"/>
    <row r="1048465" customFormat="1" x14ac:dyDescent="0.3"/>
    <row r="1048466" customFormat="1" x14ac:dyDescent="0.3"/>
    <row r="1048467" customFormat="1" x14ac:dyDescent="0.3"/>
    <row r="1048468" customFormat="1" x14ac:dyDescent="0.3"/>
    <row r="1048469" customFormat="1" x14ac:dyDescent="0.3"/>
    <row r="1048470" customFormat="1" x14ac:dyDescent="0.3"/>
    <row r="1048471" customFormat="1" x14ac:dyDescent="0.3"/>
    <row r="1048472" customFormat="1" x14ac:dyDescent="0.3"/>
    <row r="1048473" customFormat="1" x14ac:dyDescent="0.3"/>
    <row r="1048474" customFormat="1" x14ac:dyDescent="0.3"/>
    <row r="1048475" customFormat="1" x14ac:dyDescent="0.3"/>
    <row r="1048476" customFormat="1" x14ac:dyDescent="0.3"/>
    <row r="1048477" customFormat="1" x14ac:dyDescent="0.3"/>
    <row r="1048478" customFormat="1" x14ac:dyDescent="0.3"/>
    <row r="1048479" customFormat="1" x14ac:dyDescent="0.3"/>
    <row r="1048480" customFormat="1" x14ac:dyDescent="0.3"/>
    <row r="1048481" customFormat="1" x14ac:dyDescent="0.3"/>
    <row r="1048482" customFormat="1" x14ac:dyDescent="0.3"/>
    <row r="1048483" customFormat="1" x14ac:dyDescent="0.3"/>
    <row r="1048484" customFormat="1" x14ac:dyDescent="0.3"/>
    <row r="1048485" customFormat="1" x14ac:dyDescent="0.3"/>
    <row r="1048486" customFormat="1" x14ac:dyDescent="0.3"/>
    <row r="1048487" customFormat="1" x14ac:dyDescent="0.3"/>
    <row r="1048488" customFormat="1" x14ac:dyDescent="0.3"/>
    <row r="1048489" customFormat="1" x14ac:dyDescent="0.3"/>
    <row r="1048490" customFormat="1" x14ac:dyDescent="0.3"/>
    <row r="1048491" customFormat="1" x14ac:dyDescent="0.3"/>
    <row r="1048492" customFormat="1" x14ac:dyDescent="0.3"/>
    <row r="1048493" customFormat="1" x14ac:dyDescent="0.3"/>
    <row r="1048494" customFormat="1" x14ac:dyDescent="0.3"/>
    <row r="1048495" customFormat="1" x14ac:dyDescent="0.3"/>
    <row r="1048496" customFormat="1" x14ac:dyDescent="0.3"/>
    <row r="1048497" customFormat="1" x14ac:dyDescent="0.3"/>
    <row r="1048498" customFormat="1" x14ac:dyDescent="0.3"/>
    <row r="1048499" customFormat="1" x14ac:dyDescent="0.3"/>
    <row r="1048500" customFormat="1" x14ac:dyDescent="0.3"/>
    <row r="1048501" customFormat="1" x14ac:dyDescent="0.3"/>
    <row r="1048502" customFormat="1" x14ac:dyDescent="0.3"/>
    <row r="1048503" customFormat="1" x14ac:dyDescent="0.3"/>
    <row r="1048504" customFormat="1" x14ac:dyDescent="0.3"/>
    <row r="1048505" customFormat="1" x14ac:dyDescent="0.3"/>
    <row r="1048506" customFormat="1" x14ac:dyDescent="0.3"/>
    <row r="1048507" customFormat="1" x14ac:dyDescent="0.3"/>
    <row r="1048508" customFormat="1" x14ac:dyDescent="0.3"/>
    <row r="1048509" customFormat="1" x14ac:dyDescent="0.3"/>
    <row r="1048510" customFormat="1" x14ac:dyDescent="0.3"/>
    <row r="1048511" customFormat="1" x14ac:dyDescent="0.3"/>
    <row r="1048512" customFormat="1" x14ac:dyDescent="0.3"/>
    <row r="1048513" customFormat="1" x14ac:dyDescent="0.3"/>
    <row r="1048514" customFormat="1" x14ac:dyDescent="0.3"/>
    <row r="1048515" customFormat="1" x14ac:dyDescent="0.3"/>
    <row r="1048516" customFormat="1" x14ac:dyDescent="0.3"/>
    <row r="1048517" customFormat="1" x14ac:dyDescent="0.3"/>
    <row r="1048518" customFormat="1" x14ac:dyDescent="0.3"/>
    <row r="1048519" customFormat="1" x14ac:dyDescent="0.3"/>
    <row r="1048520" customFormat="1" x14ac:dyDescent="0.3"/>
    <row r="1048521" customFormat="1" x14ac:dyDescent="0.3"/>
    <row r="1048522" customFormat="1" x14ac:dyDescent="0.3"/>
    <row r="1048523" customFormat="1" x14ac:dyDescent="0.3"/>
    <row r="1048524" customFormat="1" x14ac:dyDescent="0.3"/>
    <row r="1048525" customFormat="1" x14ac:dyDescent="0.3"/>
    <row r="1048526" customFormat="1" x14ac:dyDescent="0.3"/>
    <row r="1048527" customFormat="1" x14ac:dyDescent="0.3"/>
    <row r="1048528" customFormat="1" x14ac:dyDescent="0.3"/>
    <row r="1048529" customFormat="1" x14ac:dyDescent="0.3"/>
    <row r="1048530" customFormat="1" x14ac:dyDescent="0.3"/>
    <row r="1048531" customFormat="1" x14ac:dyDescent="0.3"/>
    <row r="1048532" customFormat="1" x14ac:dyDescent="0.3"/>
    <row r="1048533" customFormat="1" x14ac:dyDescent="0.3"/>
    <row r="1048534" customFormat="1" x14ac:dyDescent="0.3"/>
    <row r="1048535" customFormat="1" x14ac:dyDescent="0.3"/>
    <row r="1048536" customFormat="1" x14ac:dyDescent="0.3"/>
    <row r="1048537" customFormat="1" x14ac:dyDescent="0.3"/>
    <row r="1048538" customFormat="1" x14ac:dyDescent="0.3"/>
    <row r="1048539" customFormat="1" x14ac:dyDescent="0.3"/>
    <row r="1048540" customFormat="1" x14ac:dyDescent="0.3"/>
    <row r="1048541" customFormat="1" x14ac:dyDescent="0.3"/>
    <row r="1048542" customFormat="1" x14ac:dyDescent="0.3"/>
    <row r="1048543" customFormat="1" x14ac:dyDescent="0.3"/>
    <row r="1048544" customFormat="1" x14ac:dyDescent="0.3"/>
    <row r="1048545" customFormat="1" x14ac:dyDescent="0.3"/>
    <row r="1048546" customFormat="1" x14ac:dyDescent="0.3"/>
    <row r="1048547" customFormat="1" x14ac:dyDescent="0.3"/>
    <row r="1048548" customFormat="1" x14ac:dyDescent="0.3"/>
    <row r="1048549" customFormat="1" x14ac:dyDescent="0.3"/>
    <row r="1048550" customFormat="1" x14ac:dyDescent="0.3"/>
    <row r="1048551" customFormat="1" x14ac:dyDescent="0.3"/>
    <row r="1048552" customFormat="1" x14ac:dyDescent="0.3"/>
    <row r="1048553" customFormat="1" x14ac:dyDescent="0.3"/>
    <row r="1048554" customFormat="1" x14ac:dyDescent="0.3"/>
    <row r="1048555" customFormat="1" x14ac:dyDescent="0.3"/>
    <row r="1048556" customFormat="1" x14ac:dyDescent="0.3"/>
    <row r="1048557" customFormat="1" x14ac:dyDescent="0.3"/>
    <row r="1048558" customFormat="1" x14ac:dyDescent="0.3"/>
    <row r="1048559" customFormat="1" x14ac:dyDescent="0.3"/>
    <row r="1048560" customFormat="1" x14ac:dyDescent="0.3"/>
    <row r="1048561" customFormat="1" x14ac:dyDescent="0.3"/>
    <row r="1048562" customFormat="1" x14ac:dyDescent="0.3"/>
    <row r="1048563" customFormat="1" x14ac:dyDescent="0.3"/>
    <row r="1048564" customFormat="1" x14ac:dyDescent="0.3"/>
    <row r="1048565" customFormat="1" x14ac:dyDescent="0.3"/>
    <row r="1048566" customFormat="1" x14ac:dyDescent="0.3"/>
    <row r="1048567" customFormat="1" x14ac:dyDescent="0.3"/>
    <row r="1048568" customFormat="1" x14ac:dyDescent="0.3"/>
    <row r="1048569" customFormat="1" x14ac:dyDescent="0.3"/>
    <row r="1048570" customFormat="1" x14ac:dyDescent="0.3"/>
    <row r="1048571" customFormat="1" x14ac:dyDescent="0.3"/>
    <row r="1048572" customFormat="1" x14ac:dyDescent="0.3"/>
    <row r="1048573" customFormat="1" x14ac:dyDescent="0.3"/>
    <row r="1048574" customFormat="1" x14ac:dyDescent="0.3"/>
    <row r="1048575" customFormat="1" x14ac:dyDescent="0.3"/>
    <row r="1048576" customFormat="1" x14ac:dyDescent="0.3"/>
  </sheetData>
  <phoneticPr fontId="1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铝耗</vt:lpstr>
      <vt:lpstr>Sheet2</vt:lpstr>
      <vt:lpstr>铝耗2026年</vt:lpstr>
      <vt:lpstr>铝耗2025年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033</dc:creator>
  <cp:lastModifiedBy>renaissance Karma</cp:lastModifiedBy>
  <dcterms:created xsi:type="dcterms:W3CDTF">2023-05-12T11:15:00Z</dcterms:created>
  <dcterms:modified xsi:type="dcterms:W3CDTF">2026-06-13T13:41:39Z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FADE61BD776B4AB99BA6B36389A33BDF_13</vt:lpwstr>
  </property>
  <property fmtid="{D5CDD505-2E9C-101B-9397-08002B2CF9AE}" pid="4" name="CalculationRule">
    <vt:i4>0</vt:i4>
  </property>
</Properties>
</file>